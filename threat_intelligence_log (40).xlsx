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Intelligence'!$A$1:$AD$1768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2">
    <fill>
      <patternFill/>
    </fill>
    <fill>
      <patternFill patternType="gray125"/>
    </fill>
    <fill>
      <patternFill patternType="solid">
        <fgColor rgb="001A1A2E"/>
      </patternFill>
    </fill>
    <fill>
      <patternFill patternType="solid">
        <fgColor rgb="008B4000"/>
      </patternFill>
    </fill>
    <fill>
      <patternFill patternType="solid">
        <fgColor rgb="004A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193">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20"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4"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5"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6"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8" borderId="0" applyAlignment="1" pivotButton="0" quotePrefix="0" xfId="0">
      <alignment horizontal="center"/>
    </xf>
    <xf numFmtId="0" fontId="10" fillId="34"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7"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6"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8" borderId="0" applyAlignment="1" pivotButton="0" quotePrefix="0" xfId="0">
      <alignment horizontal="left"/>
    </xf>
    <xf numFmtId="0" fontId="12" fillId="38"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6" borderId="0" applyAlignment="1" pivotButton="0" quotePrefix="0" xfId="0">
      <alignment horizontal="center" vertical="center" wrapText="1"/>
    </xf>
    <xf numFmtId="0" fontId="10" fillId="16" borderId="0" applyAlignment="1" pivotButton="0" quotePrefix="0" xfId="0">
      <alignment horizontal="center"/>
    </xf>
    <xf numFmtId="0" fontId="10" fillId="16" borderId="0" applyAlignment="1" pivotButton="0" quotePrefix="0" xfId="0">
      <alignment horizontal="center" vertical="center" wrapText="1"/>
    </xf>
    <xf numFmtId="1" fontId="14" fillId="39" borderId="5" applyAlignment="1" pivotButton="0" quotePrefix="0" xfId="0">
      <alignment horizontal="center" vertical="center"/>
    </xf>
    <xf numFmtId="1" fontId="14" fillId="40" borderId="5" applyAlignment="1" pivotButton="0" quotePrefix="0" xfId="0">
      <alignment horizontal="center" vertical="center"/>
    </xf>
    <xf numFmtId="0" fontId="10" fillId="39" borderId="6" applyAlignment="1" pivotButton="0" quotePrefix="0" xfId="0">
      <alignment horizontal="center" vertical="center" wrapText="1"/>
    </xf>
    <xf numFmtId="0" fontId="10" fillId="40" borderId="6" applyAlignment="1" pivotButton="0" quotePrefix="0" xfId="0">
      <alignment horizontal="center" vertical="center" wrapText="1"/>
    </xf>
    <xf numFmtId="0" fontId="10" fillId="40" borderId="0" applyAlignment="1" pivotButton="0" quotePrefix="0" xfId="0">
      <alignment horizontal="center"/>
    </xf>
    <xf numFmtId="1" fontId="14" fillId="27" borderId="5" applyAlignment="1" pivotButton="0" quotePrefix="0" xfId="0">
      <alignment horizontal="center" vertical="center"/>
    </xf>
    <xf numFmtId="0" fontId="10" fillId="27" borderId="6" applyAlignment="1" pivotButton="0" quotePrefix="0" xfId="0">
      <alignment horizontal="center" vertical="center" wrapText="1"/>
    </xf>
    <xf numFmtId="0" fontId="10" fillId="27" borderId="0" applyAlignment="1" pivotButton="0" quotePrefix="0" xfId="0">
      <alignment horizontal="center"/>
    </xf>
    <xf numFmtId="1" fontId="14" fillId="14" borderId="5" applyAlignment="1" pivotButton="0" quotePrefix="0" xfId="0">
      <alignment horizontal="center" vertical="center"/>
    </xf>
    <xf numFmtId="0" fontId="10" fillId="14" borderId="6" applyAlignment="1" pivotButton="0" quotePrefix="0" xfId="0">
      <alignment horizontal="center" vertical="center" wrapText="1"/>
    </xf>
    <xf numFmtId="0" fontId="10" fillId="14" borderId="0" applyAlignment="1" pivotButton="0" quotePrefix="0" xfId="0">
      <alignment horizontal="center"/>
    </xf>
    <xf numFmtId="0" fontId="10" fillId="39" borderId="0" applyAlignment="1" pivotButton="0" quotePrefix="0" xfId="0">
      <alignment horizontal="center"/>
    </xf>
    <xf numFmtId="0" fontId="15" fillId="38"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2" borderId="0" applyAlignment="1" pivotButton="0" quotePrefix="0" xfId="0">
      <alignment vertical="top"/>
    </xf>
    <xf numFmtId="0" fontId="5" fillId="4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v6.1 — Threat Intelligence Dashboard</t>
        </is>
      </c>
    </row>
    <row r="2">
      <c r="A2" s="2" t="inlineStr">
        <is>
          <t>Generated: 2026-02-27 20:47  |  By Ramiz Alsafi</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CISA_ICS</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34" t="inlineStr">
        <is>
          <t>CVE</t>
        </is>
      </c>
      <c r="B8" s="35">
        <f>COUNTIF('Threat Intelligence'!$A:$A,A8)</f>
        <v/>
      </c>
      <c r="C8" s="36">
        <f>COUNTIFS('Threat Intelligence'!$A:$A,A8,'Threat Intelligence'!$Q:$Q,"P1")</f>
        <v/>
      </c>
      <c r="D8" s="37">
        <f>COUNTIFS('Threat Intelligence'!$A:$A,A8,'Threat Intelligence'!$Q:$Q,"P2")</f>
        <v/>
      </c>
      <c r="E8" s="38">
        <f>COUNTIFS('Threat Intelligence'!$A:$A,A8,'Threat Intelligence'!$J:$J,"YES")</f>
        <v/>
      </c>
      <c r="F8" s="36">
        <f>COUNTIFS('Threat Intelligence'!$A:$A,A8,'Threat Intelligence'!$E:$E,"CRITICAL")</f>
        <v/>
      </c>
      <c r="G8" s="39">
        <f>COUNTIFS('Threat Intelligence'!$A:$A,A8,'Threat Intelligence'!$E:$E,"HIGH")</f>
        <v/>
      </c>
      <c r="J8" s="40" t="inlineStr">
        <is>
          <t>P1</t>
        </is>
      </c>
      <c r="K8" s="6">
        <f>COUNTIF('Threat Intelligence'!$Q:$Q,"P1")</f>
        <v/>
      </c>
    </row>
    <row r="9" ht="18" customHeight="1">
      <c r="A9" s="7" t="inlineStr">
        <is>
          <t>EMERGING_THREAT_IP</t>
        </is>
      </c>
      <c r="B9" s="8">
        <f>COUNTIF('Threat Intelligence'!$A:$A,A9)</f>
        <v/>
      </c>
      <c r="C9" s="9">
        <f>COUNTIFS('Threat Intelligence'!$A:$A,A9,'Threat Intelligence'!$Q:$Q,"P1")</f>
        <v/>
      </c>
      <c r="D9" s="10">
        <f>COUNTIFS('Threat Intelligence'!$A:$A,A9,'Threat Intelligence'!$Q:$Q,"P2")</f>
        <v/>
      </c>
      <c r="E9" s="11">
        <f>COUNTIFS('Threat Intelligence'!$A:$A,A9,'Threat Intelligence'!$J:$J,"YES")</f>
        <v/>
      </c>
      <c r="F9" s="9">
        <f>COUNTIFS('Threat Intelligence'!$A:$A,A9,'Threat Intelligence'!$E:$E,"CRITICAL")</f>
        <v/>
      </c>
      <c r="G9" s="12">
        <f>COUNTIFS('Threat Intelligence'!$A:$A,A9,'Threat Intelligence'!$E:$E,"HIGH")</f>
        <v/>
      </c>
      <c r="J9" s="41" t="inlineStr">
        <is>
          <t>P2</t>
        </is>
      </c>
      <c r="K9" s="6">
        <f>COUNTIF('Threat Intelligence'!$Q:$Q,"P2")</f>
        <v/>
      </c>
    </row>
    <row r="10" ht="18" customHeight="1">
      <c r="A10" s="42" t="inlineStr">
        <is>
          <t>EXPLOIT</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FEODO_C2</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FIREHOL_THREAT</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FIREWALL_ADVISORY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GH_ADVISORY</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76" t="inlineStr">
        <is>
          <t>MAL_URL</t>
        </is>
      </c>
      <c r="B15" s="77">
        <f>COUNTIF('Threat Intelligence'!$A:$A,A15)</f>
        <v/>
      </c>
      <c r="C15" s="78">
        <f>COUNTIFS('Threat Intelligence'!$A:$A,A15,'Threat Intelligence'!$Q:$Q,"P1")</f>
        <v/>
      </c>
      <c r="D15" s="79">
        <f>COUNTIFS('Threat Intelligence'!$A:$A,A15,'Threat Intelligence'!$Q:$Q,"P2")</f>
        <v/>
      </c>
      <c r="E15" s="80">
        <f>COUNTIFS('Threat Intelligence'!$A:$A,A15,'Threat Intelligence'!$J:$J,"YES")</f>
        <v/>
      </c>
      <c r="F15" s="78">
        <f>COUNTIFS('Threat Intelligence'!$A:$A,A15,'Threat Intelligence'!$E:$E,"CRITICAL")</f>
        <v/>
      </c>
      <c r="G15" s="81">
        <f>COUNTIFS('Threat Intelligence'!$A:$A,A15,'Threat Intelligence'!$E:$E,"HIGH")</f>
        <v/>
      </c>
      <c r="J15" s="68">
        <f>A6</f>
        <v/>
      </c>
      <c r="K15" s="69">
        <f>B6</f>
        <v/>
      </c>
    </row>
    <row r="16" ht="18" customHeight="1">
      <c r="A16" s="82" t="inlineStr">
        <is>
          <t>MSF_MODULE</t>
        </is>
      </c>
      <c r="B16" s="83">
        <f>COUNTIF('Threat Intelligence'!$A:$A,A16)</f>
        <v/>
      </c>
      <c r="C16" s="84">
        <f>COUNTIFS('Threat Intelligence'!$A:$A,A16,'Threat Intelligence'!$Q:$Q,"P1")</f>
        <v/>
      </c>
      <c r="D16" s="85">
        <f>COUNTIFS('Threat Intelligence'!$A:$A,A16,'Threat Intelligence'!$Q:$Q,"P2")</f>
        <v/>
      </c>
      <c r="E16" s="86">
        <f>COUNTIFS('Threat Intelligence'!$A:$A,A16,'Threat Intelligence'!$J:$J,"YES")</f>
        <v/>
      </c>
      <c r="F16" s="84">
        <f>COUNTIFS('Threat Intelligence'!$A:$A,A16,'Threat Intelligence'!$E:$E,"CRITICAL")</f>
        <v/>
      </c>
      <c r="G16" s="87">
        <f>COUNTIFS('Threat Intelligence'!$A:$A,A16,'Threat Intelligence'!$E:$E,"HIGH")</f>
        <v/>
      </c>
      <c r="J16" s="68">
        <f>A7</f>
        <v/>
      </c>
      <c r="K16" s="69">
        <f>B7</f>
        <v/>
      </c>
    </row>
    <row r="17" ht="18" customHeight="1">
      <c r="A17" s="88" t="inlineStr">
        <is>
          <t>MSRC_UPDATE</t>
        </is>
      </c>
      <c r="B17" s="89">
        <f>COUNTIF('Threat Intelligence'!$A:$A,A17)</f>
        <v/>
      </c>
      <c r="C17" s="90">
        <f>COUNTIFS('Threat Intelligence'!$A:$A,A17,'Threat Intelligence'!$Q:$Q,"P1")</f>
        <v/>
      </c>
      <c r="D17" s="91">
        <f>COUNTIFS('Threat Intelligence'!$A:$A,A17,'Threat Intelligence'!$Q:$Q,"P2")</f>
        <v/>
      </c>
      <c r="E17" s="92">
        <f>COUNTIFS('Threat Intelligence'!$A:$A,A17,'Threat Intelligence'!$J:$J,"YES")</f>
        <v/>
      </c>
      <c r="F17" s="90">
        <f>COUNTIFS('Threat Intelligence'!$A:$A,A17,'Threat Intelligence'!$E:$E,"CRITICAL")</f>
        <v/>
      </c>
      <c r="G17" s="93">
        <f>COUNTIFS('Threat Intelligence'!$A:$A,A17,'Threat Intelligence'!$E:$E,"HIGH")</f>
        <v/>
      </c>
      <c r="J17" s="68">
        <f>A8</f>
        <v/>
      </c>
      <c r="K17" s="69">
        <f>B8</f>
        <v/>
      </c>
    </row>
    <row r="18" ht="18" customHeight="1">
      <c r="A18" s="94" t="inlineStr">
        <is>
          <t>NEWS_ALERT</t>
        </is>
      </c>
      <c r="B18" s="95">
        <f>COUNTIF('Threat Intelligence'!$A:$A,A18)</f>
        <v/>
      </c>
      <c r="C18" s="96">
        <f>COUNTIFS('Threat Intelligence'!$A:$A,A18,'Threat Intelligence'!$Q:$Q,"P1")</f>
        <v/>
      </c>
      <c r="D18" s="97">
        <f>COUNTIFS('Threat Intelligence'!$A:$A,A18,'Threat Intelligence'!$Q:$Q,"P2")</f>
        <v/>
      </c>
      <c r="E18" s="98">
        <f>COUNTIFS('Threat Intelligence'!$A:$A,A18,'Threat Intelligence'!$J:$J,"YES")</f>
        <v/>
      </c>
      <c r="F18" s="96">
        <f>COUNTIFS('Threat Intelligence'!$A:$A,A18,'Threat Intelligence'!$E:$E,"CRITICAL")</f>
        <v/>
      </c>
      <c r="G18" s="99">
        <f>COUNTIFS('Threat Intelligence'!$A:$A,A18,'Threat Intelligence'!$E:$E,"HIGH")</f>
        <v/>
      </c>
      <c r="J18" s="68">
        <f>A9</f>
        <v/>
      </c>
      <c r="K18" s="69">
        <f>B9</f>
        <v/>
      </c>
    </row>
    <row r="19" ht="18" customHeight="1">
      <c r="A19" s="100" t="inlineStr">
        <is>
          <t>OTX_PULSE</t>
        </is>
      </c>
      <c r="B19" s="101">
        <f>COUNTIF('Threat Intelligence'!$A:$A,A19)</f>
        <v/>
      </c>
      <c r="C19" s="102">
        <f>COUNTIFS('Threat Intelligence'!$A:$A,A19,'Threat Intelligence'!$Q:$Q,"P1")</f>
        <v/>
      </c>
      <c r="D19" s="103">
        <f>COUNTIFS('Threat Intelligence'!$A:$A,A19,'Threat Intelligence'!$Q:$Q,"P2")</f>
        <v/>
      </c>
      <c r="E19" s="104">
        <f>COUNTIFS('Threat Intelligence'!$A:$A,A19,'Threat Intelligence'!$J:$J,"YES")</f>
        <v/>
      </c>
      <c r="F19" s="102">
        <f>COUNTIFS('Threat Intelligence'!$A:$A,A19,'Threat Intelligence'!$E:$E,"CRITICAL")</f>
        <v/>
      </c>
      <c r="G19" s="105">
        <f>COUNTIFS('Threat Intelligence'!$A:$A,A19,'Threat Intelligence'!$E:$E,"HIGH")</f>
        <v/>
      </c>
      <c r="J19" s="68">
        <f>A10</f>
        <v/>
      </c>
      <c r="K19" s="69">
        <f>B10</f>
        <v/>
      </c>
    </row>
    <row r="20" ht="18" customHeight="1">
      <c r="A20" s="56" t="inlineStr">
        <is>
          <t>PATCH_TUESDAY</t>
        </is>
      </c>
      <c r="B20" s="57">
        <f>COUNTIF('Threat Intelligence'!$A:$A,A20)</f>
        <v/>
      </c>
      <c r="C20" s="58">
        <f>COUNTIFS('Threat Intelligence'!$A:$A,A20,'Threat Intelligence'!$Q:$Q,"P1")</f>
        <v/>
      </c>
      <c r="D20" s="59">
        <f>COUNTIFS('Threat Intelligence'!$A:$A,A20,'Threat Intelligence'!$Q:$Q,"P2")</f>
        <v/>
      </c>
      <c r="E20" s="60">
        <f>COUNTIFS('Threat Intelligence'!$A:$A,A20,'Threat Intelligence'!$J:$J,"YES")</f>
        <v/>
      </c>
      <c r="F20" s="58">
        <f>COUNTIFS('Threat Intelligence'!$A:$A,A20,'Threat Intelligence'!$E:$E,"CRITICAL")</f>
        <v/>
      </c>
      <c r="G20" s="61">
        <f>COUNTIFS('Threat Intelligence'!$A:$A,A20,'Threat Intelligence'!$E:$E,"HIGH")</f>
        <v/>
      </c>
      <c r="J20" s="68">
        <f>A11</f>
        <v/>
      </c>
      <c r="K20" s="69">
        <f>B11</f>
        <v/>
      </c>
    </row>
    <row r="21" ht="18" customHeight="1">
      <c r="A21" s="106" t="inlineStr">
        <is>
          <t>PHISH</t>
        </is>
      </c>
      <c r="B21" s="107">
        <f>COUNTIF('Threat Intelligence'!$A:$A,A21)</f>
        <v/>
      </c>
      <c r="C21" s="108">
        <f>COUNTIFS('Threat Intelligence'!$A:$A,A21,'Threat Intelligence'!$Q:$Q,"P1")</f>
        <v/>
      </c>
      <c r="D21" s="109">
        <f>COUNTIFS('Threat Intelligence'!$A:$A,A21,'Threat Intelligence'!$Q:$Q,"P2")</f>
        <v/>
      </c>
      <c r="E21" s="110">
        <f>COUNTIFS('Threat Intelligence'!$A:$A,A21,'Threat Intelligence'!$J:$J,"YES")</f>
        <v/>
      </c>
      <c r="F21" s="108">
        <f>COUNTIFS('Threat Intelligence'!$A:$A,A21,'Threat Intelligence'!$E:$E,"CRITICAL")</f>
        <v/>
      </c>
      <c r="G21" s="111">
        <f>COUNTIFS('Threat Intelligence'!$A:$A,A21,'Threat Intelligence'!$E:$E,"HIGH")</f>
        <v/>
      </c>
    </row>
    <row r="22" ht="18" customHeight="1">
      <c r="A22" s="112" t="inlineStr">
        <is>
          <t>SANS_ISC</t>
        </is>
      </c>
      <c r="B22" s="113">
        <f>COUNTIF('Threat Intelligence'!$A:$A,A22)</f>
        <v/>
      </c>
      <c r="C22" s="114">
        <f>COUNTIFS('Threat Intelligence'!$A:$A,A22,'Threat Intelligence'!$Q:$Q,"P1")</f>
        <v/>
      </c>
      <c r="D22" s="115">
        <f>COUNTIFS('Threat Intelligence'!$A:$A,A22,'Threat Intelligence'!$Q:$Q,"P2")</f>
        <v/>
      </c>
      <c r="E22" s="116">
        <f>COUNTIFS('Threat Intelligence'!$A:$A,A22,'Threat Intelligence'!$J:$J,"YES")</f>
        <v/>
      </c>
      <c r="F22" s="114">
        <f>COUNTIFS('Threat Intelligence'!$A:$A,A22,'Threat Intelligence'!$E:$E,"CRITICAL")</f>
        <v/>
      </c>
      <c r="G22" s="117">
        <f>COUNTIFS('Threat Intelligence'!$A:$A,A22,'Threat Intelligence'!$E:$E,"HIGH")</f>
        <v/>
      </c>
    </row>
    <row r="23" ht="18" customHeight="1">
      <c r="A23" s="118" t="inlineStr">
        <is>
          <t>SHODAN_VULN</t>
        </is>
      </c>
      <c r="B23" s="119">
        <f>COUNTIF('Threat Intelligence'!$A:$A,A23)</f>
        <v/>
      </c>
      <c r="C23" s="120">
        <f>COUNTIFS('Threat Intelligence'!$A:$A,A23,'Threat Intelligence'!$Q:$Q,"P1")</f>
        <v/>
      </c>
      <c r="D23" s="121">
        <f>COUNTIFS('Threat Intelligence'!$A:$A,A23,'Threat Intelligence'!$Q:$Q,"P2")</f>
        <v/>
      </c>
      <c r="E23" s="122">
        <f>COUNTIFS('Threat Intelligence'!$A:$A,A23,'Threat Intelligence'!$J:$J,"YES")</f>
        <v/>
      </c>
      <c r="F23" s="120">
        <f>COUNTIFS('Threat Intelligence'!$A:$A,A23,'Threat Intelligence'!$E:$E,"CRITICAL")</f>
        <v/>
      </c>
      <c r="G23" s="123">
        <f>COUNTIFS('Threat Intelligence'!$A:$A,A23,'Threat Intelligence'!$E:$E,"HIGH")</f>
        <v/>
      </c>
    </row>
    <row r="24" ht="18" customHeight="1">
      <c r="A24" s="124" t="inlineStr">
        <is>
          <t>TALOS_IP</t>
        </is>
      </c>
      <c r="B24" s="125">
        <f>COUNTIF('Threat Intelligence'!$A:$A,A24)</f>
        <v/>
      </c>
      <c r="C24" s="126">
        <f>COUNTIFS('Threat Intelligence'!$A:$A,A24,'Threat Intelligence'!$Q:$Q,"P1")</f>
        <v/>
      </c>
      <c r="D24" s="127">
        <f>COUNTIFS('Threat Intelligence'!$A:$A,A24,'Threat Intelligence'!$Q:$Q,"P2")</f>
        <v/>
      </c>
      <c r="E24" s="128">
        <f>COUNTIFS('Threat Intelligence'!$A:$A,A24,'Threat Intelligence'!$J:$J,"YES")</f>
        <v/>
      </c>
      <c r="F24" s="126">
        <f>COUNTIFS('Threat Intelligence'!$A:$A,A24,'Threat Intelligence'!$E:$E,"CRITICAL")</f>
        <v/>
      </c>
      <c r="G24" s="129">
        <f>COUNTIFS('Threat Intelligence'!$A:$A,A24,'Threat Intelligence'!$E:$E,"HIGH")</f>
        <v/>
      </c>
    </row>
    <row r="25" ht="18" customHeight="1">
      <c r="A25" s="130" t="inlineStr">
        <is>
          <t>THREATFOX_IOC</t>
        </is>
      </c>
      <c r="B25" s="131">
        <f>COUNTIF('Threat Intelligence'!$A:$A,A25)</f>
        <v/>
      </c>
      <c r="C25" s="132">
        <f>COUNTIFS('Threat Intelligence'!$A:$A,A25,'Threat Intelligence'!$Q:$Q,"P1")</f>
        <v/>
      </c>
      <c r="D25" s="133">
        <f>COUNTIFS('Threat Intelligence'!$A:$A,A25,'Threat Intelligence'!$Q:$Q,"P2")</f>
        <v/>
      </c>
      <c r="E25" s="134">
        <f>COUNTIFS('Threat Intelligence'!$A:$A,A25,'Threat Intelligence'!$J:$J,"YES")</f>
        <v/>
      </c>
      <c r="F25" s="132">
        <f>COUNTIFS('Threat Intelligence'!$A:$A,A25,'Threat Intelligence'!$E:$E,"CRITICAL")</f>
        <v/>
      </c>
      <c r="G25" s="135">
        <f>COUNTIFS('Threat Intelligence'!$A:$A,A25,'Threat Intelligence'!$E:$E,"HIGH")</f>
        <v/>
      </c>
    </row>
    <row r="26" ht="18" customHeight="1">
      <c r="A26" s="136" t="inlineStr">
        <is>
          <t>THREATMINER</t>
        </is>
      </c>
      <c r="B26" s="137">
        <f>COUNTIF('Threat Intelligence'!$A:$A,A26)</f>
        <v/>
      </c>
      <c r="C26" s="138">
        <f>COUNTIFS('Threat Intelligence'!$A:$A,A26,'Threat Intelligence'!$Q:$Q,"P1")</f>
        <v/>
      </c>
      <c r="D26" s="139">
        <f>COUNTIFS('Threat Intelligence'!$A:$A,A26,'Threat Intelligence'!$Q:$Q,"P2")</f>
        <v/>
      </c>
      <c r="E26" s="140">
        <f>COUNTIFS('Threat Intelligence'!$A:$A,A26,'Threat Intelligence'!$J:$J,"YES")</f>
        <v/>
      </c>
      <c r="F26" s="138">
        <f>COUNTIFS('Threat Intelligence'!$A:$A,A26,'Threat Intelligence'!$E:$E,"CRITICAL")</f>
        <v/>
      </c>
      <c r="G26" s="141">
        <f>COUNTIFS('Threat Intelligence'!$A:$A,A26,'Threat Intelligence'!$E:$E,"HIGH")</f>
        <v/>
      </c>
    </row>
    <row r="27" ht="18" customHeight="1">
      <c r="A27" s="142" t="inlineStr">
        <is>
          <t>TOR_EXIT</t>
        </is>
      </c>
      <c r="B27" s="143">
        <f>COUNTIF('Threat Intelligence'!$A:$A,A27)</f>
        <v/>
      </c>
      <c r="C27" s="144">
        <f>COUNTIFS('Threat Intelligence'!$A:$A,A27,'Threat Intelligence'!$Q:$Q,"P1")</f>
        <v/>
      </c>
      <c r="D27" s="145">
        <f>COUNTIFS('Threat Intelligence'!$A:$A,A27,'Threat Intelligence'!$Q:$Q,"P2")</f>
        <v/>
      </c>
      <c r="E27" s="146">
        <f>COUNTIFS('Threat Intelligence'!$A:$A,A27,'Threat Intelligence'!$J:$J,"YES")</f>
        <v/>
      </c>
      <c r="F27" s="144">
        <f>COUNTIFS('Threat Intelligence'!$A:$A,A27,'Threat Intelligence'!$E:$E,"CRITICAL")</f>
        <v/>
      </c>
      <c r="G27" s="147">
        <f>COUNTIFS('Threat Intelligence'!$A:$A,A27,'Threat Intelligence'!$E:$E,"HIGH")</f>
        <v/>
      </c>
    </row>
    <row r="28" ht="18" customHeight="1">
      <c r="A28" s="148" t="inlineStr">
        <is>
          <t>UBUNTU_SEC</t>
        </is>
      </c>
      <c r="B28" s="149">
        <f>COUNTIF('Threat Intelligence'!$A:$A,A28)</f>
        <v/>
      </c>
      <c r="C28" s="150">
        <f>COUNTIFS('Threat Intelligence'!$A:$A,A28,'Threat Intelligence'!$Q:$Q,"P1")</f>
        <v/>
      </c>
      <c r="D28" s="151">
        <f>COUNTIFS('Threat Intelligence'!$A:$A,A28,'Threat Intelligence'!$Q:$Q,"P2")</f>
        <v/>
      </c>
      <c r="E28" s="152">
        <f>COUNTIFS('Threat Intelligence'!$A:$A,A28,'Threat Intelligence'!$J:$J,"YES")</f>
        <v/>
      </c>
      <c r="F28" s="150">
        <f>COUNTIFS('Threat Intelligence'!$A:$A,A28,'Threat Intelligence'!$E:$E,"CRITICAL")</f>
        <v/>
      </c>
      <c r="G28" s="153">
        <f>COUNTIFS('Threat Intelligence'!$A:$A,A28,'Threat Intelligence'!$E:$E,"HIGH")</f>
        <v/>
      </c>
    </row>
    <row r="29" ht="18" customHeight="1">
      <c r="A29" s="154" t="inlineStr">
        <is>
          <t>VULNCHECK_KEV</t>
        </is>
      </c>
      <c r="B29" s="155">
        <f>COUNTIF('Threat Intelligence'!$A:$A,A29)</f>
        <v/>
      </c>
      <c r="C29" s="156">
        <f>COUNTIFS('Threat Intelligence'!$A:$A,A29,'Threat Intelligence'!$Q:$Q,"P1")</f>
        <v/>
      </c>
      <c r="D29" s="157">
        <f>COUNTIFS('Threat Intelligence'!$A:$A,A29,'Threat Intelligence'!$Q:$Q,"P2")</f>
        <v/>
      </c>
      <c r="E29" s="158">
        <f>COUNTIFS('Threat Intelligence'!$A:$A,A29,'Threat Intelligence'!$J:$J,"YES")</f>
        <v/>
      </c>
      <c r="F29" s="156">
        <f>COUNTIFS('Threat Intelligence'!$A:$A,A29,'Threat Intelligence'!$E:$E,"CRITICAL")</f>
        <v/>
      </c>
      <c r="G29" s="159">
        <f>COUNTIFS('Threat Intelligence'!$A:$A,A29,'Threat Intelligence'!$E:$E,"HIGH")</f>
        <v/>
      </c>
    </row>
    <row r="30" ht="18" customHeight="1">
      <c r="A30" s="160" t="inlineStr">
        <is>
          <t>ZDI_ADVISORY</t>
        </is>
      </c>
      <c r="B30" s="161">
        <f>COUNTIF('Threat Intelligence'!$A:$A,A30)</f>
        <v/>
      </c>
      <c r="C30" s="162">
        <f>COUNTIFS('Threat Intelligence'!$A:$A,A30,'Threat Intelligence'!$Q:$Q,"P1")</f>
        <v/>
      </c>
      <c r="D30" s="163">
        <f>COUNTIFS('Threat Intelligence'!$A:$A,A30,'Threat Intelligence'!$Q:$Q,"P2")</f>
        <v/>
      </c>
      <c r="E30" s="164">
        <f>COUNTIFS('Threat Intelligence'!$A:$A,A30,'Threat Intelligence'!$J:$J,"YES")</f>
        <v/>
      </c>
      <c r="F30" s="162">
        <f>COUNTIFS('Threat Intelligence'!$A:$A,A30,'Threat Intelligence'!$E:$E,"CRITICAL")</f>
        <v/>
      </c>
      <c r="G30" s="165">
        <f>COUNTIFS('Threat Intelligence'!$A:$A,A30,'Threat Intelligence'!$E:$E,"HIGH")</f>
        <v/>
      </c>
    </row>
    <row r="31" ht="20" customHeight="1">
      <c r="A31" s="166" t="inlineStr">
        <is>
          <t>TOTAL</t>
        </is>
      </c>
      <c r="B31" s="167">
        <f>SUM(B4:B30)</f>
        <v/>
      </c>
      <c r="C31" s="167">
        <f>SUM(C4:C30)</f>
        <v/>
      </c>
      <c r="D31" s="167">
        <f>SUM(D4:D30)</f>
        <v/>
      </c>
      <c r="E31" s="167">
        <f>SUM(E4:E30)</f>
        <v/>
      </c>
      <c r="F31" s="167">
        <f>SUM(F4:F30)</f>
        <v/>
      </c>
      <c r="G31" s="167">
        <f>SUM(G4:G30)</f>
        <v/>
      </c>
    </row>
    <row r="33" ht="22" customHeight="1">
      <c r="A33" s="168" t="inlineStr">
        <is>
          <t>🔥  RISK HEATMAP  ─  Likelihood × Impact</t>
        </is>
      </c>
      <c r="F33" s="168" t="inlineStr">
        <is>
          <t>📐  RISK MATRIX  ─  Score = Likelihood × Impact</t>
        </is>
      </c>
    </row>
    <row r="34" ht="30" customHeight="1">
      <c r="A34" s="169" t="inlineStr">
        <is>
          <t>Likelihood / Impact</t>
        </is>
      </c>
      <c r="B34" s="170" t="inlineStr">
        <is>
          <t>Low Impact (1)</t>
        </is>
      </c>
      <c r="C34" s="170" t="inlineStr">
        <is>
          <t>Med Impact (2)</t>
        </is>
      </c>
      <c r="D34" s="170" t="inlineStr">
        <is>
          <t>High Impact (3)</t>
        </is>
      </c>
      <c r="F34" s="171" t="inlineStr"/>
      <c r="G34" s="171" t="inlineStr">
        <is>
          <t>Impact 1</t>
        </is>
      </c>
      <c r="H34" s="171" t="inlineStr">
        <is>
          <t>Impact 2</t>
        </is>
      </c>
      <c r="I34" s="171" t="inlineStr">
        <is>
          <t>Impact 3</t>
        </is>
      </c>
      <c r="J34" s="171" t="inlineStr">
        <is>
          <t>Zone</t>
        </is>
      </c>
    </row>
    <row r="35" ht="38" customHeight="1">
      <c r="A35" s="172" t="inlineStr">
        <is>
          <t>Low Likelihood (1)</t>
        </is>
      </c>
      <c r="B35" s="173">
        <f>COUNTIFS('Threat Intelligence'!$F:$F,1,'Threat Intelligence'!$G:$G,1)</f>
        <v/>
      </c>
      <c r="C35" s="173">
        <f>COUNTIFS('Threat Intelligence'!$F:$F,1,'Threat Intelligence'!$G:$G,2)</f>
        <v/>
      </c>
      <c r="D35" s="174">
        <f>COUNTIFS('Threat Intelligence'!$F:$F,1,'Threat Intelligence'!$G:$G,3)</f>
        <v/>
      </c>
      <c r="F35" s="171" t="inlineStr">
        <is>
          <t>L=1 (Low)</t>
        </is>
      </c>
      <c r="G35" s="175" t="inlineStr">
        <is>
          <t>L1×I1=1  (LOW)</t>
        </is>
      </c>
      <c r="H35" s="175" t="inlineStr">
        <is>
          <t>L1×I2=2  (LOW)</t>
        </is>
      </c>
      <c r="I35" s="176" t="inlineStr">
        <is>
          <t>L1×I3=3  (MEDIUM)</t>
        </is>
      </c>
      <c r="J35" s="177" t="inlineStr">
        <is>
          <t>MEDIUM</t>
        </is>
      </c>
    </row>
    <row r="36" ht="38" customHeight="1">
      <c r="A36" s="172" t="inlineStr">
        <is>
          <t>Med Likelihood (2)</t>
        </is>
      </c>
      <c r="B36" s="173">
        <f>COUNTIFS('Threat Intelligence'!$F:$F,2,'Threat Intelligence'!$G:$G,1)</f>
        <v/>
      </c>
      <c r="C36" s="174">
        <f>COUNTIFS('Threat Intelligence'!$F:$F,2,'Threat Intelligence'!$G:$G,2)</f>
        <v/>
      </c>
      <c r="D36" s="178">
        <f>COUNTIFS('Threat Intelligence'!$F:$F,2,'Threat Intelligence'!$G:$G,3)</f>
        <v/>
      </c>
      <c r="F36" s="171" t="inlineStr">
        <is>
          <t>L=2 (Med)</t>
        </is>
      </c>
      <c r="G36" s="175" t="inlineStr">
        <is>
          <t>L2×I1=2  (LOW)</t>
        </is>
      </c>
      <c r="H36" s="176" t="inlineStr">
        <is>
          <t>L2×I2=4  (MEDIUM)</t>
        </is>
      </c>
      <c r="I36" s="179" t="inlineStr">
        <is>
          <t>L2×I3=6  (HIGH)</t>
        </is>
      </c>
      <c r="J36" s="180" t="inlineStr">
        <is>
          <t>HIGH</t>
        </is>
      </c>
    </row>
    <row r="37" ht="38" customHeight="1">
      <c r="A37" s="172" t="inlineStr">
        <is>
          <t>High Likelihood (3)</t>
        </is>
      </c>
      <c r="B37" s="174">
        <f>COUNTIFS('Threat Intelligence'!$F:$F,3,'Threat Intelligence'!$G:$G,1)</f>
        <v/>
      </c>
      <c r="C37" s="178">
        <f>COUNTIFS('Threat Intelligence'!$F:$F,3,'Threat Intelligence'!$G:$G,2)</f>
        <v/>
      </c>
      <c r="D37" s="181">
        <f>COUNTIFS('Threat Intelligence'!$F:$F,3,'Threat Intelligence'!$G:$G,3)</f>
        <v/>
      </c>
      <c r="F37" s="171" t="inlineStr">
        <is>
          <t>L=3 (High)</t>
        </is>
      </c>
      <c r="G37" s="176" t="inlineStr">
        <is>
          <t>L3×I1=3  (MEDIUM)</t>
        </is>
      </c>
      <c r="H37" s="179" t="inlineStr">
        <is>
          <t>L3×I2=6  (HIGH)</t>
        </is>
      </c>
      <c r="I37" s="182" t="inlineStr">
        <is>
          <t>L3×I3=9  (CRITICAL)</t>
        </is>
      </c>
      <c r="J37" s="183" t="inlineStr">
        <is>
          <t>CRITICAL</t>
        </is>
      </c>
    </row>
    <row r="39">
      <c r="A39" s="184" t="inlineStr">
        <is>
          <t>🟢 LOW</t>
        </is>
      </c>
      <c r="B39" s="177" t="inlineStr">
        <is>
          <t>🟡 MEDIUM</t>
        </is>
      </c>
      <c r="C39" s="180" t="inlineStr">
        <is>
          <t>🟠 HIGH</t>
        </is>
      </c>
      <c r="D39" s="183" t="inlineStr">
        <is>
          <t>🔴 CRITICAL</t>
        </is>
      </c>
      <c r="F39" s="185" t="inlineStr">
        <is>
          <t>Risk Score = Likelihood (1-3) × Impact (1-3)  →  Max 9 = CRITICAL</t>
        </is>
      </c>
    </row>
  </sheetData>
  <mergeCells count="5">
    <mergeCell ref="A1:G1"/>
    <mergeCell ref="F39:J39"/>
    <mergeCell ref="A2:G2"/>
    <mergeCell ref="F33:J33"/>
    <mergeCell ref="A33:D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1768"/>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86" t="inlineStr">
        <is>
          <t>Type</t>
        </is>
      </c>
      <c r="B1" s="186" t="inlineStr">
        <is>
          <t>ID</t>
        </is>
      </c>
      <c r="C1" s="186" t="inlineStr">
        <is>
          <t>Description</t>
        </is>
      </c>
      <c r="D1" s="186" t="inlineStr">
        <is>
          <t>CVSS</t>
        </is>
      </c>
      <c r="E1" s="186" t="inlineStr">
        <is>
          <t>Severity</t>
        </is>
      </c>
      <c r="F1" s="186" t="inlineStr">
        <is>
          <t>Likelihood</t>
        </is>
      </c>
      <c r="G1" s="186" t="inlineStr">
        <is>
          <t>Impact</t>
        </is>
      </c>
      <c r="H1" s="186" t="inlineStr">
        <is>
          <t>Risk_Level</t>
        </is>
      </c>
      <c r="I1" s="186" t="inlineStr">
        <is>
          <t>Final_Score</t>
        </is>
      </c>
      <c r="J1" s="186" t="inlineStr">
        <is>
          <t>CISA_KEV</t>
        </is>
      </c>
      <c r="K1" s="186" t="inlineStr">
        <is>
          <t>Link</t>
        </is>
      </c>
      <c r="L1" s="186" t="inlineStr">
        <is>
          <t>Timestamp</t>
        </is>
      </c>
      <c r="M1" s="186" t="inlineStr">
        <is>
          <t>Patch_Available</t>
        </is>
      </c>
      <c r="N1" s="186" t="inlineStr">
        <is>
          <t>Patch_Links</t>
        </is>
      </c>
      <c r="O1" s="186" t="inlineStr">
        <is>
          <t>Workarounds</t>
        </is>
      </c>
      <c r="P1" s="186" t="inlineStr">
        <is>
          <t>Affected_Products</t>
        </is>
      </c>
      <c r="Q1" s="186" t="inlineStr">
        <is>
          <t>Remediation_Priority</t>
        </is>
      </c>
      <c r="R1" s="186" t="inlineStr">
        <is>
          <t>Remediation_Steps</t>
        </is>
      </c>
      <c r="S1" s="186" t="inlineStr">
        <is>
          <t>GreyNoise_Context</t>
        </is>
      </c>
      <c r="T1" s="186" t="inlineStr">
        <is>
          <t>EPSS_Score</t>
        </is>
      </c>
      <c r="U1" s="186" t="inlineStr">
        <is>
          <t>EPSS_Percentile</t>
        </is>
      </c>
      <c r="V1" s="186" t="inlineStr">
        <is>
          <t>MITRE_Techniques</t>
        </is>
      </c>
      <c r="W1" s="186" t="inlineStr">
        <is>
          <t>Source_Count</t>
        </is>
      </c>
      <c r="X1" s="186" t="inlineStr">
        <is>
          <t>Confidence_Score</t>
        </is>
      </c>
      <c r="Y1" s="186" t="inlineStr">
        <is>
          <t>Exploit_Status</t>
        </is>
      </c>
      <c r="Z1" s="186" t="inlineStr">
        <is>
          <t>Fix_Available</t>
        </is>
      </c>
      <c r="AA1" s="186" t="inlineStr">
        <is>
          <t>Intel_URL</t>
        </is>
      </c>
      <c r="AB1" s="186" t="inlineStr">
        <is>
          <t>ZDI_Advisory</t>
        </is>
      </c>
      <c r="AC1" s="186" t="inlineStr">
        <is>
          <t>AttackerKB_Score</t>
        </is>
      </c>
      <c r="AD1" s="186" t="inlineStr">
        <is>
          <t>News_Coverage</t>
        </is>
      </c>
    </row>
    <row r="2">
      <c r="A2" s="187" t="inlineStr">
        <is>
          <t>CVE</t>
        </is>
      </c>
      <c r="B2" s="187" t="inlineStr">
        <is>
          <t>CVE-2026-24891</t>
        </is>
      </c>
      <c r="C2" s="187"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2" s="187" t="n">
        <v>7.5</v>
      </c>
      <c r="E2" s="187" t="inlineStr">
        <is>
          <t>HIGH</t>
        </is>
      </c>
      <c r="F2" s="187" t="n">
        <v>2</v>
      </c>
      <c r="G2" s="187" t="n">
        <v>3</v>
      </c>
      <c r="H2" s="187" t="inlineStr">
        <is>
          <t>HIGH</t>
        </is>
      </c>
      <c r="I2" s="187" t="n">
        <v>13.5</v>
      </c>
      <c r="J2" s="187" t="inlineStr">
        <is>
          <t>NO</t>
        </is>
      </c>
      <c r="K2" s="187" t="inlineStr">
        <is>
          <t>https://nvd.nist.gov/vuln/detail/CVE-2026-24891</t>
        </is>
      </c>
      <c r="L2" s="187" t="inlineStr">
        <is>
          <t>2026-02-27 20:47</t>
        </is>
      </c>
      <c r="M2" s="187" t="inlineStr">
        <is>
          <t>YES</t>
        </is>
      </c>
      <c r="N2" s="187" t="inlineStr">
        <is>
          <t>https://github.com/openITCOCKPIT/openITCOCKPIT/security/advisories/GHSA-x4mq-8gfg-frc4</t>
        </is>
      </c>
      <c r="O2" s="187" t="inlineStr">
        <is>
          <t>https://github.com/openITCOCKPIT/openITCOCKPIT/security/advisories/GHSA-x4mq-8gfg-frc4</t>
        </is>
      </c>
      <c r="P2" s="187" t="inlineStr">
        <is>
          <t>it-novum openitcockpit *</t>
        </is>
      </c>
      <c r="Q2" s="187" t="inlineStr">
        <is>
          <t>P3</t>
        </is>
      </c>
      <c r="R2" s="187" t="inlineStr">
        <is>
          <t>🚨 URGENT: Apply vendor patches immediately | 🔒 Isolate affected systems if patch unavailable | 🛡️ Enable additional monitoring/IDS rules</t>
        </is>
      </c>
      <c r="S2" s="187" t="inlineStr">
        <is>
          <t>CVE - IP enrichment n/a</t>
        </is>
      </c>
      <c r="T2" s="187" t="n">
        <v>0.001</v>
      </c>
      <c r="U2" s="187" t="n">
        <v>0.2765</v>
      </c>
      <c r="V2" s="187" t="inlineStr">
        <is>
          <t>T1059:Command and Scripting Interpreter | T1190:Exploit Public-Facing Application</t>
        </is>
      </c>
      <c r="W2" s="187" t="n">
        <v>1</v>
      </c>
      <c r="X2" s="187" t="inlineStr">
        <is>
          <t>LOW (40%)</t>
        </is>
      </c>
      <c r="Y2" s="187" t="inlineStr">
        <is>
          <t>UNLIKELY</t>
        </is>
      </c>
      <c r="Z2" s="187" t="inlineStr">
        <is>
          <t>PATCH_AVAILABLE</t>
        </is>
      </c>
      <c r="AA2" s="187" t="inlineStr">
        <is>
          <t>https://nvd.nist.gov/vuln/detail/CVE-2026-24891</t>
        </is>
      </c>
      <c r="AB2" s="187" t="inlineStr">
        <is>
          <t>NONE</t>
        </is>
      </c>
      <c r="AC2" s="187" t="n">
        <v>0</v>
      </c>
      <c r="AD2" s="187" t="inlineStr"/>
    </row>
    <row r="3">
      <c r="A3" s="187" t="inlineStr">
        <is>
          <t>CVE</t>
        </is>
      </c>
      <c r="B3" s="187" t="inlineStr">
        <is>
          <t>CVE-2026-27115</t>
        </is>
      </c>
      <c r="C3" s="187"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3" s="187" t="n">
        <v>7.1</v>
      </c>
      <c r="E3" s="187" t="inlineStr">
        <is>
          <t>HIGH</t>
        </is>
      </c>
      <c r="F3" s="187" t="n">
        <v>2</v>
      </c>
      <c r="G3" s="187" t="n">
        <v>3</v>
      </c>
      <c r="H3" s="187" t="inlineStr">
        <is>
          <t>HIGH</t>
        </is>
      </c>
      <c r="I3" s="187" t="n">
        <v>13.1</v>
      </c>
      <c r="J3" s="187" t="inlineStr">
        <is>
          <t>NO</t>
        </is>
      </c>
      <c r="K3" s="187" t="inlineStr">
        <is>
          <t>https://nvd.nist.gov/vuln/detail/CVE-2026-27115</t>
        </is>
      </c>
      <c r="L3" s="187" t="inlineStr">
        <is>
          <t>2026-02-27 20:47</t>
        </is>
      </c>
      <c r="M3" s="187" t="inlineStr">
        <is>
          <t>CHECK_VENDOR</t>
        </is>
      </c>
      <c r="N3" s="187" t="inlineStr">
        <is>
          <t>See NVD references</t>
        </is>
      </c>
      <c r="O3" s="187" t="inlineStr">
        <is>
          <t>Apply vendor patches</t>
        </is>
      </c>
      <c r="P3" s="187" t="inlineStr">
        <is>
          <t>See CVE details</t>
        </is>
      </c>
      <c r="Q3" s="187" t="inlineStr">
        <is>
          <t>P3</t>
        </is>
      </c>
      <c r="R3" s="187" t="inlineStr">
        <is>
          <t>🚨 URGENT: Apply vendor patches immediately | 🔒 Isolate affected systems if patch unavailable | 🛡️ Enable additional monitoring/IDS rules</t>
        </is>
      </c>
      <c r="S3" s="187" t="inlineStr">
        <is>
          <t>CVE - IP enrichment n/a</t>
        </is>
      </c>
      <c r="T3" s="187" t="n">
        <v>0.0001</v>
      </c>
      <c r="U3" s="187" t="n">
        <v>0.0105</v>
      </c>
      <c r="V3" s="187" t="inlineStr">
        <is>
          <t>T1083:File and Directory Discovery</t>
        </is>
      </c>
      <c r="W3" s="187" t="n">
        <v>1</v>
      </c>
      <c r="X3" s="187" t="inlineStr">
        <is>
          <t>LOW (40%)</t>
        </is>
      </c>
      <c r="Y3" s="187" t="inlineStr">
        <is>
          <t>UNLIKELY</t>
        </is>
      </c>
      <c r="Z3" s="187" t="inlineStr">
        <is>
          <t>CHECK_VENDOR</t>
        </is>
      </c>
      <c r="AA3" s="187" t="inlineStr">
        <is>
          <t>https://nvd.nist.gov/vuln/detail/CVE-2026-27115</t>
        </is>
      </c>
      <c r="AB3" s="187" t="inlineStr">
        <is>
          <t>NONE</t>
        </is>
      </c>
      <c r="AC3" s="187" t="n">
        <v>0</v>
      </c>
      <c r="AD3" s="187" t="inlineStr"/>
    </row>
    <row r="4">
      <c r="A4" s="188" t="inlineStr">
        <is>
          <t>CVE</t>
        </is>
      </c>
      <c r="B4" s="188" t="inlineStr">
        <is>
          <t>CVE-2026-2832</t>
        </is>
      </c>
      <c r="C4" s="188" t="inlineStr">
        <is>
          <t>Certain Samsung MultiXpress Multifunction Printers may be vulnerable to information disclosure, potentially exposing address book entries and other device configuration information through specific APIs without proper authorization.</t>
        </is>
      </c>
      <c r="D4" s="188" t="n">
        <v>5</v>
      </c>
      <c r="E4" s="188" t="inlineStr">
        <is>
          <t>MEDIUM</t>
        </is>
      </c>
      <c r="F4" s="188" t="n">
        <v>2</v>
      </c>
      <c r="G4" s="188" t="n">
        <v>2</v>
      </c>
      <c r="H4" s="188" t="inlineStr">
        <is>
          <t>MEDIUM</t>
        </is>
      </c>
      <c r="I4" s="188" t="n">
        <v>9</v>
      </c>
      <c r="J4" s="188" t="inlineStr">
        <is>
          <t>NO</t>
        </is>
      </c>
      <c r="K4" s="188" t="inlineStr">
        <is>
          <t>https://nvd.nist.gov/vuln/detail/CVE-2026-2832</t>
        </is>
      </c>
      <c r="L4" s="188" t="inlineStr">
        <is>
          <t>2026-02-27 20:47</t>
        </is>
      </c>
      <c r="M4" s="188" t="inlineStr">
        <is>
          <t>CHECK_VENDOR</t>
        </is>
      </c>
      <c r="N4" s="188" t="inlineStr">
        <is>
          <t>See NVD references</t>
        </is>
      </c>
      <c r="O4" s="188" t="inlineStr">
        <is>
          <t>Apply vendor patches</t>
        </is>
      </c>
      <c r="P4" s="188" t="inlineStr">
        <is>
          <t>See CVE details</t>
        </is>
      </c>
      <c r="Q4" s="188" t="inlineStr">
        <is>
          <t>P4</t>
        </is>
      </c>
      <c r="R4" s="188" t="inlineStr">
        <is>
          <t>📅 Schedule patch deployment within 30 days | 🔍 Monitor for exploitation attempts</t>
        </is>
      </c>
      <c r="S4" s="188" t="inlineStr">
        <is>
          <t>CVE - IP enrichment n/a</t>
        </is>
      </c>
      <c r="T4" s="188" t="n">
        <v>0.0002</v>
      </c>
      <c r="U4" s="188" t="n">
        <v>0.0492</v>
      </c>
      <c r="V4" s="188" t="inlineStr">
        <is>
          <t>T1213:Data from Information Repositories</t>
        </is>
      </c>
      <c r="W4" s="188" t="n">
        <v>1</v>
      </c>
      <c r="X4" s="188" t="inlineStr">
        <is>
          <t>LOW (40%)</t>
        </is>
      </c>
      <c r="Y4" s="188" t="inlineStr">
        <is>
          <t>UNLIKELY</t>
        </is>
      </c>
      <c r="Z4" s="188" t="inlineStr">
        <is>
          <t>CHECK_VENDOR</t>
        </is>
      </c>
      <c r="AA4" s="188" t="inlineStr">
        <is>
          <t>https://nvd.nist.gov/vuln/detail/CVE-2026-2832</t>
        </is>
      </c>
      <c r="AB4" s="188" t="inlineStr">
        <is>
          <t>NONE</t>
        </is>
      </c>
      <c r="AC4" s="188" t="n">
        <v>0</v>
      </c>
      <c r="AD4" s="188" t="inlineStr"/>
    </row>
    <row r="5">
      <c r="A5" s="188" t="inlineStr">
        <is>
          <t>CVE</t>
        </is>
      </c>
      <c r="B5" s="188" t="inlineStr">
        <is>
          <t>CVE-2026-2850</t>
        </is>
      </c>
      <c r="C5" s="188"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5" s="188" t="n">
        <v>6.3</v>
      </c>
      <c r="E5" s="188" t="inlineStr">
        <is>
          <t>MEDIUM</t>
        </is>
      </c>
      <c r="F5" s="188" t="n">
        <v>2</v>
      </c>
      <c r="G5" s="188" t="n">
        <v>2</v>
      </c>
      <c r="H5" s="188" t="inlineStr">
        <is>
          <t>MEDIUM</t>
        </is>
      </c>
      <c r="I5" s="188" t="n">
        <v>10.3</v>
      </c>
      <c r="J5" s="188" t="inlineStr">
        <is>
          <t>NO</t>
        </is>
      </c>
      <c r="K5" s="188" t="inlineStr">
        <is>
          <t>https://nvd.nist.gov/vuln/detail/CVE-2026-2850</t>
        </is>
      </c>
      <c r="L5" s="188" t="inlineStr">
        <is>
          <t>2026-02-27 20:47</t>
        </is>
      </c>
      <c r="M5" s="188" t="inlineStr">
        <is>
          <t>YES</t>
        </is>
      </c>
      <c r="N5" s="188" t="inlineStr">
        <is>
          <t>https://github.com/yeqifu/warehouse/issues/61</t>
        </is>
      </c>
      <c r="O5" s="188" t="inlineStr">
        <is>
          <t>Apply vendor patches</t>
        </is>
      </c>
      <c r="P5" s="188" t="inlineStr">
        <is>
          <t>yeqifu warehouse *</t>
        </is>
      </c>
      <c r="Q5" s="188" t="inlineStr">
        <is>
          <t>P4</t>
        </is>
      </c>
      <c r="R5" s="188" t="inlineStr">
        <is>
          <t>📅 Schedule patch deployment within 30 days | 🔍 Monitor for exploitation attempts</t>
        </is>
      </c>
      <c r="S5" s="188" t="inlineStr">
        <is>
          <t>CVE - IP enrichment n/a</t>
        </is>
      </c>
      <c r="T5" s="188" t="n">
        <v>0.0004</v>
      </c>
      <c r="U5" s="188" t="n">
        <v>0.134</v>
      </c>
      <c r="V5" s="188" t="inlineStr">
        <is>
          <t>T1190:Exploit Public-Facing Application</t>
        </is>
      </c>
      <c r="W5" s="188" t="n">
        <v>1</v>
      </c>
      <c r="X5" s="188" t="inlineStr">
        <is>
          <t>LOW (40%)</t>
        </is>
      </c>
      <c r="Y5" s="188" t="inlineStr">
        <is>
          <t>UNLIKELY</t>
        </is>
      </c>
      <c r="Z5" s="188" t="inlineStr">
        <is>
          <t>PATCH_AVAILABLE</t>
        </is>
      </c>
      <c r="AA5" s="188" t="inlineStr">
        <is>
          <t>https://nvd.nist.gov/vuln/detail/CVE-2026-2850</t>
        </is>
      </c>
      <c r="AB5" s="188" t="inlineStr">
        <is>
          <t>NONE</t>
        </is>
      </c>
      <c r="AC5" s="188" t="n">
        <v>0</v>
      </c>
      <c r="AD5" s="188" t="inlineStr"/>
    </row>
    <row r="6">
      <c r="A6" s="188" t="inlineStr">
        <is>
          <t>CVE</t>
        </is>
      </c>
      <c r="B6" s="188" t="inlineStr">
        <is>
          <t>CVE-2026-2851</t>
        </is>
      </c>
      <c r="C6" s="188"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6" s="188" t="n">
        <v>6.3</v>
      </c>
      <c r="E6" s="188" t="inlineStr">
        <is>
          <t>MEDIUM</t>
        </is>
      </c>
      <c r="F6" s="188" t="n">
        <v>2</v>
      </c>
      <c r="G6" s="188" t="n">
        <v>2</v>
      </c>
      <c r="H6" s="188" t="inlineStr">
        <is>
          <t>MEDIUM</t>
        </is>
      </c>
      <c r="I6" s="188" t="n">
        <v>10.3</v>
      </c>
      <c r="J6" s="188" t="inlineStr">
        <is>
          <t>NO</t>
        </is>
      </c>
      <c r="K6" s="188" t="inlineStr">
        <is>
          <t>https://nvd.nist.gov/vuln/detail/CVE-2026-2851</t>
        </is>
      </c>
      <c r="L6" s="188" t="inlineStr">
        <is>
          <t>2026-02-27 20:47</t>
        </is>
      </c>
      <c r="M6" s="188" t="inlineStr">
        <is>
          <t>CHECK_VENDOR</t>
        </is>
      </c>
      <c r="N6" s="188" t="inlineStr">
        <is>
          <t>See NVD references</t>
        </is>
      </c>
      <c r="O6" s="188" t="inlineStr">
        <is>
          <t>Apply vendor patches</t>
        </is>
      </c>
      <c r="P6" s="188" t="inlineStr">
        <is>
          <t>yeqifu warehouse *</t>
        </is>
      </c>
      <c r="Q6" s="188" t="inlineStr">
        <is>
          <t>P4</t>
        </is>
      </c>
      <c r="R6" s="188" t="inlineStr">
        <is>
          <t>📅 Schedule patch deployment within 30 days | 🔍 Monitor for exploitation attempts</t>
        </is>
      </c>
      <c r="S6" s="188" t="inlineStr">
        <is>
          <t>CVE - IP enrichment n/a</t>
        </is>
      </c>
      <c r="T6" s="188" t="n">
        <v>0.0003</v>
      </c>
      <c r="U6" s="188" t="n">
        <v>0.09180000000000001</v>
      </c>
      <c r="V6" s="188" t="inlineStr">
        <is>
          <t>T1190:Exploit Public-Facing Application</t>
        </is>
      </c>
      <c r="W6" s="188" t="n">
        <v>1</v>
      </c>
      <c r="X6" s="188" t="inlineStr">
        <is>
          <t>LOW (40%)</t>
        </is>
      </c>
      <c r="Y6" s="188" t="inlineStr">
        <is>
          <t>UNLIKELY</t>
        </is>
      </c>
      <c r="Z6" s="188" t="inlineStr">
        <is>
          <t>CHECK_VENDOR</t>
        </is>
      </c>
      <c r="AA6" s="188" t="inlineStr">
        <is>
          <t>https://nvd.nist.gov/vuln/detail/CVE-2026-2851</t>
        </is>
      </c>
      <c r="AB6" s="188" t="inlineStr">
        <is>
          <t>NONE</t>
        </is>
      </c>
      <c r="AC6" s="188" t="n">
        <v>0</v>
      </c>
      <c r="AD6" s="188" t="inlineStr"/>
    </row>
    <row r="7">
      <c r="A7" s="187" t="inlineStr">
        <is>
          <t>CVE</t>
        </is>
      </c>
      <c r="B7" s="187" t="inlineStr">
        <is>
          <t>CVE-2019-25444</t>
        </is>
      </c>
      <c r="C7" s="187"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7" s="187" t="n">
        <v>8.199999999999999</v>
      </c>
      <c r="E7" s="187" t="inlineStr">
        <is>
          <t>HIGH</t>
        </is>
      </c>
      <c r="F7" s="187" t="n">
        <v>2</v>
      </c>
      <c r="G7" s="187" t="n">
        <v>3</v>
      </c>
      <c r="H7" s="187" t="inlineStr">
        <is>
          <t>HIGH</t>
        </is>
      </c>
      <c r="I7" s="187" t="n">
        <v>14.2</v>
      </c>
      <c r="J7" s="187" t="inlineStr">
        <is>
          <t>NO</t>
        </is>
      </c>
      <c r="K7" s="187" t="inlineStr">
        <is>
          <t>https://nvd.nist.gov/vuln/detail/CVE-2019-25444</t>
        </is>
      </c>
      <c r="L7" s="187" t="inlineStr">
        <is>
          <t>2026-02-27 20:47</t>
        </is>
      </c>
      <c r="M7" s="187" t="inlineStr">
        <is>
          <t>CHECK_VENDOR</t>
        </is>
      </c>
      <c r="N7" s="187" t="inlineStr">
        <is>
          <t>See NVD references</t>
        </is>
      </c>
      <c r="O7" s="187" t="inlineStr">
        <is>
          <t>Apply vendor patches</t>
        </is>
      </c>
      <c r="P7" s="187" t="inlineStr">
        <is>
          <t>phpscriptsmall fiverr_clone_script 1.2.2</t>
        </is>
      </c>
      <c r="Q7" s="187" t="inlineStr">
        <is>
          <t>P3</t>
        </is>
      </c>
      <c r="R7" s="187" t="inlineStr">
        <is>
          <t>🚨 URGENT: Apply vendor patches immediately | 🔒 Isolate affected systems if patch unavailable | 🛡️ Enable additional monitoring/IDS rules</t>
        </is>
      </c>
      <c r="S7" s="187" t="inlineStr">
        <is>
          <t>CVE - IP enrichment n/a</t>
        </is>
      </c>
      <c r="T7" s="187" t="n">
        <v>0.0007</v>
      </c>
      <c r="U7" s="187" t="n">
        <v>0.2185</v>
      </c>
      <c r="V7" s="187" t="inlineStr">
        <is>
          <t>T1190:Exploit Public-Facing Application</t>
        </is>
      </c>
      <c r="W7" s="187" t="n">
        <v>1</v>
      </c>
      <c r="X7" s="187" t="inlineStr">
        <is>
          <t>LOW (40%)</t>
        </is>
      </c>
      <c r="Y7" s="187" t="inlineStr">
        <is>
          <t>UNLIKELY</t>
        </is>
      </c>
      <c r="Z7" s="187" t="inlineStr">
        <is>
          <t>CHECK_VENDOR</t>
        </is>
      </c>
      <c r="AA7" s="187" t="inlineStr">
        <is>
          <t>https://nvd.nist.gov/vuln/detail/CVE-2019-25444</t>
        </is>
      </c>
      <c r="AB7" s="187" t="inlineStr">
        <is>
          <t>NONE</t>
        </is>
      </c>
      <c r="AC7" s="187" t="n">
        <v>0</v>
      </c>
      <c r="AD7" s="187" t="inlineStr"/>
    </row>
    <row r="8">
      <c r="A8" s="188" t="inlineStr">
        <is>
          <t>CVE</t>
        </is>
      </c>
      <c r="B8" s="188" t="inlineStr">
        <is>
          <t>CVE-2019-25445</t>
        </is>
      </c>
      <c r="C8" s="188"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8" s="188" t="n">
        <v>6.1</v>
      </c>
      <c r="E8" s="188" t="inlineStr">
        <is>
          <t>MEDIUM</t>
        </is>
      </c>
      <c r="F8" s="188" t="n">
        <v>2</v>
      </c>
      <c r="G8" s="188" t="n">
        <v>2</v>
      </c>
      <c r="H8" s="188" t="inlineStr">
        <is>
          <t>MEDIUM</t>
        </is>
      </c>
      <c r="I8" s="188" t="n">
        <v>10.1</v>
      </c>
      <c r="J8" s="188" t="inlineStr">
        <is>
          <t>NO</t>
        </is>
      </c>
      <c r="K8" s="188" t="inlineStr">
        <is>
          <t>https://nvd.nist.gov/vuln/detail/CVE-2019-25445</t>
        </is>
      </c>
      <c r="L8" s="188" t="inlineStr">
        <is>
          <t>2026-02-27 20:47</t>
        </is>
      </c>
      <c r="M8" s="188" t="inlineStr">
        <is>
          <t>CHECK_VENDOR</t>
        </is>
      </c>
      <c r="N8" s="188" t="inlineStr">
        <is>
          <t>See NVD references</t>
        </is>
      </c>
      <c r="O8" s="188" t="inlineStr">
        <is>
          <t>Apply vendor patches</t>
        </is>
      </c>
      <c r="P8" s="188" t="inlineStr">
        <is>
          <t>phpscriptsmall fiverr_clone_script 1.2.2</t>
        </is>
      </c>
      <c r="Q8" s="188" t="inlineStr">
        <is>
          <t>P4</t>
        </is>
      </c>
      <c r="R8" s="188" t="inlineStr">
        <is>
          <t>📅 Schedule patch deployment within 30 days | 🔍 Monitor for exploitation attempts</t>
        </is>
      </c>
      <c r="S8" s="188" t="inlineStr">
        <is>
          <t>CVE - IP enrichment n/a</t>
        </is>
      </c>
      <c r="T8" s="188" t="n">
        <v>0.0005999999999999999</v>
      </c>
      <c r="U8" s="188" t="n">
        <v>0.1951</v>
      </c>
      <c r="V8" s="188" t="inlineStr">
        <is>
          <t>T1189:Drive-by Compromise</t>
        </is>
      </c>
      <c r="W8" s="188" t="n">
        <v>1</v>
      </c>
      <c r="X8" s="188" t="inlineStr">
        <is>
          <t>LOW (40%)</t>
        </is>
      </c>
      <c r="Y8" s="188" t="inlineStr">
        <is>
          <t>UNLIKELY</t>
        </is>
      </c>
      <c r="Z8" s="188" t="inlineStr">
        <is>
          <t>CHECK_VENDOR</t>
        </is>
      </c>
      <c r="AA8" s="188" t="inlineStr">
        <is>
          <t>https://nvd.nist.gov/vuln/detail/CVE-2019-25445</t>
        </is>
      </c>
      <c r="AB8" s="188" t="inlineStr">
        <is>
          <t>NONE</t>
        </is>
      </c>
      <c r="AC8" s="188" t="n">
        <v>0</v>
      </c>
      <c r="AD8" s="188" t="inlineStr"/>
    </row>
    <row r="9">
      <c r="A9" s="189" t="inlineStr">
        <is>
          <t>CVE</t>
        </is>
      </c>
      <c r="B9" s="189" t="inlineStr">
        <is>
          <t>CVE-2021-35402</t>
        </is>
      </c>
      <c r="C9" s="189" t="inlineStr">
        <is>
          <t>PROLiNK PRC2402M 20190909 before 2021-06-13 allows live_api.cgi?page=satellite_list OS command injection via shell metacharacters in the ip parameter (for satellite_status).</t>
        </is>
      </c>
      <c r="D9" s="189" t="n">
        <v>10</v>
      </c>
      <c r="E9" s="189" t="inlineStr">
        <is>
          <t>CRITICAL</t>
        </is>
      </c>
      <c r="F9" s="189" t="n">
        <v>2</v>
      </c>
      <c r="G9" s="189" t="n">
        <v>3</v>
      </c>
      <c r="H9" s="189" t="inlineStr">
        <is>
          <t>HIGH</t>
        </is>
      </c>
      <c r="I9" s="189" t="n">
        <v>16</v>
      </c>
      <c r="J9" s="189" t="inlineStr">
        <is>
          <t>NO</t>
        </is>
      </c>
      <c r="K9" s="189" t="inlineStr">
        <is>
          <t>https://nvd.nist.gov/vuln/detail/CVE-2021-35402</t>
        </is>
      </c>
      <c r="L9" s="189" t="inlineStr">
        <is>
          <t>2026-02-27 20:47</t>
        </is>
      </c>
      <c r="M9" s="189" t="inlineStr">
        <is>
          <t>CHECK_VENDOR</t>
        </is>
      </c>
      <c r="N9" s="189" t="inlineStr">
        <is>
          <t>See NVD references</t>
        </is>
      </c>
      <c r="O9" s="189" t="inlineStr">
        <is>
          <t>Apply vendor patches</t>
        </is>
      </c>
      <c r="P9" s="189" t="inlineStr">
        <is>
          <t>See CVE details</t>
        </is>
      </c>
      <c r="Q9" s="189" t="inlineStr">
        <is>
          <t>P3</t>
        </is>
      </c>
      <c r="R9" s="189" t="inlineStr">
        <is>
          <t>🚨 URGENT: Apply vendor patches immediately | 🔒 Isolate affected systems if patch unavailable | 🛡️ Enable additional monitoring/IDS rules</t>
        </is>
      </c>
      <c r="S9" s="189" t="inlineStr">
        <is>
          <t>CVE - IP enrichment n/a</t>
        </is>
      </c>
      <c r="T9" s="189" t="n">
        <v>0.0039</v>
      </c>
      <c r="U9" s="189" t="n">
        <v>0.5933</v>
      </c>
      <c r="V9" s="189" t="inlineStr">
        <is>
          <t>T1059:Command and Scripting Interpreter</t>
        </is>
      </c>
      <c r="W9" s="189" t="n">
        <v>1</v>
      </c>
      <c r="X9" s="189" t="inlineStr">
        <is>
          <t>LOW (40%)</t>
        </is>
      </c>
      <c r="Y9" s="189" t="inlineStr">
        <is>
          <t>UNLIKELY</t>
        </is>
      </c>
      <c r="Z9" s="189" t="inlineStr">
        <is>
          <t>CHECK_VENDOR</t>
        </is>
      </c>
      <c r="AA9" s="189" t="inlineStr">
        <is>
          <t>https://nvd.nist.gov/vuln/detail/CVE-2021-35402</t>
        </is>
      </c>
      <c r="AB9" s="189" t="inlineStr">
        <is>
          <t>NONE</t>
        </is>
      </c>
      <c r="AC9" s="189" t="n">
        <v>0</v>
      </c>
      <c r="AD9" s="189" t="inlineStr"/>
    </row>
    <row r="10">
      <c r="A10" s="188" t="inlineStr">
        <is>
          <t>CVE</t>
        </is>
      </c>
      <c r="B10" s="188" t="inlineStr">
        <is>
          <t>CVE-2026-2852</t>
        </is>
      </c>
      <c r="C10" s="188"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 s="188" t="n">
        <v>6.3</v>
      </c>
      <c r="E10" s="188" t="inlineStr">
        <is>
          <t>MEDIUM</t>
        </is>
      </c>
      <c r="F10" s="188" t="n">
        <v>2</v>
      </c>
      <c r="G10" s="188" t="n">
        <v>2</v>
      </c>
      <c r="H10" s="188" t="inlineStr">
        <is>
          <t>MEDIUM</t>
        </is>
      </c>
      <c r="I10" s="188" t="n">
        <v>10.3</v>
      </c>
      <c r="J10" s="188" t="inlineStr">
        <is>
          <t>NO</t>
        </is>
      </c>
      <c r="K10" s="188" t="inlineStr">
        <is>
          <t>https://nvd.nist.gov/vuln/detail/CVE-2026-2852</t>
        </is>
      </c>
      <c r="L10" s="188" t="inlineStr">
        <is>
          <t>2026-02-27 20:47</t>
        </is>
      </c>
      <c r="M10" s="188" t="inlineStr">
        <is>
          <t>CHECK_VENDOR</t>
        </is>
      </c>
      <c r="N10" s="188" t="inlineStr">
        <is>
          <t>See NVD references</t>
        </is>
      </c>
      <c r="O10" s="188" t="inlineStr">
        <is>
          <t>Apply vendor patches</t>
        </is>
      </c>
      <c r="P10" s="188" t="inlineStr">
        <is>
          <t>yeqifu warehouse *</t>
        </is>
      </c>
      <c r="Q10" s="188" t="inlineStr">
        <is>
          <t>P4</t>
        </is>
      </c>
      <c r="R10" s="188" t="inlineStr">
        <is>
          <t>📅 Schedule patch deployment within 30 days | 🔍 Monitor for exploitation attempts</t>
        </is>
      </c>
      <c r="S10" s="188" t="inlineStr">
        <is>
          <t>CVE - IP enrichment n/a</t>
        </is>
      </c>
      <c r="T10" s="188" t="n">
        <v>0.0004</v>
      </c>
      <c r="U10" s="188" t="n">
        <v>0.1345</v>
      </c>
      <c r="V10" s="188" t="inlineStr">
        <is>
          <t>T1190:Exploit Public-Facing Application</t>
        </is>
      </c>
      <c r="W10" s="188" t="n">
        <v>1</v>
      </c>
      <c r="X10" s="188" t="inlineStr">
        <is>
          <t>LOW (40%)</t>
        </is>
      </c>
      <c r="Y10" s="188" t="inlineStr">
        <is>
          <t>UNLIKELY</t>
        </is>
      </c>
      <c r="Z10" s="188" t="inlineStr">
        <is>
          <t>CHECK_VENDOR</t>
        </is>
      </c>
      <c r="AA10" s="188" t="inlineStr">
        <is>
          <t>https://nvd.nist.gov/vuln/detail/CVE-2026-2852</t>
        </is>
      </c>
      <c r="AB10" s="188" t="inlineStr">
        <is>
          <t>NONE</t>
        </is>
      </c>
      <c r="AC10" s="188" t="n">
        <v>0</v>
      </c>
      <c r="AD10" s="188" t="inlineStr"/>
    </row>
    <row r="11">
      <c r="A11" s="188" t="inlineStr">
        <is>
          <t>CVE</t>
        </is>
      </c>
      <c r="B11" s="188" t="inlineStr">
        <is>
          <t>CVE-2025-62326</t>
        </is>
      </c>
      <c r="C11" s="188" t="inlineStr">
        <is>
          <t>HCL Digital Experience is susceptible to stored cross-site scripting (XSS) in the administrative user interface which would require elevated privileges to exploit.</t>
        </is>
      </c>
      <c r="D11" s="188" t="n">
        <v>6.1</v>
      </c>
      <c r="E11" s="188" t="inlineStr">
        <is>
          <t>MEDIUM</t>
        </is>
      </c>
      <c r="F11" s="188" t="n">
        <v>2</v>
      </c>
      <c r="G11" s="188" t="n">
        <v>2</v>
      </c>
      <c r="H11" s="188" t="inlineStr">
        <is>
          <t>MEDIUM</t>
        </is>
      </c>
      <c r="I11" s="188" t="n">
        <v>10.1</v>
      </c>
      <c r="J11" s="188" t="inlineStr">
        <is>
          <t>NO</t>
        </is>
      </c>
      <c r="K11" s="188" t="inlineStr">
        <is>
          <t>https://nvd.nist.gov/vuln/detail/CVE-2025-62326</t>
        </is>
      </c>
      <c r="L11" s="188" t="inlineStr">
        <is>
          <t>2026-02-27 20:47</t>
        </is>
      </c>
      <c r="M11" s="188" t="inlineStr">
        <is>
          <t>YES</t>
        </is>
      </c>
      <c r="N11" s="188" t="inlineStr">
        <is>
          <t>https://support.hcl-software.com/csm?id=kb_article&amp;sysparm_article=KB0128824</t>
        </is>
      </c>
      <c r="O11" s="188" t="inlineStr">
        <is>
          <t>Apply vendor patches</t>
        </is>
      </c>
      <c r="P11" s="188" t="inlineStr">
        <is>
          <t>hcltech digital_experience 9.5</t>
        </is>
      </c>
      <c r="Q11" s="188" t="inlineStr">
        <is>
          <t>P4</t>
        </is>
      </c>
      <c r="R11" s="188" t="inlineStr">
        <is>
          <t>📅 Schedule patch deployment within 30 days | 🔍 Monitor for exploitation attempts</t>
        </is>
      </c>
      <c r="S11" s="188" t="inlineStr">
        <is>
          <t>CVE - IP enrichment n/a</t>
        </is>
      </c>
      <c r="T11" s="188" t="n">
        <v>0.0003</v>
      </c>
      <c r="U11" s="188" t="n">
        <v>0.0896</v>
      </c>
      <c r="V11" s="188" t="inlineStr">
        <is>
          <t>T1189:Drive-by Compromise</t>
        </is>
      </c>
      <c r="W11" s="188" t="n">
        <v>1</v>
      </c>
      <c r="X11" s="188" t="inlineStr">
        <is>
          <t>LOW (40%)</t>
        </is>
      </c>
      <c r="Y11" s="188" t="inlineStr">
        <is>
          <t>UNLIKELY</t>
        </is>
      </c>
      <c r="Z11" s="188" t="inlineStr">
        <is>
          <t>PATCH_AVAILABLE</t>
        </is>
      </c>
      <c r="AA11" s="188" t="inlineStr">
        <is>
          <t>https://nvd.nist.gov/vuln/detail/CVE-2025-62326</t>
        </is>
      </c>
      <c r="AB11" s="188" t="inlineStr">
        <is>
          <t>NONE</t>
        </is>
      </c>
      <c r="AC11" s="188" t="n">
        <v>0</v>
      </c>
      <c r="AD11" s="188" t="inlineStr"/>
    </row>
    <row r="12">
      <c r="A12" s="187" t="inlineStr">
        <is>
          <t>CVE</t>
        </is>
      </c>
      <c r="B12" s="187" t="inlineStr">
        <is>
          <t>CVE-2026-2472</t>
        </is>
      </c>
      <c r="C12" s="187"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2" s="187" t="n">
        <v>8.5</v>
      </c>
      <c r="E12" s="187" t="inlineStr">
        <is>
          <t>HIGH</t>
        </is>
      </c>
      <c r="F12" s="187" t="n">
        <v>2</v>
      </c>
      <c r="G12" s="187" t="n">
        <v>3</v>
      </c>
      <c r="H12" s="187" t="inlineStr">
        <is>
          <t>HIGH</t>
        </is>
      </c>
      <c r="I12" s="187" t="n">
        <v>14.5</v>
      </c>
      <c r="J12" s="187" t="inlineStr">
        <is>
          <t>NO</t>
        </is>
      </c>
      <c r="K12" s="187" t="inlineStr">
        <is>
          <t>https://nvd.nist.gov/vuln/detail/CVE-2026-2472</t>
        </is>
      </c>
      <c r="L12" s="187" t="inlineStr">
        <is>
          <t>2026-02-27 20:47</t>
        </is>
      </c>
      <c r="M12" s="187" t="inlineStr">
        <is>
          <t>CHECK_VENDOR</t>
        </is>
      </c>
      <c r="N12" s="187" t="inlineStr">
        <is>
          <t>See NVD references</t>
        </is>
      </c>
      <c r="O12" s="187" t="inlineStr">
        <is>
          <t>Apply vendor patches</t>
        </is>
      </c>
      <c r="P12" s="187" t="inlineStr">
        <is>
          <t>See CVE details</t>
        </is>
      </c>
      <c r="Q12" s="187" t="inlineStr">
        <is>
          <t>P3</t>
        </is>
      </c>
      <c r="R12" s="187" t="inlineStr">
        <is>
          <t>🚨 URGENT: Apply vendor patches immediately | 🔒 Isolate affected systems if patch unavailable | 🛡️ Enable additional monitoring/IDS rules</t>
        </is>
      </c>
      <c r="S12" s="187" t="inlineStr">
        <is>
          <t>CVE - IP enrichment n/a</t>
        </is>
      </c>
      <c r="T12" s="187" t="n">
        <v>0.0019</v>
      </c>
      <c r="U12" s="187" t="n">
        <v>0.4073</v>
      </c>
      <c r="V12" s="187" t="inlineStr">
        <is>
          <t>T1189:Drive-by Compromise</t>
        </is>
      </c>
      <c r="W12" s="187" t="n">
        <v>1</v>
      </c>
      <c r="X12" s="187" t="inlineStr">
        <is>
          <t>LOW (40%)</t>
        </is>
      </c>
      <c r="Y12" s="187" t="inlineStr">
        <is>
          <t>UNLIKELY</t>
        </is>
      </c>
      <c r="Z12" s="187" t="inlineStr">
        <is>
          <t>CHECK_VENDOR</t>
        </is>
      </c>
      <c r="AA12" s="187" t="inlineStr">
        <is>
          <t>https://nvd.nist.gov/vuln/detail/CVE-2026-2472</t>
        </is>
      </c>
      <c r="AB12" s="187" t="inlineStr">
        <is>
          <t>NONE</t>
        </is>
      </c>
      <c r="AC12" s="187" t="n">
        <v>0</v>
      </c>
      <c r="AD12" s="187" t="inlineStr"/>
    </row>
    <row r="13">
      <c r="A13" s="187" t="inlineStr">
        <is>
          <t>CVE</t>
        </is>
      </c>
      <c r="B13" s="187" t="inlineStr">
        <is>
          <t>CVE-2026-2473</t>
        </is>
      </c>
      <c r="C13" s="187"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3" s="187" t="n">
        <v>8.5</v>
      </c>
      <c r="E13" s="187" t="inlineStr">
        <is>
          <t>HIGH</t>
        </is>
      </c>
      <c r="F13" s="187" t="n">
        <v>2</v>
      </c>
      <c r="G13" s="187" t="n">
        <v>3</v>
      </c>
      <c r="H13" s="187" t="inlineStr">
        <is>
          <t>HIGH</t>
        </is>
      </c>
      <c r="I13" s="187" t="n">
        <v>14.5</v>
      </c>
      <c r="J13" s="187" t="inlineStr">
        <is>
          <t>NO</t>
        </is>
      </c>
      <c r="K13" s="187" t="inlineStr">
        <is>
          <t>https://nvd.nist.gov/vuln/detail/CVE-2026-2473</t>
        </is>
      </c>
      <c r="L13" s="187" t="inlineStr">
        <is>
          <t>2026-02-27 20:47</t>
        </is>
      </c>
      <c r="M13" s="187" t="inlineStr">
        <is>
          <t>CHECK_VENDOR</t>
        </is>
      </c>
      <c r="N13" s="187" t="inlineStr">
        <is>
          <t>See NVD references</t>
        </is>
      </c>
      <c r="O13" s="187" t="inlineStr">
        <is>
          <t>Apply vendor patches</t>
        </is>
      </c>
      <c r="P13" s="187" t="inlineStr">
        <is>
          <t>See CVE details</t>
        </is>
      </c>
      <c r="Q13" s="187" t="inlineStr">
        <is>
          <t>P3</t>
        </is>
      </c>
      <c r="R13" s="187" t="inlineStr">
        <is>
          <t>🚨 URGENT: Apply vendor patches immediately | 🔒 Isolate affected systems if patch unavailable | 🛡️ Enable additional monitoring/IDS rules</t>
        </is>
      </c>
      <c r="S13" s="187" t="inlineStr">
        <is>
          <t>CVE - IP enrichment n/a</t>
        </is>
      </c>
      <c r="T13" s="187" t="n">
        <v>0.0027</v>
      </c>
      <c r="U13" s="187" t="n">
        <v>0.5053</v>
      </c>
      <c r="V13" s="187" t="inlineStr">
        <is>
          <t>T1190:Exploit Public-Facing Application | T1210:Exploitation of Remote Services</t>
        </is>
      </c>
      <c r="W13" s="187" t="n">
        <v>1</v>
      </c>
      <c r="X13" s="187" t="inlineStr">
        <is>
          <t>LOW (40%)</t>
        </is>
      </c>
      <c r="Y13" s="187" t="inlineStr">
        <is>
          <t>UNLIKELY</t>
        </is>
      </c>
      <c r="Z13" s="187" t="inlineStr">
        <is>
          <t>CHECK_VENDOR</t>
        </is>
      </c>
      <c r="AA13" s="187" t="inlineStr">
        <is>
          <t>https://nvd.nist.gov/vuln/detail/CVE-2026-2473</t>
        </is>
      </c>
      <c r="AB13" s="187" t="inlineStr">
        <is>
          <t>NONE</t>
        </is>
      </c>
      <c r="AC13" s="187" t="n">
        <v>0</v>
      </c>
      <c r="AD13" s="187" t="inlineStr"/>
    </row>
    <row r="14">
      <c r="A14" s="187" t="inlineStr">
        <is>
          <t>CVE</t>
        </is>
      </c>
      <c r="B14" s="187" t="inlineStr">
        <is>
          <t>CVE-2026-2853</t>
        </is>
      </c>
      <c r="C14" s="187"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4" s="187" t="n">
        <v>8.800000000000001</v>
      </c>
      <c r="E14" s="187" t="inlineStr">
        <is>
          <t>HIGH</t>
        </is>
      </c>
      <c r="F14" s="187" t="n">
        <v>2</v>
      </c>
      <c r="G14" s="187" t="n">
        <v>3</v>
      </c>
      <c r="H14" s="187" t="inlineStr">
        <is>
          <t>HIGH</t>
        </is>
      </c>
      <c r="I14" s="187" t="n">
        <v>14.8</v>
      </c>
      <c r="J14" s="187" t="inlineStr">
        <is>
          <t>NO</t>
        </is>
      </c>
      <c r="K14" s="187" t="inlineStr">
        <is>
          <t>https://nvd.nist.gov/vuln/detail/CVE-2026-2853</t>
        </is>
      </c>
      <c r="L14" s="187" t="inlineStr">
        <is>
          <t>2026-02-27 20:47</t>
        </is>
      </c>
      <c r="M14" s="187" t="inlineStr">
        <is>
          <t>CHECK_VENDOR</t>
        </is>
      </c>
      <c r="N14" s="187" t="inlineStr">
        <is>
          <t>See NVD references</t>
        </is>
      </c>
      <c r="O14" s="187" t="inlineStr">
        <is>
          <t>Apply vendor patches</t>
        </is>
      </c>
      <c r="P14" s="187" t="inlineStr">
        <is>
          <t>dlink dwr-m960_firmware 1.01.07 | dlink dwr-m960 b1</t>
        </is>
      </c>
      <c r="Q14" s="187" t="inlineStr">
        <is>
          <t>P3</t>
        </is>
      </c>
      <c r="R14" s="187" t="inlineStr">
        <is>
          <t>🚨 URGENT: Apply vendor patches immediately | 🔒 Isolate affected systems if patch unavailable | 🛡️ Enable additional monitoring/IDS rules</t>
        </is>
      </c>
      <c r="S14" s="187" t="inlineStr">
        <is>
          <t>CVE - IP enrichment n/a</t>
        </is>
      </c>
      <c r="T14" s="187" t="n">
        <v>0.0003</v>
      </c>
      <c r="U14" s="187" t="n">
        <v>0.09379999999999999</v>
      </c>
      <c r="V14" s="187" t="inlineStr">
        <is>
          <t>T1203:Exploitation for Client Execution</t>
        </is>
      </c>
      <c r="W14" s="187" t="n">
        <v>1</v>
      </c>
      <c r="X14" s="187" t="inlineStr">
        <is>
          <t>LOW (40%)</t>
        </is>
      </c>
      <c r="Y14" s="187" t="inlineStr">
        <is>
          <t>UNLIKELY</t>
        </is>
      </c>
      <c r="Z14" s="187" t="inlineStr">
        <is>
          <t>CHECK_VENDOR</t>
        </is>
      </c>
      <c r="AA14" s="187" t="inlineStr">
        <is>
          <t>https://nvd.nist.gov/vuln/detail/CVE-2026-2853</t>
        </is>
      </c>
      <c r="AB14" s="187" t="inlineStr">
        <is>
          <t>NONE</t>
        </is>
      </c>
      <c r="AC14" s="187" t="n">
        <v>0</v>
      </c>
      <c r="AD14" s="187" t="inlineStr"/>
    </row>
    <row r="15">
      <c r="A15" s="187" t="inlineStr">
        <is>
          <t>CVE</t>
        </is>
      </c>
      <c r="B15" s="187" t="inlineStr">
        <is>
          <t>CVE-2026-2854</t>
        </is>
      </c>
      <c r="C15" s="187"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5" s="187" t="n">
        <v>8.800000000000001</v>
      </c>
      <c r="E15" s="187" t="inlineStr">
        <is>
          <t>HIGH</t>
        </is>
      </c>
      <c r="F15" s="187" t="n">
        <v>2</v>
      </c>
      <c r="G15" s="187" t="n">
        <v>3</v>
      </c>
      <c r="H15" s="187" t="inlineStr">
        <is>
          <t>HIGH</t>
        </is>
      </c>
      <c r="I15" s="187" t="n">
        <v>14.8</v>
      </c>
      <c r="J15" s="187" t="inlineStr">
        <is>
          <t>NO</t>
        </is>
      </c>
      <c r="K15" s="187" t="inlineStr">
        <is>
          <t>https://nvd.nist.gov/vuln/detail/CVE-2026-2854</t>
        </is>
      </c>
      <c r="L15" s="187" t="inlineStr">
        <is>
          <t>2026-02-27 20:47</t>
        </is>
      </c>
      <c r="M15" s="187" t="inlineStr">
        <is>
          <t>CHECK_VENDOR</t>
        </is>
      </c>
      <c r="N15" s="187" t="inlineStr">
        <is>
          <t>See NVD references</t>
        </is>
      </c>
      <c r="O15" s="187" t="inlineStr">
        <is>
          <t>Apply vendor patches</t>
        </is>
      </c>
      <c r="P15" s="187" t="inlineStr">
        <is>
          <t>dlink dwr-m960_firmware 1.01.07 | dlink dwr-m960 b1</t>
        </is>
      </c>
      <c r="Q15" s="187" t="inlineStr">
        <is>
          <t>P3</t>
        </is>
      </c>
      <c r="R15" s="187" t="inlineStr">
        <is>
          <t>🚨 URGENT: Apply vendor patches immediately | 🔒 Isolate affected systems if patch unavailable | 🛡️ Enable additional monitoring/IDS rules</t>
        </is>
      </c>
      <c r="S15" s="187" t="inlineStr">
        <is>
          <t>CVE - IP enrichment n/a</t>
        </is>
      </c>
      <c r="T15" s="187" t="n">
        <v>0.0003</v>
      </c>
      <c r="U15" s="187" t="n">
        <v>0.09379999999999999</v>
      </c>
      <c r="V15" s="187" t="inlineStr">
        <is>
          <t>T1203:Exploitation for Client Execution</t>
        </is>
      </c>
      <c r="W15" s="187" t="n">
        <v>1</v>
      </c>
      <c r="X15" s="187" t="inlineStr">
        <is>
          <t>LOW (40%)</t>
        </is>
      </c>
      <c r="Y15" s="187" t="inlineStr">
        <is>
          <t>UNLIKELY</t>
        </is>
      </c>
      <c r="Z15" s="187" t="inlineStr">
        <is>
          <t>CHECK_VENDOR</t>
        </is>
      </c>
      <c r="AA15" s="187" t="inlineStr">
        <is>
          <t>https://nvd.nist.gov/vuln/detail/CVE-2026-2854</t>
        </is>
      </c>
      <c r="AB15" s="187" t="inlineStr">
        <is>
          <t>NONE</t>
        </is>
      </c>
      <c r="AC15" s="187" t="n">
        <v>0</v>
      </c>
      <c r="AD15" s="187" t="inlineStr"/>
    </row>
    <row r="16">
      <c r="A16" s="187" t="inlineStr">
        <is>
          <t>CVE</t>
        </is>
      </c>
      <c r="B16" s="187" t="inlineStr">
        <is>
          <t>CVE-2026-2855</t>
        </is>
      </c>
      <c r="C16" s="187"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6" s="187" t="n">
        <v>8.800000000000001</v>
      </c>
      <c r="E16" s="187" t="inlineStr">
        <is>
          <t>HIGH</t>
        </is>
      </c>
      <c r="F16" s="187" t="n">
        <v>2</v>
      </c>
      <c r="G16" s="187" t="n">
        <v>3</v>
      </c>
      <c r="H16" s="187" t="inlineStr">
        <is>
          <t>HIGH</t>
        </is>
      </c>
      <c r="I16" s="187" t="n">
        <v>14.8</v>
      </c>
      <c r="J16" s="187" t="inlineStr">
        <is>
          <t>NO</t>
        </is>
      </c>
      <c r="K16" s="187" t="inlineStr">
        <is>
          <t>https://nvd.nist.gov/vuln/detail/CVE-2026-2855</t>
        </is>
      </c>
      <c r="L16" s="187" t="inlineStr">
        <is>
          <t>2026-02-27 20:47</t>
        </is>
      </c>
      <c r="M16" s="187" t="inlineStr">
        <is>
          <t>CHECK_VENDOR</t>
        </is>
      </c>
      <c r="N16" s="187" t="inlineStr">
        <is>
          <t>See NVD references</t>
        </is>
      </c>
      <c r="O16" s="187" t="inlineStr">
        <is>
          <t>Apply vendor patches</t>
        </is>
      </c>
      <c r="P16" s="187" t="inlineStr">
        <is>
          <t>dlink dwr-m960_firmware 1.01.07 | dlink dwr-m960 b1</t>
        </is>
      </c>
      <c r="Q16" s="187" t="inlineStr">
        <is>
          <t>P3</t>
        </is>
      </c>
      <c r="R16" s="187" t="inlineStr">
        <is>
          <t>🚨 URGENT: Apply vendor patches immediately | 🔒 Isolate affected systems if patch unavailable | 🛡️ Enable additional monitoring/IDS rules</t>
        </is>
      </c>
      <c r="S16" s="187" t="inlineStr">
        <is>
          <t>CVE - IP enrichment n/a</t>
        </is>
      </c>
      <c r="T16" s="187" t="n">
        <v>0.0003</v>
      </c>
      <c r="U16" s="187" t="n">
        <v>0.09379999999999999</v>
      </c>
      <c r="V16" s="187" t="inlineStr">
        <is>
          <t>T1203:Exploitation for Client Execution</t>
        </is>
      </c>
      <c r="W16" s="187" t="n">
        <v>1</v>
      </c>
      <c r="X16" s="187" t="inlineStr">
        <is>
          <t>LOW (40%)</t>
        </is>
      </c>
      <c r="Y16" s="187" t="inlineStr">
        <is>
          <t>UNLIKELY</t>
        </is>
      </c>
      <c r="Z16" s="187" t="inlineStr">
        <is>
          <t>CHECK_VENDOR</t>
        </is>
      </c>
      <c r="AA16" s="187" t="inlineStr">
        <is>
          <t>https://nvd.nist.gov/vuln/detail/CVE-2026-2855</t>
        </is>
      </c>
      <c r="AB16" s="187" t="inlineStr">
        <is>
          <t>NONE</t>
        </is>
      </c>
      <c r="AC16" s="187" t="n">
        <v>0</v>
      </c>
      <c r="AD16" s="187" t="inlineStr"/>
    </row>
    <row r="17">
      <c r="A17" s="187" t="inlineStr">
        <is>
          <t>CVE</t>
        </is>
      </c>
      <c r="B17" s="187" t="inlineStr">
        <is>
          <t>CVE-2026-24892</t>
        </is>
      </c>
      <c r="C17" s="187"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7" s="187" t="n">
        <v>7.5</v>
      </c>
      <c r="E17" s="187" t="inlineStr">
        <is>
          <t>HIGH</t>
        </is>
      </c>
      <c r="F17" s="187" t="n">
        <v>2</v>
      </c>
      <c r="G17" s="187" t="n">
        <v>3</v>
      </c>
      <c r="H17" s="187" t="inlineStr">
        <is>
          <t>HIGH</t>
        </is>
      </c>
      <c r="I17" s="187" t="n">
        <v>13.5</v>
      </c>
      <c r="J17" s="187" t="inlineStr">
        <is>
          <t>NO</t>
        </is>
      </c>
      <c r="K17" s="187" t="inlineStr">
        <is>
          <t>https://nvd.nist.gov/vuln/detail/CVE-2026-24892</t>
        </is>
      </c>
      <c r="L17" s="187" t="inlineStr">
        <is>
          <t>2026-02-27 20:47</t>
        </is>
      </c>
      <c r="M17" s="187" t="inlineStr">
        <is>
          <t>CHECK_VENDOR</t>
        </is>
      </c>
      <c r="N17" s="187" t="inlineStr">
        <is>
          <t>See NVD references</t>
        </is>
      </c>
      <c r="O17" s="187" t="inlineStr">
        <is>
          <t>Apply vendor patches</t>
        </is>
      </c>
      <c r="P17" s="187" t="inlineStr">
        <is>
          <t>See CVE details</t>
        </is>
      </c>
      <c r="Q17" s="187" t="inlineStr">
        <is>
          <t>P3</t>
        </is>
      </c>
      <c r="R17" s="187" t="inlineStr">
        <is>
          <t>🚨 URGENT: Apply vendor patches immediately | 🔒 Isolate affected systems if patch unavailable | 🛡️ Enable additional monitoring/IDS rules</t>
        </is>
      </c>
      <c r="S17" s="187" t="inlineStr">
        <is>
          <t>CVE - IP enrichment n/a</t>
        </is>
      </c>
      <c r="T17" s="187" t="n">
        <v>0.0035</v>
      </c>
      <c r="U17" s="187" t="n">
        <v>0.5718</v>
      </c>
      <c r="V17" s="187" t="inlineStr">
        <is>
          <t>T1059:Command and Scripting Interpreter | T1190:Exploit Public-Facing Application | T1210:Exploitation of Remote Services</t>
        </is>
      </c>
      <c r="W17" s="187" t="n">
        <v>1</v>
      </c>
      <c r="X17" s="187" t="inlineStr">
        <is>
          <t>LOW (40%)</t>
        </is>
      </c>
      <c r="Y17" s="187" t="inlineStr">
        <is>
          <t>UNLIKELY</t>
        </is>
      </c>
      <c r="Z17" s="187" t="inlineStr">
        <is>
          <t>CHECK_VENDOR</t>
        </is>
      </c>
      <c r="AA17" s="187" t="inlineStr">
        <is>
          <t>https://nvd.nist.gov/vuln/detail/CVE-2026-24892</t>
        </is>
      </c>
      <c r="AB17" s="187" t="inlineStr">
        <is>
          <t>NONE</t>
        </is>
      </c>
      <c r="AC17" s="187" t="n">
        <v>0</v>
      </c>
      <c r="AD17" s="187" t="inlineStr"/>
    </row>
    <row r="18">
      <c r="A18" s="189" t="inlineStr">
        <is>
          <t>CVE</t>
        </is>
      </c>
      <c r="B18" s="189" t="inlineStr">
        <is>
          <t>CVE-2026-25896</t>
        </is>
      </c>
      <c r="C18" s="189"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8" s="189" t="n">
        <v>9.300000000000001</v>
      </c>
      <c r="E18" s="189" t="inlineStr">
        <is>
          <t>CRITICAL</t>
        </is>
      </c>
      <c r="F18" s="189" t="n">
        <v>2</v>
      </c>
      <c r="G18" s="189" t="n">
        <v>3</v>
      </c>
      <c r="H18" s="189" t="inlineStr">
        <is>
          <t>HIGH</t>
        </is>
      </c>
      <c r="I18" s="189" t="n">
        <v>15.3</v>
      </c>
      <c r="J18" s="189" t="inlineStr">
        <is>
          <t>NO</t>
        </is>
      </c>
      <c r="K18" s="189" t="inlineStr">
        <is>
          <t>https://nvd.nist.gov/vuln/detail/CVE-2026-25896</t>
        </is>
      </c>
      <c r="L18" s="189" t="inlineStr">
        <is>
          <t>2026-02-27 20:47</t>
        </is>
      </c>
      <c r="M18" s="189" t="inlineStr">
        <is>
          <t>CHECK_VENDOR</t>
        </is>
      </c>
      <c r="N18" s="189" t="inlineStr">
        <is>
          <t>See NVD references</t>
        </is>
      </c>
      <c r="O18" s="189" t="inlineStr">
        <is>
          <t>Apply vendor patches</t>
        </is>
      </c>
      <c r="P18" s="189" t="inlineStr">
        <is>
          <t>See CVE details</t>
        </is>
      </c>
      <c r="Q18" s="189" t="inlineStr">
        <is>
          <t>P3</t>
        </is>
      </c>
      <c r="R18" s="189" t="inlineStr">
        <is>
          <t>🚨 URGENT: Apply vendor patches immediately | 🔒 Isolate affected systems if patch unavailable | 🛡️ Enable additional monitoring/IDS rules</t>
        </is>
      </c>
      <c r="S18" s="189" t="inlineStr">
        <is>
          <t>CVE - IP enrichment n/a</t>
        </is>
      </c>
      <c r="T18" s="189" t="n">
        <v>0.0004</v>
      </c>
      <c r="U18" s="189" t="n">
        <v>0.1125</v>
      </c>
      <c r="V18" s="189" t="inlineStr">
        <is>
          <t>T1189:Drive-by Compromise</t>
        </is>
      </c>
      <c r="W18" s="189" t="n">
        <v>1</v>
      </c>
      <c r="X18" s="189" t="inlineStr">
        <is>
          <t>LOW (40%)</t>
        </is>
      </c>
      <c r="Y18" s="189" t="inlineStr">
        <is>
          <t>UNLIKELY</t>
        </is>
      </c>
      <c r="Z18" s="189" t="inlineStr">
        <is>
          <t>CHECK_VENDOR</t>
        </is>
      </c>
      <c r="AA18" s="189" t="inlineStr">
        <is>
          <t>https://nvd.nist.gov/vuln/detail/CVE-2026-25896</t>
        </is>
      </c>
      <c r="AB18" s="189" t="inlineStr">
        <is>
          <t>NONE</t>
        </is>
      </c>
      <c r="AC18" s="189" t="n">
        <v>0</v>
      </c>
      <c r="AD18" s="189" t="inlineStr"/>
    </row>
    <row r="19">
      <c r="A19" s="188" t="inlineStr">
        <is>
          <t>CVE</t>
        </is>
      </c>
      <c r="B19" s="188" t="inlineStr">
        <is>
          <t>CVE-2026-27020</t>
        </is>
      </c>
      <c r="C19" s="188" t="inlineStr">
        <is>
          <t>Photobooth prior to 1.0.1 has a cross-site scripting (XSS) vulnerability in user input fields. Malicious users could inject scripts through unvalidated form inputs. This vulnerability is fixed in 1.0.1.</t>
        </is>
      </c>
      <c r="D19" s="188" t="n">
        <v>5</v>
      </c>
      <c r="E19" s="188" t="inlineStr">
        <is>
          <t>MEDIUM</t>
        </is>
      </c>
      <c r="F19" s="188" t="n">
        <v>2</v>
      </c>
      <c r="G19" s="188" t="n">
        <v>2</v>
      </c>
      <c r="H19" s="188" t="inlineStr">
        <is>
          <t>MEDIUM</t>
        </is>
      </c>
      <c r="I19" s="188" t="n">
        <v>9</v>
      </c>
      <c r="J19" s="188" t="inlineStr">
        <is>
          <t>NO</t>
        </is>
      </c>
      <c r="K19" s="188" t="inlineStr">
        <is>
          <t>https://nvd.nist.gov/vuln/detail/CVE-2026-27020</t>
        </is>
      </c>
      <c r="L19" s="188" t="inlineStr">
        <is>
          <t>2026-02-27 20:47</t>
        </is>
      </c>
      <c r="M19" s="188" t="inlineStr">
        <is>
          <t>CHECK_VENDOR</t>
        </is>
      </c>
      <c r="N19" s="188" t="inlineStr">
        <is>
          <t>See NVD references</t>
        </is>
      </c>
      <c r="O19" s="188" t="inlineStr">
        <is>
          <t>Apply vendor patches</t>
        </is>
      </c>
      <c r="P19" s="188" t="inlineStr">
        <is>
          <t>See CVE details</t>
        </is>
      </c>
      <c r="Q19" s="188" t="inlineStr">
        <is>
          <t>P4</t>
        </is>
      </c>
      <c r="R19" s="188" t="inlineStr">
        <is>
          <t>📅 Schedule patch deployment within 30 days | 🔍 Monitor for exploitation attempts</t>
        </is>
      </c>
      <c r="S19" s="188" t="inlineStr">
        <is>
          <t>CVE - IP enrichment n/a</t>
        </is>
      </c>
      <c r="T19" s="188" t="n">
        <v>0.0005999999999999999</v>
      </c>
      <c r="U19" s="188" t="n">
        <v>0.1926</v>
      </c>
      <c r="V19" s="188" t="inlineStr">
        <is>
          <t>T1189:Drive-by Compromise</t>
        </is>
      </c>
      <c r="W19" s="188" t="n">
        <v>1</v>
      </c>
      <c r="X19" s="188" t="inlineStr">
        <is>
          <t>LOW (40%)</t>
        </is>
      </c>
      <c r="Y19" s="188" t="inlineStr">
        <is>
          <t>UNLIKELY</t>
        </is>
      </c>
      <c r="Z19" s="188" t="inlineStr">
        <is>
          <t>CHECK_VENDOR</t>
        </is>
      </c>
      <c r="AA19" s="188" t="inlineStr">
        <is>
          <t>https://nvd.nist.gov/vuln/detail/CVE-2026-27020</t>
        </is>
      </c>
      <c r="AB19" s="188" t="inlineStr">
        <is>
          <t>NONE</t>
        </is>
      </c>
      <c r="AC19" s="188" t="n">
        <v>0</v>
      </c>
      <c r="AD19" s="188" t="inlineStr"/>
    </row>
    <row r="20">
      <c r="A20" s="187" t="inlineStr">
        <is>
          <t>CVE</t>
        </is>
      </c>
      <c r="B20" s="187" t="inlineStr">
        <is>
          <t>CVE-2026-27190</t>
        </is>
      </c>
      <c r="C20" s="187" t="inlineStr">
        <is>
          <t>Deno is a JavaScript, TypeScript, and WebAssembly runtime. Prior to 2.6.8, a command injection vulnerability exists in Deno's node:child_process implementation. This vulnerability is fixed in 2.6.8.</t>
        </is>
      </c>
      <c r="D20" s="187" t="n">
        <v>8.1</v>
      </c>
      <c r="E20" s="187" t="inlineStr">
        <is>
          <t>HIGH</t>
        </is>
      </c>
      <c r="F20" s="187" t="n">
        <v>2</v>
      </c>
      <c r="G20" s="187" t="n">
        <v>3</v>
      </c>
      <c r="H20" s="187" t="inlineStr">
        <is>
          <t>HIGH</t>
        </is>
      </c>
      <c r="I20" s="187" t="n">
        <v>14.1</v>
      </c>
      <c r="J20" s="187" t="inlineStr">
        <is>
          <t>NO</t>
        </is>
      </c>
      <c r="K20" s="187" t="inlineStr">
        <is>
          <t>https://nvd.nist.gov/vuln/detail/CVE-2026-27190</t>
        </is>
      </c>
      <c r="L20" s="187" t="inlineStr">
        <is>
          <t>2026-02-27 20:47</t>
        </is>
      </c>
      <c r="M20" s="187" t="inlineStr">
        <is>
          <t>CHECK_VENDOR</t>
        </is>
      </c>
      <c r="N20" s="187" t="inlineStr">
        <is>
          <t>See NVD references</t>
        </is>
      </c>
      <c r="O20" s="187" t="inlineStr">
        <is>
          <t>Apply vendor patches</t>
        </is>
      </c>
      <c r="P20" s="187" t="inlineStr">
        <is>
          <t>See CVE details</t>
        </is>
      </c>
      <c r="Q20" s="187" t="inlineStr">
        <is>
          <t>P3</t>
        </is>
      </c>
      <c r="R20" s="187" t="inlineStr">
        <is>
          <t>🚨 URGENT: Apply vendor patches immediately | 🔒 Isolate affected systems if patch unavailable | 🛡️ Enable additional monitoring/IDS rules</t>
        </is>
      </c>
      <c r="S20" s="187" t="inlineStr">
        <is>
          <t>CVE - IP enrichment n/a</t>
        </is>
      </c>
      <c r="T20" s="187" t="n">
        <v>0.0023</v>
      </c>
      <c r="U20" s="187" t="n">
        <v>0.4533</v>
      </c>
      <c r="V20" s="187" t="inlineStr">
        <is>
          <t>T1059:Command and Scripting Interpreter</t>
        </is>
      </c>
      <c r="W20" s="187" t="n">
        <v>1</v>
      </c>
      <c r="X20" s="187" t="inlineStr">
        <is>
          <t>LOW (40%)</t>
        </is>
      </c>
      <c r="Y20" s="187" t="inlineStr">
        <is>
          <t>UNLIKELY</t>
        </is>
      </c>
      <c r="Z20" s="187" t="inlineStr">
        <is>
          <t>CHECK_VENDOR</t>
        </is>
      </c>
      <c r="AA20" s="187" t="inlineStr">
        <is>
          <t>https://nvd.nist.gov/vuln/detail/CVE-2026-27190</t>
        </is>
      </c>
      <c r="AB20" s="187" t="inlineStr">
        <is>
          <t>NONE</t>
        </is>
      </c>
      <c r="AC20" s="187" t="n">
        <v>0</v>
      </c>
      <c r="AD20" s="187" t="inlineStr"/>
    </row>
    <row r="21">
      <c r="A21" s="187" t="inlineStr">
        <is>
          <t>CVE</t>
        </is>
      </c>
      <c r="B21" s="187" t="inlineStr">
        <is>
          <t>CVE-2026-2856</t>
        </is>
      </c>
      <c r="C21" s="187"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21" s="187" t="n">
        <v>8.800000000000001</v>
      </c>
      <c r="E21" s="187" t="inlineStr">
        <is>
          <t>HIGH</t>
        </is>
      </c>
      <c r="F21" s="187" t="n">
        <v>2</v>
      </c>
      <c r="G21" s="187" t="n">
        <v>3</v>
      </c>
      <c r="H21" s="187" t="inlineStr">
        <is>
          <t>HIGH</t>
        </is>
      </c>
      <c r="I21" s="187" t="n">
        <v>14.8</v>
      </c>
      <c r="J21" s="187" t="inlineStr">
        <is>
          <t>NO</t>
        </is>
      </c>
      <c r="K21" s="187" t="inlineStr">
        <is>
          <t>https://nvd.nist.gov/vuln/detail/CVE-2026-2856</t>
        </is>
      </c>
      <c r="L21" s="187" t="inlineStr">
        <is>
          <t>2026-02-27 20:47</t>
        </is>
      </c>
      <c r="M21" s="187" t="inlineStr">
        <is>
          <t>CHECK_VENDOR</t>
        </is>
      </c>
      <c r="N21" s="187" t="inlineStr">
        <is>
          <t>See NVD references</t>
        </is>
      </c>
      <c r="O21" s="187" t="inlineStr">
        <is>
          <t>Apply vendor patches</t>
        </is>
      </c>
      <c r="P21" s="187" t="inlineStr">
        <is>
          <t>dlink dwr-m960_firmware 1.01.07 | dlink dwr-m960 b1</t>
        </is>
      </c>
      <c r="Q21" s="187" t="inlineStr">
        <is>
          <t>P3</t>
        </is>
      </c>
      <c r="R21" s="187" t="inlineStr">
        <is>
          <t>🚨 URGENT: Apply vendor patches immediately | 🔒 Isolate affected systems if patch unavailable | 🛡️ Enable additional monitoring/IDS rules</t>
        </is>
      </c>
      <c r="S21" s="187" t="inlineStr">
        <is>
          <t>CVE - IP enrichment n/a</t>
        </is>
      </c>
      <c r="T21" s="187" t="n">
        <v>0.0003</v>
      </c>
      <c r="U21" s="187" t="n">
        <v>0.09379999999999999</v>
      </c>
      <c r="V21" s="187" t="inlineStr">
        <is>
          <t>T1203:Exploitation for Client Execution</t>
        </is>
      </c>
      <c r="W21" s="187" t="n">
        <v>1</v>
      </c>
      <c r="X21" s="187" t="inlineStr">
        <is>
          <t>LOW (40%)</t>
        </is>
      </c>
      <c r="Y21" s="187" t="inlineStr">
        <is>
          <t>UNLIKELY</t>
        </is>
      </c>
      <c r="Z21" s="187" t="inlineStr">
        <is>
          <t>CHECK_VENDOR</t>
        </is>
      </c>
      <c r="AA21" s="187" t="inlineStr">
        <is>
          <t>https://nvd.nist.gov/vuln/detail/CVE-2026-2856</t>
        </is>
      </c>
      <c r="AB21" s="187" t="inlineStr">
        <is>
          <t>NONE</t>
        </is>
      </c>
      <c r="AC21" s="187" t="n">
        <v>0</v>
      </c>
      <c r="AD21" s="187" t="inlineStr"/>
    </row>
    <row r="22">
      <c r="A22" s="187" t="inlineStr">
        <is>
          <t>CVE</t>
        </is>
      </c>
      <c r="B22" s="187" t="inlineStr">
        <is>
          <t>CVE-2026-2857</t>
        </is>
      </c>
      <c r="C22" s="187"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22" s="187" t="n">
        <v>8.800000000000001</v>
      </c>
      <c r="E22" s="187" t="inlineStr">
        <is>
          <t>HIGH</t>
        </is>
      </c>
      <c r="F22" s="187" t="n">
        <v>2</v>
      </c>
      <c r="G22" s="187" t="n">
        <v>3</v>
      </c>
      <c r="H22" s="187" t="inlineStr">
        <is>
          <t>HIGH</t>
        </is>
      </c>
      <c r="I22" s="187" t="n">
        <v>14.8</v>
      </c>
      <c r="J22" s="187" t="inlineStr">
        <is>
          <t>NO</t>
        </is>
      </c>
      <c r="K22" s="187" t="inlineStr">
        <is>
          <t>https://nvd.nist.gov/vuln/detail/CVE-2026-2857</t>
        </is>
      </c>
      <c r="L22" s="187" t="inlineStr">
        <is>
          <t>2026-02-27 20:47</t>
        </is>
      </c>
      <c r="M22" s="187" t="inlineStr">
        <is>
          <t>CHECK_VENDOR</t>
        </is>
      </c>
      <c r="N22" s="187" t="inlineStr">
        <is>
          <t>See NVD references</t>
        </is>
      </c>
      <c r="O22" s="187" t="inlineStr">
        <is>
          <t>Apply vendor patches</t>
        </is>
      </c>
      <c r="P22" s="187" t="inlineStr">
        <is>
          <t>dlink dwr-m960_firmware 1.01.07 | dlink dwr-m960 b1</t>
        </is>
      </c>
      <c r="Q22" s="187" t="inlineStr">
        <is>
          <t>P3</t>
        </is>
      </c>
      <c r="R22" s="187" t="inlineStr">
        <is>
          <t>🚨 URGENT: Apply vendor patches immediately | 🔒 Isolate affected systems if patch unavailable | 🛡️ Enable additional monitoring/IDS rules</t>
        </is>
      </c>
      <c r="S22" s="187" t="inlineStr">
        <is>
          <t>CVE - IP enrichment n/a</t>
        </is>
      </c>
      <c r="T22" s="187" t="n">
        <v>0.0003</v>
      </c>
      <c r="U22" s="187" t="n">
        <v>0.09379999999999999</v>
      </c>
      <c r="V22" s="187" t="inlineStr">
        <is>
          <t>T1203:Exploitation for Client Execution</t>
        </is>
      </c>
      <c r="W22" s="187" t="n">
        <v>1</v>
      </c>
      <c r="X22" s="187" t="inlineStr">
        <is>
          <t>LOW (40%)</t>
        </is>
      </c>
      <c r="Y22" s="187" t="inlineStr">
        <is>
          <t>UNLIKELY</t>
        </is>
      </c>
      <c r="Z22" s="187" t="inlineStr">
        <is>
          <t>CHECK_VENDOR</t>
        </is>
      </c>
      <c r="AA22" s="187" t="inlineStr">
        <is>
          <t>https://nvd.nist.gov/vuln/detail/CVE-2026-2857</t>
        </is>
      </c>
      <c r="AB22" s="187" t="inlineStr">
        <is>
          <t>NONE</t>
        </is>
      </c>
      <c r="AC22" s="187" t="n">
        <v>0</v>
      </c>
      <c r="AD22" s="187" t="inlineStr"/>
    </row>
    <row r="23">
      <c r="A23" s="187" t="inlineStr">
        <is>
          <t>CVE</t>
        </is>
      </c>
      <c r="B23" s="187" t="inlineStr">
        <is>
          <t>CVE-2026-0777</t>
        </is>
      </c>
      <c r="C23" s="187"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23" s="187" t="n">
        <v>7.8</v>
      </c>
      <c r="E23" s="187" t="inlineStr">
        <is>
          <t>HIGH</t>
        </is>
      </c>
      <c r="F23" s="187" t="n">
        <v>2</v>
      </c>
      <c r="G23" s="187" t="n">
        <v>3</v>
      </c>
      <c r="H23" s="187" t="inlineStr">
        <is>
          <t>HIGH</t>
        </is>
      </c>
      <c r="I23" s="187" t="n">
        <v>13.8</v>
      </c>
      <c r="J23" s="187" t="inlineStr">
        <is>
          <t>NO</t>
        </is>
      </c>
      <c r="K23" s="187" t="inlineStr">
        <is>
          <t>https://nvd.nist.gov/vuln/detail/CVE-2026-0777</t>
        </is>
      </c>
      <c r="L23" s="187" t="inlineStr">
        <is>
          <t>2026-02-27 20:47</t>
        </is>
      </c>
      <c r="M23" s="187" t="inlineStr">
        <is>
          <t>CHECK_VENDOR</t>
        </is>
      </c>
      <c r="N23" s="187" t="inlineStr">
        <is>
          <t>See NVD references</t>
        </is>
      </c>
      <c r="O23" s="187" t="inlineStr">
        <is>
          <t>Apply vendor patches</t>
        </is>
      </c>
      <c r="P23" s="187" t="inlineStr">
        <is>
          <t>See CVE details</t>
        </is>
      </c>
      <c r="Q23" s="187" t="inlineStr">
        <is>
          <t>P1</t>
        </is>
      </c>
      <c r="R23" s="187" t="inlineStr">
        <is>
          <t>🚨 URGENT: Apply vendor patches immediately | 🔒 Isolate affected systems if patch unavailable | 🛡️ Enable additional monitoring/IDS rules</t>
        </is>
      </c>
      <c r="S23" s="187" t="inlineStr">
        <is>
          <t>CVE - IP enrichment n/a</t>
        </is>
      </c>
      <c r="T23" s="187" t="n">
        <v>0.0007</v>
      </c>
      <c r="U23" s="187" t="n">
        <v>0.2042</v>
      </c>
      <c r="V23" s="187" t="inlineStr">
        <is>
          <t>T1190:Exploit Public-Facing Application | T1210:Exploitation of Remote Services | T1203:Exploitation for Client Execution</t>
        </is>
      </c>
      <c r="W23" s="187" t="n">
        <v>2</v>
      </c>
      <c r="X23" s="187" t="inlineStr">
        <is>
          <t>HIGH (72%)</t>
        </is>
      </c>
      <c r="Y23" s="187" t="inlineStr">
        <is>
          <t>HIGH</t>
        </is>
      </c>
      <c r="Z23" s="187" t="inlineStr">
        <is>
          <t>CHECK_VENDOR</t>
        </is>
      </c>
      <c r="AA23" s="187" t="inlineStr">
        <is>
          <t>https://nvd.nist.gov/vuln/detail/CVE-2026-0777</t>
        </is>
      </c>
      <c r="AB23" s="187" t="inlineStr">
        <is>
          <t>http://www.zerodayinitiative.com/advisories/ZDI-26-123/</t>
        </is>
      </c>
      <c r="AC23" s="187" t="n">
        <v>0</v>
      </c>
      <c r="AD23" s="187" t="inlineStr"/>
    </row>
    <row r="24">
      <c r="A24" s="187" t="inlineStr">
        <is>
          <t>CVE</t>
        </is>
      </c>
      <c r="B24" s="187" t="inlineStr">
        <is>
          <t>CVE-2026-0797</t>
        </is>
      </c>
      <c r="C24" s="187"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24" s="187" t="n">
        <v>7.8</v>
      </c>
      <c r="E24" s="187" t="inlineStr">
        <is>
          <t>HIGH</t>
        </is>
      </c>
      <c r="F24" s="187" t="n">
        <v>2</v>
      </c>
      <c r="G24" s="187" t="n">
        <v>3</v>
      </c>
      <c r="H24" s="187" t="inlineStr">
        <is>
          <t>HIGH</t>
        </is>
      </c>
      <c r="I24" s="187" t="n">
        <v>13.8</v>
      </c>
      <c r="J24" s="187" t="inlineStr">
        <is>
          <t>NO</t>
        </is>
      </c>
      <c r="K24" s="187" t="inlineStr">
        <is>
          <t>https://nvd.nist.gov/vuln/detail/CVE-2026-0797</t>
        </is>
      </c>
      <c r="L24" s="187" t="inlineStr">
        <is>
          <t>2026-02-27 20:47</t>
        </is>
      </c>
      <c r="M24" s="187" t="inlineStr">
        <is>
          <t>YES</t>
        </is>
      </c>
      <c r="N24" s="187" t="inlineStr">
        <is>
          <t>https://gitlab.gnome.org/GNOME/gimp/-/commit/69cc6b1a6645dc9c4d7b484483dbe6a84b922b9c</t>
        </is>
      </c>
      <c r="O24" s="187" t="inlineStr">
        <is>
          <t>Apply vendor patches</t>
        </is>
      </c>
      <c r="P24" s="187" t="inlineStr">
        <is>
          <t>gimp gimp 3.2.0</t>
        </is>
      </c>
      <c r="Q24" s="187" t="inlineStr">
        <is>
          <t>P1</t>
        </is>
      </c>
      <c r="R24" s="187" t="inlineStr">
        <is>
          <t>🚨 URGENT: Apply vendor patches immediately | 🔒 Isolate affected systems if patch unavailable | 🛡️ Enable additional monitoring/IDS rules</t>
        </is>
      </c>
      <c r="S24" s="187" t="inlineStr">
        <is>
          <t>CVE - IP enrichment n/a</t>
        </is>
      </c>
      <c r="T24" s="187" t="n">
        <v>0.0005999999999999999</v>
      </c>
      <c r="U24" s="187" t="n">
        <v>0.1936</v>
      </c>
      <c r="V24" s="187" t="inlineStr">
        <is>
          <t>T1203:Exploitation for Client Execution | T1190:Exploit Public-Facing Application | T1210:Exploitation of Remote Services</t>
        </is>
      </c>
      <c r="W24" s="187" t="n">
        <v>2</v>
      </c>
      <c r="X24" s="187" t="inlineStr">
        <is>
          <t>HIGH (72%)</t>
        </is>
      </c>
      <c r="Y24" s="187" t="inlineStr">
        <is>
          <t>HIGH</t>
        </is>
      </c>
      <c r="Z24" s="187" t="inlineStr">
        <is>
          <t>PATCH_AVAILABLE</t>
        </is>
      </c>
      <c r="AA24" s="187" t="inlineStr">
        <is>
          <t>https://nvd.nist.gov/vuln/detail/CVE-2026-0797</t>
        </is>
      </c>
      <c r="AB24" s="187" t="inlineStr">
        <is>
          <t>http://www.zerodayinitiative.com/advisories/ZDI-26-123/</t>
        </is>
      </c>
      <c r="AC24" s="187" t="n">
        <v>0</v>
      </c>
      <c r="AD24" s="187" t="inlineStr"/>
    </row>
    <row r="25">
      <c r="A25" s="188" t="inlineStr">
        <is>
          <t>CVE</t>
        </is>
      </c>
      <c r="B25" s="188" t="inlineStr">
        <is>
          <t>CVE-2026-27022</t>
        </is>
      </c>
      <c r="C25" s="188"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25" s="188" t="n">
        <v>6.5</v>
      </c>
      <c r="E25" s="188" t="inlineStr">
        <is>
          <t>MEDIUM</t>
        </is>
      </c>
      <c r="F25" s="188" t="n">
        <v>2</v>
      </c>
      <c r="G25" s="188" t="n">
        <v>2</v>
      </c>
      <c r="H25" s="188" t="inlineStr">
        <is>
          <t>MEDIUM</t>
        </is>
      </c>
      <c r="I25" s="188" t="n">
        <v>10.5</v>
      </c>
      <c r="J25" s="188" t="inlineStr">
        <is>
          <t>NO</t>
        </is>
      </c>
      <c r="K25" s="188" t="inlineStr">
        <is>
          <t>https://nvd.nist.gov/vuln/detail/CVE-2026-27022</t>
        </is>
      </c>
      <c r="L25" s="188" t="inlineStr">
        <is>
          <t>2026-02-27 20:47</t>
        </is>
      </c>
      <c r="M25" s="188" t="inlineStr">
        <is>
          <t>CHECK_VENDOR</t>
        </is>
      </c>
      <c r="N25" s="188" t="inlineStr">
        <is>
          <t>See NVD references</t>
        </is>
      </c>
      <c r="O25" s="188" t="inlineStr">
        <is>
          <t>Apply vendor patches</t>
        </is>
      </c>
      <c r="P25" s="188" t="inlineStr">
        <is>
          <t>See CVE details</t>
        </is>
      </c>
      <c r="Q25" s="188" t="inlineStr">
        <is>
          <t>P4</t>
        </is>
      </c>
      <c r="R25" s="188" t="inlineStr">
        <is>
          <t>📅 Schedule patch deployment within 30 days | 🔍 Monitor for exploitation attempts</t>
        </is>
      </c>
      <c r="S25" s="188" t="inlineStr">
        <is>
          <t>CVE - IP enrichment n/a</t>
        </is>
      </c>
      <c r="T25" s="188" t="n">
        <v>0.0003</v>
      </c>
      <c r="U25" s="188" t="n">
        <v>0.1019</v>
      </c>
      <c r="V25" s="188" t="inlineStr">
        <is>
          <t>T1190:Exploit Public-Facing Application</t>
        </is>
      </c>
      <c r="W25" s="188" t="n">
        <v>1</v>
      </c>
      <c r="X25" s="188" t="inlineStr">
        <is>
          <t>LOW (40%)</t>
        </is>
      </c>
      <c r="Y25" s="188" t="inlineStr">
        <is>
          <t>UNLIKELY</t>
        </is>
      </c>
      <c r="Z25" s="188" t="inlineStr">
        <is>
          <t>CHECK_VENDOR</t>
        </is>
      </c>
      <c r="AA25" s="188" t="inlineStr">
        <is>
          <t>https://nvd.nist.gov/vuln/detail/CVE-2026-27022</t>
        </is>
      </c>
      <c r="AB25" s="188" t="inlineStr">
        <is>
          <t>NONE</t>
        </is>
      </c>
      <c r="AC25" s="188" t="n">
        <v>0</v>
      </c>
      <c r="AD25" s="188" t="inlineStr"/>
    </row>
    <row r="26">
      <c r="A26" s="188" t="inlineStr">
        <is>
          <t>CVE</t>
        </is>
      </c>
      <c r="B26" s="188" t="inlineStr">
        <is>
          <t>CVE-2026-27024</t>
        </is>
      </c>
      <c r="C26" s="188"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26" s="188" t="n">
        <v>5.5</v>
      </c>
      <c r="E26" s="188" t="inlineStr">
        <is>
          <t>MEDIUM</t>
        </is>
      </c>
      <c r="F26" s="188" t="n">
        <v>2</v>
      </c>
      <c r="G26" s="188" t="n">
        <v>2</v>
      </c>
      <c r="H26" s="188" t="inlineStr">
        <is>
          <t>MEDIUM</t>
        </is>
      </c>
      <c r="I26" s="188" t="n">
        <v>9.5</v>
      </c>
      <c r="J26" s="188" t="inlineStr">
        <is>
          <t>NO</t>
        </is>
      </c>
      <c r="K26" s="188" t="inlineStr">
        <is>
          <t>https://nvd.nist.gov/vuln/detail/CVE-2026-27024</t>
        </is>
      </c>
      <c r="L26" s="188" t="inlineStr">
        <is>
          <t>2026-02-27 20:47</t>
        </is>
      </c>
      <c r="M26" s="188" t="inlineStr">
        <is>
          <t>YES</t>
        </is>
      </c>
      <c r="N26" s="188" t="inlineStr">
        <is>
          <t>https://github.com/py-pdf/pypdf/commit/bd2f6d052fe5941e85e37082c2a43453d48d1295 | https://github.com/py-pdf/pypdf/pull/3645 | https://github.com/py-pdf/pypdf/security/advisories/GHSA-996q-pr4m-cvgq</t>
        </is>
      </c>
      <c r="O26" s="188" t="inlineStr">
        <is>
          <t>Apply vendor patches</t>
        </is>
      </c>
      <c r="P26" s="188" t="inlineStr">
        <is>
          <t>pypdf_project pypdf *</t>
        </is>
      </c>
      <c r="Q26" s="188" t="inlineStr">
        <is>
          <t>P4</t>
        </is>
      </c>
      <c r="R26" s="188" t="inlineStr">
        <is>
          <t>📅 Schedule patch deployment within 30 days | 🔍 Monitor for exploitation attempts</t>
        </is>
      </c>
      <c r="S26" s="188" t="inlineStr">
        <is>
          <t>CVE - IP enrichment n/a</t>
        </is>
      </c>
      <c r="T26" s="188" t="n">
        <v>0.0001</v>
      </c>
      <c r="U26" s="188" t="n">
        <v>0.0169</v>
      </c>
      <c r="V26" s="188" t="inlineStr">
        <is>
          <t>T1190:Exploit Public-Facing Application</t>
        </is>
      </c>
      <c r="W26" s="188" t="n">
        <v>1</v>
      </c>
      <c r="X26" s="188" t="inlineStr">
        <is>
          <t>LOW (40%)</t>
        </is>
      </c>
      <c r="Y26" s="188" t="inlineStr">
        <is>
          <t>UNLIKELY</t>
        </is>
      </c>
      <c r="Z26" s="188" t="inlineStr">
        <is>
          <t>PATCH_AVAILABLE</t>
        </is>
      </c>
      <c r="AA26" s="188" t="inlineStr">
        <is>
          <t>https://nvd.nist.gov/vuln/detail/CVE-2026-27024</t>
        </is>
      </c>
      <c r="AB26" s="188" t="inlineStr">
        <is>
          <t>NONE</t>
        </is>
      </c>
      <c r="AC26" s="188" t="n">
        <v>0</v>
      </c>
      <c r="AD26" s="188" t="inlineStr"/>
    </row>
    <row r="27">
      <c r="A27" s="188" t="inlineStr">
        <is>
          <t>CVE</t>
        </is>
      </c>
      <c r="B27" s="188" t="inlineStr">
        <is>
          <t>CVE-2026-27025</t>
        </is>
      </c>
      <c r="C27" s="188"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27" s="188" t="n">
        <v>5.5</v>
      </c>
      <c r="E27" s="188" t="inlineStr">
        <is>
          <t>MEDIUM</t>
        </is>
      </c>
      <c r="F27" s="188" t="n">
        <v>2</v>
      </c>
      <c r="G27" s="188" t="n">
        <v>2</v>
      </c>
      <c r="H27" s="188" t="inlineStr">
        <is>
          <t>MEDIUM</t>
        </is>
      </c>
      <c r="I27" s="188" t="n">
        <v>9.5</v>
      </c>
      <c r="J27" s="188" t="inlineStr">
        <is>
          <t>NO</t>
        </is>
      </c>
      <c r="K27" s="188" t="inlineStr">
        <is>
          <t>https://nvd.nist.gov/vuln/detail/CVE-2026-27025</t>
        </is>
      </c>
      <c r="L27" s="188" t="inlineStr">
        <is>
          <t>2026-02-27 20:47</t>
        </is>
      </c>
      <c r="M27" s="188" t="inlineStr">
        <is>
          <t>YES</t>
        </is>
      </c>
      <c r="N27" s="188" t="inlineStr">
        <is>
          <t>https://github.com/py-pdf/pypdf/commit/77d7b8d7cfbe8dd179858dfa42666f73fc6e57a2 | https://github.com/py-pdf/pypdf/pull/3646 | https://github.com/py-pdf/pypdf/security/advisories/GHSA-wgvp-vg3v-2xq3</t>
        </is>
      </c>
      <c r="O27" s="188" t="inlineStr">
        <is>
          <t>Apply vendor patches</t>
        </is>
      </c>
      <c r="P27" s="188" t="inlineStr">
        <is>
          <t>pypdf_project pypdf *</t>
        </is>
      </c>
      <c r="Q27" s="188" t="inlineStr">
        <is>
          <t>P4</t>
        </is>
      </c>
      <c r="R27" s="188" t="inlineStr">
        <is>
          <t>📅 Schedule patch deployment within 30 days | 🔍 Monitor for exploitation attempts</t>
        </is>
      </c>
      <c r="S27" s="188" t="inlineStr">
        <is>
          <t>CVE - IP enrichment n/a</t>
        </is>
      </c>
      <c r="T27" s="188" t="n">
        <v>0.0001</v>
      </c>
      <c r="U27" s="188" t="n">
        <v>0.0169</v>
      </c>
      <c r="V27" s="188" t="inlineStr">
        <is>
          <t>T1190:Exploit Public-Facing Application</t>
        </is>
      </c>
      <c r="W27" s="188" t="n">
        <v>1</v>
      </c>
      <c r="X27" s="188" t="inlineStr">
        <is>
          <t>LOW (40%)</t>
        </is>
      </c>
      <c r="Y27" s="188" t="inlineStr">
        <is>
          <t>UNLIKELY</t>
        </is>
      </c>
      <c r="Z27" s="188" t="inlineStr">
        <is>
          <t>PATCH_AVAILABLE</t>
        </is>
      </c>
      <c r="AA27" s="188" t="inlineStr">
        <is>
          <t>https://nvd.nist.gov/vuln/detail/CVE-2026-27025</t>
        </is>
      </c>
      <c r="AB27" s="188" t="inlineStr">
        <is>
          <t>NONE</t>
        </is>
      </c>
      <c r="AC27" s="188" t="n">
        <v>0</v>
      </c>
      <c r="AD27" s="188" t="inlineStr"/>
    </row>
    <row r="28">
      <c r="A28" s="188" t="inlineStr">
        <is>
          <t>CVE</t>
        </is>
      </c>
      <c r="B28" s="188" t="inlineStr">
        <is>
          <t>CVE-2026-27026</t>
        </is>
      </c>
      <c r="C28" s="188"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28" s="188" t="n">
        <v>5.5</v>
      </c>
      <c r="E28" s="188" t="inlineStr">
        <is>
          <t>MEDIUM</t>
        </is>
      </c>
      <c r="F28" s="188" t="n">
        <v>2</v>
      </c>
      <c r="G28" s="188" t="n">
        <v>2</v>
      </c>
      <c r="H28" s="188" t="inlineStr">
        <is>
          <t>MEDIUM</t>
        </is>
      </c>
      <c r="I28" s="188" t="n">
        <v>9.5</v>
      </c>
      <c r="J28" s="188" t="inlineStr">
        <is>
          <t>NO</t>
        </is>
      </c>
      <c r="K28" s="188" t="inlineStr">
        <is>
          <t>https://nvd.nist.gov/vuln/detail/CVE-2026-27026</t>
        </is>
      </c>
      <c r="L28" s="188" t="inlineStr">
        <is>
          <t>2026-02-27 20:47</t>
        </is>
      </c>
      <c r="M28" s="188" t="inlineStr">
        <is>
          <t>YES</t>
        </is>
      </c>
      <c r="N28" s="188" t="inlineStr">
        <is>
          <t>https://github.com/py-pdf/pypdf/commit/7905842d833f899f1d3228af7e7467ad80277016 | https://github.com/py-pdf/pypdf/pull/3644 | https://github.com/py-pdf/pypdf/security/advisories/GHSA-9mvc-8737-8j8h</t>
        </is>
      </c>
      <c r="O28" s="188" t="inlineStr">
        <is>
          <t>Apply vendor patches</t>
        </is>
      </c>
      <c r="P28" s="188" t="inlineStr">
        <is>
          <t>pypdf_project pypdf *</t>
        </is>
      </c>
      <c r="Q28" s="188" t="inlineStr">
        <is>
          <t>P4</t>
        </is>
      </c>
      <c r="R28" s="188" t="inlineStr">
        <is>
          <t>📅 Schedule patch deployment within 30 days | 🔍 Monitor for exploitation attempts</t>
        </is>
      </c>
      <c r="S28" s="188" t="inlineStr">
        <is>
          <t>CVE - IP enrichment n/a</t>
        </is>
      </c>
      <c r="T28" s="188" t="n">
        <v>0.0001</v>
      </c>
      <c r="U28" s="188" t="n">
        <v>0.0169</v>
      </c>
      <c r="V28" s="188" t="inlineStr">
        <is>
          <t>T1190:Exploit Public-Facing Application</t>
        </is>
      </c>
      <c r="W28" s="188" t="n">
        <v>1</v>
      </c>
      <c r="X28" s="188" t="inlineStr">
        <is>
          <t>LOW (40%)</t>
        </is>
      </c>
      <c r="Y28" s="188" t="inlineStr">
        <is>
          <t>UNLIKELY</t>
        </is>
      </c>
      <c r="Z28" s="188" t="inlineStr">
        <is>
          <t>PATCH_AVAILABLE</t>
        </is>
      </c>
      <c r="AA28" s="188" t="inlineStr">
        <is>
          <t>https://nvd.nist.gov/vuln/detail/CVE-2026-27026</t>
        </is>
      </c>
      <c r="AB28" s="188" t="inlineStr">
        <is>
          <t>NONE</t>
        </is>
      </c>
      <c r="AC28" s="188" t="n">
        <v>0</v>
      </c>
      <c r="AD28" s="188" t="inlineStr"/>
    </row>
    <row r="29">
      <c r="A29" s="188" t="inlineStr">
        <is>
          <t>CVE</t>
        </is>
      </c>
      <c r="B29" s="188" t="inlineStr">
        <is>
          <t>CVE-2026-27111</t>
        </is>
      </c>
      <c r="C29" s="188"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29" s="188" t="n">
        <v>5</v>
      </c>
      <c r="E29" s="188" t="inlineStr">
        <is>
          <t>MEDIUM</t>
        </is>
      </c>
      <c r="F29" s="188" t="n">
        <v>2</v>
      </c>
      <c r="G29" s="188" t="n">
        <v>2</v>
      </c>
      <c r="H29" s="188" t="inlineStr">
        <is>
          <t>MEDIUM</t>
        </is>
      </c>
      <c r="I29" s="188" t="n">
        <v>9</v>
      </c>
      <c r="J29" s="188" t="inlineStr">
        <is>
          <t>NO</t>
        </is>
      </c>
      <c r="K29" s="188" t="inlineStr">
        <is>
          <t>https://nvd.nist.gov/vuln/detail/CVE-2026-27111</t>
        </is>
      </c>
      <c r="L29" s="188" t="inlineStr">
        <is>
          <t>2026-02-27 20:47</t>
        </is>
      </c>
      <c r="M29" s="188" t="inlineStr">
        <is>
          <t>YES</t>
        </is>
      </c>
      <c r="N29" s="188" t="inlineStr">
        <is>
          <t>https://github.com/akuity/kargo/commit/833314cad5513d48d89431493325ae44c1324a49 | https://github.com/akuity/kargo/security/advisories/GHSA-5vvm-67pj-72g4</t>
        </is>
      </c>
      <c r="O29" s="188" t="inlineStr">
        <is>
          <t>Apply vendor patches</t>
        </is>
      </c>
      <c r="P29" s="188" t="inlineStr">
        <is>
          <t>akuity kargo *</t>
        </is>
      </c>
      <c r="Q29" s="188" t="inlineStr">
        <is>
          <t>P4</t>
        </is>
      </c>
      <c r="R29" s="188" t="inlineStr">
        <is>
          <t>📅 Schedule patch deployment within 30 days | 🔍 Monitor for exploitation attempts</t>
        </is>
      </c>
      <c r="S29" s="188" t="inlineStr">
        <is>
          <t>CVE - IP enrichment n/a</t>
        </is>
      </c>
      <c r="T29" s="188" t="n">
        <v>0.0003</v>
      </c>
      <c r="U29" s="188" t="n">
        <v>0.0679</v>
      </c>
      <c r="V29" s="188" t="inlineStr">
        <is>
          <t>T1190:Exploit Public-Facing Application</t>
        </is>
      </c>
      <c r="W29" s="188" t="n">
        <v>1</v>
      </c>
      <c r="X29" s="188" t="inlineStr">
        <is>
          <t>LOW (40%)</t>
        </is>
      </c>
      <c r="Y29" s="188" t="inlineStr">
        <is>
          <t>UNLIKELY</t>
        </is>
      </c>
      <c r="Z29" s="188" t="inlineStr">
        <is>
          <t>PATCH_AVAILABLE</t>
        </is>
      </c>
      <c r="AA29" s="188" t="inlineStr">
        <is>
          <t>https://nvd.nist.gov/vuln/detail/CVE-2026-27111</t>
        </is>
      </c>
      <c r="AB29" s="188" t="inlineStr">
        <is>
          <t>NONE</t>
        </is>
      </c>
      <c r="AC29" s="188" t="n">
        <v>0</v>
      </c>
      <c r="AD29" s="188" t="inlineStr"/>
    </row>
    <row r="30">
      <c r="A30" s="189" t="inlineStr">
        <is>
          <t>CVE</t>
        </is>
      </c>
      <c r="B30" s="189" t="inlineStr">
        <is>
          <t>CVE-2026-27112</t>
        </is>
      </c>
      <c r="C30" s="189"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30" s="189" t="n">
        <v>9.9</v>
      </c>
      <c r="E30" s="189" t="inlineStr">
        <is>
          <t>CRITICAL</t>
        </is>
      </c>
      <c r="F30" s="189" t="n">
        <v>2</v>
      </c>
      <c r="G30" s="189" t="n">
        <v>3</v>
      </c>
      <c r="H30" s="189" t="inlineStr">
        <is>
          <t>HIGH</t>
        </is>
      </c>
      <c r="I30" s="189" t="n">
        <v>15.9</v>
      </c>
      <c r="J30" s="189" t="inlineStr">
        <is>
          <t>NO</t>
        </is>
      </c>
      <c r="K30" s="189" t="inlineStr">
        <is>
          <t>https://nvd.nist.gov/vuln/detail/CVE-2026-27112</t>
        </is>
      </c>
      <c r="L30" s="189" t="inlineStr">
        <is>
          <t>2026-02-27 20:47</t>
        </is>
      </c>
      <c r="M30" s="189" t="inlineStr">
        <is>
          <t>YES</t>
        </is>
      </c>
      <c r="N30" s="189" t="inlineStr">
        <is>
          <t>https://github.com/akuity/kargo/commit/155c6852ffbffa2902f18e6c7add91a846e8d344 | https://github.com/akuity/kargo/security/advisories/GHSA-7g9x-cp9g-92mr</t>
        </is>
      </c>
      <c r="O30" s="189" t="inlineStr">
        <is>
          <t>Apply vendor patches</t>
        </is>
      </c>
      <c r="P30" s="189" t="inlineStr">
        <is>
          <t>akuity kargo *</t>
        </is>
      </c>
      <c r="Q30" s="189" t="inlineStr">
        <is>
          <t>P3</t>
        </is>
      </c>
      <c r="R30" s="189" t="inlineStr">
        <is>
          <t>🚨 URGENT: Apply vendor patches immediately | 🔒 Isolate affected systems if patch unavailable | 🛡️ Enable additional monitoring/IDS rules</t>
        </is>
      </c>
      <c r="S30" s="189" t="inlineStr">
        <is>
          <t>CVE - IP enrichment n/a</t>
        </is>
      </c>
      <c r="T30" s="189" t="n">
        <v>0.0021</v>
      </c>
      <c r="U30" s="189" t="n">
        <v>0.4251</v>
      </c>
      <c r="V30" s="189" t="inlineStr">
        <is>
          <t>T1190:Exploit Public-Facing Application | T1210:Exploitation of Remote Services | T1552:Unsecured Credentials</t>
        </is>
      </c>
      <c r="W30" s="189" t="n">
        <v>1</v>
      </c>
      <c r="X30" s="189" t="inlineStr">
        <is>
          <t>LOW (40%)</t>
        </is>
      </c>
      <c r="Y30" s="189" t="inlineStr">
        <is>
          <t>UNLIKELY</t>
        </is>
      </c>
      <c r="Z30" s="189" t="inlineStr">
        <is>
          <t>PATCH_AVAILABLE</t>
        </is>
      </c>
      <c r="AA30" s="189" t="inlineStr">
        <is>
          <t>https://nvd.nist.gov/vuln/detail/CVE-2026-27112</t>
        </is>
      </c>
      <c r="AB30" s="189" t="inlineStr">
        <is>
          <t>NONE</t>
        </is>
      </c>
      <c r="AC30" s="189" t="n">
        <v>0</v>
      </c>
      <c r="AD30" s="189" t="inlineStr"/>
    </row>
    <row r="31">
      <c r="A31" s="188" t="inlineStr">
        <is>
          <t>CVE</t>
        </is>
      </c>
      <c r="B31" s="188" t="inlineStr">
        <is>
          <t>CVE-2026-27113</t>
        </is>
      </c>
      <c r="C31" s="188"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31" s="188" t="n">
        <v>6.3</v>
      </c>
      <c r="E31" s="188" t="inlineStr">
        <is>
          <t>MEDIUM</t>
        </is>
      </c>
      <c r="F31" s="188" t="n">
        <v>2</v>
      </c>
      <c r="G31" s="188" t="n">
        <v>2</v>
      </c>
      <c r="H31" s="188" t="inlineStr">
        <is>
          <t>MEDIUM</t>
        </is>
      </c>
      <c r="I31" s="188" t="n">
        <v>10.3</v>
      </c>
      <c r="J31" s="188" t="inlineStr">
        <is>
          <t>NO</t>
        </is>
      </c>
      <c r="K31" s="188" t="inlineStr">
        <is>
          <t>https://nvd.nist.gov/vuln/detail/CVE-2026-27113</t>
        </is>
      </c>
      <c r="L31" s="188" t="inlineStr">
        <is>
          <t>2026-02-27 20:47</t>
        </is>
      </c>
      <c r="M31" s="188" t="inlineStr">
        <is>
          <t>CHECK_VENDOR</t>
        </is>
      </c>
      <c r="N31" s="188" t="inlineStr">
        <is>
          <t>See NVD references</t>
        </is>
      </c>
      <c r="O31" s="188" t="inlineStr">
        <is>
          <t>Apply vendor patches</t>
        </is>
      </c>
      <c r="P31" s="188" t="inlineStr">
        <is>
          <t>See CVE details</t>
        </is>
      </c>
      <c r="Q31" s="188" t="inlineStr">
        <is>
          <t>P4</t>
        </is>
      </c>
      <c r="R31" s="188" t="inlineStr">
        <is>
          <t>📅 Schedule patch deployment within 30 days | 🔍 Monitor for exploitation attempts</t>
        </is>
      </c>
      <c r="S31" s="188" t="inlineStr">
        <is>
          <t>CVE - IP enrichment n/a</t>
        </is>
      </c>
      <c r="T31" s="188" t="n">
        <v>0.0003</v>
      </c>
      <c r="U31" s="188" t="n">
        <v>0.08069999999999999</v>
      </c>
      <c r="V31" s="188" t="inlineStr">
        <is>
          <t>T1059:Command and Scripting Interpreter</t>
        </is>
      </c>
      <c r="W31" s="188" t="n">
        <v>1</v>
      </c>
      <c r="X31" s="188" t="inlineStr">
        <is>
          <t>LOW (40%)</t>
        </is>
      </c>
      <c r="Y31" s="188" t="inlineStr">
        <is>
          <t>UNLIKELY</t>
        </is>
      </c>
      <c r="Z31" s="188" t="inlineStr">
        <is>
          <t>CHECK_VENDOR</t>
        </is>
      </c>
      <c r="AA31" s="188" t="inlineStr">
        <is>
          <t>https://nvd.nist.gov/vuln/detail/CVE-2026-27113</t>
        </is>
      </c>
      <c r="AB31" s="188" t="inlineStr">
        <is>
          <t>NONE</t>
        </is>
      </c>
      <c r="AC31" s="188" t="n">
        <v>0</v>
      </c>
      <c r="AD31" s="188" t="inlineStr"/>
    </row>
    <row r="32">
      <c r="A32" s="187" t="inlineStr">
        <is>
          <t>CVE</t>
        </is>
      </c>
      <c r="B32" s="187" t="inlineStr">
        <is>
          <t>CVE-2026-27118</t>
        </is>
      </c>
      <c r="C32" s="187"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32" s="187" t="n">
        <v>8.5</v>
      </c>
      <c r="E32" s="187" t="inlineStr">
        <is>
          <t>HIGH</t>
        </is>
      </c>
      <c r="F32" s="187" t="n">
        <v>2</v>
      </c>
      <c r="G32" s="187" t="n">
        <v>3</v>
      </c>
      <c r="H32" s="187" t="inlineStr">
        <is>
          <t>HIGH</t>
        </is>
      </c>
      <c r="I32" s="187" t="n">
        <v>14.5</v>
      </c>
      <c r="J32" s="187" t="inlineStr">
        <is>
          <t>NO</t>
        </is>
      </c>
      <c r="K32" s="187" t="inlineStr">
        <is>
          <t>https://nvd.nist.gov/vuln/detail/CVE-2026-27118</t>
        </is>
      </c>
      <c r="L32" s="187" t="inlineStr">
        <is>
          <t>2026-02-27 20:47</t>
        </is>
      </c>
      <c r="M32" s="187" t="inlineStr">
        <is>
          <t>CHECK_VENDOR</t>
        </is>
      </c>
      <c r="N32" s="187" t="inlineStr">
        <is>
          <t>See NVD references</t>
        </is>
      </c>
      <c r="O32" s="187" t="inlineStr">
        <is>
          <t>Apply vendor patches</t>
        </is>
      </c>
      <c r="P32" s="187" t="inlineStr">
        <is>
          <t>See CVE details</t>
        </is>
      </c>
      <c r="Q32" s="187" t="inlineStr">
        <is>
          <t>P3</t>
        </is>
      </c>
      <c r="R32" s="187" t="inlineStr">
        <is>
          <t>🚨 URGENT: Apply vendor patches immediately | 🔒 Isolate affected systems if patch unavailable | 🛡️ Enable additional monitoring/IDS rules</t>
        </is>
      </c>
      <c r="S32" s="187" t="inlineStr">
        <is>
          <t>CVE - IP enrichment n/a</t>
        </is>
      </c>
      <c r="T32" s="187" t="n">
        <v>0.0003</v>
      </c>
      <c r="U32" s="187" t="n">
        <v>0.066</v>
      </c>
      <c r="V32" s="187" t="inlineStr">
        <is>
          <t>T1190:Exploit Public-Facing Application</t>
        </is>
      </c>
      <c r="W32" s="187" t="n">
        <v>1</v>
      </c>
      <c r="X32" s="187" t="inlineStr">
        <is>
          <t>LOW (40%)</t>
        </is>
      </c>
      <c r="Y32" s="187" t="inlineStr">
        <is>
          <t>UNLIKELY</t>
        </is>
      </c>
      <c r="Z32" s="187" t="inlineStr">
        <is>
          <t>CHECK_VENDOR</t>
        </is>
      </c>
      <c r="AA32" s="187" t="inlineStr">
        <is>
          <t>https://nvd.nist.gov/vuln/detail/CVE-2026-27118</t>
        </is>
      </c>
      <c r="AB32" s="187" t="inlineStr">
        <is>
          <t>NONE</t>
        </is>
      </c>
      <c r="AC32" s="187" t="n">
        <v>0</v>
      </c>
      <c r="AD32" s="187" t="inlineStr"/>
    </row>
    <row r="33">
      <c r="A33" s="188" t="inlineStr">
        <is>
          <t>CVE</t>
        </is>
      </c>
      <c r="B33" s="188" t="inlineStr">
        <is>
          <t>CVE-2026-27120</t>
        </is>
      </c>
      <c r="C33" s="188"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33" s="188" t="n">
        <v>6.1</v>
      </c>
      <c r="E33" s="188" t="inlineStr">
        <is>
          <t>MEDIUM</t>
        </is>
      </c>
      <c r="F33" s="188" t="n">
        <v>2</v>
      </c>
      <c r="G33" s="188" t="n">
        <v>2</v>
      </c>
      <c r="H33" s="188" t="inlineStr">
        <is>
          <t>MEDIUM</t>
        </is>
      </c>
      <c r="I33" s="188" t="n">
        <v>10.1</v>
      </c>
      <c r="J33" s="188" t="inlineStr">
        <is>
          <t>NO</t>
        </is>
      </c>
      <c r="K33" s="188" t="inlineStr">
        <is>
          <t>https://nvd.nist.gov/vuln/detail/CVE-2026-27120</t>
        </is>
      </c>
      <c r="L33" s="188" t="inlineStr">
        <is>
          <t>2026-02-27 20:47</t>
        </is>
      </c>
      <c r="M33" s="188" t="inlineStr">
        <is>
          <t>CHECK_VENDOR</t>
        </is>
      </c>
      <c r="N33" s="188" t="inlineStr">
        <is>
          <t>See NVD references</t>
        </is>
      </c>
      <c r="O33" s="188" t="inlineStr">
        <is>
          <t>Apply vendor patches</t>
        </is>
      </c>
      <c r="P33" s="188" t="inlineStr">
        <is>
          <t>See CVE details</t>
        </is>
      </c>
      <c r="Q33" s="188" t="inlineStr">
        <is>
          <t>P4</t>
        </is>
      </c>
      <c r="R33" s="188" t="inlineStr">
        <is>
          <t>📅 Schedule patch deployment within 30 days | 🔍 Monitor for exploitation attempts</t>
        </is>
      </c>
      <c r="S33" s="188" t="inlineStr">
        <is>
          <t>CVE - IP enrichment n/a</t>
        </is>
      </c>
      <c r="T33" s="188" t="n">
        <v>0.0003</v>
      </c>
      <c r="U33" s="188" t="n">
        <v>0.0882</v>
      </c>
      <c r="V33" s="188" t="inlineStr">
        <is>
          <t>T1189:Drive-by Compromise</t>
        </is>
      </c>
      <c r="W33" s="188" t="n">
        <v>1</v>
      </c>
      <c r="X33" s="188" t="inlineStr">
        <is>
          <t>LOW (40%)</t>
        </is>
      </c>
      <c r="Y33" s="188" t="inlineStr">
        <is>
          <t>UNLIKELY</t>
        </is>
      </c>
      <c r="Z33" s="188" t="inlineStr">
        <is>
          <t>CHECK_VENDOR</t>
        </is>
      </c>
      <c r="AA33" s="188" t="inlineStr">
        <is>
          <t>https://nvd.nist.gov/vuln/detail/CVE-2026-27120</t>
        </is>
      </c>
      <c r="AB33" s="188" t="inlineStr">
        <is>
          <t>NONE</t>
        </is>
      </c>
      <c r="AC33" s="188" t="n">
        <v>0</v>
      </c>
      <c r="AD33" s="188" t="inlineStr"/>
    </row>
    <row r="34">
      <c r="A34" s="190" t="inlineStr">
        <is>
          <t>CVE</t>
        </is>
      </c>
      <c r="B34" s="190" t="inlineStr">
        <is>
          <t>CVE-2026-2858</t>
        </is>
      </c>
      <c r="C34" s="190"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34" s="190" t="n">
        <v>3.3</v>
      </c>
      <c r="E34" s="190" t="inlineStr">
        <is>
          <t>LOW</t>
        </is>
      </c>
      <c r="F34" s="190" t="n">
        <v>2</v>
      </c>
      <c r="G34" s="190" t="n">
        <v>1</v>
      </c>
      <c r="H34" s="190" t="inlineStr">
        <is>
          <t>LOW</t>
        </is>
      </c>
      <c r="I34" s="190" t="n">
        <v>5.3</v>
      </c>
      <c r="J34" s="190" t="inlineStr">
        <is>
          <t>NO</t>
        </is>
      </c>
      <c r="K34" s="190" t="inlineStr">
        <is>
          <t>https://nvd.nist.gov/vuln/detail/CVE-2026-2858</t>
        </is>
      </c>
      <c r="L34" s="190" t="inlineStr">
        <is>
          <t>2026-02-27 20:47</t>
        </is>
      </c>
      <c r="M34" s="190" t="inlineStr">
        <is>
          <t>CHECK_VENDOR</t>
        </is>
      </c>
      <c r="N34" s="190" t="inlineStr">
        <is>
          <t>See NVD references</t>
        </is>
      </c>
      <c r="O34" s="190" t="inlineStr">
        <is>
          <t>Apply vendor patches</t>
        </is>
      </c>
      <c r="P34" s="190" t="inlineStr">
        <is>
          <t>wren wren *</t>
        </is>
      </c>
      <c r="Q34" s="190" t="inlineStr">
        <is>
          <t>P4</t>
        </is>
      </c>
      <c r="R34" s="190" t="inlineStr">
        <is>
          <t>📅 Schedule patch deployment within 30 days | 🔍 Monitor for exploitation attempts</t>
        </is>
      </c>
      <c r="S34" s="190" t="inlineStr">
        <is>
          <t>CVE - IP enrichment n/a</t>
        </is>
      </c>
      <c r="T34" s="190" t="n">
        <v>0.0001</v>
      </c>
      <c r="U34" s="190" t="n">
        <v>0.0199</v>
      </c>
      <c r="V34" s="190" t="inlineStr">
        <is>
          <t>T1203:Exploitation for Client Execution | T1190:Exploit Public-Facing Application</t>
        </is>
      </c>
      <c r="W34" s="190" t="n">
        <v>1</v>
      </c>
      <c r="X34" s="190" t="inlineStr">
        <is>
          <t>LOW (40%)</t>
        </is>
      </c>
      <c r="Y34" s="190" t="inlineStr">
        <is>
          <t>UNLIKELY</t>
        </is>
      </c>
      <c r="Z34" s="190" t="inlineStr">
        <is>
          <t>CHECK_VENDOR</t>
        </is>
      </c>
      <c r="AA34" s="190" t="inlineStr">
        <is>
          <t>https://nvd.nist.gov/vuln/detail/CVE-2026-2858</t>
        </is>
      </c>
      <c r="AB34" s="190" t="inlineStr">
        <is>
          <t>NONE</t>
        </is>
      </c>
      <c r="AC34" s="190" t="n">
        <v>0</v>
      </c>
      <c r="AD34" s="190" t="inlineStr"/>
    </row>
    <row r="35">
      <c r="A35" s="187" t="inlineStr">
        <is>
          <t>CVE</t>
        </is>
      </c>
      <c r="B35" s="187" t="inlineStr">
        <is>
          <t>CVE-2018-25158</t>
        </is>
      </c>
      <c r="C35" s="187"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35" s="187" t="n">
        <v>8.800000000000001</v>
      </c>
      <c r="E35" s="187" t="inlineStr">
        <is>
          <t>HIGH</t>
        </is>
      </c>
      <c r="F35" s="187" t="n">
        <v>2</v>
      </c>
      <c r="G35" s="187" t="n">
        <v>3</v>
      </c>
      <c r="H35" s="187" t="inlineStr">
        <is>
          <t>HIGH</t>
        </is>
      </c>
      <c r="I35" s="187" t="n">
        <v>14.8</v>
      </c>
      <c r="J35" s="187" t="inlineStr">
        <is>
          <t>NO</t>
        </is>
      </c>
      <c r="K35" s="187" t="inlineStr">
        <is>
          <t>https://nvd.nist.gov/vuln/detail/CVE-2018-25158</t>
        </is>
      </c>
      <c r="L35" s="187" t="inlineStr">
        <is>
          <t>2026-02-27 20:47</t>
        </is>
      </c>
      <c r="M35" s="187" t="inlineStr">
        <is>
          <t>CHECK_VENDOR</t>
        </is>
      </c>
      <c r="N35" s="187" t="inlineStr">
        <is>
          <t>See NVD references</t>
        </is>
      </c>
      <c r="O35" s="187" t="inlineStr">
        <is>
          <t>Apply vendor patches</t>
        </is>
      </c>
      <c r="P35" s="187" t="inlineStr">
        <is>
          <t>See CVE details</t>
        </is>
      </c>
      <c r="Q35" s="187" t="inlineStr">
        <is>
          <t>P3</t>
        </is>
      </c>
      <c r="R35" s="187" t="inlineStr">
        <is>
          <t>🚨 URGENT: Apply vendor patches immediately | 🔒 Isolate affected systems if patch unavailable | 🛡️ Enable additional monitoring/IDS rules</t>
        </is>
      </c>
      <c r="S35" s="187" t="inlineStr">
        <is>
          <t>CVE - IP enrichment n/a</t>
        </is>
      </c>
      <c r="T35" s="187" t="n">
        <v>0.0005999999999999999</v>
      </c>
      <c r="U35" s="187" t="n">
        <v>0.1919</v>
      </c>
      <c r="V35" s="187" t="inlineStr">
        <is>
          <t>T1190:Exploit Public-Facing Application | T1203:Exploitation for Client Execution</t>
        </is>
      </c>
      <c r="W35" s="187" t="n">
        <v>1</v>
      </c>
      <c r="X35" s="187" t="inlineStr">
        <is>
          <t>LOW (40%)</t>
        </is>
      </c>
      <c r="Y35" s="187" t="inlineStr">
        <is>
          <t>UNLIKELY</t>
        </is>
      </c>
      <c r="Z35" s="187" t="inlineStr">
        <is>
          <t>CHECK_VENDOR</t>
        </is>
      </c>
      <c r="AA35" s="187" t="inlineStr">
        <is>
          <t>https://nvd.nist.gov/vuln/detail/CVE-2018-25158</t>
        </is>
      </c>
      <c r="AB35" s="187" t="inlineStr">
        <is>
          <t>NONE</t>
        </is>
      </c>
      <c r="AC35" s="187" t="n">
        <v>0</v>
      </c>
      <c r="AD35" s="187" t="inlineStr"/>
    </row>
    <row r="36">
      <c r="A36" s="187" t="inlineStr">
        <is>
          <t>CVE</t>
        </is>
      </c>
      <c r="B36" s="187" t="inlineStr">
        <is>
          <t>CVE-2019-25431</t>
        </is>
      </c>
      <c r="C36" s="187"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36" s="187" t="n">
        <v>8.199999999999999</v>
      </c>
      <c r="E36" s="187" t="inlineStr">
        <is>
          <t>HIGH</t>
        </is>
      </c>
      <c r="F36" s="187" t="n">
        <v>2</v>
      </c>
      <c r="G36" s="187" t="n">
        <v>3</v>
      </c>
      <c r="H36" s="187" t="inlineStr">
        <is>
          <t>HIGH</t>
        </is>
      </c>
      <c r="I36" s="187" t="n">
        <v>14.2</v>
      </c>
      <c r="J36" s="187" t="inlineStr">
        <is>
          <t>NO</t>
        </is>
      </c>
      <c r="K36" s="187" t="inlineStr">
        <is>
          <t>https://nvd.nist.gov/vuln/detail/CVE-2019-25431</t>
        </is>
      </c>
      <c r="L36" s="187" t="inlineStr">
        <is>
          <t>2026-02-27 20:47</t>
        </is>
      </c>
      <c r="M36" s="187" t="inlineStr">
        <is>
          <t>CHECK_VENDOR</t>
        </is>
      </c>
      <c r="N36" s="187" t="inlineStr">
        <is>
          <t>See NVD references</t>
        </is>
      </c>
      <c r="O36" s="187" t="inlineStr">
        <is>
          <t>Apply vendor patches</t>
        </is>
      </c>
      <c r="P36" s="187" t="inlineStr">
        <is>
          <t>See CVE details</t>
        </is>
      </c>
      <c r="Q36" s="187" t="inlineStr">
        <is>
          <t>P3</t>
        </is>
      </c>
      <c r="R36" s="187" t="inlineStr">
        <is>
          <t>🚨 URGENT: Apply vendor patches immediately | 🔒 Isolate affected systems if patch unavailable | 🛡️ Enable additional monitoring/IDS rules</t>
        </is>
      </c>
      <c r="S36" s="187" t="inlineStr">
        <is>
          <t>CVE - IP enrichment n/a</t>
        </is>
      </c>
      <c r="T36" s="187" t="n">
        <v>0.0009</v>
      </c>
      <c r="U36" s="187" t="n">
        <v>0.2474</v>
      </c>
      <c r="V36" s="187" t="inlineStr">
        <is>
          <t>T1190:Exploit Public-Facing Application</t>
        </is>
      </c>
      <c r="W36" s="187" t="n">
        <v>1</v>
      </c>
      <c r="X36" s="187" t="inlineStr">
        <is>
          <t>LOW (40%)</t>
        </is>
      </c>
      <c r="Y36" s="187" t="inlineStr">
        <is>
          <t>UNLIKELY</t>
        </is>
      </c>
      <c r="Z36" s="187" t="inlineStr">
        <is>
          <t>CHECK_VENDOR</t>
        </is>
      </c>
      <c r="AA36" s="187" t="inlineStr">
        <is>
          <t>https://nvd.nist.gov/vuln/detail/CVE-2019-25431</t>
        </is>
      </c>
      <c r="AB36" s="187" t="inlineStr">
        <is>
          <t>NONE</t>
        </is>
      </c>
      <c r="AC36" s="187" t="n">
        <v>0</v>
      </c>
      <c r="AD36" s="187" t="inlineStr"/>
    </row>
    <row r="37">
      <c r="A37" s="187" t="inlineStr">
        <is>
          <t>CVE</t>
        </is>
      </c>
      <c r="B37" s="187" t="inlineStr">
        <is>
          <t>CVE-2019-25432</t>
        </is>
      </c>
      <c r="C37" s="187"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37" s="187" t="n">
        <v>7.5</v>
      </c>
      <c r="E37" s="187" t="inlineStr">
        <is>
          <t>HIGH</t>
        </is>
      </c>
      <c r="F37" s="187" t="n">
        <v>2</v>
      </c>
      <c r="G37" s="187" t="n">
        <v>3</v>
      </c>
      <c r="H37" s="187" t="inlineStr">
        <is>
          <t>HIGH</t>
        </is>
      </c>
      <c r="I37" s="187" t="n">
        <v>13.5</v>
      </c>
      <c r="J37" s="187" t="inlineStr">
        <is>
          <t>NO</t>
        </is>
      </c>
      <c r="K37" s="187" t="inlineStr">
        <is>
          <t>https://nvd.nist.gov/vuln/detail/CVE-2019-25432</t>
        </is>
      </c>
      <c r="L37" s="187" t="inlineStr">
        <is>
          <t>2026-02-27 20:47</t>
        </is>
      </c>
      <c r="M37" s="187" t="inlineStr">
        <is>
          <t>CHECK_VENDOR</t>
        </is>
      </c>
      <c r="N37" s="187" t="inlineStr">
        <is>
          <t>See NVD references</t>
        </is>
      </c>
      <c r="O37" s="187" t="inlineStr">
        <is>
          <t>Apply vendor patches</t>
        </is>
      </c>
      <c r="P37" s="187" t="inlineStr">
        <is>
          <t>See CVE details</t>
        </is>
      </c>
      <c r="Q37" s="187" t="inlineStr">
        <is>
          <t>P3</t>
        </is>
      </c>
      <c r="R37" s="187" t="inlineStr">
        <is>
          <t>🚨 URGENT: Apply vendor patches immediately | 🔒 Isolate affected systems if patch unavailable | 🛡️ Enable additional monitoring/IDS rules</t>
        </is>
      </c>
      <c r="S37" s="187" t="inlineStr">
        <is>
          <t>CVE - IP enrichment n/a</t>
        </is>
      </c>
      <c r="T37" s="187" t="n">
        <v>0.0019</v>
      </c>
      <c r="U37" s="187" t="n">
        <v>0.4051</v>
      </c>
      <c r="V37" s="187" t="inlineStr">
        <is>
          <t>T1190:Exploit Public-Facing Application | T1078:Valid Accounts | T1552:Unsecured Credentials</t>
        </is>
      </c>
      <c r="W37" s="187" t="n">
        <v>1</v>
      </c>
      <c r="X37" s="187" t="inlineStr">
        <is>
          <t>LOW (40%)</t>
        </is>
      </c>
      <c r="Y37" s="187" t="inlineStr">
        <is>
          <t>UNLIKELY</t>
        </is>
      </c>
      <c r="Z37" s="187" t="inlineStr">
        <is>
          <t>CHECK_VENDOR</t>
        </is>
      </c>
      <c r="AA37" s="187" t="inlineStr">
        <is>
          <t>https://nvd.nist.gov/vuln/detail/CVE-2019-25432</t>
        </is>
      </c>
      <c r="AB37" s="187" t="inlineStr">
        <is>
          <t>NONE</t>
        </is>
      </c>
      <c r="AC37" s="187" t="n">
        <v>0</v>
      </c>
      <c r="AD37" s="187" t="inlineStr"/>
    </row>
    <row r="38">
      <c r="A38" s="187" t="inlineStr">
        <is>
          <t>CVE</t>
        </is>
      </c>
      <c r="B38" s="187" t="inlineStr">
        <is>
          <t>CVE-2019-25434</t>
        </is>
      </c>
      <c r="C38" s="187"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38" s="187" t="n">
        <v>7.5</v>
      </c>
      <c r="E38" s="187" t="inlineStr">
        <is>
          <t>HIGH</t>
        </is>
      </c>
      <c r="F38" s="187" t="n">
        <v>2</v>
      </c>
      <c r="G38" s="187" t="n">
        <v>3</v>
      </c>
      <c r="H38" s="187" t="inlineStr">
        <is>
          <t>HIGH</t>
        </is>
      </c>
      <c r="I38" s="187" t="n">
        <v>13.5</v>
      </c>
      <c r="J38" s="187" t="inlineStr">
        <is>
          <t>NO</t>
        </is>
      </c>
      <c r="K38" s="187" t="inlineStr">
        <is>
          <t>https://nvd.nist.gov/vuln/detail/CVE-2019-25434</t>
        </is>
      </c>
      <c r="L38" s="187" t="inlineStr">
        <is>
          <t>2026-02-27 20:47</t>
        </is>
      </c>
      <c r="M38" s="187" t="inlineStr">
        <is>
          <t>CHECK_VENDOR</t>
        </is>
      </c>
      <c r="N38" s="187" t="inlineStr">
        <is>
          <t>See NVD references</t>
        </is>
      </c>
      <c r="O38" s="187" t="inlineStr">
        <is>
          <t>Apply vendor patches</t>
        </is>
      </c>
      <c r="P38" s="187" t="inlineStr">
        <is>
          <t>See CVE details</t>
        </is>
      </c>
      <c r="Q38" s="187" t="inlineStr">
        <is>
          <t>P3</t>
        </is>
      </c>
      <c r="R38" s="187" t="inlineStr">
        <is>
          <t>🚨 URGENT: Apply vendor patches immediately | 🔒 Isolate affected systems if patch unavailable | 🛡️ Enable additional monitoring/IDS rules</t>
        </is>
      </c>
      <c r="S38" s="187" t="inlineStr">
        <is>
          <t>CVE - IP enrichment n/a</t>
        </is>
      </c>
      <c r="T38" s="187" t="n">
        <v>0.0005999999999999999</v>
      </c>
      <c r="U38" s="187" t="n">
        <v>0.1719</v>
      </c>
      <c r="V38" s="187" t="inlineStr">
        <is>
          <t>T1190:Exploit Public-Facing Application | T1499:Endpoint Denial of Service</t>
        </is>
      </c>
      <c r="W38" s="187" t="n">
        <v>1</v>
      </c>
      <c r="X38" s="187" t="inlineStr">
        <is>
          <t>LOW (40%)</t>
        </is>
      </c>
      <c r="Y38" s="187" t="inlineStr">
        <is>
          <t>UNLIKELY</t>
        </is>
      </c>
      <c r="Z38" s="187" t="inlineStr">
        <is>
          <t>CHECK_VENDOR</t>
        </is>
      </c>
      <c r="AA38" s="187" t="inlineStr">
        <is>
          <t>https://nvd.nist.gov/vuln/detail/CVE-2019-25434</t>
        </is>
      </c>
      <c r="AB38" s="187" t="inlineStr">
        <is>
          <t>NONE</t>
        </is>
      </c>
      <c r="AC38" s="187" t="n">
        <v>0</v>
      </c>
      <c r="AD38" s="187" t="inlineStr"/>
    </row>
    <row r="39">
      <c r="A39" s="187" t="inlineStr">
        <is>
          <t>CVE</t>
        </is>
      </c>
      <c r="B39" s="187" t="inlineStr">
        <is>
          <t>CVE-2019-25435</t>
        </is>
      </c>
      <c r="C39" s="187"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39" s="187" t="n">
        <v>7.8</v>
      </c>
      <c r="E39" s="187" t="inlineStr">
        <is>
          <t>HIGH</t>
        </is>
      </c>
      <c r="F39" s="187" t="n">
        <v>2</v>
      </c>
      <c r="G39" s="187" t="n">
        <v>3</v>
      </c>
      <c r="H39" s="187" t="inlineStr">
        <is>
          <t>HIGH</t>
        </is>
      </c>
      <c r="I39" s="187" t="n">
        <v>13.8</v>
      </c>
      <c r="J39" s="187" t="inlineStr">
        <is>
          <t>NO</t>
        </is>
      </c>
      <c r="K39" s="187" t="inlineStr">
        <is>
          <t>https://nvd.nist.gov/vuln/detail/CVE-2019-25435</t>
        </is>
      </c>
      <c r="L39" s="187" t="inlineStr">
        <is>
          <t>2026-02-27 20:47</t>
        </is>
      </c>
      <c r="M39" s="187" t="inlineStr">
        <is>
          <t>CHECK_VENDOR</t>
        </is>
      </c>
      <c r="N39" s="187" t="inlineStr">
        <is>
          <t>See NVD references</t>
        </is>
      </c>
      <c r="O39" s="187" t="inlineStr">
        <is>
          <t>Apply vendor patches</t>
        </is>
      </c>
      <c r="P39" s="187" t="inlineStr">
        <is>
          <t>sricam deviceviewer 3.12.0.1</t>
        </is>
      </c>
      <c r="Q39" s="187" t="inlineStr">
        <is>
          <t>P3</t>
        </is>
      </c>
      <c r="R39" s="187" t="inlineStr">
        <is>
          <t>🚨 URGENT: Apply vendor patches immediately | 🔒 Isolate affected systems if patch unavailable | 🛡️ Enable additional monitoring/IDS rules</t>
        </is>
      </c>
      <c r="S39" s="187" t="inlineStr">
        <is>
          <t>CVE - IP enrichment n/a</t>
        </is>
      </c>
      <c r="T39" s="187" t="n">
        <v>0.0002</v>
      </c>
      <c r="U39" s="187" t="n">
        <v>0.0375</v>
      </c>
      <c r="V39" s="187" t="inlineStr">
        <is>
          <t>T1190:Exploit Public-Facing Application | T1203:Exploitation for Client Execution</t>
        </is>
      </c>
      <c r="W39" s="187" t="n">
        <v>1</v>
      </c>
      <c r="X39" s="187" t="inlineStr">
        <is>
          <t>LOW (40%)</t>
        </is>
      </c>
      <c r="Y39" s="187" t="inlineStr">
        <is>
          <t>UNLIKELY</t>
        </is>
      </c>
      <c r="Z39" s="187" t="inlineStr">
        <is>
          <t>CHECK_VENDOR</t>
        </is>
      </c>
      <c r="AA39" s="187" t="inlineStr">
        <is>
          <t>https://nvd.nist.gov/vuln/detail/CVE-2019-25435</t>
        </is>
      </c>
      <c r="AB39" s="187" t="inlineStr">
        <is>
          <t>NONE</t>
        </is>
      </c>
      <c r="AC39" s="187" t="n">
        <v>0</v>
      </c>
      <c r="AD39" s="187" t="inlineStr"/>
    </row>
    <row r="40">
      <c r="A40" s="188" t="inlineStr">
        <is>
          <t>CVE</t>
        </is>
      </c>
      <c r="B40" s="188" t="inlineStr">
        <is>
          <t>CVE-2019-25436</t>
        </is>
      </c>
      <c r="C40" s="188"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40" s="188" t="n">
        <v>6.5</v>
      </c>
      <c r="E40" s="188" t="inlineStr">
        <is>
          <t>MEDIUM</t>
        </is>
      </c>
      <c r="F40" s="188" t="n">
        <v>2</v>
      </c>
      <c r="G40" s="188" t="n">
        <v>2</v>
      </c>
      <c r="H40" s="188" t="inlineStr">
        <is>
          <t>MEDIUM</t>
        </is>
      </c>
      <c r="I40" s="188" t="n">
        <v>10.5</v>
      </c>
      <c r="J40" s="188" t="inlineStr">
        <is>
          <t>NO</t>
        </is>
      </c>
      <c r="K40" s="188" t="inlineStr">
        <is>
          <t>https://nvd.nist.gov/vuln/detail/CVE-2019-25436</t>
        </is>
      </c>
      <c r="L40" s="188" t="inlineStr">
        <is>
          <t>2026-02-27 20:47</t>
        </is>
      </c>
      <c r="M40" s="188" t="inlineStr">
        <is>
          <t>CHECK_VENDOR</t>
        </is>
      </c>
      <c r="N40" s="188" t="inlineStr">
        <is>
          <t>See NVD references</t>
        </is>
      </c>
      <c r="O40" s="188" t="inlineStr">
        <is>
          <t>Apply vendor patches</t>
        </is>
      </c>
      <c r="P40" s="188" t="inlineStr">
        <is>
          <t>sricam deviceviewer 3.12.0.1</t>
        </is>
      </c>
      <c r="Q40" s="188" t="inlineStr">
        <is>
          <t>P4</t>
        </is>
      </c>
      <c r="R40" s="188" t="inlineStr">
        <is>
          <t>📅 Schedule patch deployment within 30 days | 🔍 Monitor for exploitation attempts</t>
        </is>
      </c>
      <c r="S40" s="188" t="inlineStr">
        <is>
          <t>CVE - IP enrichment n/a</t>
        </is>
      </c>
      <c r="T40" s="188" t="n">
        <v>0.0002</v>
      </c>
      <c r="U40" s="188" t="n">
        <v>0.0509</v>
      </c>
      <c r="V40" s="188" t="inlineStr">
        <is>
          <t>T1190:Exploit Public-Facing Application</t>
        </is>
      </c>
      <c r="W40" s="188" t="n">
        <v>1</v>
      </c>
      <c r="X40" s="188" t="inlineStr">
        <is>
          <t>LOW (40%)</t>
        </is>
      </c>
      <c r="Y40" s="188" t="inlineStr">
        <is>
          <t>UNLIKELY</t>
        </is>
      </c>
      <c r="Z40" s="188" t="inlineStr">
        <is>
          <t>CHECK_VENDOR</t>
        </is>
      </c>
      <c r="AA40" s="188" t="inlineStr">
        <is>
          <t>https://nvd.nist.gov/vuln/detail/CVE-2019-25436</t>
        </is>
      </c>
      <c r="AB40" s="188" t="inlineStr">
        <is>
          <t>NONE</t>
        </is>
      </c>
      <c r="AC40" s="188" t="n">
        <v>0</v>
      </c>
      <c r="AD40" s="188" t="inlineStr"/>
    </row>
    <row r="41">
      <c r="A41" s="188" t="inlineStr">
        <is>
          <t>CVE</t>
        </is>
      </c>
      <c r="B41" s="188" t="inlineStr">
        <is>
          <t>CVE-2019-25437</t>
        </is>
      </c>
      <c r="C41" s="188"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41" s="188" t="n">
        <v>6.2</v>
      </c>
      <c r="E41" s="188" t="inlineStr">
        <is>
          <t>MEDIUM</t>
        </is>
      </c>
      <c r="F41" s="188" t="n">
        <v>2</v>
      </c>
      <c r="G41" s="188" t="n">
        <v>2</v>
      </c>
      <c r="H41" s="188" t="inlineStr">
        <is>
          <t>MEDIUM</t>
        </is>
      </c>
      <c r="I41" s="188" t="n">
        <v>10.2</v>
      </c>
      <c r="J41" s="188" t="inlineStr">
        <is>
          <t>NO</t>
        </is>
      </c>
      <c r="K41" s="188" t="inlineStr">
        <is>
          <t>https://nvd.nist.gov/vuln/detail/CVE-2019-25437</t>
        </is>
      </c>
      <c r="L41" s="188" t="inlineStr">
        <is>
          <t>2026-02-27 20:47</t>
        </is>
      </c>
      <c r="M41" s="188" t="inlineStr">
        <is>
          <t>CHECK_VENDOR</t>
        </is>
      </c>
      <c r="N41" s="188" t="inlineStr">
        <is>
          <t>See NVD references</t>
        </is>
      </c>
      <c r="O41" s="188" t="inlineStr">
        <is>
          <t>Apply vendor patches</t>
        </is>
      </c>
      <c r="P41" s="188" t="inlineStr">
        <is>
          <t>See CVE details</t>
        </is>
      </c>
      <c r="Q41" s="188" t="inlineStr">
        <is>
          <t>P4</t>
        </is>
      </c>
      <c r="R41" s="188" t="inlineStr">
        <is>
          <t>📅 Schedule patch deployment within 30 days | 🔍 Monitor for exploitation attempts</t>
        </is>
      </c>
      <c r="S41" s="188" t="inlineStr">
        <is>
          <t>CVE - IP enrichment n/a</t>
        </is>
      </c>
      <c r="T41" s="188" t="n">
        <v>0.0001</v>
      </c>
      <c r="U41" s="188" t="n">
        <v>0.0314</v>
      </c>
      <c r="V41" s="188" t="inlineStr">
        <is>
          <t>T1190:Exploit Public-Facing Application | T1203:Exploitation for Client Execution</t>
        </is>
      </c>
      <c r="W41" s="188" t="n">
        <v>1</v>
      </c>
      <c r="X41" s="188" t="inlineStr">
        <is>
          <t>LOW (40%)</t>
        </is>
      </c>
      <c r="Y41" s="188" t="inlineStr">
        <is>
          <t>UNLIKELY</t>
        </is>
      </c>
      <c r="Z41" s="188" t="inlineStr">
        <is>
          <t>CHECK_VENDOR</t>
        </is>
      </c>
      <c r="AA41" s="188" t="inlineStr">
        <is>
          <t>https://nvd.nist.gov/vuln/detail/CVE-2019-25437</t>
        </is>
      </c>
      <c r="AB41" s="188" t="inlineStr">
        <is>
          <t>NONE</t>
        </is>
      </c>
      <c r="AC41" s="188" t="n">
        <v>0</v>
      </c>
      <c r="AD41" s="188" t="inlineStr"/>
    </row>
    <row r="42">
      <c r="A42" s="187" t="inlineStr">
        <is>
          <t>CVE</t>
        </is>
      </c>
      <c r="B42" s="187" t="inlineStr">
        <is>
          <t>CVE-2019-25438</t>
        </is>
      </c>
      <c r="C42" s="187"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42" s="187" t="n">
        <v>8.199999999999999</v>
      </c>
      <c r="E42" s="187" t="inlineStr">
        <is>
          <t>HIGH</t>
        </is>
      </c>
      <c r="F42" s="187" t="n">
        <v>2</v>
      </c>
      <c r="G42" s="187" t="n">
        <v>3</v>
      </c>
      <c r="H42" s="187" t="inlineStr">
        <is>
          <t>HIGH</t>
        </is>
      </c>
      <c r="I42" s="187" t="n">
        <v>14.2</v>
      </c>
      <c r="J42" s="187" t="inlineStr">
        <is>
          <t>NO</t>
        </is>
      </c>
      <c r="K42" s="187" t="inlineStr">
        <is>
          <t>https://nvd.nist.gov/vuln/detail/CVE-2019-25438</t>
        </is>
      </c>
      <c r="L42" s="187" t="inlineStr">
        <is>
          <t>2026-02-27 20:47</t>
        </is>
      </c>
      <c r="M42" s="187" t="inlineStr">
        <is>
          <t>CHECK_VENDOR</t>
        </is>
      </c>
      <c r="N42" s="187" t="inlineStr">
        <is>
          <t>See NVD references</t>
        </is>
      </c>
      <c r="O42" s="187" t="inlineStr">
        <is>
          <t>Apply vendor patches</t>
        </is>
      </c>
      <c r="P42" s="187" t="inlineStr">
        <is>
          <t>agilebio labcollector 5.423</t>
        </is>
      </c>
      <c r="Q42" s="187" t="inlineStr">
        <is>
          <t>P3</t>
        </is>
      </c>
      <c r="R42" s="187" t="inlineStr">
        <is>
          <t>🚨 URGENT: Apply vendor patches immediately | 🔒 Isolate affected systems if patch unavailable | 🛡️ Enable additional monitoring/IDS rules</t>
        </is>
      </c>
      <c r="S42" s="187" t="inlineStr">
        <is>
          <t>CVE - IP enrichment n/a</t>
        </is>
      </c>
      <c r="T42" s="187" t="n">
        <v>0.0034</v>
      </c>
      <c r="U42" s="187" t="n">
        <v>0.5626</v>
      </c>
      <c r="V42" s="187" t="inlineStr">
        <is>
          <t>T1190:Exploit Public-Facing Application</t>
        </is>
      </c>
      <c r="W42" s="187" t="n">
        <v>1</v>
      </c>
      <c r="X42" s="187" t="inlineStr">
        <is>
          <t>LOW (40%)</t>
        </is>
      </c>
      <c r="Y42" s="187" t="inlineStr">
        <is>
          <t>UNLIKELY</t>
        </is>
      </c>
      <c r="Z42" s="187" t="inlineStr">
        <is>
          <t>CHECK_VENDOR</t>
        </is>
      </c>
      <c r="AA42" s="187" t="inlineStr">
        <is>
          <t>https://nvd.nist.gov/vuln/detail/CVE-2019-25438</t>
        </is>
      </c>
      <c r="AB42" s="187" t="inlineStr">
        <is>
          <t>NONE</t>
        </is>
      </c>
      <c r="AC42" s="187" t="n">
        <v>0</v>
      </c>
      <c r="AD42" s="187" t="inlineStr"/>
    </row>
    <row r="43">
      <c r="A43" s="189" t="inlineStr">
        <is>
          <t>CVE</t>
        </is>
      </c>
      <c r="B43" s="189" t="inlineStr">
        <is>
          <t>CVE-2019-25441</t>
        </is>
      </c>
      <c r="C43" s="18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43" s="189" t="n">
        <v>9.800000000000001</v>
      </c>
      <c r="E43" s="189" t="inlineStr">
        <is>
          <t>CRITICAL</t>
        </is>
      </c>
      <c r="F43" s="189" t="n">
        <v>2</v>
      </c>
      <c r="G43" s="189" t="n">
        <v>3</v>
      </c>
      <c r="H43" s="189" t="inlineStr">
        <is>
          <t>HIGH</t>
        </is>
      </c>
      <c r="I43" s="189" t="n">
        <v>15.8</v>
      </c>
      <c r="J43" s="189" t="inlineStr">
        <is>
          <t>NO</t>
        </is>
      </c>
      <c r="K43" s="189" t="inlineStr">
        <is>
          <t>https://nvd.nist.gov/vuln/detail/CVE-2019-25441</t>
        </is>
      </c>
      <c r="L43" s="189" t="inlineStr">
        <is>
          <t>2026-02-27 20:47</t>
        </is>
      </c>
      <c r="M43" s="189" t="inlineStr">
        <is>
          <t>CHECK_VENDOR</t>
        </is>
      </c>
      <c r="N43" s="189" t="inlineStr">
        <is>
          <t>See NVD references</t>
        </is>
      </c>
      <c r="O43" s="189" t="inlineStr">
        <is>
          <t>Apply vendor patches</t>
        </is>
      </c>
      <c r="P43" s="189" t="inlineStr">
        <is>
          <t>See CVE details</t>
        </is>
      </c>
      <c r="Q43" s="189" t="inlineStr">
        <is>
          <t>P2</t>
        </is>
      </c>
      <c r="R43" s="189" t="inlineStr">
        <is>
          <t>🚨 URGENT: Apply vendor patches immediately | 🔒 Isolate affected systems if patch unavailable | 🛡️ Enable additional monitoring/IDS rules</t>
        </is>
      </c>
      <c r="S43" s="189" t="inlineStr">
        <is>
          <t>CVE - IP enrichment n/a</t>
        </is>
      </c>
      <c r="T43" s="189" t="n">
        <v>0.0336</v>
      </c>
      <c r="U43" s="189" t="n">
        <v>0.871</v>
      </c>
      <c r="V43" s="189" t="inlineStr">
        <is>
          <t>T1059:Command and Scripting Interpreter | T1203:Exploitation for Client Execution</t>
        </is>
      </c>
      <c r="W43" s="189" t="n">
        <v>1</v>
      </c>
      <c r="X43" s="189" t="inlineStr">
        <is>
          <t>LOW (40%)</t>
        </is>
      </c>
      <c r="Y43" s="189" t="inlineStr">
        <is>
          <t>UNLIKELY</t>
        </is>
      </c>
      <c r="Z43" s="189" t="inlineStr">
        <is>
          <t>CHECK_VENDOR</t>
        </is>
      </c>
      <c r="AA43" s="189" t="inlineStr">
        <is>
          <t>https://nvd.nist.gov/vuln/detail/CVE-2019-25441</t>
        </is>
      </c>
      <c r="AB43" s="189" t="inlineStr">
        <is>
          <t>NONE</t>
        </is>
      </c>
      <c r="AC43" s="189" t="n">
        <v>0</v>
      </c>
      <c r="AD43" s="189" t="inlineStr"/>
    </row>
    <row r="44">
      <c r="A44" s="188" t="inlineStr">
        <is>
          <t>CVE</t>
        </is>
      </c>
      <c r="B44" s="188" t="inlineStr">
        <is>
          <t>CVE-2019-25447</t>
        </is>
      </c>
      <c r="C44" s="188"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44" s="188" t="n">
        <v>4.3</v>
      </c>
      <c r="E44" s="188" t="inlineStr">
        <is>
          <t>MEDIUM</t>
        </is>
      </c>
      <c r="F44" s="188" t="n">
        <v>2</v>
      </c>
      <c r="G44" s="188" t="n">
        <v>2</v>
      </c>
      <c r="H44" s="188" t="inlineStr">
        <is>
          <t>MEDIUM</t>
        </is>
      </c>
      <c r="I44" s="188" t="n">
        <v>8.300000000000001</v>
      </c>
      <c r="J44" s="188" t="inlineStr">
        <is>
          <t>NO</t>
        </is>
      </c>
      <c r="K44" s="188" t="inlineStr">
        <is>
          <t>https://nvd.nist.gov/vuln/detail/CVE-2019-25447</t>
        </is>
      </c>
      <c r="L44" s="188" t="inlineStr">
        <is>
          <t>2026-02-27 20:47</t>
        </is>
      </c>
      <c r="M44" s="188" t="inlineStr">
        <is>
          <t>CHECK_VENDOR</t>
        </is>
      </c>
      <c r="N44" s="188" t="inlineStr">
        <is>
          <t>See NVD references</t>
        </is>
      </c>
      <c r="O44" s="188" t="inlineStr">
        <is>
          <t>Apply vendor patches</t>
        </is>
      </c>
      <c r="P44" s="188" t="inlineStr">
        <is>
          <t>orientdb orientdb 3.0.17</t>
        </is>
      </c>
      <c r="Q44" s="188" t="inlineStr">
        <is>
          <t>P4</t>
        </is>
      </c>
      <c r="R44" s="188" t="inlineStr">
        <is>
          <t>📅 Schedule patch deployment within 30 days | 🔍 Monitor for exploitation attempts</t>
        </is>
      </c>
      <c r="S44" s="188" t="inlineStr">
        <is>
          <t>CVE - IP enrichment n/a</t>
        </is>
      </c>
      <c r="T44" s="188" t="n">
        <v>0.0001</v>
      </c>
      <c r="U44" s="188" t="n">
        <v>0.022</v>
      </c>
      <c r="V44" s="188" t="inlineStr">
        <is>
          <t>T1185:Browser Session Hijacking | T1189:Drive-by Compromise</t>
        </is>
      </c>
      <c r="W44" s="188" t="n">
        <v>1</v>
      </c>
      <c r="X44" s="188" t="inlineStr">
        <is>
          <t>LOW (40%)</t>
        </is>
      </c>
      <c r="Y44" s="188" t="inlineStr">
        <is>
          <t>UNLIKELY</t>
        </is>
      </c>
      <c r="Z44" s="188" t="inlineStr">
        <is>
          <t>CHECK_VENDOR</t>
        </is>
      </c>
      <c r="AA44" s="188" t="inlineStr">
        <is>
          <t>https://nvd.nist.gov/vuln/detail/CVE-2019-25447</t>
        </is>
      </c>
      <c r="AB44" s="188" t="inlineStr">
        <is>
          <t>NONE</t>
        </is>
      </c>
      <c r="AC44" s="188" t="n">
        <v>0</v>
      </c>
      <c r="AD44" s="188" t="inlineStr"/>
    </row>
    <row r="45">
      <c r="A45" s="188" t="inlineStr">
        <is>
          <t>CVE</t>
        </is>
      </c>
      <c r="B45" s="188" t="inlineStr">
        <is>
          <t>CVE-2019-25448</t>
        </is>
      </c>
      <c r="C45" s="188"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45" s="188" t="n">
        <v>6.4</v>
      </c>
      <c r="E45" s="188" t="inlineStr">
        <is>
          <t>MEDIUM</t>
        </is>
      </c>
      <c r="F45" s="188" t="n">
        <v>2</v>
      </c>
      <c r="G45" s="188" t="n">
        <v>2</v>
      </c>
      <c r="H45" s="188" t="inlineStr">
        <is>
          <t>MEDIUM</t>
        </is>
      </c>
      <c r="I45" s="188" t="n">
        <v>10.4</v>
      </c>
      <c r="J45" s="188" t="inlineStr">
        <is>
          <t>NO</t>
        </is>
      </c>
      <c r="K45" s="188" t="inlineStr">
        <is>
          <t>https://nvd.nist.gov/vuln/detail/CVE-2019-25448</t>
        </is>
      </c>
      <c r="L45" s="188" t="inlineStr">
        <is>
          <t>2026-02-27 20:47</t>
        </is>
      </c>
      <c r="M45" s="188" t="inlineStr">
        <is>
          <t>CHECK_VENDOR</t>
        </is>
      </c>
      <c r="N45" s="188" t="inlineStr">
        <is>
          <t>See NVD references</t>
        </is>
      </c>
      <c r="O45" s="188" t="inlineStr">
        <is>
          <t>Apply vendor patches</t>
        </is>
      </c>
      <c r="P45" s="188" t="inlineStr">
        <is>
          <t>orientdb orientdb 3.0.17</t>
        </is>
      </c>
      <c r="Q45" s="188" t="inlineStr">
        <is>
          <t>P4</t>
        </is>
      </c>
      <c r="R45" s="188" t="inlineStr">
        <is>
          <t>📅 Schedule patch deployment within 30 days | 🔍 Monitor for exploitation attempts</t>
        </is>
      </c>
      <c r="S45" s="188" t="inlineStr">
        <is>
          <t>CVE - IP enrichment n/a</t>
        </is>
      </c>
      <c r="T45" s="188" t="n">
        <v>0.0003</v>
      </c>
      <c r="U45" s="188" t="n">
        <v>0.0992</v>
      </c>
      <c r="V45" s="188" t="inlineStr">
        <is>
          <t>T1189:Drive-by Compromise</t>
        </is>
      </c>
      <c r="W45" s="188" t="n">
        <v>1</v>
      </c>
      <c r="X45" s="188" t="inlineStr">
        <is>
          <t>LOW (40%)</t>
        </is>
      </c>
      <c r="Y45" s="188" t="inlineStr">
        <is>
          <t>UNLIKELY</t>
        </is>
      </c>
      <c r="Z45" s="188" t="inlineStr">
        <is>
          <t>CHECK_VENDOR</t>
        </is>
      </c>
      <c r="AA45" s="188" t="inlineStr">
        <is>
          <t>https://nvd.nist.gov/vuln/detail/CVE-2019-25448</t>
        </is>
      </c>
      <c r="AB45" s="188" t="inlineStr">
        <is>
          <t>NONE</t>
        </is>
      </c>
      <c r="AC45" s="188" t="n">
        <v>0</v>
      </c>
      <c r="AD45" s="188" t="inlineStr"/>
    </row>
    <row r="46">
      <c r="A46" s="188" t="inlineStr">
        <is>
          <t>CVE</t>
        </is>
      </c>
      <c r="B46" s="188" t="inlineStr">
        <is>
          <t>CVE-2019-25449</t>
        </is>
      </c>
      <c r="C46" s="188"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46" s="188" t="n">
        <v>6.1</v>
      </c>
      <c r="E46" s="188" t="inlineStr">
        <is>
          <t>MEDIUM</t>
        </is>
      </c>
      <c r="F46" s="188" t="n">
        <v>2</v>
      </c>
      <c r="G46" s="188" t="n">
        <v>2</v>
      </c>
      <c r="H46" s="188" t="inlineStr">
        <is>
          <t>MEDIUM</t>
        </is>
      </c>
      <c r="I46" s="188" t="n">
        <v>10.1</v>
      </c>
      <c r="J46" s="188" t="inlineStr">
        <is>
          <t>NO</t>
        </is>
      </c>
      <c r="K46" s="188" t="inlineStr">
        <is>
          <t>https://nvd.nist.gov/vuln/detail/CVE-2019-25449</t>
        </is>
      </c>
      <c r="L46" s="188" t="inlineStr">
        <is>
          <t>2026-02-27 20:47</t>
        </is>
      </c>
      <c r="M46" s="188" t="inlineStr">
        <is>
          <t>CHECK_VENDOR</t>
        </is>
      </c>
      <c r="N46" s="188" t="inlineStr">
        <is>
          <t>See NVD references</t>
        </is>
      </c>
      <c r="O46" s="188" t="inlineStr">
        <is>
          <t>Apply vendor patches</t>
        </is>
      </c>
      <c r="P46" s="188" t="inlineStr">
        <is>
          <t>orientdb orientdb 3.0.17</t>
        </is>
      </c>
      <c r="Q46" s="188" t="inlineStr">
        <is>
          <t>P4</t>
        </is>
      </c>
      <c r="R46" s="188" t="inlineStr">
        <is>
          <t>📅 Schedule patch deployment within 30 days | 🔍 Monitor for exploitation attempts</t>
        </is>
      </c>
      <c r="S46" s="188" t="inlineStr">
        <is>
          <t>CVE - IP enrichment n/a</t>
        </is>
      </c>
      <c r="T46" s="188" t="n">
        <v>0.0003</v>
      </c>
      <c r="U46" s="188" t="n">
        <v>0.066</v>
      </c>
      <c r="V46" s="188" t="inlineStr">
        <is>
          <t>T1189:Drive-by Compromise</t>
        </is>
      </c>
      <c r="W46" s="188" t="n">
        <v>1</v>
      </c>
      <c r="X46" s="188" t="inlineStr">
        <is>
          <t>LOW (40%)</t>
        </is>
      </c>
      <c r="Y46" s="188" t="inlineStr">
        <is>
          <t>UNLIKELY</t>
        </is>
      </c>
      <c r="Z46" s="188" t="inlineStr">
        <is>
          <t>CHECK_VENDOR</t>
        </is>
      </c>
      <c r="AA46" s="188" t="inlineStr">
        <is>
          <t>https://nvd.nist.gov/vuln/detail/CVE-2019-25449</t>
        </is>
      </c>
      <c r="AB46" s="188" t="inlineStr">
        <is>
          <t>NONE</t>
        </is>
      </c>
      <c r="AC46" s="188" t="n">
        <v>0</v>
      </c>
      <c r="AD46" s="188" t="inlineStr"/>
    </row>
    <row r="47">
      <c r="A47" s="188" t="inlineStr">
        <is>
          <t>CVE</t>
        </is>
      </c>
      <c r="B47" s="188" t="inlineStr">
        <is>
          <t>CVE-2019-25451</t>
        </is>
      </c>
      <c r="C47" s="188"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47" s="188" t="n">
        <v>4.3</v>
      </c>
      <c r="E47" s="188" t="inlineStr">
        <is>
          <t>MEDIUM</t>
        </is>
      </c>
      <c r="F47" s="188" t="n">
        <v>2</v>
      </c>
      <c r="G47" s="188" t="n">
        <v>2</v>
      </c>
      <c r="H47" s="188" t="inlineStr">
        <is>
          <t>MEDIUM</t>
        </is>
      </c>
      <c r="I47" s="188" t="n">
        <v>8.300000000000001</v>
      </c>
      <c r="J47" s="188" t="inlineStr">
        <is>
          <t>NO</t>
        </is>
      </c>
      <c r="K47" s="188" t="inlineStr">
        <is>
          <t>https://nvd.nist.gov/vuln/detail/CVE-2019-25451</t>
        </is>
      </c>
      <c r="L47" s="188" t="inlineStr">
        <is>
          <t>2026-02-27 20:47</t>
        </is>
      </c>
      <c r="M47" s="188" t="inlineStr">
        <is>
          <t>CHECK_VENDOR</t>
        </is>
      </c>
      <c r="N47" s="188" t="inlineStr">
        <is>
          <t>See NVD references</t>
        </is>
      </c>
      <c r="O47" s="188" t="inlineStr">
        <is>
          <t>Apply vendor patches</t>
        </is>
      </c>
      <c r="P47" s="188" t="inlineStr">
        <is>
          <t>phpmoadmin phpmoadmin 1.1.5</t>
        </is>
      </c>
      <c r="Q47" s="188" t="inlineStr">
        <is>
          <t>P4</t>
        </is>
      </c>
      <c r="R47" s="188" t="inlineStr">
        <is>
          <t>📅 Schedule patch deployment within 30 days | 🔍 Monitor for exploitation attempts</t>
        </is>
      </c>
      <c r="S47" s="188" t="inlineStr">
        <is>
          <t>CVE - IP enrichment n/a</t>
        </is>
      </c>
      <c r="T47" s="188" t="n">
        <v>0.0003</v>
      </c>
      <c r="U47" s="188" t="n">
        <v>0.0978</v>
      </c>
      <c r="V47" s="188" t="inlineStr">
        <is>
          <t>T1090:Proxy</t>
        </is>
      </c>
      <c r="W47" s="188" t="n">
        <v>1</v>
      </c>
      <c r="X47" s="188" t="inlineStr">
        <is>
          <t>LOW (40%)</t>
        </is>
      </c>
      <c r="Y47" s="188" t="inlineStr">
        <is>
          <t>UNLIKELY</t>
        </is>
      </c>
      <c r="Z47" s="188" t="inlineStr">
        <is>
          <t>CHECK_VENDOR</t>
        </is>
      </c>
      <c r="AA47" s="188" t="inlineStr">
        <is>
          <t>https://nvd.nist.gov/vuln/detail/CVE-2019-25451</t>
        </is>
      </c>
      <c r="AB47" s="188" t="inlineStr">
        <is>
          <t>NONE</t>
        </is>
      </c>
      <c r="AC47" s="188" t="n">
        <v>0</v>
      </c>
      <c r="AD47" s="188" t="inlineStr"/>
    </row>
    <row r="48">
      <c r="A48" s="188" t="inlineStr">
        <is>
          <t>CVE</t>
        </is>
      </c>
      <c r="B48" s="188" t="inlineStr">
        <is>
          <t>CVE-2019-25453</t>
        </is>
      </c>
      <c r="C48" s="188"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48" s="188" t="n">
        <v>6.1</v>
      </c>
      <c r="E48" s="188" t="inlineStr">
        <is>
          <t>MEDIUM</t>
        </is>
      </c>
      <c r="F48" s="188" t="n">
        <v>2</v>
      </c>
      <c r="G48" s="188" t="n">
        <v>2</v>
      </c>
      <c r="H48" s="188" t="inlineStr">
        <is>
          <t>MEDIUM</t>
        </is>
      </c>
      <c r="I48" s="188" t="n">
        <v>10.1</v>
      </c>
      <c r="J48" s="188" t="inlineStr">
        <is>
          <t>NO</t>
        </is>
      </c>
      <c r="K48" s="188" t="inlineStr">
        <is>
          <t>https://nvd.nist.gov/vuln/detail/CVE-2019-25453</t>
        </is>
      </c>
      <c r="L48" s="188" t="inlineStr">
        <is>
          <t>2026-02-27 20:47</t>
        </is>
      </c>
      <c r="M48" s="188" t="inlineStr">
        <is>
          <t>CHECK_VENDOR</t>
        </is>
      </c>
      <c r="N48" s="188" t="inlineStr">
        <is>
          <t>See NVD references</t>
        </is>
      </c>
      <c r="O48" s="188" t="inlineStr">
        <is>
          <t>Apply vendor patches</t>
        </is>
      </c>
      <c r="P48" s="188" t="inlineStr">
        <is>
          <t>phpmoadmin phpmoadmin 1.1.5</t>
        </is>
      </c>
      <c r="Q48" s="188" t="inlineStr">
        <is>
          <t>P4</t>
        </is>
      </c>
      <c r="R48" s="188" t="inlineStr">
        <is>
          <t>📅 Schedule patch deployment within 30 days | 🔍 Monitor for exploitation attempts</t>
        </is>
      </c>
      <c r="S48" s="188" t="inlineStr">
        <is>
          <t>CVE - IP enrichment n/a</t>
        </is>
      </c>
      <c r="T48" s="188" t="n">
        <v>0.0008</v>
      </c>
      <c r="U48" s="188" t="n">
        <v>0.2291</v>
      </c>
      <c r="V48" s="188" t="inlineStr">
        <is>
          <t>T1189:Drive-by Compromise | T1203:Exploitation for Client Execution</t>
        </is>
      </c>
      <c r="W48" s="188" t="n">
        <v>1</v>
      </c>
      <c r="X48" s="188" t="inlineStr">
        <is>
          <t>LOW (40%)</t>
        </is>
      </c>
      <c r="Y48" s="188" t="inlineStr">
        <is>
          <t>UNLIKELY</t>
        </is>
      </c>
      <c r="Z48" s="188" t="inlineStr">
        <is>
          <t>CHECK_VENDOR</t>
        </is>
      </c>
      <c r="AA48" s="188" t="inlineStr">
        <is>
          <t>https://nvd.nist.gov/vuln/detail/CVE-2019-25453</t>
        </is>
      </c>
      <c r="AB48" s="188" t="inlineStr">
        <is>
          <t>NONE</t>
        </is>
      </c>
      <c r="AC48" s="188" t="n">
        <v>0</v>
      </c>
      <c r="AD48" s="188" t="inlineStr"/>
    </row>
    <row r="49">
      <c r="A49" s="187" t="inlineStr">
        <is>
          <t>CVE</t>
        </is>
      </c>
      <c r="B49" s="187" t="inlineStr">
        <is>
          <t>CVE-2019-25454</t>
        </is>
      </c>
      <c r="C49" s="187"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49" s="187" t="n">
        <v>7.2</v>
      </c>
      <c r="E49" s="187" t="inlineStr">
        <is>
          <t>HIGH</t>
        </is>
      </c>
      <c r="F49" s="187" t="n">
        <v>2</v>
      </c>
      <c r="G49" s="187" t="n">
        <v>3</v>
      </c>
      <c r="H49" s="187" t="inlineStr">
        <is>
          <t>HIGH</t>
        </is>
      </c>
      <c r="I49" s="187" t="n">
        <v>13.2</v>
      </c>
      <c r="J49" s="187" t="inlineStr">
        <is>
          <t>NO</t>
        </is>
      </c>
      <c r="K49" s="187" t="inlineStr">
        <is>
          <t>https://nvd.nist.gov/vuln/detail/CVE-2019-25454</t>
        </is>
      </c>
      <c r="L49" s="187" t="inlineStr">
        <is>
          <t>2026-02-27 20:47</t>
        </is>
      </c>
      <c r="M49" s="187" t="inlineStr">
        <is>
          <t>CHECK_VENDOR</t>
        </is>
      </c>
      <c r="N49" s="187" t="inlineStr">
        <is>
          <t>See NVD references</t>
        </is>
      </c>
      <c r="O49" s="187" t="inlineStr">
        <is>
          <t>Apply vendor patches</t>
        </is>
      </c>
      <c r="P49" s="187" t="inlineStr">
        <is>
          <t>phpmoadmin phpmoadmin 1.1.5</t>
        </is>
      </c>
      <c r="Q49" s="187" t="inlineStr">
        <is>
          <t>P3</t>
        </is>
      </c>
      <c r="R49" s="187" t="inlineStr">
        <is>
          <t>🚨 URGENT: Apply vendor patches immediately | 🔒 Isolate affected systems if patch unavailable | 🛡️ Enable additional monitoring/IDS rules</t>
        </is>
      </c>
      <c r="S49" s="187" t="inlineStr">
        <is>
          <t>CVE - IP enrichment n/a</t>
        </is>
      </c>
      <c r="T49" s="187" t="n">
        <v>0.0007</v>
      </c>
      <c r="U49" s="187" t="n">
        <v>0.2098</v>
      </c>
      <c r="V49" s="187" t="inlineStr">
        <is>
          <t>T1189:Drive-by Compromise</t>
        </is>
      </c>
      <c r="W49" s="187" t="n">
        <v>1</v>
      </c>
      <c r="X49" s="187" t="inlineStr">
        <is>
          <t>LOW (40%)</t>
        </is>
      </c>
      <c r="Y49" s="187" t="inlineStr">
        <is>
          <t>UNLIKELY</t>
        </is>
      </c>
      <c r="Z49" s="187" t="inlineStr">
        <is>
          <t>CHECK_VENDOR</t>
        </is>
      </c>
      <c r="AA49" s="187" t="inlineStr">
        <is>
          <t>https://nvd.nist.gov/vuln/detail/CVE-2019-25454</t>
        </is>
      </c>
      <c r="AB49" s="187" t="inlineStr">
        <is>
          <t>NONE</t>
        </is>
      </c>
      <c r="AC49" s="187" t="n">
        <v>0</v>
      </c>
      <c r="AD49" s="187" t="inlineStr"/>
    </row>
    <row r="50">
      <c r="A50" s="188" t="inlineStr">
        <is>
          <t>CVE</t>
        </is>
      </c>
      <c r="B50" s="188" t="inlineStr">
        <is>
          <t>CVE-2026-27119</t>
        </is>
      </c>
      <c r="C50" s="188" t="inlineStr">
        <is>
          <t>svelte performance oriented web framework. From 5.39.3, element does not properly escape its content, potentially allowing HTML injection in the SSR output. Client-side rendering is not affected. This vulnerability is fixed in 5.51.5.</t>
        </is>
      </c>
      <c r="D50" s="188" t="n">
        <v>5.4</v>
      </c>
      <c r="E50" s="188" t="inlineStr">
        <is>
          <t>MEDIUM</t>
        </is>
      </c>
      <c r="F50" s="188" t="n">
        <v>2</v>
      </c>
      <c r="G50" s="188" t="n">
        <v>2</v>
      </c>
      <c r="H50" s="188" t="inlineStr">
        <is>
          <t>MEDIUM</t>
        </is>
      </c>
      <c r="I50" s="188" t="n">
        <v>9.4</v>
      </c>
      <c r="J50" s="188" t="inlineStr">
        <is>
          <t>NO</t>
        </is>
      </c>
      <c r="K50" s="188" t="inlineStr">
        <is>
          <t>https://nvd.nist.gov/vuln/detail/CVE-2026-27119</t>
        </is>
      </c>
      <c r="L50" s="188" t="inlineStr">
        <is>
          <t>2026-02-27 20:47</t>
        </is>
      </c>
      <c r="M50" s="188" t="inlineStr">
        <is>
          <t>YES</t>
        </is>
      </c>
      <c r="N50" s="188" t="inlineStr">
        <is>
          <t>https://github.com/sveltejs/svelte/security/advisories/GHSA-h7h7-mm68-gmrc</t>
        </is>
      </c>
      <c r="O50" s="188" t="inlineStr">
        <is>
          <t>Apply vendor patches</t>
        </is>
      </c>
      <c r="P50" s="188" t="inlineStr">
        <is>
          <t>svelte svelte *</t>
        </is>
      </c>
      <c r="Q50" s="188" t="inlineStr">
        <is>
          <t>P4</t>
        </is>
      </c>
      <c r="R50" s="188" t="inlineStr">
        <is>
          <t>📅 Schedule patch deployment within 30 days | 🔍 Monitor for exploitation attempts</t>
        </is>
      </c>
      <c r="S50" s="188" t="inlineStr">
        <is>
          <t>CVE - IP enrichment n/a</t>
        </is>
      </c>
      <c r="T50" s="188" t="n">
        <v>0.0003</v>
      </c>
      <c r="U50" s="188" t="n">
        <v>0.07480000000000001</v>
      </c>
      <c r="V50" s="188" t="inlineStr">
        <is>
          <t>T1189:Drive-by Compromise</t>
        </is>
      </c>
      <c r="W50" s="188" t="n">
        <v>1</v>
      </c>
      <c r="X50" s="188" t="inlineStr">
        <is>
          <t>LOW (40%)</t>
        </is>
      </c>
      <c r="Y50" s="188" t="inlineStr">
        <is>
          <t>UNLIKELY</t>
        </is>
      </c>
      <c r="Z50" s="188" t="inlineStr">
        <is>
          <t>PATCH_AVAILABLE</t>
        </is>
      </c>
      <c r="AA50" s="188" t="inlineStr">
        <is>
          <t>https://nvd.nist.gov/vuln/detail/CVE-2026-27119</t>
        </is>
      </c>
      <c r="AB50" s="188" t="inlineStr">
        <is>
          <t>NONE</t>
        </is>
      </c>
      <c r="AC50" s="188" t="n">
        <v>0</v>
      </c>
      <c r="AD50" s="188" t="inlineStr"/>
    </row>
    <row r="51">
      <c r="A51" s="188" t="inlineStr">
        <is>
          <t>CVE</t>
        </is>
      </c>
      <c r="B51" s="188" t="inlineStr">
        <is>
          <t>CVE-2026-27121</t>
        </is>
      </c>
      <c r="C51" s="188"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51" s="188" t="n">
        <v>5.4</v>
      </c>
      <c r="E51" s="188" t="inlineStr">
        <is>
          <t>MEDIUM</t>
        </is>
      </c>
      <c r="F51" s="188" t="n">
        <v>2</v>
      </c>
      <c r="G51" s="188" t="n">
        <v>2</v>
      </c>
      <c r="H51" s="188" t="inlineStr">
        <is>
          <t>MEDIUM</t>
        </is>
      </c>
      <c r="I51" s="188" t="n">
        <v>9.4</v>
      </c>
      <c r="J51" s="188" t="inlineStr">
        <is>
          <t>NO</t>
        </is>
      </c>
      <c r="K51" s="188" t="inlineStr">
        <is>
          <t>https://nvd.nist.gov/vuln/detail/CVE-2026-27121</t>
        </is>
      </c>
      <c r="L51" s="188" t="inlineStr">
        <is>
          <t>2026-02-27 20:47</t>
        </is>
      </c>
      <c r="M51" s="188" t="inlineStr">
        <is>
          <t>YES</t>
        </is>
      </c>
      <c r="N51" s="188" t="inlineStr">
        <is>
          <t>https://github.com/sveltejs/svelte/security/advisories/GHSA-f7gr-6p89-r883</t>
        </is>
      </c>
      <c r="O51" s="188" t="inlineStr">
        <is>
          <t>Apply vendor patches</t>
        </is>
      </c>
      <c r="P51" s="188" t="inlineStr">
        <is>
          <t>svelte svelte *</t>
        </is>
      </c>
      <c r="Q51" s="188" t="inlineStr">
        <is>
          <t>P4</t>
        </is>
      </c>
      <c r="R51" s="188" t="inlineStr">
        <is>
          <t>📅 Schedule patch deployment within 30 days | 🔍 Monitor for exploitation attempts</t>
        </is>
      </c>
      <c r="S51" s="188" t="inlineStr">
        <is>
          <t>CVE - IP enrichment n/a</t>
        </is>
      </c>
      <c r="T51" s="188" t="n">
        <v>0.0003</v>
      </c>
      <c r="U51" s="188" t="n">
        <v>0.0757</v>
      </c>
      <c r="V51" s="188" t="inlineStr">
        <is>
          <t>T1189:Drive-by Compromise</t>
        </is>
      </c>
      <c r="W51" s="188" t="n">
        <v>1</v>
      </c>
      <c r="X51" s="188" t="inlineStr">
        <is>
          <t>LOW (40%)</t>
        </is>
      </c>
      <c r="Y51" s="188" t="inlineStr">
        <is>
          <t>UNLIKELY</t>
        </is>
      </c>
      <c r="Z51" s="188" t="inlineStr">
        <is>
          <t>PATCH_AVAILABLE</t>
        </is>
      </c>
      <c r="AA51" s="188" t="inlineStr">
        <is>
          <t>https://nvd.nist.gov/vuln/detail/CVE-2026-27121</t>
        </is>
      </c>
      <c r="AB51" s="188" t="inlineStr">
        <is>
          <t>NONE</t>
        </is>
      </c>
      <c r="AC51" s="188" t="n">
        <v>0</v>
      </c>
      <c r="AD51" s="188" t="inlineStr"/>
    </row>
    <row r="52">
      <c r="A52" s="188" t="inlineStr">
        <is>
          <t>CVE</t>
        </is>
      </c>
      <c r="B52" s="188" t="inlineStr">
        <is>
          <t>CVE-2026-27122</t>
        </is>
      </c>
      <c r="C52" s="188"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52" s="188" t="n">
        <v>5.4</v>
      </c>
      <c r="E52" s="188" t="inlineStr">
        <is>
          <t>MEDIUM</t>
        </is>
      </c>
      <c r="F52" s="188" t="n">
        <v>2</v>
      </c>
      <c r="G52" s="188" t="n">
        <v>2</v>
      </c>
      <c r="H52" s="188" t="inlineStr">
        <is>
          <t>MEDIUM</t>
        </is>
      </c>
      <c r="I52" s="188" t="n">
        <v>9.4</v>
      </c>
      <c r="J52" s="188" t="inlineStr">
        <is>
          <t>NO</t>
        </is>
      </c>
      <c r="K52" s="188" t="inlineStr">
        <is>
          <t>https://nvd.nist.gov/vuln/detail/CVE-2026-27122</t>
        </is>
      </c>
      <c r="L52" s="188" t="inlineStr">
        <is>
          <t>2026-02-27 20:47</t>
        </is>
      </c>
      <c r="M52" s="188" t="inlineStr">
        <is>
          <t>YES</t>
        </is>
      </c>
      <c r="N52" s="188" t="inlineStr">
        <is>
          <t>https://github.com/sveltejs/svelte/security/advisories/GHSA-m56q-vw4c-c2cp</t>
        </is>
      </c>
      <c r="O52" s="188" t="inlineStr">
        <is>
          <t>Apply vendor patches</t>
        </is>
      </c>
      <c r="P52" s="188" t="inlineStr">
        <is>
          <t>svelte svelte *</t>
        </is>
      </c>
      <c r="Q52" s="188" t="inlineStr">
        <is>
          <t>P4</t>
        </is>
      </c>
      <c r="R52" s="188" t="inlineStr">
        <is>
          <t>📅 Schedule patch deployment within 30 days | 🔍 Monitor for exploitation attempts</t>
        </is>
      </c>
      <c r="S52" s="188" t="inlineStr">
        <is>
          <t>CVE - IP enrichment n/a</t>
        </is>
      </c>
      <c r="T52" s="188" t="n">
        <v>0.0003</v>
      </c>
      <c r="U52" s="188" t="n">
        <v>0.07480000000000001</v>
      </c>
      <c r="V52" s="188" t="inlineStr">
        <is>
          <t>T1189:Drive-by Compromise</t>
        </is>
      </c>
      <c r="W52" s="188" t="n">
        <v>1</v>
      </c>
      <c r="X52" s="188" t="inlineStr">
        <is>
          <t>LOW (40%)</t>
        </is>
      </c>
      <c r="Y52" s="188" t="inlineStr">
        <is>
          <t>UNLIKELY</t>
        </is>
      </c>
      <c r="Z52" s="188" t="inlineStr">
        <is>
          <t>PATCH_AVAILABLE</t>
        </is>
      </c>
      <c r="AA52" s="188" t="inlineStr">
        <is>
          <t>https://nvd.nist.gov/vuln/detail/CVE-2026-27122</t>
        </is>
      </c>
      <c r="AB52" s="188" t="inlineStr">
        <is>
          <t>NONE</t>
        </is>
      </c>
      <c r="AC52" s="188" t="n">
        <v>0</v>
      </c>
      <c r="AD52" s="188" t="inlineStr"/>
    </row>
    <row r="53">
      <c r="A53" s="188" t="inlineStr">
        <is>
          <t>CVE</t>
        </is>
      </c>
      <c r="B53" s="188" t="inlineStr">
        <is>
          <t>CVE-2026-27125</t>
        </is>
      </c>
      <c r="C53" s="188"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53" s="188" t="n">
        <v>6.8</v>
      </c>
      <c r="E53" s="188" t="inlineStr">
        <is>
          <t>MEDIUM</t>
        </is>
      </c>
      <c r="F53" s="188" t="n">
        <v>2</v>
      </c>
      <c r="G53" s="188" t="n">
        <v>2</v>
      </c>
      <c r="H53" s="188" t="inlineStr">
        <is>
          <t>MEDIUM</t>
        </is>
      </c>
      <c r="I53" s="188" t="n">
        <v>10.8</v>
      </c>
      <c r="J53" s="188" t="inlineStr">
        <is>
          <t>NO</t>
        </is>
      </c>
      <c r="K53" s="188" t="inlineStr">
        <is>
          <t>https://nvd.nist.gov/vuln/detail/CVE-2026-27125</t>
        </is>
      </c>
      <c r="L53" s="188" t="inlineStr">
        <is>
          <t>2026-02-27 20:47</t>
        </is>
      </c>
      <c r="M53" s="188" t="inlineStr">
        <is>
          <t>YES</t>
        </is>
      </c>
      <c r="N53" s="188" t="inlineStr">
        <is>
          <t>https://github.com/sveltejs/svelte/commit/73098bb26c6f06e7fd1b0746d817d2c5ee90755f | https://github.com/sveltejs/svelte/security/advisories/GHSA-crpf-4hrx-3jrp</t>
        </is>
      </c>
      <c r="O53" s="188" t="inlineStr">
        <is>
          <t>Apply vendor patches</t>
        </is>
      </c>
      <c r="P53" s="188" t="inlineStr">
        <is>
          <t>svelte svelte *</t>
        </is>
      </c>
      <c r="Q53" s="188" t="inlineStr">
        <is>
          <t>P4</t>
        </is>
      </c>
      <c r="R53" s="188" t="inlineStr">
        <is>
          <t>📅 Schedule patch deployment within 30 days | 🔍 Monitor for exploitation attempts</t>
        </is>
      </c>
      <c r="S53" s="188" t="inlineStr">
        <is>
          <t>CVE - IP enrichment n/a</t>
        </is>
      </c>
      <c r="T53" s="188" t="n">
        <v>0.0007</v>
      </c>
      <c r="U53" s="188" t="n">
        <v>0.2176</v>
      </c>
      <c r="V53" s="188" t="inlineStr">
        <is>
          <t>T1190:Exploit Public-Facing Application</t>
        </is>
      </c>
      <c r="W53" s="188" t="n">
        <v>1</v>
      </c>
      <c r="X53" s="188" t="inlineStr">
        <is>
          <t>LOW (40%)</t>
        </is>
      </c>
      <c r="Y53" s="188" t="inlineStr">
        <is>
          <t>UNLIKELY</t>
        </is>
      </c>
      <c r="Z53" s="188" t="inlineStr">
        <is>
          <t>PATCH_AVAILABLE</t>
        </is>
      </c>
      <c r="AA53" s="188" t="inlineStr">
        <is>
          <t>https://nvd.nist.gov/vuln/detail/CVE-2026-27125</t>
        </is>
      </c>
      <c r="AB53" s="188" t="inlineStr">
        <is>
          <t>NONE</t>
        </is>
      </c>
      <c r="AC53" s="188" t="n">
        <v>0</v>
      </c>
      <c r="AD53" s="188" t="inlineStr"/>
    </row>
    <row r="54">
      <c r="A54" s="188" t="inlineStr">
        <is>
          <t>CVE</t>
        </is>
      </c>
      <c r="B54" s="188" t="inlineStr">
        <is>
          <t>CVE-2026-27133</t>
        </is>
      </c>
      <c r="C54" s="188"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54" s="188" t="n">
        <v>5.9</v>
      </c>
      <c r="E54" s="188" t="inlineStr">
        <is>
          <t>MEDIUM</t>
        </is>
      </c>
      <c r="F54" s="188" t="n">
        <v>2</v>
      </c>
      <c r="G54" s="188" t="n">
        <v>2</v>
      </c>
      <c r="H54" s="188" t="inlineStr">
        <is>
          <t>MEDIUM</t>
        </is>
      </c>
      <c r="I54" s="188" t="n">
        <v>9.9</v>
      </c>
      <c r="J54" s="188" t="inlineStr">
        <is>
          <t>NO</t>
        </is>
      </c>
      <c r="K54" s="188" t="inlineStr">
        <is>
          <t>https://nvd.nist.gov/vuln/detail/CVE-2026-27133</t>
        </is>
      </c>
      <c r="L54" s="188" t="inlineStr">
        <is>
          <t>2026-02-27 20:47</t>
        </is>
      </c>
      <c r="M54" s="188" t="inlineStr">
        <is>
          <t>YES</t>
        </is>
      </c>
      <c r="N54" s="188" t="inlineStr">
        <is>
          <t>https://github.com/strimzi/strimzi-kafka-operator/security/advisories/GHSA-6x85-j2f7-4xc5</t>
        </is>
      </c>
      <c r="O54" s="188" t="inlineStr">
        <is>
          <t>Apply vendor patches</t>
        </is>
      </c>
      <c r="P54" s="188" t="inlineStr">
        <is>
          <t>linuxfoundation strimzi_kafka_operator *</t>
        </is>
      </c>
      <c r="Q54" s="188" t="inlineStr">
        <is>
          <t>P4</t>
        </is>
      </c>
      <c r="R54" s="188" t="inlineStr">
        <is>
          <t>📅 Schedule patch deployment within 30 days | 🔍 Monitor for exploitation attempts</t>
        </is>
      </c>
      <c r="S54" s="188" t="inlineStr">
        <is>
          <t>CVE - IP enrichment n/a</t>
        </is>
      </c>
      <c r="T54" s="188" t="n">
        <v>0.0003</v>
      </c>
      <c r="U54" s="188" t="n">
        <v>0.067</v>
      </c>
      <c r="V54" s="188" t="inlineStr">
        <is>
          <t>T1190:Exploit Public-Facing Application</t>
        </is>
      </c>
      <c r="W54" s="188" t="n">
        <v>1</v>
      </c>
      <c r="X54" s="188" t="inlineStr">
        <is>
          <t>LOW (40%)</t>
        </is>
      </c>
      <c r="Y54" s="188" t="inlineStr">
        <is>
          <t>UNLIKELY</t>
        </is>
      </c>
      <c r="Z54" s="188" t="inlineStr">
        <is>
          <t>PATCH_AVAILABLE</t>
        </is>
      </c>
      <c r="AA54" s="188" t="inlineStr">
        <is>
          <t>https://nvd.nist.gov/vuln/detail/CVE-2026-27133</t>
        </is>
      </c>
      <c r="AB54" s="188" t="inlineStr">
        <is>
          <t>NONE</t>
        </is>
      </c>
      <c r="AC54" s="188" t="n">
        <v>0</v>
      </c>
      <c r="AD54" s="188" t="inlineStr"/>
    </row>
    <row r="55">
      <c r="A55" s="187" t="inlineStr">
        <is>
          <t>CVE</t>
        </is>
      </c>
      <c r="B55" s="187" t="inlineStr">
        <is>
          <t>CVE-2026-2033</t>
        </is>
      </c>
      <c r="C55" s="187"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55" s="187" t="n">
        <v>8.1</v>
      </c>
      <c r="E55" s="187" t="inlineStr">
        <is>
          <t>HIGH</t>
        </is>
      </c>
      <c r="F55" s="187" t="n">
        <v>2</v>
      </c>
      <c r="G55" s="187" t="n">
        <v>3</v>
      </c>
      <c r="H55" s="187" t="inlineStr">
        <is>
          <t>HIGH</t>
        </is>
      </c>
      <c r="I55" s="187" t="n">
        <v>14.1</v>
      </c>
      <c r="J55" s="187" t="inlineStr">
        <is>
          <t>NO</t>
        </is>
      </c>
      <c r="K55" s="187" t="inlineStr">
        <is>
          <t>https://nvd.nist.gov/vuln/detail/CVE-2026-2033</t>
        </is>
      </c>
      <c r="L55" s="187" t="inlineStr">
        <is>
          <t>2026-02-27 20:47</t>
        </is>
      </c>
      <c r="M55" s="187" t="inlineStr">
        <is>
          <t>CHECK_VENDOR</t>
        </is>
      </c>
      <c r="N55" s="187" t="inlineStr">
        <is>
          <t>See NVD references</t>
        </is>
      </c>
      <c r="O55" s="187" t="inlineStr">
        <is>
          <t>Apply vendor patches</t>
        </is>
      </c>
      <c r="P55" s="187" t="inlineStr">
        <is>
          <t>See CVE details</t>
        </is>
      </c>
      <c r="Q55" s="187" t="inlineStr">
        <is>
          <t>P1</t>
        </is>
      </c>
      <c r="R55" s="187" t="inlineStr">
        <is>
          <t>🚨 URGENT: Apply vendor patches immediately | 🔒 Isolate affected systems if patch unavailable | 🛡️ Enable additional monitoring/IDS rules</t>
        </is>
      </c>
      <c r="S55" s="187" t="inlineStr">
        <is>
          <t>CVE - IP enrichment n/a</t>
        </is>
      </c>
      <c r="T55" s="187" t="n">
        <v>0.1558</v>
      </c>
      <c r="U55" s="187" t="n">
        <v>0.9454</v>
      </c>
      <c r="V55" s="187" t="inlineStr">
        <is>
          <t>T1083:File and Directory Discovery | T1190:Exploit Public-Facing Application | T1210:Exploitation of Remote Services</t>
        </is>
      </c>
      <c r="W55" s="187" t="n">
        <v>2</v>
      </c>
      <c r="X55" s="187" t="inlineStr">
        <is>
          <t>HIGH (72%)</t>
        </is>
      </c>
      <c r="Y55" s="187" t="inlineStr">
        <is>
          <t>HIGH</t>
        </is>
      </c>
      <c r="Z55" s="187" t="inlineStr">
        <is>
          <t>CHECK_VENDOR</t>
        </is>
      </c>
      <c r="AA55" s="187" t="inlineStr">
        <is>
          <t>https://nvd.nist.gov/vuln/detail/CVE-2026-2033</t>
        </is>
      </c>
      <c r="AB55" s="187" t="inlineStr">
        <is>
          <t>http://www.zerodayinitiative.com/advisories/ZDI-26-123/</t>
        </is>
      </c>
      <c r="AC55" s="187" t="n">
        <v>0</v>
      </c>
      <c r="AD55" s="187" t="inlineStr"/>
    </row>
    <row r="56">
      <c r="A56" s="187" t="inlineStr">
        <is>
          <t>CVE</t>
        </is>
      </c>
      <c r="B56" s="187" t="inlineStr">
        <is>
          <t>CVE-2026-2034</t>
        </is>
      </c>
      <c r="C56" s="187"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56" s="187" t="n">
        <v>7.8</v>
      </c>
      <c r="E56" s="187" t="inlineStr">
        <is>
          <t>HIGH</t>
        </is>
      </c>
      <c r="F56" s="187" t="n">
        <v>2</v>
      </c>
      <c r="G56" s="187" t="n">
        <v>3</v>
      </c>
      <c r="H56" s="187" t="inlineStr">
        <is>
          <t>HIGH</t>
        </is>
      </c>
      <c r="I56" s="187" t="n">
        <v>13.8</v>
      </c>
      <c r="J56" s="187" t="inlineStr">
        <is>
          <t>NO</t>
        </is>
      </c>
      <c r="K56" s="187" t="inlineStr">
        <is>
          <t>https://nvd.nist.gov/vuln/detail/CVE-2026-2034</t>
        </is>
      </c>
      <c r="L56" s="187" t="inlineStr">
        <is>
          <t>2026-02-27 20:47</t>
        </is>
      </c>
      <c r="M56" s="187" t="inlineStr">
        <is>
          <t>CHECK_VENDOR</t>
        </is>
      </c>
      <c r="N56" s="187" t="inlineStr">
        <is>
          <t>See NVD references</t>
        </is>
      </c>
      <c r="O56" s="187" t="inlineStr">
        <is>
          <t>Apply vendor patches</t>
        </is>
      </c>
      <c r="P56" s="187" t="inlineStr">
        <is>
          <t>santesoft dicom_viewer_pro *</t>
        </is>
      </c>
      <c r="Q56" s="187" t="inlineStr">
        <is>
          <t>P1</t>
        </is>
      </c>
      <c r="R56" s="187" t="inlineStr">
        <is>
          <t>🚨 URGENT: Apply vendor patches immediately | 🔒 Isolate affected systems if patch unavailable | 🛡️ Enable additional monitoring/IDS rules</t>
        </is>
      </c>
      <c r="S56" s="187" t="inlineStr">
        <is>
          <t>CVE - IP enrichment n/a</t>
        </is>
      </c>
      <c r="T56" s="187" t="n">
        <v>0.0005</v>
      </c>
      <c r="U56" s="187" t="n">
        <v>0.1403</v>
      </c>
      <c r="V56" s="187" t="inlineStr">
        <is>
          <t>T1203:Exploitation for Client Execution | T1190:Exploit Public-Facing Application | T1210:Exploitation of Remote Services</t>
        </is>
      </c>
      <c r="W56" s="187" t="n">
        <v>2</v>
      </c>
      <c r="X56" s="187" t="inlineStr">
        <is>
          <t>HIGH (72%)</t>
        </is>
      </c>
      <c r="Y56" s="187" t="inlineStr">
        <is>
          <t>HIGH</t>
        </is>
      </c>
      <c r="Z56" s="187" t="inlineStr">
        <is>
          <t>CHECK_VENDOR</t>
        </is>
      </c>
      <c r="AA56" s="187" t="inlineStr">
        <is>
          <t>https://nvd.nist.gov/vuln/detail/CVE-2026-2034</t>
        </is>
      </c>
      <c r="AB56" s="187" t="inlineStr">
        <is>
          <t>http://www.zerodayinitiative.com/advisories/ZDI-26-123/</t>
        </is>
      </c>
      <c r="AC56" s="187" t="n">
        <v>0</v>
      </c>
      <c r="AD56" s="187" t="inlineStr"/>
    </row>
    <row r="57">
      <c r="A57" s="188" t="inlineStr">
        <is>
          <t>CVE</t>
        </is>
      </c>
      <c r="B57" s="188" t="inlineStr">
        <is>
          <t>CVE-2026-2035</t>
        </is>
      </c>
      <c r="C57" s="188"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57" s="188" t="n">
        <v>6.8</v>
      </c>
      <c r="E57" s="188" t="inlineStr">
        <is>
          <t>MEDIUM</t>
        </is>
      </c>
      <c r="F57" s="188" t="n">
        <v>2</v>
      </c>
      <c r="G57" s="188" t="n">
        <v>2</v>
      </c>
      <c r="H57" s="188" t="inlineStr">
        <is>
          <t>MEDIUM</t>
        </is>
      </c>
      <c r="I57" s="188" t="n">
        <v>10.8</v>
      </c>
      <c r="J57" s="188" t="inlineStr">
        <is>
          <t>NO</t>
        </is>
      </c>
      <c r="K57" s="188" t="inlineStr">
        <is>
          <t>https://nvd.nist.gov/vuln/detail/CVE-2026-2035</t>
        </is>
      </c>
      <c r="L57" s="188" t="inlineStr">
        <is>
          <t>2026-02-27 20:47</t>
        </is>
      </c>
      <c r="M57" s="188" t="inlineStr">
        <is>
          <t>CHECK_VENDOR</t>
        </is>
      </c>
      <c r="N57" s="188" t="inlineStr">
        <is>
          <t>See NVD references</t>
        </is>
      </c>
      <c r="O57" s="188" t="inlineStr">
        <is>
          <t>Apply vendor patches</t>
        </is>
      </c>
      <c r="P57" s="188" t="inlineStr">
        <is>
          <t>See CVE details</t>
        </is>
      </c>
      <c r="Q57" s="188" t="inlineStr">
        <is>
          <t>P1</t>
        </is>
      </c>
      <c r="R57" s="188" t="inlineStr">
        <is>
          <t>📅 Schedule patch deployment within 30 days | 🔍 Monitor for exploitation attempts</t>
        </is>
      </c>
      <c r="S57" s="188" t="inlineStr">
        <is>
          <t>CVE - IP enrichment n/a</t>
        </is>
      </c>
      <c r="T57" s="188" t="n">
        <v>0.0021</v>
      </c>
      <c r="U57" s="188" t="n">
        <v>0.436</v>
      </c>
      <c r="V57" s="188" t="inlineStr">
        <is>
          <t>T1059:Command and Scripting Interpreter | T1190:Exploit Public-Facing Application | T1210:Exploitation of Remote Services</t>
        </is>
      </c>
      <c r="W57" s="188" t="n">
        <v>2</v>
      </c>
      <c r="X57" s="188" t="inlineStr">
        <is>
          <t>HIGH (72%)</t>
        </is>
      </c>
      <c r="Y57" s="188" t="inlineStr">
        <is>
          <t>HIGH</t>
        </is>
      </c>
      <c r="Z57" s="188" t="inlineStr">
        <is>
          <t>CHECK_VENDOR</t>
        </is>
      </c>
      <c r="AA57" s="188" t="inlineStr">
        <is>
          <t>https://nvd.nist.gov/vuln/detail/CVE-2026-2035</t>
        </is>
      </c>
      <c r="AB57" s="188" t="inlineStr">
        <is>
          <t>http://www.zerodayinitiative.com/advisories/ZDI-26-123/</t>
        </is>
      </c>
      <c r="AC57" s="188" t="n">
        <v>0</v>
      </c>
      <c r="AD57" s="188" t="inlineStr"/>
    </row>
    <row r="58">
      <c r="A58" s="187" t="inlineStr">
        <is>
          <t>CVE</t>
        </is>
      </c>
      <c r="B58" s="187" t="inlineStr">
        <is>
          <t>CVE-2026-2036</t>
        </is>
      </c>
      <c r="C58" s="187"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58" s="187" t="n">
        <v>8.800000000000001</v>
      </c>
      <c r="E58" s="187" t="inlineStr">
        <is>
          <t>HIGH</t>
        </is>
      </c>
      <c r="F58" s="187" t="n">
        <v>2</v>
      </c>
      <c r="G58" s="187" t="n">
        <v>3</v>
      </c>
      <c r="H58" s="187" t="inlineStr">
        <is>
          <t>HIGH</t>
        </is>
      </c>
      <c r="I58" s="187" t="n">
        <v>14.8</v>
      </c>
      <c r="J58" s="187" t="inlineStr">
        <is>
          <t>NO</t>
        </is>
      </c>
      <c r="K58" s="187" t="inlineStr">
        <is>
          <t>https://nvd.nist.gov/vuln/detail/CVE-2026-2036</t>
        </is>
      </c>
      <c r="L58" s="187" t="inlineStr">
        <is>
          <t>2026-02-27 20:47</t>
        </is>
      </c>
      <c r="M58" s="187" t="inlineStr">
        <is>
          <t>CHECK_VENDOR</t>
        </is>
      </c>
      <c r="N58" s="187" t="inlineStr">
        <is>
          <t>See NVD references</t>
        </is>
      </c>
      <c r="O58" s="187" t="inlineStr">
        <is>
          <t>Apply vendor patches</t>
        </is>
      </c>
      <c r="P58" s="187" t="inlineStr">
        <is>
          <t>gfi archiver 15.10</t>
        </is>
      </c>
      <c r="Q58" s="187" t="inlineStr">
        <is>
          <t>P1</t>
        </is>
      </c>
      <c r="R58" s="187" t="inlineStr">
        <is>
          <t>🚨 URGENT: Apply vendor patches immediately | 🔒 Isolate affected systems if patch unavailable | 🛡️ Enable additional monitoring/IDS rules</t>
        </is>
      </c>
      <c r="S58" s="187" t="inlineStr">
        <is>
          <t>CVE - IP enrichment n/a</t>
        </is>
      </c>
      <c r="T58" s="187" t="n">
        <v>0.0103</v>
      </c>
      <c r="U58" s="187" t="n">
        <v>0.7699</v>
      </c>
      <c r="V58" s="187" t="inlineStr">
        <is>
          <t>T1059:Command and Scripting Interpreter | T1190:Exploit Public-Facing Application | T1210:Exploitation of Remote Services</t>
        </is>
      </c>
      <c r="W58" s="187" t="n">
        <v>2</v>
      </c>
      <c r="X58" s="187" t="inlineStr">
        <is>
          <t>HIGH (72%)</t>
        </is>
      </c>
      <c r="Y58" s="187" t="inlineStr">
        <is>
          <t>HIGH</t>
        </is>
      </c>
      <c r="Z58" s="187" t="inlineStr">
        <is>
          <t>CHECK_VENDOR</t>
        </is>
      </c>
      <c r="AA58" s="187" t="inlineStr">
        <is>
          <t>https://nvd.nist.gov/vuln/detail/CVE-2026-2036</t>
        </is>
      </c>
      <c r="AB58" s="187" t="inlineStr">
        <is>
          <t>http://www.zerodayinitiative.com/advisories/ZDI-26-123/</t>
        </is>
      </c>
      <c r="AC58" s="187" t="n">
        <v>0</v>
      </c>
      <c r="AD58" s="187" t="inlineStr"/>
    </row>
    <row r="59">
      <c r="A59" s="187" t="inlineStr">
        <is>
          <t>CVE</t>
        </is>
      </c>
      <c r="B59" s="187" t="inlineStr">
        <is>
          <t>CVE-2026-2037</t>
        </is>
      </c>
      <c r="C59" s="187"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59" s="187" t="n">
        <v>8.800000000000001</v>
      </c>
      <c r="E59" s="187" t="inlineStr">
        <is>
          <t>HIGH</t>
        </is>
      </c>
      <c r="F59" s="187" t="n">
        <v>2</v>
      </c>
      <c r="G59" s="187" t="n">
        <v>3</v>
      </c>
      <c r="H59" s="187" t="inlineStr">
        <is>
          <t>HIGH</t>
        </is>
      </c>
      <c r="I59" s="187" t="n">
        <v>14.8</v>
      </c>
      <c r="J59" s="187" t="inlineStr">
        <is>
          <t>NO</t>
        </is>
      </c>
      <c r="K59" s="187" t="inlineStr">
        <is>
          <t>https://nvd.nist.gov/vuln/detail/CVE-2026-2037</t>
        </is>
      </c>
      <c r="L59" s="187" t="inlineStr">
        <is>
          <t>2026-02-27 20:47</t>
        </is>
      </c>
      <c r="M59" s="187" t="inlineStr">
        <is>
          <t>CHECK_VENDOR</t>
        </is>
      </c>
      <c r="N59" s="187" t="inlineStr">
        <is>
          <t>See NVD references</t>
        </is>
      </c>
      <c r="O59" s="187" t="inlineStr">
        <is>
          <t>Apply vendor patches</t>
        </is>
      </c>
      <c r="P59" s="187" t="inlineStr">
        <is>
          <t>gfi archiver 15.10</t>
        </is>
      </c>
      <c r="Q59" s="187" t="inlineStr">
        <is>
          <t>P1</t>
        </is>
      </c>
      <c r="R59" s="187" t="inlineStr">
        <is>
          <t>🚨 URGENT: Apply vendor patches immediately | 🔒 Isolate affected systems if patch unavailable | 🛡️ Enable additional monitoring/IDS rules</t>
        </is>
      </c>
      <c r="S59" s="187" t="inlineStr">
        <is>
          <t>CVE - IP enrichment n/a</t>
        </is>
      </c>
      <c r="T59" s="187" t="n">
        <v>0.0103</v>
      </c>
      <c r="U59" s="187" t="n">
        <v>0.7699</v>
      </c>
      <c r="V59" s="187" t="inlineStr">
        <is>
          <t>T1059:Command and Scripting Interpreter | T1190:Exploit Public-Facing Application | T1210:Exploitation of Remote Services</t>
        </is>
      </c>
      <c r="W59" s="187" t="n">
        <v>2</v>
      </c>
      <c r="X59" s="187" t="inlineStr">
        <is>
          <t>HIGH (72%)</t>
        </is>
      </c>
      <c r="Y59" s="187" t="inlineStr">
        <is>
          <t>HIGH</t>
        </is>
      </c>
      <c r="Z59" s="187" t="inlineStr">
        <is>
          <t>CHECK_VENDOR</t>
        </is>
      </c>
      <c r="AA59" s="187" t="inlineStr">
        <is>
          <t>https://nvd.nist.gov/vuln/detail/CVE-2026-2037</t>
        </is>
      </c>
      <c r="AB59" s="187" t="inlineStr">
        <is>
          <t>http://www.zerodayinitiative.com/advisories/ZDI-26-123/</t>
        </is>
      </c>
      <c r="AC59" s="187" t="n">
        <v>0</v>
      </c>
      <c r="AD59" s="187" t="inlineStr"/>
    </row>
    <row r="60">
      <c r="A60" s="189" t="inlineStr">
        <is>
          <t>CVE</t>
        </is>
      </c>
      <c r="B60" s="189" t="inlineStr">
        <is>
          <t>CVE-2026-2038</t>
        </is>
      </c>
      <c r="C60" s="189"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60" s="189" t="n">
        <v>9.800000000000001</v>
      </c>
      <c r="E60" s="189" t="inlineStr">
        <is>
          <t>CRITICAL</t>
        </is>
      </c>
      <c r="F60" s="189" t="n">
        <v>2</v>
      </c>
      <c r="G60" s="189" t="n">
        <v>3</v>
      </c>
      <c r="H60" s="189" t="inlineStr">
        <is>
          <t>HIGH</t>
        </is>
      </c>
      <c r="I60" s="189" t="n">
        <v>15.8</v>
      </c>
      <c r="J60" s="189" t="inlineStr">
        <is>
          <t>NO</t>
        </is>
      </c>
      <c r="K60" s="189" t="inlineStr">
        <is>
          <t>https://nvd.nist.gov/vuln/detail/CVE-2026-2038</t>
        </is>
      </c>
      <c r="L60" s="189" t="inlineStr">
        <is>
          <t>2026-02-27 20:47</t>
        </is>
      </c>
      <c r="M60" s="189" t="inlineStr">
        <is>
          <t>CHECK_VENDOR</t>
        </is>
      </c>
      <c r="N60" s="189" t="inlineStr">
        <is>
          <t>See NVD references</t>
        </is>
      </c>
      <c r="O60" s="189" t="inlineStr">
        <is>
          <t>Apply vendor patches</t>
        </is>
      </c>
      <c r="P60" s="189" t="inlineStr">
        <is>
          <t>gfi archiver 15.10</t>
        </is>
      </c>
      <c r="Q60" s="189" t="inlineStr">
        <is>
          <t>P1</t>
        </is>
      </c>
      <c r="R60" s="189" t="inlineStr">
        <is>
          <t>🚨 URGENT: Apply vendor patches immediately | 🔒 Isolate affected systems if patch unavailable | 🛡️ Enable additional monitoring/IDS rules</t>
        </is>
      </c>
      <c r="S60" s="189" t="inlineStr">
        <is>
          <t>CVE - IP enrichment n/a</t>
        </is>
      </c>
      <c r="T60" s="189" t="n">
        <v>0.0059</v>
      </c>
      <c r="U60" s="189" t="n">
        <v>0.6879999999999999</v>
      </c>
      <c r="V60" s="189" t="inlineStr">
        <is>
          <t>T1078:Valid Accounts</t>
        </is>
      </c>
      <c r="W60" s="189" t="n">
        <v>2</v>
      </c>
      <c r="X60" s="189" t="inlineStr">
        <is>
          <t>HIGH (72%)</t>
        </is>
      </c>
      <c r="Y60" s="189" t="inlineStr">
        <is>
          <t>HIGH</t>
        </is>
      </c>
      <c r="Z60" s="189" t="inlineStr">
        <is>
          <t>CHECK_VENDOR</t>
        </is>
      </c>
      <c r="AA60" s="189" t="inlineStr">
        <is>
          <t>https://nvd.nist.gov/vuln/detail/CVE-2026-2038</t>
        </is>
      </c>
      <c r="AB60" s="189" t="inlineStr">
        <is>
          <t>http://www.zerodayinitiative.com/advisories/ZDI-26-123/</t>
        </is>
      </c>
      <c r="AC60" s="189" t="n">
        <v>0</v>
      </c>
      <c r="AD60" s="189" t="inlineStr"/>
    </row>
    <row r="61">
      <c r="A61" s="189" t="inlineStr">
        <is>
          <t>CVE</t>
        </is>
      </c>
      <c r="B61" s="189" t="inlineStr">
        <is>
          <t>CVE-2026-2039</t>
        </is>
      </c>
      <c r="C61" s="189"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61" s="189" t="n">
        <v>9.800000000000001</v>
      </c>
      <c r="E61" s="189" t="inlineStr">
        <is>
          <t>CRITICAL</t>
        </is>
      </c>
      <c r="F61" s="189" t="n">
        <v>2</v>
      </c>
      <c r="G61" s="189" t="n">
        <v>3</v>
      </c>
      <c r="H61" s="189" t="inlineStr">
        <is>
          <t>HIGH</t>
        </is>
      </c>
      <c r="I61" s="189" t="n">
        <v>15.8</v>
      </c>
      <c r="J61" s="189" t="inlineStr">
        <is>
          <t>NO</t>
        </is>
      </c>
      <c r="K61" s="189" t="inlineStr">
        <is>
          <t>https://nvd.nist.gov/vuln/detail/CVE-2026-2039</t>
        </is>
      </c>
      <c r="L61" s="189" t="inlineStr">
        <is>
          <t>2026-02-27 20:47</t>
        </is>
      </c>
      <c r="M61" s="189" t="inlineStr">
        <is>
          <t>CHECK_VENDOR</t>
        </is>
      </c>
      <c r="N61" s="189" t="inlineStr">
        <is>
          <t>See NVD references</t>
        </is>
      </c>
      <c r="O61" s="189" t="inlineStr">
        <is>
          <t>Apply vendor patches</t>
        </is>
      </c>
      <c r="P61" s="189" t="inlineStr">
        <is>
          <t>gfi archiver 15.10</t>
        </is>
      </c>
      <c r="Q61" s="189" t="inlineStr">
        <is>
          <t>P1</t>
        </is>
      </c>
      <c r="R61" s="189" t="inlineStr">
        <is>
          <t>🚨 URGENT: Apply vendor patches immediately | 🔒 Isolate affected systems if patch unavailable | 🛡️ Enable additional monitoring/IDS rules</t>
        </is>
      </c>
      <c r="S61" s="189" t="inlineStr">
        <is>
          <t>CVE - IP enrichment n/a</t>
        </is>
      </c>
      <c r="T61" s="189" t="n">
        <v>0.0059</v>
      </c>
      <c r="U61" s="189" t="n">
        <v>0.6879999999999999</v>
      </c>
      <c r="V61" s="189" t="inlineStr">
        <is>
          <t>T1078:Valid Accounts</t>
        </is>
      </c>
      <c r="W61" s="189" t="n">
        <v>2</v>
      </c>
      <c r="X61" s="189" t="inlineStr">
        <is>
          <t>HIGH (72%)</t>
        </is>
      </c>
      <c r="Y61" s="189" t="inlineStr">
        <is>
          <t>HIGH</t>
        </is>
      </c>
      <c r="Z61" s="189" t="inlineStr">
        <is>
          <t>CHECK_VENDOR</t>
        </is>
      </c>
      <c r="AA61" s="189" t="inlineStr">
        <is>
          <t>https://nvd.nist.gov/vuln/detail/CVE-2026-2039</t>
        </is>
      </c>
      <c r="AB61" s="189" t="inlineStr">
        <is>
          <t>http://www.zerodayinitiative.com/advisories/ZDI-26-123/</t>
        </is>
      </c>
      <c r="AC61" s="189" t="n">
        <v>0</v>
      </c>
      <c r="AD61" s="189" t="inlineStr"/>
    </row>
    <row r="62">
      <c r="A62" s="187" t="inlineStr">
        <is>
          <t>CVE</t>
        </is>
      </c>
      <c r="B62" s="187" t="inlineStr">
        <is>
          <t>CVE-2026-2040</t>
        </is>
      </c>
      <c r="C62" s="187"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62" s="187" t="n">
        <v>7.3</v>
      </c>
      <c r="E62" s="187" t="inlineStr">
        <is>
          <t>HIGH</t>
        </is>
      </c>
      <c r="F62" s="187" t="n">
        <v>2</v>
      </c>
      <c r="G62" s="187" t="n">
        <v>3</v>
      </c>
      <c r="H62" s="187" t="inlineStr">
        <is>
          <t>HIGH</t>
        </is>
      </c>
      <c r="I62" s="187" t="n">
        <v>13.3</v>
      </c>
      <c r="J62" s="187" t="inlineStr">
        <is>
          <t>NO</t>
        </is>
      </c>
      <c r="K62" s="187" t="inlineStr">
        <is>
          <t>https://nvd.nist.gov/vuln/detail/CVE-2026-2040</t>
        </is>
      </c>
      <c r="L62" s="187" t="inlineStr">
        <is>
          <t>2026-02-27 20:47</t>
        </is>
      </c>
      <c r="M62" s="187" t="inlineStr">
        <is>
          <t>CHECK_VENDOR</t>
        </is>
      </c>
      <c r="N62" s="187" t="inlineStr">
        <is>
          <t>See NVD references</t>
        </is>
      </c>
      <c r="O62" s="187" t="inlineStr">
        <is>
          <t>Apply vendor patches</t>
        </is>
      </c>
      <c r="P62" s="187" t="inlineStr">
        <is>
          <t>See CVE details</t>
        </is>
      </c>
      <c r="Q62" s="187" t="inlineStr">
        <is>
          <t>P1</t>
        </is>
      </c>
      <c r="R62" s="187" t="inlineStr">
        <is>
          <t>🚨 URGENT: Apply vendor patches immediately | 🔒 Isolate affected systems if patch unavailable | 🛡️ Enable additional monitoring/IDS rules</t>
        </is>
      </c>
      <c r="S62" s="187" t="inlineStr">
        <is>
          <t>CVE - IP enrichment n/a</t>
        </is>
      </c>
      <c r="T62" s="187" t="n">
        <v>0.0001</v>
      </c>
      <c r="U62" s="187" t="n">
        <v>0.0257</v>
      </c>
      <c r="V62" s="187" t="inlineStr">
        <is>
          <t>T1068:Exploitation for Privilege Escalation</t>
        </is>
      </c>
      <c r="W62" s="187" t="n">
        <v>2</v>
      </c>
      <c r="X62" s="187" t="inlineStr">
        <is>
          <t>HIGH (72%)</t>
        </is>
      </c>
      <c r="Y62" s="187" t="inlineStr">
        <is>
          <t>HIGH</t>
        </is>
      </c>
      <c r="Z62" s="187" t="inlineStr">
        <is>
          <t>CHECK_VENDOR</t>
        </is>
      </c>
      <c r="AA62" s="187" t="inlineStr">
        <is>
          <t>https://nvd.nist.gov/vuln/detail/CVE-2026-2040</t>
        </is>
      </c>
      <c r="AB62" s="187" t="inlineStr">
        <is>
          <t>http://www.zerodayinitiative.com/advisories/ZDI-26-122/</t>
        </is>
      </c>
      <c r="AC62" s="187" t="n">
        <v>0</v>
      </c>
      <c r="AD62" s="187" t="inlineStr"/>
    </row>
    <row r="63">
      <c r="A63" s="187" t="inlineStr">
        <is>
          <t>CVE</t>
        </is>
      </c>
      <c r="B63" s="187" t="inlineStr">
        <is>
          <t>CVE-2026-2041</t>
        </is>
      </c>
      <c r="C63" s="187"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63" s="187" t="n">
        <v>8.800000000000001</v>
      </c>
      <c r="E63" s="187" t="inlineStr">
        <is>
          <t>HIGH</t>
        </is>
      </c>
      <c r="F63" s="187" t="n">
        <v>2</v>
      </c>
      <c r="G63" s="187" t="n">
        <v>3</v>
      </c>
      <c r="H63" s="187" t="inlineStr">
        <is>
          <t>HIGH</t>
        </is>
      </c>
      <c r="I63" s="187" t="n">
        <v>14.8</v>
      </c>
      <c r="J63" s="187" t="inlineStr">
        <is>
          <t>NO</t>
        </is>
      </c>
      <c r="K63" s="187" t="inlineStr">
        <is>
          <t>https://nvd.nist.gov/vuln/detail/CVE-2026-2041</t>
        </is>
      </c>
      <c r="L63" s="187" t="inlineStr">
        <is>
          <t>2026-02-27 20:47</t>
        </is>
      </c>
      <c r="M63" s="187" t="inlineStr">
        <is>
          <t>CHECK_VENDOR</t>
        </is>
      </c>
      <c r="N63" s="187" t="inlineStr">
        <is>
          <t>See NVD references</t>
        </is>
      </c>
      <c r="O63" s="187" t="inlineStr">
        <is>
          <t>Apply vendor patches</t>
        </is>
      </c>
      <c r="P63" s="187" t="inlineStr">
        <is>
          <t>nagios nagios_xi 2026</t>
        </is>
      </c>
      <c r="Q63" s="187" t="inlineStr">
        <is>
          <t>P1</t>
        </is>
      </c>
      <c r="R63" s="187" t="inlineStr">
        <is>
          <t>🚨 URGENT: Apply vendor patches immediately | 🔒 Isolate affected systems if patch unavailable | 🛡️ Enable additional monitoring/IDS rules</t>
        </is>
      </c>
      <c r="S63" s="187" t="inlineStr">
        <is>
          <t>CVE - IP enrichment n/a</t>
        </is>
      </c>
      <c r="T63" s="187" t="n">
        <v>0.0222</v>
      </c>
      <c r="U63" s="187" t="n">
        <v>0.8424</v>
      </c>
      <c r="V63" s="187" t="inlineStr">
        <is>
          <t>T1059:Command and Scripting Interpreter | T1190:Exploit Public-Facing Application | T1210:Exploitation of Remote Services</t>
        </is>
      </c>
      <c r="W63" s="187" t="n">
        <v>2</v>
      </c>
      <c r="X63" s="187" t="inlineStr">
        <is>
          <t>HIGH (72%)</t>
        </is>
      </c>
      <c r="Y63" s="187" t="inlineStr">
        <is>
          <t>HIGH</t>
        </is>
      </c>
      <c r="Z63" s="187" t="inlineStr">
        <is>
          <t>CHECK_VENDOR</t>
        </is>
      </c>
      <c r="AA63" s="187" t="inlineStr">
        <is>
          <t>https://nvd.nist.gov/vuln/detail/CVE-2026-2041</t>
        </is>
      </c>
      <c r="AB63" s="187" t="inlineStr">
        <is>
          <t>http://www.zerodayinitiative.com/advisories/ZDI-26-123/</t>
        </is>
      </c>
      <c r="AC63" s="187" t="n">
        <v>0</v>
      </c>
      <c r="AD63" s="187" t="inlineStr"/>
    </row>
    <row r="64">
      <c r="A64" s="187" t="inlineStr">
        <is>
          <t>CVE</t>
        </is>
      </c>
      <c r="B64" s="187" t="inlineStr">
        <is>
          <t>CVE-2026-2042</t>
        </is>
      </c>
      <c r="C64" s="187"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64" s="187" t="n">
        <v>8.800000000000001</v>
      </c>
      <c r="E64" s="187" t="inlineStr">
        <is>
          <t>HIGH</t>
        </is>
      </c>
      <c r="F64" s="187" t="n">
        <v>2</v>
      </c>
      <c r="G64" s="187" t="n">
        <v>3</v>
      </c>
      <c r="H64" s="187" t="inlineStr">
        <is>
          <t>HIGH</t>
        </is>
      </c>
      <c r="I64" s="187" t="n">
        <v>14.8</v>
      </c>
      <c r="J64" s="187" t="inlineStr">
        <is>
          <t>NO</t>
        </is>
      </c>
      <c r="K64" s="187" t="inlineStr">
        <is>
          <t>https://nvd.nist.gov/vuln/detail/CVE-2026-2042</t>
        </is>
      </c>
      <c r="L64" s="187" t="inlineStr">
        <is>
          <t>2026-02-27 20:47</t>
        </is>
      </c>
      <c r="M64" s="187" t="inlineStr">
        <is>
          <t>CHECK_VENDOR</t>
        </is>
      </c>
      <c r="N64" s="187" t="inlineStr">
        <is>
          <t>See NVD references</t>
        </is>
      </c>
      <c r="O64" s="187" t="inlineStr">
        <is>
          <t>Apply vendor patches</t>
        </is>
      </c>
      <c r="P64" s="187" t="inlineStr">
        <is>
          <t>nagios nagios_xi 2026</t>
        </is>
      </c>
      <c r="Q64" s="187" t="inlineStr">
        <is>
          <t>P1</t>
        </is>
      </c>
      <c r="R64" s="187" t="inlineStr">
        <is>
          <t>🚨 URGENT: Apply vendor patches immediately | 🔒 Isolate affected systems if patch unavailable | 🛡️ Enable additional monitoring/IDS rules</t>
        </is>
      </c>
      <c r="S64" s="187" t="inlineStr">
        <is>
          <t>CVE - IP enrichment n/a</t>
        </is>
      </c>
      <c r="T64" s="187" t="n">
        <v>0.0222</v>
      </c>
      <c r="U64" s="187" t="n">
        <v>0.8424</v>
      </c>
      <c r="V64" s="187" t="inlineStr">
        <is>
          <t>T1059:Command and Scripting Interpreter | T1190:Exploit Public-Facing Application | T1210:Exploitation of Remote Services</t>
        </is>
      </c>
      <c r="W64" s="187" t="n">
        <v>2</v>
      </c>
      <c r="X64" s="187" t="inlineStr">
        <is>
          <t>HIGH (72%)</t>
        </is>
      </c>
      <c r="Y64" s="187" t="inlineStr">
        <is>
          <t>HIGH</t>
        </is>
      </c>
      <c r="Z64" s="187" t="inlineStr">
        <is>
          <t>CHECK_VENDOR</t>
        </is>
      </c>
      <c r="AA64" s="187" t="inlineStr">
        <is>
          <t>https://nvd.nist.gov/vuln/detail/CVE-2026-2042</t>
        </is>
      </c>
      <c r="AB64" s="187" t="inlineStr">
        <is>
          <t>http://www.zerodayinitiative.com/advisories/ZDI-26-123/</t>
        </is>
      </c>
      <c r="AC64" s="187" t="n">
        <v>0</v>
      </c>
      <c r="AD64" s="187" t="inlineStr"/>
    </row>
    <row r="65">
      <c r="A65" s="187" t="inlineStr">
        <is>
          <t>CVE</t>
        </is>
      </c>
      <c r="B65" s="187" t="inlineStr">
        <is>
          <t>CVE-2026-2043</t>
        </is>
      </c>
      <c r="C65" s="187"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65" s="187" t="n">
        <v>8.800000000000001</v>
      </c>
      <c r="E65" s="187" t="inlineStr">
        <is>
          <t>HIGH</t>
        </is>
      </c>
      <c r="F65" s="187" t="n">
        <v>2</v>
      </c>
      <c r="G65" s="187" t="n">
        <v>3</v>
      </c>
      <c r="H65" s="187" t="inlineStr">
        <is>
          <t>HIGH</t>
        </is>
      </c>
      <c r="I65" s="187" t="n">
        <v>14.8</v>
      </c>
      <c r="J65" s="187" t="inlineStr">
        <is>
          <t>NO</t>
        </is>
      </c>
      <c r="K65" s="187" t="inlineStr">
        <is>
          <t>https://nvd.nist.gov/vuln/detail/CVE-2026-2043</t>
        </is>
      </c>
      <c r="L65" s="187" t="inlineStr">
        <is>
          <t>2026-02-27 20:47</t>
        </is>
      </c>
      <c r="M65" s="187" t="inlineStr">
        <is>
          <t>CHECK_VENDOR</t>
        </is>
      </c>
      <c r="N65" s="187" t="inlineStr">
        <is>
          <t>See NVD references</t>
        </is>
      </c>
      <c r="O65" s="187" t="inlineStr">
        <is>
          <t>Apply vendor patches</t>
        </is>
      </c>
      <c r="P65" s="187" t="inlineStr">
        <is>
          <t>nagios nagios_xi 2026</t>
        </is>
      </c>
      <c r="Q65" s="187" t="inlineStr">
        <is>
          <t>P1</t>
        </is>
      </c>
      <c r="R65" s="187" t="inlineStr">
        <is>
          <t>🚨 URGENT: Apply vendor patches immediately | 🔒 Isolate affected systems if patch unavailable | 🛡️ Enable additional monitoring/IDS rules</t>
        </is>
      </c>
      <c r="S65" s="187" t="inlineStr">
        <is>
          <t>CVE - IP enrichment n/a</t>
        </is>
      </c>
      <c r="T65" s="187" t="n">
        <v>0.0117</v>
      </c>
      <c r="U65" s="187" t="n">
        <v>0.7843</v>
      </c>
      <c r="V65" s="187" t="inlineStr">
        <is>
          <t>T1059:Command and Scripting Interpreter | T1190:Exploit Public-Facing Application | T1210:Exploitation of Remote Services</t>
        </is>
      </c>
      <c r="W65" s="187" t="n">
        <v>2</v>
      </c>
      <c r="X65" s="187" t="inlineStr">
        <is>
          <t>HIGH (72%)</t>
        </is>
      </c>
      <c r="Y65" s="187" t="inlineStr">
        <is>
          <t>HIGH</t>
        </is>
      </c>
      <c r="Z65" s="187" t="inlineStr">
        <is>
          <t>CHECK_VENDOR</t>
        </is>
      </c>
      <c r="AA65" s="187" t="inlineStr">
        <is>
          <t>https://nvd.nist.gov/vuln/detail/CVE-2026-2043</t>
        </is>
      </c>
      <c r="AB65" s="187" t="inlineStr">
        <is>
          <t>http://www.zerodayinitiative.com/advisories/ZDI-26-123/</t>
        </is>
      </c>
      <c r="AC65" s="187" t="n">
        <v>0</v>
      </c>
      <c r="AD65" s="187" t="inlineStr"/>
    </row>
    <row r="66">
      <c r="A66" s="187" t="inlineStr">
        <is>
          <t>CVE</t>
        </is>
      </c>
      <c r="B66" s="187" t="inlineStr">
        <is>
          <t>CVE-2026-2044</t>
        </is>
      </c>
      <c r="C66" s="187"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66" s="187" t="n">
        <v>7.8</v>
      </c>
      <c r="E66" s="187" t="inlineStr">
        <is>
          <t>HIGH</t>
        </is>
      </c>
      <c r="F66" s="187" t="n">
        <v>2</v>
      </c>
      <c r="G66" s="187" t="n">
        <v>3</v>
      </c>
      <c r="H66" s="187" t="inlineStr">
        <is>
          <t>HIGH</t>
        </is>
      </c>
      <c r="I66" s="187" t="n">
        <v>13.8</v>
      </c>
      <c r="J66" s="187" t="inlineStr">
        <is>
          <t>NO</t>
        </is>
      </c>
      <c r="K66" s="187" t="inlineStr">
        <is>
          <t>https://nvd.nist.gov/vuln/detail/CVE-2026-2044</t>
        </is>
      </c>
      <c r="L66" s="187" t="inlineStr">
        <is>
          <t>2026-02-27 20:47</t>
        </is>
      </c>
      <c r="M66" s="187" t="inlineStr">
        <is>
          <t>YES</t>
        </is>
      </c>
      <c r="N66" s="187" t="inlineStr">
        <is>
          <t>https://gitlab.gnome.org/GNOME/gimp/-/merge_requests/2569/diffs?commit_id=112a5e038f0646eae5ae314988ec074433d2b365</t>
        </is>
      </c>
      <c r="O66" s="187" t="inlineStr">
        <is>
          <t>Apply vendor patches</t>
        </is>
      </c>
      <c r="P66" s="187" t="inlineStr">
        <is>
          <t>gimp gimp 3.0.6</t>
        </is>
      </c>
      <c r="Q66" s="187" t="inlineStr">
        <is>
          <t>P1</t>
        </is>
      </c>
      <c r="R66" s="187" t="inlineStr">
        <is>
          <t>🚨 URGENT: Apply vendor patches immediately | 🔒 Isolate affected systems if patch unavailable | 🛡️ Enable additional monitoring/IDS rules</t>
        </is>
      </c>
      <c r="S66" s="187" t="inlineStr">
        <is>
          <t>CVE - IP enrichment n/a</t>
        </is>
      </c>
      <c r="T66" s="187" t="n">
        <v>0.0005999999999999999</v>
      </c>
      <c r="U66" s="187" t="n">
        <v>0.1967</v>
      </c>
      <c r="V66" s="187" t="inlineStr">
        <is>
          <t>T1190:Exploit Public-Facing Application | T1210:Exploitation of Remote Services | T1203:Exploitation for Client Execution</t>
        </is>
      </c>
      <c r="W66" s="187" t="n">
        <v>2</v>
      </c>
      <c r="X66" s="187" t="inlineStr">
        <is>
          <t>HIGH (72%)</t>
        </is>
      </c>
      <c r="Y66" s="187" t="inlineStr">
        <is>
          <t>HIGH</t>
        </is>
      </c>
      <c r="Z66" s="187" t="inlineStr">
        <is>
          <t>PATCH_AVAILABLE</t>
        </is>
      </c>
      <c r="AA66" s="187" t="inlineStr">
        <is>
          <t>https://nvd.nist.gov/vuln/detail/CVE-2026-2044</t>
        </is>
      </c>
      <c r="AB66" s="187" t="inlineStr">
        <is>
          <t>http://www.zerodayinitiative.com/advisories/ZDI-26-118/</t>
        </is>
      </c>
      <c r="AC66" s="187" t="n">
        <v>0</v>
      </c>
      <c r="AD66" s="187" t="inlineStr"/>
    </row>
    <row r="67">
      <c r="A67" s="187" t="inlineStr">
        <is>
          <t>CVE</t>
        </is>
      </c>
      <c r="B67" s="187" t="inlineStr">
        <is>
          <t>CVE-2026-2045</t>
        </is>
      </c>
      <c r="C67" s="187"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67" s="187" t="n">
        <v>7.8</v>
      </c>
      <c r="E67" s="187" t="inlineStr">
        <is>
          <t>HIGH</t>
        </is>
      </c>
      <c r="F67" s="187" t="n">
        <v>2</v>
      </c>
      <c r="G67" s="187" t="n">
        <v>3</v>
      </c>
      <c r="H67" s="187" t="inlineStr">
        <is>
          <t>HIGH</t>
        </is>
      </c>
      <c r="I67" s="187" t="n">
        <v>13.8</v>
      </c>
      <c r="J67" s="187" t="inlineStr">
        <is>
          <t>NO</t>
        </is>
      </c>
      <c r="K67" s="187" t="inlineStr">
        <is>
          <t>https://nvd.nist.gov/vuln/detail/CVE-2026-2045</t>
        </is>
      </c>
      <c r="L67" s="187" t="inlineStr">
        <is>
          <t>2026-02-27 20:47</t>
        </is>
      </c>
      <c r="M67" s="187" t="inlineStr">
        <is>
          <t>YES</t>
        </is>
      </c>
      <c r="N67" s="187" t="inlineStr">
        <is>
          <t>https://gitlab.gnome.org/GNOME/gimp/-/commit/68b27dfb1cbd9b3f22d7fa624dbab8647ee5f275</t>
        </is>
      </c>
      <c r="O67" s="187" t="inlineStr">
        <is>
          <t>Apply vendor patches</t>
        </is>
      </c>
      <c r="P67" s="187" t="inlineStr">
        <is>
          <t>gimp gimp 3.0.6</t>
        </is>
      </c>
      <c r="Q67" s="187" t="inlineStr">
        <is>
          <t>P1</t>
        </is>
      </c>
      <c r="R67" s="187" t="inlineStr">
        <is>
          <t>🚨 URGENT: Apply vendor patches immediately | 🔒 Isolate affected systems if patch unavailable | 🛡️ Enable additional monitoring/IDS rules</t>
        </is>
      </c>
      <c r="S67" s="187" t="inlineStr">
        <is>
          <t>CVE - IP enrichment n/a</t>
        </is>
      </c>
      <c r="T67" s="187" t="n">
        <v>0.0008</v>
      </c>
      <c r="U67" s="187" t="n">
        <v>0.2351</v>
      </c>
      <c r="V67" s="187" t="inlineStr">
        <is>
          <t>T1203:Exploitation for Client Execution | T1190:Exploit Public-Facing Application | T1210:Exploitation of Remote Services</t>
        </is>
      </c>
      <c r="W67" s="187" t="n">
        <v>2</v>
      </c>
      <c r="X67" s="187" t="inlineStr">
        <is>
          <t>HIGH (72%)</t>
        </is>
      </c>
      <c r="Y67" s="187" t="inlineStr">
        <is>
          <t>HIGH</t>
        </is>
      </c>
      <c r="Z67" s="187" t="inlineStr">
        <is>
          <t>PATCH_AVAILABLE</t>
        </is>
      </c>
      <c r="AA67" s="187" t="inlineStr">
        <is>
          <t>https://nvd.nist.gov/vuln/detail/CVE-2026-2045</t>
        </is>
      </c>
      <c r="AB67" s="187" t="inlineStr">
        <is>
          <t>http://www.zerodayinitiative.com/advisories/ZDI-26-119/</t>
        </is>
      </c>
      <c r="AC67" s="187" t="n">
        <v>0</v>
      </c>
      <c r="AD67" s="187" t="inlineStr"/>
    </row>
    <row r="68">
      <c r="A68" s="187" t="inlineStr">
        <is>
          <t>CVE</t>
        </is>
      </c>
      <c r="B68" s="187" t="inlineStr">
        <is>
          <t>CVE-2026-2047</t>
        </is>
      </c>
      <c r="C68" s="187"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68" s="187" t="n">
        <v>7.8</v>
      </c>
      <c r="E68" s="187" t="inlineStr">
        <is>
          <t>HIGH</t>
        </is>
      </c>
      <c r="F68" s="187" t="n">
        <v>2</v>
      </c>
      <c r="G68" s="187" t="n">
        <v>3</v>
      </c>
      <c r="H68" s="187" t="inlineStr">
        <is>
          <t>HIGH</t>
        </is>
      </c>
      <c r="I68" s="187" t="n">
        <v>13.8</v>
      </c>
      <c r="J68" s="187" t="inlineStr">
        <is>
          <t>NO</t>
        </is>
      </c>
      <c r="K68" s="187" t="inlineStr">
        <is>
          <t>https://nvd.nist.gov/vuln/detail/CVE-2026-2047</t>
        </is>
      </c>
      <c r="L68" s="187" t="inlineStr">
        <is>
          <t>2026-02-27 20:47</t>
        </is>
      </c>
      <c r="M68" s="187" t="inlineStr">
        <is>
          <t>YES</t>
        </is>
      </c>
      <c r="N68" s="187" t="inlineStr">
        <is>
          <t>https://gitlab.gnome.org/GNOME/gimp/-/merge_requests/2600/diffs?commit_id=dd2faac351f1ff2588529fedc606e6a5f815577c</t>
        </is>
      </c>
      <c r="O68" s="187" t="inlineStr">
        <is>
          <t>Apply vendor patches</t>
        </is>
      </c>
      <c r="P68" s="187" t="inlineStr">
        <is>
          <t>gimp gimp 3.0.6</t>
        </is>
      </c>
      <c r="Q68" s="187" t="inlineStr">
        <is>
          <t>P1</t>
        </is>
      </c>
      <c r="R68" s="187" t="inlineStr">
        <is>
          <t>🚨 URGENT: Apply vendor patches immediately | 🔒 Isolate affected systems if patch unavailable | 🛡️ Enable additional monitoring/IDS rules</t>
        </is>
      </c>
      <c r="S68" s="187" t="inlineStr">
        <is>
          <t>CVE - IP enrichment n/a</t>
        </is>
      </c>
      <c r="T68" s="187" t="n">
        <v>0.0005999999999999999</v>
      </c>
      <c r="U68" s="187" t="n">
        <v>0.1804</v>
      </c>
      <c r="V68" s="187" t="inlineStr">
        <is>
          <t>T1203:Exploitation for Client Execution | T1190:Exploit Public-Facing Application | T1210:Exploitation of Remote Services</t>
        </is>
      </c>
      <c r="W68" s="187" t="n">
        <v>2</v>
      </c>
      <c r="X68" s="187" t="inlineStr">
        <is>
          <t>HIGH (72%)</t>
        </is>
      </c>
      <c r="Y68" s="187" t="inlineStr">
        <is>
          <t>HIGH</t>
        </is>
      </c>
      <c r="Z68" s="187" t="inlineStr">
        <is>
          <t>PATCH_AVAILABLE</t>
        </is>
      </c>
      <c r="AA68" s="187" t="inlineStr">
        <is>
          <t>https://nvd.nist.gov/vuln/detail/CVE-2026-2047</t>
        </is>
      </c>
      <c r="AB68" s="187" t="inlineStr">
        <is>
          <t>http://www.zerodayinitiative.com/advisories/ZDI-26-120/</t>
        </is>
      </c>
      <c r="AC68" s="187" t="n">
        <v>0</v>
      </c>
      <c r="AD68" s="187" t="inlineStr"/>
    </row>
    <row r="69">
      <c r="A69" s="187" t="inlineStr">
        <is>
          <t>CVE</t>
        </is>
      </c>
      <c r="B69" s="187" t="inlineStr">
        <is>
          <t>CVE-2026-2048</t>
        </is>
      </c>
      <c r="C69" s="187"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69" s="187" t="n">
        <v>7.8</v>
      </c>
      <c r="E69" s="187" t="inlineStr">
        <is>
          <t>HIGH</t>
        </is>
      </c>
      <c r="F69" s="187" t="n">
        <v>2</v>
      </c>
      <c r="G69" s="187" t="n">
        <v>3</v>
      </c>
      <c r="H69" s="187" t="inlineStr">
        <is>
          <t>HIGH</t>
        </is>
      </c>
      <c r="I69" s="187" t="n">
        <v>13.8</v>
      </c>
      <c r="J69" s="187" t="inlineStr">
        <is>
          <t>NO</t>
        </is>
      </c>
      <c r="K69" s="187" t="inlineStr">
        <is>
          <t>https://nvd.nist.gov/vuln/detail/CVE-2026-2048</t>
        </is>
      </c>
      <c r="L69" s="187" t="inlineStr">
        <is>
          <t>2026-02-27 20:47</t>
        </is>
      </c>
      <c r="M69" s="187" t="inlineStr">
        <is>
          <t>CHECK_VENDOR</t>
        </is>
      </c>
      <c r="N69" s="187" t="inlineStr">
        <is>
          <t>See NVD references</t>
        </is>
      </c>
      <c r="O69" s="187" t="inlineStr">
        <is>
          <t>Apply vendor patches</t>
        </is>
      </c>
      <c r="P69" s="187" t="inlineStr">
        <is>
          <t>gimp gimp 3.2.0</t>
        </is>
      </c>
      <c r="Q69" s="187" t="inlineStr">
        <is>
          <t>P1</t>
        </is>
      </c>
      <c r="R69" s="187" t="inlineStr">
        <is>
          <t>🚨 URGENT: Apply vendor patches immediately | 🔒 Isolate affected systems if patch unavailable | 🛡️ Enable additional monitoring/IDS rules</t>
        </is>
      </c>
      <c r="S69" s="187" t="inlineStr">
        <is>
          <t>CVE - IP enrichment n/a</t>
        </is>
      </c>
      <c r="T69" s="187" t="n">
        <v>0.0008</v>
      </c>
      <c r="U69" s="187" t="n">
        <v>0.2351</v>
      </c>
      <c r="V69" s="187" t="inlineStr">
        <is>
          <t>T1203:Exploitation for Client Execution | T1190:Exploit Public-Facing Application | T1210:Exploitation of Remote Services</t>
        </is>
      </c>
      <c r="W69" s="187" t="n">
        <v>2</v>
      </c>
      <c r="X69" s="187" t="inlineStr">
        <is>
          <t>HIGH (72%)</t>
        </is>
      </c>
      <c r="Y69" s="187" t="inlineStr">
        <is>
          <t>HIGH</t>
        </is>
      </c>
      <c r="Z69" s="187" t="inlineStr">
        <is>
          <t>CHECK_VENDOR</t>
        </is>
      </c>
      <c r="AA69" s="187" t="inlineStr">
        <is>
          <t>https://nvd.nist.gov/vuln/detail/CVE-2026-2048</t>
        </is>
      </c>
      <c r="AB69" s="187" t="inlineStr">
        <is>
          <t>http://www.zerodayinitiative.com/advisories/ZDI-26-121/</t>
        </is>
      </c>
      <c r="AC69" s="187" t="n">
        <v>0</v>
      </c>
      <c r="AD69" s="187" t="inlineStr"/>
    </row>
    <row r="70">
      <c r="A70" s="188" t="inlineStr">
        <is>
          <t>CVE</t>
        </is>
      </c>
      <c r="B70" s="188" t="inlineStr">
        <is>
          <t>CVE-2026-2490</t>
        </is>
      </c>
      <c r="C70" s="188"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70" s="188" t="n">
        <v>5.5</v>
      </c>
      <c r="E70" s="188" t="inlineStr">
        <is>
          <t>MEDIUM</t>
        </is>
      </c>
      <c r="F70" s="188" t="n">
        <v>2</v>
      </c>
      <c r="G70" s="188" t="n">
        <v>2</v>
      </c>
      <c r="H70" s="188" t="inlineStr">
        <is>
          <t>MEDIUM</t>
        </is>
      </c>
      <c r="I70" s="188" t="n">
        <v>9.5</v>
      </c>
      <c r="J70" s="188" t="inlineStr">
        <is>
          <t>NO</t>
        </is>
      </c>
      <c r="K70" s="188" t="inlineStr">
        <is>
          <t>https://nvd.nist.gov/vuln/detail/CVE-2026-2490</t>
        </is>
      </c>
      <c r="L70" s="188" t="inlineStr">
        <is>
          <t>2026-02-27 20:47</t>
        </is>
      </c>
      <c r="M70" s="188" t="inlineStr">
        <is>
          <t>CHECK_VENDOR</t>
        </is>
      </c>
      <c r="N70" s="188" t="inlineStr">
        <is>
          <t>See NVD references</t>
        </is>
      </c>
      <c r="O70" s="188" t="inlineStr">
        <is>
          <t>Apply vendor patches</t>
        </is>
      </c>
      <c r="P70" s="188" t="inlineStr">
        <is>
          <t>See CVE details</t>
        </is>
      </c>
      <c r="Q70" s="188" t="inlineStr">
        <is>
          <t>P1</t>
        </is>
      </c>
      <c r="R70" s="188" t="inlineStr">
        <is>
          <t>📅 Schedule patch deployment within 30 days | 🔍 Monitor for exploitation attempts</t>
        </is>
      </c>
      <c r="S70" s="188" t="inlineStr">
        <is>
          <t>CVE - IP enrichment n/a</t>
        </is>
      </c>
      <c r="T70" s="188" t="n">
        <v>0.0002</v>
      </c>
      <c r="U70" s="188" t="n">
        <v>0.0376</v>
      </c>
      <c r="V70" s="188" t="inlineStr">
        <is>
          <t>T1213:Data from Information Repositories</t>
        </is>
      </c>
      <c r="W70" s="188" t="n">
        <v>2</v>
      </c>
      <c r="X70" s="188" t="inlineStr">
        <is>
          <t>HIGH (72%)</t>
        </is>
      </c>
      <c r="Y70" s="188" t="inlineStr">
        <is>
          <t>HIGH</t>
        </is>
      </c>
      <c r="Z70" s="188" t="inlineStr">
        <is>
          <t>CHECK_VENDOR</t>
        </is>
      </c>
      <c r="AA70" s="188" t="inlineStr">
        <is>
          <t>https://nvd.nist.gov/vuln/detail/CVE-2026-2490</t>
        </is>
      </c>
      <c r="AB70" s="188" t="inlineStr">
        <is>
          <t>http://www.zerodayinitiative.com/advisories/ZDI-26-117/</t>
        </is>
      </c>
      <c r="AC70" s="188" t="n">
        <v>0</v>
      </c>
      <c r="AD70" s="188" t="inlineStr"/>
    </row>
    <row r="71">
      <c r="A71" s="187" t="inlineStr">
        <is>
          <t>CVE</t>
        </is>
      </c>
      <c r="B71" s="187" t="inlineStr">
        <is>
          <t>CVE-2026-2492</t>
        </is>
      </c>
      <c r="C71" s="187"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71" s="187" t="n">
        <v>7</v>
      </c>
      <c r="E71" s="187" t="inlineStr">
        <is>
          <t>HIGH</t>
        </is>
      </c>
      <c r="F71" s="187" t="n">
        <v>2</v>
      </c>
      <c r="G71" s="187" t="n">
        <v>3</v>
      </c>
      <c r="H71" s="187" t="inlineStr">
        <is>
          <t>HIGH</t>
        </is>
      </c>
      <c r="I71" s="187" t="n">
        <v>13</v>
      </c>
      <c r="J71" s="187" t="inlineStr">
        <is>
          <t>NO</t>
        </is>
      </c>
      <c r="K71" s="187" t="inlineStr">
        <is>
          <t>https://nvd.nist.gov/vuln/detail/CVE-2026-2492</t>
        </is>
      </c>
      <c r="L71" s="187" t="inlineStr">
        <is>
          <t>2026-02-27 20:47</t>
        </is>
      </c>
      <c r="M71" s="187" t="inlineStr">
        <is>
          <t>CHECK_VENDOR</t>
        </is>
      </c>
      <c r="N71" s="187" t="inlineStr">
        <is>
          <t>See NVD references</t>
        </is>
      </c>
      <c r="O71" s="187" t="inlineStr">
        <is>
          <t>Apply vendor patches</t>
        </is>
      </c>
      <c r="P71" s="187" t="inlineStr">
        <is>
          <t>See CVE details</t>
        </is>
      </c>
      <c r="Q71" s="187" t="inlineStr">
        <is>
          <t>P1</t>
        </is>
      </c>
      <c r="R71" s="187" t="inlineStr">
        <is>
          <t>🚨 URGENT: Apply vendor patches immediately | 🔒 Isolate affected systems if patch unavailable | 🛡️ Enable additional monitoring/IDS rules</t>
        </is>
      </c>
      <c r="S71" s="187" t="inlineStr">
        <is>
          <t>CVE - IP enrichment n/a</t>
        </is>
      </c>
      <c r="T71" s="187" t="n">
        <v>0.0002</v>
      </c>
      <c r="U71" s="187" t="n">
        <v>0.0326</v>
      </c>
      <c r="V71" s="187" t="inlineStr">
        <is>
          <t>T1068:Exploitation for Privilege Escalation | T1203:Exploitation for Client Execution</t>
        </is>
      </c>
      <c r="W71" s="187" t="n">
        <v>2</v>
      </c>
      <c r="X71" s="187" t="inlineStr">
        <is>
          <t>HIGH (72%)</t>
        </is>
      </c>
      <c r="Y71" s="187" t="inlineStr">
        <is>
          <t>HIGH</t>
        </is>
      </c>
      <c r="Z71" s="187" t="inlineStr">
        <is>
          <t>CHECK_VENDOR</t>
        </is>
      </c>
      <c r="AA71" s="187" t="inlineStr">
        <is>
          <t>https://nvd.nist.gov/vuln/detail/CVE-2026-2492</t>
        </is>
      </c>
      <c r="AB71" s="187" t="inlineStr">
        <is>
          <t>http://www.zerodayinitiative.com/advisories/ZDI-26-116/</t>
        </is>
      </c>
      <c r="AC71" s="187" t="n">
        <v>0</v>
      </c>
      <c r="AD71" s="187" t="inlineStr"/>
    </row>
    <row r="72">
      <c r="A72" s="189" t="inlineStr">
        <is>
          <t>CVE</t>
        </is>
      </c>
      <c r="B72" s="189" t="inlineStr">
        <is>
          <t>CVE-2026-2635</t>
        </is>
      </c>
      <c r="C72" s="189"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72" s="189" t="n">
        <v>9.800000000000001</v>
      </c>
      <c r="E72" s="189" t="inlineStr">
        <is>
          <t>CRITICAL</t>
        </is>
      </c>
      <c r="F72" s="189" t="n">
        <v>2</v>
      </c>
      <c r="G72" s="189" t="n">
        <v>3</v>
      </c>
      <c r="H72" s="189" t="inlineStr">
        <is>
          <t>HIGH</t>
        </is>
      </c>
      <c r="I72" s="189" t="n">
        <v>15.8</v>
      </c>
      <c r="J72" s="189" t="inlineStr">
        <is>
          <t>NO</t>
        </is>
      </c>
      <c r="K72" s="189" t="inlineStr">
        <is>
          <t>https://nvd.nist.gov/vuln/detail/CVE-2026-2635</t>
        </is>
      </c>
      <c r="L72" s="189" t="inlineStr">
        <is>
          <t>2026-02-27 20:47</t>
        </is>
      </c>
      <c r="M72" s="189" t="inlineStr">
        <is>
          <t>CHECK_VENDOR</t>
        </is>
      </c>
      <c r="N72" s="189" t="inlineStr">
        <is>
          <t>See NVD references</t>
        </is>
      </c>
      <c r="O72" s="189" t="inlineStr">
        <is>
          <t>Apply vendor patches</t>
        </is>
      </c>
      <c r="P72" s="189" t="inlineStr">
        <is>
          <t>See CVE details</t>
        </is>
      </c>
      <c r="Q72" s="189" t="inlineStr">
        <is>
          <t>P1</t>
        </is>
      </c>
      <c r="R72" s="189" t="inlineStr">
        <is>
          <t>🚨 URGENT: Apply vendor patches immediately | 🔒 Isolate affected systems if patch unavailable | 🛡️ Enable additional monitoring/IDS rules</t>
        </is>
      </c>
      <c r="S72" s="189" t="inlineStr">
        <is>
          <t>CVE - IP enrichment n/a</t>
        </is>
      </c>
      <c r="T72" s="189" t="n">
        <v>0.0139</v>
      </c>
      <c r="U72" s="189" t="n">
        <v>0.8011</v>
      </c>
      <c r="V72" s="189" t="inlineStr">
        <is>
          <t>T1078:Valid Accounts | T1552:Unsecured Credentials | T1203:Exploitation for Client Execution</t>
        </is>
      </c>
      <c r="W72" s="189" t="n">
        <v>2</v>
      </c>
      <c r="X72" s="189" t="inlineStr">
        <is>
          <t>HIGH (72%)</t>
        </is>
      </c>
      <c r="Y72" s="189" t="inlineStr">
        <is>
          <t>HIGH</t>
        </is>
      </c>
      <c r="Z72" s="189" t="inlineStr">
        <is>
          <t>CHECK_VENDOR</t>
        </is>
      </c>
      <c r="AA72" s="189" t="inlineStr">
        <is>
          <t>https://nvd.nist.gov/vuln/detail/CVE-2026-2635</t>
        </is>
      </c>
      <c r="AB72" s="189" t="inlineStr">
        <is>
          <t>http://www.zerodayinitiative.com/advisories/ZDI-26-111/</t>
        </is>
      </c>
      <c r="AC72" s="189" t="n">
        <v>0</v>
      </c>
      <c r="AD72" s="189" t="inlineStr"/>
    </row>
    <row r="73">
      <c r="A73" s="187" t="inlineStr">
        <is>
          <t>CVE</t>
        </is>
      </c>
      <c r="B73" s="187" t="inlineStr">
        <is>
          <t>CVE-2026-27134</t>
        </is>
      </c>
      <c r="C73" s="187"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73" s="187" t="n">
        <v>8.1</v>
      </c>
      <c r="E73" s="187" t="inlineStr">
        <is>
          <t>HIGH</t>
        </is>
      </c>
      <c r="F73" s="187" t="n">
        <v>2</v>
      </c>
      <c r="G73" s="187" t="n">
        <v>3</v>
      </c>
      <c r="H73" s="187" t="inlineStr">
        <is>
          <t>HIGH</t>
        </is>
      </c>
      <c r="I73" s="187" t="n">
        <v>14.1</v>
      </c>
      <c r="J73" s="187" t="inlineStr">
        <is>
          <t>NO</t>
        </is>
      </c>
      <c r="K73" s="187" t="inlineStr">
        <is>
          <t>https://nvd.nist.gov/vuln/detail/CVE-2026-27134</t>
        </is>
      </c>
      <c r="L73" s="187" t="inlineStr">
        <is>
          <t>2026-02-27 20:47</t>
        </is>
      </c>
      <c r="M73" s="187" t="inlineStr">
        <is>
          <t>YES</t>
        </is>
      </c>
      <c r="N73" s="187" t="inlineStr">
        <is>
          <t>https://github.com/strimzi/strimzi-kafka-operator/security/advisories/GHSA-2qwx-rq6j-8r6j</t>
        </is>
      </c>
      <c r="O73" s="187" t="inlineStr">
        <is>
          <t>Apply vendor patches</t>
        </is>
      </c>
      <c r="P73" s="187" t="inlineStr">
        <is>
          <t>linuxfoundation strimzi_kafka_operator *</t>
        </is>
      </c>
      <c r="Q73" s="187" t="inlineStr">
        <is>
          <t>P3</t>
        </is>
      </c>
      <c r="R73" s="187" t="inlineStr">
        <is>
          <t>🚨 URGENT: Apply vendor patches immediately | 🔒 Isolate affected systems if patch unavailable | 🛡️ Enable additional monitoring/IDS rules</t>
        </is>
      </c>
      <c r="S73" s="187" t="inlineStr">
        <is>
          <t>CVE - IP enrichment n/a</t>
        </is>
      </c>
      <c r="T73" s="187" t="n">
        <v>0.0003</v>
      </c>
      <c r="U73" s="187" t="n">
        <v>0.0939</v>
      </c>
      <c r="V73" s="187" t="inlineStr">
        <is>
          <t>T1078:Valid Accounts | T1110:Brute Force</t>
        </is>
      </c>
      <c r="W73" s="187" t="n">
        <v>1</v>
      </c>
      <c r="X73" s="187" t="inlineStr">
        <is>
          <t>LOW (40%)</t>
        </is>
      </c>
      <c r="Y73" s="187" t="inlineStr">
        <is>
          <t>UNLIKELY</t>
        </is>
      </c>
      <c r="Z73" s="187" t="inlineStr">
        <is>
          <t>PATCH_AVAILABLE</t>
        </is>
      </c>
      <c r="AA73" s="187" t="inlineStr">
        <is>
          <t>https://nvd.nist.gov/vuln/detail/CVE-2026-27134</t>
        </is>
      </c>
      <c r="AB73" s="187" t="inlineStr">
        <is>
          <t>NONE</t>
        </is>
      </c>
      <c r="AC73" s="187" t="n">
        <v>0</v>
      </c>
      <c r="AD73" s="187" t="inlineStr"/>
    </row>
    <row r="74">
      <c r="A74" s="188" t="inlineStr">
        <is>
          <t>CVE</t>
        </is>
      </c>
      <c r="B74" s="188" t="inlineStr">
        <is>
          <t>CVE-2026-27146</t>
        </is>
      </c>
      <c r="C74" s="188"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74" s="188" t="n">
        <v>4.5</v>
      </c>
      <c r="E74" s="188" t="inlineStr">
        <is>
          <t>MEDIUM</t>
        </is>
      </c>
      <c r="F74" s="188" t="n">
        <v>2</v>
      </c>
      <c r="G74" s="188" t="n">
        <v>2</v>
      </c>
      <c r="H74" s="188" t="inlineStr">
        <is>
          <t>MEDIUM</t>
        </is>
      </c>
      <c r="I74" s="188" t="n">
        <v>8.5</v>
      </c>
      <c r="J74" s="188" t="inlineStr">
        <is>
          <t>NO</t>
        </is>
      </c>
      <c r="K74" s="188" t="inlineStr">
        <is>
          <t>https://nvd.nist.gov/vuln/detail/CVE-2026-27146</t>
        </is>
      </c>
      <c r="L74" s="188" t="inlineStr">
        <is>
          <t>2026-02-27 20:47</t>
        </is>
      </c>
      <c r="M74" s="188" t="inlineStr">
        <is>
          <t>YES</t>
        </is>
      </c>
      <c r="N74" s="188" t="inlineStr">
        <is>
          <t>https://github.com/GetSimpleCMS-CE/GetSimpleCMS-CE/security/advisories/GHSA-26rv-8wpp-q84r</t>
        </is>
      </c>
      <c r="O74" s="188" t="inlineStr">
        <is>
          <t>https://github.com/GetSimpleCMS-CE/GetSimpleCMS-CE/security/advisories/GHSA-26rv-8wpp-q84r</t>
        </is>
      </c>
      <c r="P74" s="188" t="inlineStr">
        <is>
          <t>getsimple-ce getsimple_cms *</t>
        </is>
      </c>
      <c r="Q74" s="188" t="inlineStr">
        <is>
          <t>P4</t>
        </is>
      </c>
      <c r="R74" s="188" t="inlineStr">
        <is>
          <t>📅 Schedule patch deployment within 30 days | 🔍 Monitor for exploitation attempts</t>
        </is>
      </c>
      <c r="S74" s="188" t="inlineStr">
        <is>
          <t>CVE - IP enrichment n/a</t>
        </is>
      </c>
      <c r="T74" s="188" t="n">
        <v>0.0001</v>
      </c>
      <c r="U74" s="188" t="n">
        <v>0.0294</v>
      </c>
      <c r="V74" s="188" t="inlineStr">
        <is>
          <t>T1185:Browser Session Hijacking</t>
        </is>
      </c>
      <c r="W74" s="188" t="n">
        <v>1</v>
      </c>
      <c r="X74" s="188" t="inlineStr">
        <is>
          <t>LOW (40%)</t>
        </is>
      </c>
      <c r="Y74" s="188" t="inlineStr">
        <is>
          <t>UNLIKELY</t>
        </is>
      </c>
      <c r="Z74" s="188" t="inlineStr">
        <is>
          <t>PATCH_AVAILABLE</t>
        </is>
      </c>
      <c r="AA74" s="188" t="inlineStr">
        <is>
          <t>https://nvd.nist.gov/vuln/detail/CVE-2026-27146</t>
        </is>
      </c>
      <c r="AB74" s="188" t="inlineStr">
        <is>
          <t>NONE</t>
        </is>
      </c>
      <c r="AC74" s="188" t="n">
        <v>0</v>
      </c>
      <c r="AD74" s="188" t="inlineStr"/>
    </row>
    <row r="75">
      <c r="A75" s="188" t="inlineStr">
        <is>
          <t>CVE</t>
        </is>
      </c>
      <c r="B75" s="188" t="inlineStr">
        <is>
          <t>CVE-2026-27147</t>
        </is>
      </c>
      <c r="C75" s="188"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75" s="188" t="n">
        <v>5.4</v>
      </c>
      <c r="E75" s="188" t="inlineStr">
        <is>
          <t>MEDIUM</t>
        </is>
      </c>
      <c r="F75" s="188" t="n">
        <v>2</v>
      </c>
      <c r="G75" s="188" t="n">
        <v>2</v>
      </c>
      <c r="H75" s="188" t="inlineStr">
        <is>
          <t>MEDIUM</t>
        </is>
      </c>
      <c r="I75" s="188" t="n">
        <v>9.4</v>
      </c>
      <c r="J75" s="188" t="inlineStr">
        <is>
          <t>NO</t>
        </is>
      </c>
      <c r="K75" s="188" t="inlineStr">
        <is>
          <t>https://nvd.nist.gov/vuln/detail/CVE-2026-27147</t>
        </is>
      </c>
      <c r="L75" s="188" t="inlineStr">
        <is>
          <t>2026-02-27 20:47</t>
        </is>
      </c>
      <c r="M75" s="188" t="inlineStr">
        <is>
          <t>YES</t>
        </is>
      </c>
      <c r="N75" s="188" t="inlineStr">
        <is>
          <t>https://github.com/GetSimpleCMS-CE/GetSimpleCMS-CE/security/advisories/GHSA-5gmq-hrcx-6w45</t>
        </is>
      </c>
      <c r="O75" s="188" t="inlineStr">
        <is>
          <t>https://github.com/GetSimpleCMS-CE/GetSimpleCMS-CE/security/advisories/GHSA-5gmq-hrcx-6w45</t>
        </is>
      </c>
      <c r="P75" s="188" t="inlineStr">
        <is>
          <t>getsimple-ce getsimple_cms *</t>
        </is>
      </c>
      <c r="Q75" s="188" t="inlineStr">
        <is>
          <t>P4</t>
        </is>
      </c>
      <c r="R75" s="188" t="inlineStr">
        <is>
          <t>📅 Schedule patch deployment within 30 days | 🔍 Monitor for exploitation attempts</t>
        </is>
      </c>
      <c r="S75" s="188" t="inlineStr">
        <is>
          <t>CVE - IP enrichment n/a</t>
        </is>
      </c>
      <c r="T75" s="188" t="n">
        <v>0.0003</v>
      </c>
      <c r="U75" s="188" t="n">
        <v>0.1025</v>
      </c>
      <c r="V75" s="188" t="inlineStr">
        <is>
          <t>T1189:Drive-by Compromise</t>
        </is>
      </c>
      <c r="W75" s="188" t="n">
        <v>1</v>
      </c>
      <c r="X75" s="188" t="inlineStr">
        <is>
          <t>LOW (40%)</t>
        </is>
      </c>
      <c r="Y75" s="188" t="inlineStr">
        <is>
          <t>UNLIKELY</t>
        </is>
      </c>
      <c r="Z75" s="188" t="inlineStr">
        <is>
          <t>PATCH_AVAILABLE</t>
        </is>
      </c>
      <c r="AA75" s="188" t="inlineStr">
        <is>
          <t>https://nvd.nist.gov/vuln/detail/CVE-2026-27147</t>
        </is>
      </c>
      <c r="AB75" s="188" t="inlineStr">
        <is>
          <t>NONE</t>
        </is>
      </c>
      <c r="AC75" s="188" t="n">
        <v>0</v>
      </c>
      <c r="AD75" s="188" t="inlineStr"/>
    </row>
    <row r="76">
      <c r="A76" s="187" t="inlineStr">
        <is>
          <t>CVE</t>
        </is>
      </c>
      <c r="B76" s="187" t="inlineStr">
        <is>
          <t>CVE-2026-27161</t>
        </is>
      </c>
      <c r="C76" s="187"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76" s="187" t="n">
        <v>7.5</v>
      </c>
      <c r="E76" s="187" t="inlineStr">
        <is>
          <t>HIGH</t>
        </is>
      </c>
      <c r="F76" s="187" t="n">
        <v>2</v>
      </c>
      <c r="G76" s="187" t="n">
        <v>3</v>
      </c>
      <c r="H76" s="187" t="inlineStr">
        <is>
          <t>HIGH</t>
        </is>
      </c>
      <c r="I76" s="187" t="n">
        <v>13.5</v>
      </c>
      <c r="J76" s="187" t="inlineStr">
        <is>
          <t>NO</t>
        </is>
      </c>
      <c r="K76" s="187" t="inlineStr">
        <is>
          <t>https://nvd.nist.gov/vuln/detail/CVE-2026-27161</t>
        </is>
      </c>
      <c r="L76" s="187" t="inlineStr">
        <is>
          <t>2026-02-27 20:47</t>
        </is>
      </c>
      <c r="M76" s="187" t="inlineStr">
        <is>
          <t>YES</t>
        </is>
      </c>
      <c r="N76" s="187" t="inlineStr">
        <is>
          <t>https://github.com/GetSimpleCMS-CE/GetSimpleCMS-CE/security/advisories/GHSA-f63g-xh6j-q56g</t>
        </is>
      </c>
      <c r="O76" s="187" t="inlineStr">
        <is>
          <t>https://github.com/GetSimpleCMS-CE/GetSimpleCMS-CE/security/advisories/GHSA-f63g-xh6j-q56g</t>
        </is>
      </c>
      <c r="P76" s="187" t="inlineStr">
        <is>
          <t>getsimple-ce getsimple_cms *</t>
        </is>
      </c>
      <c r="Q76" s="187" t="inlineStr">
        <is>
          <t>P3</t>
        </is>
      </c>
      <c r="R76" s="187" t="inlineStr">
        <is>
          <t>🚨 URGENT: Apply vendor patches immediately | 🔒 Isolate affected systems if patch unavailable | 🛡️ Enable additional monitoring/IDS rules</t>
        </is>
      </c>
      <c r="S76" s="187" t="inlineStr">
        <is>
          <t>CVE - IP enrichment n/a</t>
        </is>
      </c>
      <c r="T76" s="187" t="n">
        <v>0.0007</v>
      </c>
      <c r="U76" s="187" t="n">
        <v>0.2027</v>
      </c>
      <c r="V76" s="187" t="inlineStr">
        <is>
          <t>T1213:Data from Information Repositories | T1600:Weaken Encryption</t>
        </is>
      </c>
      <c r="W76" s="187" t="n">
        <v>1</v>
      </c>
      <c r="X76" s="187" t="inlineStr">
        <is>
          <t>LOW (40%)</t>
        </is>
      </c>
      <c r="Y76" s="187" t="inlineStr">
        <is>
          <t>UNLIKELY</t>
        </is>
      </c>
      <c r="Z76" s="187" t="inlineStr">
        <is>
          <t>PATCH_AVAILABLE</t>
        </is>
      </c>
      <c r="AA76" s="187" t="inlineStr">
        <is>
          <t>https://nvd.nist.gov/vuln/detail/CVE-2026-27161</t>
        </is>
      </c>
      <c r="AB76" s="187" t="inlineStr">
        <is>
          <t>NONE</t>
        </is>
      </c>
      <c r="AC76" s="187" t="n">
        <v>0</v>
      </c>
      <c r="AD76" s="187" t="inlineStr"/>
    </row>
    <row r="77">
      <c r="A77" s="187" t="inlineStr">
        <is>
          <t>CVE</t>
        </is>
      </c>
      <c r="B77" s="187" t="inlineStr">
        <is>
          <t>CVE-2026-27168</t>
        </is>
      </c>
      <c r="C77" s="187"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77" s="187" t="n">
        <v>8.800000000000001</v>
      </c>
      <c r="E77" s="187" t="inlineStr">
        <is>
          <t>HIGH</t>
        </is>
      </c>
      <c r="F77" s="187" t="n">
        <v>2</v>
      </c>
      <c r="G77" s="187" t="n">
        <v>3</v>
      </c>
      <c r="H77" s="187" t="inlineStr">
        <is>
          <t>HIGH</t>
        </is>
      </c>
      <c r="I77" s="187" t="n">
        <v>14.8</v>
      </c>
      <c r="J77" s="187" t="inlineStr">
        <is>
          <t>NO</t>
        </is>
      </c>
      <c r="K77" s="187" t="inlineStr">
        <is>
          <t>https://nvd.nist.gov/vuln/detail/CVE-2026-27168</t>
        </is>
      </c>
      <c r="L77" s="187" t="inlineStr">
        <is>
          <t>2026-02-27 20:47</t>
        </is>
      </c>
      <c r="M77" s="187" t="inlineStr">
        <is>
          <t>CHECK_VENDOR</t>
        </is>
      </c>
      <c r="N77" s="187" t="inlineStr">
        <is>
          <t>See NVD references</t>
        </is>
      </c>
      <c r="O77" s="187" t="inlineStr">
        <is>
          <t>Apply vendor patches</t>
        </is>
      </c>
      <c r="P77" s="187" t="inlineStr">
        <is>
          <t>See CVE details</t>
        </is>
      </c>
      <c r="Q77" s="187" t="inlineStr">
        <is>
          <t>P3</t>
        </is>
      </c>
      <c r="R77" s="187" t="inlineStr">
        <is>
          <t>🚨 URGENT: Apply vendor patches immediately | 🔒 Isolate affected systems if patch unavailable | 🛡️ Enable additional monitoring/IDS rules</t>
        </is>
      </c>
      <c r="S77" s="187" t="inlineStr">
        <is>
          <t>CVE - IP enrichment n/a</t>
        </is>
      </c>
      <c r="T77" s="187" t="n">
        <v>0.0002</v>
      </c>
      <c r="U77" s="187" t="n">
        <v>0.0496</v>
      </c>
      <c r="V77" s="187" t="inlineStr">
        <is>
          <t>T1203:Exploitation for Client Execution</t>
        </is>
      </c>
      <c r="W77" s="187" t="n">
        <v>1</v>
      </c>
      <c r="X77" s="187" t="inlineStr">
        <is>
          <t>LOW (40%)</t>
        </is>
      </c>
      <c r="Y77" s="187" t="inlineStr">
        <is>
          <t>UNLIKELY</t>
        </is>
      </c>
      <c r="Z77" s="187" t="inlineStr">
        <is>
          <t>CHECK_VENDOR</t>
        </is>
      </c>
      <c r="AA77" s="187" t="inlineStr">
        <is>
          <t>https://nvd.nist.gov/vuln/detail/CVE-2026-27168</t>
        </is>
      </c>
      <c r="AB77" s="187" t="inlineStr">
        <is>
          <t>NONE</t>
        </is>
      </c>
      <c r="AC77" s="187" t="n">
        <v>0</v>
      </c>
      <c r="AD77" s="187" t="inlineStr"/>
    </row>
    <row r="78">
      <c r="A78" s="187" t="inlineStr">
        <is>
          <t>CVE</t>
        </is>
      </c>
      <c r="B78" s="187" t="inlineStr">
        <is>
          <t>CVE-2026-27169</t>
        </is>
      </c>
      <c r="C78" s="187"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78" s="187" t="n">
        <v>8.9</v>
      </c>
      <c r="E78" s="187" t="inlineStr">
        <is>
          <t>HIGH</t>
        </is>
      </c>
      <c r="F78" s="187" t="n">
        <v>2</v>
      </c>
      <c r="G78" s="187" t="n">
        <v>3</v>
      </c>
      <c r="H78" s="187" t="inlineStr">
        <is>
          <t>HIGH</t>
        </is>
      </c>
      <c r="I78" s="187" t="n">
        <v>14.9</v>
      </c>
      <c r="J78" s="187" t="inlineStr">
        <is>
          <t>NO</t>
        </is>
      </c>
      <c r="K78" s="187" t="inlineStr">
        <is>
          <t>https://nvd.nist.gov/vuln/detail/CVE-2026-27169</t>
        </is>
      </c>
      <c r="L78" s="187" t="inlineStr">
        <is>
          <t>2026-02-27 20:47</t>
        </is>
      </c>
      <c r="M78" s="187" t="inlineStr">
        <is>
          <t>YES</t>
        </is>
      </c>
      <c r="N78" s="187" t="inlineStr">
        <is>
          <t>https://github.com/OpenSift/OpenSift/security/advisories/GHSA-qrpx-7cmv-5gv5</t>
        </is>
      </c>
      <c r="O78" s="187" t="inlineStr">
        <is>
          <t>Apply vendor patches</t>
        </is>
      </c>
      <c r="P78" s="187" t="inlineStr">
        <is>
          <t>opensift opensift *</t>
        </is>
      </c>
      <c r="Q78" s="187" t="inlineStr">
        <is>
          <t>P3</t>
        </is>
      </c>
      <c r="R78" s="187" t="inlineStr">
        <is>
          <t>🚨 URGENT: Apply vendor patches immediately | 🔒 Isolate affected systems if patch unavailable | 🛡️ Enable additional monitoring/IDS rules</t>
        </is>
      </c>
      <c r="S78" s="187" t="inlineStr">
        <is>
          <t>CVE - IP enrichment n/a</t>
        </is>
      </c>
      <c r="T78" s="187" t="n">
        <v>0.0005</v>
      </c>
      <c r="U78" s="187" t="n">
        <v>0.1477</v>
      </c>
      <c r="V78" s="187" t="inlineStr">
        <is>
          <t>T1189:Drive-by Compromise</t>
        </is>
      </c>
      <c r="W78" s="187" t="n">
        <v>1</v>
      </c>
      <c r="X78" s="187" t="inlineStr">
        <is>
          <t>LOW (40%)</t>
        </is>
      </c>
      <c r="Y78" s="187" t="inlineStr">
        <is>
          <t>UNLIKELY</t>
        </is>
      </c>
      <c r="Z78" s="187" t="inlineStr">
        <is>
          <t>PATCH_AVAILABLE</t>
        </is>
      </c>
      <c r="AA78" s="187" t="inlineStr">
        <is>
          <t>https://nvd.nist.gov/vuln/detail/CVE-2026-27169</t>
        </is>
      </c>
      <c r="AB78" s="187" t="inlineStr">
        <is>
          <t>NONE</t>
        </is>
      </c>
      <c r="AC78" s="187" t="n">
        <v>0</v>
      </c>
      <c r="AD78" s="187" t="inlineStr"/>
    </row>
    <row r="79">
      <c r="A79" s="187" t="inlineStr">
        <is>
          <t>CVE</t>
        </is>
      </c>
      <c r="B79" s="187" t="inlineStr">
        <is>
          <t>CVE-2026-27170</t>
        </is>
      </c>
      <c r="C79" s="187"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79" s="187" t="n">
        <v>7.1</v>
      </c>
      <c r="E79" s="187" t="inlineStr">
        <is>
          <t>HIGH</t>
        </is>
      </c>
      <c r="F79" s="187" t="n">
        <v>2</v>
      </c>
      <c r="G79" s="187" t="n">
        <v>3</v>
      </c>
      <c r="H79" s="187" t="inlineStr">
        <is>
          <t>HIGH</t>
        </is>
      </c>
      <c r="I79" s="187" t="n">
        <v>13.1</v>
      </c>
      <c r="J79" s="187" t="inlineStr">
        <is>
          <t>NO</t>
        </is>
      </c>
      <c r="K79" s="187" t="inlineStr">
        <is>
          <t>https://nvd.nist.gov/vuln/detail/CVE-2026-27170</t>
        </is>
      </c>
      <c r="L79" s="187" t="inlineStr">
        <is>
          <t>2026-02-27 20:47</t>
        </is>
      </c>
      <c r="M79" s="187" t="inlineStr">
        <is>
          <t>YES</t>
        </is>
      </c>
      <c r="N79" s="187" t="inlineStr">
        <is>
          <t>https://github.com/OpenSift/OpenSift/security/advisories/GHSA-3w2r-hj5p-h6pp</t>
        </is>
      </c>
      <c r="O79" s="187" t="inlineStr">
        <is>
          <t>Apply vendor patches</t>
        </is>
      </c>
      <c r="P79" s="187" t="inlineStr">
        <is>
          <t>opensift opensift *</t>
        </is>
      </c>
      <c r="Q79" s="187" t="inlineStr">
        <is>
          <t>P3</t>
        </is>
      </c>
      <c r="R79" s="187" t="inlineStr">
        <is>
          <t>🚨 URGENT: Apply vendor patches immediately | 🔒 Isolate affected systems if patch unavailable | 🛡️ Enable additional monitoring/IDS rules</t>
        </is>
      </c>
      <c r="S79" s="187" t="inlineStr">
        <is>
          <t>CVE - IP enrichment n/a</t>
        </is>
      </c>
      <c r="T79" s="187" t="n">
        <v>0.0005</v>
      </c>
      <c r="U79" s="187" t="n">
        <v>0.1563</v>
      </c>
      <c r="V79" s="187" t="inlineStr">
        <is>
          <t>T1190:Exploit Public-Facing Application</t>
        </is>
      </c>
      <c r="W79" s="187" t="n">
        <v>1</v>
      </c>
      <c r="X79" s="187" t="inlineStr">
        <is>
          <t>LOW (40%)</t>
        </is>
      </c>
      <c r="Y79" s="187" t="inlineStr">
        <is>
          <t>UNLIKELY</t>
        </is>
      </c>
      <c r="Z79" s="187" t="inlineStr">
        <is>
          <t>PATCH_AVAILABLE</t>
        </is>
      </c>
      <c r="AA79" s="187" t="inlineStr">
        <is>
          <t>https://nvd.nist.gov/vuln/detail/CVE-2026-27170</t>
        </is>
      </c>
      <c r="AB79" s="187" t="inlineStr">
        <is>
          <t>NONE</t>
        </is>
      </c>
      <c r="AC79" s="187" t="n">
        <v>0</v>
      </c>
      <c r="AD79" s="187" t="inlineStr"/>
    </row>
    <row r="80">
      <c r="A80" s="188" t="inlineStr">
        <is>
          <t>CVE</t>
        </is>
      </c>
      <c r="B80" s="188" t="inlineStr">
        <is>
          <t>CVE-2026-27189</t>
        </is>
      </c>
      <c r="C80" s="188"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80" s="188" t="n">
        <v>6.6</v>
      </c>
      <c r="E80" s="188" t="inlineStr">
        <is>
          <t>MEDIUM</t>
        </is>
      </c>
      <c r="F80" s="188" t="n">
        <v>2</v>
      </c>
      <c r="G80" s="188" t="n">
        <v>2</v>
      </c>
      <c r="H80" s="188" t="inlineStr">
        <is>
          <t>MEDIUM</t>
        </is>
      </c>
      <c r="I80" s="188" t="n">
        <v>10.6</v>
      </c>
      <c r="J80" s="188" t="inlineStr">
        <is>
          <t>NO</t>
        </is>
      </c>
      <c r="K80" s="188" t="inlineStr">
        <is>
          <t>https://nvd.nist.gov/vuln/detail/CVE-2026-27189</t>
        </is>
      </c>
      <c r="L80" s="188" t="inlineStr">
        <is>
          <t>2026-02-27 20:47</t>
        </is>
      </c>
      <c r="M80" s="188" t="inlineStr">
        <is>
          <t>YES</t>
        </is>
      </c>
      <c r="N80" s="188" t="inlineStr">
        <is>
          <t>https://github.com/OpenSift/OpenSift/security/advisories/GHSA-3pmp-j953-whxq</t>
        </is>
      </c>
      <c r="O80" s="188" t="inlineStr">
        <is>
          <t>Apply vendor patches</t>
        </is>
      </c>
      <c r="P80" s="188" t="inlineStr">
        <is>
          <t>opensift opensift *</t>
        </is>
      </c>
      <c r="Q80" s="188" t="inlineStr">
        <is>
          <t>P4</t>
        </is>
      </c>
      <c r="R80" s="188" t="inlineStr">
        <is>
          <t>📅 Schedule patch deployment within 30 days | 🔍 Monitor for exploitation attempts</t>
        </is>
      </c>
      <c r="S80" s="188" t="inlineStr">
        <is>
          <t>CVE - IP enrichment n/a</t>
        </is>
      </c>
      <c r="T80" s="188" t="n">
        <v>0.0001</v>
      </c>
      <c r="U80" s="188" t="n">
        <v>0.0194</v>
      </c>
      <c r="V80" s="188" t="inlineStr">
        <is>
          <t>T1068:Exploitation for Privilege Escalation</t>
        </is>
      </c>
      <c r="W80" s="188" t="n">
        <v>1</v>
      </c>
      <c r="X80" s="188" t="inlineStr">
        <is>
          <t>LOW (40%)</t>
        </is>
      </c>
      <c r="Y80" s="188" t="inlineStr">
        <is>
          <t>UNLIKELY</t>
        </is>
      </c>
      <c r="Z80" s="188" t="inlineStr">
        <is>
          <t>PATCH_AVAILABLE</t>
        </is>
      </c>
      <c r="AA80" s="188" t="inlineStr">
        <is>
          <t>https://nvd.nist.gov/vuln/detail/CVE-2026-27189</t>
        </is>
      </c>
      <c r="AB80" s="188" t="inlineStr">
        <is>
          <t>NONE</t>
        </is>
      </c>
      <c r="AC80" s="188" t="n">
        <v>0</v>
      </c>
      <c r="AD80" s="188" t="inlineStr"/>
    </row>
    <row r="81">
      <c r="A81" s="187" t="inlineStr">
        <is>
          <t>CVE</t>
        </is>
      </c>
      <c r="B81" s="187" t="inlineStr">
        <is>
          <t>CVE-2026-27202</t>
        </is>
      </c>
      <c r="C81" s="187" t="inlineStr">
        <is>
          <t>GetSimple CMS is a content management system. All versions of GetSimple CMS have a flaw in the Uploaded Files feature that allows for arbitrary file reads. This issue has not been fixed at the time of publication.</t>
        </is>
      </c>
      <c r="D81" s="187" t="n">
        <v>7.5</v>
      </c>
      <c r="E81" s="187" t="inlineStr">
        <is>
          <t>HIGH</t>
        </is>
      </c>
      <c r="F81" s="187" t="n">
        <v>2</v>
      </c>
      <c r="G81" s="187" t="n">
        <v>3</v>
      </c>
      <c r="H81" s="187" t="inlineStr">
        <is>
          <t>HIGH</t>
        </is>
      </c>
      <c r="I81" s="187" t="n">
        <v>13.5</v>
      </c>
      <c r="J81" s="187" t="inlineStr">
        <is>
          <t>NO</t>
        </is>
      </c>
      <c r="K81" s="187" t="inlineStr">
        <is>
          <t>https://nvd.nist.gov/vuln/detail/CVE-2026-27202</t>
        </is>
      </c>
      <c r="L81" s="187" t="inlineStr">
        <is>
          <t>2026-02-27 20:47</t>
        </is>
      </c>
      <c r="M81" s="187" t="inlineStr">
        <is>
          <t>YES</t>
        </is>
      </c>
      <c r="N81" s="187" t="inlineStr">
        <is>
          <t>https://github.com/GetSimpleCMS-CE/GetSimpleCMS-CE/security/advisories/GHSA-xhwv-g6q4-h886</t>
        </is>
      </c>
      <c r="O81" s="187" t="inlineStr">
        <is>
          <t>Apply vendor patches</t>
        </is>
      </c>
      <c r="P81" s="187" t="inlineStr">
        <is>
          <t>getsimple-ce getsimple_cms 3.3.22</t>
        </is>
      </c>
      <c r="Q81" s="187" t="inlineStr">
        <is>
          <t>P3</t>
        </is>
      </c>
      <c r="R81" s="187" t="inlineStr">
        <is>
          <t>🚨 URGENT: Apply vendor patches immediately | 🔒 Isolate affected systems if patch unavailable | 🛡️ Enable additional monitoring/IDS rules</t>
        </is>
      </c>
      <c r="S81" s="187" t="inlineStr">
        <is>
          <t>CVE - IP enrichment n/a</t>
        </is>
      </c>
      <c r="T81" s="187" t="n">
        <v>0.0005999999999999999</v>
      </c>
      <c r="U81" s="187" t="n">
        <v>0.1769</v>
      </c>
      <c r="V81" s="187" t="inlineStr">
        <is>
          <t>T1083:File and Directory Discovery</t>
        </is>
      </c>
      <c r="W81" s="187" t="n">
        <v>1</v>
      </c>
      <c r="X81" s="187" t="inlineStr">
        <is>
          <t>LOW (40%)</t>
        </is>
      </c>
      <c r="Y81" s="187" t="inlineStr">
        <is>
          <t>UNLIKELY</t>
        </is>
      </c>
      <c r="Z81" s="187" t="inlineStr">
        <is>
          <t>PATCH_AVAILABLE</t>
        </is>
      </c>
      <c r="AA81" s="187" t="inlineStr">
        <is>
          <t>https://nvd.nist.gov/vuln/detail/CVE-2026-27202</t>
        </is>
      </c>
      <c r="AB81" s="187" t="inlineStr">
        <is>
          <t>NONE</t>
        </is>
      </c>
      <c r="AC81" s="187" t="n">
        <v>0</v>
      </c>
      <c r="AD81" s="187" t="inlineStr"/>
    </row>
    <row r="82">
      <c r="A82" s="187" t="inlineStr">
        <is>
          <t>CVE</t>
        </is>
      </c>
      <c r="B82" s="187" t="inlineStr">
        <is>
          <t>CVE-2026-27203</t>
        </is>
      </c>
      <c r="C82" s="187"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82" s="187" t="n">
        <v>8.300000000000001</v>
      </c>
      <c r="E82" s="187" t="inlineStr">
        <is>
          <t>HIGH</t>
        </is>
      </c>
      <c r="F82" s="187" t="n">
        <v>2</v>
      </c>
      <c r="G82" s="187" t="n">
        <v>3</v>
      </c>
      <c r="H82" s="187" t="inlineStr">
        <is>
          <t>HIGH</t>
        </is>
      </c>
      <c r="I82" s="187" t="n">
        <v>14.3</v>
      </c>
      <c r="J82" s="187" t="inlineStr">
        <is>
          <t>NO</t>
        </is>
      </c>
      <c r="K82" s="187" t="inlineStr">
        <is>
          <t>https://nvd.nist.gov/vuln/detail/CVE-2026-27203</t>
        </is>
      </c>
      <c r="L82" s="187" t="inlineStr">
        <is>
          <t>2026-02-27 20:47</t>
        </is>
      </c>
      <c r="M82" s="187" t="inlineStr">
        <is>
          <t>CHECK_VENDOR</t>
        </is>
      </c>
      <c r="N82" s="187" t="inlineStr">
        <is>
          <t>See NVD references</t>
        </is>
      </c>
      <c r="O82" s="187" t="inlineStr">
        <is>
          <t>Apply vendor patches</t>
        </is>
      </c>
      <c r="P82" s="187" t="inlineStr">
        <is>
          <t>See CVE details</t>
        </is>
      </c>
      <c r="Q82" s="187" t="inlineStr">
        <is>
          <t>P3</t>
        </is>
      </c>
      <c r="R82" s="187" t="inlineStr">
        <is>
          <t>🚨 URGENT: Apply vendor patches immediately | 🔒 Isolate affected systems if patch unavailable | 🛡️ Enable additional monitoring/IDS rules</t>
        </is>
      </c>
      <c r="S82" s="187" t="inlineStr">
        <is>
          <t>CVE - IP enrichment n/a</t>
        </is>
      </c>
      <c r="T82" s="187" t="n">
        <v>0.0005</v>
      </c>
      <c r="U82" s="187" t="n">
        <v>0.1438</v>
      </c>
      <c r="V82" s="187" t="inlineStr">
        <is>
          <t>T1190:Exploit Public-Facing Application | T1499:Endpoint Denial of Service</t>
        </is>
      </c>
      <c r="W82" s="187" t="n">
        <v>1</v>
      </c>
      <c r="X82" s="187" t="inlineStr">
        <is>
          <t>LOW (40%)</t>
        </is>
      </c>
      <c r="Y82" s="187" t="inlineStr">
        <is>
          <t>UNLIKELY</t>
        </is>
      </c>
      <c r="Z82" s="187" t="inlineStr">
        <is>
          <t>CHECK_VENDOR</t>
        </is>
      </c>
      <c r="AA82" s="187" t="inlineStr">
        <is>
          <t>https://nvd.nist.gov/vuln/detail/CVE-2026-27203</t>
        </is>
      </c>
      <c r="AB82" s="187" t="inlineStr">
        <is>
          <t>NONE</t>
        </is>
      </c>
      <c r="AC82" s="187" t="n">
        <v>0</v>
      </c>
      <c r="AD82" s="187" t="inlineStr"/>
    </row>
    <row r="83">
      <c r="A83" s="188" t="inlineStr">
        <is>
          <t>CVE</t>
        </is>
      </c>
      <c r="B83" s="188" t="inlineStr">
        <is>
          <t>CVE-2025-65995</t>
        </is>
      </c>
      <c r="C83" s="188"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83" s="188" t="n">
        <v>6.5</v>
      </c>
      <c r="E83" s="188" t="inlineStr">
        <is>
          <t>MEDIUM</t>
        </is>
      </c>
      <c r="F83" s="188" t="n">
        <v>2</v>
      </c>
      <c r="G83" s="188" t="n">
        <v>2</v>
      </c>
      <c r="H83" s="188" t="inlineStr">
        <is>
          <t>MEDIUM</t>
        </is>
      </c>
      <c r="I83" s="188" t="n">
        <v>10.5</v>
      </c>
      <c r="J83" s="188" t="inlineStr">
        <is>
          <t>NO</t>
        </is>
      </c>
      <c r="K83" s="188" t="inlineStr">
        <is>
          <t>https://nvd.nist.gov/vuln/detail/CVE-2025-65995</t>
        </is>
      </c>
      <c r="L83" s="188" t="inlineStr">
        <is>
          <t>2026-02-27 20:47</t>
        </is>
      </c>
      <c r="M83" s="188" t="inlineStr">
        <is>
          <t>YES</t>
        </is>
      </c>
      <c r="N83" s="188" t="inlineStr">
        <is>
          <t>https://github.com/apache/airflow/pull/58252 | https://github.com/apache/airflow/pull/61883 | https://lists.apache.org/thread/1qzlrjo2wmlzs0rrgzgslj2pzkor0dr2</t>
        </is>
      </c>
      <c r="O83" s="188" t="inlineStr">
        <is>
          <t>Apply vendor patches</t>
        </is>
      </c>
      <c r="P83" s="188" t="inlineStr">
        <is>
          <t>apache airflow *</t>
        </is>
      </c>
      <c r="Q83" s="188" t="inlineStr">
        <is>
          <t>P4</t>
        </is>
      </c>
      <c r="R83" s="188" t="inlineStr">
        <is>
          <t>📅 Schedule patch deployment within 30 days | 🔍 Monitor for exploitation attempts</t>
        </is>
      </c>
      <c r="S83" s="188" t="inlineStr">
        <is>
          <t>CVE - IP enrichment n/a</t>
        </is>
      </c>
      <c r="T83" s="188" t="n">
        <v>0.0003</v>
      </c>
      <c r="U83" s="188" t="n">
        <v>0.0834</v>
      </c>
      <c r="V83" s="188" t="inlineStr">
        <is>
          <t>T1190:Exploit Public-Facing Application</t>
        </is>
      </c>
      <c r="W83" s="188" t="n">
        <v>1</v>
      </c>
      <c r="X83" s="188" t="inlineStr">
        <is>
          <t>LOW (40%)</t>
        </is>
      </c>
      <c r="Y83" s="188" t="inlineStr">
        <is>
          <t>UNLIKELY</t>
        </is>
      </c>
      <c r="Z83" s="188" t="inlineStr">
        <is>
          <t>PATCH_AVAILABLE</t>
        </is>
      </c>
      <c r="AA83" s="188" t="inlineStr">
        <is>
          <t>https://nvd.nist.gov/vuln/detail/CVE-2025-65995</t>
        </is>
      </c>
      <c r="AB83" s="188" t="inlineStr">
        <is>
          <t>NONE</t>
        </is>
      </c>
      <c r="AC83" s="188" t="n">
        <v>0</v>
      </c>
      <c r="AD83" s="188" t="inlineStr"/>
    </row>
    <row r="84">
      <c r="A84" s="188" t="inlineStr">
        <is>
          <t>CVE</t>
        </is>
      </c>
      <c r="B84" s="188" t="inlineStr">
        <is>
          <t>CVE-2026-27191</t>
        </is>
      </c>
      <c r="C84" s="188"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84" s="188" t="n">
        <v>6.1</v>
      </c>
      <c r="E84" s="188" t="inlineStr">
        <is>
          <t>MEDIUM</t>
        </is>
      </c>
      <c r="F84" s="188" t="n">
        <v>2</v>
      </c>
      <c r="G84" s="188" t="n">
        <v>2</v>
      </c>
      <c r="H84" s="188" t="inlineStr">
        <is>
          <t>MEDIUM</t>
        </is>
      </c>
      <c r="I84" s="188" t="n">
        <v>10.1</v>
      </c>
      <c r="J84" s="188" t="inlineStr">
        <is>
          <t>NO</t>
        </is>
      </c>
      <c r="K84" s="188" t="inlineStr">
        <is>
          <t>https://nvd.nist.gov/vuln/detail/CVE-2026-27191</t>
        </is>
      </c>
      <c r="L84" s="188" t="inlineStr">
        <is>
          <t>2026-02-27 20:47</t>
        </is>
      </c>
      <c r="M84" s="188" t="inlineStr">
        <is>
          <t>YES</t>
        </is>
      </c>
      <c r="N84" s="188" t="inlineStr">
        <is>
          <t>https://github.com/feathersjs/feathers/commit/ee19a0ae9bc2ebf23b1fe598a1f7361981b65401</t>
        </is>
      </c>
      <c r="O84" s="188" t="inlineStr">
        <is>
          <t>Apply vendor patches</t>
        </is>
      </c>
      <c r="P84" s="188" t="inlineStr">
        <is>
          <t>feathersjs feathers *</t>
        </is>
      </c>
      <c r="Q84" s="188" t="inlineStr">
        <is>
          <t>P4</t>
        </is>
      </c>
      <c r="R84" s="188" t="inlineStr">
        <is>
          <t>📅 Schedule patch deployment within 30 days | 🔍 Monitor for exploitation attempts</t>
        </is>
      </c>
      <c r="S84" s="188" t="inlineStr">
        <is>
          <t>CVE - IP enrichment n/a</t>
        </is>
      </c>
      <c r="T84" s="188" t="n">
        <v>0.0003</v>
      </c>
      <c r="U84" s="188" t="n">
        <v>0.0774</v>
      </c>
      <c r="V84" s="188" t="inlineStr">
        <is>
          <t>T1189:Drive-by Compromise</t>
        </is>
      </c>
      <c r="W84" s="188" t="n">
        <v>1</v>
      </c>
      <c r="X84" s="188" t="inlineStr">
        <is>
          <t>LOW (40%)</t>
        </is>
      </c>
      <c r="Y84" s="188" t="inlineStr">
        <is>
          <t>UNLIKELY</t>
        </is>
      </c>
      <c r="Z84" s="188" t="inlineStr">
        <is>
          <t>PATCH_AVAILABLE</t>
        </is>
      </c>
      <c r="AA84" s="188" t="inlineStr">
        <is>
          <t>https://nvd.nist.gov/vuln/detail/CVE-2026-27191</t>
        </is>
      </c>
      <c r="AB84" s="188" t="inlineStr">
        <is>
          <t>NONE</t>
        </is>
      </c>
      <c r="AC84" s="188" t="n">
        <v>0</v>
      </c>
      <c r="AD84" s="188" t="inlineStr"/>
    </row>
    <row r="85">
      <c r="A85" s="187" t="inlineStr">
        <is>
          <t>CVE</t>
        </is>
      </c>
      <c r="B85" s="187" t="inlineStr">
        <is>
          <t>CVE-2026-27192</t>
        </is>
      </c>
      <c r="C85" s="187"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85" s="187" t="n">
        <v>8.1</v>
      </c>
      <c r="E85" s="187" t="inlineStr">
        <is>
          <t>HIGH</t>
        </is>
      </c>
      <c r="F85" s="187" t="n">
        <v>2</v>
      </c>
      <c r="G85" s="187" t="n">
        <v>3</v>
      </c>
      <c r="H85" s="187" t="inlineStr">
        <is>
          <t>HIGH</t>
        </is>
      </c>
      <c r="I85" s="187" t="n">
        <v>14.1</v>
      </c>
      <c r="J85" s="187" t="inlineStr">
        <is>
          <t>NO</t>
        </is>
      </c>
      <c r="K85" s="187" t="inlineStr">
        <is>
          <t>https://nvd.nist.gov/vuln/detail/CVE-2026-27192</t>
        </is>
      </c>
      <c r="L85" s="187" t="inlineStr">
        <is>
          <t>2026-02-27 20:47</t>
        </is>
      </c>
      <c r="M85" s="187" t="inlineStr">
        <is>
          <t>YES</t>
        </is>
      </c>
      <c r="N85" s="187" t="inlineStr">
        <is>
          <t>https://github.com/feathersjs/feathers/commit/ee19a0ae9bc2ebf23b1fe598a1f7361981b65401</t>
        </is>
      </c>
      <c r="O85" s="187" t="inlineStr">
        <is>
          <t>Apply vendor patches</t>
        </is>
      </c>
      <c r="P85" s="187" t="inlineStr">
        <is>
          <t>feathersjs feathers *</t>
        </is>
      </c>
      <c r="Q85" s="187" t="inlineStr">
        <is>
          <t>P3</t>
        </is>
      </c>
      <c r="R85" s="187" t="inlineStr">
        <is>
          <t>🚨 URGENT: Apply vendor patches immediately | 🔒 Isolate affected systems if patch unavailable | 🛡️ Enable additional monitoring/IDS rules</t>
        </is>
      </c>
      <c r="S85" s="187" t="inlineStr">
        <is>
          <t>CVE - IP enrichment n/a</t>
        </is>
      </c>
      <c r="T85" s="187" t="n">
        <v>0.0002</v>
      </c>
      <c r="U85" s="187" t="n">
        <v>0.062</v>
      </c>
      <c r="V85" s="187" t="inlineStr">
        <is>
          <t>T1190:Exploit Public-Facing Application</t>
        </is>
      </c>
      <c r="W85" s="187" t="n">
        <v>1</v>
      </c>
      <c r="X85" s="187" t="inlineStr">
        <is>
          <t>LOW (40%)</t>
        </is>
      </c>
      <c r="Y85" s="187" t="inlineStr">
        <is>
          <t>UNLIKELY</t>
        </is>
      </c>
      <c r="Z85" s="187" t="inlineStr">
        <is>
          <t>PATCH_AVAILABLE</t>
        </is>
      </c>
      <c r="AA85" s="187" t="inlineStr">
        <is>
          <t>https://nvd.nist.gov/vuln/detail/CVE-2026-27192</t>
        </is>
      </c>
      <c r="AB85" s="187" t="inlineStr">
        <is>
          <t>NONE</t>
        </is>
      </c>
      <c r="AC85" s="187" t="n">
        <v>0</v>
      </c>
      <c r="AD85" s="187" t="inlineStr"/>
    </row>
    <row r="86">
      <c r="A86" s="188" t="inlineStr">
        <is>
          <t>CVE</t>
        </is>
      </c>
      <c r="B86" s="188" t="inlineStr">
        <is>
          <t>CVE-2026-27193</t>
        </is>
      </c>
      <c r="C86" s="188"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86" s="188" t="n">
        <v>5.3</v>
      </c>
      <c r="E86" s="188" t="inlineStr">
        <is>
          <t>MEDIUM</t>
        </is>
      </c>
      <c r="F86" s="188" t="n">
        <v>2</v>
      </c>
      <c r="G86" s="188" t="n">
        <v>2</v>
      </c>
      <c r="H86" s="188" t="inlineStr">
        <is>
          <t>MEDIUM</t>
        </is>
      </c>
      <c r="I86" s="188" t="n">
        <v>9.300000000000001</v>
      </c>
      <c r="J86" s="188" t="inlineStr">
        <is>
          <t>NO</t>
        </is>
      </c>
      <c r="K86" s="188" t="inlineStr">
        <is>
          <t>https://nvd.nist.gov/vuln/detail/CVE-2026-27193</t>
        </is>
      </c>
      <c r="L86" s="188" t="inlineStr">
        <is>
          <t>2026-02-27 20:47</t>
        </is>
      </c>
      <c r="M86" s="188" t="inlineStr">
        <is>
          <t>YES</t>
        </is>
      </c>
      <c r="N86" s="188" t="inlineStr">
        <is>
          <t>https://github.com/feathersjs/feathers/commit/ee19a0ae9bc2ebf23b1fe598a1f7361981b65401</t>
        </is>
      </c>
      <c r="O86" s="188" t="inlineStr">
        <is>
          <t>Apply vendor patches</t>
        </is>
      </c>
      <c r="P86" s="188" t="inlineStr">
        <is>
          <t>feathersjs feathers *</t>
        </is>
      </c>
      <c r="Q86" s="188" t="inlineStr">
        <is>
          <t>P4</t>
        </is>
      </c>
      <c r="R86" s="188" t="inlineStr">
        <is>
          <t>📅 Schedule patch deployment within 30 days | 🔍 Monitor for exploitation attempts</t>
        </is>
      </c>
      <c r="S86" s="188" t="inlineStr">
        <is>
          <t>CVE - IP enrichment n/a</t>
        </is>
      </c>
      <c r="T86" s="188" t="n">
        <v>0.0003</v>
      </c>
      <c r="U86" s="188" t="n">
        <v>0.0916</v>
      </c>
      <c r="V86" s="188" t="inlineStr">
        <is>
          <t>T1213:Data from Information Repositories</t>
        </is>
      </c>
      <c r="W86" s="188" t="n">
        <v>1</v>
      </c>
      <c r="X86" s="188" t="inlineStr">
        <is>
          <t>LOW (40%)</t>
        </is>
      </c>
      <c r="Y86" s="188" t="inlineStr">
        <is>
          <t>UNLIKELY</t>
        </is>
      </c>
      <c r="Z86" s="188" t="inlineStr">
        <is>
          <t>PATCH_AVAILABLE</t>
        </is>
      </c>
      <c r="AA86" s="188" t="inlineStr">
        <is>
          <t>https://nvd.nist.gov/vuln/detail/CVE-2026-27193</t>
        </is>
      </c>
      <c r="AB86" s="188" t="inlineStr">
        <is>
          <t>NONE</t>
        </is>
      </c>
      <c r="AC86" s="188" t="n">
        <v>0</v>
      </c>
      <c r="AD86" s="188" t="inlineStr"/>
    </row>
    <row r="87">
      <c r="A87" s="189" t="inlineStr">
        <is>
          <t>CVE</t>
        </is>
      </c>
      <c r="B87" s="189" t="inlineStr">
        <is>
          <t>CVE-2026-27194</t>
        </is>
      </c>
      <c r="C87" s="189"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87" s="189" t="n">
        <v>9.800000000000001</v>
      </c>
      <c r="E87" s="189" t="inlineStr">
        <is>
          <t>CRITICAL</t>
        </is>
      </c>
      <c r="F87" s="189" t="n">
        <v>2</v>
      </c>
      <c r="G87" s="189" t="n">
        <v>3</v>
      </c>
      <c r="H87" s="189" t="inlineStr">
        <is>
          <t>HIGH</t>
        </is>
      </c>
      <c r="I87" s="189" t="n">
        <v>15.8</v>
      </c>
      <c r="J87" s="189" t="inlineStr">
        <is>
          <t>NO</t>
        </is>
      </c>
      <c r="K87" s="189" t="inlineStr">
        <is>
          <t>https://nvd.nist.gov/vuln/detail/CVE-2026-27194</t>
        </is>
      </c>
      <c r="L87" s="189" t="inlineStr">
        <is>
          <t>2026-02-27 20:47</t>
        </is>
      </c>
      <c r="M87" s="189" t="inlineStr">
        <is>
          <t>YES</t>
        </is>
      </c>
      <c r="N87" s="189" t="inlineStr">
        <is>
          <t>https://github.com/man-group/dtale/commit/431c6148d3c799de20e1dec86c4432f48e3d0746 | https://github.com/man-group/dtale/security/advisories/GHSA-c87c-78rc-vmv2</t>
        </is>
      </c>
      <c r="O87" s="189" t="inlineStr">
        <is>
          <t>Apply vendor patches</t>
        </is>
      </c>
      <c r="P87" s="189" t="inlineStr">
        <is>
          <t>man d-tale *</t>
        </is>
      </c>
      <c r="Q87" s="189" t="inlineStr">
        <is>
          <t>P3</t>
        </is>
      </c>
      <c r="R87" s="189" t="inlineStr">
        <is>
          <t>🚨 URGENT: Apply vendor patches immediately | 🔒 Isolate affected systems if patch unavailable | 🛡️ Enable additional monitoring/IDS rules</t>
        </is>
      </c>
      <c r="S87" s="189" t="inlineStr">
        <is>
          <t>CVE - IP enrichment n/a</t>
        </is>
      </c>
      <c r="T87" s="189" t="n">
        <v>0.0038</v>
      </c>
      <c r="U87" s="189" t="n">
        <v>0.5889</v>
      </c>
      <c r="V87" s="189" t="inlineStr">
        <is>
          <t>T1190:Exploit Public-Facing Application | T1210:Exploitation of Remote Services</t>
        </is>
      </c>
      <c r="W87" s="189" t="n">
        <v>1</v>
      </c>
      <c r="X87" s="189" t="inlineStr">
        <is>
          <t>LOW (40%)</t>
        </is>
      </c>
      <c r="Y87" s="189" t="inlineStr">
        <is>
          <t>UNLIKELY</t>
        </is>
      </c>
      <c r="Z87" s="189" t="inlineStr">
        <is>
          <t>PATCH_AVAILABLE</t>
        </is>
      </c>
      <c r="AA87" s="189" t="inlineStr">
        <is>
          <t>https://nvd.nist.gov/vuln/detail/CVE-2026-27194</t>
        </is>
      </c>
      <c r="AB87" s="189" t="inlineStr">
        <is>
          <t>NONE</t>
        </is>
      </c>
      <c r="AC87" s="189" t="n">
        <v>0</v>
      </c>
      <c r="AD87" s="189" t="inlineStr"/>
    </row>
    <row r="88">
      <c r="A88" s="187" t="inlineStr">
        <is>
          <t>CVE</t>
        </is>
      </c>
      <c r="B88" s="187" t="inlineStr">
        <is>
          <t>CVE-2026-27196</t>
        </is>
      </c>
      <c r="C88" s="187"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88" s="187" t="n">
        <v>8.1</v>
      </c>
      <c r="E88" s="187" t="inlineStr">
        <is>
          <t>HIGH</t>
        </is>
      </c>
      <c r="F88" s="187" t="n">
        <v>2</v>
      </c>
      <c r="G88" s="187" t="n">
        <v>3</v>
      </c>
      <c r="H88" s="187" t="inlineStr">
        <is>
          <t>HIGH</t>
        </is>
      </c>
      <c r="I88" s="187" t="n">
        <v>14.1</v>
      </c>
      <c r="J88" s="187" t="inlineStr">
        <is>
          <t>NO</t>
        </is>
      </c>
      <c r="K88" s="187" t="inlineStr">
        <is>
          <t>https://nvd.nist.gov/vuln/detail/CVE-2026-27196</t>
        </is>
      </c>
      <c r="L88" s="187" t="inlineStr">
        <is>
          <t>2026-02-27 20:47</t>
        </is>
      </c>
      <c r="M88" s="187" t="inlineStr">
        <is>
          <t>CHECK_VENDOR</t>
        </is>
      </c>
      <c r="N88" s="187" t="inlineStr">
        <is>
          <t>See NVD references</t>
        </is>
      </c>
      <c r="O88" s="187" t="inlineStr">
        <is>
          <t>Apply vendor patches</t>
        </is>
      </c>
      <c r="P88" s="187" t="inlineStr">
        <is>
          <t>See CVE details</t>
        </is>
      </c>
      <c r="Q88" s="187" t="inlineStr">
        <is>
          <t>P3</t>
        </is>
      </c>
      <c r="R88" s="187" t="inlineStr">
        <is>
          <t>🚨 URGENT: Apply vendor patches immediately | 🔒 Isolate affected systems if patch unavailable | 🛡️ Enable additional monitoring/IDS rules</t>
        </is>
      </c>
      <c r="S88" s="187" t="inlineStr">
        <is>
          <t>CVE - IP enrichment n/a</t>
        </is>
      </c>
      <c r="T88" s="187" t="n">
        <v>0.0003</v>
      </c>
      <c r="U88" s="187" t="n">
        <v>0.0663</v>
      </c>
      <c r="V88" s="187" t="inlineStr">
        <is>
          <t>T1189:Drive-by Compromise</t>
        </is>
      </c>
      <c r="W88" s="187" t="n">
        <v>1</v>
      </c>
      <c r="X88" s="187" t="inlineStr">
        <is>
          <t>LOW (40%)</t>
        </is>
      </c>
      <c r="Y88" s="187" t="inlineStr">
        <is>
          <t>UNLIKELY</t>
        </is>
      </c>
      <c r="Z88" s="187" t="inlineStr">
        <is>
          <t>CHECK_VENDOR</t>
        </is>
      </c>
      <c r="AA88" s="187" t="inlineStr">
        <is>
          <t>https://nvd.nist.gov/vuln/detail/CVE-2026-27196</t>
        </is>
      </c>
      <c r="AB88" s="187" t="inlineStr">
        <is>
          <t>NONE</t>
        </is>
      </c>
      <c r="AC88" s="187" t="n">
        <v>0</v>
      </c>
      <c r="AD88" s="187" t="inlineStr"/>
    </row>
    <row r="89">
      <c r="A89" s="189" t="inlineStr">
        <is>
          <t>CVE</t>
        </is>
      </c>
      <c r="B89" s="189" t="inlineStr">
        <is>
          <t>CVE-2026-27197</t>
        </is>
      </c>
      <c r="C89" s="189"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89" s="189" t="n">
        <v>9.1</v>
      </c>
      <c r="E89" s="189" t="inlineStr">
        <is>
          <t>CRITICAL</t>
        </is>
      </c>
      <c r="F89" s="189" t="n">
        <v>2</v>
      </c>
      <c r="G89" s="189" t="n">
        <v>3</v>
      </c>
      <c r="H89" s="189" t="inlineStr">
        <is>
          <t>HIGH</t>
        </is>
      </c>
      <c r="I89" s="189" t="n">
        <v>15.1</v>
      </c>
      <c r="J89" s="189" t="inlineStr">
        <is>
          <t>NO</t>
        </is>
      </c>
      <c r="K89" s="189" t="inlineStr">
        <is>
          <t>https://nvd.nist.gov/vuln/detail/CVE-2026-27197</t>
        </is>
      </c>
      <c r="L89" s="189" t="inlineStr">
        <is>
          <t>2026-02-27 20:47</t>
        </is>
      </c>
      <c r="M89" s="189" t="inlineStr">
        <is>
          <t>YES</t>
        </is>
      </c>
      <c r="N89" s="189" t="inlineStr">
        <is>
          <t>https://github.com/getsentry/sentry/security/advisories/GHSA-ggmg-cqg6-j45g</t>
        </is>
      </c>
      <c r="O89" s="189" t="inlineStr">
        <is>
          <t>https://github.com/getsentry/sentry/security/advisories/GHSA-ggmg-cqg6-j45g</t>
        </is>
      </c>
      <c r="P89" s="189" t="inlineStr">
        <is>
          <t>sentry sentry *</t>
        </is>
      </c>
      <c r="Q89" s="189" t="inlineStr">
        <is>
          <t>P3</t>
        </is>
      </c>
      <c r="R89" s="189" t="inlineStr">
        <is>
          <t>🚨 URGENT: Apply vendor patches immediately | 🔒 Isolate affected systems if patch unavailable | 🛡️ Enable additional monitoring/IDS rules</t>
        </is>
      </c>
      <c r="S89" s="189" t="inlineStr">
        <is>
          <t>CVE - IP enrichment n/a</t>
        </is>
      </c>
      <c r="T89" s="189" t="n">
        <v>0.0005</v>
      </c>
      <c r="U89" s="189" t="n">
        <v>0.1593</v>
      </c>
      <c r="V89" s="189" t="inlineStr">
        <is>
          <t>T1078:Valid Accounts | T1110:Brute Force</t>
        </is>
      </c>
      <c r="W89" s="189" t="n">
        <v>1</v>
      </c>
      <c r="X89" s="189" t="inlineStr">
        <is>
          <t>LOW (40%)</t>
        </is>
      </c>
      <c r="Y89" s="189" t="inlineStr">
        <is>
          <t>UNLIKELY</t>
        </is>
      </c>
      <c r="Z89" s="189" t="inlineStr">
        <is>
          <t>PATCH_AVAILABLE</t>
        </is>
      </c>
      <c r="AA89" s="189" t="inlineStr">
        <is>
          <t>https://nvd.nist.gov/vuln/detail/CVE-2026-27197</t>
        </is>
      </c>
      <c r="AB89" s="189" t="inlineStr">
        <is>
          <t>NONE</t>
        </is>
      </c>
      <c r="AC89" s="189" t="n">
        <v>0</v>
      </c>
      <c r="AD89" s="189" t="inlineStr"/>
    </row>
    <row r="90">
      <c r="A90" s="188" t="inlineStr">
        <is>
          <t>CVE</t>
        </is>
      </c>
      <c r="B90" s="188" t="inlineStr">
        <is>
          <t>CVE-2026-27527</t>
        </is>
      </c>
      <c r="C90" s="188" t="inlineStr">
        <is>
          <t>Rejected reason: Not used</t>
        </is>
      </c>
      <c r="D90" s="188" t="n">
        <v>5</v>
      </c>
      <c r="E90" s="188" t="inlineStr">
        <is>
          <t>MEDIUM</t>
        </is>
      </c>
      <c r="F90" s="188" t="n">
        <v>2</v>
      </c>
      <c r="G90" s="188" t="n">
        <v>2</v>
      </c>
      <c r="H90" s="188" t="inlineStr">
        <is>
          <t>MEDIUM</t>
        </is>
      </c>
      <c r="I90" s="188" t="n">
        <v>9</v>
      </c>
      <c r="J90" s="188" t="inlineStr">
        <is>
          <t>NO</t>
        </is>
      </c>
      <c r="K90" s="188" t="inlineStr">
        <is>
          <t>https://nvd.nist.gov/vuln/detail/CVE-2026-27527</t>
        </is>
      </c>
      <c r="L90" s="188" t="inlineStr">
        <is>
          <t>2026-02-27 20:47</t>
        </is>
      </c>
      <c r="M90" s="188" t="inlineStr">
        <is>
          <t>CHECK_VENDOR</t>
        </is>
      </c>
      <c r="N90" s="188" t="inlineStr">
        <is>
          <t>See NVD references</t>
        </is>
      </c>
      <c r="O90" s="188" t="inlineStr">
        <is>
          <t>Apply vendor patches</t>
        </is>
      </c>
      <c r="P90" s="188" t="inlineStr">
        <is>
          <t>See CVE details</t>
        </is>
      </c>
      <c r="Q90" s="188" t="inlineStr">
        <is>
          <t>P4</t>
        </is>
      </c>
      <c r="R90" s="188" t="inlineStr">
        <is>
          <t>📅 Schedule patch deployment within 30 days | 🔍 Monitor for exploitation attempts</t>
        </is>
      </c>
      <c r="S90" s="188" t="inlineStr">
        <is>
          <t>CVE - IP enrichment n/a</t>
        </is>
      </c>
      <c r="T90" s="188" t="n">
        <v>0</v>
      </c>
      <c r="U90" s="188" t="n">
        <v>0</v>
      </c>
      <c r="V90" s="188" t="inlineStr">
        <is>
          <t>T1190:Exploit Public-Facing Application</t>
        </is>
      </c>
      <c r="W90" s="188" t="n">
        <v>1</v>
      </c>
      <c r="X90" s="188" t="inlineStr">
        <is>
          <t>LOW (40%)</t>
        </is>
      </c>
      <c r="Y90" s="188" t="inlineStr">
        <is>
          <t>UNLIKELY</t>
        </is>
      </c>
      <c r="Z90" s="188" t="inlineStr">
        <is>
          <t>CHECK_VENDOR</t>
        </is>
      </c>
      <c r="AA90" s="188" t="inlineStr">
        <is>
          <t>https://nvd.nist.gov/vuln/detail/CVE-2026-27527</t>
        </is>
      </c>
      <c r="AB90" s="188" t="inlineStr">
        <is>
          <t>NONE</t>
        </is>
      </c>
      <c r="AC90" s="188" t="n">
        <v>0</v>
      </c>
      <c r="AD90" s="188" t="inlineStr"/>
    </row>
    <row r="91">
      <c r="A91" s="188" t="inlineStr">
        <is>
          <t>CVE</t>
        </is>
      </c>
      <c r="B91" s="188" t="inlineStr">
        <is>
          <t>CVE-2026-27528</t>
        </is>
      </c>
      <c r="C91" s="188" t="inlineStr">
        <is>
          <t>Rejected reason: Not used</t>
        </is>
      </c>
      <c r="D91" s="188" t="n">
        <v>5</v>
      </c>
      <c r="E91" s="188" t="inlineStr">
        <is>
          <t>MEDIUM</t>
        </is>
      </c>
      <c r="F91" s="188" t="n">
        <v>2</v>
      </c>
      <c r="G91" s="188" t="n">
        <v>2</v>
      </c>
      <c r="H91" s="188" t="inlineStr">
        <is>
          <t>MEDIUM</t>
        </is>
      </c>
      <c r="I91" s="188" t="n">
        <v>9</v>
      </c>
      <c r="J91" s="188" t="inlineStr">
        <is>
          <t>NO</t>
        </is>
      </c>
      <c r="K91" s="188" t="inlineStr">
        <is>
          <t>https://nvd.nist.gov/vuln/detail/CVE-2026-27528</t>
        </is>
      </c>
      <c r="L91" s="188" t="inlineStr">
        <is>
          <t>2026-02-27 20:47</t>
        </is>
      </c>
      <c r="M91" s="188" t="inlineStr">
        <is>
          <t>CHECK_VENDOR</t>
        </is>
      </c>
      <c r="N91" s="188" t="inlineStr">
        <is>
          <t>See NVD references</t>
        </is>
      </c>
      <c r="O91" s="188" t="inlineStr">
        <is>
          <t>Apply vendor patches</t>
        </is>
      </c>
      <c r="P91" s="188" t="inlineStr">
        <is>
          <t>See CVE details</t>
        </is>
      </c>
      <c r="Q91" s="188" t="inlineStr">
        <is>
          <t>P4</t>
        </is>
      </c>
      <c r="R91" s="188" t="inlineStr">
        <is>
          <t>📅 Schedule patch deployment within 30 days | 🔍 Monitor for exploitation attempts</t>
        </is>
      </c>
      <c r="S91" s="188" t="inlineStr">
        <is>
          <t>CVE - IP enrichment n/a</t>
        </is>
      </c>
      <c r="T91" s="188" t="n">
        <v>0</v>
      </c>
      <c r="U91" s="188" t="n">
        <v>0</v>
      </c>
      <c r="V91" s="188" t="inlineStr">
        <is>
          <t>T1190:Exploit Public-Facing Application</t>
        </is>
      </c>
      <c r="W91" s="188" t="n">
        <v>1</v>
      </c>
      <c r="X91" s="188" t="inlineStr">
        <is>
          <t>LOW (40%)</t>
        </is>
      </c>
      <c r="Y91" s="188" t="inlineStr">
        <is>
          <t>UNLIKELY</t>
        </is>
      </c>
      <c r="Z91" s="188" t="inlineStr">
        <is>
          <t>CHECK_VENDOR</t>
        </is>
      </c>
      <c r="AA91" s="188" t="inlineStr">
        <is>
          <t>https://nvd.nist.gov/vuln/detail/CVE-2026-27528</t>
        </is>
      </c>
      <c r="AB91" s="188" t="inlineStr">
        <is>
          <t>NONE</t>
        </is>
      </c>
      <c r="AC91" s="188" t="n">
        <v>0</v>
      </c>
      <c r="AD91" s="188" t="inlineStr"/>
    </row>
    <row r="92">
      <c r="A92" s="188" t="inlineStr">
        <is>
          <t>CVE</t>
        </is>
      </c>
      <c r="B92" s="188" t="inlineStr">
        <is>
          <t>CVE-2026-27529</t>
        </is>
      </c>
      <c r="C92" s="188" t="inlineStr">
        <is>
          <t>Rejected reason: Not used</t>
        </is>
      </c>
      <c r="D92" s="188" t="n">
        <v>5</v>
      </c>
      <c r="E92" s="188" t="inlineStr">
        <is>
          <t>MEDIUM</t>
        </is>
      </c>
      <c r="F92" s="188" t="n">
        <v>2</v>
      </c>
      <c r="G92" s="188" t="n">
        <v>2</v>
      </c>
      <c r="H92" s="188" t="inlineStr">
        <is>
          <t>MEDIUM</t>
        </is>
      </c>
      <c r="I92" s="188" t="n">
        <v>9</v>
      </c>
      <c r="J92" s="188" t="inlineStr">
        <is>
          <t>NO</t>
        </is>
      </c>
      <c r="K92" s="188" t="inlineStr">
        <is>
          <t>https://nvd.nist.gov/vuln/detail/CVE-2026-27529</t>
        </is>
      </c>
      <c r="L92" s="188" t="inlineStr">
        <is>
          <t>2026-02-27 20:47</t>
        </is>
      </c>
      <c r="M92" s="188" t="inlineStr">
        <is>
          <t>CHECK_VENDOR</t>
        </is>
      </c>
      <c r="N92" s="188" t="inlineStr">
        <is>
          <t>See NVD references</t>
        </is>
      </c>
      <c r="O92" s="188" t="inlineStr">
        <is>
          <t>Apply vendor patches</t>
        </is>
      </c>
      <c r="P92" s="188" t="inlineStr">
        <is>
          <t>See CVE details</t>
        </is>
      </c>
      <c r="Q92" s="188" t="inlineStr">
        <is>
          <t>P4</t>
        </is>
      </c>
      <c r="R92" s="188" t="inlineStr">
        <is>
          <t>📅 Schedule patch deployment within 30 days | 🔍 Monitor for exploitation attempts</t>
        </is>
      </c>
      <c r="S92" s="188" t="inlineStr">
        <is>
          <t>CVE - IP enrichment n/a</t>
        </is>
      </c>
      <c r="T92" s="188" t="n">
        <v>0</v>
      </c>
      <c r="U92" s="188" t="n">
        <v>0</v>
      </c>
      <c r="V92" s="188" t="inlineStr">
        <is>
          <t>T1190:Exploit Public-Facing Application</t>
        </is>
      </c>
      <c r="W92" s="188" t="n">
        <v>1</v>
      </c>
      <c r="X92" s="188" t="inlineStr">
        <is>
          <t>LOW (40%)</t>
        </is>
      </c>
      <c r="Y92" s="188" t="inlineStr">
        <is>
          <t>UNLIKELY</t>
        </is>
      </c>
      <c r="Z92" s="188" t="inlineStr">
        <is>
          <t>CHECK_VENDOR</t>
        </is>
      </c>
      <c r="AA92" s="188" t="inlineStr">
        <is>
          <t>https://nvd.nist.gov/vuln/detail/CVE-2026-27529</t>
        </is>
      </c>
      <c r="AB92" s="188" t="inlineStr">
        <is>
          <t>NONE</t>
        </is>
      </c>
      <c r="AC92" s="188" t="n">
        <v>0</v>
      </c>
      <c r="AD92" s="188" t="inlineStr"/>
    </row>
    <row r="93">
      <c r="A93" s="188" t="inlineStr">
        <is>
          <t>CVE</t>
        </is>
      </c>
      <c r="B93" s="188" t="inlineStr">
        <is>
          <t>CVE-2026-27530</t>
        </is>
      </c>
      <c r="C93" s="188" t="inlineStr">
        <is>
          <t>Rejected reason: Not used</t>
        </is>
      </c>
      <c r="D93" s="188" t="n">
        <v>5</v>
      </c>
      <c r="E93" s="188" t="inlineStr">
        <is>
          <t>MEDIUM</t>
        </is>
      </c>
      <c r="F93" s="188" t="n">
        <v>2</v>
      </c>
      <c r="G93" s="188" t="n">
        <v>2</v>
      </c>
      <c r="H93" s="188" t="inlineStr">
        <is>
          <t>MEDIUM</t>
        </is>
      </c>
      <c r="I93" s="188" t="n">
        <v>9</v>
      </c>
      <c r="J93" s="188" t="inlineStr">
        <is>
          <t>NO</t>
        </is>
      </c>
      <c r="K93" s="188" t="inlineStr">
        <is>
          <t>https://nvd.nist.gov/vuln/detail/CVE-2026-27530</t>
        </is>
      </c>
      <c r="L93" s="188" t="inlineStr">
        <is>
          <t>2026-02-27 20:47</t>
        </is>
      </c>
      <c r="M93" s="188" t="inlineStr">
        <is>
          <t>CHECK_VENDOR</t>
        </is>
      </c>
      <c r="N93" s="188" t="inlineStr">
        <is>
          <t>See NVD references</t>
        </is>
      </c>
      <c r="O93" s="188" t="inlineStr">
        <is>
          <t>Apply vendor patches</t>
        </is>
      </c>
      <c r="P93" s="188" t="inlineStr">
        <is>
          <t>See CVE details</t>
        </is>
      </c>
      <c r="Q93" s="188" t="inlineStr">
        <is>
          <t>P4</t>
        </is>
      </c>
      <c r="R93" s="188" t="inlineStr">
        <is>
          <t>📅 Schedule patch deployment within 30 days | 🔍 Monitor for exploitation attempts</t>
        </is>
      </c>
      <c r="S93" s="188" t="inlineStr">
        <is>
          <t>CVE - IP enrichment n/a</t>
        </is>
      </c>
      <c r="T93" s="188" t="n">
        <v>0</v>
      </c>
      <c r="U93" s="188" t="n">
        <v>0</v>
      </c>
      <c r="V93" s="188" t="inlineStr">
        <is>
          <t>T1190:Exploit Public-Facing Application</t>
        </is>
      </c>
      <c r="W93" s="188" t="n">
        <v>1</v>
      </c>
      <c r="X93" s="188" t="inlineStr">
        <is>
          <t>LOW (40%)</t>
        </is>
      </c>
      <c r="Y93" s="188" t="inlineStr">
        <is>
          <t>UNLIKELY</t>
        </is>
      </c>
      <c r="Z93" s="188" t="inlineStr">
        <is>
          <t>CHECK_VENDOR</t>
        </is>
      </c>
      <c r="AA93" s="188" t="inlineStr">
        <is>
          <t>https://nvd.nist.gov/vuln/detail/CVE-2026-27530</t>
        </is>
      </c>
      <c r="AB93" s="188" t="inlineStr">
        <is>
          <t>NONE</t>
        </is>
      </c>
      <c r="AC93" s="188" t="n">
        <v>0</v>
      </c>
      <c r="AD93" s="188" t="inlineStr"/>
    </row>
    <row r="94">
      <c r="A94" s="188" t="inlineStr">
        <is>
          <t>CVE</t>
        </is>
      </c>
      <c r="B94" s="188" t="inlineStr">
        <is>
          <t>CVE-2026-27531</t>
        </is>
      </c>
      <c r="C94" s="188" t="inlineStr">
        <is>
          <t>Rejected reason: Not used</t>
        </is>
      </c>
      <c r="D94" s="188" t="n">
        <v>5</v>
      </c>
      <c r="E94" s="188" t="inlineStr">
        <is>
          <t>MEDIUM</t>
        </is>
      </c>
      <c r="F94" s="188" t="n">
        <v>2</v>
      </c>
      <c r="G94" s="188" t="n">
        <v>2</v>
      </c>
      <c r="H94" s="188" t="inlineStr">
        <is>
          <t>MEDIUM</t>
        </is>
      </c>
      <c r="I94" s="188" t="n">
        <v>9</v>
      </c>
      <c r="J94" s="188" t="inlineStr">
        <is>
          <t>NO</t>
        </is>
      </c>
      <c r="K94" s="188" t="inlineStr">
        <is>
          <t>https://nvd.nist.gov/vuln/detail/CVE-2026-27531</t>
        </is>
      </c>
      <c r="L94" s="188" t="inlineStr">
        <is>
          <t>2026-02-27 20:47</t>
        </is>
      </c>
      <c r="M94" s="188" t="inlineStr">
        <is>
          <t>CHECK_VENDOR</t>
        </is>
      </c>
      <c r="N94" s="188" t="inlineStr">
        <is>
          <t>See NVD references</t>
        </is>
      </c>
      <c r="O94" s="188" t="inlineStr">
        <is>
          <t>Apply vendor patches</t>
        </is>
      </c>
      <c r="P94" s="188" t="inlineStr">
        <is>
          <t>See CVE details</t>
        </is>
      </c>
      <c r="Q94" s="188" t="inlineStr">
        <is>
          <t>P4</t>
        </is>
      </c>
      <c r="R94" s="188" t="inlineStr">
        <is>
          <t>📅 Schedule patch deployment within 30 days | 🔍 Monitor for exploitation attempts</t>
        </is>
      </c>
      <c r="S94" s="188" t="inlineStr">
        <is>
          <t>CVE - IP enrichment n/a</t>
        </is>
      </c>
      <c r="T94" s="188" t="n">
        <v>0</v>
      </c>
      <c r="U94" s="188" t="n">
        <v>0</v>
      </c>
      <c r="V94" s="188" t="inlineStr">
        <is>
          <t>T1190:Exploit Public-Facing Application</t>
        </is>
      </c>
      <c r="W94" s="188" t="n">
        <v>1</v>
      </c>
      <c r="X94" s="188" t="inlineStr">
        <is>
          <t>LOW (40%)</t>
        </is>
      </c>
      <c r="Y94" s="188" t="inlineStr">
        <is>
          <t>UNLIKELY</t>
        </is>
      </c>
      <c r="Z94" s="188" t="inlineStr">
        <is>
          <t>CHECK_VENDOR</t>
        </is>
      </c>
      <c r="AA94" s="188" t="inlineStr">
        <is>
          <t>https://nvd.nist.gov/vuln/detail/CVE-2026-27531</t>
        </is>
      </c>
      <c r="AB94" s="188" t="inlineStr">
        <is>
          <t>NONE</t>
        </is>
      </c>
      <c r="AC94" s="188" t="n">
        <v>0</v>
      </c>
      <c r="AD94" s="188" t="inlineStr"/>
    </row>
    <row r="95">
      <c r="A95" s="188" t="inlineStr">
        <is>
          <t>CVE</t>
        </is>
      </c>
      <c r="B95" s="188" t="inlineStr">
        <is>
          <t>CVE-2026-27532</t>
        </is>
      </c>
      <c r="C95" s="188" t="inlineStr">
        <is>
          <t>Rejected reason: Not used</t>
        </is>
      </c>
      <c r="D95" s="188" t="n">
        <v>5</v>
      </c>
      <c r="E95" s="188" t="inlineStr">
        <is>
          <t>MEDIUM</t>
        </is>
      </c>
      <c r="F95" s="188" t="n">
        <v>2</v>
      </c>
      <c r="G95" s="188" t="n">
        <v>2</v>
      </c>
      <c r="H95" s="188" t="inlineStr">
        <is>
          <t>MEDIUM</t>
        </is>
      </c>
      <c r="I95" s="188" t="n">
        <v>9</v>
      </c>
      <c r="J95" s="188" t="inlineStr">
        <is>
          <t>NO</t>
        </is>
      </c>
      <c r="K95" s="188" t="inlineStr">
        <is>
          <t>https://nvd.nist.gov/vuln/detail/CVE-2026-27532</t>
        </is>
      </c>
      <c r="L95" s="188" t="inlineStr">
        <is>
          <t>2026-02-27 20:47</t>
        </is>
      </c>
      <c r="M95" s="188" t="inlineStr">
        <is>
          <t>CHECK_VENDOR</t>
        </is>
      </c>
      <c r="N95" s="188" t="inlineStr">
        <is>
          <t>See NVD references</t>
        </is>
      </c>
      <c r="O95" s="188" t="inlineStr">
        <is>
          <t>Apply vendor patches</t>
        </is>
      </c>
      <c r="P95" s="188" t="inlineStr">
        <is>
          <t>See CVE details</t>
        </is>
      </c>
      <c r="Q95" s="188" t="inlineStr">
        <is>
          <t>P4</t>
        </is>
      </c>
      <c r="R95" s="188" t="inlineStr">
        <is>
          <t>📅 Schedule patch deployment within 30 days | 🔍 Monitor for exploitation attempts</t>
        </is>
      </c>
      <c r="S95" s="188" t="inlineStr">
        <is>
          <t>CVE - IP enrichment n/a</t>
        </is>
      </c>
      <c r="T95" s="188" t="n">
        <v>0</v>
      </c>
      <c r="U95" s="188" t="n">
        <v>0</v>
      </c>
      <c r="V95" s="188" t="inlineStr">
        <is>
          <t>T1190:Exploit Public-Facing Application</t>
        </is>
      </c>
      <c r="W95" s="188" t="n">
        <v>1</v>
      </c>
      <c r="X95" s="188" t="inlineStr">
        <is>
          <t>LOW (40%)</t>
        </is>
      </c>
      <c r="Y95" s="188" t="inlineStr">
        <is>
          <t>UNLIKELY</t>
        </is>
      </c>
      <c r="Z95" s="188" t="inlineStr">
        <is>
          <t>CHECK_VENDOR</t>
        </is>
      </c>
      <c r="AA95" s="188" t="inlineStr">
        <is>
          <t>https://nvd.nist.gov/vuln/detail/CVE-2026-27532</t>
        </is>
      </c>
      <c r="AB95" s="188" t="inlineStr">
        <is>
          <t>NONE</t>
        </is>
      </c>
      <c r="AC95" s="188" t="n">
        <v>0</v>
      </c>
      <c r="AD95" s="188" t="inlineStr"/>
    </row>
    <row r="96">
      <c r="A96" s="188" t="inlineStr">
        <is>
          <t>CVE</t>
        </is>
      </c>
      <c r="B96" s="188" t="inlineStr">
        <is>
          <t>CVE-2026-27533</t>
        </is>
      </c>
      <c r="C96" s="188" t="inlineStr">
        <is>
          <t>Rejected reason: Not used</t>
        </is>
      </c>
      <c r="D96" s="188" t="n">
        <v>5</v>
      </c>
      <c r="E96" s="188" t="inlineStr">
        <is>
          <t>MEDIUM</t>
        </is>
      </c>
      <c r="F96" s="188" t="n">
        <v>2</v>
      </c>
      <c r="G96" s="188" t="n">
        <v>2</v>
      </c>
      <c r="H96" s="188" t="inlineStr">
        <is>
          <t>MEDIUM</t>
        </is>
      </c>
      <c r="I96" s="188" t="n">
        <v>9</v>
      </c>
      <c r="J96" s="188" t="inlineStr">
        <is>
          <t>NO</t>
        </is>
      </c>
      <c r="K96" s="188" t="inlineStr">
        <is>
          <t>https://nvd.nist.gov/vuln/detail/CVE-2026-27533</t>
        </is>
      </c>
      <c r="L96" s="188" t="inlineStr">
        <is>
          <t>2026-02-27 20:47</t>
        </is>
      </c>
      <c r="M96" s="188" t="inlineStr">
        <is>
          <t>CHECK_VENDOR</t>
        </is>
      </c>
      <c r="N96" s="188" t="inlineStr">
        <is>
          <t>See NVD references</t>
        </is>
      </c>
      <c r="O96" s="188" t="inlineStr">
        <is>
          <t>Apply vendor patches</t>
        </is>
      </c>
      <c r="P96" s="188" t="inlineStr">
        <is>
          <t>See CVE details</t>
        </is>
      </c>
      <c r="Q96" s="188" t="inlineStr">
        <is>
          <t>P4</t>
        </is>
      </c>
      <c r="R96" s="188" t="inlineStr">
        <is>
          <t>📅 Schedule patch deployment within 30 days | 🔍 Monitor for exploitation attempts</t>
        </is>
      </c>
      <c r="S96" s="188" t="inlineStr">
        <is>
          <t>CVE - IP enrichment n/a</t>
        </is>
      </c>
      <c r="T96" s="188" t="n">
        <v>0</v>
      </c>
      <c r="U96" s="188" t="n">
        <v>0</v>
      </c>
      <c r="V96" s="188" t="inlineStr">
        <is>
          <t>T1190:Exploit Public-Facing Application</t>
        </is>
      </c>
      <c r="W96" s="188" t="n">
        <v>1</v>
      </c>
      <c r="X96" s="188" t="inlineStr">
        <is>
          <t>LOW (40%)</t>
        </is>
      </c>
      <c r="Y96" s="188" t="inlineStr">
        <is>
          <t>UNLIKELY</t>
        </is>
      </c>
      <c r="Z96" s="188" t="inlineStr">
        <is>
          <t>CHECK_VENDOR</t>
        </is>
      </c>
      <c r="AA96" s="188" t="inlineStr">
        <is>
          <t>https://nvd.nist.gov/vuln/detail/CVE-2026-27533</t>
        </is>
      </c>
      <c r="AB96" s="188" t="inlineStr">
        <is>
          <t>NONE</t>
        </is>
      </c>
      <c r="AC96" s="188" t="n">
        <v>0</v>
      </c>
      <c r="AD96" s="188" t="inlineStr"/>
    </row>
    <row r="97">
      <c r="A97" s="188" t="inlineStr">
        <is>
          <t>CVE</t>
        </is>
      </c>
      <c r="B97" s="188" t="inlineStr">
        <is>
          <t>CVE-2026-27534</t>
        </is>
      </c>
      <c r="C97" s="188" t="inlineStr">
        <is>
          <t>Rejected reason: Not used</t>
        </is>
      </c>
      <c r="D97" s="188" t="n">
        <v>5</v>
      </c>
      <c r="E97" s="188" t="inlineStr">
        <is>
          <t>MEDIUM</t>
        </is>
      </c>
      <c r="F97" s="188" t="n">
        <v>2</v>
      </c>
      <c r="G97" s="188" t="n">
        <v>2</v>
      </c>
      <c r="H97" s="188" t="inlineStr">
        <is>
          <t>MEDIUM</t>
        </is>
      </c>
      <c r="I97" s="188" t="n">
        <v>9</v>
      </c>
      <c r="J97" s="188" t="inlineStr">
        <is>
          <t>NO</t>
        </is>
      </c>
      <c r="K97" s="188" t="inlineStr">
        <is>
          <t>https://nvd.nist.gov/vuln/detail/CVE-2026-27534</t>
        </is>
      </c>
      <c r="L97" s="188" t="inlineStr">
        <is>
          <t>2026-02-27 20:47</t>
        </is>
      </c>
      <c r="M97" s="188" t="inlineStr">
        <is>
          <t>CHECK_VENDOR</t>
        </is>
      </c>
      <c r="N97" s="188" t="inlineStr">
        <is>
          <t>See NVD references</t>
        </is>
      </c>
      <c r="O97" s="188" t="inlineStr">
        <is>
          <t>Apply vendor patches</t>
        </is>
      </c>
      <c r="P97" s="188" t="inlineStr">
        <is>
          <t>See CVE details</t>
        </is>
      </c>
      <c r="Q97" s="188" t="inlineStr">
        <is>
          <t>P4</t>
        </is>
      </c>
      <c r="R97" s="188" t="inlineStr">
        <is>
          <t>📅 Schedule patch deployment within 30 days | 🔍 Monitor for exploitation attempts</t>
        </is>
      </c>
      <c r="S97" s="188" t="inlineStr">
        <is>
          <t>CVE - IP enrichment n/a</t>
        </is>
      </c>
      <c r="T97" s="188" t="n">
        <v>0</v>
      </c>
      <c r="U97" s="188" t="n">
        <v>0</v>
      </c>
      <c r="V97" s="188" t="inlineStr">
        <is>
          <t>T1190:Exploit Public-Facing Application</t>
        </is>
      </c>
      <c r="W97" s="188" t="n">
        <v>1</v>
      </c>
      <c r="X97" s="188" t="inlineStr">
        <is>
          <t>LOW (40%)</t>
        </is>
      </c>
      <c r="Y97" s="188" t="inlineStr">
        <is>
          <t>UNLIKELY</t>
        </is>
      </c>
      <c r="Z97" s="188" t="inlineStr">
        <is>
          <t>CHECK_VENDOR</t>
        </is>
      </c>
      <c r="AA97" s="188" t="inlineStr">
        <is>
          <t>https://nvd.nist.gov/vuln/detail/CVE-2026-27534</t>
        </is>
      </c>
      <c r="AB97" s="188" t="inlineStr">
        <is>
          <t>NONE</t>
        </is>
      </c>
      <c r="AC97" s="188" t="n">
        <v>0</v>
      </c>
      <c r="AD97" s="188" t="inlineStr"/>
    </row>
    <row r="98">
      <c r="A98" s="188" t="inlineStr">
        <is>
          <t>CVE</t>
        </is>
      </c>
      <c r="B98" s="188" t="inlineStr">
        <is>
          <t>CVE-2026-2860</t>
        </is>
      </c>
      <c r="C98" s="188"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98" s="188" t="n">
        <v>6.3</v>
      </c>
      <c r="E98" s="188" t="inlineStr">
        <is>
          <t>MEDIUM</t>
        </is>
      </c>
      <c r="F98" s="188" t="n">
        <v>2</v>
      </c>
      <c r="G98" s="188" t="n">
        <v>2</v>
      </c>
      <c r="H98" s="188" t="inlineStr">
        <is>
          <t>MEDIUM</t>
        </is>
      </c>
      <c r="I98" s="188" t="n">
        <v>10.3</v>
      </c>
      <c r="J98" s="188" t="inlineStr">
        <is>
          <t>NO</t>
        </is>
      </c>
      <c r="K98" s="188" t="inlineStr">
        <is>
          <t>https://nvd.nist.gov/vuln/detail/CVE-2026-2860</t>
        </is>
      </c>
      <c r="L98" s="188" t="inlineStr">
        <is>
          <t>2026-02-27 20:47</t>
        </is>
      </c>
      <c r="M98" s="188" t="inlineStr">
        <is>
          <t>CHECK_VENDOR</t>
        </is>
      </c>
      <c r="N98" s="188" t="inlineStr">
        <is>
          <t>See NVD references</t>
        </is>
      </c>
      <c r="O98" s="188" t="inlineStr">
        <is>
          <t>Apply vendor patches</t>
        </is>
      </c>
      <c r="P98" s="188" t="inlineStr">
        <is>
          <t>See CVE details</t>
        </is>
      </c>
      <c r="Q98" s="188" t="inlineStr">
        <is>
          <t>P4</t>
        </is>
      </c>
      <c r="R98" s="188" t="inlineStr">
        <is>
          <t>📅 Schedule patch deployment within 30 days | 🔍 Monitor for exploitation attempts</t>
        </is>
      </c>
      <c r="S98" s="188" t="inlineStr">
        <is>
          <t>CVE - IP enrichment n/a</t>
        </is>
      </c>
      <c r="T98" s="188" t="n">
        <v>0.0004</v>
      </c>
      <c r="U98" s="188" t="n">
        <v>0.1212</v>
      </c>
      <c r="V98" s="188" t="inlineStr">
        <is>
          <t>T1190:Exploit Public-Facing Application</t>
        </is>
      </c>
      <c r="W98" s="188" t="n">
        <v>1</v>
      </c>
      <c r="X98" s="188" t="inlineStr">
        <is>
          <t>LOW (40%)</t>
        </is>
      </c>
      <c r="Y98" s="188" t="inlineStr">
        <is>
          <t>UNLIKELY</t>
        </is>
      </c>
      <c r="Z98" s="188" t="inlineStr">
        <is>
          <t>CHECK_VENDOR</t>
        </is>
      </c>
      <c r="AA98" s="188" t="inlineStr">
        <is>
          <t>https://nvd.nist.gov/vuln/detail/CVE-2026-2860</t>
        </is>
      </c>
      <c r="AB98" s="188" t="inlineStr">
        <is>
          <t>NONE</t>
        </is>
      </c>
      <c r="AC98" s="188" t="n">
        <v>0</v>
      </c>
      <c r="AD98" s="188" t="inlineStr"/>
    </row>
    <row r="99">
      <c r="A99" s="187" t="inlineStr">
        <is>
          <t>CVE</t>
        </is>
      </c>
      <c r="B99" s="187" t="inlineStr">
        <is>
          <t>CVE-2026-26045</t>
        </is>
      </c>
      <c r="C99" s="187"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99" s="187" t="n">
        <v>7.2</v>
      </c>
      <c r="E99" s="187" t="inlineStr">
        <is>
          <t>HIGH</t>
        </is>
      </c>
      <c r="F99" s="187" t="n">
        <v>2</v>
      </c>
      <c r="G99" s="187" t="n">
        <v>3</v>
      </c>
      <c r="H99" s="187" t="inlineStr">
        <is>
          <t>HIGH</t>
        </is>
      </c>
      <c r="I99" s="187" t="n">
        <v>13.2</v>
      </c>
      <c r="J99" s="187" t="inlineStr">
        <is>
          <t>NO</t>
        </is>
      </c>
      <c r="K99" s="187" t="inlineStr">
        <is>
          <t>https://nvd.nist.gov/vuln/detail/CVE-2026-26045</t>
        </is>
      </c>
      <c r="L99" s="187" t="inlineStr">
        <is>
          <t>2026-02-27 20:47</t>
        </is>
      </c>
      <c r="M99" s="187" t="inlineStr">
        <is>
          <t>CHECK_VENDOR</t>
        </is>
      </c>
      <c r="N99" s="187" t="inlineStr">
        <is>
          <t>See NVD references</t>
        </is>
      </c>
      <c r="O99" s="187" t="inlineStr">
        <is>
          <t>Apply vendor patches</t>
        </is>
      </c>
      <c r="P99" s="187" t="inlineStr">
        <is>
          <t>moodle moodle *</t>
        </is>
      </c>
      <c r="Q99" s="187" t="inlineStr">
        <is>
          <t>P3</t>
        </is>
      </c>
      <c r="R99" s="187" t="inlineStr">
        <is>
          <t>🚨 URGENT: Apply vendor patches immediately | 🔒 Isolate affected systems if patch unavailable | 🛡️ Enable additional monitoring/IDS rules</t>
        </is>
      </c>
      <c r="S99" s="187" t="inlineStr">
        <is>
          <t>CVE - IP enrichment n/a</t>
        </is>
      </c>
      <c r="T99" s="187" t="n">
        <v>0.0009</v>
      </c>
      <c r="U99" s="187" t="n">
        <v>0.2616</v>
      </c>
      <c r="V99" s="187" t="inlineStr">
        <is>
          <t>T1059:Command and Scripting Interpreter</t>
        </is>
      </c>
      <c r="W99" s="187" t="n">
        <v>1</v>
      </c>
      <c r="X99" s="187" t="inlineStr">
        <is>
          <t>LOW (40%)</t>
        </is>
      </c>
      <c r="Y99" s="187" t="inlineStr">
        <is>
          <t>UNLIKELY</t>
        </is>
      </c>
      <c r="Z99" s="187" t="inlineStr">
        <is>
          <t>CHECK_VENDOR</t>
        </is>
      </c>
      <c r="AA99" s="187" t="inlineStr">
        <is>
          <t>https://nvd.nist.gov/vuln/detail/CVE-2026-26045</t>
        </is>
      </c>
      <c r="AB99" s="187" t="inlineStr">
        <is>
          <t>NONE</t>
        </is>
      </c>
      <c r="AC99" s="187" t="n">
        <v>0</v>
      </c>
      <c r="AD99" s="187" t="inlineStr"/>
    </row>
    <row r="100">
      <c r="A100" s="187" t="inlineStr">
        <is>
          <t>CVE</t>
        </is>
      </c>
      <c r="B100" s="187" t="inlineStr">
        <is>
          <t>CVE-2026-26046</t>
        </is>
      </c>
      <c r="C100" s="187"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00" s="187" t="n">
        <v>7.2</v>
      </c>
      <c r="E100" s="187" t="inlineStr">
        <is>
          <t>HIGH</t>
        </is>
      </c>
      <c r="F100" s="187" t="n">
        <v>2</v>
      </c>
      <c r="G100" s="187" t="n">
        <v>3</v>
      </c>
      <c r="H100" s="187" t="inlineStr">
        <is>
          <t>HIGH</t>
        </is>
      </c>
      <c r="I100" s="187" t="n">
        <v>13.2</v>
      </c>
      <c r="J100" s="187" t="inlineStr">
        <is>
          <t>NO</t>
        </is>
      </c>
      <c r="K100" s="187" t="inlineStr">
        <is>
          <t>https://nvd.nist.gov/vuln/detail/CVE-2026-26046</t>
        </is>
      </c>
      <c r="L100" s="187" t="inlineStr">
        <is>
          <t>2026-02-27 20:47</t>
        </is>
      </c>
      <c r="M100" s="187" t="inlineStr">
        <is>
          <t>CHECK_VENDOR</t>
        </is>
      </c>
      <c r="N100" s="187" t="inlineStr">
        <is>
          <t>See NVD references</t>
        </is>
      </c>
      <c r="O100" s="187" t="inlineStr">
        <is>
          <t>Apply vendor patches</t>
        </is>
      </c>
      <c r="P100" s="187" t="inlineStr">
        <is>
          <t>moodle moodle *</t>
        </is>
      </c>
      <c r="Q100" s="187" t="inlineStr">
        <is>
          <t>P3</t>
        </is>
      </c>
      <c r="R100" s="187" t="inlineStr">
        <is>
          <t>🚨 URGENT: Apply vendor patches immediately | 🔒 Isolate affected systems if patch unavailable | 🛡️ Enable additional monitoring/IDS rules</t>
        </is>
      </c>
      <c r="S100" s="187" t="inlineStr">
        <is>
          <t>CVE - IP enrichment n/a</t>
        </is>
      </c>
      <c r="T100" s="187" t="n">
        <v>0.0018</v>
      </c>
      <c r="U100" s="187" t="n">
        <v>0.3892</v>
      </c>
      <c r="V100" s="187" t="inlineStr">
        <is>
          <t>T1059:Command and Scripting Interpreter</t>
        </is>
      </c>
      <c r="W100" s="187" t="n">
        <v>1</v>
      </c>
      <c r="X100" s="187" t="inlineStr">
        <is>
          <t>LOW (40%)</t>
        </is>
      </c>
      <c r="Y100" s="187" t="inlineStr">
        <is>
          <t>UNLIKELY</t>
        </is>
      </c>
      <c r="Z100" s="187" t="inlineStr">
        <is>
          <t>CHECK_VENDOR</t>
        </is>
      </c>
      <c r="AA100" s="187" t="inlineStr">
        <is>
          <t>https://nvd.nist.gov/vuln/detail/CVE-2026-26046</t>
        </is>
      </c>
      <c r="AB100" s="187" t="inlineStr">
        <is>
          <t>NONE</t>
        </is>
      </c>
      <c r="AC100" s="187" t="n">
        <v>0</v>
      </c>
      <c r="AD100" s="187" t="inlineStr"/>
    </row>
    <row r="101">
      <c r="A101" s="188" t="inlineStr">
        <is>
          <t>CVE</t>
        </is>
      </c>
      <c r="B101" s="188" t="inlineStr">
        <is>
          <t>CVE-2026-26047</t>
        </is>
      </c>
      <c r="C101" s="188"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01" s="188" t="n">
        <v>6.5</v>
      </c>
      <c r="E101" s="188" t="inlineStr">
        <is>
          <t>MEDIUM</t>
        </is>
      </c>
      <c r="F101" s="188" t="n">
        <v>2</v>
      </c>
      <c r="G101" s="188" t="n">
        <v>2</v>
      </c>
      <c r="H101" s="188" t="inlineStr">
        <is>
          <t>MEDIUM</t>
        </is>
      </c>
      <c r="I101" s="188" t="n">
        <v>10.5</v>
      </c>
      <c r="J101" s="188" t="inlineStr">
        <is>
          <t>NO</t>
        </is>
      </c>
      <c r="K101" s="188" t="inlineStr">
        <is>
          <t>https://nvd.nist.gov/vuln/detail/CVE-2026-26047</t>
        </is>
      </c>
      <c r="L101" s="188" t="inlineStr">
        <is>
          <t>2026-02-27 20:47</t>
        </is>
      </c>
      <c r="M101" s="188" t="inlineStr">
        <is>
          <t>CHECK_VENDOR</t>
        </is>
      </c>
      <c r="N101" s="188" t="inlineStr">
        <is>
          <t>See NVD references</t>
        </is>
      </c>
      <c r="O101" s="188" t="inlineStr">
        <is>
          <t>Apply vendor patches</t>
        </is>
      </c>
      <c r="P101" s="188" t="inlineStr">
        <is>
          <t>moodle moodle *</t>
        </is>
      </c>
      <c r="Q101" s="188" t="inlineStr">
        <is>
          <t>P4</t>
        </is>
      </c>
      <c r="R101" s="188" t="inlineStr">
        <is>
          <t>📅 Schedule patch deployment within 30 days | 🔍 Monitor for exploitation attempts</t>
        </is>
      </c>
      <c r="S101" s="188" t="inlineStr">
        <is>
          <t>CVE - IP enrichment n/a</t>
        </is>
      </c>
      <c r="T101" s="188" t="n">
        <v>0.0007</v>
      </c>
      <c r="U101" s="188" t="n">
        <v>0.2031</v>
      </c>
      <c r="V101" s="188" t="inlineStr">
        <is>
          <t>T1190:Exploit Public-Facing Application</t>
        </is>
      </c>
      <c r="W101" s="188" t="n">
        <v>1</v>
      </c>
      <c r="X101" s="188" t="inlineStr">
        <is>
          <t>LOW (40%)</t>
        </is>
      </c>
      <c r="Y101" s="188" t="inlineStr">
        <is>
          <t>UNLIKELY</t>
        </is>
      </c>
      <c r="Z101" s="188" t="inlineStr">
        <is>
          <t>CHECK_VENDOR</t>
        </is>
      </c>
      <c r="AA101" s="188" t="inlineStr">
        <is>
          <t>https://nvd.nist.gov/vuln/detail/CVE-2026-26047</t>
        </is>
      </c>
      <c r="AB101" s="188" t="inlineStr">
        <is>
          <t>NONE</t>
        </is>
      </c>
      <c r="AC101" s="188" t="n">
        <v>0</v>
      </c>
      <c r="AD101" s="188" t="inlineStr"/>
    </row>
    <row r="102">
      <c r="A102" s="187" t="inlineStr">
        <is>
          <t>CVE</t>
        </is>
      </c>
      <c r="B102" s="187" t="inlineStr">
        <is>
          <t>CVE-2026-27198</t>
        </is>
      </c>
      <c r="C102" s="187"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02" s="187" t="n">
        <v>8.800000000000001</v>
      </c>
      <c r="E102" s="187" t="inlineStr">
        <is>
          <t>HIGH</t>
        </is>
      </c>
      <c r="F102" s="187" t="n">
        <v>2</v>
      </c>
      <c r="G102" s="187" t="n">
        <v>3</v>
      </c>
      <c r="H102" s="187" t="inlineStr">
        <is>
          <t>HIGH</t>
        </is>
      </c>
      <c r="I102" s="187" t="n">
        <v>14.8</v>
      </c>
      <c r="J102" s="187" t="inlineStr">
        <is>
          <t>NO</t>
        </is>
      </c>
      <c r="K102" s="187" t="inlineStr">
        <is>
          <t>https://nvd.nist.gov/vuln/detail/CVE-2026-27198</t>
        </is>
      </c>
      <c r="L102" s="187" t="inlineStr">
        <is>
          <t>2026-02-27 20:47</t>
        </is>
      </c>
      <c r="M102" s="187" t="inlineStr">
        <is>
          <t>CHECK_VENDOR</t>
        </is>
      </c>
      <c r="N102" s="187" t="inlineStr">
        <is>
          <t>See NVD references</t>
        </is>
      </c>
      <c r="O102" s="187" t="inlineStr">
        <is>
          <t>Apply vendor patches</t>
        </is>
      </c>
      <c r="P102" s="187" t="inlineStr">
        <is>
          <t>See CVE details</t>
        </is>
      </c>
      <c r="Q102" s="187" t="inlineStr">
        <is>
          <t>P3</t>
        </is>
      </c>
      <c r="R102" s="187" t="inlineStr">
        <is>
          <t>🚨 URGENT: Apply vendor patches immediately | 🔒 Isolate affected systems if patch unavailable | 🛡️ Enable additional monitoring/IDS rules</t>
        </is>
      </c>
      <c r="S102" s="187" t="inlineStr">
        <is>
          <t>CVE - IP enrichment n/a</t>
        </is>
      </c>
      <c r="T102" s="187" t="n">
        <v>0.0004</v>
      </c>
      <c r="U102" s="187" t="n">
        <v>0.1239</v>
      </c>
      <c r="V102" s="187" t="inlineStr">
        <is>
          <t>T1190:Exploit Public-Facing Application</t>
        </is>
      </c>
      <c r="W102" s="187" t="n">
        <v>1</v>
      </c>
      <c r="X102" s="187" t="inlineStr">
        <is>
          <t>LOW (40%)</t>
        </is>
      </c>
      <c r="Y102" s="187" t="inlineStr">
        <is>
          <t>UNLIKELY</t>
        </is>
      </c>
      <c r="Z102" s="187" t="inlineStr">
        <is>
          <t>CHECK_VENDOR</t>
        </is>
      </c>
      <c r="AA102" s="187" t="inlineStr">
        <is>
          <t>https://nvd.nist.gov/vuln/detail/CVE-2026-27198</t>
        </is>
      </c>
      <c r="AB102" s="187" t="inlineStr">
        <is>
          <t>NONE</t>
        </is>
      </c>
      <c r="AC102" s="187" t="n">
        <v>0</v>
      </c>
      <c r="AD102" s="187" t="inlineStr"/>
    </row>
    <row r="103">
      <c r="A103" s="188" t="inlineStr">
        <is>
          <t>CVE</t>
        </is>
      </c>
      <c r="B103" s="188" t="inlineStr">
        <is>
          <t>CVE-2026-27199</t>
        </is>
      </c>
      <c r="C103" s="188"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03" s="188" t="n">
        <v>5</v>
      </c>
      <c r="E103" s="188" t="inlineStr">
        <is>
          <t>MEDIUM</t>
        </is>
      </c>
      <c r="F103" s="188" t="n">
        <v>2</v>
      </c>
      <c r="G103" s="188" t="n">
        <v>2</v>
      </c>
      <c r="H103" s="188" t="inlineStr">
        <is>
          <t>MEDIUM</t>
        </is>
      </c>
      <c r="I103" s="188" t="n">
        <v>9</v>
      </c>
      <c r="J103" s="188" t="inlineStr">
        <is>
          <t>NO</t>
        </is>
      </c>
      <c r="K103" s="188" t="inlineStr">
        <is>
          <t>https://nvd.nist.gov/vuln/detail/CVE-2026-27199</t>
        </is>
      </c>
      <c r="L103" s="188" t="inlineStr">
        <is>
          <t>2026-02-27 20:47</t>
        </is>
      </c>
      <c r="M103" s="188" t="inlineStr">
        <is>
          <t>CHECK_VENDOR</t>
        </is>
      </c>
      <c r="N103" s="188" t="inlineStr">
        <is>
          <t>See NVD references</t>
        </is>
      </c>
      <c r="O103" s="188" t="inlineStr">
        <is>
          <t>Apply vendor patches</t>
        </is>
      </c>
      <c r="P103" s="188" t="inlineStr">
        <is>
          <t>See CVE details</t>
        </is>
      </c>
      <c r="Q103" s="188" t="inlineStr">
        <is>
          <t>P4</t>
        </is>
      </c>
      <c r="R103" s="188" t="inlineStr">
        <is>
          <t>📅 Schedule patch deployment within 30 days | 🔍 Monitor for exploitation attempts</t>
        </is>
      </c>
      <c r="S103" s="188" t="inlineStr">
        <is>
          <t>CVE - IP enrichment n/a</t>
        </is>
      </c>
      <c r="T103" s="188" t="n">
        <v>0.0008</v>
      </c>
      <c r="U103" s="188" t="n">
        <v>0.2311</v>
      </c>
      <c r="V103" s="188" t="inlineStr">
        <is>
          <t>T1190:Exploit Public-Facing Application</t>
        </is>
      </c>
      <c r="W103" s="188" t="n">
        <v>1</v>
      </c>
      <c r="X103" s="188" t="inlineStr">
        <is>
          <t>LOW (40%)</t>
        </is>
      </c>
      <c r="Y103" s="188" t="inlineStr">
        <is>
          <t>UNLIKELY</t>
        </is>
      </c>
      <c r="Z103" s="188" t="inlineStr">
        <is>
          <t>CHECK_VENDOR</t>
        </is>
      </c>
      <c r="AA103" s="188" t="inlineStr">
        <is>
          <t>https://nvd.nist.gov/vuln/detail/CVE-2026-27199</t>
        </is>
      </c>
      <c r="AB103" s="188" t="inlineStr">
        <is>
          <t>NONE</t>
        </is>
      </c>
      <c r="AC103" s="188" t="n">
        <v>0</v>
      </c>
      <c r="AD103" s="188" t="inlineStr"/>
    </row>
    <row r="104">
      <c r="A104" s="188" t="inlineStr">
        <is>
          <t>CVE</t>
        </is>
      </c>
      <c r="B104" s="188" t="inlineStr">
        <is>
          <t>CVE-2026-27205</t>
        </is>
      </c>
      <c r="C104" s="188"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04" s="188" t="n">
        <v>4.3</v>
      </c>
      <c r="E104" s="188" t="inlineStr">
        <is>
          <t>MEDIUM</t>
        </is>
      </c>
      <c r="F104" s="188" t="n">
        <v>2</v>
      </c>
      <c r="G104" s="188" t="n">
        <v>2</v>
      </c>
      <c r="H104" s="188" t="inlineStr">
        <is>
          <t>MEDIUM</t>
        </is>
      </c>
      <c r="I104" s="188" t="n">
        <v>8.300000000000001</v>
      </c>
      <c r="J104" s="188" t="inlineStr">
        <is>
          <t>NO</t>
        </is>
      </c>
      <c r="K104" s="188" t="inlineStr">
        <is>
          <t>https://nvd.nist.gov/vuln/detail/CVE-2026-27205</t>
        </is>
      </c>
      <c r="L104" s="188" t="inlineStr">
        <is>
          <t>2026-02-27 20:47</t>
        </is>
      </c>
      <c r="M104" s="188" t="inlineStr">
        <is>
          <t>YES</t>
        </is>
      </c>
      <c r="N104" s="188" t="inlineStr">
        <is>
          <t>https://github.com/pallets/flask/commit/089cb86dd22bff589a4eafb7ab8e42dc357623b4 | https://github.com/pallets/flask/security/advisories/GHSA-68rp-wp8r-4726</t>
        </is>
      </c>
      <c r="O104" s="188" t="inlineStr">
        <is>
          <t>Apply vendor patches</t>
        </is>
      </c>
      <c r="P104" s="188" t="inlineStr">
        <is>
          <t>palletsprojects flask *</t>
        </is>
      </c>
      <c r="Q104" s="188" t="inlineStr">
        <is>
          <t>P4</t>
        </is>
      </c>
      <c r="R104" s="188" t="inlineStr">
        <is>
          <t>📅 Schedule patch deployment within 30 days | 🔍 Monitor for exploitation attempts</t>
        </is>
      </c>
      <c r="S104" s="188" t="inlineStr">
        <is>
          <t>CVE - IP enrichment n/a</t>
        </is>
      </c>
      <c r="T104" s="188" t="n">
        <v>0.0003</v>
      </c>
      <c r="U104" s="188" t="n">
        <v>0.0873</v>
      </c>
      <c r="V104" s="188" t="inlineStr">
        <is>
          <t>T1190:Exploit Public-Facing Application</t>
        </is>
      </c>
      <c r="W104" s="188" t="n">
        <v>1</v>
      </c>
      <c r="X104" s="188" t="inlineStr">
        <is>
          <t>LOW (40%)</t>
        </is>
      </c>
      <c r="Y104" s="188" t="inlineStr">
        <is>
          <t>UNLIKELY</t>
        </is>
      </c>
      <c r="Z104" s="188" t="inlineStr">
        <is>
          <t>PATCH_AVAILABLE</t>
        </is>
      </c>
      <c r="AA104" s="188" t="inlineStr">
        <is>
          <t>https://nvd.nist.gov/vuln/detail/CVE-2026-27205</t>
        </is>
      </c>
      <c r="AB104" s="188" t="inlineStr">
        <is>
          <t>NONE</t>
        </is>
      </c>
      <c r="AC104" s="188" t="n">
        <v>0</v>
      </c>
      <c r="AD104" s="188" t="inlineStr"/>
    </row>
    <row r="105">
      <c r="A105" s="187" t="inlineStr">
        <is>
          <t>CVE</t>
        </is>
      </c>
      <c r="B105" s="187" t="inlineStr">
        <is>
          <t>CVE-2026-27210</t>
        </is>
      </c>
      <c r="C105" s="187"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05" s="187" t="n">
        <v>8.5</v>
      </c>
      <c r="E105" s="187" t="inlineStr">
        <is>
          <t>HIGH</t>
        </is>
      </c>
      <c r="F105" s="187" t="n">
        <v>2</v>
      </c>
      <c r="G105" s="187" t="n">
        <v>3</v>
      </c>
      <c r="H105" s="187" t="inlineStr">
        <is>
          <t>HIGH</t>
        </is>
      </c>
      <c r="I105" s="187" t="n">
        <v>14.5</v>
      </c>
      <c r="J105" s="187" t="inlineStr">
        <is>
          <t>NO</t>
        </is>
      </c>
      <c r="K105" s="187" t="inlineStr">
        <is>
          <t>https://nvd.nist.gov/vuln/detail/CVE-2026-27210</t>
        </is>
      </c>
      <c r="L105" s="187" t="inlineStr">
        <is>
          <t>2026-02-27 20:47</t>
        </is>
      </c>
      <c r="M105" s="187" t="inlineStr">
        <is>
          <t>CHECK_VENDOR</t>
        </is>
      </c>
      <c r="N105" s="187" t="inlineStr">
        <is>
          <t>See NVD references</t>
        </is>
      </c>
      <c r="O105" s="187" t="inlineStr">
        <is>
          <t>Apply vendor patches</t>
        </is>
      </c>
      <c r="P105" s="187" t="inlineStr">
        <is>
          <t>See CVE details</t>
        </is>
      </c>
      <c r="Q105" s="187" t="inlineStr">
        <is>
          <t>P3</t>
        </is>
      </c>
      <c r="R105" s="187" t="inlineStr">
        <is>
          <t>🚨 URGENT: Apply vendor patches immediately | 🔒 Isolate affected systems if patch unavailable | 🛡️ Enable additional monitoring/IDS rules</t>
        </is>
      </c>
      <c r="S105" s="187" t="inlineStr">
        <is>
          <t>CVE - IP enrichment n/a</t>
        </is>
      </c>
      <c r="T105" s="187" t="n">
        <v>0.0011</v>
      </c>
      <c r="U105" s="187" t="n">
        <v>0.3032</v>
      </c>
      <c r="V105" s="187" t="inlineStr">
        <is>
          <t>T1189:Drive-by Compromise | T1190:Exploit Public-Facing Application</t>
        </is>
      </c>
      <c r="W105" s="187" t="n">
        <v>1</v>
      </c>
      <c r="X105" s="187" t="inlineStr">
        <is>
          <t>LOW (40%)</t>
        </is>
      </c>
      <c r="Y105" s="187" t="inlineStr">
        <is>
          <t>UNLIKELY</t>
        </is>
      </c>
      <c r="Z105" s="187" t="inlineStr">
        <is>
          <t>CHECK_VENDOR</t>
        </is>
      </c>
      <c r="AA105" s="187" t="inlineStr">
        <is>
          <t>https://nvd.nist.gov/vuln/detail/CVE-2026-27210</t>
        </is>
      </c>
      <c r="AB105" s="187" t="inlineStr">
        <is>
          <t>NONE</t>
        </is>
      </c>
      <c r="AC105" s="187" t="n">
        <v>0</v>
      </c>
      <c r="AD105" s="187" t="inlineStr"/>
    </row>
    <row r="106">
      <c r="A106" s="189" t="inlineStr">
        <is>
          <t>CVE</t>
        </is>
      </c>
      <c r="B106" s="189" t="inlineStr">
        <is>
          <t>CVE-2026-27211</t>
        </is>
      </c>
      <c r="C106" s="189"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06" s="189" t="n">
        <v>10</v>
      </c>
      <c r="E106" s="189" t="inlineStr">
        <is>
          <t>CRITICAL</t>
        </is>
      </c>
      <c r="F106" s="189" t="n">
        <v>2</v>
      </c>
      <c r="G106" s="189" t="n">
        <v>3</v>
      </c>
      <c r="H106" s="189" t="inlineStr">
        <is>
          <t>HIGH</t>
        </is>
      </c>
      <c r="I106" s="189" t="n">
        <v>16</v>
      </c>
      <c r="J106" s="189" t="inlineStr">
        <is>
          <t>NO</t>
        </is>
      </c>
      <c r="K106" s="189" t="inlineStr">
        <is>
          <t>https://nvd.nist.gov/vuln/detail/CVE-2026-27211</t>
        </is>
      </c>
      <c r="L106" s="189" t="inlineStr">
        <is>
          <t>2026-02-27 20:47</t>
        </is>
      </c>
      <c r="M106" s="189" t="inlineStr">
        <is>
          <t>YES</t>
        </is>
      </c>
      <c r="N106" s="189" t="inlineStr">
        <is>
          <t>https://github.com/cloud-hypervisor/cloud-hypervisor/commit/081a6ebb5184228ff348601502258f3f72bd8b43 | https://github.com/cloud-hypervisor/cloud-hypervisor/commit/509832298b6865365b00bda88722e76e41ce7f41 | https://github.com/cloud-hypervisor/cloud-hypervisor/commit/a63315df54e06f6ec867f17b63076c266e2d8648</t>
        </is>
      </c>
      <c r="O106" s="189" t="inlineStr">
        <is>
          <t>https://github.com/cloud-hypervisor/cloud-hypervisor/security/advisories/GHSA-jmr4-g2hv-mjj6</t>
        </is>
      </c>
      <c r="P106" s="189" t="inlineStr">
        <is>
          <t>cloudhypervisor cloud_hypervisor *</t>
        </is>
      </c>
      <c r="Q106" s="189" t="inlineStr">
        <is>
          <t>P3</t>
        </is>
      </c>
      <c r="R106" s="189" t="inlineStr">
        <is>
          <t>🚨 URGENT: Apply vendor patches immediately | 🔒 Isolate affected systems if patch unavailable | 🛡️ Enable additional monitoring/IDS rules</t>
        </is>
      </c>
      <c r="S106" s="189" t="inlineStr">
        <is>
          <t>CVE - IP enrichment n/a</t>
        </is>
      </c>
      <c r="T106" s="189" t="n">
        <v>0.0005</v>
      </c>
      <c r="U106" s="189" t="n">
        <v>0.1481</v>
      </c>
      <c r="V106" s="189" t="inlineStr">
        <is>
          <t>T1190:Exploit Public-Facing Application</t>
        </is>
      </c>
      <c r="W106" s="189" t="n">
        <v>1</v>
      </c>
      <c r="X106" s="189" t="inlineStr">
        <is>
          <t>LOW (40%)</t>
        </is>
      </c>
      <c r="Y106" s="189" t="inlineStr">
        <is>
          <t>UNLIKELY</t>
        </is>
      </c>
      <c r="Z106" s="189" t="inlineStr">
        <is>
          <t>PATCH_AVAILABLE</t>
        </is>
      </c>
      <c r="AA106" s="189" t="inlineStr">
        <is>
          <t>https://nvd.nist.gov/vuln/detail/CVE-2026-27211</t>
        </is>
      </c>
      <c r="AB106" s="189" t="inlineStr">
        <is>
          <t>NONE</t>
        </is>
      </c>
      <c r="AC106" s="189" t="n">
        <v>0</v>
      </c>
      <c r="AD106" s="189" t="inlineStr"/>
    </row>
    <row r="107">
      <c r="A107" s="187" t="inlineStr">
        <is>
          <t>CVE</t>
        </is>
      </c>
      <c r="B107" s="187" t="inlineStr">
        <is>
          <t>CVE-2026-27212</t>
        </is>
      </c>
      <c r="C107" s="187"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07" s="187" t="n">
        <v>7.8</v>
      </c>
      <c r="E107" s="187" t="inlineStr">
        <is>
          <t>HIGH</t>
        </is>
      </c>
      <c r="F107" s="187" t="n">
        <v>2</v>
      </c>
      <c r="G107" s="187" t="n">
        <v>3</v>
      </c>
      <c r="H107" s="187" t="inlineStr">
        <is>
          <t>HIGH</t>
        </is>
      </c>
      <c r="I107" s="187" t="n">
        <v>13.8</v>
      </c>
      <c r="J107" s="187" t="inlineStr">
        <is>
          <t>NO</t>
        </is>
      </c>
      <c r="K107" s="187" t="inlineStr">
        <is>
          <t>https://nvd.nist.gov/vuln/detail/CVE-2026-27212</t>
        </is>
      </c>
      <c r="L107" s="187" t="inlineStr">
        <is>
          <t>2026-02-27 20:47</t>
        </is>
      </c>
      <c r="M107" s="187" t="inlineStr">
        <is>
          <t>YES</t>
        </is>
      </c>
      <c r="N107" s="187" t="inlineStr">
        <is>
          <t>https://github.com/nolimits4web/swiper/commit/d3e663322a13043ca63aaba235d8cf3900e0c8cf | https://github.com/nolimits4web/swiper/security/advisories/GHSA-hmx5-qpq5-p643</t>
        </is>
      </c>
      <c r="O107" s="187" t="inlineStr">
        <is>
          <t>Apply vendor patches</t>
        </is>
      </c>
      <c r="P107" s="187" t="inlineStr">
        <is>
          <t>swiperjs swiper *</t>
        </is>
      </c>
      <c r="Q107" s="187" t="inlineStr">
        <is>
          <t>P3</t>
        </is>
      </c>
      <c r="R107" s="187" t="inlineStr">
        <is>
          <t>🚨 URGENT: Apply vendor patches immediately | 🔒 Isolate affected systems if patch unavailable | 🛡️ Enable additional monitoring/IDS rules</t>
        </is>
      </c>
      <c r="S107" s="187" t="inlineStr">
        <is>
          <t>CVE - IP enrichment n/a</t>
        </is>
      </c>
      <c r="T107" s="187" t="n">
        <v>0.0005999999999999999</v>
      </c>
      <c r="U107" s="187" t="n">
        <v>0.182</v>
      </c>
      <c r="V107" s="187" t="inlineStr">
        <is>
          <t>T1190:Exploit Public-Facing Application | T1078:Valid Accounts | T1499:Endpoint Denial of Service</t>
        </is>
      </c>
      <c r="W107" s="187" t="n">
        <v>1</v>
      </c>
      <c r="X107" s="187" t="inlineStr">
        <is>
          <t>LOW (40%)</t>
        </is>
      </c>
      <c r="Y107" s="187" t="inlineStr">
        <is>
          <t>UNLIKELY</t>
        </is>
      </c>
      <c r="Z107" s="187" t="inlineStr">
        <is>
          <t>PATCH_AVAILABLE</t>
        </is>
      </c>
      <c r="AA107" s="187" t="inlineStr">
        <is>
          <t>https://nvd.nist.gov/vuln/detail/CVE-2026-27212</t>
        </is>
      </c>
      <c r="AB107" s="187" t="inlineStr">
        <is>
          <t>NONE</t>
        </is>
      </c>
      <c r="AC107" s="187" t="n">
        <v>0</v>
      </c>
      <c r="AD107" s="187" t="inlineStr"/>
    </row>
    <row r="108">
      <c r="A108" s="188" t="inlineStr">
        <is>
          <t>CVE</t>
        </is>
      </c>
      <c r="B108" s="188" t="inlineStr">
        <is>
          <t>CVE-2026-2861</t>
        </is>
      </c>
      <c r="C108" s="188"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08" s="188" t="n">
        <v>5.3</v>
      </c>
      <c r="E108" s="188" t="inlineStr">
        <is>
          <t>MEDIUM</t>
        </is>
      </c>
      <c r="F108" s="188" t="n">
        <v>2</v>
      </c>
      <c r="G108" s="188" t="n">
        <v>2</v>
      </c>
      <c r="H108" s="188" t="inlineStr">
        <is>
          <t>MEDIUM</t>
        </is>
      </c>
      <c r="I108" s="188" t="n">
        <v>9.300000000000001</v>
      </c>
      <c r="J108" s="188" t="inlineStr">
        <is>
          <t>NO</t>
        </is>
      </c>
      <c r="K108" s="188" t="inlineStr">
        <is>
          <t>https://nvd.nist.gov/vuln/detail/CVE-2026-2861</t>
        </is>
      </c>
      <c r="L108" s="188" t="inlineStr">
        <is>
          <t>2026-02-27 20:47</t>
        </is>
      </c>
      <c r="M108" s="188" t="inlineStr">
        <is>
          <t>YES</t>
        </is>
      </c>
      <c r="N108" s="188" t="inlineStr">
        <is>
          <t>https://github.com/foswiki/distro/commit/31aeecb58b64</t>
        </is>
      </c>
      <c r="O108" s="188" t="inlineStr">
        <is>
          <t>Apply vendor patches</t>
        </is>
      </c>
      <c r="P108" s="188" t="inlineStr">
        <is>
          <t>foswiki foswiki *</t>
        </is>
      </c>
      <c r="Q108" s="188" t="inlineStr">
        <is>
          <t>P4</t>
        </is>
      </c>
      <c r="R108" s="188" t="inlineStr">
        <is>
          <t>📅 Schedule patch deployment within 30 days | 🔍 Monitor for exploitation attempts</t>
        </is>
      </c>
      <c r="S108" s="188" t="inlineStr">
        <is>
          <t>CVE - IP enrichment n/a</t>
        </is>
      </c>
      <c r="T108" s="188" t="n">
        <v>0.0005999999999999999</v>
      </c>
      <c r="U108" s="188" t="n">
        <v>0.1923</v>
      </c>
      <c r="V108" s="188" t="inlineStr">
        <is>
          <t>T1213:Data from Information Repositories</t>
        </is>
      </c>
      <c r="W108" s="188" t="n">
        <v>1</v>
      </c>
      <c r="X108" s="188" t="inlineStr">
        <is>
          <t>LOW (40%)</t>
        </is>
      </c>
      <c r="Y108" s="188" t="inlineStr">
        <is>
          <t>UNLIKELY</t>
        </is>
      </c>
      <c r="Z108" s="188" t="inlineStr">
        <is>
          <t>PATCH_AVAILABLE</t>
        </is>
      </c>
      <c r="AA108" s="188" t="inlineStr">
        <is>
          <t>https://nvd.nist.gov/vuln/detail/CVE-2026-2861</t>
        </is>
      </c>
      <c r="AB108" s="188" t="inlineStr">
        <is>
          <t>NONE</t>
        </is>
      </c>
      <c r="AC108" s="188" t="n">
        <v>0</v>
      </c>
      <c r="AD108" s="188" t="inlineStr"/>
    </row>
    <row r="109">
      <c r="A109" s="188" t="inlineStr">
        <is>
          <t>CVE</t>
        </is>
      </c>
      <c r="B109" s="188" t="inlineStr">
        <is>
          <t>CVE-2026-2863</t>
        </is>
      </c>
      <c r="C109" s="188"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09" s="188" t="n">
        <v>5.4</v>
      </c>
      <c r="E109" s="188" t="inlineStr">
        <is>
          <t>MEDIUM</t>
        </is>
      </c>
      <c r="F109" s="188" t="n">
        <v>2</v>
      </c>
      <c r="G109" s="188" t="n">
        <v>2</v>
      </c>
      <c r="H109" s="188" t="inlineStr">
        <is>
          <t>MEDIUM</t>
        </is>
      </c>
      <c r="I109" s="188" t="n">
        <v>9.4</v>
      </c>
      <c r="J109" s="188" t="inlineStr">
        <is>
          <t>NO</t>
        </is>
      </c>
      <c r="K109" s="188" t="inlineStr">
        <is>
          <t>https://nvd.nist.gov/vuln/detail/CVE-2026-2863</t>
        </is>
      </c>
      <c r="L109" s="188" t="inlineStr">
        <is>
          <t>2026-02-27 20:47</t>
        </is>
      </c>
      <c r="M109" s="188" t="inlineStr">
        <is>
          <t>CHECK_VENDOR</t>
        </is>
      </c>
      <c r="N109" s="188" t="inlineStr">
        <is>
          <t>See NVD references</t>
        </is>
      </c>
      <c r="O109" s="188" t="inlineStr">
        <is>
          <t>Apply vendor patches</t>
        </is>
      </c>
      <c r="P109" s="188" t="inlineStr">
        <is>
          <t>See CVE details</t>
        </is>
      </c>
      <c r="Q109" s="188" t="inlineStr">
        <is>
          <t>P4</t>
        </is>
      </c>
      <c r="R109" s="188" t="inlineStr">
        <is>
          <t>📅 Schedule patch deployment within 30 days | 🔍 Monitor for exploitation attempts</t>
        </is>
      </c>
      <c r="S109" s="188" t="inlineStr">
        <is>
          <t>CVE - IP enrichment n/a</t>
        </is>
      </c>
      <c r="T109" s="188" t="n">
        <v>0.0005999999999999999</v>
      </c>
      <c r="U109" s="188" t="n">
        <v>0.2016</v>
      </c>
      <c r="V109" s="188" t="inlineStr">
        <is>
          <t>T1083:File and Directory Discovery</t>
        </is>
      </c>
      <c r="W109" s="188" t="n">
        <v>1</v>
      </c>
      <c r="X109" s="188" t="inlineStr">
        <is>
          <t>LOW (40%)</t>
        </is>
      </c>
      <c r="Y109" s="188" t="inlineStr">
        <is>
          <t>UNLIKELY</t>
        </is>
      </c>
      <c r="Z109" s="188" t="inlineStr">
        <is>
          <t>CHECK_VENDOR</t>
        </is>
      </c>
      <c r="AA109" s="188" t="inlineStr">
        <is>
          <t>https://nvd.nist.gov/vuln/detail/CVE-2026-2863</t>
        </is>
      </c>
      <c r="AB109" s="188" t="inlineStr">
        <is>
          <t>NONE</t>
        </is>
      </c>
      <c r="AC109" s="188" t="n">
        <v>0</v>
      </c>
      <c r="AD109" s="188" t="inlineStr"/>
    </row>
    <row r="110">
      <c r="A110" s="187" t="inlineStr">
        <is>
          <t>CVE</t>
        </is>
      </c>
      <c r="B110" s="187" t="inlineStr">
        <is>
          <t>CVE-2026-27206</t>
        </is>
      </c>
      <c r="C110" s="187"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0" s="187" t="n">
        <v>8.1</v>
      </c>
      <c r="E110" s="187" t="inlineStr">
        <is>
          <t>HIGH</t>
        </is>
      </c>
      <c r="F110" s="187" t="n">
        <v>2</v>
      </c>
      <c r="G110" s="187" t="n">
        <v>3</v>
      </c>
      <c r="H110" s="187" t="inlineStr">
        <is>
          <t>HIGH</t>
        </is>
      </c>
      <c r="I110" s="187" t="n">
        <v>14.1</v>
      </c>
      <c r="J110" s="187" t="inlineStr">
        <is>
          <t>NO</t>
        </is>
      </c>
      <c r="K110" s="187" t="inlineStr">
        <is>
          <t>https://nvd.nist.gov/vuln/detail/CVE-2026-27206</t>
        </is>
      </c>
      <c r="L110" s="187" t="inlineStr">
        <is>
          <t>2026-02-27 20:47</t>
        </is>
      </c>
      <c r="M110" s="187" t="inlineStr">
        <is>
          <t>CHECK_VENDOR</t>
        </is>
      </c>
      <c r="N110" s="187" t="inlineStr">
        <is>
          <t>See NVD references</t>
        </is>
      </c>
      <c r="O110" s="187" t="inlineStr">
        <is>
          <t>Apply vendor patches</t>
        </is>
      </c>
      <c r="P110" s="187" t="inlineStr">
        <is>
          <t>See CVE details</t>
        </is>
      </c>
      <c r="Q110" s="187" t="inlineStr">
        <is>
          <t>P3</t>
        </is>
      </c>
      <c r="R110" s="187" t="inlineStr">
        <is>
          <t>🚨 URGENT: Apply vendor patches immediately | 🔒 Isolate affected systems if patch unavailable | 🛡️ Enable additional monitoring/IDS rules</t>
        </is>
      </c>
      <c r="S110" s="187" t="inlineStr">
        <is>
          <t>CVE - IP enrichment n/a</t>
        </is>
      </c>
      <c r="T110" s="187" t="n">
        <v>0.0039</v>
      </c>
      <c r="U110" s="187" t="n">
        <v>0.5944</v>
      </c>
      <c r="V110" s="187" t="inlineStr">
        <is>
          <t>T1059:Command and Scripting Interpreter | T1190:Exploit Public-Facing Application | T1210:Exploitation of Remote Services</t>
        </is>
      </c>
      <c r="W110" s="187" t="n">
        <v>1</v>
      </c>
      <c r="X110" s="187" t="inlineStr">
        <is>
          <t>LOW (40%)</t>
        </is>
      </c>
      <c r="Y110" s="187" t="inlineStr">
        <is>
          <t>UNLIKELY</t>
        </is>
      </c>
      <c r="Z110" s="187" t="inlineStr">
        <is>
          <t>CHECK_VENDOR</t>
        </is>
      </c>
      <c r="AA110" s="187" t="inlineStr">
        <is>
          <t>https://nvd.nist.gov/vuln/detail/CVE-2026-27206</t>
        </is>
      </c>
      <c r="AB110" s="187" t="inlineStr">
        <is>
          <t>NONE</t>
        </is>
      </c>
      <c r="AC110" s="187" t="n">
        <v>0</v>
      </c>
      <c r="AD110" s="187" t="inlineStr"/>
    </row>
    <row r="111">
      <c r="A111" s="188" t="inlineStr">
        <is>
          <t>CVE</t>
        </is>
      </c>
      <c r="B111" s="188" t="inlineStr">
        <is>
          <t>CVE-2026-27452</t>
        </is>
      </c>
      <c r="C111" s="188"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1" s="188" t="n">
        <v>5</v>
      </c>
      <c r="E111" s="188" t="inlineStr">
        <is>
          <t>MEDIUM</t>
        </is>
      </c>
      <c r="F111" s="188" t="n">
        <v>2</v>
      </c>
      <c r="G111" s="188" t="n">
        <v>2</v>
      </c>
      <c r="H111" s="188" t="inlineStr">
        <is>
          <t>MEDIUM</t>
        </is>
      </c>
      <c r="I111" s="188" t="n">
        <v>9</v>
      </c>
      <c r="J111" s="188" t="inlineStr">
        <is>
          <t>NO</t>
        </is>
      </c>
      <c r="K111" s="188" t="inlineStr">
        <is>
          <t>https://nvd.nist.gov/vuln/detail/CVE-2026-27452</t>
        </is>
      </c>
      <c r="L111" s="188" t="inlineStr">
        <is>
          <t>2026-02-27 20:47</t>
        </is>
      </c>
      <c r="M111" s="188" t="inlineStr">
        <is>
          <t>CHECK_VENDOR</t>
        </is>
      </c>
      <c r="N111" s="188" t="inlineStr">
        <is>
          <t>See NVD references</t>
        </is>
      </c>
      <c r="O111" s="188" t="inlineStr">
        <is>
          <t>Apply vendor patches</t>
        </is>
      </c>
      <c r="P111" s="188" t="inlineStr">
        <is>
          <t>See CVE details</t>
        </is>
      </c>
      <c r="Q111" s="188" t="inlineStr">
        <is>
          <t>P4</t>
        </is>
      </c>
      <c r="R111" s="188" t="inlineStr">
        <is>
          <t>📅 Schedule patch deployment within 30 days | 🔍 Monitor for exploitation attempts</t>
        </is>
      </c>
      <c r="S111" s="188" t="inlineStr">
        <is>
          <t>CVE - IP enrichment n/a</t>
        </is>
      </c>
      <c r="T111" s="188" t="n">
        <v>0.0005999999999999999</v>
      </c>
      <c r="U111" s="188" t="n">
        <v>0.1727</v>
      </c>
      <c r="V111" s="188" t="inlineStr">
        <is>
          <t>T1213:Data from Information Repositories</t>
        </is>
      </c>
      <c r="W111" s="188" t="n">
        <v>1</v>
      </c>
      <c r="X111" s="188" t="inlineStr">
        <is>
          <t>LOW (40%)</t>
        </is>
      </c>
      <c r="Y111" s="188" t="inlineStr">
        <is>
          <t>UNLIKELY</t>
        </is>
      </c>
      <c r="Z111" s="188" t="inlineStr">
        <is>
          <t>CHECK_VENDOR</t>
        </is>
      </c>
      <c r="AA111" s="188" t="inlineStr">
        <is>
          <t>https://nvd.nist.gov/vuln/detail/CVE-2026-27452</t>
        </is>
      </c>
      <c r="AB111" s="188" t="inlineStr">
        <is>
          <t>NONE</t>
        </is>
      </c>
      <c r="AC111" s="188" t="n">
        <v>0</v>
      </c>
      <c r="AD111" s="188" t="inlineStr"/>
    </row>
    <row r="112">
      <c r="A112" s="188" t="inlineStr">
        <is>
          <t>CVE</t>
        </is>
      </c>
      <c r="B112" s="188" t="inlineStr">
        <is>
          <t>CVE-2026-27458</t>
        </is>
      </c>
      <c r="C112" s="188"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2" s="188" t="n">
        <v>5.4</v>
      </c>
      <c r="E112" s="188" t="inlineStr">
        <is>
          <t>MEDIUM</t>
        </is>
      </c>
      <c r="F112" s="188" t="n">
        <v>2</v>
      </c>
      <c r="G112" s="188" t="n">
        <v>2</v>
      </c>
      <c r="H112" s="188" t="inlineStr">
        <is>
          <t>MEDIUM</t>
        </is>
      </c>
      <c r="I112" s="188" t="n">
        <v>9.4</v>
      </c>
      <c r="J112" s="188" t="inlineStr">
        <is>
          <t>NO</t>
        </is>
      </c>
      <c r="K112" s="188" t="inlineStr">
        <is>
          <t>https://nvd.nist.gov/vuln/detail/CVE-2026-27458</t>
        </is>
      </c>
      <c r="L112" s="188" t="inlineStr">
        <is>
          <t>2026-02-27 20:47</t>
        </is>
      </c>
      <c r="M112" s="188" t="inlineStr">
        <is>
          <t>YES</t>
        </is>
      </c>
      <c r="N112" s="188" t="inlineStr">
        <is>
          <t>https://github.com/Kovah/LinkAce/commit/eb5ba2abe05177ffa678baac0aa3f9c48b47d2f0 | https://github.com/Kovah/LinkAce/security/advisories/GHSA-2r9p-95xj-p583</t>
        </is>
      </c>
      <c r="O112" s="188" t="inlineStr">
        <is>
          <t>https://github.com/Kovah/LinkAce/security/advisories/GHSA-2r9p-95xj-p583</t>
        </is>
      </c>
      <c r="P112" s="188" t="inlineStr">
        <is>
          <t>linkace linkace *</t>
        </is>
      </c>
      <c r="Q112" s="188" t="inlineStr">
        <is>
          <t>P4</t>
        </is>
      </c>
      <c r="R112" s="188" t="inlineStr">
        <is>
          <t>📅 Schedule patch deployment within 30 days | 🔍 Monitor for exploitation attempts</t>
        </is>
      </c>
      <c r="S112" s="188" t="inlineStr">
        <is>
          <t>CVE - IP enrichment n/a</t>
        </is>
      </c>
      <c r="T112" s="188" t="n">
        <v>0.0003</v>
      </c>
      <c r="U112" s="188" t="n">
        <v>0.1025</v>
      </c>
      <c r="V112" s="188" t="inlineStr">
        <is>
          <t>T1189:Drive-by Compromise</t>
        </is>
      </c>
      <c r="W112" s="188" t="n">
        <v>1</v>
      </c>
      <c r="X112" s="188" t="inlineStr">
        <is>
          <t>LOW (40%)</t>
        </is>
      </c>
      <c r="Y112" s="188" t="inlineStr">
        <is>
          <t>UNLIKELY</t>
        </is>
      </c>
      <c r="Z112" s="188" t="inlineStr">
        <is>
          <t>PATCH_AVAILABLE</t>
        </is>
      </c>
      <c r="AA112" s="188" t="inlineStr">
        <is>
          <t>https://nvd.nist.gov/vuln/detail/CVE-2026-27458</t>
        </is>
      </c>
      <c r="AB112" s="188" t="inlineStr">
        <is>
          <t>NONE</t>
        </is>
      </c>
      <c r="AC112" s="188" t="n">
        <v>0</v>
      </c>
      <c r="AD112" s="188" t="inlineStr"/>
    </row>
    <row r="113">
      <c r="A113" s="189" t="inlineStr">
        <is>
          <t>CVE</t>
        </is>
      </c>
      <c r="B113" s="189" t="inlineStr">
        <is>
          <t>CVE-2026-27471</t>
        </is>
      </c>
      <c r="C113" s="18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3" s="189" t="n">
        <v>9.1</v>
      </c>
      <c r="E113" s="189" t="inlineStr">
        <is>
          <t>CRITICAL</t>
        </is>
      </c>
      <c r="F113" s="189" t="n">
        <v>2</v>
      </c>
      <c r="G113" s="189" t="n">
        <v>3</v>
      </c>
      <c r="H113" s="189" t="inlineStr">
        <is>
          <t>HIGH</t>
        </is>
      </c>
      <c r="I113" s="189" t="n">
        <v>15.1</v>
      </c>
      <c r="J113" s="189" t="inlineStr">
        <is>
          <t>NO</t>
        </is>
      </c>
      <c r="K113" s="189" t="inlineStr">
        <is>
          <t>https://nvd.nist.gov/vuln/detail/CVE-2026-27471</t>
        </is>
      </c>
      <c r="L113" s="189" t="inlineStr">
        <is>
          <t>2026-02-27 20:47</t>
        </is>
      </c>
      <c r="M113" s="189" t="inlineStr">
        <is>
          <t>YES</t>
        </is>
      </c>
      <c r="N113" s="189" t="inlineStr">
        <is>
          <t>https://github.com/frappe/erpnext/commit/78fc9424d9085c2eafe1211931e22d7044f85fc7 | https://github.com/frappe/erpnext/security/advisories/GHSA-wpfx-jw7g-7f83</t>
        </is>
      </c>
      <c r="O113" s="189" t="inlineStr">
        <is>
          <t>Apply vendor patches</t>
        </is>
      </c>
      <c r="P113" s="189" t="inlineStr">
        <is>
          <t>frappe erpnext * | frappe erpnext 16.0.0</t>
        </is>
      </c>
      <c r="Q113" s="189" t="inlineStr">
        <is>
          <t>P3</t>
        </is>
      </c>
      <c r="R113" s="189" t="inlineStr">
        <is>
          <t>🚨 URGENT: Apply vendor patches immediately | 🔒 Isolate affected systems if patch unavailable | 🛡️ Enable additional monitoring/IDS rules</t>
        </is>
      </c>
      <c r="S113" s="189" t="inlineStr">
        <is>
          <t>CVE - IP enrichment n/a</t>
        </is>
      </c>
      <c r="T113" s="189" t="n">
        <v>0.0004</v>
      </c>
      <c r="U113" s="189" t="n">
        <v>0.1246</v>
      </c>
      <c r="V113" s="189" t="inlineStr">
        <is>
          <t>T1190:Exploit Public-Facing Application</t>
        </is>
      </c>
      <c r="W113" s="189" t="n">
        <v>1</v>
      </c>
      <c r="X113" s="189" t="inlineStr">
        <is>
          <t>LOW (40%)</t>
        </is>
      </c>
      <c r="Y113" s="189" t="inlineStr">
        <is>
          <t>UNLIKELY</t>
        </is>
      </c>
      <c r="Z113" s="189" t="inlineStr">
        <is>
          <t>PATCH_AVAILABLE</t>
        </is>
      </c>
      <c r="AA113" s="189" t="inlineStr">
        <is>
          <t>https://nvd.nist.gov/vuln/detail/CVE-2026-27471</t>
        </is>
      </c>
      <c r="AB113" s="189" t="inlineStr">
        <is>
          <t>NONE</t>
        </is>
      </c>
      <c r="AC113" s="189" t="n">
        <v>0</v>
      </c>
      <c r="AD113" s="189" t="inlineStr"/>
    </row>
    <row r="114">
      <c r="A114" s="187" t="inlineStr">
        <is>
          <t>CVE</t>
        </is>
      </c>
      <c r="B114" s="187" t="inlineStr">
        <is>
          <t>CVE-2026-27464</t>
        </is>
      </c>
      <c r="C114" s="187"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4" s="187" t="n">
        <v>7.7</v>
      </c>
      <c r="E114" s="187" t="inlineStr">
        <is>
          <t>HIGH</t>
        </is>
      </c>
      <c r="F114" s="187" t="n">
        <v>2</v>
      </c>
      <c r="G114" s="187" t="n">
        <v>3</v>
      </c>
      <c r="H114" s="187" t="inlineStr">
        <is>
          <t>HIGH</t>
        </is>
      </c>
      <c r="I114" s="187" t="n">
        <v>13.7</v>
      </c>
      <c r="J114" s="187" t="inlineStr">
        <is>
          <t>NO</t>
        </is>
      </c>
      <c r="K114" s="187" t="inlineStr">
        <is>
          <t>https://nvd.nist.gov/vuln/detail/CVE-2026-27464</t>
        </is>
      </c>
      <c r="L114" s="187" t="inlineStr">
        <is>
          <t>2026-02-27 20:47</t>
        </is>
      </c>
      <c r="M114" s="187" t="inlineStr">
        <is>
          <t>CHECK_VENDOR</t>
        </is>
      </c>
      <c r="N114" s="187" t="inlineStr">
        <is>
          <t>See NVD references</t>
        </is>
      </c>
      <c r="O114" s="187" t="inlineStr">
        <is>
          <t>Apply vendor patches</t>
        </is>
      </c>
      <c r="P114" s="187" t="inlineStr">
        <is>
          <t>See CVE details</t>
        </is>
      </c>
      <c r="Q114" s="187" t="inlineStr">
        <is>
          <t>P3</t>
        </is>
      </c>
      <c r="R114" s="187" t="inlineStr">
        <is>
          <t>🚨 URGENT: Apply vendor patches immediately | 🔒 Isolate affected systems if patch unavailable | 🛡️ Enable additional monitoring/IDS rules</t>
        </is>
      </c>
      <c r="S114" s="187" t="inlineStr">
        <is>
          <t>CVE - IP enrichment n/a</t>
        </is>
      </c>
      <c r="T114" s="187" t="n">
        <v>0.0003</v>
      </c>
      <c r="U114" s="187" t="n">
        <v>0.09760000000000001</v>
      </c>
      <c r="V114" s="187" t="inlineStr">
        <is>
          <t>T1059:Command and Scripting Interpreter | T1190:Exploit Public-Facing Application | T1552:Unsecured Credentials</t>
        </is>
      </c>
      <c r="W114" s="187" t="n">
        <v>1</v>
      </c>
      <c r="X114" s="187" t="inlineStr">
        <is>
          <t>LOW (40%)</t>
        </is>
      </c>
      <c r="Y114" s="187" t="inlineStr">
        <is>
          <t>UNLIKELY</t>
        </is>
      </c>
      <c r="Z114" s="187" t="inlineStr">
        <is>
          <t>CHECK_VENDOR</t>
        </is>
      </c>
      <c r="AA114" s="187" t="inlineStr">
        <is>
          <t>https://nvd.nist.gov/vuln/detail/CVE-2026-27464</t>
        </is>
      </c>
      <c r="AB114" s="187" t="inlineStr">
        <is>
          <t>NONE</t>
        </is>
      </c>
      <c r="AC114" s="187" t="n">
        <v>0</v>
      </c>
      <c r="AD114" s="187" t="inlineStr"/>
    </row>
    <row r="115">
      <c r="A115" s="187" t="inlineStr">
        <is>
          <t>CVE</t>
        </is>
      </c>
      <c r="B115" s="187" t="inlineStr">
        <is>
          <t>CVE-2026-27466</t>
        </is>
      </c>
      <c r="C115" s="187"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5" s="187" t="n">
        <v>7.2</v>
      </c>
      <c r="E115" s="187" t="inlineStr">
        <is>
          <t>HIGH</t>
        </is>
      </c>
      <c r="F115" s="187" t="n">
        <v>2</v>
      </c>
      <c r="G115" s="187" t="n">
        <v>3</v>
      </c>
      <c r="H115" s="187" t="inlineStr">
        <is>
          <t>HIGH</t>
        </is>
      </c>
      <c r="I115" s="187" t="n">
        <v>13.2</v>
      </c>
      <c r="J115" s="187" t="inlineStr">
        <is>
          <t>NO</t>
        </is>
      </c>
      <c r="K115" s="187" t="inlineStr">
        <is>
          <t>https://nvd.nist.gov/vuln/detail/CVE-2026-27466</t>
        </is>
      </c>
      <c r="L115" s="187" t="inlineStr">
        <is>
          <t>2026-02-27 20:47</t>
        </is>
      </c>
      <c r="M115" s="187" t="inlineStr">
        <is>
          <t>YES</t>
        </is>
      </c>
      <c r="N115" s="187" t="inlineStr">
        <is>
          <t>https://github.com/bigbluebutton/bigbluebutton/commit/f3d33d94a9682e87c7d41f55700b19d61e1ab8b4 | https://github.com/bigbluebutton/bigbluebutton/security/advisories/GHSA-wmhx-qw2p-w6gc</t>
        </is>
      </c>
      <c r="O115" s="187" t="inlineStr">
        <is>
          <t>Apply vendor patches</t>
        </is>
      </c>
      <c r="P115" s="187" t="inlineStr">
        <is>
          <t>bigbluebutton bigbluebutton *</t>
        </is>
      </c>
      <c r="Q115" s="187" t="inlineStr">
        <is>
          <t>P3</t>
        </is>
      </c>
      <c r="R115" s="187" t="inlineStr">
        <is>
          <t>🚨 URGENT: Apply vendor patches immediately | 🔒 Isolate affected systems if patch unavailable | 🛡️ Enable additional monitoring/IDS rules</t>
        </is>
      </c>
      <c r="S115" s="187" t="inlineStr">
        <is>
          <t>CVE - IP enrichment n/a</t>
        </is>
      </c>
      <c r="T115" s="187" t="n">
        <v>0.0011</v>
      </c>
      <c r="U115" s="187" t="n">
        <v>0.294</v>
      </c>
      <c r="V115" s="187" t="inlineStr">
        <is>
          <t>T1190:Exploit Public-Facing Application | T1499:Endpoint Denial of Service | T1562:Impair Defenses</t>
        </is>
      </c>
      <c r="W115" s="187" t="n">
        <v>1</v>
      </c>
      <c r="X115" s="187" t="inlineStr">
        <is>
          <t>LOW (40%)</t>
        </is>
      </c>
      <c r="Y115" s="187" t="inlineStr">
        <is>
          <t>UNLIKELY</t>
        </is>
      </c>
      <c r="Z115" s="187" t="inlineStr">
        <is>
          <t>PATCH_AVAILABLE</t>
        </is>
      </c>
      <c r="AA115" s="187" t="inlineStr">
        <is>
          <t>https://nvd.nist.gov/vuln/detail/CVE-2026-27466</t>
        </is>
      </c>
      <c r="AB115" s="187" t="inlineStr">
        <is>
          <t>NONE</t>
        </is>
      </c>
      <c r="AC115" s="187" t="n">
        <v>0</v>
      </c>
      <c r="AD115" s="187" t="inlineStr"/>
    </row>
    <row r="116">
      <c r="A116" s="190" t="inlineStr">
        <is>
          <t>CVE</t>
        </is>
      </c>
      <c r="B116" s="190" t="inlineStr">
        <is>
          <t>CVE-2026-27467</t>
        </is>
      </c>
      <c r="C116" s="190"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6" s="190" t="n">
        <v>2</v>
      </c>
      <c r="E116" s="190" t="inlineStr">
        <is>
          <t>LOW</t>
        </is>
      </c>
      <c r="F116" s="190" t="n">
        <v>2</v>
      </c>
      <c r="G116" s="190" t="n">
        <v>1</v>
      </c>
      <c r="H116" s="190" t="inlineStr">
        <is>
          <t>LOW</t>
        </is>
      </c>
      <c r="I116" s="190" t="n">
        <v>4</v>
      </c>
      <c r="J116" s="190" t="inlineStr">
        <is>
          <t>NO</t>
        </is>
      </c>
      <c r="K116" s="190" t="inlineStr">
        <is>
          <t>https://nvd.nist.gov/vuln/detail/CVE-2026-27467</t>
        </is>
      </c>
      <c r="L116" s="190" t="inlineStr">
        <is>
          <t>2026-02-27 20:47</t>
        </is>
      </c>
      <c r="M116" s="190" t="inlineStr">
        <is>
          <t>YES</t>
        </is>
      </c>
      <c r="N116" s="190" t="inlineStr">
        <is>
          <t>https://github.com/bigbluebutton/bigbluebutton/commit/3aa47832bc2b17178799bd932453c226e8f95703 | https://github.com/bigbluebutton/bigbluebutton/security/advisories/GHSA-6gj9-5rhm-68j8</t>
        </is>
      </c>
      <c r="O116" s="190" t="inlineStr">
        <is>
          <t>Apply vendor patches</t>
        </is>
      </c>
      <c r="P116" s="190" t="inlineStr">
        <is>
          <t>bigbluebutton bigbluebutton *</t>
        </is>
      </c>
      <c r="Q116" s="190" t="inlineStr">
        <is>
          <t>P4</t>
        </is>
      </c>
      <c r="R116" s="190" t="inlineStr">
        <is>
          <t>📅 Schedule patch deployment within 30 days | 🔍 Monitor for exploitation attempts</t>
        </is>
      </c>
      <c r="S116" s="190" t="inlineStr">
        <is>
          <t>CVE - IP enrichment n/a</t>
        </is>
      </c>
      <c r="T116" s="190" t="n">
        <v>0.0003</v>
      </c>
      <c r="U116" s="190" t="n">
        <v>0.0789</v>
      </c>
      <c r="V116" s="190" t="inlineStr">
        <is>
          <t>T1213:Data from Information Repositories | T1190:Exploit Public-Facing Application</t>
        </is>
      </c>
      <c r="W116" s="190" t="n">
        <v>1</v>
      </c>
      <c r="X116" s="190" t="inlineStr">
        <is>
          <t>LOW (40%)</t>
        </is>
      </c>
      <c r="Y116" s="190" t="inlineStr">
        <is>
          <t>UNLIKELY</t>
        </is>
      </c>
      <c r="Z116" s="190" t="inlineStr">
        <is>
          <t>PATCH_AVAILABLE</t>
        </is>
      </c>
      <c r="AA116" s="190" t="inlineStr">
        <is>
          <t>https://nvd.nist.gov/vuln/detail/CVE-2026-27467</t>
        </is>
      </c>
      <c r="AB116" s="190" t="inlineStr">
        <is>
          <t>NONE</t>
        </is>
      </c>
      <c r="AC116" s="190" t="n">
        <v>0</v>
      </c>
      <c r="AD116" s="190" t="inlineStr"/>
    </row>
    <row r="117">
      <c r="A117" s="188" t="inlineStr">
        <is>
          <t>CVE</t>
        </is>
      </c>
      <c r="B117" s="188" t="inlineStr">
        <is>
          <t>CVE-2026-27469</t>
        </is>
      </c>
      <c r="C117" s="188"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 s="188" t="n">
        <v>6.1</v>
      </c>
      <c r="E117" s="188" t="inlineStr">
        <is>
          <t>MEDIUM</t>
        </is>
      </c>
      <c r="F117" s="188" t="n">
        <v>2</v>
      </c>
      <c r="G117" s="188" t="n">
        <v>2</v>
      </c>
      <c r="H117" s="188" t="inlineStr">
        <is>
          <t>MEDIUM</t>
        </is>
      </c>
      <c r="I117" s="188" t="n">
        <v>10.1</v>
      </c>
      <c r="J117" s="188" t="inlineStr">
        <is>
          <t>NO</t>
        </is>
      </c>
      <c r="K117" s="188" t="inlineStr">
        <is>
          <t>https://nvd.nist.gov/vuln/detail/CVE-2026-27469</t>
        </is>
      </c>
      <c r="L117" s="188" t="inlineStr">
        <is>
          <t>2026-02-27 20:47</t>
        </is>
      </c>
      <c r="M117" s="188" t="inlineStr">
        <is>
          <t>CHECK_VENDOR</t>
        </is>
      </c>
      <c r="N117" s="188" t="inlineStr">
        <is>
          <t>See NVD references</t>
        </is>
      </c>
      <c r="O117" s="188" t="inlineStr">
        <is>
          <t>Apply vendor patches</t>
        </is>
      </c>
      <c r="P117" s="188" t="inlineStr">
        <is>
          <t>See CVE details</t>
        </is>
      </c>
      <c r="Q117" s="188" t="inlineStr">
        <is>
          <t>P4</t>
        </is>
      </c>
      <c r="R117" s="188" t="inlineStr">
        <is>
          <t>📅 Schedule patch deployment within 30 days | 🔍 Monitor for exploitation attempts</t>
        </is>
      </c>
      <c r="S117" s="188" t="inlineStr">
        <is>
          <t>CVE - IP enrichment n/a</t>
        </is>
      </c>
      <c r="T117" s="188" t="n">
        <v>0.0005999999999999999</v>
      </c>
      <c r="U117" s="188" t="n">
        <v>0.2002</v>
      </c>
      <c r="V117" s="188" t="inlineStr">
        <is>
          <t>T1189:Drive-by Compromise</t>
        </is>
      </c>
      <c r="W117" s="188" t="n">
        <v>1</v>
      </c>
      <c r="X117" s="188" t="inlineStr">
        <is>
          <t>LOW (40%)</t>
        </is>
      </c>
      <c r="Y117" s="188" t="inlineStr">
        <is>
          <t>UNLIKELY</t>
        </is>
      </c>
      <c r="Z117" s="188" t="inlineStr">
        <is>
          <t>CHECK_VENDOR</t>
        </is>
      </c>
      <c r="AA117" s="188" t="inlineStr">
        <is>
          <t>https://nvd.nist.gov/vuln/detail/CVE-2026-27469</t>
        </is>
      </c>
      <c r="AB117" s="188" t="inlineStr">
        <is>
          <t>NONE</t>
        </is>
      </c>
      <c r="AC117" s="188" t="n">
        <v>0</v>
      </c>
      <c r="AD117" s="188" t="inlineStr"/>
    </row>
    <row r="118">
      <c r="A118" s="187" t="inlineStr">
        <is>
          <t>CVE</t>
        </is>
      </c>
      <c r="B118" s="187" t="inlineStr">
        <is>
          <t>CVE-2026-27470</t>
        </is>
      </c>
      <c r="C118" s="187"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8" s="187" t="n">
        <v>8.800000000000001</v>
      </c>
      <c r="E118" s="187" t="inlineStr">
        <is>
          <t>HIGH</t>
        </is>
      </c>
      <c r="F118" s="187" t="n">
        <v>2</v>
      </c>
      <c r="G118" s="187" t="n">
        <v>3</v>
      </c>
      <c r="H118" s="187" t="inlineStr">
        <is>
          <t>HIGH</t>
        </is>
      </c>
      <c r="I118" s="187" t="n">
        <v>14.8</v>
      </c>
      <c r="J118" s="187" t="inlineStr">
        <is>
          <t>NO</t>
        </is>
      </c>
      <c r="K118" s="187" t="inlineStr">
        <is>
          <t>https://nvd.nist.gov/vuln/detail/CVE-2026-27470</t>
        </is>
      </c>
      <c r="L118" s="187" t="inlineStr">
        <is>
          <t>2026-02-27 20:47</t>
        </is>
      </c>
      <c r="M118" s="187" t="inlineStr">
        <is>
          <t>YES</t>
        </is>
      </c>
      <c r="N118" s="187" t="inlineStr">
        <is>
          <t>https://github.com/ZoneMinder/zoneminder/security/advisories/GHSA-r6gm-478g-f2c4</t>
        </is>
      </c>
      <c r="O118" s="187" t="inlineStr">
        <is>
          <t>https://github.com/ZoneMinder/zoneminder/security/advisories/GHSA-r6gm-478g-f2c4</t>
        </is>
      </c>
      <c r="P118" s="187" t="inlineStr">
        <is>
          <t>zoneminder zoneminder *</t>
        </is>
      </c>
      <c r="Q118" s="187" t="inlineStr">
        <is>
          <t>P3</t>
        </is>
      </c>
      <c r="R118" s="187" t="inlineStr">
        <is>
          <t>🚨 URGENT: Apply vendor patches immediately | 🔒 Isolate affected systems if patch unavailable | 🛡️ Enable additional monitoring/IDS rules</t>
        </is>
      </c>
      <c r="S118" s="187" t="inlineStr">
        <is>
          <t>CVE - IP enrichment n/a</t>
        </is>
      </c>
      <c r="T118" s="187" t="n">
        <v>0.0003</v>
      </c>
      <c r="U118" s="187" t="n">
        <v>0.0733</v>
      </c>
      <c r="V118" s="187" t="inlineStr">
        <is>
          <t>T1190:Exploit Public-Facing Application</t>
        </is>
      </c>
      <c r="W118" s="187" t="n">
        <v>1</v>
      </c>
      <c r="X118" s="187" t="inlineStr">
        <is>
          <t>LOW (40%)</t>
        </is>
      </c>
      <c r="Y118" s="187" t="inlineStr">
        <is>
          <t>UNLIKELY</t>
        </is>
      </c>
      <c r="Z118" s="187" t="inlineStr">
        <is>
          <t>PATCH_AVAILABLE</t>
        </is>
      </c>
      <c r="AA118" s="187" t="inlineStr">
        <is>
          <t>https://nvd.nist.gov/vuln/detail/CVE-2026-27470</t>
        </is>
      </c>
      <c r="AB118" s="187" t="inlineStr">
        <is>
          <t>NONE</t>
        </is>
      </c>
      <c r="AC118" s="187" t="n">
        <v>0</v>
      </c>
      <c r="AD118" s="187" t="inlineStr"/>
    </row>
    <row r="119">
      <c r="A119" s="188" t="inlineStr">
        <is>
          <t>CVE</t>
        </is>
      </c>
      <c r="B119" s="188" t="inlineStr">
        <is>
          <t>CVE-2026-2864</t>
        </is>
      </c>
      <c r="C119" s="188"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9" s="188" t="n">
        <v>5.4</v>
      </c>
      <c r="E119" s="188" t="inlineStr">
        <is>
          <t>MEDIUM</t>
        </is>
      </c>
      <c r="F119" s="188" t="n">
        <v>2</v>
      </c>
      <c r="G119" s="188" t="n">
        <v>2</v>
      </c>
      <c r="H119" s="188" t="inlineStr">
        <is>
          <t>MEDIUM</t>
        </is>
      </c>
      <c r="I119" s="188" t="n">
        <v>9.4</v>
      </c>
      <c r="J119" s="188" t="inlineStr">
        <is>
          <t>NO</t>
        </is>
      </c>
      <c r="K119" s="188" t="inlineStr">
        <is>
          <t>https://nvd.nist.gov/vuln/detail/CVE-2026-2864</t>
        </is>
      </c>
      <c r="L119" s="188" t="inlineStr">
        <is>
          <t>2026-02-27 20:47</t>
        </is>
      </c>
      <c r="M119" s="188" t="inlineStr">
        <is>
          <t>CHECK_VENDOR</t>
        </is>
      </c>
      <c r="N119" s="188" t="inlineStr">
        <is>
          <t>See NVD references</t>
        </is>
      </c>
      <c r="O119" s="188" t="inlineStr">
        <is>
          <t>Apply vendor patches</t>
        </is>
      </c>
      <c r="P119" s="188" t="inlineStr">
        <is>
          <t>See CVE details</t>
        </is>
      </c>
      <c r="Q119" s="188" t="inlineStr">
        <is>
          <t>P4</t>
        </is>
      </c>
      <c r="R119" s="188" t="inlineStr">
        <is>
          <t>📅 Schedule patch deployment within 30 days | 🔍 Monitor for exploitation attempts</t>
        </is>
      </c>
      <c r="S119" s="188" t="inlineStr">
        <is>
          <t>CVE - IP enrichment n/a</t>
        </is>
      </c>
      <c r="T119" s="188" t="n">
        <v>0.0005</v>
      </c>
      <c r="U119" s="188" t="n">
        <v>0.1486</v>
      </c>
      <c r="V119" s="188" t="inlineStr">
        <is>
          <t>T1083:File and Directory Discovery</t>
        </is>
      </c>
      <c r="W119" s="188" t="n">
        <v>1</v>
      </c>
      <c r="X119" s="188" t="inlineStr">
        <is>
          <t>LOW (40%)</t>
        </is>
      </c>
      <c r="Y119" s="188" t="inlineStr">
        <is>
          <t>UNLIKELY</t>
        </is>
      </c>
      <c r="Z119" s="188" t="inlineStr">
        <is>
          <t>CHECK_VENDOR</t>
        </is>
      </c>
      <c r="AA119" s="188" t="inlineStr">
        <is>
          <t>https://nvd.nist.gov/vuln/detail/CVE-2026-2864</t>
        </is>
      </c>
      <c r="AB119" s="188" t="inlineStr">
        <is>
          <t>NONE</t>
        </is>
      </c>
      <c r="AC119" s="188" t="n">
        <v>0</v>
      </c>
      <c r="AD119" s="188" t="inlineStr"/>
    </row>
    <row r="120">
      <c r="A120" s="187" t="inlineStr">
        <is>
          <t>CVE</t>
        </is>
      </c>
      <c r="B120" s="187" t="inlineStr">
        <is>
          <t>CVE-2026-2865</t>
        </is>
      </c>
      <c r="C120" s="187"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20" s="187" t="n">
        <v>7.3</v>
      </c>
      <c r="E120" s="187" t="inlineStr">
        <is>
          <t>HIGH</t>
        </is>
      </c>
      <c r="F120" s="187" t="n">
        <v>2</v>
      </c>
      <c r="G120" s="187" t="n">
        <v>3</v>
      </c>
      <c r="H120" s="187" t="inlineStr">
        <is>
          <t>HIGH</t>
        </is>
      </c>
      <c r="I120" s="187" t="n">
        <v>13.3</v>
      </c>
      <c r="J120" s="187" t="inlineStr">
        <is>
          <t>NO</t>
        </is>
      </c>
      <c r="K120" s="187" t="inlineStr">
        <is>
          <t>https://nvd.nist.gov/vuln/detail/CVE-2026-2865</t>
        </is>
      </c>
      <c r="L120" s="187" t="inlineStr">
        <is>
          <t>2026-02-27 20:47</t>
        </is>
      </c>
      <c r="M120" s="187" t="inlineStr">
        <is>
          <t>YES</t>
        </is>
      </c>
      <c r="N120" s="187" t="inlineStr">
        <is>
          <t>https://github.com/wan1yan/cve/issues/3</t>
        </is>
      </c>
      <c r="O120" s="187" t="inlineStr">
        <is>
          <t>https://github.com/wan1yan/cve/issues/3</t>
        </is>
      </c>
      <c r="P120" s="187" t="inlineStr">
        <is>
          <t>adonesevangelista agri-trading_online_shopping_system 1.0</t>
        </is>
      </c>
      <c r="Q120" s="187" t="inlineStr">
        <is>
          <t>P3</t>
        </is>
      </c>
      <c r="R120" s="187" t="inlineStr">
        <is>
          <t>🚨 URGENT: Apply vendor patches immediately | 🔒 Isolate affected systems if patch unavailable | 🛡️ Enable additional monitoring/IDS rules</t>
        </is>
      </c>
      <c r="S120" s="187" t="inlineStr">
        <is>
          <t>CVE - IP enrichment n/a</t>
        </is>
      </c>
      <c r="T120" s="187" t="n">
        <v>0.0003</v>
      </c>
      <c r="U120" s="187" t="n">
        <v>0.0997</v>
      </c>
      <c r="V120" s="187" t="inlineStr">
        <is>
          <t>T1190:Exploit Public-Facing Application</t>
        </is>
      </c>
      <c r="W120" s="187" t="n">
        <v>1</v>
      </c>
      <c r="X120" s="187" t="inlineStr">
        <is>
          <t>LOW (40%)</t>
        </is>
      </c>
      <c r="Y120" s="187" t="inlineStr">
        <is>
          <t>UNLIKELY</t>
        </is>
      </c>
      <c r="Z120" s="187" t="inlineStr">
        <is>
          <t>PATCH_AVAILABLE</t>
        </is>
      </c>
      <c r="AA120" s="187" t="inlineStr">
        <is>
          <t>https://nvd.nist.gov/vuln/detail/CVE-2026-2865</t>
        </is>
      </c>
      <c r="AB120" s="187" t="inlineStr">
        <is>
          <t>NONE</t>
        </is>
      </c>
      <c r="AC120" s="187" t="n">
        <v>0</v>
      </c>
      <c r="AD120" s="187" t="inlineStr"/>
    </row>
    <row r="121">
      <c r="A121" s="187" t="inlineStr">
        <is>
          <t>CVE</t>
        </is>
      </c>
      <c r="B121" s="187" t="inlineStr">
        <is>
          <t>CVE-2026-27479</t>
        </is>
      </c>
      <c r="C121" s="187"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21" s="187" t="n">
        <v>7.7</v>
      </c>
      <c r="E121" s="187" t="inlineStr">
        <is>
          <t>HIGH</t>
        </is>
      </c>
      <c r="F121" s="187" t="n">
        <v>2</v>
      </c>
      <c r="G121" s="187" t="n">
        <v>3</v>
      </c>
      <c r="H121" s="187" t="inlineStr">
        <is>
          <t>HIGH</t>
        </is>
      </c>
      <c r="I121" s="187" t="n">
        <v>13.7</v>
      </c>
      <c r="J121" s="187" t="inlineStr">
        <is>
          <t>NO</t>
        </is>
      </c>
      <c r="K121" s="187" t="inlineStr">
        <is>
          <t>https://nvd.nist.gov/vuln/detail/CVE-2026-27479</t>
        </is>
      </c>
      <c r="L121" s="187" t="inlineStr">
        <is>
          <t>2026-02-27 20:47</t>
        </is>
      </c>
      <c r="M121" s="187" t="inlineStr">
        <is>
          <t>YES</t>
        </is>
      </c>
      <c r="N121" s="187" t="inlineStr">
        <is>
          <t>https://github.com/ellite/Wallos/commit/76a53df9cb4658123b8f0b7cf1826f1ba7d1c960 | https://github.com/ellite/Wallos/security/advisories/GHSA-fgmf-7g5v-jmjg</t>
        </is>
      </c>
      <c r="O121" s="187" t="inlineStr">
        <is>
          <t>https://github.com/ellite/Wallos/security/advisories/GHSA-fgmf-7g5v-jmjg</t>
        </is>
      </c>
      <c r="P121" s="187" t="inlineStr">
        <is>
          <t>wallosapp wallos *</t>
        </is>
      </c>
      <c r="Q121" s="187" t="inlineStr">
        <is>
          <t>P3</t>
        </is>
      </c>
      <c r="R121" s="187" t="inlineStr">
        <is>
          <t>🚨 URGENT: Apply vendor patches immediately | 🔒 Isolate affected systems if patch unavailable | 🛡️ Enable additional monitoring/IDS rules</t>
        </is>
      </c>
      <c r="S121" s="187" t="inlineStr">
        <is>
          <t>CVE - IP enrichment n/a</t>
        </is>
      </c>
      <c r="T121" s="187" t="n">
        <v>0.0003</v>
      </c>
      <c r="U121" s="187" t="n">
        <v>0.09429999999999999</v>
      </c>
      <c r="V121" s="187" t="inlineStr">
        <is>
          <t>T1090:Proxy | T1190:Exploit Public-Facing Application</t>
        </is>
      </c>
      <c r="W121" s="187" t="n">
        <v>1</v>
      </c>
      <c r="X121" s="187" t="inlineStr">
        <is>
          <t>LOW (40%)</t>
        </is>
      </c>
      <c r="Y121" s="187" t="inlineStr">
        <is>
          <t>UNLIKELY</t>
        </is>
      </c>
      <c r="Z121" s="187" t="inlineStr">
        <is>
          <t>PATCH_AVAILABLE</t>
        </is>
      </c>
      <c r="AA121" s="187" t="inlineStr">
        <is>
          <t>https://nvd.nist.gov/vuln/detail/CVE-2026-27479</t>
        </is>
      </c>
      <c r="AB121" s="187" t="inlineStr">
        <is>
          <t>NONE</t>
        </is>
      </c>
      <c r="AC121" s="187" t="n">
        <v>0</v>
      </c>
      <c r="AD121" s="187" t="inlineStr"/>
    </row>
    <row r="122">
      <c r="A122" s="188" t="inlineStr">
        <is>
          <t>CVE</t>
        </is>
      </c>
      <c r="B122" s="188" t="inlineStr">
        <is>
          <t>CVE-2025-14339</t>
        </is>
      </c>
      <c r="C122" s="188"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22" s="188" t="n">
        <v>6.5</v>
      </c>
      <c r="E122" s="188" t="inlineStr">
        <is>
          <t>MEDIUM</t>
        </is>
      </c>
      <c r="F122" s="188" t="n">
        <v>2</v>
      </c>
      <c r="G122" s="188" t="n">
        <v>2</v>
      </c>
      <c r="H122" s="188" t="inlineStr">
        <is>
          <t>MEDIUM</t>
        </is>
      </c>
      <c r="I122" s="188" t="n">
        <v>10.5</v>
      </c>
      <c r="J122" s="188" t="inlineStr">
        <is>
          <t>NO</t>
        </is>
      </c>
      <c r="K122" s="188" t="inlineStr">
        <is>
          <t>https://nvd.nist.gov/vuln/detail/CVE-2025-14339</t>
        </is>
      </c>
      <c r="L122" s="188" t="inlineStr">
        <is>
          <t>2026-02-27 20:47</t>
        </is>
      </c>
      <c r="M122" s="188" t="inlineStr">
        <is>
          <t>CHECK_VENDOR</t>
        </is>
      </c>
      <c r="N122" s="188" t="inlineStr">
        <is>
          <t>See NVD references</t>
        </is>
      </c>
      <c r="O122" s="188" t="inlineStr">
        <is>
          <t>Apply vendor patches</t>
        </is>
      </c>
      <c r="P122" s="188" t="inlineStr">
        <is>
          <t>See CVE details</t>
        </is>
      </c>
      <c r="Q122" s="188" t="inlineStr">
        <is>
          <t>P4</t>
        </is>
      </c>
      <c r="R122" s="188" t="inlineStr">
        <is>
          <t>📅 Schedule patch deployment within 30 days | 🔍 Monitor for exploitation attempts</t>
        </is>
      </c>
      <c r="S122" s="188" t="inlineStr">
        <is>
          <t>CVE - IP enrichment n/a</t>
        </is>
      </c>
      <c r="T122" s="188" t="n">
        <v>0.0005999999999999999</v>
      </c>
      <c r="U122" s="188" t="n">
        <v>0.191</v>
      </c>
      <c r="V122" s="188" t="inlineStr">
        <is>
          <t>T1190:Exploit Public-Facing Application</t>
        </is>
      </c>
      <c r="W122" s="188" t="n">
        <v>1</v>
      </c>
      <c r="X122" s="188" t="inlineStr">
        <is>
          <t>LOW (40%)</t>
        </is>
      </c>
      <c r="Y122" s="188" t="inlineStr">
        <is>
          <t>UNLIKELY</t>
        </is>
      </c>
      <c r="Z122" s="188" t="inlineStr">
        <is>
          <t>CHECK_VENDOR</t>
        </is>
      </c>
      <c r="AA122" s="188" t="inlineStr">
        <is>
          <t>https://nvd.nist.gov/vuln/detail/CVE-2025-14339</t>
        </is>
      </c>
      <c r="AB122" s="188" t="inlineStr">
        <is>
          <t>NONE</t>
        </is>
      </c>
      <c r="AC122" s="188" t="n">
        <v>0</v>
      </c>
      <c r="AD122" s="188" t="inlineStr"/>
    </row>
    <row r="123">
      <c r="A123" s="188" t="inlineStr">
        <is>
          <t>CVE</t>
        </is>
      </c>
      <c r="B123" s="188" t="inlineStr">
        <is>
          <t>CVE-2026-27480</t>
        </is>
      </c>
      <c r="C123" s="188"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23" s="188" t="n">
        <v>5.3</v>
      </c>
      <c r="E123" s="188" t="inlineStr">
        <is>
          <t>MEDIUM</t>
        </is>
      </c>
      <c r="F123" s="188" t="n">
        <v>2</v>
      </c>
      <c r="G123" s="188" t="n">
        <v>2</v>
      </c>
      <c r="H123" s="188" t="inlineStr">
        <is>
          <t>MEDIUM</t>
        </is>
      </c>
      <c r="I123" s="188" t="n">
        <v>9.300000000000001</v>
      </c>
      <c r="J123" s="188" t="inlineStr">
        <is>
          <t>NO</t>
        </is>
      </c>
      <c r="K123" s="188" t="inlineStr">
        <is>
          <t>https://nvd.nist.gov/vuln/detail/CVE-2026-27480</t>
        </is>
      </c>
      <c r="L123" s="188" t="inlineStr">
        <is>
          <t>2026-02-27 20:47</t>
        </is>
      </c>
      <c r="M123" s="188" t="inlineStr">
        <is>
          <t>YES</t>
        </is>
      </c>
      <c r="N123" s="188" t="inlineStr">
        <is>
          <t>https://github.com/static-web-server/static-web-server/commit/7bf0fd425eb10dac9bf9ef5febce12c4dd039ce1 | https://github.com/static-web-server/static-web-server/security/advisories/GHSA-qhp6-635j-x7r2</t>
        </is>
      </c>
      <c r="O123" s="188" t="inlineStr">
        <is>
          <t>Apply vendor patches</t>
        </is>
      </c>
      <c r="P123" s="188" t="inlineStr">
        <is>
          <t>static-web-server static_web_server *</t>
        </is>
      </c>
      <c r="Q123" s="188" t="inlineStr">
        <is>
          <t>P4</t>
        </is>
      </c>
      <c r="R123" s="188" t="inlineStr">
        <is>
          <t>📅 Schedule patch deployment within 30 days | 🔍 Monitor for exploitation attempts</t>
        </is>
      </c>
      <c r="S123" s="188" t="inlineStr">
        <is>
          <t>CVE - IP enrichment n/a</t>
        </is>
      </c>
      <c r="T123" s="188" t="n">
        <v>0.0002</v>
      </c>
      <c r="U123" s="188" t="n">
        <v>0.0375</v>
      </c>
      <c r="V123" s="188" t="inlineStr">
        <is>
          <t>T1190:Exploit Public-Facing Application | T1552:Unsecured Credentials</t>
        </is>
      </c>
      <c r="W123" s="188" t="n">
        <v>1</v>
      </c>
      <c r="X123" s="188" t="inlineStr">
        <is>
          <t>LOW (40%)</t>
        </is>
      </c>
      <c r="Y123" s="188" t="inlineStr">
        <is>
          <t>UNLIKELY</t>
        </is>
      </c>
      <c r="Z123" s="188" t="inlineStr">
        <is>
          <t>PATCH_AVAILABLE</t>
        </is>
      </c>
      <c r="AA123" s="188" t="inlineStr">
        <is>
          <t>https://nvd.nist.gov/vuln/detail/CVE-2026-27480</t>
        </is>
      </c>
      <c r="AB123" s="188" t="inlineStr">
        <is>
          <t>NONE</t>
        </is>
      </c>
      <c r="AC123" s="188" t="n">
        <v>0</v>
      </c>
      <c r="AD123" s="188" t="inlineStr"/>
    </row>
    <row r="124">
      <c r="A124" s="188" t="inlineStr">
        <is>
          <t>CVE</t>
        </is>
      </c>
      <c r="B124" s="188" t="inlineStr">
        <is>
          <t>CVE-2026-27482</t>
        </is>
      </c>
      <c r="C124" s="188"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24" s="188" t="n">
        <v>5.9</v>
      </c>
      <c r="E124" s="188" t="inlineStr">
        <is>
          <t>MEDIUM</t>
        </is>
      </c>
      <c r="F124" s="188" t="n">
        <v>2</v>
      </c>
      <c r="G124" s="188" t="n">
        <v>2</v>
      </c>
      <c r="H124" s="188" t="inlineStr">
        <is>
          <t>MEDIUM</t>
        </is>
      </c>
      <c r="I124" s="188" t="n">
        <v>9.9</v>
      </c>
      <c r="J124" s="188" t="inlineStr">
        <is>
          <t>NO</t>
        </is>
      </c>
      <c r="K124" s="188" t="inlineStr">
        <is>
          <t>https://nvd.nist.gov/vuln/detail/CVE-2026-27482</t>
        </is>
      </c>
      <c r="L124" s="188" t="inlineStr">
        <is>
          <t>2026-02-27 20:47</t>
        </is>
      </c>
      <c r="M124" s="188" t="inlineStr">
        <is>
          <t>YES</t>
        </is>
      </c>
      <c r="N124" s="188" t="inlineStr">
        <is>
          <t>https://github.com/ray-project/ray/commit/0fda8b824cdc9dc6edd763bb28dfd7d1cc9b02a4 | https://github.com/ray-project/ray/pull/60526 | https://github.com/ray-project/ray/security/advisories/GHSA-q5fh-2hc8-f6rq</t>
        </is>
      </c>
      <c r="O124" s="188" t="inlineStr">
        <is>
          <t>Apply vendor patches</t>
        </is>
      </c>
      <c r="P124" s="188" t="inlineStr">
        <is>
          <t>anyscale ray *</t>
        </is>
      </c>
      <c r="Q124" s="188" t="inlineStr">
        <is>
          <t>P4</t>
        </is>
      </c>
      <c r="R124" s="188" t="inlineStr">
        <is>
          <t>📅 Schedule patch deployment within 30 days | 🔍 Monitor for exploitation attempts</t>
        </is>
      </c>
      <c r="S124" s="188" t="inlineStr">
        <is>
          <t>CVE - IP enrichment n/a</t>
        </is>
      </c>
      <c r="T124" s="188" t="n">
        <v>0.0004</v>
      </c>
      <c r="U124" s="188" t="n">
        <v>0.1033</v>
      </c>
      <c r="V124" s="188" t="inlineStr">
        <is>
          <t>T1190:Exploit Public-Facing Application</t>
        </is>
      </c>
      <c r="W124" s="188" t="n">
        <v>1</v>
      </c>
      <c r="X124" s="188" t="inlineStr">
        <is>
          <t>LOW (40%)</t>
        </is>
      </c>
      <c r="Y124" s="188" t="inlineStr">
        <is>
          <t>UNLIKELY</t>
        </is>
      </c>
      <c r="Z124" s="188" t="inlineStr">
        <is>
          <t>PATCH_AVAILABLE</t>
        </is>
      </c>
      <c r="AA124" s="188" t="inlineStr">
        <is>
          <t>https://nvd.nist.gov/vuln/detail/CVE-2026-27482</t>
        </is>
      </c>
      <c r="AB124" s="188" t="inlineStr">
        <is>
          <t>NONE</t>
        </is>
      </c>
      <c r="AC124" s="188" t="n">
        <v>0</v>
      </c>
      <c r="AD124" s="188" t="inlineStr"/>
    </row>
    <row r="125">
      <c r="A125" s="188" t="inlineStr">
        <is>
          <t>CVE</t>
        </is>
      </c>
      <c r="B125" s="188" t="inlineStr">
        <is>
          <t>CVE-2026-27484</t>
        </is>
      </c>
      <c r="C125" s="188"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25" s="188" t="n">
        <v>4.3</v>
      </c>
      <c r="E125" s="188" t="inlineStr">
        <is>
          <t>MEDIUM</t>
        </is>
      </c>
      <c r="F125" s="188" t="n">
        <v>2</v>
      </c>
      <c r="G125" s="188" t="n">
        <v>2</v>
      </c>
      <c r="H125" s="188" t="inlineStr">
        <is>
          <t>MEDIUM</t>
        </is>
      </c>
      <c r="I125" s="188" t="n">
        <v>8.300000000000001</v>
      </c>
      <c r="J125" s="188" t="inlineStr">
        <is>
          <t>NO</t>
        </is>
      </c>
      <c r="K125" s="188" t="inlineStr">
        <is>
          <t>https://nvd.nist.gov/vuln/detail/CVE-2026-27484</t>
        </is>
      </c>
      <c r="L125" s="188" t="inlineStr">
        <is>
          <t>2026-02-27 20:47</t>
        </is>
      </c>
      <c r="M125" s="188" t="inlineStr">
        <is>
          <t>YES</t>
        </is>
      </c>
      <c r="N125" s="188" t="inlineStr">
        <is>
          <t>https://github.com/openclaw/openclaw/commit/775816035ecc6bb243843f8000c9a58ff609e32d | https://github.com/openclaw/openclaw/security/advisories/GHSA-wh94-p5m6-mr7j</t>
        </is>
      </c>
      <c r="O125" s="188" t="inlineStr">
        <is>
          <t>Apply vendor patches</t>
        </is>
      </c>
      <c r="P125" s="188" t="inlineStr">
        <is>
          <t>openclaw openclaw *</t>
        </is>
      </c>
      <c r="Q125" s="188" t="inlineStr">
        <is>
          <t>P4</t>
        </is>
      </c>
      <c r="R125" s="188" t="inlineStr">
        <is>
          <t>📅 Schedule patch deployment within 30 days | 🔍 Monitor for exploitation attempts</t>
        </is>
      </c>
      <c r="S125" s="188" t="inlineStr">
        <is>
          <t>CVE - IP enrichment n/a</t>
        </is>
      </c>
      <c r="T125" s="188" t="n">
        <v>0.0002</v>
      </c>
      <c r="U125" s="188" t="n">
        <v>0.0625</v>
      </c>
      <c r="V125" s="188" t="inlineStr">
        <is>
          <t>T1190:Exploit Public-Facing Application</t>
        </is>
      </c>
      <c r="W125" s="188" t="n">
        <v>1</v>
      </c>
      <c r="X125" s="188" t="inlineStr">
        <is>
          <t>LOW (40%)</t>
        </is>
      </c>
      <c r="Y125" s="188" t="inlineStr">
        <is>
          <t>UNLIKELY</t>
        </is>
      </c>
      <c r="Z125" s="188" t="inlineStr">
        <is>
          <t>PATCH_AVAILABLE</t>
        </is>
      </c>
      <c r="AA125" s="188" t="inlineStr">
        <is>
          <t>https://nvd.nist.gov/vuln/detail/CVE-2026-27484</t>
        </is>
      </c>
      <c r="AB125" s="188" t="inlineStr">
        <is>
          <t>NONE</t>
        </is>
      </c>
      <c r="AC125" s="188" t="n">
        <v>0</v>
      </c>
      <c r="AD125" s="188" t="inlineStr"/>
    </row>
    <row r="126">
      <c r="A126" s="188" t="inlineStr">
        <is>
          <t>CVE</t>
        </is>
      </c>
      <c r="B126" s="188" t="inlineStr">
        <is>
          <t>CVE-2026-27485</t>
        </is>
      </c>
      <c r="C126" s="188"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26" s="188" t="n">
        <v>4.4</v>
      </c>
      <c r="E126" s="188" t="inlineStr">
        <is>
          <t>MEDIUM</t>
        </is>
      </c>
      <c r="F126" s="188" t="n">
        <v>2</v>
      </c>
      <c r="G126" s="188" t="n">
        <v>2</v>
      </c>
      <c r="H126" s="188" t="inlineStr">
        <is>
          <t>MEDIUM</t>
        </is>
      </c>
      <c r="I126" s="188" t="n">
        <v>8.4</v>
      </c>
      <c r="J126" s="188" t="inlineStr">
        <is>
          <t>NO</t>
        </is>
      </c>
      <c r="K126" s="188" t="inlineStr">
        <is>
          <t>https://nvd.nist.gov/vuln/detail/CVE-2026-27485</t>
        </is>
      </c>
      <c r="L126" s="188" t="inlineStr">
        <is>
          <t>2026-02-27 20:47</t>
        </is>
      </c>
      <c r="M126" s="188" t="inlineStr">
        <is>
          <t>YES</t>
        </is>
      </c>
      <c r="N126" s="188" t="inlineStr">
        <is>
          <t>https://github.com/openclaw/openclaw/commit/c275932aa4230fb7a8212fe1b9d2a18424874b3f | https://github.com/openclaw/openclaw/commit/ee1d6427b544ccadd73e02b1630ea5c29ba9a9f0 | https://github.com/openclaw/openclaw/security/advisories/GHSA-r6h2-5gqq-v5v6</t>
        </is>
      </c>
      <c r="O126" s="188" t="inlineStr">
        <is>
          <t>https://github.com/openclaw/openclaw/security/advisories/GHSA-r6h2-5gqq-v5v6</t>
        </is>
      </c>
      <c r="P126" s="188" t="inlineStr">
        <is>
          <t>openclaw openclaw *</t>
        </is>
      </c>
      <c r="Q126" s="188" t="inlineStr">
        <is>
          <t>P4</t>
        </is>
      </c>
      <c r="R126" s="188" t="inlineStr">
        <is>
          <t>📅 Schedule patch deployment within 30 days | 🔍 Monitor for exploitation attempts</t>
        </is>
      </c>
      <c r="S126" s="188" t="inlineStr">
        <is>
          <t>CVE - IP enrichment n/a</t>
        </is>
      </c>
      <c r="T126" s="188" t="n">
        <v>0.0001</v>
      </c>
      <c r="U126" s="188" t="n">
        <v>0.0025</v>
      </c>
      <c r="V126" s="188" t="inlineStr">
        <is>
          <t>T1190:Exploit Public-Facing Application</t>
        </is>
      </c>
      <c r="W126" s="188" t="n">
        <v>1</v>
      </c>
      <c r="X126" s="188" t="inlineStr">
        <is>
          <t>LOW (40%)</t>
        </is>
      </c>
      <c r="Y126" s="188" t="inlineStr">
        <is>
          <t>UNLIKELY</t>
        </is>
      </c>
      <c r="Z126" s="188" t="inlineStr">
        <is>
          <t>PATCH_AVAILABLE</t>
        </is>
      </c>
      <c r="AA126" s="188" t="inlineStr">
        <is>
          <t>https://nvd.nist.gov/vuln/detail/CVE-2026-27485</t>
        </is>
      </c>
      <c r="AB126" s="188" t="inlineStr">
        <is>
          <t>NONE</t>
        </is>
      </c>
      <c r="AC126" s="188" t="n">
        <v>0</v>
      </c>
      <c r="AD126" s="188" t="inlineStr"/>
    </row>
    <row r="127">
      <c r="A127" s="188" t="inlineStr">
        <is>
          <t>CVE</t>
        </is>
      </c>
      <c r="B127" s="188" t="inlineStr">
        <is>
          <t>CVE-2026-27486</t>
        </is>
      </c>
      <c r="C127" s="188"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27" s="188" t="n">
        <v>5.3</v>
      </c>
      <c r="E127" s="188" t="inlineStr">
        <is>
          <t>MEDIUM</t>
        </is>
      </c>
      <c r="F127" s="188" t="n">
        <v>2</v>
      </c>
      <c r="G127" s="188" t="n">
        <v>2</v>
      </c>
      <c r="H127" s="188" t="inlineStr">
        <is>
          <t>MEDIUM</t>
        </is>
      </c>
      <c r="I127" s="188" t="n">
        <v>9.300000000000001</v>
      </c>
      <c r="J127" s="188" t="inlineStr">
        <is>
          <t>NO</t>
        </is>
      </c>
      <c r="K127" s="188" t="inlineStr">
        <is>
          <t>https://nvd.nist.gov/vuln/detail/CVE-2026-27486</t>
        </is>
      </c>
      <c r="L127" s="188" t="inlineStr">
        <is>
          <t>2026-02-27 20:47</t>
        </is>
      </c>
      <c r="M127" s="188" t="inlineStr">
        <is>
          <t>YES</t>
        </is>
      </c>
      <c r="N127" s="188" t="inlineStr">
        <is>
          <t>https://github.com/openclaw/openclaw/commit/6084d13b956119e3cf95daaf9a1cae1670ea3557 | https://github.com/openclaw/openclaw/commit/eb60e2e1b213740c3c587a7ba4dbf10da620ca66 | https://github.com/openclaw/openclaw/security/advisories/GHSA-jfv4-h8mc-jcp8</t>
        </is>
      </c>
      <c r="O127" s="188" t="inlineStr">
        <is>
          <t>Apply vendor patches</t>
        </is>
      </c>
      <c r="P127" s="188" t="inlineStr">
        <is>
          <t>openclaw openclaw *</t>
        </is>
      </c>
      <c r="Q127" s="188" t="inlineStr">
        <is>
          <t>P4</t>
        </is>
      </c>
      <c r="R127" s="188" t="inlineStr">
        <is>
          <t>📅 Schedule patch deployment within 30 days | 🔍 Monitor for exploitation attempts</t>
        </is>
      </c>
      <c r="S127" s="188" t="inlineStr">
        <is>
          <t>CVE - IP enrichment n/a</t>
        </is>
      </c>
      <c r="T127" s="188" t="n">
        <v>0.0003</v>
      </c>
      <c r="U127" s="188" t="n">
        <v>0.0935</v>
      </c>
      <c r="V127" s="188" t="inlineStr">
        <is>
          <t>T1190:Exploit Public-Facing Application</t>
        </is>
      </c>
      <c r="W127" s="188" t="n">
        <v>1</v>
      </c>
      <c r="X127" s="188" t="inlineStr">
        <is>
          <t>LOW (40%)</t>
        </is>
      </c>
      <c r="Y127" s="188" t="inlineStr">
        <is>
          <t>UNLIKELY</t>
        </is>
      </c>
      <c r="Z127" s="188" t="inlineStr">
        <is>
          <t>PATCH_AVAILABLE</t>
        </is>
      </c>
      <c r="AA127" s="188" t="inlineStr">
        <is>
          <t>https://nvd.nist.gov/vuln/detail/CVE-2026-27486</t>
        </is>
      </c>
      <c r="AB127" s="188" t="inlineStr">
        <is>
          <t>NONE</t>
        </is>
      </c>
      <c r="AC127" s="188" t="n">
        <v>0</v>
      </c>
      <c r="AD127" s="188" t="inlineStr"/>
    </row>
    <row r="128">
      <c r="A128" s="187" t="inlineStr">
        <is>
          <t>CVE</t>
        </is>
      </c>
      <c r="B128" s="187" t="inlineStr">
        <is>
          <t>CVE-2026-27487</t>
        </is>
      </c>
      <c r="C128" s="187"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28" s="187" t="n">
        <v>7.6</v>
      </c>
      <c r="E128" s="187" t="inlineStr">
        <is>
          <t>HIGH</t>
        </is>
      </c>
      <c r="F128" s="187" t="n">
        <v>2</v>
      </c>
      <c r="G128" s="187" t="n">
        <v>3</v>
      </c>
      <c r="H128" s="187" t="inlineStr">
        <is>
          <t>HIGH</t>
        </is>
      </c>
      <c r="I128" s="187" t="n">
        <v>13.6</v>
      </c>
      <c r="J128" s="187" t="inlineStr">
        <is>
          <t>NO</t>
        </is>
      </c>
      <c r="K128" s="187" t="inlineStr">
        <is>
          <t>https://nvd.nist.gov/vuln/detail/CVE-2026-27487</t>
        </is>
      </c>
      <c r="L128" s="187" t="inlineStr">
        <is>
          <t>2026-02-27 20:47</t>
        </is>
      </c>
      <c r="M128" s="187" t="inlineStr">
        <is>
          <t>YES</t>
        </is>
      </c>
      <c r="N128" s="187" t="inlineStr">
        <is>
          <t>https://github.com/openclaw/openclaw/commit/66d7178f2d6f9d60abad35797f97f3e61389b70c | https://github.com/openclaw/openclaw/commit/9dce3d8bf83f13c067bc3c32291643d2f1f10a06 | https://github.com/openclaw/openclaw/commit/b908388245764fb3586859f44d1dff5372b19caf</t>
        </is>
      </c>
      <c r="O128" s="187" t="inlineStr">
        <is>
          <t>Apply vendor patches</t>
        </is>
      </c>
      <c r="P128" s="187" t="inlineStr">
        <is>
          <t>openclaw openclaw * | apple macos -</t>
        </is>
      </c>
      <c r="Q128" s="187" t="inlineStr">
        <is>
          <t>P3</t>
        </is>
      </c>
      <c r="R128" s="187" t="inlineStr">
        <is>
          <t>🚨 URGENT: Apply vendor patches immediately | 🔒 Isolate affected systems if patch unavailable | 🛡️ Enable additional monitoring/IDS rules</t>
        </is>
      </c>
      <c r="S128" s="187" t="inlineStr">
        <is>
          <t>CVE - IP enrichment n/a</t>
        </is>
      </c>
      <c r="T128" s="187" t="n">
        <v>0.0005999999999999999</v>
      </c>
      <c r="U128" s="187" t="n">
        <v>0.1925</v>
      </c>
      <c r="V128" s="187" t="inlineStr">
        <is>
          <t>T1059:Command and Scripting Interpreter | T1552:Unsecured Credentials</t>
        </is>
      </c>
      <c r="W128" s="187" t="n">
        <v>1</v>
      </c>
      <c r="X128" s="187" t="inlineStr">
        <is>
          <t>LOW (40%)</t>
        </is>
      </c>
      <c r="Y128" s="187" t="inlineStr">
        <is>
          <t>UNLIKELY</t>
        </is>
      </c>
      <c r="Z128" s="187" t="inlineStr">
        <is>
          <t>PATCH_AVAILABLE</t>
        </is>
      </c>
      <c r="AA128" s="187" t="inlineStr">
        <is>
          <t>https://nvd.nist.gov/vuln/detail/CVE-2026-27487</t>
        </is>
      </c>
      <c r="AB128" s="187" t="inlineStr">
        <is>
          <t>NONE</t>
        </is>
      </c>
      <c r="AC128" s="187" t="n">
        <v>0</v>
      </c>
      <c r="AD128" s="187" t="inlineStr"/>
    </row>
    <row r="129">
      <c r="A129" s="187" t="inlineStr">
        <is>
          <t>CVE</t>
        </is>
      </c>
      <c r="B129" s="187" t="inlineStr">
        <is>
          <t>CVE-2026-27488</t>
        </is>
      </c>
      <c r="C129" s="187"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29" s="187" t="n">
        <v>7.3</v>
      </c>
      <c r="E129" s="187" t="inlineStr">
        <is>
          <t>HIGH</t>
        </is>
      </c>
      <c r="F129" s="187" t="n">
        <v>2</v>
      </c>
      <c r="G129" s="187" t="n">
        <v>3</v>
      </c>
      <c r="H129" s="187" t="inlineStr">
        <is>
          <t>HIGH</t>
        </is>
      </c>
      <c r="I129" s="187" t="n">
        <v>13.3</v>
      </c>
      <c r="J129" s="187" t="inlineStr">
        <is>
          <t>NO</t>
        </is>
      </c>
      <c r="K129" s="187" t="inlineStr">
        <is>
          <t>https://nvd.nist.gov/vuln/detail/CVE-2026-27488</t>
        </is>
      </c>
      <c r="L129" s="187" t="inlineStr">
        <is>
          <t>2026-02-27 20:47</t>
        </is>
      </c>
      <c r="M129" s="187" t="inlineStr">
        <is>
          <t>YES</t>
        </is>
      </c>
      <c r="N129" s="187" t="inlineStr">
        <is>
          <t>https://github.com/openclaw/openclaw/commit/99db4d13e5c139883ef0def9ff963e9273179655 | https://github.com/openclaw/openclaw/security/advisories/GHSA-w45g-5746-x9fp</t>
        </is>
      </c>
      <c r="O129" s="187" t="inlineStr">
        <is>
          <t>Apply vendor patches</t>
        </is>
      </c>
      <c r="P129" s="187" t="inlineStr">
        <is>
          <t>openclaw openclaw *</t>
        </is>
      </c>
      <c r="Q129" s="187" t="inlineStr">
        <is>
          <t>P3</t>
        </is>
      </c>
      <c r="R129" s="187" t="inlineStr">
        <is>
          <t>🚨 URGENT: Apply vendor patches immediately | 🔒 Isolate affected systems if patch unavailable | 🛡️ Enable additional monitoring/IDS rules</t>
        </is>
      </c>
      <c r="S129" s="187" t="inlineStr">
        <is>
          <t>CVE - IP enrichment n/a</t>
        </is>
      </c>
      <c r="T129" s="187" t="n">
        <v>0.0002</v>
      </c>
      <c r="U129" s="187" t="n">
        <v>0.0341</v>
      </c>
      <c r="V129" s="187" t="inlineStr">
        <is>
          <t>T1090:Proxy</t>
        </is>
      </c>
      <c r="W129" s="187" t="n">
        <v>1</v>
      </c>
      <c r="X129" s="187" t="inlineStr">
        <is>
          <t>LOW (40%)</t>
        </is>
      </c>
      <c r="Y129" s="187" t="inlineStr">
        <is>
          <t>UNLIKELY</t>
        </is>
      </c>
      <c r="Z129" s="187" t="inlineStr">
        <is>
          <t>PATCH_AVAILABLE</t>
        </is>
      </c>
      <c r="AA129" s="187" t="inlineStr">
        <is>
          <t>https://nvd.nist.gov/vuln/detail/CVE-2026-27488</t>
        </is>
      </c>
      <c r="AB129" s="187" t="inlineStr">
        <is>
          <t>NONE</t>
        </is>
      </c>
      <c r="AC129" s="187" t="n">
        <v>0</v>
      </c>
      <c r="AD129" s="187" t="inlineStr"/>
    </row>
    <row r="130">
      <c r="A130" s="188" t="inlineStr">
        <is>
          <t>CVE</t>
        </is>
      </c>
      <c r="B130" s="188" t="inlineStr">
        <is>
          <t>CVE-2026-27576</t>
        </is>
      </c>
      <c r="C130" s="188"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30" s="188" t="n">
        <v>4</v>
      </c>
      <c r="E130" s="188" t="inlineStr">
        <is>
          <t>MEDIUM</t>
        </is>
      </c>
      <c r="F130" s="188" t="n">
        <v>2</v>
      </c>
      <c r="G130" s="188" t="n">
        <v>2</v>
      </c>
      <c r="H130" s="188" t="inlineStr">
        <is>
          <t>MEDIUM</t>
        </is>
      </c>
      <c r="I130" s="188" t="n">
        <v>8</v>
      </c>
      <c r="J130" s="188" t="inlineStr">
        <is>
          <t>NO</t>
        </is>
      </c>
      <c r="K130" s="188" t="inlineStr">
        <is>
          <t>https://nvd.nist.gov/vuln/detail/CVE-2026-27576</t>
        </is>
      </c>
      <c r="L130" s="188" t="inlineStr">
        <is>
          <t>2026-02-27 20:47</t>
        </is>
      </c>
      <c r="M130" s="188" t="inlineStr">
        <is>
          <t>YES</t>
        </is>
      </c>
      <c r="N130" s="188" t="inlineStr">
        <is>
          <t>https://github.com/openclaw/openclaw/commit/63e39d7f57ac4ad4a5e38d17e7394ae7c4dd0b9c | https://github.com/openclaw/openclaw/commit/8ae2d5110f6ceadef73822aa3db194fb60d2ba68 | https://github.com/openclaw/openclaw/commit/ebcf19746f5c500a41817e03abecadea8655654a</t>
        </is>
      </c>
      <c r="O130" s="188" t="inlineStr">
        <is>
          <t>Apply vendor patches</t>
        </is>
      </c>
      <c r="P130" s="188" t="inlineStr">
        <is>
          <t>openclaw openclaw *</t>
        </is>
      </c>
      <c r="Q130" s="188" t="inlineStr">
        <is>
          <t>P4</t>
        </is>
      </c>
      <c r="R130" s="188" t="inlineStr">
        <is>
          <t>📅 Schedule patch deployment within 30 days | 🔍 Monitor for exploitation attempts</t>
        </is>
      </c>
      <c r="S130" s="188" t="inlineStr">
        <is>
          <t>CVE - IP enrichment n/a</t>
        </is>
      </c>
      <c r="T130" s="188" t="n">
        <v>0.0001</v>
      </c>
      <c r="U130" s="188" t="n">
        <v>0.0023</v>
      </c>
      <c r="V130" s="188" t="inlineStr">
        <is>
          <t>T1190:Exploit Public-Facing Application</t>
        </is>
      </c>
      <c r="W130" s="188" t="n">
        <v>1</v>
      </c>
      <c r="X130" s="188" t="inlineStr">
        <is>
          <t>LOW (40%)</t>
        </is>
      </c>
      <c r="Y130" s="188" t="inlineStr">
        <is>
          <t>UNLIKELY</t>
        </is>
      </c>
      <c r="Z130" s="188" t="inlineStr">
        <is>
          <t>PATCH_AVAILABLE</t>
        </is>
      </c>
      <c r="AA130" s="188" t="inlineStr">
        <is>
          <t>https://nvd.nist.gov/vuln/detail/CVE-2026-27576</t>
        </is>
      </c>
      <c r="AB130" s="188" t="inlineStr">
        <is>
          <t>NONE</t>
        </is>
      </c>
      <c r="AC130" s="188" t="n">
        <v>0</v>
      </c>
      <c r="AD130" s="188" t="inlineStr"/>
    </row>
    <row r="131">
      <c r="A131" s="188" t="inlineStr">
        <is>
          <t>CVE</t>
        </is>
      </c>
      <c r="B131" s="188" t="inlineStr">
        <is>
          <t>CVE-2026-1787</t>
        </is>
      </c>
      <c r="C131" s="188"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31" s="188" t="n">
        <v>4.8</v>
      </c>
      <c r="E131" s="188" t="inlineStr">
        <is>
          <t>MEDIUM</t>
        </is>
      </c>
      <c r="F131" s="188" t="n">
        <v>2</v>
      </c>
      <c r="G131" s="188" t="n">
        <v>2</v>
      </c>
      <c r="H131" s="188" t="inlineStr">
        <is>
          <t>MEDIUM</t>
        </is>
      </c>
      <c r="I131" s="188" t="n">
        <v>8.800000000000001</v>
      </c>
      <c r="J131" s="188" t="inlineStr">
        <is>
          <t>NO</t>
        </is>
      </c>
      <c r="K131" s="188" t="inlineStr">
        <is>
          <t>https://nvd.nist.gov/vuln/detail/CVE-2026-1787</t>
        </is>
      </c>
      <c r="L131" s="188" t="inlineStr">
        <is>
          <t>2026-02-27 20:47</t>
        </is>
      </c>
      <c r="M131" s="188" t="inlineStr">
        <is>
          <t>CHECK_VENDOR</t>
        </is>
      </c>
      <c r="N131" s="188" t="inlineStr">
        <is>
          <t>See NVD references</t>
        </is>
      </c>
      <c r="O131" s="188" t="inlineStr">
        <is>
          <t>Apply vendor patches</t>
        </is>
      </c>
      <c r="P131" s="188" t="inlineStr">
        <is>
          <t>See CVE details</t>
        </is>
      </c>
      <c r="Q131" s="188" t="inlineStr">
        <is>
          <t>P4</t>
        </is>
      </c>
      <c r="R131" s="188" t="inlineStr">
        <is>
          <t>📅 Schedule patch deployment within 30 days | 🔍 Monitor for exploitation attempts</t>
        </is>
      </c>
      <c r="S131" s="188" t="inlineStr">
        <is>
          <t>CVE - IP enrichment n/a</t>
        </is>
      </c>
      <c r="T131" s="188" t="n">
        <v>0.0005</v>
      </c>
      <c r="U131" s="188" t="n">
        <v>0.1671</v>
      </c>
      <c r="V131" s="188" t="inlineStr">
        <is>
          <t>T1190:Exploit Public-Facing Application</t>
        </is>
      </c>
      <c r="W131" s="188" t="n">
        <v>1</v>
      </c>
      <c r="X131" s="188" t="inlineStr">
        <is>
          <t>LOW (40%)</t>
        </is>
      </c>
      <c r="Y131" s="188" t="inlineStr">
        <is>
          <t>UNLIKELY</t>
        </is>
      </c>
      <c r="Z131" s="188" t="inlineStr">
        <is>
          <t>CHECK_VENDOR</t>
        </is>
      </c>
      <c r="AA131" s="188" t="inlineStr">
        <is>
          <t>https://nvd.nist.gov/vuln/detail/CVE-2026-1787</t>
        </is>
      </c>
      <c r="AB131" s="188" t="inlineStr">
        <is>
          <t>NONE</t>
        </is>
      </c>
      <c r="AC131" s="188" t="n">
        <v>0</v>
      </c>
      <c r="AD131" s="188" t="inlineStr"/>
    </row>
    <row r="132">
      <c r="A132" s="188" t="inlineStr">
        <is>
          <t>CVE</t>
        </is>
      </c>
      <c r="B132" s="188" t="inlineStr">
        <is>
          <t>CVE-2026-27492</t>
        </is>
      </c>
      <c r="C132" s="188"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32" s="188" t="n">
        <v>4.7</v>
      </c>
      <c r="E132" s="188" t="inlineStr">
        <is>
          <t>MEDIUM</t>
        </is>
      </c>
      <c r="F132" s="188" t="n">
        <v>2</v>
      </c>
      <c r="G132" s="188" t="n">
        <v>2</v>
      </c>
      <c r="H132" s="188" t="inlineStr">
        <is>
          <t>MEDIUM</t>
        </is>
      </c>
      <c r="I132" s="188" t="n">
        <v>8.699999999999999</v>
      </c>
      <c r="J132" s="188" t="inlineStr">
        <is>
          <t>NO</t>
        </is>
      </c>
      <c r="K132" s="188" t="inlineStr">
        <is>
          <t>https://nvd.nist.gov/vuln/detail/CVE-2026-27492</t>
        </is>
      </c>
      <c r="L132" s="188" t="inlineStr">
        <is>
          <t>2026-02-27 20:47</t>
        </is>
      </c>
      <c r="M132" s="188" t="inlineStr">
        <is>
          <t>YES</t>
        </is>
      </c>
      <c r="N132" s="188" t="inlineStr">
        <is>
          <t>https://github.com/lettermint/lettermint-node/commit/24a17acbc2429c5eb30391f9df3dc0ea7aaf4de1 | https://github.com/lettermint/lettermint-node/security/advisories/GHSA-49pc-8936-wvfp</t>
        </is>
      </c>
      <c r="O132" s="188" t="inlineStr">
        <is>
          <t>https://github.com/lettermint/lettermint-node/security/advisories/GHSA-49pc-8936-wvfp</t>
        </is>
      </c>
      <c r="P132" s="188" t="inlineStr">
        <is>
          <t>lettermint lettermint *</t>
        </is>
      </c>
      <c r="Q132" s="188" t="inlineStr">
        <is>
          <t>P4</t>
        </is>
      </c>
      <c r="R132" s="188" t="inlineStr">
        <is>
          <t>📅 Schedule patch deployment within 30 days | 🔍 Monitor for exploitation attempts</t>
        </is>
      </c>
      <c r="S132" s="188" t="inlineStr">
        <is>
          <t>CVE - IP enrichment n/a</t>
        </is>
      </c>
      <c r="T132" s="188" t="n">
        <v>0.0001</v>
      </c>
      <c r="U132" s="188" t="n">
        <v>0.019</v>
      </c>
      <c r="V132" s="188" t="inlineStr">
        <is>
          <t>T1190:Exploit Public-Facing Application</t>
        </is>
      </c>
      <c r="W132" s="188" t="n">
        <v>1</v>
      </c>
      <c r="X132" s="188" t="inlineStr">
        <is>
          <t>LOW (40%)</t>
        </is>
      </c>
      <c r="Y132" s="188" t="inlineStr">
        <is>
          <t>UNLIKELY</t>
        </is>
      </c>
      <c r="Z132" s="188" t="inlineStr">
        <is>
          <t>PATCH_AVAILABLE</t>
        </is>
      </c>
      <c r="AA132" s="188" t="inlineStr">
        <is>
          <t>https://nvd.nist.gov/vuln/detail/CVE-2026-27492</t>
        </is>
      </c>
      <c r="AB132" s="188" t="inlineStr">
        <is>
          <t>NONE</t>
        </is>
      </c>
      <c r="AC132" s="188" t="n">
        <v>0</v>
      </c>
      <c r="AD132" s="188" t="inlineStr"/>
    </row>
    <row r="133">
      <c r="A133" s="189" t="inlineStr">
        <is>
          <t>CVE</t>
        </is>
      </c>
      <c r="B133" s="189" t="inlineStr">
        <is>
          <t>CVE-2026-27574</t>
        </is>
      </c>
      <c r="C133" s="18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33" s="189" t="n">
        <v>9.9</v>
      </c>
      <c r="E133" s="189" t="inlineStr">
        <is>
          <t>CRITICAL</t>
        </is>
      </c>
      <c r="F133" s="189" t="n">
        <v>2</v>
      </c>
      <c r="G133" s="189" t="n">
        <v>3</v>
      </c>
      <c r="H133" s="189" t="inlineStr">
        <is>
          <t>HIGH</t>
        </is>
      </c>
      <c r="I133" s="189" t="n">
        <v>15.9</v>
      </c>
      <c r="J133" s="189" t="inlineStr">
        <is>
          <t>NO</t>
        </is>
      </c>
      <c r="K133" s="189" t="inlineStr">
        <is>
          <t>https://nvd.nist.gov/vuln/detail/CVE-2026-27574</t>
        </is>
      </c>
      <c r="L133" s="189" t="inlineStr">
        <is>
          <t>2026-02-27 20:47</t>
        </is>
      </c>
      <c r="M133" s="189" t="inlineStr">
        <is>
          <t>YES</t>
        </is>
      </c>
      <c r="N133" s="189" t="inlineStr">
        <is>
          <t>https://github.com/OneUptime/oneuptime/commit/7f9ed4d43945574702a26b7c206e38cc344fe427 | https://github.com/OneUptime/oneuptime/security/advisories/GHSA-v264-xqh4-9xmm</t>
        </is>
      </c>
      <c r="O133" s="189" t="inlineStr">
        <is>
          <t>Apply vendor patches</t>
        </is>
      </c>
      <c r="P133" s="189" t="inlineStr">
        <is>
          <t>hackerbay oneuptime *</t>
        </is>
      </c>
      <c r="Q133" s="189" t="inlineStr">
        <is>
          <t>P3</t>
        </is>
      </c>
      <c r="R133" s="189" t="inlineStr">
        <is>
          <t>🚨 URGENT: Apply vendor patches immediately | 🔒 Isolate affected systems if patch unavailable | 🛡️ Enable additional monitoring/IDS rules</t>
        </is>
      </c>
      <c r="S133" s="189" t="inlineStr">
        <is>
          <t>CVE - IP enrichment n/a</t>
        </is>
      </c>
      <c r="T133" s="189" t="n">
        <v>0.0005999999999999999</v>
      </c>
      <c r="U133" s="189" t="n">
        <v>0.1708</v>
      </c>
      <c r="V133" s="189" t="inlineStr">
        <is>
          <t>T1059:Command and Scripting Interpreter | T1552:Unsecured Credentials</t>
        </is>
      </c>
      <c r="W133" s="189" t="n">
        <v>1</v>
      </c>
      <c r="X133" s="189" t="inlineStr">
        <is>
          <t>LOW (40%)</t>
        </is>
      </c>
      <c r="Y133" s="189" t="inlineStr">
        <is>
          <t>UNLIKELY</t>
        </is>
      </c>
      <c r="Z133" s="189" t="inlineStr">
        <is>
          <t>PATCH_AVAILABLE</t>
        </is>
      </c>
      <c r="AA133" s="189" t="inlineStr">
        <is>
          <t>https://nvd.nist.gov/vuln/detail/CVE-2026-27574</t>
        </is>
      </c>
      <c r="AB133" s="189" t="inlineStr">
        <is>
          <t>NONE</t>
        </is>
      </c>
      <c r="AC133" s="189" t="n">
        <v>0</v>
      </c>
      <c r="AD133" s="189" t="inlineStr"/>
    </row>
    <row r="134">
      <c r="A134" s="187" t="inlineStr">
        <is>
          <t>CVE</t>
        </is>
      </c>
      <c r="B134" s="187" t="inlineStr">
        <is>
          <t>CVE-2026-27579</t>
        </is>
      </c>
      <c r="C134" s="187"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34" s="187" t="n">
        <v>7.4</v>
      </c>
      <c r="E134" s="187" t="inlineStr">
        <is>
          <t>HIGH</t>
        </is>
      </c>
      <c r="F134" s="187" t="n">
        <v>2</v>
      </c>
      <c r="G134" s="187" t="n">
        <v>3</v>
      </c>
      <c r="H134" s="187" t="inlineStr">
        <is>
          <t>HIGH</t>
        </is>
      </c>
      <c r="I134" s="187" t="n">
        <v>13.4</v>
      </c>
      <c r="J134" s="187" t="inlineStr">
        <is>
          <t>NO</t>
        </is>
      </c>
      <c r="K134" s="187" t="inlineStr">
        <is>
          <t>https://nvd.nist.gov/vuln/detail/CVE-2026-27579</t>
        </is>
      </c>
      <c r="L134" s="187" t="inlineStr">
        <is>
          <t>2026-02-27 20:47</t>
        </is>
      </c>
      <c r="M134" s="187" t="inlineStr">
        <is>
          <t>CHECK_VENDOR</t>
        </is>
      </c>
      <c r="N134" s="187" t="inlineStr">
        <is>
          <t>See NVD references</t>
        </is>
      </c>
      <c r="O134" s="187" t="inlineStr">
        <is>
          <t>Apply vendor patches</t>
        </is>
      </c>
      <c r="P134" s="187" t="inlineStr">
        <is>
          <t>See CVE details</t>
        </is>
      </c>
      <c r="Q134" s="187" t="inlineStr">
        <is>
          <t>P3</t>
        </is>
      </c>
      <c r="R134" s="187" t="inlineStr">
        <is>
          <t>🚨 URGENT: Apply vendor patches immediately | 🔒 Isolate affected systems if patch unavailable | 🛡️ Enable additional monitoring/IDS rules</t>
        </is>
      </c>
      <c r="S134" s="187" t="inlineStr">
        <is>
          <t>CVE - IP enrichment n/a</t>
        </is>
      </c>
      <c r="T134" s="187" t="n">
        <v>0.0002</v>
      </c>
      <c r="U134" s="187" t="n">
        <v>0.0371</v>
      </c>
      <c r="V134" s="187" t="inlineStr">
        <is>
          <t>T1552:Unsecured Credentials</t>
        </is>
      </c>
      <c r="W134" s="187" t="n">
        <v>1</v>
      </c>
      <c r="X134" s="187" t="inlineStr">
        <is>
          <t>LOW (40%)</t>
        </is>
      </c>
      <c r="Y134" s="187" t="inlineStr">
        <is>
          <t>UNLIKELY</t>
        </is>
      </c>
      <c r="Z134" s="187" t="inlineStr">
        <is>
          <t>CHECK_VENDOR</t>
        </is>
      </c>
      <c r="AA134" s="187" t="inlineStr">
        <is>
          <t>https://nvd.nist.gov/vuln/detail/CVE-2026-27579</t>
        </is>
      </c>
      <c r="AB134" s="187" t="inlineStr">
        <is>
          <t>NONE</t>
        </is>
      </c>
      <c r="AC134" s="187" t="n">
        <v>0</v>
      </c>
      <c r="AD134" s="187" t="inlineStr"/>
    </row>
    <row r="135">
      <c r="A135" s="187" t="inlineStr">
        <is>
          <t>CVE</t>
        </is>
      </c>
      <c r="B135" s="187" t="inlineStr">
        <is>
          <t>CVE-2026-2867</t>
        </is>
      </c>
      <c r="C135" s="187"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35" s="187" t="n">
        <v>7.3</v>
      </c>
      <c r="E135" s="187" t="inlineStr">
        <is>
          <t>HIGH</t>
        </is>
      </c>
      <c r="F135" s="187" t="n">
        <v>2</v>
      </c>
      <c r="G135" s="187" t="n">
        <v>3</v>
      </c>
      <c r="H135" s="187" t="inlineStr">
        <is>
          <t>HIGH</t>
        </is>
      </c>
      <c r="I135" s="187" t="n">
        <v>13.3</v>
      </c>
      <c r="J135" s="187" t="inlineStr">
        <is>
          <t>NO</t>
        </is>
      </c>
      <c r="K135" s="187" t="inlineStr">
        <is>
          <t>https://nvd.nist.gov/vuln/detail/CVE-2026-2867</t>
        </is>
      </c>
      <c r="L135" s="187" t="inlineStr">
        <is>
          <t>2026-02-27 20:47</t>
        </is>
      </c>
      <c r="M135" s="187" t="inlineStr">
        <is>
          <t>CHECK_VENDOR</t>
        </is>
      </c>
      <c r="N135" s="187" t="inlineStr">
        <is>
          <t>See NVD references</t>
        </is>
      </c>
      <c r="O135" s="187" t="inlineStr">
        <is>
          <t>Apply vendor patches</t>
        </is>
      </c>
      <c r="P135" s="187" t="inlineStr">
        <is>
          <t>admerc vehicle_management_system 1.0</t>
        </is>
      </c>
      <c r="Q135" s="187" t="inlineStr">
        <is>
          <t>P3</t>
        </is>
      </c>
      <c r="R135" s="187" t="inlineStr">
        <is>
          <t>🚨 URGENT: Apply vendor patches immediately | 🔒 Isolate affected systems if patch unavailable | 🛡️ Enable additional monitoring/IDS rules</t>
        </is>
      </c>
      <c r="S135" s="187" t="inlineStr">
        <is>
          <t>CVE - IP enrichment n/a</t>
        </is>
      </c>
      <c r="T135" s="187" t="n">
        <v>0.0003</v>
      </c>
      <c r="U135" s="187" t="n">
        <v>0.08450000000000001</v>
      </c>
      <c r="V135" s="187" t="inlineStr">
        <is>
          <t>T1190:Exploit Public-Facing Application</t>
        </is>
      </c>
      <c r="W135" s="187" t="n">
        <v>1</v>
      </c>
      <c r="X135" s="187" t="inlineStr">
        <is>
          <t>LOW (40%)</t>
        </is>
      </c>
      <c r="Y135" s="187" t="inlineStr">
        <is>
          <t>UNLIKELY</t>
        </is>
      </c>
      <c r="Z135" s="187" t="inlineStr">
        <is>
          <t>CHECK_VENDOR</t>
        </is>
      </c>
      <c r="AA135" s="187" t="inlineStr">
        <is>
          <t>https://nvd.nist.gov/vuln/detail/CVE-2026-2867</t>
        </is>
      </c>
      <c r="AB135" s="187" t="inlineStr">
        <is>
          <t>NONE</t>
        </is>
      </c>
      <c r="AC135" s="187" t="n">
        <v>0</v>
      </c>
      <c r="AD135" s="187" t="inlineStr"/>
    </row>
    <row r="136">
      <c r="A136" s="190" t="inlineStr">
        <is>
          <t>CVE</t>
        </is>
      </c>
      <c r="B136" s="190" t="inlineStr">
        <is>
          <t>CVE-2026-2869</t>
        </is>
      </c>
      <c r="C136" s="190"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36" s="190" t="n">
        <v>3.3</v>
      </c>
      <c r="E136" s="190" t="inlineStr">
        <is>
          <t>LOW</t>
        </is>
      </c>
      <c r="F136" s="190" t="n">
        <v>2</v>
      </c>
      <c r="G136" s="190" t="n">
        <v>1</v>
      </c>
      <c r="H136" s="190" t="inlineStr">
        <is>
          <t>LOW</t>
        </is>
      </c>
      <c r="I136" s="190" t="n">
        <v>5.3</v>
      </c>
      <c r="J136" s="190" t="inlineStr">
        <is>
          <t>NO</t>
        </is>
      </c>
      <c r="K136" s="190" t="inlineStr">
        <is>
          <t>https://nvd.nist.gov/vuln/detail/CVE-2026-2869</t>
        </is>
      </c>
      <c r="L136" s="190" t="inlineStr">
        <is>
          <t>2026-02-27 20:47</t>
        </is>
      </c>
      <c r="M136" s="190" t="inlineStr">
        <is>
          <t>YES</t>
        </is>
      </c>
      <c r="N136" s="190" t="inlineStr">
        <is>
          <t>https://github.com/janet-lang/janet/commit/2fabc80151a2b8834ee59cda8a70453f848b40e5</t>
        </is>
      </c>
      <c r="O136" s="190" t="inlineStr">
        <is>
          <t>Apply vendor patches</t>
        </is>
      </c>
      <c r="P136" s="190" t="inlineStr">
        <is>
          <t>janet-lang janet *</t>
        </is>
      </c>
      <c r="Q136" s="190" t="inlineStr">
        <is>
          <t>P4</t>
        </is>
      </c>
      <c r="R136" s="190" t="inlineStr">
        <is>
          <t>📅 Schedule patch deployment within 30 days | 🔍 Monitor for exploitation attempts</t>
        </is>
      </c>
      <c r="S136" s="190" t="inlineStr">
        <is>
          <t>CVE - IP enrichment n/a</t>
        </is>
      </c>
      <c r="T136" s="190" t="n">
        <v>0.0002</v>
      </c>
      <c r="U136" s="190" t="n">
        <v>0.0493</v>
      </c>
      <c r="V136" s="190" t="inlineStr">
        <is>
          <t>T1203:Exploitation for Client Execution</t>
        </is>
      </c>
      <c r="W136" s="190" t="n">
        <v>1</v>
      </c>
      <c r="X136" s="190" t="inlineStr">
        <is>
          <t>LOW (40%)</t>
        </is>
      </c>
      <c r="Y136" s="190" t="inlineStr">
        <is>
          <t>UNLIKELY</t>
        </is>
      </c>
      <c r="Z136" s="190" t="inlineStr">
        <is>
          <t>PATCH_AVAILABLE</t>
        </is>
      </c>
      <c r="AA136" s="190" t="inlineStr">
        <is>
          <t>https://nvd.nist.gov/vuln/detail/CVE-2026-2869</t>
        </is>
      </c>
      <c r="AB136" s="190" t="inlineStr">
        <is>
          <t>NONE</t>
        </is>
      </c>
      <c r="AC136" s="190" t="n">
        <v>0</v>
      </c>
      <c r="AD136" s="190" t="inlineStr"/>
    </row>
    <row r="137">
      <c r="A137" s="187" t="inlineStr">
        <is>
          <t>CVE</t>
        </is>
      </c>
      <c r="B137" s="187" t="inlineStr">
        <is>
          <t>CVE-2026-2870</t>
        </is>
      </c>
      <c r="C137" s="187"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37" s="187" t="n">
        <v>8.800000000000001</v>
      </c>
      <c r="E137" s="187" t="inlineStr">
        <is>
          <t>HIGH</t>
        </is>
      </c>
      <c r="F137" s="187" t="n">
        <v>2</v>
      </c>
      <c r="G137" s="187" t="n">
        <v>3</v>
      </c>
      <c r="H137" s="187" t="inlineStr">
        <is>
          <t>HIGH</t>
        </is>
      </c>
      <c r="I137" s="187" t="n">
        <v>14.8</v>
      </c>
      <c r="J137" s="187" t="inlineStr">
        <is>
          <t>NO</t>
        </is>
      </c>
      <c r="K137" s="187" t="inlineStr">
        <is>
          <t>https://nvd.nist.gov/vuln/detail/CVE-2026-2870</t>
        </is>
      </c>
      <c r="L137" s="187" t="inlineStr">
        <is>
          <t>2026-02-27 20:47</t>
        </is>
      </c>
      <c r="M137" s="187" t="inlineStr">
        <is>
          <t>YES</t>
        </is>
      </c>
      <c r="N137" s="187" t="inlineStr">
        <is>
          <t>https://github.com/QIU-DIE/cve-nneeww/issues/1</t>
        </is>
      </c>
      <c r="O137" s="187" t="inlineStr">
        <is>
          <t>https://github.com/QIU-DIE/cve-nneeww/issues/1</t>
        </is>
      </c>
      <c r="P137" s="187" t="inlineStr">
        <is>
          <t>tenda a21_firmware 1.0.0.0 | tenda a21 -</t>
        </is>
      </c>
      <c r="Q137" s="187" t="inlineStr">
        <is>
          <t>P3</t>
        </is>
      </c>
      <c r="R137" s="187" t="inlineStr">
        <is>
          <t>🚨 URGENT: Apply vendor patches immediately | 🔒 Isolate affected systems if patch unavailable | 🛡️ Enable additional monitoring/IDS rules</t>
        </is>
      </c>
      <c r="S137" s="187" t="inlineStr">
        <is>
          <t>CVE - IP enrichment n/a</t>
        </is>
      </c>
      <c r="T137" s="187" t="n">
        <v>0.0008</v>
      </c>
      <c r="U137" s="187" t="n">
        <v>0.2439</v>
      </c>
      <c r="V137" s="187" t="inlineStr">
        <is>
          <t>T1203:Exploitation for Client Execution</t>
        </is>
      </c>
      <c r="W137" s="187" t="n">
        <v>1</v>
      </c>
      <c r="X137" s="187" t="inlineStr">
        <is>
          <t>LOW (40%)</t>
        </is>
      </c>
      <c r="Y137" s="187" t="inlineStr">
        <is>
          <t>UNLIKELY</t>
        </is>
      </c>
      <c r="Z137" s="187" t="inlineStr">
        <is>
          <t>PATCH_AVAILABLE</t>
        </is>
      </c>
      <c r="AA137" s="187" t="inlineStr">
        <is>
          <t>https://nvd.nist.gov/vuln/detail/CVE-2026-2870</t>
        </is>
      </c>
      <c r="AB137" s="187" t="inlineStr">
        <is>
          <t>NONE</t>
        </is>
      </c>
      <c r="AC137" s="187" t="n">
        <v>0</v>
      </c>
      <c r="AD137" s="187" t="inlineStr"/>
    </row>
    <row r="138">
      <c r="A138" s="187" t="inlineStr">
        <is>
          <t>CVE</t>
        </is>
      </c>
      <c r="B138" s="187" t="inlineStr">
        <is>
          <t>CVE-2026-2871</t>
        </is>
      </c>
      <c r="C138" s="187"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38" s="187" t="n">
        <v>8.800000000000001</v>
      </c>
      <c r="E138" s="187" t="inlineStr">
        <is>
          <t>HIGH</t>
        </is>
      </c>
      <c r="F138" s="187" t="n">
        <v>2</v>
      </c>
      <c r="G138" s="187" t="n">
        <v>3</v>
      </c>
      <c r="H138" s="187" t="inlineStr">
        <is>
          <t>HIGH</t>
        </is>
      </c>
      <c r="I138" s="187" t="n">
        <v>14.8</v>
      </c>
      <c r="J138" s="187" t="inlineStr">
        <is>
          <t>NO</t>
        </is>
      </c>
      <c r="K138" s="187" t="inlineStr">
        <is>
          <t>https://nvd.nist.gov/vuln/detail/CVE-2026-2871</t>
        </is>
      </c>
      <c r="L138" s="187" t="inlineStr">
        <is>
          <t>2026-02-27 20:47</t>
        </is>
      </c>
      <c r="M138" s="187" t="inlineStr">
        <is>
          <t>YES</t>
        </is>
      </c>
      <c r="N138" s="187" t="inlineStr">
        <is>
          <t>https://github.com/QIU-DIE/cve-nneeww/issues/2</t>
        </is>
      </c>
      <c r="O138" s="187" t="inlineStr">
        <is>
          <t>https://github.com/QIU-DIE/cve-nneeww/issues/2</t>
        </is>
      </c>
      <c r="P138" s="187" t="inlineStr">
        <is>
          <t>tenda a21_firmware 1.0.0.0 | tenda a21 -</t>
        </is>
      </c>
      <c r="Q138" s="187" t="inlineStr">
        <is>
          <t>P3</t>
        </is>
      </c>
      <c r="R138" s="187" t="inlineStr">
        <is>
          <t>🚨 URGENT: Apply vendor patches immediately | 🔒 Isolate affected systems if patch unavailable | 🛡️ Enable additional monitoring/IDS rules</t>
        </is>
      </c>
      <c r="S138" s="187" t="inlineStr">
        <is>
          <t>CVE - IP enrichment n/a</t>
        </is>
      </c>
      <c r="T138" s="187" t="n">
        <v>0.0003</v>
      </c>
      <c r="U138" s="187" t="n">
        <v>0.089</v>
      </c>
      <c r="V138" s="187" t="inlineStr">
        <is>
          <t>T1203:Exploitation for Client Execution</t>
        </is>
      </c>
      <c r="W138" s="187" t="n">
        <v>1</v>
      </c>
      <c r="X138" s="187" t="inlineStr">
        <is>
          <t>LOW (40%)</t>
        </is>
      </c>
      <c r="Y138" s="187" t="inlineStr">
        <is>
          <t>UNLIKELY</t>
        </is>
      </c>
      <c r="Z138" s="187" t="inlineStr">
        <is>
          <t>PATCH_AVAILABLE</t>
        </is>
      </c>
      <c r="AA138" s="187" t="inlineStr">
        <is>
          <t>https://nvd.nist.gov/vuln/detail/CVE-2026-2871</t>
        </is>
      </c>
      <c r="AB138" s="187" t="inlineStr">
        <is>
          <t>NONE</t>
        </is>
      </c>
      <c r="AC138" s="187" t="n">
        <v>0</v>
      </c>
      <c r="AD138" s="187" t="inlineStr"/>
    </row>
    <row r="139">
      <c r="A139" s="187" t="inlineStr">
        <is>
          <t>CVE</t>
        </is>
      </c>
      <c r="B139" s="187" t="inlineStr">
        <is>
          <t>CVE-2026-2872</t>
        </is>
      </c>
      <c r="C139" s="187"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39" s="187" t="n">
        <v>8.800000000000001</v>
      </c>
      <c r="E139" s="187" t="inlineStr">
        <is>
          <t>HIGH</t>
        </is>
      </c>
      <c r="F139" s="187" t="n">
        <v>2</v>
      </c>
      <c r="G139" s="187" t="n">
        <v>3</v>
      </c>
      <c r="H139" s="187" t="inlineStr">
        <is>
          <t>HIGH</t>
        </is>
      </c>
      <c r="I139" s="187" t="n">
        <v>14.8</v>
      </c>
      <c r="J139" s="187" t="inlineStr">
        <is>
          <t>NO</t>
        </is>
      </c>
      <c r="K139" s="187" t="inlineStr">
        <is>
          <t>https://nvd.nist.gov/vuln/detail/CVE-2026-2872</t>
        </is>
      </c>
      <c r="L139" s="187" t="inlineStr">
        <is>
          <t>2026-02-27 20:47</t>
        </is>
      </c>
      <c r="M139" s="187" t="inlineStr">
        <is>
          <t>YES</t>
        </is>
      </c>
      <c r="N139" s="187" t="inlineStr">
        <is>
          <t>https://github.com/QIU-DIE/cve-nneeww/issues/3</t>
        </is>
      </c>
      <c r="O139" s="187" t="inlineStr">
        <is>
          <t>https://github.com/QIU-DIE/cve-nneeww/issues/3</t>
        </is>
      </c>
      <c r="P139" s="187" t="inlineStr">
        <is>
          <t>tenda a21_firmware 1.0.0.0 | tenda a21 -</t>
        </is>
      </c>
      <c r="Q139" s="187" t="inlineStr">
        <is>
          <t>P3</t>
        </is>
      </c>
      <c r="R139" s="187" t="inlineStr">
        <is>
          <t>🚨 URGENT: Apply vendor patches immediately | 🔒 Isolate affected systems if patch unavailable | 🛡️ Enable additional monitoring/IDS rules</t>
        </is>
      </c>
      <c r="S139" s="187" t="inlineStr">
        <is>
          <t>CVE - IP enrichment n/a</t>
        </is>
      </c>
      <c r="T139" s="187" t="n">
        <v>0.0008</v>
      </c>
      <c r="U139" s="187" t="n">
        <v>0.2439</v>
      </c>
      <c r="V139" s="187" t="inlineStr">
        <is>
          <t>T1203:Exploitation for Client Execution</t>
        </is>
      </c>
      <c r="W139" s="187" t="n">
        <v>1</v>
      </c>
      <c r="X139" s="187" t="inlineStr">
        <is>
          <t>LOW (40%)</t>
        </is>
      </c>
      <c r="Y139" s="187" t="inlineStr">
        <is>
          <t>UNLIKELY</t>
        </is>
      </c>
      <c r="Z139" s="187" t="inlineStr">
        <is>
          <t>PATCH_AVAILABLE</t>
        </is>
      </c>
      <c r="AA139" s="187" t="inlineStr">
        <is>
          <t>https://nvd.nist.gov/vuln/detail/CVE-2026-2872</t>
        </is>
      </c>
      <c r="AB139" s="187" t="inlineStr">
        <is>
          <t>NONE</t>
        </is>
      </c>
      <c r="AC139" s="187" t="n">
        <v>0</v>
      </c>
      <c r="AD139" s="187" t="inlineStr"/>
    </row>
    <row r="140">
      <c r="A140" s="187" t="inlineStr">
        <is>
          <t>CVE</t>
        </is>
      </c>
      <c r="B140" s="187" t="inlineStr">
        <is>
          <t>CVE-2026-2873</t>
        </is>
      </c>
      <c r="C140" s="187"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40" s="187" t="n">
        <v>8.800000000000001</v>
      </c>
      <c r="E140" s="187" t="inlineStr">
        <is>
          <t>HIGH</t>
        </is>
      </c>
      <c r="F140" s="187" t="n">
        <v>2</v>
      </c>
      <c r="G140" s="187" t="n">
        <v>3</v>
      </c>
      <c r="H140" s="187" t="inlineStr">
        <is>
          <t>HIGH</t>
        </is>
      </c>
      <c r="I140" s="187" t="n">
        <v>14.8</v>
      </c>
      <c r="J140" s="187" t="inlineStr">
        <is>
          <t>NO</t>
        </is>
      </c>
      <c r="K140" s="187" t="inlineStr">
        <is>
          <t>https://nvd.nist.gov/vuln/detail/CVE-2026-2873</t>
        </is>
      </c>
      <c r="L140" s="187" t="inlineStr">
        <is>
          <t>2026-02-27 20:47</t>
        </is>
      </c>
      <c r="M140" s="187" t="inlineStr">
        <is>
          <t>YES</t>
        </is>
      </c>
      <c r="N140" s="187" t="inlineStr">
        <is>
          <t>https://github.com/QIU-DIE/cve-nneeww/issues/4</t>
        </is>
      </c>
      <c r="O140" s="187" t="inlineStr">
        <is>
          <t>https://github.com/QIU-DIE/cve-nneeww/issues/4</t>
        </is>
      </c>
      <c r="P140" s="187" t="inlineStr">
        <is>
          <t>tenda a21_firmware 1.0.0.0 | tenda a21 -</t>
        </is>
      </c>
      <c r="Q140" s="187" t="inlineStr">
        <is>
          <t>P3</t>
        </is>
      </c>
      <c r="R140" s="187" t="inlineStr">
        <is>
          <t>🚨 URGENT: Apply vendor patches immediately | 🔒 Isolate affected systems if patch unavailable | 🛡️ Enable additional monitoring/IDS rules</t>
        </is>
      </c>
      <c r="S140" s="187" t="inlineStr">
        <is>
          <t>CVE - IP enrichment n/a</t>
        </is>
      </c>
      <c r="T140" s="187" t="n">
        <v>0.0008</v>
      </c>
      <c r="U140" s="187" t="n">
        <v>0.2439</v>
      </c>
      <c r="V140" s="187" t="inlineStr">
        <is>
          <t>T1203:Exploitation for Client Execution</t>
        </is>
      </c>
      <c r="W140" s="187" t="n">
        <v>1</v>
      </c>
      <c r="X140" s="187" t="inlineStr">
        <is>
          <t>LOW (40%)</t>
        </is>
      </c>
      <c r="Y140" s="187" t="inlineStr">
        <is>
          <t>UNLIKELY</t>
        </is>
      </c>
      <c r="Z140" s="187" t="inlineStr">
        <is>
          <t>PATCH_AVAILABLE</t>
        </is>
      </c>
      <c r="AA140" s="187" t="inlineStr">
        <is>
          <t>https://nvd.nist.gov/vuln/detail/CVE-2026-2873</t>
        </is>
      </c>
      <c r="AB140" s="187" t="inlineStr">
        <is>
          <t>NONE</t>
        </is>
      </c>
      <c r="AC140" s="187" t="n">
        <v>0</v>
      </c>
      <c r="AD140" s="187" t="inlineStr"/>
    </row>
    <row r="141">
      <c r="A141" s="187" t="inlineStr">
        <is>
          <t>CVE</t>
        </is>
      </c>
      <c r="B141" s="187" t="inlineStr">
        <is>
          <t>CVE-2026-2874</t>
        </is>
      </c>
      <c r="C141" s="187"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41" s="187" t="n">
        <v>8.800000000000001</v>
      </c>
      <c r="E141" s="187" t="inlineStr">
        <is>
          <t>HIGH</t>
        </is>
      </c>
      <c r="F141" s="187" t="n">
        <v>2</v>
      </c>
      <c r="G141" s="187" t="n">
        <v>3</v>
      </c>
      <c r="H141" s="187" t="inlineStr">
        <is>
          <t>HIGH</t>
        </is>
      </c>
      <c r="I141" s="187" t="n">
        <v>14.8</v>
      </c>
      <c r="J141" s="187" t="inlineStr">
        <is>
          <t>NO</t>
        </is>
      </c>
      <c r="K141" s="187" t="inlineStr">
        <is>
          <t>https://nvd.nist.gov/vuln/detail/CVE-2026-2874</t>
        </is>
      </c>
      <c r="L141" s="187" t="inlineStr">
        <is>
          <t>2026-02-27 20:47</t>
        </is>
      </c>
      <c r="M141" s="187" t="inlineStr">
        <is>
          <t>YES</t>
        </is>
      </c>
      <c r="N141" s="187" t="inlineStr">
        <is>
          <t>https://github.com/QIU-DIE/cve-nneeww/issues/5</t>
        </is>
      </c>
      <c r="O141" s="187" t="inlineStr">
        <is>
          <t>https://github.com/QIU-DIE/cve-nneeww/issues/5</t>
        </is>
      </c>
      <c r="P141" s="187" t="inlineStr">
        <is>
          <t>tenda a21_firmware 1.0.0.0 | tenda a21 -</t>
        </is>
      </c>
      <c r="Q141" s="187" t="inlineStr">
        <is>
          <t>P3</t>
        </is>
      </c>
      <c r="R141" s="187" t="inlineStr">
        <is>
          <t>🚨 URGENT: Apply vendor patches immediately | 🔒 Isolate affected systems if patch unavailable | 🛡️ Enable additional monitoring/IDS rules</t>
        </is>
      </c>
      <c r="S141" s="187" t="inlineStr">
        <is>
          <t>CVE - IP enrichment n/a</t>
        </is>
      </c>
      <c r="T141" s="187" t="n">
        <v>0.0008</v>
      </c>
      <c r="U141" s="187" t="n">
        <v>0.2439</v>
      </c>
      <c r="V141" s="187" t="inlineStr">
        <is>
          <t>T1203:Exploitation for Client Execution</t>
        </is>
      </c>
      <c r="W141" s="187" t="n">
        <v>1</v>
      </c>
      <c r="X141" s="187" t="inlineStr">
        <is>
          <t>LOW (40%)</t>
        </is>
      </c>
      <c r="Y141" s="187" t="inlineStr">
        <is>
          <t>UNLIKELY</t>
        </is>
      </c>
      <c r="Z141" s="187" t="inlineStr">
        <is>
          <t>PATCH_AVAILABLE</t>
        </is>
      </c>
      <c r="AA141" s="187" t="inlineStr">
        <is>
          <t>https://nvd.nist.gov/vuln/detail/CVE-2026-2874</t>
        </is>
      </c>
      <c r="AB141" s="187" t="inlineStr">
        <is>
          <t>NONE</t>
        </is>
      </c>
      <c r="AC141" s="187" t="n">
        <v>0</v>
      </c>
      <c r="AD141" s="187" t="inlineStr"/>
    </row>
    <row r="142">
      <c r="A142" s="187" t="inlineStr">
        <is>
          <t>CVE</t>
        </is>
      </c>
      <c r="B142" s="187" t="inlineStr">
        <is>
          <t>CVE-2026-2876</t>
        </is>
      </c>
      <c r="C142" s="187"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42" s="187" t="n">
        <v>8.800000000000001</v>
      </c>
      <c r="E142" s="187" t="inlineStr">
        <is>
          <t>HIGH</t>
        </is>
      </c>
      <c r="F142" s="187" t="n">
        <v>2</v>
      </c>
      <c r="G142" s="187" t="n">
        <v>3</v>
      </c>
      <c r="H142" s="187" t="inlineStr">
        <is>
          <t>HIGH</t>
        </is>
      </c>
      <c r="I142" s="187" t="n">
        <v>14.8</v>
      </c>
      <c r="J142" s="187" t="inlineStr">
        <is>
          <t>NO</t>
        </is>
      </c>
      <c r="K142" s="187" t="inlineStr">
        <is>
          <t>https://nvd.nist.gov/vuln/detail/CVE-2026-2876</t>
        </is>
      </c>
      <c r="L142" s="187" t="inlineStr">
        <is>
          <t>2026-02-27 20:47</t>
        </is>
      </c>
      <c r="M142" s="187" t="inlineStr">
        <is>
          <t>CHECK_VENDOR</t>
        </is>
      </c>
      <c r="N142" s="187" t="inlineStr">
        <is>
          <t>See NVD references</t>
        </is>
      </c>
      <c r="O142" s="187" t="inlineStr">
        <is>
          <t>Apply vendor patches</t>
        </is>
      </c>
      <c r="P142" s="187" t="inlineStr">
        <is>
          <t>tenda a18_firmware 15.13.07.13 | tenda a18 -</t>
        </is>
      </c>
      <c r="Q142" s="187" t="inlineStr">
        <is>
          <t>P3</t>
        </is>
      </c>
      <c r="R142" s="187" t="inlineStr">
        <is>
          <t>🚨 URGENT: Apply vendor patches immediately | 🔒 Isolate affected systems if patch unavailable | 🛡️ Enable additional monitoring/IDS rules</t>
        </is>
      </c>
      <c r="S142" s="187" t="inlineStr">
        <is>
          <t>CVE - IP enrichment n/a</t>
        </is>
      </c>
      <c r="T142" s="187" t="n">
        <v>0.0008</v>
      </c>
      <c r="U142" s="187" t="n">
        <v>0.2262</v>
      </c>
      <c r="V142" s="187" t="inlineStr">
        <is>
          <t>T1203:Exploitation for Client Execution</t>
        </is>
      </c>
      <c r="W142" s="187" t="n">
        <v>1</v>
      </c>
      <c r="X142" s="187" t="inlineStr">
        <is>
          <t>LOW (40%)</t>
        </is>
      </c>
      <c r="Y142" s="187" t="inlineStr">
        <is>
          <t>UNLIKELY</t>
        </is>
      </c>
      <c r="Z142" s="187" t="inlineStr">
        <is>
          <t>CHECK_VENDOR</t>
        </is>
      </c>
      <c r="AA142" s="187" t="inlineStr">
        <is>
          <t>https://nvd.nist.gov/vuln/detail/CVE-2026-2876</t>
        </is>
      </c>
      <c r="AB142" s="187" t="inlineStr">
        <is>
          <t>NONE</t>
        </is>
      </c>
      <c r="AC142" s="187" t="n">
        <v>0</v>
      </c>
      <c r="AD142" s="187" t="inlineStr"/>
    </row>
    <row r="143">
      <c r="A143" s="187" t="inlineStr">
        <is>
          <t>CVE</t>
        </is>
      </c>
      <c r="B143" s="187" t="inlineStr">
        <is>
          <t>CVE-2026-2877</t>
        </is>
      </c>
      <c r="C143" s="187"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43" s="187" t="n">
        <v>8.800000000000001</v>
      </c>
      <c r="E143" s="187" t="inlineStr">
        <is>
          <t>HIGH</t>
        </is>
      </c>
      <c r="F143" s="187" t="n">
        <v>2</v>
      </c>
      <c r="G143" s="187" t="n">
        <v>3</v>
      </c>
      <c r="H143" s="187" t="inlineStr">
        <is>
          <t>HIGH</t>
        </is>
      </c>
      <c r="I143" s="187" t="n">
        <v>14.8</v>
      </c>
      <c r="J143" s="187" t="inlineStr">
        <is>
          <t>NO</t>
        </is>
      </c>
      <c r="K143" s="187" t="inlineStr">
        <is>
          <t>https://nvd.nist.gov/vuln/detail/CVE-2026-2877</t>
        </is>
      </c>
      <c r="L143" s="187" t="inlineStr">
        <is>
          <t>2026-02-27 20:47</t>
        </is>
      </c>
      <c r="M143" s="187" t="inlineStr">
        <is>
          <t>CHECK_VENDOR</t>
        </is>
      </c>
      <c r="N143" s="187" t="inlineStr">
        <is>
          <t>See NVD references</t>
        </is>
      </c>
      <c r="O143" s="187" t="inlineStr">
        <is>
          <t>Apply vendor patches</t>
        </is>
      </c>
      <c r="P143" s="187" t="inlineStr">
        <is>
          <t>tenda a18_firmware 15.13.07.13 | tenda a18 -</t>
        </is>
      </c>
      <c r="Q143" s="187" t="inlineStr">
        <is>
          <t>P3</t>
        </is>
      </c>
      <c r="R143" s="187" t="inlineStr">
        <is>
          <t>🚨 URGENT: Apply vendor patches immediately | 🔒 Isolate affected systems if patch unavailable | 🛡️ Enable additional monitoring/IDS rules</t>
        </is>
      </c>
      <c r="S143" s="187" t="inlineStr">
        <is>
          <t>CVE - IP enrichment n/a</t>
        </is>
      </c>
      <c r="T143" s="187" t="n">
        <v>0.0008</v>
      </c>
      <c r="U143" s="187" t="n">
        <v>0.2262</v>
      </c>
      <c r="V143" s="187" t="inlineStr">
        <is>
          <t>T1203:Exploitation for Client Execution</t>
        </is>
      </c>
      <c r="W143" s="187" t="n">
        <v>1</v>
      </c>
      <c r="X143" s="187" t="inlineStr">
        <is>
          <t>LOW (40%)</t>
        </is>
      </c>
      <c r="Y143" s="187" t="inlineStr">
        <is>
          <t>UNLIKELY</t>
        </is>
      </c>
      <c r="Z143" s="187" t="inlineStr">
        <is>
          <t>CHECK_VENDOR</t>
        </is>
      </c>
      <c r="AA143" s="187" t="inlineStr">
        <is>
          <t>https://nvd.nist.gov/vuln/detail/CVE-2026-2877</t>
        </is>
      </c>
      <c r="AB143" s="187" t="inlineStr">
        <is>
          <t>NONE</t>
        </is>
      </c>
      <c r="AC143" s="187" t="n">
        <v>0</v>
      </c>
      <c r="AD143" s="187" t="inlineStr"/>
    </row>
    <row r="144">
      <c r="A144" s="187" t="inlineStr">
        <is>
          <t>CVE</t>
        </is>
      </c>
      <c r="B144" s="187" t="inlineStr">
        <is>
          <t>CVE-2026-2881</t>
        </is>
      </c>
      <c r="C144" s="187"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44" s="187" t="n">
        <v>8.800000000000001</v>
      </c>
      <c r="E144" s="187" t="inlineStr">
        <is>
          <t>HIGH</t>
        </is>
      </c>
      <c r="F144" s="187" t="n">
        <v>2</v>
      </c>
      <c r="G144" s="187" t="n">
        <v>3</v>
      </c>
      <c r="H144" s="187" t="inlineStr">
        <is>
          <t>HIGH</t>
        </is>
      </c>
      <c r="I144" s="187" t="n">
        <v>14.8</v>
      </c>
      <c r="J144" s="187" t="inlineStr">
        <is>
          <t>NO</t>
        </is>
      </c>
      <c r="K144" s="187" t="inlineStr">
        <is>
          <t>https://nvd.nist.gov/vuln/detail/CVE-2026-2881</t>
        </is>
      </c>
      <c r="L144" s="187" t="inlineStr">
        <is>
          <t>2026-02-27 20:47</t>
        </is>
      </c>
      <c r="M144" s="187" t="inlineStr">
        <is>
          <t>CHECK_VENDOR</t>
        </is>
      </c>
      <c r="N144" s="187" t="inlineStr">
        <is>
          <t>See NVD references</t>
        </is>
      </c>
      <c r="O144" s="187" t="inlineStr">
        <is>
          <t>Apply vendor patches</t>
        </is>
      </c>
      <c r="P144" s="187" t="inlineStr">
        <is>
          <t>dlink dwr-m960_firmware 1.01.07 | dlink dwr-m960 b1</t>
        </is>
      </c>
      <c r="Q144" s="187" t="inlineStr">
        <is>
          <t>P3</t>
        </is>
      </c>
      <c r="R144" s="187" t="inlineStr">
        <is>
          <t>🚨 URGENT: Apply vendor patches immediately | 🔒 Isolate affected systems if patch unavailable | 🛡️ Enable additional monitoring/IDS rules</t>
        </is>
      </c>
      <c r="S144" s="187" t="inlineStr">
        <is>
          <t>CVE - IP enrichment n/a</t>
        </is>
      </c>
      <c r="T144" s="187" t="n">
        <v>0.0003</v>
      </c>
      <c r="U144" s="187" t="n">
        <v>0.09379999999999999</v>
      </c>
      <c r="V144" s="187" t="inlineStr">
        <is>
          <t>T1203:Exploitation for Client Execution | T1562:Impair Defenses</t>
        </is>
      </c>
      <c r="W144" s="187" t="n">
        <v>1</v>
      </c>
      <c r="X144" s="187" t="inlineStr">
        <is>
          <t>LOW (40%)</t>
        </is>
      </c>
      <c r="Y144" s="187" t="inlineStr">
        <is>
          <t>UNLIKELY</t>
        </is>
      </c>
      <c r="Z144" s="187" t="inlineStr">
        <is>
          <t>CHECK_VENDOR</t>
        </is>
      </c>
      <c r="AA144" s="187" t="inlineStr">
        <is>
          <t>https://nvd.nist.gov/vuln/detail/CVE-2026-2881</t>
        </is>
      </c>
      <c r="AB144" s="187" t="inlineStr">
        <is>
          <t>NONE</t>
        </is>
      </c>
      <c r="AC144" s="187" t="n">
        <v>0</v>
      </c>
      <c r="AD144" s="187" t="inlineStr"/>
    </row>
    <row r="145">
      <c r="A145" s="187" t="inlineStr">
        <is>
          <t>CVE</t>
        </is>
      </c>
      <c r="B145" s="187" t="inlineStr">
        <is>
          <t>CVE-2026-2882</t>
        </is>
      </c>
      <c r="C145" s="187"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45" s="187" t="n">
        <v>8.800000000000001</v>
      </c>
      <c r="E145" s="187" t="inlineStr">
        <is>
          <t>HIGH</t>
        </is>
      </c>
      <c r="F145" s="187" t="n">
        <v>2</v>
      </c>
      <c r="G145" s="187" t="n">
        <v>3</v>
      </c>
      <c r="H145" s="187" t="inlineStr">
        <is>
          <t>HIGH</t>
        </is>
      </c>
      <c r="I145" s="187" t="n">
        <v>14.8</v>
      </c>
      <c r="J145" s="187" t="inlineStr">
        <is>
          <t>NO</t>
        </is>
      </c>
      <c r="K145" s="187" t="inlineStr">
        <is>
          <t>https://nvd.nist.gov/vuln/detail/CVE-2026-2882</t>
        </is>
      </c>
      <c r="L145" s="187" t="inlineStr">
        <is>
          <t>2026-02-27 20:47</t>
        </is>
      </c>
      <c r="M145" s="187" t="inlineStr">
        <is>
          <t>CHECK_VENDOR</t>
        </is>
      </c>
      <c r="N145" s="187" t="inlineStr">
        <is>
          <t>See NVD references</t>
        </is>
      </c>
      <c r="O145" s="187" t="inlineStr">
        <is>
          <t>Apply vendor patches</t>
        </is>
      </c>
      <c r="P145" s="187" t="inlineStr">
        <is>
          <t>dlink dwr-m960_firmware 1.01.07 | dlink dwr-m960 b1</t>
        </is>
      </c>
      <c r="Q145" s="187" t="inlineStr">
        <is>
          <t>P3</t>
        </is>
      </c>
      <c r="R145" s="187" t="inlineStr">
        <is>
          <t>🚨 URGENT: Apply vendor patches immediately | 🔒 Isolate affected systems if patch unavailable | 🛡️ Enable additional monitoring/IDS rules</t>
        </is>
      </c>
      <c r="S145" s="187" t="inlineStr">
        <is>
          <t>CVE - IP enrichment n/a</t>
        </is>
      </c>
      <c r="T145" s="187" t="n">
        <v>0.0003</v>
      </c>
      <c r="U145" s="187" t="n">
        <v>0.09379999999999999</v>
      </c>
      <c r="V145" s="187" t="inlineStr">
        <is>
          <t>T1203:Exploitation for Client Execution</t>
        </is>
      </c>
      <c r="W145" s="187" t="n">
        <v>1</v>
      </c>
      <c r="X145" s="187" t="inlineStr">
        <is>
          <t>LOW (40%)</t>
        </is>
      </c>
      <c r="Y145" s="187" t="inlineStr">
        <is>
          <t>UNLIKELY</t>
        </is>
      </c>
      <c r="Z145" s="187" t="inlineStr">
        <is>
          <t>CHECK_VENDOR</t>
        </is>
      </c>
      <c r="AA145" s="187" t="inlineStr">
        <is>
          <t>https://nvd.nist.gov/vuln/detail/CVE-2026-2882</t>
        </is>
      </c>
      <c r="AB145" s="187" t="inlineStr">
        <is>
          <t>NONE</t>
        </is>
      </c>
      <c r="AC145" s="187" t="n">
        <v>0</v>
      </c>
      <c r="AD145" s="187" t="inlineStr"/>
    </row>
    <row r="146">
      <c r="A146" s="187" t="inlineStr">
        <is>
          <t>CVE</t>
        </is>
      </c>
      <c r="B146" s="187" t="inlineStr">
        <is>
          <t>CVE-2026-2883</t>
        </is>
      </c>
      <c r="C146" s="187"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46" s="187" t="n">
        <v>8.800000000000001</v>
      </c>
      <c r="E146" s="187" t="inlineStr">
        <is>
          <t>HIGH</t>
        </is>
      </c>
      <c r="F146" s="187" t="n">
        <v>2</v>
      </c>
      <c r="G146" s="187" t="n">
        <v>3</v>
      </c>
      <c r="H146" s="187" t="inlineStr">
        <is>
          <t>HIGH</t>
        </is>
      </c>
      <c r="I146" s="187" t="n">
        <v>14.8</v>
      </c>
      <c r="J146" s="187" t="inlineStr">
        <is>
          <t>NO</t>
        </is>
      </c>
      <c r="K146" s="187" t="inlineStr">
        <is>
          <t>https://nvd.nist.gov/vuln/detail/CVE-2026-2883</t>
        </is>
      </c>
      <c r="L146" s="187" t="inlineStr">
        <is>
          <t>2026-02-27 20:47</t>
        </is>
      </c>
      <c r="M146" s="187" t="inlineStr">
        <is>
          <t>CHECK_VENDOR</t>
        </is>
      </c>
      <c r="N146" s="187" t="inlineStr">
        <is>
          <t>See NVD references</t>
        </is>
      </c>
      <c r="O146" s="187" t="inlineStr">
        <is>
          <t>Apply vendor patches</t>
        </is>
      </c>
      <c r="P146" s="187" t="inlineStr">
        <is>
          <t>dlink dwr-m960_firmware 1.01.07 | dlink dwr-m960 b1</t>
        </is>
      </c>
      <c r="Q146" s="187" t="inlineStr">
        <is>
          <t>P3</t>
        </is>
      </c>
      <c r="R146" s="187" t="inlineStr">
        <is>
          <t>🚨 URGENT: Apply vendor patches immediately | 🔒 Isolate affected systems if patch unavailable | 🛡️ Enable additional monitoring/IDS rules</t>
        </is>
      </c>
      <c r="S146" s="187" t="inlineStr">
        <is>
          <t>CVE - IP enrichment n/a</t>
        </is>
      </c>
      <c r="T146" s="187" t="n">
        <v>0.0001</v>
      </c>
      <c r="U146" s="187" t="n">
        <v>0.0201</v>
      </c>
      <c r="V146" s="187" t="inlineStr">
        <is>
          <t>T1203:Exploitation for Client Execution</t>
        </is>
      </c>
      <c r="W146" s="187" t="n">
        <v>1</v>
      </c>
      <c r="X146" s="187" t="inlineStr">
        <is>
          <t>LOW (40%)</t>
        </is>
      </c>
      <c r="Y146" s="187" t="inlineStr">
        <is>
          <t>UNLIKELY</t>
        </is>
      </c>
      <c r="Z146" s="187" t="inlineStr">
        <is>
          <t>CHECK_VENDOR</t>
        </is>
      </c>
      <c r="AA146" s="187" t="inlineStr">
        <is>
          <t>https://nvd.nist.gov/vuln/detail/CVE-2026-2883</t>
        </is>
      </c>
      <c r="AB146" s="187" t="inlineStr">
        <is>
          <t>NONE</t>
        </is>
      </c>
      <c r="AC146" s="187" t="n">
        <v>0</v>
      </c>
      <c r="AD146" s="187" t="inlineStr"/>
    </row>
    <row r="147">
      <c r="A147" s="187" t="inlineStr">
        <is>
          <t>CVE</t>
        </is>
      </c>
      <c r="B147" s="187" t="inlineStr">
        <is>
          <t>CVE-2026-2884</t>
        </is>
      </c>
      <c r="C147" s="187"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47" s="187" t="n">
        <v>8.800000000000001</v>
      </c>
      <c r="E147" s="187" t="inlineStr">
        <is>
          <t>HIGH</t>
        </is>
      </c>
      <c r="F147" s="187" t="n">
        <v>2</v>
      </c>
      <c r="G147" s="187" t="n">
        <v>3</v>
      </c>
      <c r="H147" s="187" t="inlineStr">
        <is>
          <t>HIGH</t>
        </is>
      </c>
      <c r="I147" s="187" t="n">
        <v>14.8</v>
      </c>
      <c r="J147" s="187" t="inlineStr">
        <is>
          <t>NO</t>
        </is>
      </c>
      <c r="K147" s="187" t="inlineStr">
        <is>
          <t>https://nvd.nist.gov/vuln/detail/CVE-2026-2884</t>
        </is>
      </c>
      <c r="L147" s="187" t="inlineStr">
        <is>
          <t>2026-02-27 20:47</t>
        </is>
      </c>
      <c r="M147" s="187" t="inlineStr">
        <is>
          <t>CHECK_VENDOR</t>
        </is>
      </c>
      <c r="N147" s="187" t="inlineStr">
        <is>
          <t>See NVD references</t>
        </is>
      </c>
      <c r="O147" s="187" t="inlineStr">
        <is>
          <t>Apply vendor patches</t>
        </is>
      </c>
      <c r="P147" s="187" t="inlineStr">
        <is>
          <t>dlink dwr-m960_firmware 1.01.07 | dlink dwr-m960 b1</t>
        </is>
      </c>
      <c r="Q147" s="187" t="inlineStr">
        <is>
          <t>P3</t>
        </is>
      </c>
      <c r="R147" s="187" t="inlineStr">
        <is>
          <t>🚨 URGENT: Apply vendor patches immediately | 🔒 Isolate affected systems if patch unavailable | 🛡️ Enable additional monitoring/IDS rules</t>
        </is>
      </c>
      <c r="S147" s="187" t="inlineStr">
        <is>
          <t>CVE - IP enrichment n/a</t>
        </is>
      </c>
      <c r="T147" s="187" t="n">
        <v>0.0003</v>
      </c>
      <c r="U147" s="187" t="n">
        <v>0.09379999999999999</v>
      </c>
      <c r="V147" s="187" t="inlineStr">
        <is>
          <t>T1203:Exploitation for Client Execution</t>
        </is>
      </c>
      <c r="W147" s="187" t="n">
        <v>1</v>
      </c>
      <c r="X147" s="187" t="inlineStr">
        <is>
          <t>LOW (40%)</t>
        </is>
      </c>
      <c r="Y147" s="187" t="inlineStr">
        <is>
          <t>UNLIKELY</t>
        </is>
      </c>
      <c r="Z147" s="187" t="inlineStr">
        <is>
          <t>CHECK_VENDOR</t>
        </is>
      </c>
      <c r="AA147" s="187" t="inlineStr">
        <is>
          <t>https://nvd.nist.gov/vuln/detail/CVE-2026-2884</t>
        </is>
      </c>
      <c r="AB147" s="187" t="inlineStr">
        <is>
          <t>NONE</t>
        </is>
      </c>
      <c r="AC147" s="187" t="n">
        <v>0</v>
      </c>
      <c r="AD147" s="187" t="inlineStr"/>
    </row>
    <row r="148">
      <c r="A148" s="187" t="inlineStr">
        <is>
          <t>CVE</t>
        </is>
      </c>
      <c r="B148" s="187" t="inlineStr">
        <is>
          <t>CVE-2026-2885</t>
        </is>
      </c>
      <c r="C148" s="187"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48" s="187" t="n">
        <v>8.800000000000001</v>
      </c>
      <c r="E148" s="187" t="inlineStr">
        <is>
          <t>HIGH</t>
        </is>
      </c>
      <c r="F148" s="187" t="n">
        <v>2</v>
      </c>
      <c r="G148" s="187" t="n">
        <v>3</v>
      </c>
      <c r="H148" s="187" t="inlineStr">
        <is>
          <t>HIGH</t>
        </is>
      </c>
      <c r="I148" s="187" t="n">
        <v>14.8</v>
      </c>
      <c r="J148" s="187" t="inlineStr">
        <is>
          <t>NO</t>
        </is>
      </c>
      <c r="K148" s="187" t="inlineStr">
        <is>
          <t>https://nvd.nist.gov/vuln/detail/CVE-2026-2885</t>
        </is>
      </c>
      <c r="L148" s="187" t="inlineStr">
        <is>
          <t>2026-02-27 20:47</t>
        </is>
      </c>
      <c r="M148" s="187" t="inlineStr">
        <is>
          <t>CHECK_VENDOR</t>
        </is>
      </c>
      <c r="N148" s="187" t="inlineStr">
        <is>
          <t>See NVD references</t>
        </is>
      </c>
      <c r="O148" s="187" t="inlineStr">
        <is>
          <t>Apply vendor patches</t>
        </is>
      </c>
      <c r="P148" s="187" t="inlineStr">
        <is>
          <t>dlink dwr-m960_firmware 1.01.07 | dlink dwr-m960 b1</t>
        </is>
      </c>
      <c r="Q148" s="187" t="inlineStr">
        <is>
          <t>P3</t>
        </is>
      </c>
      <c r="R148" s="187" t="inlineStr">
        <is>
          <t>🚨 URGENT: Apply vendor patches immediately | 🔒 Isolate affected systems if patch unavailable | 🛡️ Enable additional monitoring/IDS rules</t>
        </is>
      </c>
      <c r="S148" s="187" t="inlineStr">
        <is>
          <t>CVE - IP enrichment n/a</t>
        </is>
      </c>
      <c r="T148" s="187" t="n">
        <v>0.0003</v>
      </c>
      <c r="U148" s="187" t="n">
        <v>0.09379999999999999</v>
      </c>
      <c r="V148" s="187" t="inlineStr">
        <is>
          <t>T1203:Exploitation for Client Execution</t>
        </is>
      </c>
      <c r="W148" s="187" t="n">
        <v>1</v>
      </c>
      <c r="X148" s="187" t="inlineStr">
        <is>
          <t>LOW (40%)</t>
        </is>
      </c>
      <c r="Y148" s="187" t="inlineStr">
        <is>
          <t>UNLIKELY</t>
        </is>
      </c>
      <c r="Z148" s="187" t="inlineStr">
        <is>
          <t>CHECK_VENDOR</t>
        </is>
      </c>
      <c r="AA148" s="187" t="inlineStr">
        <is>
          <t>https://nvd.nist.gov/vuln/detail/CVE-2026-2885</t>
        </is>
      </c>
      <c r="AB148" s="187" t="inlineStr">
        <is>
          <t>NONE</t>
        </is>
      </c>
      <c r="AC148" s="187" t="n">
        <v>0</v>
      </c>
      <c r="AD148" s="187" t="inlineStr"/>
    </row>
    <row r="149">
      <c r="A149" s="187" t="inlineStr">
        <is>
          <t>CVE</t>
        </is>
      </c>
      <c r="B149" s="187" t="inlineStr">
        <is>
          <t>CVE-2026-2886</t>
        </is>
      </c>
      <c r="C149" s="187"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49" s="187" t="n">
        <v>8.800000000000001</v>
      </c>
      <c r="E149" s="187" t="inlineStr">
        <is>
          <t>HIGH</t>
        </is>
      </c>
      <c r="F149" s="187" t="n">
        <v>2</v>
      </c>
      <c r="G149" s="187" t="n">
        <v>3</v>
      </c>
      <c r="H149" s="187" t="inlineStr">
        <is>
          <t>HIGH</t>
        </is>
      </c>
      <c r="I149" s="187" t="n">
        <v>14.8</v>
      </c>
      <c r="J149" s="187" t="inlineStr">
        <is>
          <t>NO</t>
        </is>
      </c>
      <c r="K149" s="187" t="inlineStr">
        <is>
          <t>https://nvd.nist.gov/vuln/detail/CVE-2026-2886</t>
        </is>
      </c>
      <c r="L149" s="187" t="inlineStr">
        <is>
          <t>2026-02-27 20:47</t>
        </is>
      </c>
      <c r="M149" s="187" t="inlineStr">
        <is>
          <t>YES</t>
        </is>
      </c>
      <c r="N149" s="187" t="inlineStr">
        <is>
          <t>https://github.com/QIU-DIE/cve-nneeww/issues/6</t>
        </is>
      </c>
      <c r="O149" s="187" t="inlineStr">
        <is>
          <t>https://github.com/QIU-DIE/cve-nneeww/issues/6</t>
        </is>
      </c>
      <c r="P149" s="187" t="inlineStr">
        <is>
          <t>tenda a21_firmware 1.0.0.0 | tenda a21 -</t>
        </is>
      </c>
      <c r="Q149" s="187" t="inlineStr">
        <is>
          <t>P3</t>
        </is>
      </c>
      <c r="R149" s="187" t="inlineStr">
        <is>
          <t>🚨 URGENT: Apply vendor patches immediately | 🔒 Isolate affected systems if patch unavailable | 🛡️ Enable additional monitoring/IDS rules</t>
        </is>
      </c>
      <c r="S149" s="187" t="inlineStr">
        <is>
          <t>CVE - IP enrichment n/a</t>
        </is>
      </c>
      <c r="T149" s="187" t="n">
        <v>0.0008</v>
      </c>
      <c r="U149" s="187" t="n">
        <v>0.2439</v>
      </c>
      <c r="V149" s="187" t="inlineStr">
        <is>
          <t>T1203:Exploitation for Client Execution</t>
        </is>
      </c>
      <c r="W149" s="187" t="n">
        <v>1</v>
      </c>
      <c r="X149" s="187" t="inlineStr">
        <is>
          <t>LOW (40%)</t>
        </is>
      </c>
      <c r="Y149" s="187" t="inlineStr">
        <is>
          <t>UNLIKELY</t>
        </is>
      </c>
      <c r="Z149" s="187" t="inlineStr">
        <is>
          <t>PATCH_AVAILABLE</t>
        </is>
      </c>
      <c r="AA149" s="187" t="inlineStr">
        <is>
          <t>https://nvd.nist.gov/vuln/detail/CVE-2026-2886</t>
        </is>
      </c>
      <c r="AB149" s="187" t="inlineStr">
        <is>
          <t>NONE</t>
        </is>
      </c>
      <c r="AC149" s="187" t="n">
        <v>0</v>
      </c>
      <c r="AD149" s="187" t="inlineStr"/>
    </row>
    <row r="150">
      <c r="A150" s="190" t="inlineStr">
        <is>
          <t>CVE</t>
        </is>
      </c>
      <c r="B150" s="190" t="inlineStr">
        <is>
          <t>CVE-2026-2887</t>
        </is>
      </c>
      <c r="C150" s="190"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50" s="190" t="n">
        <v>3.3</v>
      </c>
      <c r="E150" s="190" t="inlineStr">
        <is>
          <t>LOW</t>
        </is>
      </c>
      <c r="F150" s="190" t="n">
        <v>2</v>
      </c>
      <c r="G150" s="190" t="n">
        <v>1</v>
      </c>
      <c r="H150" s="190" t="inlineStr">
        <is>
          <t>LOW</t>
        </is>
      </c>
      <c r="I150" s="190" t="n">
        <v>5.3</v>
      </c>
      <c r="J150" s="190" t="inlineStr">
        <is>
          <t>NO</t>
        </is>
      </c>
      <c r="K150" s="190" t="inlineStr">
        <is>
          <t>https://nvd.nist.gov/vuln/detail/CVE-2026-2887</t>
        </is>
      </c>
      <c r="L150" s="190" t="inlineStr">
        <is>
          <t>2026-02-27 20:47</t>
        </is>
      </c>
      <c r="M150" s="190" t="inlineStr">
        <is>
          <t>YES</t>
        </is>
      </c>
      <c r="N150" s="190" t="inlineStr">
        <is>
          <t>https://github.com/aardappel/lobster/commit/8ba49f98ccfc9734ef352146806433a41d9f9aa6 | https://github.com/aardappel/lobster/issues/397 | https://github.com/aardappel/lobster/issues/397#issuecomment-3849015088</t>
        </is>
      </c>
      <c r="O150" s="190" t="inlineStr">
        <is>
          <t>Apply vendor patches</t>
        </is>
      </c>
      <c r="P150" s="190" t="inlineStr">
        <is>
          <t>strlen lobster *</t>
        </is>
      </c>
      <c r="Q150" s="190" t="inlineStr">
        <is>
          <t>P4</t>
        </is>
      </c>
      <c r="R150" s="190" t="inlineStr">
        <is>
          <t>📅 Schedule patch deployment within 30 days | 🔍 Monitor for exploitation attempts</t>
        </is>
      </c>
      <c r="S150" s="190" t="inlineStr">
        <is>
          <t>CVE - IP enrichment n/a</t>
        </is>
      </c>
      <c r="T150" s="190" t="n">
        <v>0.0002</v>
      </c>
      <c r="U150" s="190" t="n">
        <v>0.044</v>
      </c>
      <c r="V150" s="190" t="inlineStr">
        <is>
          <t>T1190:Exploit Public-Facing Application</t>
        </is>
      </c>
      <c r="W150" s="190" t="n">
        <v>1</v>
      </c>
      <c r="X150" s="190" t="inlineStr">
        <is>
          <t>LOW (40%)</t>
        </is>
      </c>
      <c r="Y150" s="190" t="inlineStr">
        <is>
          <t>UNLIKELY</t>
        </is>
      </c>
      <c r="Z150" s="190" t="inlineStr">
        <is>
          <t>PATCH_AVAILABLE</t>
        </is>
      </c>
      <c r="AA150" s="190" t="inlineStr">
        <is>
          <t>https://nvd.nist.gov/vuln/detail/CVE-2026-2887</t>
        </is>
      </c>
      <c r="AB150" s="190" t="inlineStr">
        <is>
          <t>NONE</t>
        </is>
      </c>
      <c r="AC150" s="190" t="n">
        <v>0</v>
      </c>
      <c r="AD150" s="190" t="inlineStr"/>
    </row>
    <row r="151">
      <c r="A151" s="190" t="inlineStr">
        <is>
          <t>CVE</t>
        </is>
      </c>
      <c r="B151" s="190" t="inlineStr">
        <is>
          <t>CVE-2026-2889</t>
        </is>
      </c>
      <c r="C151" s="190"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51" s="190" t="n">
        <v>3.3</v>
      </c>
      <c r="E151" s="190" t="inlineStr">
        <is>
          <t>LOW</t>
        </is>
      </c>
      <c r="F151" s="190" t="n">
        <v>2</v>
      </c>
      <c r="G151" s="190" t="n">
        <v>1</v>
      </c>
      <c r="H151" s="190" t="inlineStr">
        <is>
          <t>LOW</t>
        </is>
      </c>
      <c r="I151" s="190" t="n">
        <v>5.3</v>
      </c>
      <c r="J151" s="190" t="inlineStr">
        <is>
          <t>NO</t>
        </is>
      </c>
      <c r="K151" s="190" t="inlineStr">
        <is>
          <t>https://nvd.nist.gov/vuln/detail/CVE-2026-2889</t>
        </is>
      </c>
      <c r="L151" s="190" t="inlineStr">
        <is>
          <t>2026-02-27 20:47</t>
        </is>
      </c>
      <c r="M151" s="190" t="inlineStr">
        <is>
          <t>CHECK_VENDOR</t>
        </is>
      </c>
      <c r="N151" s="190" t="inlineStr">
        <is>
          <t>See NVD references</t>
        </is>
      </c>
      <c r="O151" s="190" t="inlineStr">
        <is>
          <t>Apply vendor patches</t>
        </is>
      </c>
      <c r="P151" s="190" t="inlineStr">
        <is>
          <t>See CVE details</t>
        </is>
      </c>
      <c r="Q151" s="190" t="inlineStr">
        <is>
          <t>P4</t>
        </is>
      </c>
      <c r="R151" s="190" t="inlineStr">
        <is>
          <t>📅 Schedule patch deployment within 30 days | 🔍 Monitor for exploitation attempts</t>
        </is>
      </c>
      <c r="S151" s="190" t="inlineStr">
        <is>
          <t>CVE - IP enrichment n/a</t>
        </is>
      </c>
      <c r="T151" s="190" t="n">
        <v>0.0001</v>
      </c>
      <c r="U151" s="190" t="n">
        <v>0.0229</v>
      </c>
      <c r="V151" s="190" t="inlineStr">
        <is>
          <t>T1203:Exploitation for Client Execution</t>
        </is>
      </c>
      <c r="W151" s="190" t="n">
        <v>1</v>
      </c>
      <c r="X151" s="190" t="inlineStr">
        <is>
          <t>LOW (40%)</t>
        </is>
      </c>
      <c r="Y151" s="190" t="inlineStr">
        <is>
          <t>UNLIKELY</t>
        </is>
      </c>
      <c r="Z151" s="190" t="inlineStr">
        <is>
          <t>CHECK_VENDOR</t>
        </is>
      </c>
      <c r="AA151" s="190" t="inlineStr">
        <is>
          <t>https://nvd.nist.gov/vuln/detail/CVE-2026-2889</t>
        </is>
      </c>
      <c r="AB151" s="190" t="inlineStr">
        <is>
          <t>NONE</t>
        </is>
      </c>
      <c r="AC151" s="190" t="n">
        <v>0</v>
      </c>
      <c r="AD151" s="190" t="inlineStr"/>
    </row>
    <row r="152">
      <c r="A152" s="188" t="inlineStr">
        <is>
          <t>CVE</t>
        </is>
      </c>
      <c r="B152" s="188" t="inlineStr">
        <is>
          <t>CVE-2026-2894</t>
        </is>
      </c>
      <c r="C152" s="188"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52" s="188" t="n">
        <v>5.3</v>
      </c>
      <c r="E152" s="188" t="inlineStr">
        <is>
          <t>MEDIUM</t>
        </is>
      </c>
      <c r="F152" s="188" t="n">
        <v>2</v>
      </c>
      <c r="G152" s="188" t="n">
        <v>2</v>
      </c>
      <c r="H152" s="188" t="inlineStr">
        <is>
          <t>MEDIUM</t>
        </is>
      </c>
      <c r="I152" s="188" t="n">
        <v>9.300000000000001</v>
      </c>
      <c r="J152" s="188" t="inlineStr">
        <is>
          <t>NO</t>
        </is>
      </c>
      <c r="K152" s="188" t="inlineStr">
        <is>
          <t>https://nvd.nist.gov/vuln/detail/CVE-2026-2894</t>
        </is>
      </c>
      <c r="L152" s="188" t="inlineStr">
        <is>
          <t>2026-02-27 20:47</t>
        </is>
      </c>
      <c r="M152" s="188" t="inlineStr">
        <is>
          <t>CHECK_VENDOR</t>
        </is>
      </c>
      <c r="N152" s="188" t="inlineStr">
        <is>
          <t>See NVD references</t>
        </is>
      </c>
      <c r="O152" s="188" t="inlineStr">
        <is>
          <t>Apply vendor patches</t>
        </is>
      </c>
      <c r="P152" s="188" t="inlineStr">
        <is>
          <t>funadmin funadmin * | funadmin funadmin 7.1.0</t>
        </is>
      </c>
      <c r="Q152" s="188" t="inlineStr">
        <is>
          <t>P4</t>
        </is>
      </c>
      <c r="R152" s="188" t="inlineStr">
        <is>
          <t>📅 Schedule patch deployment within 30 days | 🔍 Monitor for exploitation attempts</t>
        </is>
      </c>
      <c r="S152" s="188" t="inlineStr">
        <is>
          <t>CVE - IP enrichment n/a</t>
        </is>
      </c>
      <c r="T152" s="188" t="n">
        <v>0.0003</v>
      </c>
      <c r="U152" s="188" t="n">
        <v>0.09329999999999999</v>
      </c>
      <c r="V152" s="188" t="inlineStr">
        <is>
          <t>T1213:Data from Information Repositories</t>
        </is>
      </c>
      <c r="W152" s="188" t="n">
        <v>1</v>
      </c>
      <c r="X152" s="188" t="inlineStr">
        <is>
          <t>LOW (40%)</t>
        </is>
      </c>
      <c r="Y152" s="188" t="inlineStr">
        <is>
          <t>UNLIKELY</t>
        </is>
      </c>
      <c r="Z152" s="188" t="inlineStr">
        <is>
          <t>CHECK_VENDOR</t>
        </is>
      </c>
      <c r="AA152" s="188" t="inlineStr">
        <is>
          <t>https://nvd.nist.gov/vuln/detail/CVE-2026-2894</t>
        </is>
      </c>
      <c r="AB152" s="188" t="inlineStr">
        <is>
          <t>NONE</t>
        </is>
      </c>
      <c r="AC152" s="188" t="n">
        <v>0</v>
      </c>
      <c r="AD152" s="188" t="inlineStr"/>
    </row>
    <row r="153">
      <c r="A153" s="190" t="inlineStr">
        <is>
          <t>CVE</t>
        </is>
      </c>
      <c r="B153" s="190" t="inlineStr">
        <is>
          <t>CVE-2026-2895</t>
        </is>
      </c>
      <c r="C153" s="190"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53" s="190" t="n">
        <v>3.7</v>
      </c>
      <c r="E153" s="190" t="inlineStr">
        <is>
          <t>LOW</t>
        </is>
      </c>
      <c r="F153" s="190" t="n">
        <v>2</v>
      </c>
      <c r="G153" s="190" t="n">
        <v>1</v>
      </c>
      <c r="H153" s="190" t="inlineStr">
        <is>
          <t>LOW</t>
        </is>
      </c>
      <c r="I153" s="190" t="n">
        <v>5.7</v>
      </c>
      <c r="J153" s="190" t="inlineStr">
        <is>
          <t>NO</t>
        </is>
      </c>
      <c r="K153" s="190" t="inlineStr">
        <is>
          <t>https://nvd.nist.gov/vuln/detail/CVE-2026-2895</t>
        </is>
      </c>
      <c r="L153" s="190" t="inlineStr">
        <is>
          <t>2026-02-27 20:47</t>
        </is>
      </c>
      <c r="M153" s="190" t="inlineStr">
        <is>
          <t>CHECK_VENDOR</t>
        </is>
      </c>
      <c r="N153" s="190" t="inlineStr">
        <is>
          <t>See NVD references</t>
        </is>
      </c>
      <c r="O153" s="190" t="inlineStr">
        <is>
          <t>Apply vendor patches</t>
        </is>
      </c>
      <c r="P153" s="190" t="inlineStr">
        <is>
          <t>funadmin funadmin * | funadmin funadmin 7.1.0</t>
        </is>
      </c>
      <c r="Q153" s="190" t="inlineStr">
        <is>
          <t>P4</t>
        </is>
      </c>
      <c r="R153" s="190" t="inlineStr">
        <is>
          <t>📅 Schedule patch deployment within 30 days | 🔍 Monitor for exploitation attempts</t>
        </is>
      </c>
      <c r="S153" s="190" t="inlineStr">
        <is>
          <t>CVE - IP enrichment n/a</t>
        </is>
      </c>
      <c r="T153" s="190" t="n">
        <v>0.0008</v>
      </c>
      <c r="U153" s="190" t="n">
        <v>0.2414</v>
      </c>
      <c r="V153" s="190" t="inlineStr">
        <is>
          <t>T1190:Exploit Public-Facing Application</t>
        </is>
      </c>
      <c r="W153" s="190" t="n">
        <v>1</v>
      </c>
      <c r="X153" s="190" t="inlineStr">
        <is>
          <t>LOW (40%)</t>
        </is>
      </c>
      <c r="Y153" s="190" t="inlineStr">
        <is>
          <t>UNLIKELY</t>
        </is>
      </c>
      <c r="Z153" s="190" t="inlineStr">
        <is>
          <t>CHECK_VENDOR</t>
        </is>
      </c>
      <c r="AA153" s="190" t="inlineStr">
        <is>
          <t>https://nvd.nist.gov/vuln/detail/CVE-2026-2895</t>
        </is>
      </c>
      <c r="AB153" s="190" t="inlineStr">
        <is>
          <t>NONE</t>
        </is>
      </c>
      <c r="AC153" s="190" t="n">
        <v>0</v>
      </c>
      <c r="AD153" s="190" t="inlineStr"/>
    </row>
    <row r="154">
      <c r="A154" s="187" t="inlineStr">
        <is>
          <t>CVE</t>
        </is>
      </c>
      <c r="B154" s="187" t="inlineStr">
        <is>
          <t>CVE-2026-2896</t>
        </is>
      </c>
      <c r="C154" s="187"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54" s="187" t="n">
        <v>7.3</v>
      </c>
      <c r="E154" s="187" t="inlineStr">
        <is>
          <t>HIGH</t>
        </is>
      </c>
      <c r="F154" s="187" t="n">
        <v>2</v>
      </c>
      <c r="G154" s="187" t="n">
        <v>3</v>
      </c>
      <c r="H154" s="187" t="inlineStr">
        <is>
          <t>HIGH</t>
        </is>
      </c>
      <c r="I154" s="187" t="n">
        <v>13.3</v>
      </c>
      <c r="J154" s="187" t="inlineStr">
        <is>
          <t>NO</t>
        </is>
      </c>
      <c r="K154" s="187" t="inlineStr">
        <is>
          <t>https://nvd.nist.gov/vuln/detail/CVE-2026-2896</t>
        </is>
      </c>
      <c r="L154" s="187" t="inlineStr">
        <is>
          <t>2026-02-27 20:47</t>
        </is>
      </c>
      <c r="M154" s="187" t="inlineStr">
        <is>
          <t>CHECK_VENDOR</t>
        </is>
      </c>
      <c r="N154" s="187" t="inlineStr">
        <is>
          <t>See NVD references</t>
        </is>
      </c>
      <c r="O154" s="187" t="inlineStr">
        <is>
          <t>Apply vendor patches</t>
        </is>
      </c>
      <c r="P154" s="187" t="inlineStr">
        <is>
          <t>funadmin funadmin * | funadmin funadmin 7.1.0</t>
        </is>
      </c>
      <c r="Q154" s="187" t="inlineStr">
        <is>
          <t>P3</t>
        </is>
      </c>
      <c r="R154" s="187" t="inlineStr">
        <is>
          <t>🚨 URGENT: Apply vendor patches immediately | 🔒 Isolate affected systems if patch unavailable | 🛡️ Enable additional monitoring/IDS rules</t>
        </is>
      </c>
      <c r="S154" s="187" t="inlineStr">
        <is>
          <t>CVE - IP enrichment n/a</t>
        </is>
      </c>
      <c r="T154" s="187" t="n">
        <v>0.0003</v>
      </c>
      <c r="U154" s="187" t="n">
        <v>0.07820000000000001</v>
      </c>
      <c r="V154" s="187" t="inlineStr">
        <is>
          <t>T1190:Exploit Public-Facing Application</t>
        </is>
      </c>
      <c r="W154" s="187" t="n">
        <v>1</v>
      </c>
      <c r="X154" s="187" t="inlineStr">
        <is>
          <t>LOW (40%)</t>
        </is>
      </c>
      <c r="Y154" s="187" t="inlineStr">
        <is>
          <t>UNLIKELY</t>
        </is>
      </c>
      <c r="Z154" s="187" t="inlineStr">
        <is>
          <t>CHECK_VENDOR</t>
        </is>
      </c>
      <c r="AA154" s="187" t="inlineStr">
        <is>
          <t>https://nvd.nist.gov/vuln/detail/CVE-2026-2896</t>
        </is>
      </c>
      <c r="AB154" s="187" t="inlineStr">
        <is>
          <t>NONE</t>
        </is>
      </c>
      <c r="AC154" s="187" t="n">
        <v>0</v>
      </c>
      <c r="AD154" s="187" t="inlineStr"/>
    </row>
    <row r="155">
      <c r="A155" s="190" t="inlineStr">
        <is>
          <t>CVE</t>
        </is>
      </c>
      <c r="B155" s="190" t="inlineStr">
        <is>
          <t>CVE-2026-2897</t>
        </is>
      </c>
      <c r="C155" s="190"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55" s="190" t="n">
        <v>2.4</v>
      </c>
      <c r="E155" s="190" t="inlineStr">
        <is>
          <t>LOW</t>
        </is>
      </c>
      <c r="F155" s="190" t="n">
        <v>2</v>
      </c>
      <c r="G155" s="190" t="n">
        <v>1</v>
      </c>
      <c r="H155" s="190" t="inlineStr">
        <is>
          <t>LOW</t>
        </is>
      </c>
      <c r="I155" s="190" t="n">
        <v>4.4</v>
      </c>
      <c r="J155" s="190" t="inlineStr">
        <is>
          <t>NO</t>
        </is>
      </c>
      <c r="K155" s="190" t="inlineStr">
        <is>
          <t>https://nvd.nist.gov/vuln/detail/CVE-2026-2897</t>
        </is>
      </c>
      <c r="L155" s="190" t="inlineStr">
        <is>
          <t>2026-02-27 20:47</t>
        </is>
      </c>
      <c r="M155" s="190" t="inlineStr">
        <is>
          <t>CHECK_VENDOR</t>
        </is>
      </c>
      <c r="N155" s="190" t="inlineStr">
        <is>
          <t>See NVD references</t>
        </is>
      </c>
      <c r="O155" s="190" t="inlineStr">
        <is>
          <t>Apply vendor patches</t>
        </is>
      </c>
      <c r="P155" s="190" t="inlineStr">
        <is>
          <t>funadmin funadmin * | funadmin funadmin 7.1.0</t>
        </is>
      </c>
      <c r="Q155" s="190" t="inlineStr">
        <is>
          <t>P4</t>
        </is>
      </c>
      <c r="R155" s="190" t="inlineStr">
        <is>
          <t>📅 Schedule patch deployment within 30 days | 🔍 Monitor for exploitation attempts</t>
        </is>
      </c>
      <c r="S155" s="190" t="inlineStr">
        <is>
          <t>CVE - IP enrichment n/a</t>
        </is>
      </c>
      <c r="T155" s="190" t="n">
        <v>0.0003</v>
      </c>
      <c r="U155" s="190" t="n">
        <v>0.0683</v>
      </c>
      <c r="V155" s="190" t="inlineStr">
        <is>
          <t>T1189:Drive-by Compromise</t>
        </is>
      </c>
      <c r="W155" s="190" t="n">
        <v>1</v>
      </c>
      <c r="X155" s="190" t="inlineStr">
        <is>
          <t>LOW (40%)</t>
        </is>
      </c>
      <c r="Y155" s="190" t="inlineStr">
        <is>
          <t>UNLIKELY</t>
        </is>
      </c>
      <c r="Z155" s="190" t="inlineStr">
        <is>
          <t>CHECK_VENDOR</t>
        </is>
      </c>
      <c r="AA155" s="190" t="inlineStr">
        <is>
          <t>https://nvd.nist.gov/vuln/detail/CVE-2026-2897</t>
        </is>
      </c>
      <c r="AB155" s="190" t="inlineStr">
        <is>
          <t>NONE</t>
        </is>
      </c>
      <c r="AC155" s="190" t="n">
        <v>0</v>
      </c>
      <c r="AD155" s="190" t="inlineStr"/>
    </row>
    <row r="156">
      <c r="A156" s="188" t="inlineStr">
        <is>
          <t>CVE</t>
        </is>
      </c>
      <c r="B156" s="188" t="inlineStr">
        <is>
          <t>CVE-2026-2898</t>
        </is>
      </c>
      <c r="C156" s="188"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56" s="188" t="n">
        <v>5.5</v>
      </c>
      <c r="E156" s="188" t="inlineStr">
        <is>
          <t>MEDIUM</t>
        </is>
      </c>
      <c r="F156" s="188" t="n">
        <v>2</v>
      </c>
      <c r="G156" s="188" t="n">
        <v>2</v>
      </c>
      <c r="H156" s="188" t="inlineStr">
        <is>
          <t>MEDIUM</t>
        </is>
      </c>
      <c r="I156" s="188" t="n">
        <v>9.5</v>
      </c>
      <c r="J156" s="188" t="inlineStr">
        <is>
          <t>NO</t>
        </is>
      </c>
      <c r="K156" s="188" t="inlineStr">
        <is>
          <t>https://nvd.nist.gov/vuln/detail/CVE-2026-2898</t>
        </is>
      </c>
      <c r="L156" s="188" t="inlineStr">
        <is>
          <t>2026-02-27 20:47</t>
        </is>
      </c>
      <c r="M156" s="188" t="inlineStr">
        <is>
          <t>CHECK_VENDOR</t>
        </is>
      </c>
      <c r="N156" s="188" t="inlineStr">
        <is>
          <t>See NVD references</t>
        </is>
      </c>
      <c r="O156" s="188" t="inlineStr">
        <is>
          <t>Apply vendor patches</t>
        </is>
      </c>
      <c r="P156" s="188" t="inlineStr">
        <is>
          <t>funadmin funadmin * | funadmin funadmin 7.1.0</t>
        </is>
      </c>
      <c r="Q156" s="188" t="inlineStr">
        <is>
          <t>P4</t>
        </is>
      </c>
      <c r="R156" s="188" t="inlineStr">
        <is>
          <t>📅 Schedule patch deployment within 30 days | 🔍 Monitor for exploitation attempts</t>
        </is>
      </c>
      <c r="S156" s="188" t="inlineStr">
        <is>
          <t>CVE - IP enrichment n/a</t>
        </is>
      </c>
      <c r="T156" s="188" t="n">
        <v>0.0003</v>
      </c>
      <c r="U156" s="188" t="n">
        <v>0.0858</v>
      </c>
      <c r="V156" s="188" t="inlineStr">
        <is>
          <t>T1059:Command and Scripting Interpreter</t>
        </is>
      </c>
      <c r="W156" s="188" t="n">
        <v>1</v>
      </c>
      <c r="X156" s="188" t="inlineStr">
        <is>
          <t>LOW (40%)</t>
        </is>
      </c>
      <c r="Y156" s="188" t="inlineStr">
        <is>
          <t>UNLIKELY</t>
        </is>
      </c>
      <c r="Z156" s="188" t="inlineStr">
        <is>
          <t>CHECK_VENDOR</t>
        </is>
      </c>
      <c r="AA156" s="188" t="inlineStr">
        <is>
          <t>https://nvd.nist.gov/vuln/detail/CVE-2026-2898</t>
        </is>
      </c>
      <c r="AB156" s="188" t="inlineStr">
        <is>
          <t>NONE</t>
        </is>
      </c>
      <c r="AC156" s="188" t="n">
        <v>0</v>
      </c>
      <c r="AD156" s="188" t="inlineStr"/>
    </row>
    <row r="157">
      <c r="A157" s="190" t="inlineStr">
        <is>
          <t>CVE</t>
        </is>
      </c>
      <c r="B157" s="190" t="inlineStr">
        <is>
          <t>CVE-2026-2903</t>
        </is>
      </c>
      <c r="C157" s="190"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57" s="190" t="n">
        <v>3.3</v>
      </c>
      <c r="E157" s="190" t="inlineStr">
        <is>
          <t>LOW</t>
        </is>
      </c>
      <c r="F157" s="190" t="n">
        <v>2</v>
      </c>
      <c r="G157" s="190" t="n">
        <v>1</v>
      </c>
      <c r="H157" s="190" t="inlineStr">
        <is>
          <t>LOW</t>
        </is>
      </c>
      <c r="I157" s="190" t="n">
        <v>5.3</v>
      </c>
      <c r="J157" s="190" t="inlineStr">
        <is>
          <t>NO</t>
        </is>
      </c>
      <c r="K157" s="190" t="inlineStr">
        <is>
          <t>https://nvd.nist.gov/vuln/detail/CVE-2026-2903</t>
        </is>
      </c>
      <c r="L157" s="190" t="inlineStr">
        <is>
          <t>2026-02-27 20:47</t>
        </is>
      </c>
      <c r="M157" s="190" t="inlineStr">
        <is>
          <t>CHECK_VENDOR</t>
        </is>
      </c>
      <c r="N157" s="190" t="inlineStr">
        <is>
          <t>See NVD references</t>
        </is>
      </c>
      <c r="O157" s="190" t="inlineStr">
        <is>
          <t>Apply vendor patches</t>
        </is>
      </c>
      <c r="P157" s="190" t="inlineStr">
        <is>
          <t>See CVE details</t>
        </is>
      </c>
      <c r="Q157" s="190" t="inlineStr">
        <is>
          <t>P4</t>
        </is>
      </c>
      <c r="R157" s="190" t="inlineStr">
        <is>
          <t>📅 Schedule patch deployment within 30 days | 🔍 Monitor for exploitation attempts</t>
        </is>
      </c>
      <c r="S157" s="190" t="inlineStr">
        <is>
          <t>CVE - IP enrichment n/a</t>
        </is>
      </c>
      <c r="T157" s="190" t="n">
        <v>0.0001</v>
      </c>
      <c r="U157" s="190" t="n">
        <v>0.0197</v>
      </c>
      <c r="V157" s="190" t="inlineStr">
        <is>
          <t>T1190:Exploit Public-Facing Application</t>
        </is>
      </c>
      <c r="W157" s="190" t="n">
        <v>1</v>
      </c>
      <c r="X157" s="190" t="inlineStr">
        <is>
          <t>LOW (40%)</t>
        </is>
      </c>
      <c r="Y157" s="190" t="inlineStr">
        <is>
          <t>UNLIKELY</t>
        </is>
      </c>
      <c r="Z157" s="190" t="inlineStr">
        <is>
          <t>CHECK_VENDOR</t>
        </is>
      </c>
      <c r="AA157" s="190" t="inlineStr">
        <is>
          <t>https://nvd.nist.gov/vuln/detail/CVE-2026-2903</t>
        </is>
      </c>
      <c r="AB157" s="190" t="inlineStr">
        <is>
          <t>NONE</t>
        </is>
      </c>
      <c r="AC157" s="190" t="n">
        <v>0</v>
      </c>
      <c r="AD157" s="190" t="inlineStr"/>
    </row>
    <row r="158">
      <c r="A158" s="187" t="inlineStr">
        <is>
          <t>CVE</t>
        </is>
      </c>
      <c r="B158" s="187" t="inlineStr">
        <is>
          <t>CVE-2026-2904</t>
        </is>
      </c>
      <c r="C158" s="187"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58" s="187" t="n">
        <v>8.800000000000001</v>
      </c>
      <c r="E158" s="187" t="inlineStr">
        <is>
          <t>HIGH</t>
        </is>
      </c>
      <c r="F158" s="187" t="n">
        <v>2</v>
      </c>
      <c r="G158" s="187" t="n">
        <v>3</v>
      </c>
      <c r="H158" s="187" t="inlineStr">
        <is>
          <t>HIGH</t>
        </is>
      </c>
      <c r="I158" s="187" t="n">
        <v>14.8</v>
      </c>
      <c r="J158" s="187" t="inlineStr">
        <is>
          <t>NO</t>
        </is>
      </c>
      <c r="K158" s="187" t="inlineStr">
        <is>
          <t>https://nvd.nist.gov/vuln/detail/CVE-2026-2904</t>
        </is>
      </c>
      <c r="L158" s="187" t="inlineStr">
        <is>
          <t>2026-02-27 20:47</t>
        </is>
      </c>
      <c r="M158" s="187" t="inlineStr">
        <is>
          <t>CHECK_VENDOR</t>
        </is>
      </c>
      <c r="N158" s="187" t="inlineStr">
        <is>
          <t>See NVD references</t>
        </is>
      </c>
      <c r="O158" s="187" t="inlineStr">
        <is>
          <t>Apply vendor patches</t>
        </is>
      </c>
      <c r="P158" s="187" t="inlineStr">
        <is>
          <t>utt 810g 3.0 | utt 810g_firmware *</t>
        </is>
      </c>
      <c r="Q158" s="187" t="inlineStr">
        <is>
          <t>P3</t>
        </is>
      </c>
      <c r="R158" s="187" t="inlineStr">
        <is>
          <t>🚨 URGENT: Apply vendor patches immediately | 🔒 Isolate affected systems if patch unavailable | 🛡️ Enable additional monitoring/IDS rules</t>
        </is>
      </c>
      <c r="S158" s="187" t="inlineStr">
        <is>
          <t>CVE - IP enrichment n/a</t>
        </is>
      </c>
      <c r="T158" s="187" t="n">
        <v>0.0007</v>
      </c>
      <c r="U158" s="187" t="n">
        <v>0.2164</v>
      </c>
      <c r="V158" s="187" t="inlineStr">
        <is>
          <t>T1203:Exploitation for Client Execution</t>
        </is>
      </c>
      <c r="W158" s="187" t="n">
        <v>1</v>
      </c>
      <c r="X158" s="187" t="inlineStr">
        <is>
          <t>LOW (40%)</t>
        </is>
      </c>
      <c r="Y158" s="187" t="inlineStr">
        <is>
          <t>UNLIKELY</t>
        </is>
      </c>
      <c r="Z158" s="187" t="inlineStr">
        <is>
          <t>CHECK_VENDOR</t>
        </is>
      </c>
      <c r="AA158" s="187" t="inlineStr">
        <is>
          <t>https://nvd.nist.gov/vuln/detail/CVE-2026-2904</t>
        </is>
      </c>
      <c r="AB158" s="187" t="inlineStr">
        <is>
          <t>NONE</t>
        </is>
      </c>
      <c r="AC158" s="187" t="n">
        <v>0</v>
      </c>
      <c r="AD158" s="187" t="inlineStr"/>
    </row>
    <row r="159">
      <c r="A159" s="187" t="inlineStr">
        <is>
          <t>CVE</t>
        </is>
      </c>
      <c r="B159" s="187" t="inlineStr">
        <is>
          <t>CVE-2026-2905</t>
        </is>
      </c>
      <c r="C159" s="187"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59" s="187" t="n">
        <v>8.800000000000001</v>
      </c>
      <c r="E159" s="187" t="inlineStr">
        <is>
          <t>HIGH</t>
        </is>
      </c>
      <c r="F159" s="187" t="n">
        <v>2</v>
      </c>
      <c r="G159" s="187" t="n">
        <v>3</v>
      </c>
      <c r="H159" s="187" t="inlineStr">
        <is>
          <t>HIGH</t>
        </is>
      </c>
      <c r="I159" s="187" t="n">
        <v>14.8</v>
      </c>
      <c r="J159" s="187" t="inlineStr">
        <is>
          <t>NO</t>
        </is>
      </c>
      <c r="K159" s="187" t="inlineStr">
        <is>
          <t>https://nvd.nist.gov/vuln/detail/CVE-2026-2905</t>
        </is>
      </c>
      <c r="L159" s="187" t="inlineStr">
        <is>
          <t>2026-02-27 20:47</t>
        </is>
      </c>
      <c r="M159" s="187" t="inlineStr">
        <is>
          <t>YES</t>
        </is>
      </c>
      <c r="N159" s="187" t="inlineStr">
        <is>
          <t>https://github.com/QIU-DIE/cve-nneeww/issues/7</t>
        </is>
      </c>
      <c r="O159" s="187" t="inlineStr">
        <is>
          <t>https://github.com/QIU-DIE/cve-nneeww/issues/7</t>
        </is>
      </c>
      <c r="P159" s="187" t="inlineStr">
        <is>
          <t>tenda hg9_firmware 300001138 | tenda hg9 -</t>
        </is>
      </c>
      <c r="Q159" s="187" t="inlineStr">
        <is>
          <t>P3</t>
        </is>
      </c>
      <c r="R159" s="187" t="inlineStr">
        <is>
          <t>🚨 URGENT: Apply vendor patches immediately | 🔒 Isolate affected systems if patch unavailable | 🛡️ Enable additional monitoring/IDS rules</t>
        </is>
      </c>
      <c r="S159" s="187" t="inlineStr">
        <is>
          <t>CVE - IP enrichment n/a</t>
        </is>
      </c>
      <c r="T159" s="187" t="n">
        <v>0.0008</v>
      </c>
      <c r="U159" s="187" t="n">
        <v>0.2371</v>
      </c>
      <c r="V159" s="187" t="inlineStr">
        <is>
          <t>T1203:Exploitation for Client Execution</t>
        </is>
      </c>
      <c r="W159" s="187" t="n">
        <v>1</v>
      </c>
      <c r="X159" s="187" t="inlineStr">
        <is>
          <t>LOW (40%)</t>
        </is>
      </c>
      <c r="Y159" s="187" t="inlineStr">
        <is>
          <t>UNLIKELY</t>
        </is>
      </c>
      <c r="Z159" s="187" t="inlineStr">
        <is>
          <t>PATCH_AVAILABLE</t>
        </is>
      </c>
      <c r="AA159" s="187" t="inlineStr">
        <is>
          <t>https://nvd.nist.gov/vuln/detail/CVE-2026-2905</t>
        </is>
      </c>
      <c r="AB159" s="187" t="inlineStr">
        <is>
          <t>NONE</t>
        </is>
      </c>
      <c r="AC159" s="187" t="n">
        <v>0</v>
      </c>
      <c r="AD159" s="187" t="inlineStr"/>
    </row>
    <row r="160">
      <c r="A160" s="187" t="inlineStr">
        <is>
          <t>CVE</t>
        </is>
      </c>
      <c r="B160" s="187" t="inlineStr">
        <is>
          <t>CVE-2026-2906</t>
        </is>
      </c>
      <c r="C160" s="187"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60" s="187" t="n">
        <v>8.800000000000001</v>
      </c>
      <c r="E160" s="187" t="inlineStr">
        <is>
          <t>HIGH</t>
        </is>
      </c>
      <c r="F160" s="187" t="n">
        <v>2</v>
      </c>
      <c r="G160" s="187" t="n">
        <v>3</v>
      </c>
      <c r="H160" s="187" t="inlineStr">
        <is>
          <t>HIGH</t>
        </is>
      </c>
      <c r="I160" s="187" t="n">
        <v>14.8</v>
      </c>
      <c r="J160" s="187" t="inlineStr">
        <is>
          <t>NO</t>
        </is>
      </c>
      <c r="K160" s="187" t="inlineStr">
        <is>
          <t>https://nvd.nist.gov/vuln/detail/CVE-2026-2906</t>
        </is>
      </c>
      <c r="L160" s="187" t="inlineStr">
        <is>
          <t>2026-02-27 20:47</t>
        </is>
      </c>
      <c r="M160" s="187" t="inlineStr">
        <is>
          <t>YES</t>
        </is>
      </c>
      <c r="N160" s="187" t="inlineStr">
        <is>
          <t>https://github.com/QIU-DIE/cve-nneeww/issues/8</t>
        </is>
      </c>
      <c r="O160" s="187" t="inlineStr">
        <is>
          <t>https://github.com/QIU-DIE/cve-nneeww/issues/8</t>
        </is>
      </c>
      <c r="P160" s="187" t="inlineStr">
        <is>
          <t>tenda hg9_firmware 300001138 | tenda hg9 -</t>
        </is>
      </c>
      <c r="Q160" s="187" t="inlineStr">
        <is>
          <t>P3</t>
        </is>
      </c>
      <c r="R160" s="187" t="inlineStr">
        <is>
          <t>🚨 URGENT: Apply vendor patches immediately | 🔒 Isolate affected systems if patch unavailable | 🛡️ Enable additional monitoring/IDS rules</t>
        </is>
      </c>
      <c r="S160" s="187" t="inlineStr">
        <is>
          <t>CVE - IP enrichment n/a</t>
        </is>
      </c>
      <c r="T160" s="187" t="n">
        <v>0.0008</v>
      </c>
      <c r="U160" s="187" t="n">
        <v>0.2371</v>
      </c>
      <c r="V160" s="187" t="inlineStr">
        <is>
          <t>T1203:Exploitation for Client Execution</t>
        </is>
      </c>
      <c r="W160" s="187" t="n">
        <v>1</v>
      </c>
      <c r="X160" s="187" t="inlineStr">
        <is>
          <t>LOW (40%)</t>
        </is>
      </c>
      <c r="Y160" s="187" t="inlineStr">
        <is>
          <t>UNLIKELY</t>
        </is>
      </c>
      <c r="Z160" s="187" t="inlineStr">
        <is>
          <t>PATCH_AVAILABLE</t>
        </is>
      </c>
      <c r="AA160" s="187" t="inlineStr">
        <is>
          <t>https://nvd.nist.gov/vuln/detail/CVE-2026-2906</t>
        </is>
      </c>
      <c r="AB160" s="187" t="inlineStr">
        <is>
          <t>NONE</t>
        </is>
      </c>
      <c r="AC160" s="187" t="n">
        <v>0</v>
      </c>
      <c r="AD160" s="187" t="inlineStr"/>
    </row>
    <row r="161">
      <c r="A161" s="187" t="inlineStr">
        <is>
          <t>CVE</t>
        </is>
      </c>
      <c r="B161" s="187" t="inlineStr">
        <is>
          <t>CVE-2026-2907</t>
        </is>
      </c>
      <c r="C161" s="187"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61" s="187" t="n">
        <v>8.800000000000001</v>
      </c>
      <c r="E161" s="187" t="inlineStr">
        <is>
          <t>HIGH</t>
        </is>
      </c>
      <c r="F161" s="187" t="n">
        <v>2</v>
      </c>
      <c r="G161" s="187" t="n">
        <v>3</v>
      </c>
      <c r="H161" s="187" t="inlineStr">
        <is>
          <t>HIGH</t>
        </is>
      </c>
      <c r="I161" s="187" t="n">
        <v>14.8</v>
      </c>
      <c r="J161" s="187" t="inlineStr">
        <is>
          <t>NO</t>
        </is>
      </c>
      <c r="K161" s="187" t="inlineStr">
        <is>
          <t>https://nvd.nist.gov/vuln/detail/CVE-2026-2907</t>
        </is>
      </c>
      <c r="L161" s="187" t="inlineStr">
        <is>
          <t>2026-02-27 20:47</t>
        </is>
      </c>
      <c r="M161" s="187" t="inlineStr">
        <is>
          <t>YES</t>
        </is>
      </c>
      <c r="N161" s="187" t="inlineStr">
        <is>
          <t>https://github.com/QIU-DIE/cve-nneeww/issues/9</t>
        </is>
      </c>
      <c r="O161" s="187" t="inlineStr">
        <is>
          <t>https://github.com/QIU-DIE/cve-nneeww/issues/9</t>
        </is>
      </c>
      <c r="P161" s="187" t="inlineStr">
        <is>
          <t>tenda hg9_firmware 300001138 | tenda hg9 -</t>
        </is>
      </c>
      <c r="Q161" s="187" t="inlineStr">
        <is>
          <t>P3</t>
        </is>
      </c>
      <c r="R161" s="187" t="inlineStr">
        <is>
          <t>🚨 URGENT: Apply vendor patches immediately | 🔒 Isolate affected systems if patch unavailable | 🛡️ Enable additional monitoring/IDS rules</t>
        </is>
      </c>
      <c r="S161" s="187" t="inlineStr">
        <is>
          <t>CVE - IP enrichment n/a</t>
        </is>
      </c>
      <c r="T161" s="187" t="n">
        <v>0.0008</v>
      </c>
      <c r="U161" s="187" t="n">
        <v>0.2371</v>
      </c>
      <c r="V161" s="187" t="inlineStr">
        <is>
          <t>T1203:Exploitation for Client Execution</t>
        </is>
      </c>
      <c r="W161" s="187" t="n">
        <v>1</v>
      </c>
      <c r="X161" s="187" t="inlineStr">
        <is>
          <t>LOW (40%)</t>
        </is>
      </c>
      <c r="Y161" s="187" t="inlineStr">
        <is>
          <t>UNLIKELY</t>
        </is>
      </c>
      <c r="Z161" s="187" t="inlineStr">
        <is>
          <t>PATCH_AVAILABLE</t>
        </is>
      </c>
      <c r="AA161" s="187" t="inlineStr">
        <is>
          <t>https://nvd.nist.gov/vuln/detail/CVE-2026-2907</t>
        </is>
      </c>
      <c r="AB161" s="187" t="inlineStr">
        <is>
          <t>NONE</t>
        </is>
      </c>
      <c r="AC161" s="187" t="n">
        <v>0</v>
      </c>
      <c r="AD161" s="187" t="inlineStr"/>
    </row>
    <row r="162">
      <c r="A162" s="187" t="inlineStr">
        <is>
          <t>CVE</t>
        </is>
      </c>
      <c r="B162" s="187" t="inlineStr">
        <is>
          <t>CVE-2026-2908</t>
        </is>
      </c>
      <c r="C162" s="187"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62" s="187" t="n">
        <v>8.800000000000001</v>
      </c>
      <c r="E162" s="187" t="inlineStr">
        <is>
          <t>HIGH</t>
        </is>
      </c>
      <c r="F162" s="187" t="n">
        <v>2</v>
      </c>
      <c r="G162" s="187" t="n">
        <v>3</v>
      </c>
      <c r="H162" s="187" t="inlineStr">
        <is>
          <t>HIGH</t>
        </is>
      </c>
      <c r="I162" s="187" t="n">
        <v>14.8</v>
      </c>
      <c r="J162" s="187" t="inlineStr">
        <is>
          <t>NO</t>
        </is>
      </c>
      <c r="K162" s="187" t="inlineStr">
        <is>
          <t>https://nvd.nist.gov/vuln/detail/CVE-2026-2908</t>
        </is>
      </c>
      <c r="L162" s="187" t="inlineStr">
        <is>
          <t>2026-02-27 20:47</t>
        </is>
      </c>
      <c r="M162" s="187" t="inlineStr">
        <is>
          <t>YES</t>
        </is>
      </c>
      <c r="N162" s="187" t="inlineStr">
        <is>
          <t>https://github.com/QIU-DIE/cve-nneeww/issues/10</t>
        </is>
      </c>
      <c r="O162" s="187" t="inlineStr">
        <is>
          <t>https://github.com/QIU-DIE/cve-nneeww/issues/10</t>
        </is>
      </c>
      <c r="P162" s="187" t="inlineStr">
        <is>
          <t>tenda hg9_firmware 300001138 | tenda hg9 -</t>
        </is>
      </c>
      <c r="Q162" s="187" t="inlineStr">
        <is>
          <t>P3</t>
        </is>
      </c>
      <c r="R162" s="187" t="inlineStr">
        <is>
          <t>🚨 URGENT: Apply vendor patches immediately | 🔒 Isolate affected systems if patch unavailable | 🛡️ Enable additional monitoring/IDS rules</t>
        </is>
      </c>
      <c r="S162" s="187" t="inlineStr">
        <is>
          <t>CVE - IP enrichment n/a</t>
        </is>
      </c>
      <c r="T162" s="187" t="n">
        <v>0.0008</v>
      </c>
      <c r="U162" s="187" t="n">
        <v>0.2371</v>
      </c>
      <c r="V162" s="187" t="inlineStr">
        <is>
          <t>T1203:Exploitation for Client Execution</t>
        </is>
      </c>
      <c r="W162" s="187" t="n">
        <v>1</v>
      </c>
      <c r="X162" s="187" t="inlineStr">
        <is>
          <t>LOW (40%)</t>
        </is>
      </c>
      <c r="Y162" s="187" t="inlineStr">
        <is>
          <t>UNLIKELY</t>
        </is>
      </c>
      <c r="Z162" s="187" t="inlineStr">
        <is>
          <t>PATCH_AVAILABLE</t>
        </is>
      </c>
      <c r="AA162" s="187" t="inlineStr">
        <is>
          <t>https://nvd.nist.gov/vuln/detail/CVE-2026-2908</t>
        </is>
      </c>
      <c r="AB162" s="187" t="inlineStr">
        <is>
          <t>NONE</t>
        </is>
      </c>
      <c r="AC162" s="187" t="n">
        <v>0</v>
      </c>
      <c r="AD162" s="187" t="inlineStr"/>
    </row>
    <row r="163">
      <c r="A163" s="187" t="inlineStr">
        <is>
          <t>CVE</t>
        </is>
      </c>
      <c r="B163" s="187" t="inlineStr">
        <is>
          <t>CVE-2026-2909</t>
        </is>
      </c>
      <c r="C163" s="187"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63" s="187" t="n">
        <v>8.800000000000001</v>
      </c>
      <c r="E163" s="187" t="inlineStr">
        <is>
          <t>HIGH</t>
        </is>
      </c>
      <c r="F163" s="187" t="n">
        <v>2</v>
      </c>
      <c r="G163" s="187" t="n">
        <v>3</v>
      </c>
      <c r="H163" s="187" t="inlineStr">
        <is>
          <t>HIGH</t>
        </is>
      </c>
      <c r="I163" s="187" t="n">
        <v>14.8</v>
      </c>
      <c r="J163" s="187" t="inlineStr">
        <is>
          <t>NO</t>
        </is>
      </c>
      <c r="K163" s="187" t="inlineStr">
        <is>
          <t>https://nvd.nist.gov/vuln/detail/CVE-2026-2909</t>
        </is>
      </c>
      <c r="L163" s="187" t="inlineStr">
        <is>
          <t>2026-02-27 20:47</t>
        </is>
      </c>
      <c r="M163" s="187" t="inlineStr">
        <is>
          <t>YES</t>
        </is>
      </c>
      <c r="N163" s="187" t="inlineStr">
        <is>
          <t>https://github.com/QIU-DIE/cve-nneeww/issues/11</t>
        </is>
      </c>
      <c r="O163" s="187" t="inlineStr">
        <is>
          <t>https://github.com/QIU-DIE/cve-nneeww/issues/11</t>
        </is>
      </c>
      <c r="P163" s="187" t="inlineStr">
        <is>
          <t>tenda hg9_firmware 300001138 | tenda hg9 -</t>
        </is>
      </c>
      <c r="Q163" s="187" t="inlineStr">
        <is>
          <t>P3</t>
        </is>
      </c>
      <c r="R163" s="187" t="inlineStr">
        <is>
          <t>🚨 URGENT: Apply vendor patches immediately | 🔒 Isolate affected systems if patch unavailable | 🛡️ Enable additional monitoring/IDS rules</t>
        </is>
      </c>
      <c r="S163" s="187" t="inlineStr">
        <is>
          <t>CVE - IP enrichment n/a</t>
        </is>
      </c>
      <c r="T163" s="187" t="n">
        <v>0.0008</v>
      </c>
      <c r="U163" s="187" t="n">
        <v>0.2371</v>
      </c>
      <c r="V163" s="187" t="inlineStr">
        <is>
          <t>T1203:Exploitation for Client Execution</t>
        </is>
      </c>
      <c r="W163" s="187" t="n">
        <v>1</v>
      </c>
      <c r="X163" s="187" t="inlineStr">
        <is>
          <t>LOW (40%)</t>
        </is>
      </c>
      <c r="Y163" s="187" t="inlineStr">
        <is>
          <t>UNLIKELY</t>
        </is>
      </c>
      <c r="Z163" s="187" t="inlineStr">
        <is>
          <t>PATCH_AVAILABLE</t>
        </is>
      </c>
      <c r="AA163" s="187" t="inlineStr">
        <is>
          <t>https://nvd.nist.gov/vuln/detail/CVE-2026-2909</t>
        </is>
      </c>
      <c r="AB163" s="187" t="inlineStr">
        <is>
          <t>NONE</t>
        </is>
      </c>
      <c r="AC163" s="187" t="n">
        <v>0</v>
      </c>
      <c r="AD163" s="187" t="inlineStr"/>
    </row>
    <row r="164">
      <c r="A164" s="187" t="inlineStr">
        <is>
          <t>CVE</t>
        </is>
      </c>
      <c r="B164" s="187" t="inlineStr">
        <is>
          <t>CVE-2026-2910</t>
        </is>
      </c>
      <c r="C164" s="187"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64" s="187" t="n">
        <v>8.800000000000001</v>
      </c>
      <c r="E164" s="187" t="inlineStr">
        <is>
          <t>HIGH</t>
        </is>
      </c>
      <c r="F164" s="187" t="n">
        <v>2</v>
      </c>
      <c r="G164" s="187" t="n">
        <v>3</v>
      </c>
      <c r="H164" s="187" t="inlineStr">
        <is>
          <t>HIGH</t>
        </is>
      </c>
      <c r="I164" s="187" t="n">
        <v>14.8</v>
      </c>
      <c r="J164" s="187" t="inlineStr">
        <is>
          <t>NO</t>
        </is>
      </c>
      <c r="K164" s="187" t="inlineStr">
        <is>
          <t>https://nvd.nist.gov/vuln/detail/CVE-2026-2910</t>
        </is>
      </c>
      <c r="L164" s="187" t="inlineStr">
        <is>
          <t>2026-02-27 20:47</t>
        </is>
      </c>
      <c r="M164" s="187" t="inlineStr">
        <is>
          <t>YES</t>
        </is>
      </c>
      <c r="N164" s="187" t="inlineStr">
        <is>
          <t>https://github.com/QIU-DIE/cve-nneeww/issues/12</t>
        </is>
      </c>
      <c r="O164" s="187" t="inlineStr">
        <is>
          <t>https://github.com/QIU-DIE/cve-nneeww/issues/12</t>
        </is>
      </c>
      <c r="P164" s="187" t="inlineStr">
        <is>
          <t>tenda hg9_firmware 300001138 | tenda hg9 -</t>
        </is>
      </c>
      <c r="Q164" s="187" t="inlineStr">
        <is>
          <t>P3</t>
        </is>
      </c>
      <c r="R164" s="187" t="inlineStr">
        <is>
          <t>🚨 URGENT: Apply vendor patches immediately | 🔒 Isolate affected systems if patch unavailable | 🛡️ Enable additional monitoring/IDS rules</t>
        </is>
      </c>
      <c r="S164" s="187" t="inlineStr">
        <is>
          <t>CVE - IP enrichment n/a</t>
        </is>
      </c>
      <c r="T164" s="187" t="n">
        <v>0.0008</v>
      </c>
      <c r="U164" s="187" t="n">
        <v>0.2371</v>
      </c>
      <c r="V164" s="187" t="inlineStr">
        <is>
          <t>T1203:Exploitation for Client Execution</t>
        </is>
      </c>
      <c r="W164" s="187" t="n">
        <v>1</v>
      </c>
      <c r="X164" s="187" t="inlineStr">
        <is>
          <t>LOW (40%)</t>
        </is>
      </c>
      <c r="Y164" s="187" t="inlineStr">
        <is>
          <t>UNLIKELY</t>
        </is>
      </c>
      <c r="Z164" s="187" t="inlineStr">
        <is>
          <t>PATCH_AVAILABLE</t>
        </is>
      </c>
      <c r="AA164" s="187" t="inlineStr">
        <is>
          <t>https://nvd.nist.gov/vuln/detail/CVE-2026-2910</t>
        </is>
      </c>
      <c r="AB164" s="187" t="inlineStr">
        <is>
          <t>NONE</t>
        </is>
      </c>
      <c r="AC164" s="187" t="n">
        <v>0</v>
      </c>
      <c r="AD164" s="187" t="inlineStr"/>
    </row>
    <row r="165">
      <c r="A165" s="187" t="inlineStr">
        <is>
          <t>CVE</t>
        </is>
      </c>
      <c r="B165" s="187" t="inlineStr">
        <is>
          <t>CVE-2026-2911</t>
        </is>
      </c>
      <c r="C165" s="187"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65" s="187" t="n">
        <v>8.800000000000001</v>
      </c>
      <c r="E165" s="187" t="inlineStr">
        <is>
          <t>HIGH</t>
        </is>
      </c>
      <c r="F165" s="187" t="n">
        <v>2</v>
      </c>
      <c r="G165" s="187" t="n">
        <v>3</v>
      </c>
      <c r="H165" s="187" t="inlineStr">
        <is>
          <t>HIGH</t>
        </is>
      </c>
      <c r="I165" s="187" t="n">
        <v>14.8</v>
      </c>
      <c r="J165" s="187" t="inlineStr">
        <is>
          <t>NO</t>
        </is>
      </c>
      <c r="K165" s="187" t="inlineStr">
        <is>
          <t>https://nvd.nist.gov/vuln/detail/CVE-2026-2911</t>
        </is>
      </c>
      <c r="L165" s="187" t="inlineStr">
        <is>
          <t>2026-02-27 20:47</t>
        </is>
      </c>
      <c r="M165" s="187" t="inlineStr">
        <is>
          <t>CHECK_VENDOR</t>
        </is>
      </c>
      <c r="N165" s="187" t="inlineStr">
        <is>
          <t>See NVD references</t>
        </is>
      </c>
      <c r="O165" s="187" t="inlineStr">
        <is>
          <t>Apply vendor patches</t>
        </is>
      </c>
      <c r="P165" s="187" t="inlineStr">
        <is>
          <t>tenda fh451 - | tenda fh451_firmware 1.0.0.9</t>
        </is>
      </c>
      <c r="Q165" s="187" t="inlineStr">
        <is>
          <t>P3</t>
        </is>
      </c>
      <c r="R165" s="187" t="inlineStr">
        <is>
          <t>🚨 URGENT: Apply vendor patches immediately | 🔒 Isolate affected systems if patch unavailable | 🛡️ Enable additional monitoring/IDS rules</t>
        </is>
      </c>
      <c r="S165" s="187" t="inlineStr">
        <is>
          <t>CVE - IP enrichment n/a</t>
        </is>
      </c>
      <c r="T165" s="187" t="n">
        <v>0.0008</v>
      </c>
      <c r="U165" s="187" t="n">
        <v>0.2274</v>
      </c>
      <c r="V165" s="187" t="inlineStr">
        <is>
          <t>T1203:Exploitation for Client Execution</t>
        </is>
      </c>
      <c r="W165" s="187" t="n">
        <v>1</v>
      </c>
      <c r="X165" s="187" t="inlineStr">
        <is>
          <t>LOW (40%)</t>
        </is>
      </c>
      <c r="Y165" s="187" t="inlineStr">
        <is>
          <t>UNLIKELY</t>
        </is>
      </c>
      <c r="Z165" s="187" t="inlineStr">
        <is>
          <t>CHECK_VENDOR</t>
        </is>
      </c>
      <c r="AA165" s="187" t="inlineStr">
        <is>
          <t>https://nvd.nist.gov/vuln/detail/CVE-2026-2911</t>
        </is>
      </c>
      <c r="AB165" s="187" t="inlineStr">
        <is>
          <t>NONE</t>
        </is>
      </c>
      <c r="AC165" s="187" t="n">
        <v>0</v>
      </c>
      <c r="AD165" s="187" t="inlineStr"/>
    </row>
    <row r="166">
      <c r="A166" s="187" t="inlineStr">
        <is>
          <t>CVE</t>
        </is>
      </c>
      <c r="B166" s="187" t="inlineStr">
        <is>
          <t>CVE-2026-2912</t>
        </is>
      </c>
      <c r="C166" s="187"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66" s="187" t="n">
        <v>7.3</v>
      </c>
      <c r="E166" s="187" t="inlineStr">
        <is>
          <t>HIGH</t>
        </is>
      </c>
      <c r="F166" s="187" t="n">
        <v>2</v>
      </c>
      <c r="G166" s="187" t="n">
        <v>3</v>
      </c>
      <c r="H166" s="187" t="inlineStr">
        <is>
          <t>HIGH</t>
        </is>
      </c>
      <c r="I166" s="187" t="n">
        <v>13.3</v>
      </c>
      <c r="J166" s="187" t="inlineStr">
        <is>
          <t>NO</t>
        </is>
      </c>
      <c r="K166" s="187" t="inlineStr">
        <is>
          <t>https://nvd.nist.gov/vuln/detail/CVE-2026-2912</t>
        </is>
      </c>
      <c r="L166" s="187" t="inlineStr">
        <is>
          <t>2026-02-27 20:47</t>
        </is>
      </c>
      <c r="M166" s="187" t="inlineStr">
        <is>
          <t>CHECK_VENDOR</t>
        </is>
      </c>
      <c r="N166" s="187" t="inlineStr">
        <is>
          <t>See NVD references</t>
        </is>
      </c>
      <c r="O166" s="187" t="inlineStr">
        <is>
          <t>Apply vendor patches</t>
        </is>
      </c>
      <c r="P166" s="187" t="inlineStr">
        <is>
          <t>fabian online_reviewer_system 1.0</t>
        </is>
      </c>
      <c r="Q166" s="187" t="inlineStr">
        <is>
          <t>P3</t>
        </is>
      </c>
      <c r="R166" s="187" t="inlineStr">
        <is>
          <t>🚨 URGENT: Apply vendor patches immediately | 🔒 Isolate affected systems if patch unavailable | 🛡️ Enable additional monitoring/IDS rules</t>
        </is>
      </c>
      <c r="S166" s="187" t="inlineStr">
        <is>
          <t>CVE - IP enrichment n/a</t>
        </is>
      </c>
      <c r="T166" s="187" t="n">
        <v>0.0002</v>
      </c>
      <c r="U166" s="187" t="n">
        <v>0.0553</v>
      </c>
      <c r="V166" s="187" t="inlineStr">
        <is>
          <t>T1190:Exploit Public-Facing Application</t>
        </is>
      </c>
      <c r="W166" s="187" t="n">
        <v>1</v>
      </c>
      <c r="X166" s="187" t="inlineStr">
        <is>
          <t>LOW (40%)</t>
        </is>
      </c>
      <c r="Y166" s="187" t="inlineStr">
        <is>
          <t>UNLIKELY</t>
        </is>
      </c>
      <c r="Z166" s="187" t="inlineStr">
        <is>
          <t>CHECK_VENDOR</t>
        </is>
      </c>
      <c r="AA166" s="187" t="inlineStr">
        <is>
          <t>https://nvd.nist.gov/vuln/detail/CVE-2026-2912</t>
        </is>
      </c>
      <c r="AB166" s="187" t="inlineStr">
        <is>
          <t>NONE</t>
        </is>
      </c>
      <c r="AC166" s="187" t="n">
        <v>0</v>
      </c>
      <c r="AD166" s="187" t="inlineStr"/>
    </row>
    <row r="167">
      <c r="A167" s="190" t="inlineStr">
        <is>
          <t>CVE</t>
        </is>
      </c>
      <c r="B167" s="190" t="inlineStr">
        <is>
          <t>CVE-2026-2913</t>
        </is>
      </c>
      <c r="C167" s="190"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67" s="190" t="n">
        <v>2.5</v>
      </c>
      <c r="E167" s="190" t="inlineStr">
        <is>
          <t>LOW</t>
        </is>
      </c>
      <c r="F167" s="190" t="n">
        <v>2</v>
      </c>
      <c r="G167" s="190" t="n">
        <v>1</v>
      </c>
      <c r="H167" s="190" t="inlineStr">
        <is>
          <t>LOW</t>
        </is>
      </c>
      <c r="I167" s="190" t="n">
        <v>4.5</v>
      </c>
      <c r="J167" s="190" t="inlineStr">
        <is>
          <t>NO</t>
        </is>
      </c>
      <c r="K167" s="190" t="inlineStr">
        <is>
          <t>https://nvd.nist.gov/vuln/detail/CVE-2026-2913</t>
        </is>
      </c>
      <c r="L167" s="190" t="inlineStr">
        <is>
          <t>2026-02-27 20:47</t>
        </is>
      </c>
      <c r="M167" s="190" t="inlineStr">
        <is>
          <t>YES</t>
        </is>
      </c>
      <c r="N167" s="190" t="inlineStr">
        <is>
          <t>https://github.com/libvips/libvips/commit/a56feecbe9ed66521d9647ec9fbcd2546eccd7ee</t>
        </is>
      </c>
      <c r="O167" s="190" t="inlineStr">
        <is>
          <t>Apply vendor patches</t>
        </is>
      </c>
      <c r="P167" s="190" t="inlineStr">
        <is>
          <t>libvips libvips *</t>
        </is>
      </c>
      <c r="Q167" s="190" t="inlineStr">
        <is>
          <t>P1</t>
        </is>
      </c>
      <c r="R167" s="190" t="inlineStr">
        <is>
          <t>📅 Schedule patch deployment within 30 days | 🔍 Monitor for exploitation attempts</t>
        </is>
      </c>
      <c r="S167" s="190" t="inlineStr">
        <is>
          <t>CVE - IP enrichment n/a</t>
        </is>
      </c>
      <c r="T167" s="190" t="n">
        <v>0.0002</v>
      </c>
      <c r="U167" s="190" t="n">
        <v>0.0526</v>
      </c>
      <c r="V167" s="190" t="inlineStr">
        <is>
          <t>T1203:Exploitation for Client Execution | T1190:Exploit Public-Facing Application</t>
        </is>
      </c>
      <c r="W167" s="190" t="n">
        <v>2</v>
      </c>
      <c r="X167" s="190" t="inlineStr">
        <is>
          <t>HIGH (72%)</t>
        </is>
      </c>
      <c r="Y167" s="190" t="inlineStr">
        <is>
          <t>HIGH</t>
        </is>
      </c>
      <c r="Z167" s="190" t="inlineStr">
        <is>
          <t>PATCH_AVAILABLE</t>
        </is>
      </c>
      <c r="AA167" s="190" t="inlineStr">
        <is>
          <t>https://nvd.nist.gov/vuln/detail/CVE-2026-2913</t>
        </is>
      </c>
      <c r="AB167" s="190" t="inlineStr">
        <is>
          <t>http://www.zerodayinitiative.com/advisories/ZDI-26-123/</t>
        </is>
      </c>
      <c r="AC167" s="190" t="n">
        <v>0</v>
      </c>
      <c r="AD167" s="190" t="inlineStr"/>
    </row>
    <row r="168">
      <c r="A168" s="187" t="inlineStr">
        <is>
          <t>CVE</t>
        </is>
      </c>
      <c r="B168" s="187" t="inlineStr">
        <is>
          <t>CVE-2026-2925</t>
        </is>
      </c>
      <c r="C168" s="187"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68" s="187" t="n">
        <v>8.800000000000001</v>
      </c>
      <c r="E168" s="187" t="inlineStr">
        <is>
          <t>HIGH</t>
        </is>
      </c>
      <c r="F168" s="187" t="n">
        <v>2</v>
      </c>
      <c r="G168" s="187" t="n">
        <v>3</v>
      </c>
      <c r="H168" s="187" t="inlineStr">
        <is>
          <t>HIGH</t>
        </is>
      </c>
      <c r="I168" s="187" t="n">
        <v>14.8</v>
      </c>
      <c r="J168" s="187" t="inlineStr">
        <is>
          <t>NO</t>
        </is>
      </c>
      <c r="K168" s="187" t="inlineStr">
        <is>
          <t>https://nvd.nist.gov/vuln/detail/CVE-2026-2925</t>
        </is>
      </c>
      <c r="L168" s="187" t="inlineStr">
        <is>
          <t>2026-02-27 20:47</t>
        </is>
      </c>
      <c r="M168" s="187" t="inlineStr">
        <is>
          <t>CHECK_VENDOR</t>
        </is>
      </c>
      <c r="N168" s="187" t="inlineStr">
        <is>
          <t>See NVD references</t>
        </is>
      </c>
      <c r="O168" s="187" t="inlineStr">
        <is>
          <t>Apply vendor patches</t>
        </is>
      </c>
      <c r="P168" s="187" t="inlineStr">
        <is>
          <t>dlink dwr-m960_firmware 1.01.07 | dlink dwr-m960 b1</t>
        </is>
      </c>
      <c r="Q168" s="187" t="inlineStr">
        <is>
          <t>P3</t>
        </is>
      </c>
      <c r="R168" s="187" t="inlineStr">
        <is>
          <t>🚨 URGENT: Apply vendor patches immediately | 🔒 Isolate affected systems if patch unavailable | 🛡️ Enable additional monitoring/IDS rules</t>
        </is>
      </c>
      <c r="S168" s="187" t="inlineStr">
        <is>
          <t>CVE - IP enrichment n/a</t>
        </is>
      </c>
      <c r="T168" s="187" t="n">
        <v>0.0003</v>
      </c>
      <c r="U168" s="187" t="n">
        <v>0.0819</v>
      </c>
      <c r="V168" s="187" t="inlineStr">
        <is>
          <t>T1203:Exploitation for Client Execution</t>
        </is>
      </c>
      <c r="W168" s="187" t="n">
        <v>1</v>
      </c>
      <c r="X168" s="187" t="inlineStr">
        <is>
          <t>LOW (40%)</t>
        </is>
      </c>
      <c r="Y168" s="187" t="inlineStr">
        <is>
          <t>UNLIKELY</t>
        </is>
      </c>
      <c r="Z168" s="187" t="inlineStr">
        <is>
          <t>CHECK_VENDOR</t>
        </is>
      </c>
      <c r="AA168" s="187" t="inlineStr">
        <is>
          <t>https://nvd.nist.gov/vuln/detail/CVE-2026-2925</t>
        </is>
      </c>
      <c r="AB168" s="187" t="inlineStr">
        <is>
          <t>NONE</t>
        </is>
      </c>
      <c r="AC168" s="187" t="n">
        <v>0</v>
      </c>
      <c r="AD168" s="187" t="inlineStr"/>
    </row>
    <row r="169">
      <c r="A169" s="187" t="inlineStr">
        <is>
          <t>CVE</t>
        </is>
      </c>
      <c r="B169" s="187" t="inlineStr">
        <is>
          <t>CVE-2026-2926</t>
        </is>
      </c>
      <c r="C169" s="187"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69" s="187" t="n">
        <v>8.800000000000001</v>
      </c>
      <c r="E169" s="187" t="inlineStr">
        <is>
          <t>HIGH</t>
        </is>
      </c>
      <c r="F169" s="187" t="n">
        <v>2</v>
      </c>
      <c r="G169" s="187" t="n">
        <v>3</v>
      </c>
      <c r="H169" s="187" t="inlineStr">
        <is>
          <t>HIGH</t>
        </is>
      </c>
      <c r="I169" s="187" t="n">
        <v>14.8</v>
      </c>
      <c r="J169" s="187" t="inlineStr">
        <is>
          <t>NO</t>
        </is>
      </c>
      <c r="K169" s="187" t="inlineStr">
        <is>
          <t>https://nvd.nist.gov/vuln/detail/CVE-2026-2926</t>
        </is>
      </c>
      <c r="L169" s="187" t="inlineStr">
        <is>
          <t>2026-02-27 20:47</t>
        </is>
      </c>
      <c r="M169" s="187" t="inlineStr">
        <is>
          <t>CHECK_VENDOR</t>
        </is>
      </c>
      <c r="N169" s="187" t="inlineStr">
        <is>
          <t>See NVD references</t>
        </is>
      </c>
      <c r="O169" s="187" t="inlineStr">
        <is>
          <t>Apply vendor patches</t>
        </is>
      </c>
      <c r="P169" s="187" t="inlineStr">
        <is>
          <t>dlink dwr-m960_firmware 1.01.07 | dlink dwr-m960 b1</t>
        </is>
      </c>
      <c r="Q169" s="187" t="inlineStr">
        <is>
          <t>P3</t>
        </is>
      </c>
      <c r="R169" s="187" t="inlineStr">
        <is>
          <t>🚨 URGENT: Apply vendor patches immediately | 🔒 Isolate affected systems if patch unavailable | 🛡️ Enable additional monitoring/IDS rules</t>
        </is>
      </c>
      <c r="S169" s="187" t="inlineStr">
        <is>
          <t>CVE - IP enrichment n/a</t>
        </is>
      </c>
      <c r="T169" s="187" t="n">
        <v>0.0003</v>
      </c>
      <c r="U169" s="187" t="n">
        <v>0.0819</v>
      </c>
      <c r="V169" s="187" t="inlineStr">
        <is>
          <t>T1203:Exploitation for Client Execution</t>
        </is>
      </c>
      <c r="W169" s="187" t="n">
        <v>1</v>
      </c>
      <c r="X169" s="187" t="inlineStr">
        <is>
          <t>LOW (40%)</t>
        </is>
      </c>
      <c r="Y169" s="187" t="inlineStr">
        <is>
          <t>UNLIKELY</t>
        </is>
      </c>
      <c r="Z169" s="187" t="inlineStr">
        <is>
          <t>CHECK_VENDOR</t>
        </is>
      </c>
      <c r="AA169" s="187" t="inlineStr">
        <is>
          <t>https://nvd.nist.gov/vuln/detail/CVE-2026-2926</t>
        </is>
      </c>
      <c r="AB169" s="187" t="inlineStr">
        <is>
          <t>NONE</t>
        </is>
      </c>
      <c r="AC169" s="187" t="n">
        <v>0</v>
      </c>
      <c r="AD169" s="187" t="inlineStr"/>
    </row>
    <row r="170">
      <c r="A170" s="187" t="inlineStr">
        <is>
          <t>CVE</t>
        </is>
      </c>
      <c r="B170" s="187" t="inlineStr">
        <is>
          <t>CVE-2026-2927</t>
        </is>
      </c>
      <c r="C170" s="187"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70" s="187" t="n">
        <v>8.800000000000001</v>
      </c>
      <c r="E170" s="187" t="inlineStr">
        <is>
          <t>HIGH</t>
        </is>
      </c>
      <c r="F170" s="187" t="n">
        <v>2</v>
      </c>
      <c r="G170" s="187" t="n">
        <v>3</v>
      </c>
      <c r="H170" s="187" t="inlineStr">
        <is>
          <t>HIGH</t>
        </is>
      </c>
      <c r="I170" s="187" t="n">
        <v>14.8</v>
      </c>
      <c r="J170" s="187" t="inlineStr">
        <is>
          <t>NO</t>
        </is>
      </c>
      <c r="K170" s="187" t="inlineStr">
        <is>
          <t>https://nvd.nist.gov/vuln/detail/CVE-2026-2927</t>
        </is>
      </c>
      <c r="L170" s="187" t="inlineStr">
        <is>
          <t>2026-02-27 20:47</t>
        </is>
      </c>
      <c r="M170" s="187" t="inlineStr">
        <is>
          <t>CHECK_VENDOR</t>
        </is>
      </c>
      <c r="N170" s="187" t="inlineStr">
        <is>
          <t>See NVD references</t>
        </is>
      </c>
      <c r="O170" s="187" t="inlineStr">
        <is>
          <t>Apply vendor patches</t>
        </is>
      </c>
      <c r="P170" s="187" t="inlineStr">
        <is>
          <t>dlink dwr-m960_firmware 1.01.07 | dlink dwr-m960 b1</t>
        </is>
      </c>
      <c r="Q170" s="187" t="inlineStr">
        <is>
          <t>P3</t>
        </is>
      </c>
      <c r="R170" s="187" t="inlineStr">
        <is>
          <t>🚨 URGENT: Apply vendor patches immediately | 🔒 Isolate affected systems if patch unavailable | 🛡️ Enable additional monitoring/IDS rules</t>
        </is>
      </c>
      <c r="S170" s="187" t="inlineStr">
        <is>
          <t>CVE - IP enrichment n/a</t>
        </is>
      </c>
      <c r="T170" s="187" t="n">
        <v>0.0003</v>
      </c>
      <c r="U170" s="187" t="n">
        <v>0.0819</v>
      </c>
      <c r="V170" s="187" t="inlineStr">
        <is>
          <t>T1203:Exploitation for Client Execution</t>
        </is>
      </c>
      <c r="W170" s="187" t="n">
        <v>1</v>
      </c>
      <c r="X170" s="187" t="inlineStr">
        <is>
          <t>LOW (40%)</t>
        </is>
      </c>
      <c r="Y170" s="187" t="inlineStr">
        <is>
          <t>UNLIKELY</t>
        </is>
      </c>
      <c r="Z170" s="187" t="inlineStr">
        <is>
          <t>CHECK_VENDOR</t>
        </is>
      </c>
      <c r="AA170" s="187" t="inlineStr">
        <is>
          <t>https://nvd.nist.gov/vuln/detail/CVE-2026-2927</t>
        </is>
      </c>
      <c r="AB170" s="187" t="inlineStr">
        <is>
          <t>NONE</t>
        </is>
      </c>
      <c r="AC170" s="187" t="n">
        <v>0</v>
      </c>
      <c r="AD170" s="187" t="inlineStr"/>
    </row>
    <row r="171">
      <c r="A171" s="187" t="inlineStr">
        <is>
          <t>CVE</t>
        </is>
      </c>
      <c r="B171" s="187" t="inlineStr">
        <is>
          <t>CVE-2026-2928</t>
        </is>
      </c>
      <c r="C171" s="187"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71" s="187" t="n">
        <v>8.800000000000001</v>
      </c>
      <c r="E171" s="187" t="inlineStr">
        <is>
          <t>HIGH</t>
        </is>
      </c>
      <c r="F171" s="187" t="n">
        <v>2</v>
      </c>
      <c r="G171" s="187" t="n">
        <v>3</v>
      </c>
      <c r="H171" s="187" t="inlineStr">
        <is>
          <t>HIGH</t>
        </is>
      </c>
      <c r="I171" s="187" t="n">
        <v>14.8</v>
      </c>
      <c r="J171" s="187" t="inlineStr">
        <is>
          <t>NO</t>
        </is>
      </c>
      <c r="K171" s="187" t="inlineStr">
        <is>
          <t>https://nvd.nist.gov/vuln/detail/CVE-2026-2928</t>
        </is>
      </c>
      <c r="L171" s="187" t="inlineStr">
        <is>
          <t>2026-02-27 20:47</t>
        </is>
      </c>
      <c r="M171" s="187" t="inlineStr">
        <is>
          <t>CHECK_VENDOR</t>
        </is>
      </c>
      <c r="N171" s="187" t="inlineStr">
        <is>
          <t>See NVD references</t>
        </is>
      </c>
      <c r="O171" s="187" t="inlineStr">
        <is>
          <t>Apply vendor patches</t>
        </is>
      </c>
      <c r="P171" s="187" t="inlineStr">
        <is>
          <t>dlink dwr-m960_firmware 1.01.07 | dlink dwr-m960 b1</t>
        </is>
      </c>
      <c r="Q171" s="187" t="inlineStr">
        <is>
          <t>P3</t>
        </is>
      </c>
      <c r="R171" s="187" t="inlineStr">
        <is>
          <t>🚨 URGENT: Apply vendor patches immediately | 🔒 Isolate affected systems if patch unavailable | 🛡️ Enable additional monitoring/IDS rules</t>
        </is>
      </c>
      <c r="S171" s="187" t="inlineStr">
        <is>
          <t>CVE - IP enrichment n/a</t>
        </is>
      </c>
      <c r="T171" s="187" t="n">
        <v>0.0002</v>
      </c>
      <c r="U171" s="187" t="n">
        <v>0.0507</v>
      </c>
      <c r="V171" s="187" t="inlineStr">
        <is>
          <t>T1203:Exploitation for Client Execution</t>
        </is>
      </c>
      <c r="W171" s="187" t="n">
        <v>1</v>
      </c>
      <c r="X171" s="187" t="inlineStr">
        <is>
          <t>LOW (40%)</t>
        </is>
      </c>
      <c r="Y171" s="187" t="inlineStr">
        <is>
          <t>UNLIKELY</t>
        </is>
      </c>
      <c r="Z171" s="187" t="inlineStr">
        <is>
          <t>CHECK_VENDOR</t>
        </is>
      </c>
      <c r="AA171" s="187" t="inlineStr">
        <is>
          <t>https://nvd.nist.gov/vuln/detail/CVE-2026-2928</t>
        </is>
      </c>
      <c r="AB171" s="187" t="inlineStr">
        <is>
          <t>NONE</t>
        </is>
      </c>
      <c r="AC171" s="187" t="n">
        <v>0</v>
      </c>
      <c r="AD171" s="187" t="inlineStr"/>
    </row>
    <row r="172">
      <c r="A172" s="188" t="inlineStr">
        <is>
          <t>CVE</t>
        </is>
      </c>
      <c r="B172" s="188" t="inlineStr">
        <is>
          <t>CVE-2026-1369</t>
        </is>
      </c>
      <c r="C172" s="188" t="inlineStr">
        <is>
          <t>The Conditional CAPTCHA WordPress plugin through 4.0.0 does not validate a parameter before redirecting the user to its value, leading to an Open Redirect issue</t>
        </is>
      </c>
      <c r="D172" s="188" t="n">
        <v>4.3</v>
      </c>
      <c r="E172" s="188" t="inlineStr">
        <is>
          <t>MEDIUM</t>
        </is>
      </c>
      <c r="F172" s="188" t="n">
        <v>2</v>
      </c>
      <c r="G172" s="188" t="n">
        <v>2</v>
      </c>
      <c r="H172" s="188" t="inlineStr">
        <is>
          <t>MEDIUM</t>
        </is>
      </c>
      <c r="I172" s="188" t="n">
        <v>8.300000000000001</v>
      </c>
      <c r="J172" s="188" t="inlineStr">
        <is>
          <t>NO</t>
        </is>
      </c>
      <c r="K172" s="188" t="inlineStr">
        <is>
          <t>https://nvd.nist.gov/vuln/detail/CVE-2026-1369</t>
        </is>
      </c>
      <c r="L172" s="188" t="inlineStr">
        <is>
          <t>2026-02-27 20:47</t>
        </is>
      </c>
      <c r="M172" s="188" t="inlineStr">
        <is>
          <t>CHECK_VENDOR</t>
        </is>
      </c>
      <c r="N172" s="188" t="inlineStr">
        <is>
          <t>See NVD references</t>
        </is>
      </c>
      <c r="O172" s="188" t="inlineStr">
        <is>
          <t>Apply vendor patches</t>
        </is>
      </c>
      <c r="P172" s="188" t="inlineStr">
        <is>
          <t>See CVE details</t>
        </is>
      </c>
      <c r="Q172" s="188" t="inlineStr">
        <is>
          <t>P4</t>
        </is>
      </c>
      <c r="R172" s="188" t="inlineStr">
        <is>
          <t>📅 Schedule patch deployment within 30 days | 🔍 Monitor for exploitation attempts</t>
        </is>
      </c>
      <c r="S172" s="188" t="inlineStr">
        <is>
          <t>CVE - IP enrichment n/a</t>
        </is>
      </c>
      <c r="T172" s="188" t="n">
        <v>0.0003</v>
      </c>
      <c r="U172" s="188" t="n">
        <v>0.0762</v>
      </c>
      <c r="V172" s="188" t="inlineStr">
        <is>
          <t>T1189:Drive-by Compromise</t>
        </is>
      </c>
      <c r="W172" s="188" t="n">
        <v>1</v>
      </c>
      <c r="X172" s="188" t="inlineStr">
        <is>
          <t>LOW (40%)</t>
        </is>
      </c>
      <c r="Y172" s="188" t="inlineStr">
        <is>
          <t>UNLIKELY</t>
        </is>
      </c>
      <c r="Z172" s="188" t="inlineStr">
        <is>
          <t>CHECK_VENDOR</t>
        </is>
      </c>
      <c r="AA172" s="188" t="inlineStr">
        <is>
          <t>https://nvd.nist.gov/vuln/detail/CVE-2026-1369</t>
        </is>
      </c>
      <c r="AB172" s="188" t="inlineStr">
        <is>
          <t>NONE</t>
        </is>
      </c>
      <c r="AC172" s="188" t="n">
        <v>0</v>
      </c>
      <c r="AD172" s="188" t="inlineStr"/>
    </row>
    <row r="173">
      <c r="A173" s="187" t="inlineStr">
        <is>
          <t>CVE</t>
        </is>
      </c>
      <c r="B173" s="187" t="inlineStr">
        <is>
          <t>CVE-2026-2929</t>
        </is>
      </c>
      <c r="C173" s="187"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73" s="187" t="n">
        <v>8.800000000000001</v>
      </c>
      <c r="E173" s="187" t="inlineStr">
        <is>
          <t>HIGH</t>
        </is>
      </c>
      <c r="F173" s="187" t="n">
        <v>2</v>
      </c>
      <c r="G173" s="187" t="n">
        <v>3</v>
      </c>
      <c r="H173" s="187" t="inlineStr">
        <is>
          <t>HIGH</t>
        </is>
      </c>
      <c r="I173" s="187" t="n">
        <v>14.8</v>
      </c>
      <c r="J173" s="187" t="inlineStr">
        <is>
          <t>NO</t>
        </is>
      </c>
      <c r="K173" s="187" t="inlineStr">
        <is>
          <t>https://nvd.nist.gov/vuln/detail/CVE-2026-2929</t>
        </is>
      </c>
      <c r="L173" s="187" t="inlineStr">
        <is>
          <t>2026-02-27 20:47</t>
        </is>
      </c>
      <c r="M173" s="187" t="inlineStr">
        <is>
          <t>CHECK_VENDOR</t>
        </is>
      </c>
      <c r="N173" s="187" t="inlineStr">
        <is>
          <t>See NVD references</t>
        </is>
      </c>
      <c r="O173" s="187" t="inlineStr">
        <is>
          <t>Apply vendor patches</t>
        </is>
      </c>
      <c r="P173" s="187" t="inlineStr">
        <is>
          <t>dlink dwr-m960_firmware 1.01.07 | dlink dwr-m960 b1</t>
        </is>
      </c>
      <c r="Q173" s="187" t="inlineStr">
        <is>
          <t>P3</t>
        </is>
      </c>
      <c r="R173" s="187" t="inlineStr">
        <is>
          <t>🚨 URGENT: Apply vendor patches immediately | 🔒 Isolate affected systems if patch unavailable | 🛡️ Enable additional monitoring/IDS rules</t>
        </is>
      </c>
      <c r="S173" s="187" t="inlineStr">
        <is>
          <t>CVE - IP enrichment n/a</t>
        </is>
      </c>
      <c r="T173" s="187" t="n">
        <v>0.0003</v>
      </c>
      <c r="U173" s="187" t="n">
        <v>0.0819</v>
      </c>
      <c r="V173" s="187" t="inlineStr">
        <is>
          <t>T1203:Exploitation for Client Execution</t>
        </is>
      </c>
      <c r="W173" s="187" t="n">
        <v>1</v>
      </c>
      <c r="X173" s="187" t="inlineStr">
        <is>
          <t>LOW (40%)</t>
        </is>
      </c>
      <c r="Y173" s="187" t="inlineStr">
        <is>
          <t>UNLIKELY</t>
        </is>
      </c>
      <c r="Z173" s="187" t="inlineStr">
        <is>
          <t>CHECK_VENDOR</t>
        </is>
      </c>
      <c r="AA173" s="187" t="inlineStr">
        <is>
          <t>https://nvd.nist.gov/vuln/detail/CVE-2026-2929</t>
        </is>
      </c>
      <c r="AB173" s="187" t="inlineStr">
        <is>
          <t>NONE</t>
        </is>
      </c>
      <c r="AC173" s="187" t="n">
        <v>0</v>
      </c>
      <c r="AD173" s="187" t="inlineStr"/>
    </row>
    <row r="174">
      <c r="A174" s="188" t="inlineStr">
        <is>
          <t>CVE</t>
        </is>
      </c>
      <c r="B174" s="188" t="inlineStr">
        <is>
          <t>CVE-2026-2930</t>
        </is>
      </c>
      <c r="C174" s="188"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74" s="188" t="n">
        <v>6.3</v>
      </c>
      <c r="E174" s="188" t="inlineStr">
        <is>
          <t>MEDIUM</t>
        </is>
      </c>
      <c r="F174" s="188" t="n">
        <v>2</v>
      </c>
      <c r="G174" s="188" t="n">
        <v>2</v>
      </c>
      <c r="H174" s="188" t="inlineStr">
        <is>
          <t>MEDIUM</t>
        </is>
      </c>
      <c r="I174" s="188" t="n">
        <v>10.3</v>
      </c>
      <c r="J174" s="188" t="inlineStr">
        <is>
          <t>NO</t>
        </is>
      </c>
      <c r="K174" s="188" t="inlineStr">
        <is>
          <t>https://nvd.nist.gov/vuln/detail/CVE-2026-2930</t>
        </is>
      </c>
      <c r="L174" s="188" t="inlineStr">
        <is>
          <t>2026-02-27 20:47</t>
        </is>
      </c>
      <c r="M174" s="188" t="inlineStr">
        <is>
          <t>CHECK_VENDOR</t>
        </is>
      </c>
      <c r="N174" s="188" t="inlineStr">
        <is>
          <t>See NVD references</t>
        </is>
      </c>
      <c r="O174" s="188" t="inlineStr">
        <is>
          <t>Apply vendor patches</t>
        </is>
      </c>
      <c r="P174" s="188" t="inlineStr">
        <is>
          <t>tenda a18_firmware 15.13.07.13 | tenda a18 -</t>
        </is>
      </c>
      <c r="Q174" s="188" t="inlineStr">
        <is>
          <t>P4</t>
        </is>
      </c>
      <c r="R174" s="188" t="inlineStr">
        <is>
          <t>📅 Schedule patch deployment within 30 days | 🔍 Monitor for exploitation attempts</t>
        </is>
      </c>
      <c r="S174" s="188" t="inlineStr">
        <is>
          <t>CVE - IP enrichment n/a</t>
        </is>
      </c>
      <c r="T174" s="188" t="n">
        <v>0.0005</v>
      </c>
      <c r="U174" s="188" t="n">
        <v>0.1507</v>
      </c>
      <c r="V174" s="188" t="inlineStr">
        <is>
          <t>T1203:Exploitation for Client Execution</t>
        </is>
      </c>
      <c r="W174" s="188" t="n">
        <v>1</v>
      </c>
      <c r="X174" s="188" t="inlineStr">
        <is>
          <t>LOW (40%)</t>
        </is>
      </c>
      <c r="Y174" s="188" t="inlineStr">
        <is>
          <t>UNLIKELY</t>
        </is>
      </c>
      <c r="Z174" s="188" t="inlineStr">
        <is>
          <t>CHECK_VENDOR</t>
        </is>
      </c>
      <c r="AA174" s="188" t="inlineStr">
        <is>
          <t>https://nvd.nist.gov/vuln/detail/CVE-2026-2930</t>
        </is>
      </c>
      <c r="AB174" s="188" t="inlineStr">
        <is>
          <t>NONE</t>
        </is>
      </c>
      <c r="AC174" s="188" t="n">
        <v>0</v>
      </c>
      <c r="AD174" s="188" t="inlineStr"/>
    </row>
    <row r="175">
      <c r="A175" s="190" t="inlineStr">
        <is>
          <t>CVE</t>
        </is>
      </c>
      <c r="B175" s="190" t="inlineStr">
        <is>
          <t>CVE-2026-2932</t>
        </is>
      </c>
      <c r="C175" s="190"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75" s="190" t="n">
        <v>2.4</v>
      </c>
      <c r="E175" s="190" t="inlineStr">
        <is>
          <t>LOW</t>
        </is>
      </c>
      <c r="F175" s="190" t="n">
        <v>2</v>
      </c>
      <c r="G175" s="190" t="n">
        <v>1</v>
      </c>
      <c r="H175" s="190" t="inlineStr">
        <is>
          <t>LOW</t>
        </is>
      </c>
      <c r="I175" s="190" t="n">
        <v>4.4</v>
      </c>
      <c r="J175" s="190" t="inlineStr">
        <is>
          <t>NO</t>
        </is>
      </c>
      <c r="K175" s="190" t="inlineStr">
        <is>
          <t>https://nvd.nist.gov/vuln/detail/CVE-2026-2932</t>
        </is>
      </c>
      <c r="L175" s="190" t="inlineStr">
        <is>
          <t>2026-02-27 20:47</t>
        </is>
      </c>
      <c r="M175" s="190" t="inlineStr">
        <is>
          <t>CHECK_VENDOR</t>
        </is>
      </c>
      <c r="N175" s="190" t="inlineStr">
        <is>
          <t>See NVD references</t>
        </is>
      </c>
      <c r="O175" s="190" t="inlineStr">
        <is>
          <t>Apply vendor patches</t>
        </is>
      </c>
      <c r="P175" s="190" t="inlineStr">
        <is>
          <t>yifangcms yifang *</t>
        </is>
      </c>
      <c r="Q175" s="190" t="inlineStr">
        <is>
          <t>P4</t>
        </is>
      </c>
      <c r="R175" s="190" t="inlineStr">
        <is>
          <t>📅 Schedule patch deployment within 30 days | 🔍 Monitor for exploitation attempts</t>
        </is>
      </c>
      <c r="S175" s="190" t="inlineStr">
        <is>
          <t>CVE - IP enrichment n/a</t>
        </is>
      </c>
      <c r="T175" s="190" t="n">
        <v>0.0003</v>
      </c>
      <c r="U175" s="190" t="n">
        <v>0.099</v>
      </c>
      <c r="V175" s="190" t="inlineStr">
        <is>
          <t>T1189:Drive-by Compromise</t>
        </is>
      </c>
      <c r="W175" s="190" t="n">
        <v>1</v>
      </c>
      <c r="X175" s="190" t="inlineStr">
        <is>
          <t>LOW (40%)</t>
        </is>
      </c>
      <c r="Y175" s="190" t="inlineStr">
        <is>
          <t>UNLIKELY</t>
        </is>
      </c>
      <c r="Z175" s="190" t="inlineStr">
        <is>
          <t>CHECK_VENDOR</t>
        </is>
      </c>
      <c r="AA175" s="190" t="inlineStr">
        <is>
          <t>https://nvd.nist.gov/vuln/detail/CVE-2026-2932</t>
        </is>
      </c>
      <c r="AB175" s="190" t="inlineStr">
        <is>
          <t>NONE</t>
        </is>
      </c>
      <c r="AC175" s="190" t="n">
        <v>0</v>
      </c>
      <c r="AD175" s="190" t="inlineStr"/>
    </row>
    <row r="176">
      <c r="A176" s="190" t="inlineStr">
        <is>
          <t>CVE</t>
        </is>
      </c>
      <c r="B176" s="190" t="inlineStr">
        <is>
          <t>CVE-2026-2933</t>
        </is>
      </c>
      <c r="C176" s="190"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76" s="190" t="n">
        <v>2.4</v>
      </c>
      <c r="E176" s="190" t="inlineStr">
        <is>
          <t>LOW</t>
        </is>
      </c>
      <c r="F176" s="190" t="n">
        <v>2</v>
      </c>
      <c r="G176" s="190" t="n">
        <v>1</v>
      </c>
      <c r="H176" s="190" t="inlineStr">
        <is>
          <t>LOW</t>
        </is>
      </c>
      <c r="I176" s="190" t="n">
        <v>4.4</v>
      </c>
      <c r="J176" s="190" t="inlineStr">
        <is>
          <t>NO</t>
        </is>
      </c>
      <c r="K176" s="190" t="inlineStr">
        <is>
          <t>https://nvd.nist.gov/vuln/detail/CVE-2026-2933</t>
        </is>
      </c>
      <c r="L176" s="190" t="inlineStr">
        <is>
          <t>2026-02-27 20:47</t>
        </is>
      </c>
      <c r="M176" s="190" t="inlineStr">
        <is>
          <t>CHECK_VENDOR</t>
        </is>
      </c>
      <c r="N176" s="190" t="inlineStr">
        <is>
          <t>See NVD references</t>
        </is>
      </c>
      <c r="O176" s="190" t="inlineStr">
        <is>
          <t>Apply vendor patches</t>
        </is>
      </c>
      <c r="P176" s="190" t="inlineStr">
        <is>
          <t>yifangcms yifang *</t>
        </is>
      </c>
      <c r="Q176" s="190" t="inlineStr">
        <is>
          <t>P4</t>
        </is>
      </c>
      <c r="R176" s="190" t="inlineStr">
        <is>
          <t>📅 Schedule patch deployment within 30 days | 🔍 Monitor for exploitation attempts</t>
        </is>
      </c>
      <c r="S176" s="190" t="inlineStr">
        <is>
          <t>CVE - IP enrichment n/a</t>
        </is>
      </c>
      <c r="T176" s="190" t="n">
        <v>0.0002</v>
      </c>
      <c r="U176" s="190" t="n">
        <v>0.0602</v>
      </c>
      <c r="V176" s="190" t="inlineStr">
        <is>
          <t>T1189:Drive-by Compromise</t>
        </is>
      </c>
      <c r="W176" s="190" t="n">
        <v>1</v>
      </c>
      <c r="X176" s="190" t="inlineStr">
        <is>
          <t>LOW (40%)</t>
        </is>
      </c>
      <c r="Y176" s="190" t="inlineStr">
        <is>
          <t>UNLIKELY</t>
        </is>
      </c>
      <c r="Z176" s="190" t="inlineStr">
        <is>
          <t>CHECK_VENDOR</t>
        </is>
      </c>
      <c r="AA176" s="190" t="inlineStr">
        <is>
          <t>https://nvd.nist.gov/vuln/detail/CVE-2026-2933</t>
        </is>
      </c>
      <c r="AB176" s="190" t="inlineStr">
        <is>
          <t>NONE</t>
        </is>
      </c>
      <c r="AC176" s="190" t="n">
        <v>0</v>
      </c>
      <c r="AD176" s="190" t="inlineStr"/>
    </row>
    <row r="177">
      <c r="A177" s="188" t="inlineStr">
        <is>
          <t>CVE</t>
        </is>
      </c>
      <c r="B177" s="188" t="inlineStr">
        <is>
          <t>CVE-2026-2385</t>
        </is>
      </c>
      <c r="C177" s="188"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77" s="188" t="n">
        <v>5.3</v>
      </c>
      <c r="E177" s="188" t="inlineStr">
        <is>
          <t>MEDIUM</t>
        </is>
      </c>
      <c r="F177" s="188" t="n">
        <v>2</v>
      </c>
      <c r="G177" s="188" t="n">
        <v>2</v>
      </c>
      <c r="H177" s="188" t="inlineStr">
        <is>
          <t>MEDIUM</t>
        </is>
      </c>
      <c r="I177" s="188" t="n">
        <v>9.300000000000001</v>
      </c>
      <c r="J177" s="188" t="inlineStr">
        <is>
          <t>NO</t>
        </is>
      </c>
      <c r="K177" s="188" t="inlineStr">
        <is>
          <t>https://nvd.nist.gov/vuln/detail/CVE-2026-2385</t>
        </is>
      </c>
      <c r="L177" s="188" t="inlineStr">
        <is>
          <t>2026-02-27 20:47</t>
        </is>
      </c>
      <c r="M177" s="188" t="inlineStr">
        <is>
          <t>CHECK_VENDOR</t>
        </is>
      </c>
      <c r="N177" s="188" t="inlineStr">
        <is>
          <t>See NVD references</t>
        </is>
      </c>
      <c r="O177" s="188" t="inlineStr">
        <is>
          <t>Apply vendor patches</t>
        </is>
      </c>
      <c r="P177" s="188" t="inlineStr">
        <is>
          <t>See CVE details</t>
        </is>
      </c>
      <c r="Q177" s="188" t="inlineStr">
        <is>
          <t>P4</t>
        </is>
      </c>
      <c r="R177" s="188" t="inlineStr">
        <is>
          <t>📅 Schedule patch deployment within 30 days | 🔍 Monitor for exploitation attempts</t>
        </is>
      </c>
      <c r="S177" s="188" t="inlineStr">
        <is>
          <t>CVE - IP enrichment n/a</t>
        </is>
      </c>
      <c r="T177" s="188" t="n">
        <v>0.0002</v>
      </c>
      <c r="U177" s="188" t="n">
        <v>0.0602</v>
      </c>
      <c r="V177" s="188" t="inlineStr">
        <is>
          <t>T1190:Exploit Public-Facing Application | T1600:Weaken Encryption</t>
        </is>
      </c>
      <c r="W177" s="188" t="n">
        <v>1</v>
      </c>
      <c r="X177" s="188" t="inlineStr">
        <is>
          <t>LOW (40%)</t>
        </is>
      </c>
      <c r="Y177" s="188" t="inlineStr">
        <is>
          <t>UNLIKELY</t>
        </is>
      </c>
      <c r="Z177" s="188" t="inlineStr">
        <is>
          <t>CHECK_VENDOR</t>
        </is>
      </c>
      <c r="AA177" s="188" t="inlineStr">
        <is>
          <t>https://nvd.nist.gov/vuln/detail/CVE-2026-2385</t>
        </is>
      </c>
      <c r="AB177" s="188" t="inlineStr">
        <is>
          <t>NONE</t>
        </is>
      </c>
      <c r="AC177" s="188" t="n">
        <v>0</v>
      </c>
      <c r="AD177" s="188" t="inlineStr"/>
    </row>
    <row r="178">
      <c r="A178" s="190" t="inlineStr">
        <is>
          <t>CVE</t>
        </is>
      </c>
      <c r="B178" s="190" t="inlineStr">
        <is>
          <t>CVE-2026-2934</t>
        </is>
      </c>
      <c r="C178" s="190"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78" s="190" t="n">
        <v>2.4</v>
      </c>
      <c r="E178" s="190" t="inlineStr">
        <is>
          <t>LOW</t>
        </is>
      </c>
      <c r="F178" s="190" t="n">
        <v>2</v>
      </c>
      <c r="G178" s="190" t="n">
        <v>1</v>
      </c>
      <c r="H178" s="190" t="inlineStr">
        <is>
          <t>LOW</t>
        </is>
      </c>
      <c r="I178" s="190" t="n">
        <v>4.4</v>
      </c>
      <c r="J178" s="190" t="inlineStr">
        <is>
          <t>NO</t>
        </is>
      </c>
      <c r="K178" s="190" t="inlineStr">
        <is>
          <t>https://nvd.nist.gov/vuln/detail/CVE-2026-2934</t>
        </is>
      </c>
      <c r="L178" s="190" t="inlineStr">
        <is>
          <t>2026-02-27 20:47</t>
        </is>
      </c>
      <c r="M178" s="190" t="inlineStr">
        <is>
          <t>CHECK_VENDOR</t>
        </is>
      </c>
      <c r="N178" s="190" t="inlineStr">
        <is>
          <t>See NVD references</t>
        </is>
      </c>
      <c r="O178" s="190" t="inlineStr">
        <is>
          <t>Apply vendor patches</t>
        </is>
      </c>
      <c r="P178" s="190" t="inlineStr">
        <is>
          <t>yifangcms yifang *</t>
        </is>
      </c>
      <c r="Q178" s="190" t="inlineStr">
        <is>
          <t>P4</t>
        </is>
      </c>
      <c r="R178" s="190" t="inlineStr">
        <is>
          <t>📅 Schedule patch deployment within 30 days | 🔍 Monitor for exploitation attempts</t>
        </is>
      </c>
      <c r="S178" s="190" t="inlineStr">
        <is>
          <t>CVE - IP enrichment n/a</t>
        </is>
      </c>
      <c r="T178" s="190" t="n">
        <v>0.0002</v>
      </c>
      <c r="U178" s="190" t="n">
        <v>0.0602</v>
      </c>
      <c r="V178" s="190" t="inlineStr">
        <is>
          <t>T1189:Drive-by Compromise</t>
        </is>
      </c>
      <c r="W178" s="190" t="n">
        <v>1</v>
      </c>
      <c r="X178" s="190" t="inlineStr">
        <is>
          <t>LOW (40%)</t>
        </is>
      </c>
      <c r="Y178" s="190" t="inlineStr">
        <is>
          <t>UNLIKELY</t>
        </is>
      </c>
      <c r="Z178" s="190" t="inlineStr">
        <is>
          <t>CHECK_VENDOR</t>
        </is>
      </c>
      <c r="AA178" s="190" t="inlineStr">
        <is>
          <t>https://nvd.nist.gov/vuln/detail/CVE-2026-2934</t>
        </is>
      </c>
      <c r="AB178" s="190" t="inlineStr">
        <is>
          <t>NONE</t>
        </is>
      </c>
      <c r="AC178" s="190" t="n">
        <v>0</v>
      </c>
      <c r="AD178" s="190" t="inlineStr"/>
    </row>
    <row r="179">
      <c r="A179" s="187" t="inlineStr">
        <is>
          <t>CVE</t>
        </is>
      </c>
      <c r="B179" s="187" t="inlineStr">
        <is>
          <t>CVE-2026-2935</t>
        </is>
      </c>
      <c r="C179" s="187"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79" s="187" t="n">
        <v>7.2</v>
      </c>
      <c r="E179" s="187" t="inlineStr">
        <is>
          <t>HIGH</t>
        </is>
      </c>
      <c r="F179" s="187" t="n">
        <v>2</v>
      </c>
      <c r="G179" s="187" t="n">
        <v>3</v>
      </c>
      <c r="H179" s="187" t="inlineStr">
        <is>
          <t>HIGH</t>
        </is>
      </c>
      <c r="I179" s="187" t="n">
        <v>13.2</v>
      </c>
      <c r="J179" s="187" t="inlineStr">
        <is>
          <t>NO</t>
        </is>
      </c>
      <c r="K179" s="187" t="inlineStr">
        <is>
          <t>https://nvd.nist.gov/vuln/detail/CVE-2026-2935</t>
        </is>
      </c>
      <c r="L179" s="187" t="inlineStr">
        <is>
          <t>2026-02-27 20:47</t>
        </is>
      </c>
      <c r="M179" s="187" t="inlineStr">
        <is>
          <t>YES</t>
        </is>
      </c>
      <c r="N179" s="187" t="inlineStr">
        <is>
          <t>https://github.com/alc9700jmo/CVE/issues/23</t>
        </is>
      </c>
      <c r="O179" s="187" t="inlineStr">
        <is>
          <t>https://github.com/alc9700jmo/CVE/issues/23</t>
        </is>
      </c>
      <c r="P179" s="187" t="inlineStr">
        <is>
          <t>utt 810g 3.0 | utt 810g_firmware *</t>
        </is>
      </c>
      <c r="Q179" s="187" t="inlineStr">
        <is>
          <t>P3</t>
        </is>
      </c>
      <c r="R179" s="187" t="inlineStr">
        <is>
          <t>🚨 URGENT: Apply vendor patches immediately | 🔒 Isolate affected systems if patch unavailable | 🛡️ Enable additional monitoring/IDS rules</t>
        </is>
      </c>
      <c r="S179" s="187" t="inlineStr">
        <is>
          <t>CVE - IP enrichment n/a</t>
        </is>
      </c>
      <c r="T179" s="187" t="n">
        <v>0.0008</v>
      </c>
      <c r="U179" s="187" t="n">
        <v>0.2256</v>
      </c>
      <c r="V179" s="187" t="inlineStr">
        <is>
          <t>T1203:Exploitation for Client Execution</t>
        </is>
      </c>
      <c r="W179" s="187" t="n">
        <v>1</v>
      </c>
      <c r="X179" s="187" t="inlineStr">
        <is>
          <t>LOW (40%)</t>
        </is>
      </c>
      <c r="Y179" s="187" t="inlineStr">
        <is>
          <t>UNLIKELY</t>
        </is>
      </c>
      <c r="Z179" s="187" t="inlineStr">
        <is>
          <t>PATCH_AVAILABLE</t>
        </is>
      </c>
      <c r="AA179" s="187" t="inlineStr">
        <is>
          <t>https://nvd.nist.gov/vuln/detail/CVE-2026-2935</t>
        </is>
      </c>
      <c r="AB179" s="187" t="inlineStr">
        <is>
          <t>NONE</t>
        </is>
      </c>
      <c r="AC179" s="187" t="n">
        <v>0</v>
      </c>
      <c r="AD179" s="187" t="inlineStr"/>
    </row>
    <row r="180">
      <c r="A180" s="187" t="inlineStr">
        <is>
          <t>CVE</t>
        </is>
      </c>
      <c r="B180" s="187" t="inlineStr">
        <is>
          <t>CVE-2026-2938</t>
        </is>
      </c>
      <c r="C180" s="187"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80" s="187" t="n">
        <v>7.3</v>
      </c>
      <c r="E180" s="187" t="inlineStr">
        <is>
          <t>HIGH</t>
        </is>
      </c>
      <c r="F180" s="187" t="n">
        <v>2</v>
      </c>
      <c r="G180" s="187" t="n">
        <v>3</v>
      </c>
      <c r="H180" s="187" t="inlineStr">
        <is>
          <t>HIGH</t>
        </is>
      </c>
      <c r="I180" s="187" t="n">
        <v>13.3</v>
      </c>
      <c r="J180" s="187" t="inlineStr">
        <is>
          <t>NO</t>
        </is>
      </c>
      <c r="K180" s="187" t="inlineStr">
        <is>
          <t>https://nvd.nist.gov/vuln/detail/CVE-2026-2938</t>
        </is>
      </c>
      <c r="L180" s="187" t="inlineStr">
        <is>
          <t>2026-02-27 20:47</t>
        </is>
      </c>
      <c r="M180" s="187" t="inlineStr">
        <is>
          <t>CHECK_VENDOR</t>
        </is>
      </c>
      <c r="N180" s="187" t="inlineStr">
        <is>
          <t>See NVD references</t>
        </is>
      </c>
      <c r="O180" s="187" t="inlineStr">
        <is>
          <t>Apply vendor patches</t>
        </is>
      </c>
      <c r="P180" s="187" t="inlineStr">
        <is>
          <t>munyweki student_result_management_system 1.0</t>
        </is>
      </c>
      <c r="Q180" s="187" t="inlineStr">
        <is>
          <t>P3</t>
        </is>
      </c>
      <c r="R180" s="187" t="inlineStr">
        <is>
          <t>🚨 URGENT: Apply vendor patches immediately | 🔒 Isolate affected systems if patch unavailable | 🛡️ Enable additional monitoring/IDS rules</t>
        </is>
      </c>
      <c r="S180" s="187" t="inlineStr">
        <is>
          <t>CVE - IP enrichment n/a</t>
        </is>
      </c>
      <c r="T180" s="187" t="n">
        <v>0.0003</v>
      </c>
      <c r="U180" s="187" t="n">
        <v>0.0905</v>
      </c>
      <c r="V180" s="187" t="inlineStr">
        <is>
          <t>T1190:Exploit Public-Facing Application</t>
        </is>
      </c>
      <c r="W180" s="187" t="n">
        <v>1</v>
      </c>
      <c r="X180" s="187" t="inlineStr">
        <is>
          <t>LOW (40%)</t>
        </is>
      </c>
      <c r="Y180" s="187" t="inlineStr">
        <is>
          <t>UNLIKELY</t>
        </is>
      </c>
      <c r="Z180" s="187" t="inlineStr">
        <is>
          <t>CHECK_VENDOR</t>
        </is>
      </c>
      <c r="AA180" s="187" t="inlineStr">
        <is>
          <t>https://nvd.nist.gov/vuln/detail/CVE-2026-2938</t>
        </is>
      </c>
      <c r="AB180" s="187" t="inlineStr">
        <is>
          <t>NONE</t>
        </is>
      </c>
      <c r="AC180" s="187" t="n">
        <v>0</v>
      </c>
      <c r="AD180" s="187" t="inlineStr"/>
    </row>
    <row r="181">
      <c r="A181" s="190" t="inlineStr">
        <is>
          <t>CVE</t>
        </is>
      </c>
      <c r="B181" s="190" t="inlineStr">
        <is>
          <t>CVE-2026-2939</t>
        </is>
      </c>
      <c r="C181" s="190"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81" s="190" t="n">
        <v>2.4</v>
      </c>
      <c r="E181" s="190" t="inlineStr">
        <is>
          <t>LOW</t>
        </is>
      </c>
      <c r="F181" s="190" t="n">
        <v>2</v>
      </c>
      <c r="G181" s="190" t="n">
        <v>1</v>
      </c>
      <c r="H181" s="190" t="inlineStr">
        <is>
          <t>LOW</t>
        </is>
      </c>
      <c r="I181" s="190" t="n">
        <v>4.4</v>
      </c>
      <c r="J181" s="190" t="inlineStr">
        <is>
          <t>NO</t>
        </is>
      </c>
      <c r="K181" s="190" t="inlineStr">
        <is>
          <t>https://nvd.nist.gov/vuln/detail/CVE-2026-2939</t>
        </is>
      </c>
      <c r="L181" s="190" t="inlineStr">
        <is>
          <t>2026-02-27 20:47</t>
        </is>
      </c>
      <c r="M181" s="190" t="inlineStr">
        <is>
          <t>CHECK_VENDOR</t>
        </is>
      </c>
      <c r="N181" s="190" t="inlineStr">
        <is>
          <t>See NVD references</t>
        </is>
      </c>
      <c r="O181" s="190" t="inlineStr">
        <is>
          <t>Apply vendor patches</t>
        </is>
      </c>
      <c r="P181" s="190" t="inlineStr">
        <is>
          <t>itsourcecode student_management_system 1.0</t>
        </is>
      </c>
      <c r="Q181" s="190" t="inlineStr">
        <is>
          <t>P4</t>
        </is>
      </c>
      <c r="R181" s="190" t="inlineStr">
        <is>
          <t>📅 Schedule patch deployment within 30 days | 🔍 Monitor for exploitation attempts</t>
        </is>
      </c>
      <c r="S181" s="190" t="inlineStr">
        <is>
          <t>CVE - IP enrichment n/a</t>
        </is>
      </c>
      <c r="T181" s="190" t="n">
        <v>0.0004</v>
      </c>
      <c r="U181" s="190" t="n">
        <v>0.1114</v>
      </c>
      <c r="V181" s="190" t="inlineStr">
        <is>
          <t>T1189:Drive-by Compromise | T1190:Exploit Public-Facing Application</t>
        </is>
      </c>
      <c r="W181" s="190" t="n">
        <v>1</v>
      </c>
      <c r="X181" s="190" t="inlineStr">
        <is>
          <t>LOW (40%)</t>
        </is>
      </c>
      <c r="Y181" s="190" t="inlineStr">
        <is>
          <t>UNLIKELY</t>
        </is>
      </c>
      <c r="Z181" s="190" t="inlineStr">
        <is>
          <t>CHECK_VENDOR</t>
        </is>
      </c>
      <c r="AA181" s="190" t="inlineStr">
        <is>
          <t>https://nvd.nist.gov/vuln/detail/CVE-2026-2939</t>
        </is>
      </c>
      <c r="AB181" s="190" t="inlineStr">
        <is>
          <t>NONE</t>
        </is>
      </c>
      <c r="AC181" s="190" t="n">
        <v>0</v>
      </c>
      <c r="AD181" s="190" t="inlineStr"/>
    </row>
    <row r="182">
      <c r="A182" s="187" t="inlineStr">
        <is>
          <t>CVE</t>
        </is>
      </c>
      <c r="B182" s="187" t="inlineStr">
        <is>
          <t>CVE-2026-2940</t>
        </is>
      </c>
      <c r="C182" s="187"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82" s="187" t="n">
        <v>7.3</v>
      </c>
      <c r="E182" s="187" t="inlineStr">
        <is>
          <t>HIGH</t>
        </is>
      </c>
      <c r="F182" s="187" t="n">
        <v>2</v>
      </c>
      <c r="G182" s="187" t="n">
        <v>3</v>
      </c>
      <c r="H182" s="187" t="inlineStr">
        <is>
          <t>HIGH</t>
        </is>
      </c>
      <c r="I182" s="187" t="n">
        <v>13.3</v>
      </c>
      <c r="J182" s="187" t="inlineStr">
        <is>
          <t>NO</t>
        </is>
      </c>
      <c r="K182" s="187" t="inlineStr">
        <is>
          <t>https://nvd.nist.gov/vuln/detail/CVE-2026-2940</t>
        </is>
      </c>
      <c r="L182" s="187" t="inlineStr">
        <is>
          <t>2026-02-27 20:47</t>
        </is>
      </c>
      <c r="M182" s="187" t="inlineStr">
        <is>
          <t>CHECK_VENDOR</t>
        </is>
      </c>
      <c r="N182" s="187" t="inlineStr">
        <is>
          <t>See NVD references</t>
        </is>
      </c>
      <c r="O182" s="187" t="inlineStr">
        <is>
          <t>Apply vendor patches</t>
        </is>
      </c>
      <c r="P182" s="187" t="inlineStr">
        <is>
          <t>See CVE details</t>
        </is>
      </c>
      <c r="Q182" s="187" t="inlineStr">
        <is>
          <t>P3</t>
        </is>
      </c>
      <c r="R182" s="187" t="inlineStr">
        <is>
          <t>🚨 URGENT: Apply vendor patches immediately | 🔒 Isolate affected systems if patch unavailable | 🛡️ Enable additional monitoring/IDS rules</t>
        </is>
      </c>
      <c r="S182" s="187" t="inlineStr">
        <is>
          <t>CVE - IP enrichment n/a</t>
        </is>
      </c>
      <c r="T182" s="187" t="n">
        <v>0.0005</v>
      </c>
      <c r="U182" s="187" t="n">
        <v>0.1425</v>
      </c>
      <c r="V182" s="187" t="inlineStr">
        <is>
          <t>T1203:Exploitation for Client Execution</t>
        </is>
      </c>
      <c r="W182" s="187" t="n">
        <v>1</v>
      </c>
      <c r="X182" s="187" t="inlineStr">
        <is>
          <t>LOW (40%)</t>
        </is>
      </c>
      <c r="Y182" s="187" t="inlineStr">
        <is>
          <t>UNLIKELY</t>
        </is>
      </c>
      <c r="Z182" s="187" t="inlineStr">
        <is>
          <t>CHECK_VENDOR</t>
        </is>
      </c>
      <c r="AA182" s="187" t="inlineStr">
        <is>
          <t>https://nvd.nist.gov/vuln/detail/CVE-2026-2940</t>
        </is>
      </c>
      <c r="AB182" s="187" t="inlineStr">
        <is>
          <t>NONE</t>
        </is>
      </c>
      <c r="AC182" s="187" t="n">
        <v>0</v>
      </c>
      <c r="AD182" s="187" t="inlineStr"/>
    </row>
    <row r="183">
      <c r="A183" s="188" t="inlineStr">
        <is>
          <t>CVE</t>
        </is>
      </c>
      <c r="B183" s="188" t="inlineStr">
        <is>
          <t>CVE-2026-2943</t>
        </is>
      </c>
      <c r="C183" s="188"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83" s="188" t="n">
        <v>4.3</v>
      </c>
      <c r="E183" s="188" t="inlineStr">
        <is>
          <t>MEDIUM</t>
        </is>
      </c>
      <c r="F183" s="188" t="n">
        <v>2</v>
      </c>
      <c r="G183" s="188" t="n">
        <v>2</v>
      </c>
      <c r="H183" s="188" t="inlineStr">
        <is>
          <t>MEDIUM</t>
        </is>
      </c>
      <c r="I183" s="188" t="n">
        <v>8.300000000000001</v>
      </c>
      <c r="J183" s="188" t="inlineStr">
        <is>
          <t>NO</t>
        </is>
      </c>
      <c r="K183" s="188" t="inlineStr">
        <is>
          <t>https://nvd.nist.gov/vuln/detail/CVE-2026-2943</t>
        </is>
      </c>
      <c r="L183" s="188" t="inlineStr">
        <is>
          <t>2026-02-27 20:47</t>
        </is>
      </c>
      <c r="M183" s="188" t="inlineStr">
        <is>
          <t>CHECK_VENDOR</t>
        </is>
      </c>
      <c r="N183" s="188" t="inlineStr">
        <is>
          <t>See NVD references</t>
        </is>
      </c>
      <c r="O183" s="188" t="inlineStr">
        <is>
          <t>Apply vendor patches</t>
        </is>
      </c>
      <c r="P183" s="188" t="inlineStr">
        <is>
          <t>See CVE details</t>
        </is>
      </c>
      <c r="Q183" s="188" t="inlineStr">
        <is>
          <t>P4</t>
        </is>
      </c>
      <c r="R183" s="188" t="inlineStr">
        <is>
          <t>📅 Schedule patch deployment within 30 days | 🔍 Monitor for exploitation attempts</t>
        </is>
      </c>
      <c r="S183" s="188" t="inlineStr">
        <is>
          <t>CVE - IP enrichment n/a</t>
        </is>
      </c>
      <c r="T183" s="188" t="n">
        <v>0.0003</v>
      </c>
      <c r="U183" s="188" t="n">
        <v>0.0853</v>
      </c>
      <c r="V183" s="188" t="inlineStr">
        <is>
          <t>T1189:Drive-by Compromise</t>
        </is>
      </c>
      <c r="W183" s="188" t="n">
        <v>1</v>
      </c>
      <c r="X183" s="188" t="inlineStr">
        <is>
          <t>LOW (40%)</t>
        </is>
      </c>
      <c r="Y183" s="188" t="inlineStr">
        <is>
          <t>UNLIKELY</t>
        </is>
      </c>
      <c r="Z183" s="188" t="inlineStr">
        <is>
          <t>CHECK_VENDOR</t>
        </is>
      </c>
      <c r="AA183" s="188" t="inlineStr">
        <is>
          <t>https://nvd.nist.gov/vuln/detail/CVE-2026-2943</t>
        </is>
      </c>
      <c r="AB183" s="188" t="inlineStr">
        <is>
          <t>NONE</t>
        </is>
      </c>
      <c r="AC183" s="188" t="n">
        <v>0</v>
      </c>
      <c r="AD183" s="188" t="inlineStr"/>
    </row>
    <row r="184">
      <c r="A184" s="187" t="inlineStr">
        <is>
          <t>CVE</t>
        </is>
      </c>
      <c r="B184" s="187" t="inlineStr">
        <is>
          <t>CVE-2026-2944</t>
        </is>
      </c>
      <c r="C184" s="187"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84" s="187" t="n">
        <v>7.3</v>
      </c>
      <c r="E184" s="187" t="inlineStr">
        <is>
          <t>HIGH</t>
        </is>
      </c>
      <c r="F184" s="187" t="n">
        <v>2</v>
      </c>
      <c r="G184" s="187" t="n">
        <v>3</v>
      </c>
      <c r="H184" s="187" t="inlineStr">
        <is>
          <t>HIGH</t>
        </is>
      </c>
      <c r="I184" s="187" t="n">
        <v>13.3</v>
      </c>
      <c r="J184" s="187" t="inlineStr">
        <is>
          <t>NO</t>
        </is>
      </c>
      <c r="K184" s="187" t="inlineStr">
        <is>
          <t>https://nvd.nist.gov/vuln/detail/CVE-2026-2944</t>
        </is>
      </c>
      <c r="L184" s="187" t="inlineStr">
        <is>
          <t>2026-02-27 20:47</t>
        </is>
      </c>
      <c r="M184" s="187" t="inlineStr">
        <is>
          <t>CHECK_VENDOR</t>
        </is>
      </c>
      <c r="N184" s="187" t="inlineStr">
        <is>
          <t>See NVD references</t>
        </is>
      </c>
      <c r="O184" s="187" t="inlineStr">
        <is>
          <t>Apply vendor patches</t>
        </is>
      </c>
      <c r="P184" s="187" t="inlineStr">
        <is>
          <t>tosei-corporation online_store_management_system 1.01</t>
        </is>
      </c>
      <c r="Q184" s="187" t="inlineStr">
        <is>
          <t>P3</t>
        </is>
      </c>
      <c r="R184" s="187" t="inlineStr">
        <is>
          <t>🚨 URGENT: Apply vendor patches immediately | 🔒 Isolate affected systems if patch unavailable | 🛡️ Enable additional monitoring/IDS rules</t>
        </is>
      </c>
      <c r="S184" s="187" t="inlineStr">
        <is>
          <t>CVE - IP enrichment n/a</t>
        </is>
      </c>
      <c r="T184" s="187" t="n">
        <v>0.002</v>
      </c>
      <c r="U184" s="187" t="n">
        <v>0.4213</v>
      </c>
      <c r="V184" s="187" t="inlineStr">
        <is>
          <t>T1059:Command and Scripting Interpreter</t>
        </is>
      </c>
      <c r="W184" s="187" t="n">
        <v>1</v>
      </c>
      <c r="X184" s="187" t="inlineStr">
        <is>
          <t>LOW (40%)</t>
        </is>
      </c>
      <c r="Y184" s="187" t="inlineStr">
        <is>
          <t>UNLIKELY</t>
        </is>
      </c>
      <c r="Z184" s="187" t="inlineStr">
        <is>
          <t>CHECK_VENDOR</t>
        </is>
      </c>
      <c r="AA184" s="187" t="inlineStr">
        <is>
          <t>https://nvd.nist.gov/vuln/detail/CVE-2026-2944</t>
        </is>
      </c>
      <c r="AB184" s="187" t="inlineStr">
        <is>
          <t>NONE</t>
        </is>
      </c>
      <c r="AC184" s="187" t="n">
        <v>0</v>
      </c>
      <c r="AD184" s="187" t="inlineStr"/>
    </row>
    <row r="185">
      <c r="A185" s="188" t="inlineStr">
        <is>
          <t>CVE</t>
        </is>
      </c>
      <c r="B185" s="188" t="inlineStr">
        <is>
          <t>CVE-2026-2945</t>
        </is>
      </c>
      <c r="C185" s="188"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85" s="188" t="n">
        <v>6.3</v>
      </c>
      <c r="E185" s="188" t="inlineStr">
        <is>
          <t>MEDIUM</t>
        </is>
      </c>
      <c r="F185" s="188" t="n">
        <v>2</v>
      </c>
      <c r="G185" s="188" t="n">
        <v>2</v>
      </c>
      <c r="H185" s="188" t="inlineStr">
        <is>
          <t>MEDIUM</t>
        </is>
      </c>
      <c r="I185" s="188" t="n">
        <v>10.3</v>
      </c>
      <c r="J185" s="188" t="inlineStr">
        <is>
          <t>NO</t>
        </is>
      </c>
      <c r="K185" s="188" t="inlineStr">
        <is>
          <t>https://nvd.nist.gov/vuln/detail/CVE-2026-2945</t>
        </is>
      </c>
      <c r="L185" s="188" t="inlineStr">
        <is>
          <t>2026-02-27 20:47</t>
        </is>
      </c>
      <c r="M185" s="188" t="inlineStr">
        <is>
          <t>CHECK_VENDOR</t>
        </is>
      </c>
      <c r="N185" s="188" t="inlineStr">
        <is>
          <t>See NVD references</t>
        </is>
      </c>
      <c r="O185" s="188" t="inlineStr">
        <is>
          <t>Apply vendor patches</t>
        </is>
      </c>
      <c r="P185" s="188" t="inlineStr">
        <is>
          <t>See CVE details</t>
        </is>
      </c>
      <c r="Q185" s="188" t="inlineStr">
        <is>
          <t>P4</t>
        </is>
      </c>
      <c r="R185" s="188" t="inlineStr">
        <is>
          <t>📅 Schedule patch deployment within 30 days | 🔍 Monitor for exploitation attempts</t>
        </is>
      </c>
      <c r="S185" s="188" t="inlineStr">
        <is>
          <t>CVE - IP enrichment n/a</t>
        </is>
      </c>
      <c r="T185" s="188" t="n">
        <v>0.0003</v>
      </c>
      <c r="U185" s="188" t="n">
        <v>0.0959</v>
      </c>
      <c r="V185" s="188" t="inlineStr">
        <is>
          <t>T1090:Proxy</t>
        </is>
      </c>
      <c r="W185" s="188" t="n">
        <v>1</v>
      </c>
      <c r="X185" s="188" t="inlineStr">
        <is>
          <t>LOW (40%)</t>
        </is>
      </c>
      <c r="Y185" s="188" t="inlineStr">
        <is>
          <t>UNLIKELY</t>
        </is>
      </c>
      <c r="Z185" s="188" t="inlineStr">
        <is>
          <t>CHECK_VENDOR</t>
        </is>
      </c>
      <c r="AA185" s="188" t="inlineStr">
        <is>
          <t>https://nvd.nist.gov/vuln/detail/CVE-2026-2945</t>
        </is>
      </c>
      <c r="AB185" s="188" t="inlineStr">
        <is>
          <t>NONE</t>
        </is>
      </c>
      <c r="AC185" s="188" t="n">
        <v>0</v>
      </c>
      <c r="AD185" s="188" t="inlineStr"/>
    </row>
    <row r="186">
      <c r="A186" s="190" t="inlineStr">
        <is>
          <t>CVE</t>
        </is>
      </c>
      <c r="B186" s="190" t="inlineStr">
        <is>
          <t>CVE-2026-2946</t>
        </is>
      </c>
      <c r="C186" s="190"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86" s="190" t="n">
        <v>3.5</v>
      </c>
      <c r="E186" s="190" t="inlineStr">
        <is>
          <t>LOW</t>
        </is>
      </c>
      <c r="F186" s="190" t="n">
        <v>2</v>
      </c>
      <c r="G186" s="190" t="n">
        <v>1</v>
      </c>
      <c r="H186" s="190" t="inlineStr">
        <is>
          <t>LOW</t>
        </is>
      </c>
      <c r="I186" s="190" t="n">
        <v>5.5</v>
      </c>
      <c r="J186" s="190" t="inlineStr">
        <is>
          <t>NO</t>
        </is>
      </c>
      <c r="K186" s="190" t="inlineStr">
        <is>
          <t>https://nvd.nist.gov/vuln/detail/CVE-2026-2946</t>
        </is>
      </c>
      <c r="L186" s="190" t="inlineStr">
        <is>
          <t>2026-02-27 20:47</t>
        </is>
      </c>
      <c r="M186" s="190" t="inlineStr">
        <is>
          <t>CHECK_VENDOR</t>
        </is>
      </c>
      <c r="N186" s="190" t="inlineStr">
        <is>
          <t>See NVD references</t>
        </is>
      </c>
      <c r="O186" s="190" t="inlineStr">
        <is>
          <t>Apply vendor patches</t>
        </is>
      </c>
      <c r="P186" s="190" t="inlineStr">
        <is>
          <t>rymcu forest *</t>
        </is>
      </c>
      <c r="Q186" s="190" t="inlineStr">
        <is>
          <t>P4</t>
        </is>
      </c>
      <c r="R186" s="190" t="inlineStr">
        <is>
          <t>📅 Schedule patch deployment within 30 days | 🔍 Monitor for exploitation attempts</t>
        </is>
      </c>
      <c r="S186" s="190" t="inlineStr">
        <is>
          <t>CVE - IP enrichment n/a</t>
        </is>
      </c>
      <c r="T186" s="190" t="n">
        <v>0.0003</v>
      </c>
      <c r="U186" s="190" t="n">
        <v>0.07140000000000001</v>
      </c>
      <c r="V186" s="190" t="inlineStr">
        <is>
          <t>T1189:Drive-by Compromise</t>
        </is>
      </c>
      <c r="W186" s="190" t="n">
        <v>1</v>
      </c>
      <c r="X186" s="190" t="inlineStr">
        <is>
          <t>LOW (40%)</t>
        </is>
      </c>
      <c r="Y186" s="190" t="inlineStr">
        <is>
          <t>UNLIKELY</t>
        </is>
      </c>
      <c r="Z186" s="190" t="inlineStr">
        <is>
          <t>CHECK_VENDOR</t>
        </is>
      </c>
      <c r="AA186" s="190" t="inlineStr">
        <is>
          <t>https://nvd.nist.gov/vuln/detail/CVE-2026-2946</t>
        </is>
      </c>
      <c r="AB186" s="190" t="inlineStr">
        <is>
          <t>NONE</t>
        </is>
      </c>
      <c r="AC186" s="190" t="n">
        <v>0</v>
      </c>
      <c r="AD186" s="190" t="inlineStr"/>
    </row>
    <row r="187">
      <c r="A187" s="187" t="inlineStr">
        <is>
          <t>CVE</t>
        </is>
      </c>
      <c r="B187" s="187" t="inlineStr">
        <is>
          <t>CVE-2019-25366</t>
        </is>
      </c>
      <c r="C187" s="187"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87" s="187" t="n">
        <v>8.199999999999999</v>
      </c>
      <c r="E187" s="187" t="inlineStr">
        <is>
          <t>HIGH</t>
        </is>
      </c>
      <c r="F187" s="187" t="n">
        <v>2</v>
      </c>
      <c r="G187" s="187" t="n">
        <v>3</v>
      </c>
      <c r="H187" s="187" t="inlineStr">
        <is>
          <t>HIGH</t>
        </is>
      </c>
      <c r="I187" s="187" t="n">
        <v>14.2</v>
      </c>
      <c r="J187" s="187" t="inlineStr">
        <is>
          <t>NO</t>
        </is>
      </c>
      <c r="K187" s="187" t="inlineStr">
        <is>
          <t>https://nvd.nist.gov/vuln/detail/CVE-2019-25366</t>
        </is>
      </c>
      <c r="L187" s="187" t="inlineStr">
        <is>
          <t>2026-02-27 20:47</t>
        </is>
      </c>
      <c r="M187" s="187" t="inlineStr">
        <is>
          <t>CHECK_VENDOR</t>
        </is>
      </c>
      <c r="N187" s="187" t="inlineStr">
        <is>
          <t>See NVD references</t>
        </is>
      </c>
      <c r="O187" s="187" t="inlineStr">
        <is>
          <t>Apply vendor patches</t>
        </is>
      </c>
      <c r="P187" s="187" t="inlineStr">
        <is>
          <t>See CVE details</t>
        </is>
      </c>
      <c r="Q187" s="187" t="inlineStr">
        <is>
          <t>P3</t>
        </is>
      </c>
      <c r="R187" s="187" t="inlineStr">
        <is>
          <t>🚨 URGENT: Apply vendor patches immediately | 🔒 Isolate affected systems if patch unavailable | 🛡️ Enable additional monitoring/IDS rules</t>
        </is>
      </c>
      <c r="S187" s="187" t="inlineStr">
        <is>
          <t>CVE - IP enrichment n/a</t>
        </is>
      </c>
      <c r="T187" s="187" t="n">
        <v>0.0002</v>
      </c>
      <c r="U187" s="187" t="n">
        <v>0.0605</v>
      </c>
      <c r="V187" s="187" t="inlineStr">
        <is>
          <t>T1190:Exploit Public-Facing Application</t>
        </is>
      </c>
      <c r="W187" s="187" t="n">
        <v>1</v>
      </c>
      <c r="X187" s="187" t="inlineStr">
        <is>
          <t>LOW (40%)</t>
        </is>
      </c>
      <c r="Y187" s="187" t="inlineStr">
        <is>
          <t>UNLIKELY</t>
        </is>
      </c>
      <c r="Z187" s="187" t="inlineStr">
        <is>
          <t>CHECK_VENDOR</t>
        </is>
      </c>
      <c r="AA187" s="187" t="inlineStr">
        <is>
          <t>https://nvd.nist.gov/vuln/detail/CVE-2019-25366</t>
        </is>
      </c>
      <c r="AB187" s="187" t="inlineStr">
        <is>
          <t>NONE</t>
        </is>
      </c>
      <c r="AC187" s="187" t="n">
        <v>0</v>
      </c>
      <c r="AD187" s="187" t="inlineStr"/>
    </row>
    <row r="188">
      <c r="A188" s="187" t="inlineStr">
        <is>
          <t>CVE</t>
        </is>
      </c>
      <c r="B188" s="187" t="inlineStr">
        <is>
          <t>CVE-2019-25391</t>
        </is>
      </c>
      <c r="C188" s="187"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88" s="187" t="n">
        <v>8.199999999999999</v>
      </c>
      <c r="E188" s="187" t="inlineStr">
        <is>
          <t>HIGH</t>
        </is>
      </c>
      <c r="F188" s="187" t="n">
        <v>2</v>
      </c>
      <c r="G188" s="187" t="n">
        <v>3</v>
      </c>
      <c r="H188" s="187" t="inlineStr">
        <is>
          <t>HIGH</t>
        </is>
      </c>
      <c r="I188" s="187" t="n">
        <v>14.2</v>
      </c>
      <c r="J188" s="187" t="inlineStr">
        <is>
          <t>NO</t>
        </is>
      </c>
      <c r="K188" s="187" t="inlineStr">
        <is>
          <t>https://nvd.nist.gov/vuln/detail/CVE-2019-25391</t>
        </is>
      </c>
      <c r="L188" s="187" t="inlineStr">
        <is>
          <t>2026-02-27 20:47</t>
        </is>
      </c>
      <c r="M188" s="187" t="inlineStr">
        <is>
          <t>CHECK_VENDOR</t>
        </is>
      </c>
      <c r="N188" s="187" t="inlineStr">
        <is>
          <t>See NVD references</t>
        </is>
      </c>
      <c r="O188" s="187" t="inlineStr">
        <is>
          <t>Apply vendor patches</t>
        </is>
      </c>
      <c r="P188" s="187" t="inlineStr">
        <is>
          <t>See CVE details</t>
        </is>
      </c>
      <c r="Q188" s="187" t="inlineStr">
        <is>
          <t>P3</t>
        </is>
      </c>
      <c r="R188" s="187" t="inlineStr">
        <is>
          <t>🚨 URGENT: Apply vendor patches immediately | 🔒 Isolate affected systems if patch unavailable | 🛡️ Enable additional monitoring/IDS rules</t>
        </is>
      </c>
      <c r="S188" s="187" t="inlineStr">
        <is>
          <t>CVE - IP enrichment n/a</t>
        </is>
      </c>
      <c r="T188" s="187" t="n">
        <v>0.0003</v>
      </c>
      <c r="U188" s="187" t="n">
        <v>0.1019</v>
      </c>
      <c r="V188" s="187" t="inlineStr">
        <is>
          <t>T1190:Exploit Public-Facing Application</t>
        </is>
      </c>
      <c r="W188" s="187" t="n">
        <v>1</v>
      </c>
      <c r="X188" s="187" t="inlineStr">
        <is>
          <t>LOW (40%)</t>
        </is>
      </c>
      <c r="Y188" s="187" t="inlineStr">
        <is>
          <t>UNLIKELY</t>
        </is>
      </c>
      <c r="Z188" s="187" t="inlineStr">
        <is>
          <t>CHECK_VENDOR</t>
        </is>
      </c>
      <c r="AA188" s="187" t="inlineStr">
        <is>
          <t>https://nvd.nist.gov/vuln/detail/CVE-2019-25391</t>
        </is>
      </c>
      <c r="AB188" s="187" t="inlineStr">
        <is>
          <t>NONE</t>
        </is>
      </c>
      <c r="AC188" s="187" t="n">
        <v>0</v>
      </c>
      <c r="AD188" s="187" t="inlineStr"/>
    </row>
    <row r="189">
      <c r="A189" s="187" t="inlineStr">
        <is>
          <t>CVE</t>
        </is>
      </c>
      <c r="B189" s="187" t="inlineStr">
        <is>
          <t>CVE-2019-25433</t>
        </is>
      </c>
      <c r="C189" s="187"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89" s="187" t="n">
        <v>8.199999999999999</v>
      </c>
      <c r="E189" s="187" t="inlineStr">
        <is>
          <t>HIGH</t>
        </is>
      </c>
      <c r="F189" s="187" t="n">
        <v>2</v>
      </c>
      <c r="G189" s="187" t="n">
        <v>3</v>
      </c>
      <c r="H189" s="187" t="inlineStr">
        <is>
          <t>HIGH</t>
        </is>
      </c>
      <c r="I189" s="187" t="n">
        <v>14.2</v>
      </c>
      <c r="J189" s="187" t="inlineStr">
        <is>
          <t>NO</t>
        </is>
      </c>
      <c r="K189" s="187" t="inlineStr">
        <is>
          <t>https://nvd.nist.gov/vuln/detail/CVE-2019-25433</t>
        </is>
      </c>
      <c r="L189" s="187" t="inlineStr">
        <is>
          <t>2026-02-27 20:47</t>
        </is>
      </c>
      <c r="M189" s="187" t="inlineStr">
        <is>
          <t>CHECK_VENDOR</t>
        </is>
      </c>
      <c r="N189" s="187" t="inlineStr">
        <is>
          <t>See NVD references</t>
        </is>
      </c>
      <c r="O189" s="187" t="inlineStr">
        <is>
          <t>Apply vendor patches</t>
        </is>
      </c>
      <c r="P189" s="187" t="inlineStr">
        <is>
          <t>See CVE details</t>
        </is>
      </c>
      <c r="Q189" s="187" t="inlineStr">
        <is>
          <t>P3</t>
        </is>
      </c>
      <c r="R189" s="187" t="inlineStr">
        <is>
          <t>🚨 URGENT: Apply vendor patches immediately | 🔒 Isolate affected systems if patch unavailable | 🛡️ Enable additional monitoring/IDS rules</t>
        </is>
      </c>
      <c r="S189" s="187" t="inlineStr">
        <is>
          <t>CVE - IP enrichment n/a</t>
        </is>
      </c>
      <c r="T189" s="187" t="n">
        <v>0.0005999999999999999</v>
      </c>
      <c r="U189" s="187" t="n">
        <v>0.2015</v>
      </c>
      <c r="V189" s="187" t="inlineStr">
        <is>
          <t>T1190:Exploit Public-Facing Application</t>
        </is>
      </c>
      <c r="W189" s="187" t="n">
        <v>1</v>
      </c>
      <c r="X189" s="187" t="inlineStr">
        <is>
          <t>LOW (40%)</t>
        </is>
      </c>
      <c r="Y189" s="187" t="inlineStr">
        <is>
          <t>UNLIKELY</t>
        </is>
      </c>
      <c r="Z189" s="187" t="inlineStr">
        <is>
          <t>CHECK_VENDOR</t>
        </is>
      </c>
      <c r="AA189" s="187" t="inlineStr">
        <is>
          <t>https://nvd.nist.gov/vuln/detail/CVE-2019-25433</t>
        </is>
      </c>
      <c r="AB189" s="187" t="inlineStr">
        <is>
          <t>NONE</t>
        </is>
      </c>
      <c r="AC189" s="187" t="n">
        <v>0</v>
      </c>
      <c r="AD189" s="187" t="inlineStr"/>
    </row>
    <row r="190">
      <c r="A190" s="187" t="inlineStr">
        <is>
          <t>CVE</t>
        </is>
      </c>
      <c r="B190" s="187" t="inlineStr">
        <is>
          <t>CVE-2019-25439</t>
        </is>
      </c>
      <c r="C190" s="187"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90" s="187" t="n">
        <v>8.199999999999999</v>
      </c>
      <c r="E190" s="187" t="inlineStr">
        <is>
          <t>HIGH</t>
        </is>
      </c>
      <c r="F190" s="187" t="n">
        <v>2</v>
      </c>
      <c r="G190" s="187" t="n">
        <v>3</v>
      </c>
      <c r="H190" s="187" t="inlineStr">
        <is>
          <t>HIGH</t>
        </is>
      </c>
      <c r="I190" s="187" t="n">
        <v>14.2</v>
      </c>
      <c r="J190" s="187" t="inlineStr">
        <is>
          <t>NO</t>
        </is>
      </c>
      <c r="K190" s="187" t="inlineStr">
        <is>
          <t>https://nvd.nist.gov/vuln/detail/CVE-2019-25439</t>
        </is>
      </c>
      <c r="L190" s="187" t="inlineStr">
        <is>
          <t>2026-02-27 20:47</t>
        </is>
      </c>
      <c r="M190" s="187" t="inlineStr">
        <is>
          <t>CHECK_VENDOR</t>
        </is>
      </c>
      <c r="N190" s="187" t="inlineStr">
        <is>
          <t>See NVD references</t>
        </is>
      </c>
      <c r="O190" s="187" t="inlineStr">
        <is>
          <t>Apply vendor patches</t>
        </is>
      </c>
      <c r="P190" s="187" t="inlineStr">
        <is>
          <t>See CVE details</t>
        </is>
      </c>
      <c r="Q190" s="187" t="inlineStr">
        <is>
          <t>P3</t>
        </is>
      </c>
      <c r="R190" s="187" t="inlineStr">
        <is>
          <t>🚨 URGENT: Apply vendor patches immediately | 🔒 Isolate affected systems if patch unavailable | 🛡️ Enable additional monitoring/IDS rules</t>
        </is>
      </c>
      <c r="S190" s="187" t="inlineStr">
        <is>
          <t>CVE - IP enrichment n/a</t>
        </is>
      </c>
      <c r="T190" s="187" t="n">
        <v>0.0004</v>
      </c>
      <c r="U190" s="187" t="n">
        <v>0.1371</v>
      </c>
      <c r="V190" s="187" t="inlineStr">
        <is>
          <t>T1190:Exploit Public-Facing Application | T1499:Endpoint Denial of Service</t>
        </is>
      </c>
      <c r="W190" s="187" t="n">
        <v>1</v>
      </c>
      <c r="X190" s="187" t="inlineStr">
        <is>
          <t>LOW (40%)</t>
        </is>
      </c>
      <c r="Y190" s="187" t="inlineStr">
        <is>
          <t>UNLIKELY</t>
        </is>
      </c>
      <c r="Z190" s="187" t="inlineStr">
        <is>
          <t>CHECK_VENDOR</t>
        </is>
      </c>
      <c r="AA190" s="187" t="inlineStr">
        <is>
          <t>https://nvd.nist.gov/vuln/detail/CVE-2019-25439</t>
        </is>
      </c>
      <c r="AB190" s="187" t="inlineStr">
        <is>
          <t>NONE</t>
        </is>
      </c>
      <c r="AC190" s="187" t="n">
        <v>0</v>
      </c>
      <c r="AD190" s="187" t="inlineStr"/>
    </row>
    <row r="191">
      <c r="A191" s="187" t="inlineStr">
        <is>
          <t>CVE</t>
        </is>
      </c>
      <c r="B191" s="187" t="inlineStr">
        <is>
          <t>CVE-2019-25440</t>
        </is>
      </c>
      <c r="C191" s="187"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91" s="187" t="n">
        <v>8.199999999999999</v>
      </c>
      <c r="E191" s="187" t="inlineStr">
        <is>
          <t>HIGH</t>
        </is>
      </c>
      <c r="F191" s="187" t="n">
        <v>2</v>
      </c>
      <c r="G191" s="187" t="n">
        <v>3</v>
      </c>
      <c r="H191" s="187" t="inlineStr">
        <is>
          <t>HIGH</t>
        </is>
      </c>
      <c r="I191" s="187" t="n">
        <v>14.2</v>
      </c>
      <c r="J191" s="187" t="inlineStr">
        <is>
          <t>NO</t>
        </is>
      </c>
      <c r="K191" s="187" t="inlineStr">
        <is>
          <t>https://nvd.nist.gov/vuln/detail/CVE-2019-25440</t>
        </is>
      </c>
      <c r="L191" s="187" t="inlineStr">
        <is>
          <t>2026-02-27 20:47</t>
        </is>
      </c>
      <c r="M191" s="187" t="inlineStr">
        <is>
          <t>CHECK_VENDOR</t>
        </is>
      </c>
      <c r="N191" s="187" t="inlineStr">
        <is>
          <t>See NVD references</t>
        </is>
      </c>
      <c r="O191" s="187" t="inlineStr">
        <is>
          <t>Apply vendor patches</t>
        </is>
      </c>
      <c r="P191" s="187" t="inlineStr">
        <is>
          <t>See CVE details</t>
        </is>
      </c>
      <c r="Q191" s="187" t="inlineStr">
        <is>
          <t>P3</t>
        </is>
      </c>
      <c r="R191" s="187" t="inlineStr">
        <is>
          <t>🚨 URGENT: Apply vendor patches immediately | 🔒 Isolate affected systems if patch unavailable | 🛡️ Enable additional monitoring/IDS rules</t>
        </is>
      </c>
      <c r="S191" s="187" t="inlineStr">
        <is>
          <t>CVE - IP enrichment n/a</t>
        </is>
      </c>
      <c r="T191" s="187" t="n">
        <v>0.0007</v>
      </c>
      <c r="U191" s="187" t="n">
        <v>0.205</v>
      </c>
      <c r="V191" s="187" t="inlineStr">
        <is>
          <t>T1190:Exploit Public-Facing Application</t>
        </is>
      </c>
      <c r="W191" s="187" t="n">
        <v>1</v>
      </c>
      <c r="X191" s="187" t="inlineStr">
        <is>
          <t>LOW (40%)</t>
        </is>
      </c>
      <c r="Y191" s="187" t="inlineStr">
        <is>
          <t>UNLIKELY</t>
        </is>
      </c>
      <c r="Z191" s="187" t="inlineStr">
        <is>
          <t>CHECK_VENDOR</t>
        </is>
      </c>
      <c r="AA191" s="187" t="inlineStr">
        <is>
          <t>https://nvd.nist.gov/vuln/detail/CVE-2019-25440</t>
        </is>
      </c>
      <c r="AB191" s="187" t="inlineStr">
        <is>
          <t>NONE</t>
        </is>
      </c>
      <c r="AC191" s="187" t="n">
        <v>0</v>
      </c>
      <c r="AD191" s="187" t="inlineStr"/>
    </row>
    <row r="192">
      <c r="A192" s="187" t="inlineStr">
        <is>
          <t>CVE</t>
        </is>
      </c>
      <c r="B192" s="187" t="inlineStr">
        <is>
          <t>CVE-2019-25442</t>
        </is>
      </c>
      <c r="C192" s="187"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92" s="187" t="n">
        <v>8.199999999999999</v>
      </c>
      <c r="E192" s="187" t="inlineStr">
        <is>
          <t>HIGH</t>
        </is>
      </c>
      <c r="F192" s="187" t="n">
        <v>2</v>
      </c>
      <c r="G192" s="187" t="n">
        <v>3</v>
      </c>
      <c r="H192" s="187" t="inlineStr">
        <is>
          <t>HIGH</t>
        </is>
      </c>
      <c r="I192" s="187" t="n">
        <v>14.2</v>
      </c>
      <c r="J192" s="187" t="inlineStr">
        <is>
          <t>NO</t>
        </is>
      </c>
      <c r="K192" s="187" t="inlineStr">
        <is>
          <t>https://nvd.nist.gov/vuln/detail/CVE-2019-25442</t>
        </is>
      </c>
      <c r="L192" s="187" t="inlineStr">
        <is>
          <t>2026-02-27 20:47</t>
        </is>
      </c>
      <c r="M192" s="187" t="inlineStr">
        <is>
          <t>CHECK_VENDOR</t>
        </is>
      </c>
      <c r="N192" s="187" t="inlineStr">
        <is>
          <t>See NVD references</t>
        </is>
      </c>
      <c r="O192" s="187" t="inlineStr">
        <is>
          <t>Apply vendor patches</t>
        </is>
      </c>
      <c r="P192" s="187" t="inlineStr">
        <is>
          <t>webwiz web_wiz_forums 12.01</t>
        </is>
      </c>
      <c r="Q192" s="187" t="inlineStr">
        <is>
          <t>P3</t>
        </is>
      </c>
      <c r="R192" s="187" t="inlineStr">
        <is>
          <t>🚨 URGENT: Apply vendor patches immediately | 🔒 Isolate affected systems if patch unavailable | 🛡️ Enable additional monitoring/IDS rules</t>
        </is>
      </c>
      <c r="S192" s="187" t="inlineStr">
        <is>
          <t>CVE - IP enrichment n/a</t>
        </is>
      </c>
      <c r="T192" s="187" t="n">
        <v>0.0005999999999999999</v>
      </c>
      <c r="U192" s="187" t="n">
        <v>0.1832</v>
      </c>
      <c r="V192" s="187" t="inlineStr">
        <is>
          <t>T1190:Exploit Public-Facing Application</t>
        </is>
      </c>
      <c r="W192" s="187" t="n">
        <v>1</v>
      </c>
      <c r="X192" s="187" t="inlineStr">
        <is>
          <t>LOW (40%)</t>
        </is>
      </c>
      <c r="Y192" s="187" t="inlineStr">
        <is>
          <t>UNLIKELY</t>
        </is>
      </c>
      <c r="Z192" s="187" t="inlineStr">
        <is>
          <t>CHECK_VENDOR</t>
        </is>
      </c>
      <c r="AA192" s="187" t="inlineStr">
        <is>
          <t>https://nvd.nist.gov/vuln/detail/CVE-2019-25442</t>
        </is>
      </c>
      <c r="AB192" s="187" t="inlineStr">
        <is>
          <t>NONE</t>
        </is>
      </c>
      <c r="AC192" s="187" t="n">
        <v>0</v>
      </c>
      <c r="AD192" s="187" t="inlineStr"/>
    </row>
    <row r="193">
      <c r="A193" s="187" t="inlineStr">
        <is>
          <t>CVE</t>
        </is>
      </c>
      <c r="B193" s="187" t="inlineStr">
        <is>
          <t>CVE-2019-25443</t>
        </is>
      </c>
      <c r="C193" s="187"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93" s="187" t="n">
        <v>8.199999999999999</v>
      </c>
      <c r="E193" s="187" t="inlineStr">
        <is>
          <t>HIGH</t>
        </is>
      </c>
      <c r="F193" s="187" t="n">
        <v>2</v>
      </c>
      <c r="G193" s="187" t="n">
        <v>3</v>
      </c>
      <c r="H193" s="187" t="inlineStr">
        <is>
          <t>HIGH</t>
        </is>
      </c>
      <c r="I193" s="187" t="n">
        <v>14.2</v>
      </c>
      <c r="J193" s="187" t="inlineStr">
        <is>
          <t>NO</t>
        </is>
      </c>
      <c r="K193" s="187" t="inlineStr">
        <is>
          <t>https://nvd.nist.gov/vuln/detail/CVE-2019-25443</t>
        </is>
      </c>
      <c r="L193" s="187" t="inlineStr">
        <is>
          <t>2026-02-27 20:47</t>
        </is>
      </c>
      <c r="M193" s="187" t="inlineStr">
        <is>
          <t>CHECK_VENDOR</t>
        </is>
      </c>
      <c r="N193" s="187" t="inlineStr">
        <is>
          <t>See NVD references</t>
        </is>
      </c>
      <c r="O193" s="187" t="inlineStr">
        <is>
          <t>Apply vendor patches</t>
        </is>
      </c>
      <c r="P193" s="187" t="inlineStr">
        <is>
          <t>See CVE details</t>
        </is>
      </c>
      <c r="Q193" s="187" t="inlineStr">
        <is>
          <t>P3</t>
        </is>
      </c>
      <c r="R193" s="187" t="inlineStr">
        <is>
          <t>🚨 URGENT: Apply vendor patches immediately | 🔒 Isolate affected systems if patch unavailable | 🛡️ Enable additional monitoring/IDS rules</t>
        </is>
      </c>
      <c r="S193" s="187" t="inlineStr">
        <is>
          <t>CVE - IP enrichment n/a</t>
        </is>
      </c>
      <c r="T193" s="187" t="n">
        <v>0.0007</v>
      </c>
      <c r="U193" s="187" t="n">
        <v>0.205</v>
      </c>
      <c r="V193" s="187" t="inlineStr">
        <is>
          <t>T1190:Exploit Public-Facing Application</t>
        </is>
      </c>
      <c r="W193" s="187" t="n">
        <v>1</v>
      </c>
      <c r="X193" s="187" t="inlineStr">
        <is>
          <t>LOW (40%)</t>
        </is>
      </c>
      <c r="Y193" s="187" t="inlineStr">
        <is>
          <t>UNLIKELY</t>
        </is>
      </c>
      <c r="Z193" s="187" t="inlineStr">
        <is>
          <t>CHECK_VENDOR</t>
        </is>
      </c>
      <c r="AA193" s="187" t="inlineStr">
        <is>
          <t>https://nvd.nist.gov/vuln/detail/CVE-2019-25443</t>
        </is>
      </c>
      <c r="AB193" s="187" t="inlineStr">
        <is>
          <t>NONE</t>
        </is>
      </c>
      <c r="AC193" s="187" t="n">
        <v>0</v>
      </c>
      <c r="AD193" s="187" t="inlineStr"/>
    </row>
    <row r="194">
      <c r="A194" s="187" t="inlineStr">
        <is>
          <t>CVE</t>
        </is>
      </c>
      <c r="B194" s="187" t="inlineStr">
        <is>
          <t>CVE-2019-25446</t>
        </is>
      </c>
      <c r="C194" s="187"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94" s="187" t="n">
        <v>8.199999999999999</v>
      </c>
      <c r="E194" s="187" t="inlineStr">
        <is>
          <t>HIGH</t>
        </is>
      </c>
      <c r="F194" s="187" t="n">
        <v>2</v>
      </c>
      <c r="G194" s="187" t="n">
        <v>3</v>
      </c>
      <c r="H194" s="187" t="inlineStr">
        <is>
          <t>HIGH</t>
        </is>
      </c>
      <c r="I194" s="187" t="n">
        <v>14.2</v>
      </c>
      <c r="J194" s="187" t="inlineStr">
        <is>
          <t>NO</t>
        </is>
      </c>
      <c r="K194" s="187" t="inlineStr">
        <is>
          <t>https://nvd.nist.gov/vuln/detail/CVE-2019-25446</t>
        </is>
      </c>
      <c r="L194" s="187" t="inlineStr">
        <is>
          <t>2026-02-27 20:47</t>
        </is>
      </c>
      <c r="M194" s="187" t="inlineStr">
        <is>
          <t>CHECK_VENDOR</t>
        </is>
      </c>
      <c r="N194" s="187" t="inlineStr">
        <is>
          <t>See NVD references</t>
        </is>
      </c>
      <c r="O194" s="187" t="inlineStr">
        <is>
          <t>Apply vendor patches</t>
        </is>
      </c>
      <c r="P194" s="187" t="inlineStr">
        <is>
          <t>See CVE details</t>
        </is>
      </c>
      <c r="Q194" s="187" t="inlineStr">
        <is>
          <t>P3</t>
        </is>
      </c>
      <c r="R194" s="187" t="inlineStr">
        <is>
          <t>🚨 URGENT: Apply vendor patches immediately | 🔒 Isolate affected systems if patch unavailable | 🛡️ Enable additional monitoring/IDS rules</t>
        </is>
      </c>
      <c r="S194" s="187" t="inlineStr">
        <is>
          <t>CVE - IP enrichment n/a</t>
        </is>
      </c>
      <c r="T194" s="187" t="n">
        <v>0.0005999999999999999</v>
      </c>
      <c r="U194" s="187" t="n">
        <v>0.192</v>
      </c>
      <c r="V194" s="187" t="inlineStr">
        <is>
          <t>T1190:Exploit Public-Facing Application</t>
        </is>
      </c>
      <c r="W194" s="187" t="n">
        <v>1</v>
      </c>
      <c r="X194" s="187" t="inlineStr">
        <is>
          <t>LOW (40%)</t>
        </is>
      </c>
      <c r="Y194" s="187" t="inlineStr">
        <is>
          <t>UNLIKELY</t>
        </is>
      </c>
      <c r="Z194" s="187" t="inlineStr">
        <is>
          <t>CHECK_VENDOR</t>
        </is>
      </c>
      <c r="AA194" s="187" t="inlineStr">
        <is>
          <t>https://nvd.nist.gov/vuln/detail/CVE-2019-25446</t>
        </is>
      </c>
      <c r="AB194" s="187" t="inlineStr">
        <is>
          <t>NONE</t>
        </is>
      </c>
      <c r="AC194" s="187" t="n">
        <v>0</v>
      </c>
      <c r="AD194" s="187" t="inlineStr"/>
    </row>
    <row r="195">
      <c r="A195" s="187" t="inlineStr">
        <is>
          <t>CVE</t>
        </is>
      </c>
      <c r="B195" s="187" t="inlineStr">
        <is>
          <t>CVE-2019-25450</t>
        </is>
      </c>
      <c r="C195" s="187"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95" s="187" t="n">
        <v>7.1</v>
      </c>
      <c r="E195" s="187" t="inlineStr">
        <is>
          <t>HIGH</t>
        </is>
      </c>
      <c r="F195" s="187" t="n">
        <v>2</v>
      </c>
      <c r="G195" s="187" t="n">
        <v>3</v>
      </c>
      <c r="H195" s="187" t="inlineStr">
        <is>
          <t>HIGH</t>
        </is>
      </c>
      <c r="I195" s="187" t="n">
        <v>13.1</v>
      </c>
      <c r="J195" s="187" t="inlineStr">
        <is>
          <t>NO</t>
        </is>
      </c>
      <c r="K195" s="187" t="inlineStr">
        <is>
          <t>https://nvd.nist.gov/vuln/detail/CVE-2019-25450</t>
        </is>
      </c>
      <c r="L195" s="187" t="inlineStr">
        <is>
          <t>2026-02-27 20:47</t>
        </is>
      </c>
      <c r="M195" s="187" t="inlineStr">
        <is>
          <t>CHECK_VENDOR</t>
        </is>
      </c>
      <c r="N195" s="187" t="inlineStr">
        <is>
          <t>See NVD references</t>
        </is>
      </c>
      <c r="O195" s="187" t="inlineStr">
        <is>
          <t>Apply vendor patches</t>
        </is>
      </c>
      <c r="P195" s="187" t="inlineStr">
        <is>
          <t>dolibarr dolibarr_erp\/crm 10.0.1</t>
        </is>
      </c>
      <c r="Q195" s="187" t="inlineStr">
        <is>
          <t>P3</t>
        </is>
      </c>
      <c r="R195" s="187" t="inlineStr">
        <is>
          <t>🚨 URGENT: Apply vendor patches immediately | 🔒 Isolate affected systems if patch unavailable | 🛡️ Enable additional monitoring/IDS rules</t>
        </is>
      </c>
      <c r="S195" s="187" t="inlineStr">
        <is>
          <t>CVE - IP enrichment n/a</t>
        </is>
      </c>
      <c r="T195" s="187" t="n">
        <v>0.0004</v>
      </c>
      <c r="U195" s="187" t="n">
        <v>0.1048</v>
      </c>
      <c r="V195" s="187" t="inlineStr">
        <is>
          <t>T1190:Exploit Public-Facing Application</t>
        </is>
      </c>
      <c r="W195" s="187" t="n">
        <v>1</v>
      </c>
      <c r="X195" s="187" t="inlineStr">
        <is>
          <t>LOW (40%)</t>
        </is>
      </c>
      <c r="Y195" s="187" t="inlineStr">
        <is>
          <t>UNLIKELY</t>
        </is>
      </c>
      <c r="Z195" s="187" t="inlineStr">
        <is>
          <t>CHECK_VENDOR</t>
        </is>
      </c>
      <c r="AA195" s="187" t="inlineStr">
        <is>
          <t>https://nvd.nist.gov/vuln/detail/CVE-2019-25450</t>
        </is>
      </c>
      <c r="AB195" s="187" t="inlineStr">
        <is>
          <t>NONE</t>
        </is>
      </c>
      <c r="AC195" s="187" t="n">
        <v>0</v>
      </c>
      <c r="AD195" s="187" t="inlineStr"/>
    </row>
    <row r="196">
      <c r="A196" s="187" t="inlineStr">
        <is>
          <t>CVE</t>
        </is>
      </c>
      <c r="B196" s="187" t="inlineStr">
        <is>
          <t>CVE-2019-25452</t>
        </is>
      </c>
      <c r="C196" s="187"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96" s="187" t="n">
        <v>8.199999999999999</v>
      </c>
      <c r="E196" s="187" t="inlineStr">
        <is>
          <t>HIGH</t>
        </is>
      </c>
      <c r="F196" s="187" t="n">
        <v>2</v>
      </c>
      <c r="G196" s="187" t="n">
        <v>3</v>
      </c>
      <c r="H196" s="187" t="inlineStr">
        <is>
          <t>HIGH</t>
        </is>
      </c>
      <c r="I196" s="187" t="n">
        <v>14.2</v>
      </c>
      <c r="J196" s="187" t="inlineStr">
        <is>
          <t>NO</t>
        </is>
      </c>
      <c r="K196" s="187" t="inlineStr">
        <is>
          <t>https://nvd.nist.gov/vuln/detail/CVE-2019-25452</t>
        </is>
      </c>
      <c r="L196" s="187" t="inlineStr">
        <is>
          <t>2026-02-27 20:47</t>
        </is>
      </c>
      <c r="M196" s="187" t="inlineStr">
        <is>
          <t>CHECK_VENDOR</t>
        </is>
      </c>
      <c r="N196" s="187" t="inlineStr">
        <is>
          <t>See NVD references</t>
        </is>
      </c>
      <c r="O196" s="187" t="inlineStr">
        <is>
          <t>Apply vendor patches</t>
        </is>
      </c>
      <c r="P196" s="187" t="inlineStr">
        <is>
          <t>dolibarr dolibarr_erp\/crm 10.0.1</t>
        </is>
      </c>
      <c r="Q196" s="187" t="inlineStr">
        <is>
          <t>P3</t>
        </is>
      </c>
      <c r="R196" s="187" t="inlineStr">
        <is>
          <t>🚨 URGENT: Apply vendor patches immediately | 🔒 Isolate affected systems if patch unavailable | 🛡️ Enable additional monitoring/IDS rules</t>
        </is>
      </c>
      <c r="S196" s="187" t="inlineStr">
        <is>
          <t>CVE - IP enrichment n/a</t>
        </is>
      </c>
      <c r="T196" s="187" t="n">
        <v>0.0008</v>
      </c>
      <c r="U196" s="187" t="n">
        <v>0.2277</v>
      </c>
      <c r="V196" s="187" t="inlineStr">
        <is>
          <t>T1190:Exploit Public-Facing Application</t>
        </is>
      </c>
      <c r="W196" s="187" t="n">
        <v>1</v>
      </c>
      <c r="X196" s="187" t="inlineStr">
        <is>
          <t>LOW (40%)</t>
        </is>
      </c>
      <c r="Y196" s="187" t="inlineStr">
        <is>
          <t>UNLIKELY</t>
        </is>
      </c>
      <c r="Z196" s="187" t="inlineStr">
        <is>
          <t>CHECK_VENDOR</t>
        </is>
      </c>
      <c r="AA196" s="187" t="inlineStr">
        <is>
          <t>https://nvd.nist.gov/vuln/detail/CVE-2019-25452</t>
        </is>
      </c>
      <c r="AB196" s="187" t="inlineStr">
        <is>
          <t>NONE</t>
        </is>
      </c>
      <c r="AC196" s="187" t="n">
        <v>0</v>
      </c>
      <c r="AD196" s="187" t="inlineStr"/>
    </row>
    <row r="197">
      <c r="A197" s="190" t="inlineStr">
        <is>
          <t>CVE</t>
        </is>
      </c>
      <c r="B197" s="190" t="inlineStr">
        <is>
          <t>CVE-2026-2947</t>
        </is>
      </c>
      <c r="C197" s="190"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97" s="190" t="n">
        <v>3.5</v>
      </c>
      <c r="E197" s="190" t="inlineStr">
        <is>
          <t>LOW</t>
        </is>
      </c>
      <c r="F197" s="190" t="n">
        <v>2</v>
      </c>
      <c r="G197" s="190" t="n">
        <v>1</v>
      </c>
      <c r="H197" s="190" t="inlineStr">
        <is>
          <t>LOW</t>
        </is>
      </c>
      <c r="I197" s="190" t="n">
        <v>5.5</v>
      </c>
      <c r="J197" s="190" t="inlineStr">
        <is>
          <t>NO</t>
        </is>
      </c>
      <c r="K197" s="190" t="inlineStr">
        <is>
          <t>https://nvd.nist.gov/vuln/detail/CVE-2026-2947</t>
        </is>
      </c>
      <c r="L197" s="190" t="inlineStr">
        <is>
          <t>2026-02-27 20:47</t>
        </is>
      </c>
      <c r="M197" s="190" t="inlineStr">
        <is>
          <t>CHECK_VENDOR</t>
        </is>
      </c>
      <c r="N197" s="190" t="inlineStr">
        <is>
          <t>See NVD references</t>
        </is>
      </c>
      <c r="O197" s="190" t="inlineStr">
        <is>
          <t>Apply vendor patches</t>
        </is>
      </c>
      <c r="P197" s="190" t="inlineStr">
        <is>
          <t>rymcu forest *</t>
        </is>
      </c>
      <c r="Q197" s="190" t="inlineStr">
        <is>
          <t>P4</t>
        </is>
      </c>
      <c r="R197" s="190" t="inlineStr">
        <is>
          <t>📅 Schedule patch deployment within 30 days | 🔍 Monitor for exploitation attempts</t>
        </is>
      </c>
      <c r="S197" s="190" t="inlineStr">
        <is>
          <t>CVE - IP enrichment n/a</t>
        </is>
      </c>
      <c r="T197" s="190" t="n">
        <v>0.0003</v>
      </c>
      <c r="U197" s="190" t="n">
        <v>0.0873</v>
      </c>
      <c r="V197" s="190" t="inlineStr">
        <is>
          <t>T1189:Drive-by Compromise</t>
        </is>
      </c>
      <c r="W197" s="190" t="n">
        <v>1</v>
      </c>
      <c r="X197" s="190" t="inlineStr">
        <is>
          <t>LOW (40%)</t>
        </is>
      </c>
      <c r="Y197" s="190" t="inlineStr">
        <is>
          <t>UNLIKELY</t>
        </is>
      </c>
      <c r="Z197" s="190" t="inlineStr">
        <is>
          <t>CHECK_VENDOR</t>
        </is>
      </c>
      <c r="AA197" s="190" t="inlineStr">
        <is>
          <t>https://nvd.nist.gov/vuln/detail/CVE-2026-2947</t>
        </is>
      </c>
      <c r="AB197" s="190" t="inlineStr">
        <is>
          <t>NONE</t>
        </is>
      </c>
      <c r="AC197" s="190" t="n">
        <v>0</v>
      </c>
      <c r="AD197" s="190" t="inlineStr"/>
    </row>
    <row r="198">
      <c r="A198" s="187" t="inlineStr">
        <is>
          <t>CVE</t>
        </is>
      </c>
      <c r="B198" s="187" t="inlineStr">
        <is>
          <t>CVE-2026-2952</t>
        </is>
      </c>
      <c r="C198" s="187"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98" s="187" t="n">
        <v>7.3</v>
      </c>
      <c r="E198" s="187" t="inlineStr">
        <is>
          <t>HIGH</t>
        </is>
      </c>
      <c r="F198" s="187" t="n">
        <v>2</v>
      </c>
      <c r="G198" s="187" t="n">
        <v>3</v>
      </c>
      <c r="H198" s="187" t="inlineStr">
        <is>
          <t>HIGH</t>
        </is>
      </c>
      <c r="I198" s="187" t="n">
        <v>13.3</v>
      </c>
      <c r="J198" s="187" t="inlineStr">
        <is>
          <t>NO</t>
        </is>
      </c>
      <c r="K198" s="187" t="inlineStr">
        <is>
          <t>https://nvd.nist.gov/vuln/detail/CVE-2026-2952</t>
        </is>
      </c>
      <c r="L198" s="187" t="inlineStr">
        <is>
          <t>2026-02-27 20:47</t>
        </is>
      </c>
      <c r="M198" s="187" t="inlineStr">
        <is>
          <t>CHECK_VENDOR</t>
        </is>
      </c>
      <c r="N198" s="187" t="inlineStr">
        <is>
          <t>See NVD references</t>
        </is>
      </c>
      <c r="O198" s="187" t="inlineStr">
        <is>
          <t>Apply vendor patches</t>
        </is>
      </c>
      <c r="P198" s="187" t="inlineStr">
        <is>
          <t>vaelsys vaelsys 4.1.0</t>
        </is>
      </c>
      <c r="Q198" s="187" t="inlineStr">
        <is>
          <t>P3</t>
        </is>
      </c>
      <c r="R198" s="187" t="inlineStr">
        <is>
          <t>🚨 URGENT: Apply vendor patches immediately | 🔒 Isolate affected systems if patch unavailable | 🛡️ Enable additional monitoring/IDS rules</t>
        </is>
      </c>
      <c r="S198" s="187" t="inlineStr">
        <is>
          <t>CVE - IP enrichment n/a</t>
        </is>
      </c>
      <c r="T198" s="187" t="n">
        <v>0.002</v>
      </c>
      <c r="U198" s="187" t="n">
        <v>0.4213</v>
      </c>
      <c r="V198" s="187" t="inlineStr">
        <is>
          <t>T1059:Command and Scripting Interpreter</t>
        </is>
      </c>
      <c r="W198" s="187" t="n">
        <v>1</v>
      </c>
      <c r="X198" s="187" t="inlineStr">
        <is>
          <t>LOW (40%)</t>
        </is>
      </c>
      <c r="Y198" s="187" t="inlineStr">
        <is>
          <t>UNLIKELY</t>
        </is>
      </c>
      <c r="Z198" s="187" t="inlineStr">
        <is>
          <t>CHECK_VENDOR</t>
        </is>
      </c>
      <c r="AA198" s="187" t="inlineStr">
        <is>
          <t>https://nvd.nist.gov/vuln/detail/CVE-2026-2952</t>
        </is>
      </c>
      <c r="AB198" s="187" t="inlineStr">
        <is>
          <t>NONE</t>
        </is>
      </c>
      <c r="AC198" s="187" t="n">
        <v>0</v>
      </c>
      <c r="AD198" s="187" t="inlineStr"/>
    </row>
    <row r="199">
      <c r="A199" s="188" t="inlineStr">
        <is>
          <t>CVE</t>
        </is>
      </c>
      <c r="B199" s="188" t="inlineStr">
        <is>
          <t>CVE-2026-2953</t>
        </is>
      </c>
      <c r="C199" s="188"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99" s="188" t="n">
        <v>5.4</v>
      </c>
      <c r="E199" s="188" t="inlineStr">
        <is>
          <t>MEDIUM</t>
        </is>
      </c>
      <c r="F199" s="188" t="n">
        <v>2</v>
      </c>
      <c r="G199" s="188" t="n">
        <v>2</v>
      </c>
      <c r="H199" s="188" t="inlineStr">
        <is>
          <t>MEDIUM</t>
        </is>
      </c>
      <c r="I199" s="188" t="n">
        <v>9.4</v>
      </c>
      <c r="J199" s="188" t="inlineStr">
        <is>
          <t>NO</t>
        </is>
      </c>
      <c r="K199" s="188" t="inlineStr">
        <is>
          <t>https://nvd.nist.gov/vuln/detail/CVE-2026-2953</t>
        </is>
      </c>
      <c r="L199" s="188" t="inlineStr">
        <is>
          <t>2026-02-27 20:47</t>
        </is>
      </c>
      <c r="M199" s="188" t="inlineStr">
        <is>
          <t>CHECK_VENDOR</t>
        </is>
      </c>
      <c r="N199" s="188" t="inlineStr">
        <is>
          <t>See NVD references</t>
        </is>
      </c>
      <c r="O199" s="188" t="inlineStr">
        <is>
          <t>Apply vendor patches</t>
        </is>
      </c>
      <c r="P199" s="188" t="inlineStr">
        <is>
          <t>ujcms ujcms 10.1.2</t>
        </is>
      </c>
      <c r="Q199" s="188" t="inlineStr">
        <is>
          <t>P4</t>
        </is>
      </c>
      <c r="R199" s="188" t="inlineStr">
        <is>
          <t>📅 Schedule patch deployment within 30 days | 🔍 Monitor for exploitation attempts</t>
        </is>
      </c>
      <c r="S199" s="188" t="inlineStr">
        <is>
          <t>CVE - IP enrichment n/a</t>
        </is>
      </c>
      <c r="T199" s="188" t="n">
        <v>0.0014</v>
      </c>
      <c r="U199" s="188" t="n">
        <v>0.3418</v>
      </c>
      <c r="V199" s="188" t="inlineStr">
        <is>
          <t>T1083:File and Directory Discovery</t>
        </is>
      </c>
      <c r="W199" s="188" t="n">
        <v>1</v>
      </c>
      <c r="X199" s="188" t="inlineStr">
        <is>
          <t>LOW (40%)</t>
        </is>
      </c>
      <c r="Y199" s="188" t="inlineStr">
        <is>
          <t>UNLIKELY</t>
        </is>
      </c>
      <c r="Z199" s="188" t="inlineStr">
        <is>
          <t>CHECK_VENDOR</t>
        </is>
      </c>
      <c r="AA199" s="188" t="inlineStr">
        <is>
          <t>https://nvd.nist.gov/vuln/detail/CVE-2026-2953</t>
        </is>
      </c>
      <c r="AB199" s="188" t="inlineStr">
        <is>
          <t>NONE</t>
        </is>
      </c>
      <c r="AC199" s="188" t="n">
        <v>0</v>
      </c>
      <c r="AD199" s="188" t="inlineStr"/>
    </row>
    <row r="200">
      <c r="A200" s="187" t="inlineStr">
        <is>
          <t>CVE</t>
        </is>
      </c>
      <c r="B200" s="187" t="inlineStr">
        <is>
          <t>CVE-2019-25455</t>
        </is>
      </c>
      <c r="C200" s="187"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200" s="187" t="n">
        <v>8.199999999999999</v>
      </c>
      <c r="E200" s="187" t="inlineStr">
        <is>
          <t>HIGH</t>
        </is>
      </c>
      <c r="F200" s="187" t="n">
        <v>2</v>
      </c>
      <c r="G200" s="187" t="n">
        <v>3</v>
      </c>
      <c r="H200" s="187" t="inlineStr">
        <is>
          <t>HIGH</t>
        </is>
      </c>
      <c r="I200" s="187" t="n">
        <v>14.2</v>
      </c>
      <c r="J200" s="187" t="inlineStr">
        <is>
          <t>NO</t>
        </is>
      </c>
      <c r="K200" s="187" t="inlineStr">
        <is>
          <t>https://nvd.nist.gov/vuln/detail/CVE-2019-25455</t>
        </is>
      </c>
      <c r="L200" s="187" t="inlineStr">
        <is>
          <t>2026-02-27 20:47</t>
        </is>
      </c>
      <c r="M200" s="187" t="inlineStr">
        <is>
          <t>CHECK_VENDOR</t>
        </is>
      </c>
      <c r="N200" s="187" t="inlineStr">
        <is>
          <t>See NVD references</t>
        </is>
      </c>
      <c r="O200" s="187" t="inlineStr">
        <is>
          <t>Apply vendor patches</t>
        </is>
      </c>
      <c r="P200" s="187" t="inlineStr">
        <is>
          <t>web-ofisi e-ticaret 3.0.0</t>
        </is>
      </c>
      <c r="Q200" s="187" t="inlineStr">
        <is>
          <t>P3</t>
        </is>
      </c>
      <c r="R200" s="187" t="inlineStr">
        <is>
          <t>🚨 URGENT: Apply vendor patches immediately | 🔒 Isolate affected systems if patch unavailable | 🛡️ Enable additional monitoring/IDS rules</t>
        </is>
      </c>
      <c r="S200" s="187" t="inlineStr">
        <is>
          <t>CVE - IP enrichment n/a</t>
        </is>
      </c>
      <c r="T200" s="187" t="n">
        <v>0.0009</v>
      </c>
      <c r="U200" s="187" t="n">
        <v>0.2489</v>
      </c>
      <c r="V200" s="187" t="inlineStr">
        <is>
          <t>T1190:Exploit Public-Facing Application</t>
        </is>
      </c>
      <c r="W200" s="187" t="n">
        <v>1</v>
      </c>
      <c r="X200" s="187" t="inlineStr">
        <is>
          <t>LOW (40%)</t>
        </is>
      </c>
      <c r="Y200" s="187" t="inlineStr">
        <is>
          <t>UNLIKELY</t>
        </is>
      </c>
      <c r="Z200" s="187" t="inlineStr">
        <is>
          <t>CHECK_VENDOR</t>
        </is>
      </c>
      <c r="AA200" s="187" t="inlineStr">
        <is>
          <t>https://nvd.nist.gov/vuln/detail/CVE-2019-25455</t>
        </is>
      </c>
      <c r="AB200" s="187" t="inlineStr">
        <is>
          <t>NONE</t>
        </is>
      </c>
      <c r="AC200" s="187" t="n">
        <v>0</v>
      </c>
      <c r="AD200" s="187" t="inlineStr"/>
    </row>
    <row r="201">
      <c r="A201" s="187" t="inlineStr">
        <is>
          <t>CVE</t>
        </is>
      </c>
      <c r="B201" s="187" t="inlineStr">
        <is>
          <t>CVE-2019-25456</t>
        </is>
      </c>
      <c r="C201" s="187"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201" s="187" t="n">
        <v>8.199999999999999</v>
      </c>
      <c r="E201" s="187" t="inlineStr">
        <is>
          <t>HIGH</t>
        </is>
      </c>
      <c r="F201" s="187" t="n">
        <v>2</v>
      </c>
      <c r="G201" s="187" t="n">
        <v>3</v>
      </c>
      <c r="H201" s="187" t="inlineStr">
        <is>
          <t>HIGH</t>
        </is>
      </c>
      <c r="I201" s="187" t="n">
        <v>14.2</v>
      </c>
      <c r="J201" s="187" t="inlineStr">
        <is>
          <t>NO</t>
        </is>
      </c>
      <c r="K201" s="187" t="inlineStr">
        <is>
          <t>https://nvd.nist.gov/vuln/detail/CVE-2019-25456</t>
        </is>
      </c>
      <c r="L201" s="187" t="inlineStr">
        <is>
          <t>2026-02-27 20:47</t>
        </is>
      </c>
      <c r="M201" s="187" t="inlineStr">
        <is>
          <t>CHECK_VENDOR</t>
        </is>
      </c>
      <c r="N201" s="187" t="inlineStr">
        <is>
          <t>See NVD references</t>
        </is>
      </c>
      <c r="O201" s="187" t="inlineStr">
        <is>
          <t>Apply vendor patches</t>
        </is>
      </c>
      <c r="P201" s="187" t="inlineStr">
        <is>
          <t>web-ofisi emlak 2.0.0</t>
        </is>
      </c>
      <c r="Q201" s="187" t="inlineStr">
        <is>
          <t>P3</t>
        </is>
      </c>
      <c r="R201" s="187" t="inlineStr">
        <is>
          <t>🚨 URGENT: Apply vendor patches immediately | 🔒 Isolate affected systems if patch unavailable | 🛡️ Enable additional monitoring/IDS rules</t>
        </is>
      </c>
      <c r="S201" s="187" t="inlineStr">
        <is>
          <t>CVE - IP enrichment n/a</t>
        </is>
      </c>
      <c r="T201" s="187" t="n">
        <v>0.0011</v>
      </c>
      <c r="U201" s="187" t="n">
        <v>0.2934</v>
      </c>
      <c r="V201" s="187" t="inlineStr">
        <is>
          <t>T1190:Exploit Public-Facing Application | T1499:Endpoint Denial of Service</t>
        </is>
      </c>
      <c r="W201" s="187" t="n">
        <v>1</v>
      </c>
      <c r="X201" s="187" t="inlineStr">
        <is>
          <t>LOW (40%)</t>
        </is>
      </c>
      <c r="Y201" s="187" t="inlineStr">
        <is>
          <t>UNLIKELY</t>
        </is>
      </c>
      <c r="Z201" s="187" t="inlineStr">
        <is>
          <t>CHECK_VENDOR</t>
        </is>
      </c>
      <c r="AA201" s="187" t="inlineStr">
        <is>
          <t>https://nvd.nist.gov/vuln/detail/CVE-2019-25456</t>
        </is>
      </c>
      <c r="AB201" s="187" t="inlineStr">
        <is>
          <t>NONE</t>
        </is>
      </c>
      <c r="AC201" s="187" t="n">
        <v>0</v>
      </c>
      <c r="AD201" s="187" t="inlineStr"/>
    </row>
    <row r="202">
      <c r="A202" s="187" t="inlineStr">
        <is>
          <t>CVE</t>
        </is>
      </c>
      <c r="B202" s="187" t="inlineStr">
        <is>
          <t>CVE-2019-25457</t>
        </is>
      </c>
      <c r="C202" s="187"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202" s="187" t="n">
        <v>8.199999999999999</v>
      </c>
      <c r="E202" s="187" t="inlineStr">
        <is>
          <t>HIGH</t>
        </is>
      </c>
      <c r="F202" s="187" t="n">
        <v>2</v>
      </c>
      <c r="G202" s="187" t="n">
        <v>3</v>
      </c>
      <c r="H202" s="187" t="inlineStr">
        <is>
          <t>HIGH</t>
        </is>
      </c>
      <c r="I202" s="187" t="n">
        <v>14.2</v>
      </c>
      <c r="J202" s="187" t="inlineStr">
        <is>
          <t>NO</t>
        </is>
      </c>
      <c r="K202" s="187" t="inlineStr">
        <is>
          <t>https://nvd.nist.gov/vuln/detail/CVE-2019-25457</t>
        </is>
      </c>
      <c r="L202" s="187" t="inlineStr">
        <is>
          <t>2026-02-27 20:47</t>
        </is>
      </c>
      <c r="M202" s="187" t="inlineStr">
        <is>
          <t>CHECK_VENDOR</t>
        </is>
      </c>
      <c r="N202" s="187" t="inlineStr">
        <is>
          <t>See NVD references</t>
        </is>
      </c>
      <c r="O202" s="187" t="inlineStr">
        <is>
          <t>Apply vendor patches</t>
        </is>
      </c>
      <c r="P202" s="187" t="inlineStr">
        <is>
          <t>web-ofisi firma 13.0.0</t>
        </is>
      </c>
      <c r="Q202" s="187" t="inlineStr">
        <is>
          <t>P3</t>
        </is>
      </c>
      <c r="R202" s="187" t="inlineStr">
        <is>
          <t>🚨 URGENT: Apply vendor patches immediately | 🔒 Isolate affected systems if patch unavailable | 🛡️ Enable additional monitoring/IDS rules</t>
        </is>
      </c>
      <c r="S202" s="187" t="inlineStr">
        <is>
          <t>CVE - IP enrichment n/a</t>
        </is>
      </c>
      <c r="T202" s="187" t="n">
        <v>0.0009</v>
      </c>
      <c r="U202" s="187" t="n">
        <v>0.2489</v>
      </c>
      <c r="V202" s="187" t="inlineStr">
        <is>
          <t>T1190:Exploit Public-Facing Application</t>
        </is>
      </c>
      <c r="W202" s="187" t="n">
        <v>1</v>
      </c>
      <c r="X202" s="187" t="inlineStr">
        <is>
          <t>LOW (40%)</t>
        </is>
      </c>
      <c r="Y202" s="187" t="inlineStr">
        <is>
          <t>UNLIKELY</t>
        </is>
      </c>
      <c r="Z202" s="187" t="inlineStr">
        <is>
          <t>CHECK_VENDOR</t>
        </is>
      </c>
      <c r="AA202" s="187" t="inlineStr">
        <is>
          <t>https://nvd.nist.gov/vuln/detail/CVE-2019-25457</t>
        </is>
      </c>
      <c r="AB202" s="187" t="inlineStr">
        <is>
          <t>NONE</t>
        </is>
      </c>
      <c r="AC202" s="187" t="n">
        <v>0</v>
      </c>
      <c r="AD202" s="187" t="inlineStr"/>
    </row>
    <row r="203">
      <c r="A203" s="187" t="inlineStr">
        <is>
          <t>CVE</t>
        </is>
      </c>
      <c r="B203" s="187" t="inlineStr">
        <is>
          <t>CVE-2019-25458</t>
        </is>
      </c>
      <c r="C203" s="187"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203" s="187" t="n">
        <v>8.199999999999999</v>
      </c>
      <c r="E203" s="187" t="inlineStr">
        <is>
          <t>HIGH</t>
        </is>
      </c>
      <c r="F203" s="187" t="n">
        <v>2</v>
      </c>
      <c r="G203" s="187" t="n">
        <v>3</v>
      </c>
      <c r="H203" s="187" t="inlineStr">
        <is>
          <t>HIGH</t>
        </is>
      </c>
      <c r="I203" s="187" t="n">
        <v>14.2</v>
      </c>
      <c r="J203" s="187" t="inlineStr">
        <is>
          <t>NO</t>
        </is>
      </c>
      <c r="K203" s="187" t="inlineStr">
        <is>
          <t>https://nvd.nist.gov/vuln/detail/CVE-2019-25458</t>
        </is>
      </c>
      <c r="L203" s="187" t="inlineStr">
        <is>
          <t>2026-02-27 20:47</t>
        </is>
      </c>
      <c r="M203" s="187" t="inlineStr">
        <is>
          <t>CHECK_VENDOR</t>
        </is>
      </c>
      <c r="N203" s="187" t="inlineStr">
        <is>
          <t>See NVD references</t>
        </is>
      </c>
      <c r="O203" s="187" t="inlineStr">
        <is>
          <t>Apply vendor patches</t>
        </is>
      </c>
      <c r="P203" s="187" t="inlineStr">
        <is>
          <t>web-ofisi firma_rehberi 1.0.0</t>
        </is>
      </c>
      <c r="Q203" s="187" t="inlineStr">
        <is>
          <t>P3</t>
        </is>
      </c>
      <c r="R203" s="187" t="inlineStr">
        <is>
          <t>🚨 URGENT: Apply vendor patches immediately | 🔒 Isolate affected systems if patch unavailable | 🛡️ Enable additional monitoring/IDS rules</t>
        </is>
      </c>
      <c r="S203" s="187" t="inlineStr">
        <is>
          <t>CVE - IP enrichment n/a</t>
        </is>
      </c>
      <c r="T203" s="187" t="n">
        <v>0.0012</v>
      </c>
      <c r="U203" s="187" t="n">
        <v>0.306</v>
      </c>
      <c r="V203" s="187" t="inlineStr">
        <is>
          <t>T1190:Exploit Public-Facing Application</t>
        </is>
      </c>
      <c r="W203" s="187" t="n">
        <v>1</v>
      </c>
      <c r="X203" s="187" t="inlineStr">
        <is>
          <t>LOW (40%)</t>
        </is>
      </c>
      <c r="Y203" s="187" t="inlineStr">
        <is>
          <t>UNLIKELY</t>
        </is>
      </c>
      <c r="Z203" s="187" t="inlineStr">
        <is>
          <t>CHECK_VENDOR</t>
        </is>
      </c>
      <c r="AA203" s="187" t="inlineStr">
        <is>
          <t>https://nvd.nist.gov/vuln/detail/CVE-2019-25458</t>
        </is>
      </c>
      <c r="AB203" s="187" t="inlineStr">
        <is>
          <t>NONE</t>
        </is>
      </c>
      <c r="AC203" s="187" t="n">
        <v>0</v>
      </c>
      <c r="AD203" s="187" t="inlineStr"/>
    </row>
    <row r="204">
      <c r="A204" s="187" t="inlineStr">
        <is>
          <t>CVE</t>
        </is>
      </c>
      <c r="B204" s="187" t="inlineStr">
        <is>
          <t>CVE-2019-25459</t>
        </is>
      </c>
      <c r="C204" s="187"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204" s="187" t="n">
        <v>8.199999999999999</v>
      </c>
      <c r="E204" s="187" t="inlineStr">
        <is>
          <t>HIGH</t>
        </is>
      </c>
      <c r="F204" s="187" t="n">
        <v>2</v>
      </c>
      <c r="G204" s="187" t="n">
        <v>3</v>
      </c>
      <c r="H204" s="187" t="inlineStr">
        <is>
          <t>HIGH</t>
        </is>
      </c>
      <c r="I204" s="187" t="n">
        <v>14.2</v>
      </c>
      <c r="J204" s="187" t="inlineStr">
        <is>
          <t>NO</t>
        </is>
      </c>
      <c r="K204" s="187" t="inlineStr">
        <is>
          <t>https://nvd.nist.gov/vuln/detail/CVE-2019-25459</t>
        </is>
      </c>
      <c r="L204" s="187" t="inlineStr">
        <is>
          <t>2026-02-27 20:47</t>
        </is>
      </c>
      <c r="M204" s="187" t="inlineStr">
        <is>
          <t>CHECK_VENDOR</t>
        </is>
      </c>
      <c r="N204" s="187" t="inlineStr">
        <is>
          <t>See NVD references</t>
        </is>
      </c>
      <c r="O204" s="187" t="inlineStr">
        <is>
          <t>Apply vendor patches</t>
        </is>
      </c>
      <c r="P204" s="187" t="inlineStr">
        <is>
          <t>web-ofisi emlak 2.0.0</t>
        </is>
      </c>
      <c r="Q204" s="187" t="inlineStr">
        <is>
          <t>P3</t>
        </is>
      </c>
      <c r="R204" s="187" t="inlineStr">
        <is>
          <t>🚨 URGENT: Apply vendor patches immediately | 🔒 Isolate affected systems if patch unavailable | 🛡️ Enable additional monitoring/IDS rules</t>
        </is>
      </c>
      <c r="S204" s="187" t="inlineStr">
        <is>
          <t>CVE - IP enrichment n/a</t>
        </is>
      </c>
      <c r="T204" s="187" t="n">
        <v>0.001</v>
      </c>
      <c r="U204" s="187" t="n">
        <v>0.2786</v>
      </c>
      <c r="V204" s="187" t="inlineStr">
        <is>
          <t>T1190:Exploit Public-Facing Application</t>
        </is>
      </c>
      <c r="W204" s="187" t="n">
        <v>1</v>
      </c>
      <c r="X204" s="187" t="inlineStr">
        <is>
          <t>LOW (40%)</t>
        </is>
      </c>
      <c r="Y204" s="187" t="inlineStr">
        <is>
          <t>UNLIKELY</t>
        </is>
      </c>
      <c r="Z204" s="187" t="inlineStr">
        <is>
          <t>CHECK_VENDOR</t>
        </is>
      </c>
      <c r="AA204" s="187" t="inlineStr">
        <is>
          <t>https://nvd.nist.gov/vuln/detail/CVE-2019-25459</t>
        </is>
      </c>
      <c r="AB204" s="187" t="inlineStr">
        <is>
          <t>NONE</t>
        </is>
      </c>
      <c r="AC204" s="187" t="n">
        <v>0</v>
      </c>
      <c r="AD204" s="187" t="inlineStr"/>
    </row>
    <row r="205">
      <c r="A205" s="187" t="inlineStr">
        <is>
          <t>CVE</t>
        </is>
      </c>
      <c r="B205" s="187" t="inlineStr">
        <is>
          <t>CVE-2019-25460</t>
        </is>
      </c>
      <c r="C205" s="187"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205" s="187" t="n">
        <v>8.199999999999999</v>
      </c>
      <c r="E205" s="187" t="inlineStr">
        <is>
          <t>HIGH</t>
        </is>
      </c>
      <c r="F205" s="187" t="n">
        <v>2</v>
      </c>
      <c r="G205" s="187" t="n">
        <v>3</v>
      </c>
      <c r="H205" s="187" t="inlineStr">
        <is>
          <t>HIGH</t>
        </is>
      </c>
      <c r="I205" s="187" t="n">
        <v>14.2</v>
      </c>
      <c r="J205" s="187" t="inlineStr">
        <is>
          <t>NO</t>
        </is>
      </c>
      <c r="K205" s="187" t="inlineStr">
        <is>
          <t>https://nvd.nist.gov/vuln/detail/CVE-2019-25460</t>
        </is>
      </c>
      <c r="L205" s="187" t="inlineStr">
        <is>
          <t>2026-02-27 20:47</t>
        </is>
      </c>
      <c r="M205" s="187" t="inlineStr">
        <is>
          <t>CHECK_VENDOR</t>
        </is>
      </c>
      <c r="N205" s="187" t="inlineStr">
        <is>
          <t>See NVD references</t>
        </is>
      </c>
      <c r="O205" s="187" t="inlineStr">
        <is>
          <t>Apply vendor patches</t>
        </is>
      </c>
      <c r="P205" s="187" t="inlineStr">
        <is>
          <t>web-ofisi platinum_e-ticaret 5.0.0</t>
        </is>
      </c>
      <c r="Q205" s="187" t="inlineStr">
        <is>
          <t>P3</t>
        </is>
      </c>
      <c r="R205" s="187" t="inlineStr">
        <is>
          <t>🚨 URGENT: Apply vendor patches immediately | 🔒 Isolate affected systems if patch unavailable | 🛡️ Enable additional monitoring/IDS rules</t>
        </is>
      </c>
      <c r="S205" s="187" t="inlineStr">
        <is>
          <t>CVE - IP enrichment n/a</t>
        </is>
      </c>
      <c r="T205" s="187" t="n">
        <v>0.0005999999999999999</v>
      </c>
      <c r="U205" s="187" t="n">
        <v>0.1928</v>
      </c>
      <c r="V205" s="187" t="inlineStr">
        <is>
          <t>T1190:Exploit Public-Facing Application</t>
        </is>
      </c>
      <c r="W205" s="187" t="n">
        <v>1</v>
      </c>
      <c r="X205" s="187" t="inlineStr">
        <is>
          <t>LOW (40%)</t>
        </is>
      </c>
      <c r="Y205" s="187" t="inlineStr">
        <is>
          <t>UNLIKELY</t>
        </is>
      </c>
      <c r="Z205" s="187" t="inlineStr">
        <is>
          <t>CHECK_VENDOR</t>
        </is>
      </c>
      <c r="AA205" s="187" t="inlineStr">
        <is>
          <t>https://nvd.nist.gov/vuln/detail/CVE-2019-25460</t>
        </is>
      </c>
      <c r="AB205" s="187" t="inlineStr">
        <is>
          <t>NONE</t>
        </is>
      </c>
      <c r="AC205" s="187" t="n">
        <v>0</v>
      </c>
      <c r="AD205" s="187" t="inlineStr"/>
    </row>
    <row r="206">
      <c r="A206" s="187" t="inlineStr">
        <is>
          <t>CVE</t>
        </is>
      </c>
      <c r="B206" s="187" t="inlineStr">
        <is>
          <t>CVE-2019-25461</t>
        </is>
      </c>
      <c r="C206" s="187"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206" s="187" t="n">
        <v>8.199999999999999</v>
      </c>
      <c r="E206" s="187" t="inlineStr">
        <is>
          <t>HIGH</t>
        </is>
      </c>
      <c r="F206" s="187" t="n">
        <v>2</v>
      </c>
      <c r="G206" s="187" t="n">
        <v>3</v>
      </c>
      <c r="H206" s="187" t="inlineStr">
        <is>
          <t>HIGH</t>
        </is>
      </c>
      <c r="I206" s="187" t="n">
        <v>14.2</v>
      </c>
      <c r="J206" s="187" t="inlineStr">
        <is>
          <t>NO</t>
        </is>
      </c>
      <c r="K206" s="187" t="inlineStr">
        <is>
          <t>https://nvd.nist.gov/vuln/detail/CVE-2019-25461</t>
        </is>
      </c>
      <c r="L206" s="187" t="inlineStr">
        <is>
          <t>2026-02-27 20:47</t>
        </is>
      </c>
      <c r="M206" s="187" t="inlineStr">
        <is>
          <t>CHECK_VENDOR</t>
        </is>
      </c>
      <c r="N206" s="187" t="inlineStr">
        <is>
          <t>See NVD references</t>
        </is>
      </c>
      <c r="O206" s="187" t="inlineStr">
        <is>
          <t>Apply vendor patches</t>
        </is>
      </c>
      <c r="P206" s="187" t="inlineStr">
        <is>
          <t>web-ofisi ticaret 5.0.0</t>
        </is>
      </c>
      <c r="Q206" s="187" t="inlineStr">
        <is>
          <t>P3</t>
        </is>
      </c>
      <c r="R206" s="187" t="inlineStr">
        <is>
          <t>🚨 URGENT: Apply vendor patches immediately | 🔒 Isolate affected systems if patch unavailable | 🛡️ Enable additional monitoring/IDS rules</t>
        </is>
      </c>
      <c r="S206" s="187" t="inlineStr">
        <is>
          <t>CVE - IP enrichment n/a</t>
        </is>
      </c>
      <c r="T206" s="187" t="n">
        <v>0.0005999999999999999</v>
      </c>
      <c r="U206" s="187" t="n">
        <v>0.1928</v>
      </c>
      <c r="V206" s="187" t="inlineStr">
        <is>
          <t>T1190:Exploit Public-Facing Application</t>
        </is>
      </c>
      <c r="W206" s="187" t="n">
        <v>1</v>
      </c>
      <c r="X206" s="187" t="inlineStr">
        <is>
          <t>LOW (40%)</t>
        </is>
      </c>
      <c r="Y206" s="187" t="inlineStr">
        <is>
          <t>UNLIKELY</t>
        </is>
      </c>
      <c r="Z206" s="187" t="inlineStr">
        <is>
          <t>CHECK_VENDOR</t>
        </is>
      </c>
      <c r="AA206" s="187" t="inlineStr">
        <is>
          <t>https://nvd.nist.gov/vuln/detail/CVE-2019-25461</t>
        </is>
      </c>
      <c r="AB206" s="187" t="inlineStr">
        <is>
          <t>NONE</t>
        </is>
      </c>
      <c r="AC206" s="187" t="n">
        <v>0</v>
      </c>
      <c r="AD206" s="187" t="inlineStr"/>
    </row>
    <row r="207">
      <c r="A207" s="187" t="inlineStr">
        <is>
          <t>CVE</t>
        </is>
      </c>
      <c r="B207" s="187" t="inlineStr">
        <is>
          <t>CVE-2019-25462</t>
        </is>
      </c>
      <c r="C207" s="187"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207" s="187" t="n">
        <v>8.199999999999999</v>
      </c>
      <c r="E207" s="187" t="inlineStr">
        <is>
          <t>HIGH</t>
        </is>
      </c>
      <c r="F207" s="187" t="n">
        <v>2</v>
      </c>
      <c r="G207" s="187" t="n">
        <v>3</v>
      </c>
      <c r="H207" s="187" t="inlineStr">
        <is>
          <t>HIGH</t>
        </is>
      </c>
      <c r="I207" s="187" t="n">
        <v>14.2</v>
      </c>
      <c r="J207" s="187" t="inlineStr">
        <is>
          <t>NO</t>
        </is>
      </c>
      <c r="K207" s="187" t="inlineStr">
        <is>
          <t>https://nvd.nist.gov/vuln/detail/CVE-2019-25462</t>
        </is>
      </c>
      <c r="L207" s="187" t="inlineStr">
        <is>
          <t>2026-02-27 20:47</t>
        </is>
      </c>
      <c r="M207" s="187" t="inlineStr">
        <is>
          <t>CHECK_VENDOR</t>
        </is>
      </c>
      <c r="N207" s="187" t="inlineStr">
        <is>
          <t>See NVD references</t>
        </is>
      </c>
      <c r="O207" s="187" t="inlineStr">
        <is>
          <t>Apply vendor patches</t>
        </is>
      </c>
      <c r="P207" s="187" t="inlineStr">
        <is>
          <t>See CVE details</t>
        </is>
      </c>
      <c r="Q207" s="187" t="inlineStr">
        <is>
          <t>P3</t>
        </is>
      </c>
      <c r="R207" s="187" t="inlineStr">
        <is>
          <t>🚨 URGENT: Apply vendor patches immediately | 🔒 Isolate affected systems if patch unavailable | 🛡️ Enable additional monitoring/IDS rules</t>
        </is>
      </c>
      <c r="S207" s="187" t="inlineStr">
        <is>
          <t>CVE - IP enrichment n/a</t>
        </is>
      </c>
      <c r="T207" s="187" t="n">
        <v>0.0005999999999999999</v>
      </c>
      <c r="U207" s="187" t="n">
        <v>0.2021</v>
      </c>
      <c r="V207" s="187" t="inlineStr">
        <is>
          <t>T1190:Exploit Public-Facing Application | T1499:Endpoint Denial of Service</t>
        </is>
      </c>
      <c r="W207" s="187" t="n">
        <v>1</v>
      </c>
      <c r="X207" s="187" t="inlineStr">
        <is>
          <t>LOW (40%)</t>
        </is>
      </c>
      <c r="Y207" s="187" t="inlineStr">
        <is>
          <t>UNLIKELY</t>
        </is>
      </c>
      <c r="Z207" s="187" t="inlineStr">
        <is>
          <t>CHECK_VENDOR</t>
        </is>
      </c>
      <c r="AA207" s="187" t="inlineStr">
        <is>
          <t>https://nvd.nist.gov/vuln/detail/CVE-2019-25462</t>
        </is>
      </c>
      <c r="AB207" s="187" t="inlineStr">
        <is>
          <t>NONE</t>
        </is>
      </c>
      <c r="AC207" s="187" t="n">
        <v>0</v>
      </c>
      <c r="AD207" s="187" t="inlineStr"/>
    </row>
    <row r="208">
      <c r="A208" s="188" t="inlineStr">
        <is>
          <t>CVE</t>
        </is>
      </c>
      <c r="B208" s="188" t="inlineStr">
        <is>
          <t>CVE-2026-2954</t>
        </is>
      </c>
      <c r="C208" s="188"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208" s="188" t="n">
        <v>6.3</v>
      </c>
      <c r="E208" s="188" t="inlineStr">
        <is>
          <t>MEDIUM</t>
        </is>
      </c>
      <c r="F208" s="188" t="n">
        <v>2</v>
      </c>
      <c r="G208" s="188" t="n">
        <v>2</v>
      </c>
      <c r="H208" s="188" t="inlineStr">
        <is>
          <t>MEDIUM</t>
        </is>
      </c>
      <c r="I208" s="188" t="n">
        <v>10.3</v>
      </c>
      <c r="J208" s="188" t="inlineStr">
        <is>
          <t>NO</t>
        </is>
      </c>
      <c r="K208" s="188" t="inlineStr">
        <is>
          <t>https://nvd.nist.gov/vuln/detail/CVE-2026-2954</t>
        </is>
      </c>
      <c r="L208" s="188" t="inlineStr">
        <is>
          <t>2026-02-27 20:47</t>
        </is>
      </c>
      <c r="M208" s="188" t="inlineStr">
        <is>
          <t>CHECK_VENDOR</t>
        </is>
      </c>
      <c r="N208" s="188" t="inlineStr">
        <is>
          <t>See NVD references</t>
        </is>
      </c>
      <c r="O208" s="188" t="inlineStr">
        <is>
          <t>Apply vendor patches</t>
        </is>
      </c>
      <c r="P208" s="188" t="inlineStr">
        <is>
          <t>ujcms ujcms 10.0.2</t>
        </is>
      </c>
      <c r="Q208" s="188" t="inlineStr">
        <is>
          <t>P4</t>
        </is>
      </c>
      <c r="R208" s="188" t="inlineStr">
        <is>
          <t>📅 Schedule patch deployment within 30 days | 🔍 Monitor for exploitation attempts</t>
        </is>
      </c>
      <c r="S208" s="188" t="inlineStr">
        <is>
          <t>CVE - IP enrichment n/a</t>
        </is>
      </c>
      <c r="T208" s="188" t="n">
        <v>0.0004</v>
      </c>
      <c r="U208" s="188" t="n">
        <v>0.1208</v>
      </c>
      <c r="V208" s="188" t="inlineStr">
        <is>
          <t>T1190:Exploit Public-Facing Application</t>
        </is>
      </c>
      <c r="W208" s="188" t="n">
        <v>1</v>
      </c>
      <c r="X208" s="188" t="inlineStr">
        <is>
          <t>LOW (40%)</t>
        </is>
      </c>
      <c r="Y208" s="188" t="inlineStr">
        <is>
          <t>UNLIKELY</t>
        </is>
      </c>
      <c r="Z208" s="188" t="inlineStr">
        <is>
          <t>CHECK_VENDOR</t>
        </is>
      </c>
      <c r="AA208" s="188" t="inlineStr">
        <is>
          <t>https://nvd.nist.gov/vuln/detail/CVE-2026-2954</t>
        </is>
      </c>
      <c r="AB208" s="188" t="inlineStr">
        <is>
          <t>NONE</t>
        </is>
      </c>
      <c r="AC208" s="188" t="n">
        <v>0</v>
      </c>
      <c r="AD208" s="188" t="inlineStr"/>
    </row>
    <row r="209">
      <c r="A209" s="188" t="inlineStr">
        <is>
          <t>CVE</t>
        </is>
      </c>
      <c r="B209" s="188" t="inlineStr">
        <is>
          <t>CVE-2026-2956</t>
        </is>
      </c>
      <c r="C209" s="188"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209" s="188" t="n">
        <v>6.3</v>
      </c>
      <c r="E209" s="188" t="inlineStr">
        <is>
          <t>MEDIUM</t>
        </is>
      </c>
      <c r="F209" s="188" t="n">
        <v>2</v>
      </c>
      <c r="G209" s="188" t="n">
        <v>2</v>
      </c>
      <c r="H209" s="188" t="inlineStr">
        <is>
          <t>MEDIUM</t>
        </is>
      </c>
      <c r="I209" s="188" t="n">
        <v>10.3</v>
      </c>
      <c r="J209" s="188" t="inlineStr">
        <is>
          <t>NO</t>
        </is>
      </c>
      <c r="K209" s="188" t="inlineStr">
        <is>
          <t>https://nvd.nist.gov/vuln/detail/CVE-2026-2956</t>
        </is>
      </c>
      <c r="L209" s="188" t="inlineStr">
        <is>
          <t>2026-02-27 20:47</t>
        </is>
      </c>
      <c r="M209" s="188" t="inlineStr">
        <is>
          <t>CHECK_VENDOR</t>
        </is>
      </c>
      <c r="N209" s="188" t="inlineStr">
        <is>
          <t>See NVD references</t>
        </is>
      </c>
      <c r="O209" s="188" t="inlineStr">
        <is>
          <t>Apply vendor patches</t>
        </is>
      </c>
      <c r="P209" s="188" t="inlineStr">
        <is>
          <t>dst-admin_project dst-admin *</t>
        </is>
      </c>
      <c r="Q209" s="188" t="inlineStr">
        <is>
          <t>P4</t>
        </is>
      </c>
      <c r="R209" s="188" t="inlineStr">
        <is>
          <t>📅 Schedule patch deployment within 30 days | 🔍 Monitor for exploitation attempts</t>
        </is>
      </c>
      <c r="S209" s="188" t="inlineStr">
        <is>
          <t>CVE - IP enrichment n/a</t>
        </is>
      </c>
      <c r="T209" s="188" t="n">
        <v>0.0026</v>
      </c>
      <c r="U209" s="188" t="n">
        <v>0.4933</v>
      </c>
      <c r="V209" s="188" t="inlineStr">
        <is>
          <t>T1059:Command and Scripting Interpreter</t>
        </is>
      </c>
      <c r="W209" s="188" t="n">
        <v>1</v>
      </c>
      <c r="X209" s="188" t="inlineStr">
        <is>
          <t>LOW (40%)</t>
        </is>
      </c>
      <c r="Y209" s="188" t="inlineStr">
        <is>
          <t>UNLIKELY</t>
        </is>
      </c>
      <c r="Z209" s="188" t="inlineStr">
        <is>
          <t>CHECK_VENDOR</t>
        </is>
      </c>
      <c r="AA209" s="188" t="inlineStr">
        <is>
          <t>https://nvd.nist.gov/vuln/detail/CVE-2026-2956</t>
        </is>
      </c>
      <c r="AB209" s="188" t="inlineStr">
        <is>
          <t>NONE</t>
        </is>
      </c>
      <c r="AC209" s="188" t="n">
        <v>0</v>
      </c>
      <c r="AD209" s="188" t="inlineStr"/>
    </row>
    <row r="210">
      <c r="A210" s="188" t="inlineStr">
        <is>
          <t>CVE</t>
        </is>
      </c>
      <c r="B210" s="188" t="inlineStr">
        <is>
          <t>CVE-2026-2957</t>
        </is>
      </c>
      <c r="C210" s="188"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210" s="188" t="n">
        <v>5.4</v>
      </c>
      <c r="E210" s="188" t="inlineStr">
        <is>
          <t>MEDIUM</t>
        </is>
      </c>
      <c r="F210" s="188" t="n">
        <v>2</v>
      </c>
      <c r="G210" s="188" t="n">
        <v>2</v>
      </c>
      <c r="H210" s="188" t="inlineStr">
        <is>
          <t>MEDIUM</t>
        </is>
      </c>
      <c r="I210" s="188" t="n">
        <v>9.4</v>
      </c>
      <c r="J210" s="188" t="inlineStr">
        <is>
          <t>NO</t>
        </is>
      </c>
      <c r="K210" s="188" t="inlineStr">
        <is>
          <t>https://nvd.nist.gov/vuln/detail/CVE-2026-2957</t>
        </is>
      </c>
      <c r="L210" s="188" t="inlineStr">
        <is>
          <t>2026-02-27 20:47</t>
        </is>
      </c>
      <c r="M210" s="188" t="inlineStr">
        <is>
          <t>CHECK_VENDOR</t>
        </is>
      </c>
      <c r="N210" s="188" t="inlineStr">
        <is>
          <t>See NVD references</t>
        </is>
      </c>
      <c r="O210" s="188" t="inlineStr">
        <is>
          <t>Apply vendor patches</t>
        </is>
      </c>
      <c r="P210" s="188" t="inlineStr">
        <is>
          <t>dst-admin_project dst-admin *</t>
        </is>
      </c>
      <c r="Q210" s="188" t="inlineStr">
        <is>
          <t>P4</t>
        </is>
      </c>
      <c r="R210" s="188" t="inlineStr">
        <is>
          <t>📅 Schedule patch deployment within 30 days | 🔍 Monitor for exploitation attempts</t>
        </is>
      </c>
      <c r="S210" s="188" t="inlineStr">
        <is>
          <t>CVE - IP enrichment n/a</t>
        </is>
      </c>
      <c r="T210" s="188" t="n">
        <v>0.0004</v>
      </c>
      <c r="U210" s="188" t="n">
        <v>0.1329</v>
      </c>
      <c r="V210" s="188" t="inlineStr">
        <is>
          <t>T1499:Endpoint Denial of Service</t>
        </is>
      </c>
      <c r="W210" s="188" t="n">
        <v>1</v>
      </c>
      <c r="X210" s="188" t="inlineStr">
        <is>
          <t>LOW (40%)</t>
        </is>
      </c>
      <c r="Y210" s="188" t="inlineStr">
        <is>
          <t>UNLIKELY</t>
        </is>
      </c>
      <c r="Z210" s="188" t="inlineStr">
        <is>
          <t>CHECK_VENDOR</t>
        </is>
      </c>
      <c r="AA210" s="188" t="inlineStr">
        <is>
          <t>https://nvd.nist.gov/vuln/detail/CVE-2026-2957</t>
        </is>
      </c>
      <c r="AB210" s="188" t="inlineStr">
        <is>
          <t>NONE</t>
        </is>
      </c>
      <c r="AC210" s="188" t="n">
        <v>0</v>
      </c>
      <c r="AD210" s="188" t="inlineStr"/>
    </row>
    <row r="211">
      <c r="A211" s="189" t="inlineStr">
        <is>
          <t>CVE</t>
        </is>
      </c>
      <c r="B211" s="189" t="inlineStr">
        <is>
          <t>CVE-2026-2588</t>
        </is>
      </c>
      <c r="C211" s="189"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211" s="189" t="n">
        <v>9.1</v>
      </c>
      <c r="E211" s="189" t="inlineStr">
        <is>
          <t>CRITICAL</t>
        </is>
      </c>
      <c r="F211" s="189" t="n">
        <v>2</v>
      </c>
      <c r="G211" s="189" t="n">
        <v>3</v>
      </c>
      <c r="H211" s="189" t="inlineStr">
        <is>
          <t>HIGH</t>
        </is>
      </c>
      <c r="I211" s="189" t="n">
        <v>15.1</v>
      </c>
      <c r="J211" s="189" t="inlineStr">
        <is>
          <t>NO</t>
        </is>
      </c>
      <c r="K211" s="189" t="inlineStr">
        <is>
          <t>https://nvd.nist.gov/vuln/detail/CVE-2026-2588</t>
        </is>
      </c>
      <c r="L211" s="189" t="inlineStr">
        <is>
          <t>2026-02-27 20:47</t>
        </is>
      </c>
      <c r="M211" s="189" t="inlineStr">
        <is>
          <t>CHECK_VENDOR</t>
        </is>
      </c>
      <c r="N211" s="189" t="inlineStr">
        <is>
          <t>See NVD references</t>
        </is>
      </c>
      <c r="O211" s="189" t="inlineStr">
        <is>
          <t>Apply vendor patches</t>
        </is>
      </c>
      <c r="P211" s="189" t="inlineStr">
        <is>
          <t>See CVE details</t>
        </is>
      </c>
      <c r="Q211" s="189" t="inlineStr">
        <is>
          <t>P3</t>
        </is>
      </c>
      <c r="R211" s="189" t="inlineStr">
        <is>
          <t>🚨 URGENT: Apply vendor patches immediately | 🔒 Isolate affected systems if patch unavailable | 🛡️ Enable additional monitoring/IDS rules</t>
        </is>
      </c>
      <c r="S211" s="189" t="inlineStr">
        <is>
          <t>CVE - IP enrichment n/a</t>
        </is>
      </c>
      <c r="T211" s="189" t="n">
        <v>0.0004</v>
      </c>
      <c r="U211" s="189" t="n">
        <v>0.1115</v>
      </c>
      <c r="V211" s="189" t="inlineStr">
        <is>
          <t>T1190:Exploit Public-Facing Application | T1203:Exploitation for Client Execution</t>
        </is>
      </c>
      <c r="W211" s="189" t="n">
        <v>1</v>
      </c>
      <c r="X211" s="189" t="inlineStr">
        <is>
          <t>LOW (40%)</t>
        </is>
      </c>
      <c r="Y211" s="189" t="inlineStr">
        <is>
          <t>UNLIKELY</t>
        </is>
      </c>
      <c r="Z211" s="189" t="inlineStr">
        <is>
          <t>CHECK_VENDOR</t>
        </is>
      </c>
      <c r="AA211" s="189" t="inlineStr">
        <is>
          <t>https://nvd.nist.gov/vuln/detail/CVE-2026-2588</t>
        </is>
      </c>
      <c r="AB211" s="189" t="inlineStr">
        <is>
          <t>NONE</t>
        </is>
      </c>
      <c r="AC211" s="189" t="n">
        <v>0</v>
      </c>
      <c r="AD211" s="189" t="inlineStr"/>
    </row>
    <row r="212">
      <c r="A212" s="187" t="inlineStr">
        <is>
          <t>CVE</t>
        </is>
      </c>
      <c r="B212" s="187" t="inlineStr">
        <is>
          <t>CVE-2026-2958</t>
        </is>
      </c>
      <c r="C212" s="187"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212" s="187" t="n">
        <v>8.800000000000001</v>
      </c>
      <c r="E212" s="187" t="inlineStr">
        <is>
          <t>HIGH</t>
        </is>
      </c>
      <c r="F212" s="187" t="n">
        <v>2</v>
      </c>
      <c r="G212" s="187" t="n">
        <v>3</v>
      </c>
      <c r="H212" s="187" t="inlineStr">
        <is>
          <t>HIGH</t>
        </is>
      </c>
      <c r="I212" s="187" t="n">
        <v>14.8</v>
      </c>
      <c r="J212" s="187" t="inlineStr">
        <is>
          <t>NO</t>
        </is>
      </c>
      <c r="K212" s="187" t="inlineStr">
        <is>
          <t>https://nvd.nist.gov/vuln/detail/CVE-2026-2958</t>
        </is>
      </c>
      <c r="L212" s="187" t="inlineStr">
        <is>
          <t>2026-02-27 20:47</t>
        </is>
      </c>
      <c r="M212" s="187" t="inlineStr">
        <is>
          <t>CHECK_VENDOR</t>
        </is>
      </c>
      <c r="N212" s="187" t="inlineStr">
        <is>
          <t>See NVD references</t>
        </is>
      </c>
      <c r="O212" s="187" t="inlineStr">
        <is>
          <t>Apply vendor patches</t>
        </is>
      </c>
      <c r="P212" s="187" t="inlineStr">
        <is>
          <t>dlink dwr-m960_firmware 1.01.07 | dlink dwr-m960 b1</t>
        </is>
      </c>
      <c r="Q212" s="187" t="inlineStr">
        <is>
          <t>P3</t>
        </is>
      </c>
      <c r="R212" s="187" t="inlineStr">
        <is>
          <t>🚨 URGENT: Apply vendor patches immediately | 🔒 Isolate affected systems if patch unavailable | 🛡️ Enable additional monitoring/IDS rules</t>
        </is>
      </c>
      <c r="S212" s="187" t="inlineStr">
        <is>
          <t>CVE - IP enrichment n/a</t>
        </is>
      </c>
      <c r="T212" s="187" t="n">
        <v>0.0003</v>
      </c>
      <c r="U212" s="187" t="n">
        <v>0.0819</v>
      </c>
      <c r="V212" s="187" t="inlineStr">
        <is>
          <t>T1203:Exploitation for Client Execution</t>
        </is>
      </c>
      <c r="W212" s="187" t="n">
        <v>1</v>
      </c>
      <c r="X212" s="187" t="inlineStr">
        <is>
          <t>LOW (40%)</t>
        </is>
      </c>
      <c r="Y212" s="187" t="inlineStr">
        <is>
          <t>UNLIKELY</t>
        </is>
      </c>
      <c r="Z212" s="187" t="inlineStr">
        <is>
          <t>CHECK_VENDOR</t>
        </is>
      </c>
      <c r="AA212" s="187" t="inlineStr">
        <is>
          <t>https://nvd.nist.gov/vuln/detail/CVE-2026-2958</t>
        </is>
      </c>
      <c r="AB212" s="187" t="inlineStr">
        <is>
          <t>NONE</t>
        </is>
      </c>
      <c r="AC212" s="187" t="n">
        <v>0</v>
      </c>
      <c r="AD212" s="187" t="inlineStr"/>
    </row>
    <row r="213">
      <c r="A213" s="187" t="inlineStr">
        <is>
          <t>CVE</t>
        </is>
      </c>
      <c r="B213" s="187" t="inlineStr">
        <is>
          <t>CVE-2026-2959</t>
        </is>
      </c>
      <c r="C213" s="187"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213" s="187" t="n">
        <v>8.800000000000001</v>
      </c>
      <c r="E213" s="187" t="inlineStr">
        <is>
          <t>HIGH</t>
        </is>
      </c>
      <c r="F213" s="187" t="n">
        <v>2</v>
      </c>
      <c r="G213" s="187" t="n">
        <v>3</v>
      </c>
      <c r="H213" s="187" t="inlineStr">
        <is>
          <t>HIGH</t>
        </is>
      </c>
      <c r="I213" s="187" t="n">
        <v>14.8</v>
      </c>
      <c r="J213" s="187" t="inlineStr">
        <is>
          <t>NO</t>
        </is>
      </c>
      <c r="K213" s="187" t="inlineStr">
        <is>
          <t>https://nvd.nist.gov/vuln/detail/CVE-2026-2959</t>
        </is>
      </c>
      <c r="L213" s="187" t="inlineStr">
        <is>
          <t>2026-02-27 20:47</t>
        </is>
      </c>
      <c r="M213" s="187" t="inlineStr">
        <is>
          <t>CHECK_VENDOR</t>
        </is>
      </c>
      <c r="N213" s="187" t="inlineStr">
        <is>
          <t>See NVD references</t>
        </is>
      </c>
      <c r="O213" s="187" t="inlineStr">
        <is>
          <t>Apply vendor patches</t>
        </is>
      </c>
      <c r="P213" s="187" t="inlineStr">
        <is>
          <t>dlink dwr-m960_firmware 1.01.07 | dlink dwr-m960 b1</t>
        </is>
      </c>
      <c r="Q213" s="187" t="inlineStr">
        <is>
          <t>P3</t>
        </is>
      </c>
      <c r="R213" s="187" t="inlineStr">
        <is>
          <t>🚨 URGENT: Apply vendor patches immediately | 🔒 Isolate affected systems if patch unavailable | 🛡️ Enable additional monitoring/IDS rules</t>
        </is>
      </c>
      <c r="S213" s="187" t="inlineStr">
        <is>
          <t>CVE - IP enrichment n/a</t>
        </is>
      </c>
      <c r="T213" s="187" t="n">
        <v>0.0003</v>
      </c>
      <c r="U213" s="187" t="n">
        <v>0.0819</v>
      </c>
      <c r="V213" s="187" t="inlineStr">
        <is>
          <t>T1203:Exploitation for Client Execution</t>
        </is>
      </c>
      <c r="W213" s="187" t="n">
        <v>1</v>
      </c>
      <c r="X213" s="187" t="inlineStr">
        <is>
          <t>LOW (40%)</t>
        </is>
      </c>
      <c r="Y213" s="187" t="inlineStr">
        <is>
          <t>UNLIKELY</t>
        </is>
      </c>
      <c r="Z213" s="187" t="inlineStr">
        <is>
          <t>CHECK_VENDOR</t>
        </is>
      </c>
      <c r="AA213" s="187" t="inlineStr">
        <is>
          <t>https://nvd.nist.gov/vuln/detail/CVE-2026-2959</t>
        </is>
      </c>
      <c r="AB213" s="187" t="inlineStr">
        <is>
          <t>NONE</t>
        </is>
      </c>
      <c r="AC213" s="187" t="n">
        <v>0</v>
      </c>
      <c r="AD213" s="187" t="inlineStr"/>
    </row>
    <row r="214">
      <c r="A214" s="187" t="inlineStr">
        <is>
          <t>CVE</t>
        </is>
      </c>
      <c r="B214" s="187" t="inlineStr">
        <is>
          <t>CVE-2026-2960</t>
        </is>
      </c>
      <c r="C214" s="187"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214" s="187" t="n">
        <v>8.800000000000001</v>
      </c>
      <c r="E214" s="187" t="inlineStr">
        <is>
          <t>HIGH</t>
        </is>
      </c>
      <c r="F214" s="187" t="n">
        <v>2</v>
      </c>
      <c r="G214" s="187" t="n">
        <v>3</v>
      </c>
      <c r="H214" s="187" t="inlineStr">
        <is>
          <t>HIGH</t>
        </is>
      </c>
      <c r="I214" s="187" t="n">
        <v>14.8</v>
      </c>
      <c r="J214" s="187" t="inlineStr">
        <is>
          <t>NO</t>
        </is>
      </c>
      <c r="K214" s="187" t="inlineStr">
        <is>
          <t>https://nvd.nist.gov/vuln/detail/CVE-2026-2960</t>
        </is>
      </c>
      <c r="L214" s="187" t="inlineStr">
        <is>
          <t>2026-02-27 20:47</t>
        </is>
      </c>
      <c r="M214" s="187" t="inlineStr">
        <is>
          <t>CHECK_VENDOR</t>
        </is>
      </c>
      <c r="N214" s="187" t="inlineStr">
        <is>
          <t>See NVD references</t>
        </is>
      </c>
      <c r="O214" s="187" t="inlineStr">
        <is>
          <t>Apply vendor patches</t>
        </is>
      </c>
      <c r="P214" s="187" t="inlineStr">
        <is>
          <t>dlink dwr-m960_firmware 1.01.07 | dlink dwr-m960 b1</t>
        </is>
      </c>
      <c r="Q214" s="187" t="inlineStr">
        <is>
          <t>P3</t>
        </is>
      </c>
      <c r="R214" s="187" t="inlineStr">
        <is>
          <t>🚨 URGENT: Apply vendor patches immediately | 🔒 Isolate affected systems if patch unavailable | 🛡️ Enable additional monitoring/IDS rules</t>
        </is>
      </c>
      <c r="S214" s="187" t="inlineStr">
        <is>
          <t>CVE - IP enrichment n/a</t>
        </is>
      </c>
      <c r="T214" s="187" t="n">
        <v>0.0003</v>
      </c>
      <c r="U214" s="187" t="n">
        <v>0.0819</v>
      </c>
      <c r="V214" s="187" t="inlineStr">
        <is>
          <t>T1203:Exploitation for Client Execution</t>
        </is>
      </c>
      <c r="W214" s="187" t="n">
        <v>1</v>
      </c>
      <c r="X214" s="187" t="inlineStr">
        <is>
          <t>LOW (40%)</t>
        </is>
      </c>
      <c r="Y214" s="187" t="inlineStr">
        <is>
          <t>UNLIKELY</t>
        </is>
      </c>
      <c r="Z214" s="187" t="inlineStr">
        <is>
          <t>CHECK_VENDOR</t>
        </is>
      </c>
      <c r="AA214" s="187" t="inlineStr">
        <is>
          <t>https://nvd.nist.gov/vuln/detail/CVE-2026-2960</t>
        </is>
      </c>
      <c r="AB214" s="187" t="inlineStr">
        <is>
          <t>NONE</t>
        </is>
      </c>
      <c r="AC214" s="187" t="n">
        <v>0</v>
      </c>
      <c r="AD214" s="187" t="inlineStr"/>
    </row>
    <row r="215">
      <c r="A215" s="187" t="inlineStr">
        <is>
          <t>CVE</t>
        </is>
      </c>
      <c r="B215" s="187" t="inlineStr">
        <is>
          <t>CVE-2026-2961</t>
        </is>
      </c>
      <c r="C215" s="187"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215" s="187" t="n">
        <v>8.800000000000001</v>
      </c>
      <c r="E215" s="187" t="inlineStr">
        <is>
          <t>HIGH</t>
        </is>
      </c>
      <c r="F215" s="187" t="n">
        <v>2</v>
      </c>
      <c r="G215" s="187" t="n">
        <v>3</v>
      </c>
      <c r="H215" s="187" t="inlineStr">
        <is>
          <t>HIGH</t>
        </is>
      </c>
      <c r="I215" s="187" t="n">
        <v>14.8</v>
      </c>
      <c r="J215" s="187" t="inlineStr">
        <is>
          <t>NO</t>
        </is>
      </c>
      <c r="K215" s="187" t="inlineStr">
        <is>
          <t>https://nvd.nist.gov/vuln/detail/CVE-2026-2961</t>
        </is>
      </c>
      <c r="L215" s="187" t="inlineStr">
        <is>
          <t>2026-02-27 20:47</t>
        </is>
      </c>
      <c r="M215" s="187" t="inlineStr">
        <is>
          <t>CHECK_VENDOR</t>
        </is>
      </c>
      <c r="N215" s="187" t="inlineStr">
        <is>
          <t>See NVD references</t>
        </is>
      </c>
      <c r="O215" s="187" t="inlineStr">
        <is>
          <t>Apply vendor patches</t>
        </is>
      </c>
      <c r="P215" s="187" t="inlineStr">
        <is>
          <t>dlink dwr-m960_firmware 1.01.07 | dlink dwr-m960 b1</t>
        </is>
      </c>
      <c r="Q215" s="187" t="inlineStr">
        <is>
          <t>P3</t>
        </is>
      </c>
      <c r="R215" s="187" t="inlineStr">
        <is>
          <t>🚨 URGENT: Apply vendor patches immediately | 🔒 Isolate affected systems if patch unavailable | 🛡️ Enable additional monitoring/IDS rules</t>
        </is>
      </c>
      <c r="S215" s="187" t="inlineStr">
        <is>
          <t>CVE - IP enrichment n/a</t>
        </is>
      </c>
      <c r="T215" s="187" t="n">
        <v>0.0003</v>
      </c>
      <c r="U215" s="187" t="n">
        <v>0.0819</v>
      </c>
      <c r="V215" s="187" t="inlineStr">
        <is>
          <t>T1203:Exploitation for Client Execution | T1133:External Remote Services</t>
        </is>
      </c>
      <c r="W215" s="187" t="n">
        <v>1</v>
      </c>
      <c r="X215" s="187" t="inlineStr">
        <is>
          <t>LOW (40%)</t>
        </is>
      </c>
      <c r="Y215" s="187" t="inlineStr">
        <is>
          <t>UNLIKELY</t>
        </is>
      </c>
      <c r="Z215" s="187" t="inlineStr">
        <is>
          <t>CHECK_VENDOR</t>
        </is>
      </c>
      <c r="AA215" s="187" t="inlineStr">
        <is>
          <t>https://nvd.nist.gov/vuln/detail/CVE-2026-2961</t>
        </is>
      </c>
      <c r="AB215" s="187" t="inlineStr">
        <is>
          <t>NONE</t>
        </is>
      </c>
      <c r="AC215" s="187" t="n">
        <v>0</v>
      </c>
      <c r="AD215" s="187" t="inlineStr"/>
    </row>
    <row r="216">
      <c r="A216" s="187" t="inlineStr">
        <is>
          <t>CVE</t>
        </is>
      </c>
      <c r="B216" s="187" t="inlineStr">
        <is>
          <t>CVE-2026-2962</t>
        </is>
      </c>
      <c r="C216" s="187"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216" s="187" t="n">
        <v>8.800000000000001</v>
      </c>
      <c r="E216" s="187" t="inlineStr">
        <is>
          <t>HIGH</t>
        </is>
      </c>
      <c r="F216" s="187" t="n">
        <v>2</v>
      </c>
      <c r="G216" s="187" t="n">
        <v>3</v>
      </c>
      <c r="H216" s="187" t="inlineStr">
        <is>
          <t>HIGH</t>
        </is>
      </c>
      <c r="I216" s="187" t="n">
        <v>14.8</v>
      </c>
      <c r="J216" s="187" t="inlineStr">
        <is>
          <t>NO</t>
        </is>
      </c>
      <c r="K216" s="187" t="inlineStr">
        <is>
          <t>https://nvd.nist.gov/vuln/detail/CVE-2026-2962</t>
        </is>
      </c>
      <c r="L216" s="187" t="inlineStr">
        <is>
          <t>2026-02-27 20:47</t>
        </is>
      </c>
      <c r="M216" s="187" t="inlineStr">
        <is>
          <t>CHECK_VENDOR</t>
        </is>
      </c>
      <c r="N216" s="187" t="inlineStr">
        <is>
          <t>See NVD references</t>
        </is>
      </c>
      <c r="O216" s="187" t="inlineStr">
        <is>
          <t>Apply vendor patches</t>
        </is>
      </c>
      <c r="P216" s="187" t="inlineStr">
        <is>
          <t>dlink dwr-m960_firmware 1.01.07 | dlink dwr-m960 b1</t>
        </is>
      </c>
      <c r="Q216" s="187" t="inlineStr">
        <is>
          <t>P3</t>
        </is>
      </c>
      <c r="R216" s="187" t="inlineStr">
        <is>
          <t>🚨 URGENT: Apply vendor patches immediately | 🔒 Isolate affected systems if patch unavailable | 🛡️ Enable additional monitoring/IDS rules</t>
        </is>
      </c>
      <c r="S216" s="187" t="inlineStr">
        <is>
          <t>CVE - IP enrichment n/a</t>
        </is>
      </c>
      <c r="T216" s="187" t="n">
        <v>0.0003</v>
      </c>
      <c r="U216" s="187" t="n">
        <v>0.0819</v>
      </c>
      <c r="V216" s="187" t="inlineStr">
        <is>
          <t>T1203:Exploitation for Client Execution</t>
        </is>
      </c>
      <c r="W216" s="187" t="n">
        <v>1</v>
      </c>
      <c r="X216" s="187" t="inlineStr">
        <is>
          <t>LOW (40%)</t>
        </is>
      </c>
      <c r="Y216" s="187" t="inlineStr">
        <is>
          <t>UNLIKELY</t>
        </is>
      </c>
      <c r="Z216" s="187" t="inlineStr">
        <is>
          <t>CHECK_VENDOR</t>
        </is>
      </c>
      <c r="AA216" s="187" t="inlineStr">
        <is>
          <t>https://nvd.nist.gov/vuln/detail/CVE-2026-2962</t>
        </is>
      </c>
      <c r="AB216" s="187" t="inlineStr">
        <is>
          <t>NONE</t>
        </is>
      </c>
      <c r="AC216" s="187" t="n">
        <v>0</v>
      </c>
      <c r="AD216" s="187" t="inlineStr"/>
    </row>
    <row r="217">
      <c r="A217" s="188" t="inlineStr">
        <is>
          <t>CVE</t>
        </is>
      </c>
      <c r="B217" s="188" t="inlineStr">
        <is>
          <t>CVE-2026-2963</t>
        </is>
      </c>
      <c r="C217" s="188"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217" s="188" t="n">
        <v>6.3</v>
      </c>
      <c r="E217" s="188" t="inlineStr">
        <is>
          <t>MEDIUM</t>
        </is>
      </c>
      <c r="F217" s="188" t="n">
        <v>2</v>
      </c>
      <c r="G217" s="188" t="n">
        <v>2</v>
      </c>
      <c r="H217" s="188" t="inlineStr">
        <is>
          <t>MEDIUM</t>
        </is>
      </c>
      <c r="I217" s="188" t="n">
        <v>10.3</v>
      </c>
      <c r="J217" s="188" t="inlineStr">
        <is>
          <t>NO</t>
        </is>
      </c>
      <c r="K217" s="188" t="inlineStr">
        <is>
          <t>https://nvd.nist.gov/vuln/detail/CVE-2026-2963</t>
        </is>
      </c>
      <c r="L217" s="188" t="inlineStr">
        <is>
          <t>2026-02-27 20:47</t>
        </is>
      </c>
      <c r="M217" s="188" t="inlineStr">
        <is>
          <t>CHECK_VENDOR</t>
        </is>
      </c>
      <c r="N217" s="188" t="inlineStr">
        <is>
          <t>See NVD references</t>
        </is>
      </c>
      <c r="O217" s="188" t="inlineStr">
        <is>
          <t>Apply vendor patches</t>
        </is>
      </c>
      <c r="P217" s="188" t="inlineStr">
        <is>
          <t>See CVE details</t>
        </is>
      </c>
      <c r="Q217" s="188" t="inlineStr">
        <is>
          <t>P4</t>
        </is>
      </c>
      <c r="R217" s="188" t="inlineStr">
        <is>
          <t>📅 Schedule patch deployment within 30 days | 🔍 Monitor for exploitation attempts</t>
        </is>
      </c>
      <c r="S217" s="188" t="inlineStr">
        <is>
          <t>CVE - IP enrichment n/a</t>
        </is>
      </c>
      <c r="T217" s="188" t="n">
        <v>0.0003</v>
      </c>
      <c r="U217" s="188" t="n">
        <v>0.0701</v>
      </c>
      <c r="V217" s="188" t="inlineStr">
        <is>
          <t>T1190:Exploit Public-Facing Application</t>
        </is>
      </c>
      <c r="W217" s="188" t="n">
        <v>1</v>
      </c>
      <c r="X217" s="188" t="inlineStr">
        <is>
          <t>LOW (40%)</t>
        </is>
      </c>
      <c r="Y217" s="188" t="inlineStr">
        <is>
          <t>UNLIKELY</t>
        </is>
      </c>
      <c r="Z217" s="188" t="inlineStr">
        <is>
          <t>CHECK_VENDOR</t>
        </is>
      </c>
      <c r="AA217" s="188" t="inlineStr">
        <is>
          <t>https://nvd.nist.gov/vuln/detail/CVE-2026-2963</t>
        </is>
      </c>
      <c r="AB217" s="188" t="inlineStr">
        <is>
          <t>NONE</t>
        </is>
      </c>
      <c r="AC217" s="188" t="n">
        <v>0</v>
      </c>
      <c r="AD217" s="188" t="inlineStr"/>
    </row>
    <row r="218">
      <c r="A218" s="189" t="inlineStr">
        <is>
          <t>CVE</t>
        </is>
      </c>
      <c r="B218" s="189" t="inlineStr">
        <is>
          <t>CVE-2026-24494</t>
        </is>
      </c>
      <c r="C218" s="189" t="inlineStr">
        <is>
          <t>SQL Injection vulnerability in the /api/integrations/getintegrations endpoint of Order Up Online Ordering System 1.0 allows an unauthenticated attacker to access sensitive backend database data via a crafted store_id parameter in a POST request.</t>
        </is>
      </c>
      <c r="D218" s="189" t="n">
        <v>9.800000000000001</v>
      </c>
      <c r="E218" s="189" t="inlineStr">
        <is>
          <t>CRITICAL</t>
        </is>
      </c>
      <c r="F218" s="189" t="n">
        <v>2</v>
      </c>
      <c r="G218" s="189" t="n">
        <v>3</v>
      </c>
      <c r="H218" s="189" t="inlineStr">
        <is>
          <t>HIGH</t>
        </is>
      </c>
      <c r="I218" s="189" t="n">
        <v>15.8</v>
      </c>
      <c r="J218" s="189" t="inlineStr">
        <is>
          <t>NO</t>
        </is>
      </c>
      <c r="K218" s="189" t="inlineStr">
        <is>
          <t>https://nvd.nist.gov/vuln/detail/CVE-2026-24494</t>
        </is>
      </c>
      <c r="L218" s="189" t="inlineStr">
        <is>
          <t>2026-02-27 20:47</t>
        </is>
      </c>
      <c r="M218" s="189" t="inlineStr">
        <is>
          <t>CHECK_VENDOR</t>
        </is>
      </c>
      <c r="N218" s="189" t="inlineStr">
        <is>
          <t>See NVD references</t>
        </is>
      </c>
      <c r="O218" s="189" t="inlineStr">
        <is>
          <t>Apply vendor patches</t>
        </is>
      </c>
      <c r="P218" s="189" t="inlineStr">
        <is>
          <t>See CVE details</t>
        </is>
      </c>
      <c r="Q218" s="189" t="inlineStr">
        <is>
          <t>P3</t>
        </is>
      </c>
      <c r="R218" s="189" t="inlineStr">
        <is>
          <t>🚨 URGENT: Apply vendor patches immediately | 🔒 Isolate affected systems if patch unavailable | 🛡️ Enable additional monitoring/IDS rules</t>
        </is>
      </c>
      <c r="S218" s="189" t="inlineStr">
        <is>
          <t>CVE - IP enrichment n/a</t>
        </is>
      </c>
      <c r="T218" s="189" t="n">
        <v>0.0005</v>
      </c>
      <c r="U218" s="189" t="n">
        <v>0.1616</v>
      </c>
      <c r="V218" s="189" t="inlineStr">
        <is>
          <t>T1190:Exploit Public-Facing Application</t>
        </is>
      </c>
      <c r="W218" s="189" t="n">
        <v>1</v>
      </c>
      <c r="X218" s="189" t="inlineStr">
        <is>
          <t>LOW (40%)</t>
        </is>
      </c>
      <c r="Y218" s="189" t="inlineStr">
        <is>
          <t>UNLIKELY</t>
        </is>
      </c>
      <c r="Z218" s="189" t="inlineStr">
        <is>
          <t>CHECK_VENDOR</t>
        </is>
      </c>
      <c r="AA218" s="189" t="inlineStr">
        <is>
          <t>https://nvd.nist.gov/vuln/detail/CVE-2026-24494</t>
        </is>
      </c>
      <c r="AB218" s="189" t="inlineStr">
        <is>
          <t>NONE</t>
        </is>
      </c>
      <c r="AC218" s="189" t="n">
        <v>0</v>
      </c>
      <c r="AD218" s="189" t="inlineStr"/>
    </row>
    <row r="219">
      <c r="A219" s="188" t="inlineStr">
        <is>
          <t>CVE</t>
        </is>
      </c>
      <c r="B219" s="188" t="inlineStr">
        <is>
          <t>CVE-2026-2964</t>
        </is>
      </c>
      <c r="C219" s="188"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219" s="188" t="n">
        <v>5</v>
      </c>
      <c r="E219" s="188" t="inlineStr">
        <is>
          <t>MEDIUM</t>
        </is>
      </c>
      <c r="F219" s="188" t="n">
        <v>2</v>
      </c>
      <c r="G219" s="188" t="n">
        <v>2</v>
      </c>
      <c r="H219" s="188" t="inlineStr">
        <is>
          <t>MEDIUM</t>
        </is>
      </c>
      <c r="I219" s="188" t="n">
        <v>9</v>
      </c>
      <c r="J219" s="188" t="inlineStr">
        <is>
          <t>NO</t>
        </is>
      </c>
      <c r="K219" s="188" t="inlineStr">
        <is>
          <t>https://nvd.nist.gov/vuln/detail/CVE-2026-2964</t>
        </is>
      </c>
      <c r="L219" s="188" t="inlineStr">
        <is>
          <t>2026-02-27 20:47</t>
        </is>
      </c>
      <c r="M219" s="188" t="inlineStr">
        <is>
          <t>CHECK_VENDOR</t>
        </is>
      </c>
      <c r="N219" s="188" t="inlineStr">
        <is>
          <t>See NVD references</t>
        </is>
      </c>
      <c r="O219" s="188" t="inlineStr">
        <is>
          <t>Apply vendor patches</t>
        </is>
      </c>
      <c r="P219" s="188" t="inlineStr">
        <is>
          <t>higuma webaudiorecorder.js 0.1 | higuma webaudiorecorder.js 0.1.1</t>
        </is>
      </c>
      <c r="Q219" s="188" t="inlineStr">
        <is>
          <t>P4</t>
        </is>
      </c>
      <c r="R219" s="188" t="inlineStr">
        <is>
          <t>📅 Schedule patch deployment within 30 days | 🔍 Monitor for exploitation attempts</t>
        </is>
      </c>
      <c r="S219" s="188" t="inlineStr">
        <is>
          <t>CVE - IP enrichment n/a</t>
        </is>
      </c>
      <c r="T219" s="188" t="n">
        <v>0.0004</v>
      </c>
      <c r="U219" s="188" t="n">
        <v>0.1307</v>
      </c>
      <c r="V219" s="188" t="inlineStr">
        <is>
          <t>T1059:Command and Scripting Interpreter</t>
        </is>
      </c>
      <c r="W219" s="188" t="n">
        <v>1</v>
      </c>
      <c r="X219" s="188" t="inlineStr">
        <is>
          <t>LOW (40%)</t>
        </is>
      </c>
      <c r="Y219" s="188" t="inlineStr">
        <is>
          <t>UNLIKELY</t>
        </is>
      </c>
      <c r="Z219" s="188" t="inlineStr">
        <is>
          <t>CHECK_VENDOR</t>
        </is>
      </c>
      <c r="AA219" s="188" t="inlineStr">
        <is>
          <t>https://nvd.nist.gov/vuln/detail/CVE-2026-2964</t>
        </is>
      </c>
      <c r="AB219" s="188" t="inlineStr">
        <is>
          <t>NONE</t>
        </is>
      </c>
      <c r="AC219" s="188" t="n">
        <v>0</v>
      </c>
      <c r="AD219" s="188" t="inlineStr"/>
    </row>
    <row r="220">
      <c r="A220" s="190" t="inlineStr">
        <is>
          <t>CVE</t>
        </is>
      </c>
      <c r="B220" s="190" t="inlineStr">
        <is>
          <t>CVE-2026-2965</t>
        </is>
      </c>
      <c r="C220" s="190"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220" s="190" t="n">
        <v>2.4</v>
      </c>
      <c r="E220" s="190" t="inlineStr">
        <is>
          <t>LOW</t>
        </is>
      </c>
      <c r="F220" s="190" t="n">
        <v>2</v>
      </c>
      <c r="G220" s="190" t="n">
        <v>1</v>
      </c>
      <c r="H220" s="190" t="inlineStr">
        <is>
          <t>LOW</t>
        </is>
      </c>
      <c r="I220" s="190" t="n">
        <v>4.4</v>
      </c>
      <c r="J220" s="190" t="inlineStr">
        <is>
          <t>NO</t>
        </is>
      </c>
      <c r="K220" s="190" t="inlineStr">
        <is>
          <t>https://nvd.nist.gov/vuln/detail/CVE-2026-2965</t>
        </is>
      </c>
      <c r="L220" s="190" t="inlineStr">
        <is>
          <t>2026-02-27 20:47</t>
        </is>
      </c>
      <c r="M220" s="190" t="inlineStr">
        <is>
          <t>CHECK_VENDOR</t>
        </is>
      </c>
      <c r="N220" s="190" t="inlineStr">
        <is>
          <t>See NVD references</t>
        </is>
      </c>
      <c r="O220" s="190" t="inlineStr">
        <is>
          <t>Apply vendor patches</t>
        </is>
      </c>
      <c r="P220" s="190" t="inlineStr">
        <is>
          <t>See CVE details</t>
        </is>
      </c>
      <c r="Q220" s="190" t="inlineStr">
        <is>
          <t>P4</t>
        </is>
      </c>
      <c r="R220" s="190" t="inlineStr">
        <is>
          <t>📅 Schedule patch deployment within 30 days | 🔍 Monitor for exploitation attempts</t>
        </is>
      </c>
      <c r="S220" s="190" t="inlineStr">
        <is>
          <t>CVE - IP enrichment n/a</t>
        </is>
      </c>
      <c r="T220" s="190" t="n">
        <v>0.0003</v>
      </c>
      <c r="U220" s="190" t="n">
        <v>0.07630000000000001</v>
      </c>
      <c r="V220" s="190" t="inlineStr">
        <is>
          <t>T1189:Drive-by Compromise</t>
        </is>
      </c>
      <c r="W220" s="190" t="n">
        <v>1</v>
      </c>
      <c r="X220" s="190" t="inlineStr">
        <is>
          <t>LOW (40%)</t>
        </is>
      </c>
      <c r="Y220" s="190" t="inlineStr">
        <is>
          <t>UNLIKELY</t>
        </is>
      </c>
      <c r="Z220" s="190" t="inlineStr">
        <is>
          <t>CHECK_VENDOR</t>
        </is>
      </c>
      <c r="AA220" s="190" t="inlineStr">
        <is>
          <t>https://nvd.nist.gov/vuln/detail/CVE-2026-2965</t>
        </is>
      </c>
      <c r="AB220" s="190" t="inlineStr">
        <is>
          <t>NONE</t>
        </is>
      </c>
      <c r="AC220" s="190" t="n">
        <v>0</v>
      </c>
      <c r="AD220" s="190" t="inlineStr"/>
    </row>
    <row r="221">
      <c r="A221" s="190" t="inlineStr">
        <is>
          <t>CVE</t>
        </is>
      </c>
      <c r="B221" s="190" t="inlineStr">
        <is>
          <t>CVE-2026-2966</t>
        </is>
      </c>
      <c r="C221" s="190"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221" s="190" t="n">
        <v>3.7</v>
      </c>
      <c r="E221" s="190" t="inlineStr">
        <is>
          <t>LOW</t>
        </is>
      </c>
      <c r="F221" s="190" t="n">
        <v>2</v>
      </c>
      <c r="G221" s="190" t="n">
        <v>1</v>
      </c>
      <c r="H221" s="190" t="inlineStr">
        <is>
          <t>LOW</t>
        </is>
      </c>
      <c r="I221" s="190" t="n">
        <v>5.7</v>
      </c>
      <c r="J221" s="190" t="inlineStr">
        <is>
          <t>NO</t>
        </is>
      </c>
      <c r="K221" s="190" t="inlineStr">
        <is>
          <t>https://nvd.nist.gov/vuln/detail/CVE-2026-2966</t>
        </is>
      </c>
      <c r="L221" s="190" t="inlineStr">
        <is>
          <t>2026-02-27 20:47</t>
        </is>
      </c>
      <c r="M221" s="190" t="inlineStr">
        <is>
          <t>CHECK_VENDOR</t>
        </is>
      </c>
      <c r="N221" s="190" t="inlineStr">
        <is>
          <t>See NVD references</t>
        </is>
      </c>
      <c r="O221" s="190" t="inlineStr">
        <is>
          <t>Apply vendor patches</t>
        </is>
      </c>
      <c r="P221" s="190" t="inlineStr">
        <is>
          <t>cesanta mongoose *</t>
        </is>
      </c>
      <c r="Q221" s="190" t="inlineStr">
        <is>
          <t>P4</t>
        </is>
      </c>
      <c r="R221" s="190" t="inlineStr">
        <is>
          <t>📅 Schedule patch deployment within 30 days | 🔍 Monitor for exploitation attempts</t>
        </is>
      </c>
      <c r="S221" s="190" t="inlineStr">
        <is>
          <t>CVE - IP enrichment n/a</t>
        </is>
      </c>
      <c r="T221" s="190" t="n">
        <v>0.0009</v>
      </c>
      <c r="U221" s="190" t="n">
        <v>0.2638</v>
      </c>
      <c r="V221" s="190" t="inlineStr">
        <is>
          <t>T1190:Exploit Public-Facing Application</t>
        </is>
      </c>
      <c r="W221" s="190" t="n">
        <v>1</v>
      </c>
      <c r="X221" s="190" t="inlineStr">
        <is>
          <t>LOW (40%)</t>
        </is>
      </c>
      <c r="Y221" s="190" t="inlineStr">
        <is>
          <t>UNLIKELY</t>
        </is>
      </c>
      <c r="Z221" s="190" t="inlineStr">
        <is>
          <t>CHECK_VENDOR</t>
        </is>
      </c>
      <c r="AA221" s="190" t="inlineStr">
        <is>
          <t>https://nvd.nist.gov/vuln/detail/CVE-2026-2966</t>
        </is>
      </c>
      <c r="AB221" s="190" t="inlineStr">
        <is>
          <t>NONE</t>
        </is>
      </c>
      <c r="AC221" s="190" t="n">
        <v>0</v>
      </c>
      <c r="AD221" s="190" t="inlineStr"/>
    </row>
    <row r="222">
      <c r="A222" s="188" t="inlineStr">
        <is>
          <t>CVE</t>
        </is>
      </c>
      <c r="B222" s="188" t="inlineStr">
        <is>
          <t>CVE-2026-2997</t>
        </is>
      </c>
      <c r="C222" s="188" t="inlineStr">
        <is>
          <t>Tronclass developed by WisdomGarden has a Insecure Direct Object Reference vulnerability. After obtaining a course ID, authenticated remote attackers to modify a specific parameter to obtain a course invitation code, thereby joining any course.</t>
        </is>
      </c>
      <c r="D222" s="188" t="n">
        <v>5.4</v>
      </c>
      <c r="E222" s="188" t="inlineStr">
        <is>
          <t>MEDIUM</t>
        </is>
      </c>
      <c r="F222" s="188" t="n">
        <v>2</v>
      </c>
      <c r="G222" s="188" t="n">
        <v>2</v>
      </c>
      <c r="H222" s="188" t="inlineStr">
        <is>
          <t>MEDIUM</t>
        </is>
      </c>
      <c r="I222" s="188" t="n">
        <v>9.4</v>
      </c>
      <c r="J222" s="188" t="inlineStr">
        <is>
          <t>NO</t>
        </is>
      </c>
      <c r="K222" s="188" t="inlineStr">
        <is>
          <t>https://nvd.nist.gov/vuln/detail/CVE-2026-2997</t>
        </is>
      </c>
      <c r="L222" s="188" t="inlineStr">
        <is>
          <t>2026-02-27 20:47</t>
        </is>
      </c>
      <c r="M222" s="188" t="inlineStr">
        <is>
          <t>CHECK_VENDOR</t>
        </is>
      </c>
      <c r="N222" s="188" t="inlineStr">
        <is>
          <t>See NVD references</t>
        </is>
      </c>
      <c r="O222" s="188" t="inlineStr">
        <is>
          <t>Apply vendor patches</t>
        </is>
      </c>
      <c r="P222" s="188" t="inlineStr">
        <is>
          <t>See CVE details</t>
        </is>
      </c>
      <c r="Q222" s="188" t="inlineStr">
        <is>
          <t>P4</t>
        </is>
      </c>
      <c r="R222" s="188" t="inlineStr">
        <is>
          <t>📅 Schedule patch deployment within 30 days | 🔍 Monitor for exploitation attempts</t>
        </is>
      </c>
      <c r="S222" s="188" t="inlineStr">
        <is>
          <t>CVE - IP enrichment n/a</t>
        </is>
      </c>
      <c r="T222" s="188" t="n">
        <v>0.0003</v>
      </c>
      <c r="U222" s="188" t="n">
        <v>0.0977</v>
      </c>
      <c r="V222" s="188" t="inlineStr">
        <is>
          <t>T1190:Exploit Public-Facing Application</t>
        </is>
      </c>
      <c r="W222" s="188" t="n">
        <v>1</v>
      </c>
      <c r="X222" s="188" t="inlineStr">
        <is>
          <t>LOW (40%)</t>
        </is>
      </c>
      <c r="Y222" s="188" t="inlineStr">
        <is>
          <t>UNLIKELY</t>
        </is>
      </c>
      <c r="Z222" s="188" t="inlineStr">
        <is>
          <t>CHECK_VENDOR</t>
        </is>
      </c>
      <c r="AA222" s="188" t="inlineStr">
        <is>
          <t>https://nvd.nist.gov/vuln/detail/CVE-2026-2997</t>
        </is>
      </c>
      <c r="AB222" s="188" t="inlineStr">
        <is>
          <t>NONE</t>
        </is>
      </c>
      <c r="AC222" s="188" t="n">
        <v>0</v>
      </c>
      <c r="AD222" s="188" t="inlineStr"/>
    </row>
    <row r="223">
      <c r="A223" s="190" t="inlineStr">
        <is>
          <t>CVE</t>
        </is>
      </c>
      <c r="B223" s="190" t="inlineStr">
        <is>
          <t>CVE-2026-2967</t>
        </is>
      </c>
      <c r="C223" s="190"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223" s="190" t="n">
        <v>3.7</v>
      </c>
      <c r="E223" s="190" t="inlineStr">
        <is>
          <t>LOW</t>
        </is>
      </c>
      <c r="F223" s="190" t="n">
        <v>2</v>
      </c>
      <c r="G223" s="190" t="n">
        <v>1</v>
      </c>
      <c r="H223" s="190" t="inlineStr">
        <is>
          <t>LOW</t>
        </is>
      </c>
      <c r="I223" s="190" t="n">
        <v>5.7</v>
      </c>
      <c r="J223" s="190" t="inlineStr">
        <is>
          <t>NO</t>
        </is>
      </c>
      <c r="K223" s="190" t="inlineStr">
        <is>
          <t>https://nvd.nist.gov/vuln/detail/CVE-2026-2967</t>
        </is>
      </c>
      <c r="L223" s="190" t="inlineStr">
        <is>
          <t>2026-02-27 20:47</t>
        </is>
      </c>
      <c r="M223" s="190" t="inlineStr">
        <is>
          <t>CHECK_VENDOR</t>
        </is>
      </c>
      <c r="N223" s="190" t="inlineStr">
        <is>
          <t>See NVD references</t>
        </is>
      </c>
      <c r="O223" s="190" t="inlineStr">
        <is>
          <t>Apply vendor patches</t>
        </is>
      </c>
      <c r="P223" s="190" t="inlineStr">
        <is>
          <t>cesanta mongoose *</t>
        </is>
      </c>
      <c r="Q223" s="190" t="inlineStr">
        <is>
          <t>P4</t>
        </is>
      </c>
      <c r="R223" s="190" t="inlineStr">
        <is>
          <t>📅 Schedule patch deployment within 30 days | 🔍 Monitor for exploitation attempts</t>
        </is>
      </c>
      <c r="S223" s="190" t="inlineStr">
        <is>
          <t>CVE - IP enrichment n/a</t>
        </is>
      </c>
      <c r="T223" s="190" t="n">
        <v>0.0013</v>
      </c>
      <c r="U223" s="190" t="n">
        <v>0.3261</v>
      </c>
      <c r="V223" s="190" t="inlineStr">
        <is>
          <t>T1190:Exploit Public-Facing Application</t>
        </is>
      </c>
      <c r="W223" s="190" t="n">
        <v>1</v>
      </c>
      <c r="X223" s="190" t="inlineStr">
        <is>
          <t>LOW (40%)</t>
        </is>
      </c>
      <c r="Y223" s="190" t="inlineStr">
        <is>
          <t>UNLIKELY</t>
        </is>
      </c>
      <c r="Z223" s="190" t="inlineStr">
        <is>
          <t>CHECK_VENDOR</t>
        </is>
      </c>
      <c r="AA223" s="190" t="inlineStr">
        <is>
          <t>https://nvd.nist.gov/vuln/detail/CVE-2026-2967</t>
        </is>
      </c>
      <c r="AB223" s="190" t="inlineStr">
        <is>
          <t>NONE</t>
        </is>
      </c>
      <c r="AC223" s="190" t="n">
        <v>0</v>
      </c>
      <c r="AD223" s="190" t="inlineStr"/>
    </row>
    <row r="224">
      <c r="A224" s="190" t="inlineStr">
        <is>
          <t>CVE</t>
        </is>
      </c>
      <c r="B224" s="190" t="inlineStr">
        <is>
          <t>CVE-2026-2968</t>
        </is>
      </c>
      <c r="C224" s="190"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224" s="190" t="n">
        <v>3.7</v>
      </c>
      <c r="E224" s="190" t="inlineStr">
        <is>
          <t>LOW</t>
        </is>
      </c>
      <c r="F224" s="190" t="n">
        <v>2</v>
      </c>
      <c r="G224" s="190" t="n">
        <v>1</v>
      </c>
      <c r="H224" s="190" t="inlineStr">
        <is>
          <t>LOW</t>
        </is>
      </c>
      <c r="I224" s="190" t="n">
        <v>5.7</v>
      </c>
      <c r="J224" s="190" t="inlineStr">
        <is>
          <t>NO</t>
        </is>
      </c>
      <c r="K224" s="190" t="inlineStr">
        <is>
          <t>https://nvd.nist.gov/vuln/detail/CVE-2026-2968</t>
        </is>
      </c>
      <c r="L224" s="190" t="inlineStr">
        <is>
          <t>2026-02-27 20:47</t>
        </is>
      </c>
      <c r="M224" s="190" t="inlineStr">
        <is>
          <t>CHECK_VENDOR</t>
        </is>
      </c>
      <c r="N224" s="190" t="inlineStr">
        <is>
          <t>See NVD references</t>
        </is>
      </c>
      <c r="O224" s="190" t="inlineStr">
        <is>
          <t>Apply vendor patches</t>
        </is>
      </c>
      <c r="P224" s="190" t="inlineStr">
        <is>
          <t>cesanta mongoose *</t>
        </is>
      </c>
      <c r="Q224" s="190" t="inlineStr">
        <is>
          <t>P4</t>
        </is>
      </c>
      <c r="R224" s="190" t="inlineStr">
        <is>
          <t>📅 Schedule patch deployment within 30 days | 🔍 Monitor for exploitation attempts</t>
        </is>
      </c>
      <c r="S224" s="190" t="inlineStr">
        <is>
          <t>CVE - IP enrichment n/a</t>
        </is>
      </c>
      <c r="T224" s="190" t="n">
        <v>0.0001</v>
      </c>
      <c r="U224" s="190" t="n">
        <v>0.0053</v>
      </c>
      <c r="V224" s="190" t="inlineStr">
        <is>
          <t>T1600:Weaken Encryption</t>
        </is>
      </c>
      <c r="W224" s="190" t="n">
        <v>1</v>
      </c>
      <c r="X224" s="190" t="inlineStr">
        <is>
          <t>LOW (40%)</t>
        </is>
      </c>
      <c r="Y224" s="190" t="inlineStr">
        <is>
          <t>UNLIKELY</t>
        </is>
      </c>
      <c r="Z224" s="190" t="inlineStr">
        <is>
          <t>CHECK_VENDOR</t>
        </is>
      </c>
      <c r="AA224" s="190" t="inlineStr">
        <is>
          <t>https://nvd.nist.gov/vuln/detail/CVE-2026-2968</t>
        </is>
      </c>
      <c r="AB224" s="190" t="inlineStr">
        <is>
          <t>NONE</t>
        </is>
      </c>
      <c r="AC224" s="190" t="n">
        <v>0</v>
      </c>
      <c r="AD224" s="190" t="inlineStr"/>
    </row>
    <row r="225">
      <c r="A225" s="187" t="inlineStr">
        <is>
          <t>CVE</t>
        </is>
      </c>
      <c r="B225" s="187" t="inlineStr">
        <is>
          <t>CVE-2026-2998</t>
        </is>
      </c>
      <c r="C225" s="187" t="inlineStr">
        <is>
          <t>ERP developed by eAI Technologies has a DLL Hijacking vulnerability, allowing authenticated local attackers to place a crafted DLL file in the same directory as the program, thereby executing arbitrary code.</t>
        </is>
      </c>
      <c r="D225" s="187" t="n">
        <v>7.8</v>
      </c>
      <c r="E225" s="187" t="inlineStr">
        <is>
          <t>HIGH</t>
        </is>
      </c>
      <c r="F225" s="187" t="n">
        <v>2</v>
      </c>
      <c r="G225" s="187" t="n">
        <v>3</v>
      </c>
      <c r="H225" s="187" t="inlineStr">
        <is>
          <t>HIGH</t>
        </is>
      </c>
      <c r="I225" s="187" t="n">
        <v>13.8</v>
      </c>
      <c r="J225" s="187" t="inlineStr">
        <is>
          <t>NO</t>
        </is>
      </c>
      <c r="K225" s="187" t="inlineStr">
        <is>
          <t>https://nvd.nist.gov/vuln/detail/CVE-2026-2998</t>
        </is>
      </c>
      <c r="L225" s="187" t="inlineStr">
        <is>
          <t>2026-02-27 20:47</t>
        </is>
      </c>
      <c r="M225" s="187" t="inlineStr">
        <is>
          <t>CHECK_VENDOR</t>
        </is>
      </c>
      <c r="N225" s="187" t="inlineStr">
        <is>
          <t>See NVD references</t>
        </is>
      </c>
      <c r="O225" s="187" t="inlineStr">
        <is>
          <t>Apply vendor patches</t>
        </is>
      </c>
      <c r="P225" s="187" t="inlineStr">
        <is>
          <t>See CVE details</t>
        </is>
      </c>
      <c r="Q225" s="187" t="inlineStr">
        <is>
          <t>P3</t>
        </is>
      </c>
      <c r="R225" s="187" t="inlineStr">
        <is>
          <t>🚨 URGENT: Apply vendor patches immediately | 🔒 Isolate affected systems if patch unavailable | 🛡️ Enable additional monitoring/IDS rules</t>
        </is>
      </c>
      <c r="S225" s="187" t="inlineStr">
        <is>
          <t>CVE - IP enrichment n/a</t>
        </is>
      </c>
      <c r="T225" s="187" t="n">
        <v>0.0001</v>
      </c>
      <c r="U225" s="187" t="n">
        <v>0.0198</v>
      </c>
      <c r="V225" s="187" t="inlineStr">
        <is>
          <t>T1203:Exploitation for Client Execution</t>
        </is>
      </c>
      <c r="W225" s="187" t="n">
        <v>1</v>
      </c>
      <c r="X225" s="187" t="inlineStr">
        <is>
          <t>LOW (40%)</t>
        </is>
      </c>
      <c r="Y225" s="187" t="inlineStr">
        <is>
          <t>UNLIKELY</t>
        </is>
      </c>
      <c r="Z225" s="187" t="inlineStr">
        <is>
          <t>CHECK_VENDOR</t>
        </is>
      </c>
      <c r="AA225" s="187" t="inlineStr">
        <is>
          <t>https://nvd.nist.gov/vuln/detail/CVE-2026-2998</t>
        </is>
      </c>
      <c r="AB225" s="187" t="inlineStr">
        <is>
          <t>NONE</t>
        </is>
      </c>
      <c r="AC225" s="187" t="n">
        <v>0</v>
      </c>
      <c r="AD225" s="187" t="inlineStr"/>
    </row>
    <row r="226">
      <c r="A226" s="188" t="inlineStr">
        <is>
          <t>CVE</t>
        </is>
      </c>
      <c r="B226" s="188" t="inlineStr">
        <is>
          <t>CVE-2026-2969</t>
        </is>
      </c>
      <c r="C226" s="188"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226" s="188" t="n">
        <v>4.7</v>
      </c>
      <c r="E226" s="188" t="inlineStr">
        <is>
          <t>MEDIUM</t>
        </is>
      </c>
      <c r="F226" s="188" t="n">
        <v>2</v>
      </c>
      <c r="G226" s="188" t="n">
        <v>2</v>
      </c>
      <c r="H226" s="188" t="inlineStr">
        <is>
          <t>MEDIUM</t>
        </is>
      </c>
      <c r="I226" s="188" t="n">
        <v>8.699999999999999</v>
      </c>
      <c r="J226" s="188" t="inlineStr">
        <is>
          <t>NO</t>
        </is>
      </c>
      <c r="K226" s="188" t="inlineStr">
        <is>
          <t>https://nvd.nist.gov/vuln/detail/CVE-2026-2969</t>
        </is>
      </c>
      <c r="L226" s="188" t="inlineStr">
        <is>
          <t>2026-02-27 20:47</t>
        </is>
      </c>
      <c r="M226" s="188" t="inlineStr">
        <is>
          <t>CHECK_VENDOR</t>
        </is>
      </c>
      <c r="N226" s="188" t="inlineStr">
        <is>
          <t>See NVD references</t>
        </is>
      </c>
      <c r="O226" s="188" t="inlineStr">
        <is>
          <t>Apply vendor patches</t>
        </is>
      </c>
      <c r="P226" s="188" t="inlineStr">
        <is>
          <t>datapizza datapizza_ai 0.0.2</t>
        </is>
      </c>
      <c r="Q226" s="188" t="inlineStr">
        <is>
          <t>P4</t>
        </is>
      </c>
      <c r="R226" s="188" t="inlineStr">
        <is>
          <t>📅 Schedule patch deployment within 30 days | 🔍 Monitor for exploitation attempts</t>
        </is>
      </c>
      <c r="S226" s="188" t="inlineStr">
        <is>
          <t>CVE - IP enrichment n/a</t>
        </is>
      </c>
      <c r="T226" s="188" t="n">
        <v>0.0005</v>
      </c>
      <c r="U226" s="188" t="n">
        <v>0.1667</v>
      </c>
      <c r="V226" s="188" t="inlineStr">
        <is>
          <t>T1190:Exploit Public-Facing Application</t>
        </is>
      </c>
      <c r="W226" s="188" t="n">
        <v>1</v>
      </c>
      <c r="X226" s="188" t="inlineStr">
        <is>
          <t>LOW (40%)</t>
        </is>
      </c>
      <c r="Y226" s="188" t="inlineStr">
        <is>
          <t>UNLIKELY</t>
        </is>
      </c>
      <c r="Z226" s="188" t="inlineStr">
        <is>
          <t>CHECK_VENDOR</t>
        </is>
      </c>
      <c r="AA226" s="188" t="inlineStr">
        <is>
          <t>https://nvd.nist.gov/vuln/detail/CVE-2026-2969</t>
        </is>
      </c>
      <c r="AB226" s="188" t="inlineStr">
        <is>
          <t>NONE</t>
        </is>
      </c>
      <c r="AC226" s="188" t="n">
        <v>0</v>
      </c>
      <c r="AD226" s="188" t="inlineStr"/>
    </row>
    <row r="227">
      <c r="A227" s="188" t="inlineStr">
        <is>
          <t>CVE</t>
        </is>
      </c>
      <c r="B227" s="188" t="inlineStr">
        <is>
          <t>CVE-2026-2970</t>
        </is>
      </c>
      <c r="C227" s="188"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227" s="188" t="n">
        <v>4.6</v>
      </c>
      <c r="E227" s="188" t="inlineStr">
        <is>
          <t>MEDIUM</t>
        </is>
      </c>
      <c r="F227" s="188" t="n">
        <v>2</v>
      </c>
      <c r="G227" s="188" t="n">
        <v>2</v>
      </c>
      <c r="H227" s="188" t="inlineStr">
        <is>
          <t>MEDIUM</t>
        </is>
      </c>
      <c r="I227" s="188" t="n">
        <v>8.6</v>
      </c>
      <c r="J227" s="188" t="inlineStr">
        <is>
          <t>NO</t>
        </is>
      </c>
      <c r="K227" s="188" t="inlineStr">
        <is>
          <t>https://nvd.nist.gov/vuln/detail/CVE-2026-2970</t>
        </is>
      </c>
      <c r="L227" s="188" t="inlineStr">
        <is>
          <t>2026-02-27 20:47</t>
        </is>
      </c>
      <c r="M227" s="188" t="inlineStr">
        <is>
          <t>CHECK_VENDOR</t>
        </is>
      </c>
      <c r="N227" s="188" t="inlineStr">
        <is>
          <t>See NVD references</t>
        </is>
      </c>
      <c r="O227" s="188" t="inlineStr">
        <is>
          <t>Apply vendor patches</t>
        </is>
      </c>
      <c r="P227" s="188" t="inlineStr">
        <is>
          <t>datapizza datapizza-ai 0.0.2</t>
        </is>
      </c>
      <c r="Q227" s="188" t="inlineStr">
        <is>
          <t>P4</t>
        </is>
      </c>
      <c r="R227" s="188" t="inlineStr">
        <is>
          <t>📅 Schedule patch deployment within 30 days | 🔍 Monitor for exploitation attempts</t>
        </is>
      </c>
      <c r="S227" s="188" t="inlineStr">
        <is>
          <t>CVE - IP enrichment n/a</t>
        </is>
      </c>
      <c r="T227" s="188" t="n">
        <v>0.0003</v>
      </c>
      <c r="U227" s="188" t="n">
        <v>0.1019</v>
      </c>
      <c r="V227" s="188" t="inlineStr">
        <is>
          <t>T1059:Command and Scripting Interpreter</t>
        </is>
      </c>
      <c r="W227" s="188" t="n">
        <v>1</v>
      </c>
      <c r="X227" s="188" t="inlineStr">
        <is>
          <t>LOW (40%)</t>
        </is>
      </c>
      <c r="Y227" s="188" t="inlineStr">
        <is>
          <t>UNLIKELY</t>
        </is>
      </c>
      <c r="Z227" s="188" t="inlineStr">
        <is>
          <t>CHECK_VENDOR</t>
        </is>
      </c>
      <c r="AA227" s="188" t="inlineStr">
        <is>
          <t>https://nvd.nist.gov/vuln/detail/CVE-2026-2970</t>
        </is>
      </c>
      <c r="AB227" s="188" t="inlineStr">
        <is>
          <t>NONE</t>
        </is>
      </c>
      <c r="AC227" s="188" t="n">
        <v>0</v>
      </c>
      <c r="AD227" s="188" t="inlineStr"/>
    </row>
    <row r="228">
      <c r="A228" s="188" t="inlineStr">
        <is>
          <t>CVE</t>
        </is>
      </c>
      <c r="B228" s="188" t="inlineStr">
        <is>
          <t>CVE-2026-2971</t>
        </is>
      </c>
      <c r="C228" s="188"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228" s="188" t="n">
        <v>4.3</v>
      </c>
      <c r="E228" s="188" t="inlineStr">
        <is>
          <t>MEDIUM</t>
        </is>
      </c>
      <c r="F228" s="188" t="n">
        <v>2</v>
      </c>
      <c r="G228" s="188" t="n">
        <v>2</v>
      </c>
      <c r="H228" s="188" t="inlineStr">
        <is>
          <t>MEDIUM</t>
        </is>
      </c>
      <c r="I228" s="188" t="n">
        <v>8.300000000000001</v>
      </c>
      <c r="J228" s="188" t="inlineStr">
        <is>
          <t>NO</t>
        </is>
      </c>
      <c r="K228" s="188" t="inlineStr">
        <is>
          <t>https://nvd.nist.gov/vuln/detail/CVE-2026-2971</t>
        </is>
      </c>
      <c r="L228" s="188" t="inlineStr">
        <is>
          <t>2026-02-27 20:47</t>
        </is>
      </c>
      <c r="M228" s="188" t="inlineStr">
        <is>
          <t>CHECK_VENDOR</t>
        </is>
      </c>
      <c r="N228" s="188" t="inlineStr">
        <is>
          <t>See NVD references</t>
        </is>
      </c>
      <c r="O228" s="188" t="inlineStr">
        <is>
          <t>Apply vendor patches</t>
        </is>
      </c>
      <c r="P228" s="188" t="inlineStr">
        <is>
          <t>a466350665 smart-sso *</t>
        </is>
      </c>
      <c r="Q228" s="188" t="inlineStr">
        <is>
          <t>P4</t>
        </is>
      </c>
      <c r="R228" s="188" t="inlineStr">
        <is>
          <t>📅 Schedule patch deployment within 30 days | 🔍 Monitor for exploitation attempts</t>
        </is>
      </c>
      <c r="S228" s="188" t="inlineStr">
        <is>
          <t>CVE - IP enrichment n/a</t>
        </is>
      </c>
      <c r="T228" s="188" t="n">
        <v>0.0003</v>
      </c>
      <c r="U228" s="188" t="n">
        <v>0.068</v>
      </c>
      <c r="V228" s="188" t="inlineStr">
        <is>
          <t>T1189:Drive-by Compromise | T1190:Exploit Public-Facing Application</t>
        </is>
      </c>
      <c r="W228" s="188" t="n">
        <v>1</v>
      </c>
      <c r="X228" s="188" t="inlineStr">
        <is>
          <t>LOW (40%)</t>
        </is>
      </c>
      <c r="Y228" s="188" t="inlineStr">
        <is>
          <t>UNLIKELY</t>
        </is>
      </c>
      <c r="Z228" s="188" t="inlineStr">
        <is>
          <t>CHECK_VENDOR</t>
        </is>
      </c>
      <c r="AA228" s="188" t="inlineStr">
        <is>
          <t>https://nvd.nist.gov/vuln/detail/CVE-2026-2971</t>
        </is>
      </c>
      <c r="AB228" s="188" t="inlineStr">
        <is>
          <t>NONE</t>
        </is>
      </c>
      <c r="AC228" s="188" t="n">
        <v>0</v>
      </c>
      <c r="AD228" s="188" t="inlineStr"/>
    </row>
    <row r="229">
      <c r="A229" s="190" t="inlineStr">
        <is>
          <t>CVE</t>
        </is>
      </c>
      <c r="B229" s="190" t="inlineStr">
        <is>
          <t>CVE-2026-2972</t>
        </is>
      </c>
      <c r="C229" s="190"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229" s="190" t="n">
        <v>2.4</v>
      </c>
      <c r="E229" s="190" t="inlineStr">
        <is>
          <t>LOW</t>
        </is>
      </c>
      <c r="F229" s="190" t="n">
        <v>2</v>
      </c>
      <c r="G229" s="190" t="n">
        <v>1</v>
      </c>
      <c r="H229" s="190" t="inlineStr">
        <is>
          <t>LOW</t>
        </is>
      </c>
      <c r="I229" s="190" t="n">
        <v>4.4</v>
      </c>
      <c r="J229" s="190" t="inlineStr">
        <is>
          <t>NO</t>
        </is>
      </c>
      <c r="K229" s="190" t="inlineStr">
        <is>
          <t>https://nvd.nist.gov/vuln/detail/CVE-2026-2972</t>
        </is>
      </c>
      <c r="L229" s="190" t="inlineStr">
        <is>
          <t>2026-02-27 20:47</t>
        </is>
      </c>
      <c r="M229" s="190" t="inlineStr">
        <is>
          <t>CHECK_VENDOR</t>
        </is>
      </c>
      <c r="N229" s="190" t="inlineStr">
        <is>
          <t>See NVD references</t>
        </is>
      </c>
      <c r="O229" s="190" t="inlineStr">
        <is>
          <t>Apply vendor patches</t>
        </is>
      </c>
      <c r="P229" s="190" t="inlineStr">
        <is>
          <t>a466350665 smart-sso *</t>
        </is>
      </c>
      <c r="Q229" s="190" t="inlineStr">
        <is>
          <t>P4</t>
        </is>
      </c>
      <c r="R229" s="190" t="inlineStr">
        <is>
          <t>📅 Schedule patch deployment within 30 days | 🔍 Monitor for exploitation attempts</t>
        </is>
      </c>
      <c r="S229" s="190" t="inlineStr">
        <is>
          <t>CVE - IP enrichment n/a</t>
        </is>
      </c>
      <c r="T229" s="190" t="n">
        <v>0.0003</v>
      </c>
      <c r="U229" s="190" t="n">
        <v>0.0689</v>
      </c>
      <c r="V229" s="190" t="inlineStr">
        <is>
          <t>T1189:Drive-by Compromise</t>
        </is>
      </c>
      <c r="W229" s="190" t="n">
        <v>1</v>
      </c>
      <c r="X229" s="190" t="inlineStr">
        <is>
          <t>LOW (40%)</t>
        </is>
      </c>
      <c r="Y229" s="190" t="inlineStr">
        <is>
          <t>UNLIKELY</t>
        </is>
      </c>
      <c r="Z229" s="190" t="inlineStr">
        <is>
          <t>CHECK_VENDOR</t>
        </is>
      </c>
      <c r="AA229" s="190" t="inlineStr">
        <is>
          <t>https://nvd.nist.gov/vuln/detail/CVE-2026-2972</t>
        </is>
      </c>
      <c r="AB229" s="190" t="inlineStr">
        <is>
          <t>NONE</t>
        </is>
      </c>
      <c r="AC229" s="190" t="n">
        <v>0</v>
      </c>
      <c r="AD229" s="190" t="inlineStr"/>
    </row>
    <row r="230">
      <c r="A230" s="190" t="inlineStr">
        <is>
          <t>CVE</t>
        </is>
      </c>
      <c r="B230" s="190" t="inlineStr">
        <is>
          <t>CVE-2026-2974</t>
        </is>
      </c>
      <c r="C230" s="190"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230" s="190" t="n">
        <v>2.5</v>
      </c>
      <c r="E230" s="190" t="inlineStr">
        <is>
          <t>LOW</t>
        </is>
      </c>
      <c r="F230" s="190" t="n">
        <v>2</v>
      </c>
      <c r="G230" s="190" t="n">
        <v>1</v>
      </c>
      <c r="H230" s="190" t="inlineStr">
        <is>
          <t>LOW</t>
        </is>
      </c>
      <c r="I230" s="190" t="n">
        <v>4.5</v>
      </c>
      <c r="J230" s="190" t="inlineStr">
        <is>
          <t>NO</t>
        </is>
      </c>
      <c r="K230" s="190" t="inlineStr">
        <is>
          <t>https://nvd.nist.gov/vuln/detail/CVE-2026-2974</t>
        </is>
      </c>
      <c r="L230" s="190" t="inlineStr">
        <is>
          <t>2026-02-27 20:47</t>
        </is>
      </c>
      <c r="M230" s="190" t="inlineStr">
        <is>
          <t>CHECK_VENDOR</t>
        </is>
      </c>
      <c r="N230" s="190" t="inlineStr">
        <is>
          <t>See NVD references</t>
        </is>
      </c>
      <c r="O230" s="190" t="inlineStr">
        <is>
          <t>Apply vendor patches</t>
        </is>
      </c>
      <c r="P230" s="190" t="inlineStr">
        <is>
          <t>See CVE details</t>
        </is>
      </c>
      <c r="Q230" s="190" t="inlineStr">
        <is>
          <t>P4</t>
        </is>
      </c>
      <c r="R230" s="190" t="inlineStr">
        <is>
          <t>📅 Schedule patch deployment within 30 days | 🔍 Monitor for exploitation attempts</t>
        </is>
      </c>
      <c r="S230" s="190" t="inlineStr">
        <is>
          <t>CVE - IP enrichment n/a</t>
        </is>
      </c>
      <c r="T230" s="190" t="n">
        <v>0.0001</v>
      </c>
      <c r="U230" s="190" t="n">
        <v>0.0056</v>
      </c>
      <c r="V230" s="190" t="inlineStr">
        <is>
          <t>T1190:Exploit Public-Facing Application</t>
        </is>
      </c>
      <c r="W230" s="190" t="n">
        <v>1</v>
      </c>
      <c r="X230" s="190" t="inlineStr">
        <is>
          <t>LOW (40%)</t>
        </is>
      </c>
      <c r="Y230" s="190" t="inlineStr">
        <is>
          <t>UNLIKELY</t>
        </is>
      </c>
      <c r="Z230" s="190" t="inlineStr">
        <is>
          <t>CHECK_VENDOR</t>
        </is>
      </c>
      <c r="AA230" s="190" t="inlineStr">
        <is>
          <t>https://nvd.nist.gov/vuln/detail/CVE-2026-2974</t>
        </is>
      </c>
      <c r="AB230" s="190" t="inlineStr">
        <is>
          <t>NONE</t>
        </is>
      </c>
      <c r="AC230" s="190" t="n">
        <v>0</v>
      </c>
      <c r="AD230" s="190" t="inlineStr"/>
    </row>
    <row r="231">
      <c r="A231" s="188" t="inlineStr">
        <is>
          <t>CVE</t>
        </is>
      </c>
      <c r="B231" s="188" t="inlineStr">
        <is>
          <t>CVE-2026-2975</t>
        </is>
      </c>
      <c r="C231" s="188"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231" s="188" t="n">
        <v>5.3</v>
      </c>
      <c r="E231" s="188" t="inlineStr">
        <is>
          <t>MEDIUM</t>
        </is>
      </c>
      <c r="F231" s="188" t="n">
        <v>2</v>
      </c>
      <c r="G231" s="188" t="n">
        <v>2</v>
      </c>
      <c r="H231" s="188" t="inlineStr">
        <is>
          <t>MEDIUM</t>
        </is>
      </c>
      <c r="I231" s="188" t="n">
        <v>9.300000000000001</v>
      </c>
      <c r="J231" s="188" t="inlineStr">
        <is>
          <t>NO</t>
        </is>
      </c>
      <c r="K231" s="188" t="inlineStr">
        <is>
          <t>https://nvd.nist.gov/vuln/detail/CVE-2026-2975</t>
        </is>
      </c>
      <c r="L231" s="188" t="inlineStr">
        <is>
          <t>2026-02-27 20:47</t>
        </is>
      </c>
      <c r="M231" s="188" t="inlineStr">
        <is>
          <t>CHECK_VENDOR</t>
        </is>
      </c>
      <c r="N231" s="188" t="inlineStr">
        <is>
          <t>See NVD references</t>
        </is>
      </c>
      <c r="O231" s="188" t="inlineStr">
        <is>
          <t>Apply vendor patches</t>
        </is>
      </c>
      <c r="P231" s="188" t="inlineStr">
        <is>
          <t>fastapiadmin fastapi-admin 2.2.0 | fastapiadmin fastapi-admin 2.1 | fastapiadmin fastapi-admin 2.0</t>
        </is>
      </c>
      <c r="Q231" s="188" t="inlineStr">
        <is>
          <t>P4</t>
        </is>
      </c>
      <c r="R231" s="188" t="inlineStr">
        <is>
          <t>📅 Schedule patch deployment within 30 days | 🔍 Monitor for exploitation attempts</t>
        </is>
      </c>
      <c r="S231" s="188" t="inlineStr">
        <is>
          <t>CVE - IP enrichment n/a</t>
        </is>
      </c>
      <c r="T231" s="188" t="n">
        <v>0.0003</v>
      </c>
      <c r="U231" s="188" t="n">
        <v>0.0649</v>
      </c>
      <c r="V231" s="188" t="inlineStr">
        <is>
          <t>T1213:Data from Information Repositories</t>
        </is>
      </c>
      <c r="W231" s="188" t="n">
        <v>1</v>
      </c>
      <c r="X231" s="188" t="inlineStr">
        <is>
          <t>LOW (40%)</t>
        </is>
      </c>
      <c r="Y231" s="188" t="inlineStr">
        <is>
          <t>UNLIKELY</t>
        </is>
      </c>
      <c r="Z231" s="188" t="inlineStr">
        <is>
          <t>CHECK_VENDOR</t>
        </is>
      </c>
      <c r="AA231" s="188" t="inlineStr">
        <is>
          <t>https://nvd.nist.gov/vuln/detail/CVE-2026-2975</t>
        </is>
      </c>
      <c r="AB231" s="188" t="inlineStr">
        <is>
          <t>NONE</t>
        </is>
      </c>
      <c r="AC231" s="188" t="n">
        <v>0</v>
      </c>
      <c r="AD231" s="188" t="inlineStr"/>
    </row>
    <row r="232">
      <c r="A232" s="188" t="inlineStr">
        <is>
          <t>CVE</t>
        </is>
      </c>
      <c r="B232" s="188" t="inlineStr">
        <is>
          <t>CVE-2026-2976</t>
        </is>
      </c>
      <c r="C232" s="188"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232" s="188" t="n">
        <v>4.3</v>
      </c>
      <c r="E232" s="188" t="inlineStr">
        <is>
          <t>MEDIUM</t>
        </is>
      </c>
      <c r="F232" s="188" t="n">
        <v>2</v>
      </c>
      <c r="G232" s="188" t="n">
        <v>2</v>
      </c>
      <c r="H232" s="188" t="inlineStr">
        <is>
          <t>MEDIUM</t>
        </is>
      </c>
      <c r="I232" s="188" t="n">
        <v>8.300000000000001</v>
      </c>
      <c r="J232" s="188" t="inlineStr">
        <is>
          <t>NO</t>
        </is>
      </c>
      <c r="K232" s="188" t="inlineStr">
        <is>
          <t>https://nvd.nist.gov/vuln/detail/CVE-2026-2976</t>
        </is>
      </c>
      <c r="L232" s="188" t="inlineStr">
        <is>
          <t>2026-02-27 20:47</t>
        </is>
      </c>
      <c r="M232" s="188" t="inlineStr">
        <is>
          <t>CHECK_VENDOR</t>
        </is>
      </c>
      <c r="N232" s="188" t="inlineStr">
        <is>
          <t>See NVD references</t>
        </is>
      </c>
      <c r="O232" s="188" t="inlineStr">
        <is>
          <t>Apply vendor patches</t>
        </is>
      </c>
      <c r="P232" s="188" t="inlineStr">
        <is>
          <t>fastapiadmin fastapi-admin 2.2.0 | fastapiadmin fastapi-admin 2.1 | fastapiadmin fastapi-admin 2.0</t>
        </is>
      </c>
      <c r="Q232" s="188" t="inlineStr">
        <is>
          <t>P4</t>
        </is>
      </c>
      <c r="R232" s="188" t="inlineStr">
        <is>
          <t>📅 Schedule patch deployment within 30 days | 🔍 Monitor for exploitation attempts</t>
        </is>
      </c>
      <c r="S232" s="188" t="inlineStr">
        <is>
          <t>CVE - IP enrichment n/a</t>
        </is>
      </c>
      <c r="T232" s="188" t="n">
        <v>0.0003</v>
      </c>
      <c r="U232" s="188" t="n">
        <v>0.0693</v>
      </c>
      <c r="V232" s="188" t="inlineStr">
        <is>
          <t>T1213:Data from Information Repositories | T1190:Exploit Public-Facing Application</t>
        </is>
      </c>
      <c r="W232" s="188" t="n">
        <v>1</v>
      </c>
      <c r="X232" s="188" t="inlineStr">
        <is>
          <t>LOW (40%)</t>
        </is>
      </c>
      <c r="Y232" s="188" t="inlineStr">
        <is>
          <t>UNLIKELY</t>
        </is>
      </c>
      <c r="Z232" s="188" t="inlineStr">
        <is>
          <t>CHECK_VENDOR</t>
        </is>
      </c>
      <c r="AA232" s="188" t="inlineStr">
        <is>
          <t>https://nvd.nist.gov/vuln/detail/CVE-2026-2976</t>
        </is>
      </c>
      <c r="AB232" s="188" t="inlineStr">
        <is>
          <t>NONE</t>
        </is>
      </c>
      <c r="AC232" s="188" t="n">
        <v>0</v>
      </c>
      <c r="AD232" s="188" t="inlineStr"/>
    </row>
    <row r="233">
      <c r="A233" s="187" t="inlineStr">
        <is>
          <t>CVE</t>
        </is>
      </c>
      <c r="B233" s="187" t="inlineStr">
        <is>
          <t>CVE-2026-1367</t>
        </is>
      </c>
      <c r="C233" s="187" t="inlineStr">
        <is>
          <t>Zohocorp ManageEngine ADSelfService Plus versions 6522 and below are vulnerable to authenticated SQL Injection in the search report option.</t>
        </is>
      </c>
      <c r="D233" s="187" t="n">
        <v>8.300000000000001</v>
      </c>
      <c r="E233" s="187" t="inlineStr">
        <is>
          <t>HIGH</t>
        </is>
      </c>
      <c r="F233" s="187" t="n">
        <v>2</v>
      </c>
      <c r="G233" s="187" t="n">
        <v>3</v>
      </c>
      <c r="H233" s="187" t="inlineStr">
        <is>
          <t>HIGH</t>
        </is>
      </c>
      <c r="I233" s="187" t="n">
        <v>14.3</v>
      </c>
      <c r="J233" s="187" t="inlineStr">
        <is>
          <t>NO</t>
        </is>
      </c>
      <c r="K233" s="187" t="inlineStr">
        <is>
          <t>https://nvd.nist.gov/vuln/detail/CVE-2026-1367</t>
        </is>
      </c>
      <c r="L233" s="187" t="inlineStr">
        <is>
          <t>2026-02-27 20:47</t>
        </is>
      </c>
      <c r="M233" s="187" t="inlineStr">
        <is>
          <t>CHECK_VENDOR</t>
        </is>
      </c>
      <c r="N233" s="187" t="inlineStr">
        <is>
          <t>See NVD references</t>
        </is>
      </c>
      <c r="O233" s="187" t="inlineStr">
        <is>
          <t>Apply vendor patches</t>
        </is>
      </c>
      <c r="P233" s="187" t="inlineStr">
        <is>
          <t>See CVE details</t>
        </is>
      </c>
      <c r="Q233" s="187" t="inlineStr">
        <is>
          <t>P3</t>
        </is>
      </c>
      <c r="R233" s="187" t="inlineStr">
        <is>
          <t>🚨 URGENT: Apply vendor patches immediately | 🔒 Isolate affected systems if patch unavailable | 🛡️ Enable additional monitoring/IDS rules</t>
        </is>
      </c>
      <c r="S233" s="187" t="inlineStr">
        <is>
          <t>CVE - IP enrichment n/a</t>
        </is>
      </c>
      <c r="T233" s="187" t="n">
        <v>0.0018</v>
      </c>
      <c r="U233" s="187" t="n">
        <v>0.3931</v>
      </c>
      <c r="V233" s="187" t="inlineStr">
        <is>
          <t>T1190:Exploit Public-Facing Application</t>
        </is>
      </c>
      <c r="W233" s="187" t="n">
        <v>1</v>
      </c>
      <c r="X233" s="187" t="inlineStr">
        <is>
          <t>LOW (40%)</t>
        </is>
      </c>
      <c r="Y233" s="187" t="inlineStr">
        <is>
          <t>UNLIKELY</t>
        </is>
      </c>
      <c r="Z233" s="187" t="inlineStr">
        <is>
          <t>CHECK_VENDOR</t>
        </is>
      </c>
      <c r="AA233" s="187" t="inlineStr">
        <is>
          <t>https://nvd.nist.gov/vuln/detail/CVE-2026-1367</t>
        </is>
      </c>
      <c r="AB233" s="187" t="inlineStr">
        <is>
          <t>NONE</t>
        </is>
      </c>
      <c r="AC233" s="187" t="n">
        <v>0</v>
      </c>
      <c r="AD233" s="187" t="inlineStr"/>
    </row>
    <row r="234">
      <c r="A234" s="188" t="inlineStr">
        <is>
          <t>CVE</t>
        </is>
      </c>
      <c r="B234" s="188" t="inlineStr">
        <is>
          <t>CVE-2026-2977</t>
        </is>
      </c>
      <c r="C234" s="188"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234" s="188" t="n">
        <v>6.3</v>
      </c>
      <c r="E234" s="188" t="inlineStr">
        <is>
          <t>MEDIUM</t>
        </is>
      </c>
      <c r="F234" s="188" t="n">
        <v>2</v>
      </c>
      <c r="G234" s="188" t="n">
        <v>2</v>
      </c>
      <c r="H234" s="188" t="inlineStr">
        <is>
          <t>MEDIUM</t>
        </is>
      </c>
      <c r="I234" s="188" t="n">
        <v>10.3</v>
      </c>
      <c r="J234" s="188" t="inlineStr">
        <is>
          <t>NO</t>
        </is>
      </c>
      <c r="K234" s="188" t="inlineStr">
        <is>
          <t>https://nvd.nist.gov/vuln/detail/CVE-2026-2977</t>
        </is>
      </c>
      <c r="L234" s="188" t="inlineStr">
        <is>
          <t>2026-02-27 20:47</t>
        </is>
      </c>
      <c r="M234" s="188" t="inlineStr">
        <is>
          <t>CHECK_VENDOR</t>
        </is>
      </c>
      <c r="N234" s="188" t="inlineStr">
        <is>
          <t>See NVD references</t>
        </is>
      </c>
      <c r="O234" s="188" t="inlineStr">
        <is>
          <t>Apply vendor patches</t>
        </is>
      </c>
      <c r="P234" s="188" t="inlineStr">
        <is>
          <t>fastapiadmin fastapi-admin 2.2.0 | fastapiadmin fastapi-admin 2.1 | fastapiadmin fastapi-admin 2.0</t>
        </is>
      </c>
      <c r="Q234" s="188" t="inlineStr">
        <is>
          <t>P4</t>
        </is>
      </c>
      <c r="R234" s="188" t="inlineStr">
        <is>
          <t>📅 Schedule patch deployment within 30 days | 🔍 Monitor for exploitation attempts</t>
        </is>
      </c>
      <c r="S234" s="188" t="inlineStr">
        <is>
          <t>CVE - IP enrichment n/a</t>
        </is>
      </c>
      <c r="T234" s="188" t="n">
        <v>0.0003</v>
      </c>
      <c r="U234" s="188" t="n">
        <v>0.091</v>
      </c>
      <c r="V234" s="188" t="inlineStr">
        <is>
          <t>T1190:Exploit Public-Facing Application</t>
        </is>
      </c>
      <c r="W234" s="188" t="n">
        <v>1</v>
      </c>
      <c r="X234" s="188" t="inlineStr">
        <is>
          <t>LOW (40%)</t>
        </is>
      </c>
      <c r="Y234" s="188" t="inlineStr">
        <is>
          <t>UNLIKELY</t>
        </is>
      </c>
      <c r="Z234" s="188" t="inlineStr">
        <is>
          <t>CHECK_VENDOR</t>
        </is>
      </c>
      <c r="AA234" s="188" t="inlineStr">
        <is>
          <t>https://nvd.nist.gov/vuln/detail/CVE-2026-2977</t>
        </is>
      </c>
      <c r="AB234" s="188" t="inlineStr">
        <is>
          <t>NONE</t>
        </is>
      </c>
      <c r="AC234" s="188" t="n">
        <v>0</v>
      </c>
      <c r="AD234" s="188" t="inlineStr"/>
    </row>
    <row r="235">
      <c r="A235" s="188" t="inlineStr">
        <is>
          <t>CVE</t>
        </is>
      </c>
      <c r="B235" s="188" t="inlineStr">
        <is>
          <t>CVE-2026-2978</t>
        </is>
      </c>
      <c r="C235" s="188"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235" s="188" t="n">
        <v>6.3</v>
      </c>
      <c r="E235" s="188" t="inlineStr">
        <is>
          <t>MEDIUM</t>
        </is>
      </c>
      <c r="F235" s="188" t="n">
        <v>2</v>
      </c>
      <c r="G235" s="188" t="n">
        <v>2</v>
      </c>
      <c r="H235" s="188" t="inlineStr">
        <is>
          <t>MEDIUM</t>
        </is>
      </c>
      <c r="I235" s="188" t="n">
        <v>10.3</v>
      </c>
      <c r="J235" s="188" t="inlineStr">
        <is>
          <t>NO</t>
        </is>
      </c>
      <c r="K235" s="188" t="inlineStr">
        <is>
          <t>https://nvd.nist.gov/vuln/detail/CVE-2026-2978</t>
        </is>
      </c>
      <c r="L235" s="188" t="inlineStr">
        <is>
          <t>2026-02-27 20:47</t>
        </is>
      </c>
      <c r="M235" s="188" t="inlineStr">
        <is>
          <t>CHECK_VENDOR</t>
        </is>
      </c>
      <c r="N235" s="188" t="inlineStr">
        <is>
          <t>See NVD references</t>
        </is>
      </c>
      <c r="O235" s="188" t="inlineStr">
        <is>
          <t>Apply vendor patches</t>
        </is>
      </c>
      <c r="P235" s="188" t="inlineStr">
        <is>
          <t>fastapiadmin fastapi-admin 2.2.0 | fastapiadmin fastapi-admin 2.1 | fastapiadmin fastapi-admin 2.0</t>
        </is>
      </c>
      <c r="Q235" s="188" t="inlineStr">
        <is>
          <t>P4</t>
        </is>
      </c>
      <c r="R235" s="188" t="inlineStr">
        <is>
          <t>📅 Schedule patch deployment within 30 days | 🔍 Monitor for exploitation attempts</t>
        </is>
      </c>
      <c r="S235" s="188" t="inlineStr">
        <is>
          <t>CVE - IP enrichment n/a</t>
        </is>
      </c>
      <c r="T235" s="188" t="n">
        <v>0.0003</v>
      </c>
      <c r="U235" s="188" t="n">
        <v>0.091</v>
      </c>
      <c r="V235" s="188" t="inlineStr">
        <is>
          <t>T1190:Exploit Public-Facing Application</t>
        </is>
      </c>
      <c r="W235" s="188" t="n">
        <v>1</v>
      </c>
      <c r="X235" s="188" t="inlineStr">
        <is>
          <t>LOW (40%)</t>
        </is>
      </c>
      <c r="Y235" s="188" t="inlineStr">
        <is>
          <t>UNLIKELY</t>
        </is>
      </c>
      <c r="Z235" s="188" t="inlineStr">
        <is>
          <t>CHECK_VENDOR</t>
        </is>
      </c>
      <c r="AA235" s="188" t="inlineStr">
        <is>
          <t>https://nvd.nist.gov/vuln/detail/CVE-2026-2978</t>
        </is>
      </c>
      <c r="AB235" s="188" t="inlineStr">
        <is>
          <t>NONE</t>
        </is>
      </c>
      <c r="AC235" s="188" t="n">
        <v>0</v>
      </c>
      <c r="AD235" s="188" t="inlineStr"/>
    </row>
    <row r="236">
      <c r="A236" s="189" t="inlineStr">
        <is>
          <t>CVE</t>
        </is>
      </c>
      <c r="B236" s="189" t="inlineStr">
        <is>
          <t>CVE-2026-23552</t>
        </is>
      </c>
      <c r="C236" s="18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236" s="189" t="n">
        <v>9.1</v>
      </c>
      <c r="E236" s="189" t="inlineStr">
        <is>
          <t>CRITICAL</t>
        </is>
      </c>
      <c r="F236" s="189" t="n">
        <v>2</v>
      </c>
      <c r="G236" s="189" t="n">
        <v>3</v>
      </c>
      <c r="H236" s="189" t="inlineStr">
        <is>
          <t>HIGH</t>
        </is>
      </c>
      <c r="I236" s="189" t="n">
        <v>15.1</v>
      </c>
      <c r="J236" s="189" t="inlineStr">
        <is>
          <t>NO</t>
        </is>
      </c>
      <c r="K236" s="189" t="inlineStr">
        <is>
          <t>https://nvd.nist.gov/vuln/detail/CVE-2026-23552</t>
        </is>
      </c>
      <c r="L236" s="189" t="inlineStr">
        <is>
          <t>2026-02-27 20:47</t>
        </is>
      </c>
      <c r="M236" s="189" t="inlineStr">
        <is>
          <t>YES</t>
        </is>
      </c>
      <c r="N236" s="189" t="inlineStr">
        <is>
          <t>https://camel.apache.org/security/CVE-2026-23552.html</t>
        </is>
      </c>
      <c r="O236" s="189" t="inlineStr">
        <is>
          <t>Apply vendor patches</t>
        </is>
      </c>
      <c r="P236" s="189" t="inlineStr">
        <is>
          <t>apache camel *</t>
        </is>
      </c>
      <c r="Q236" s="189" t="inlineStr">
        <is>
          <t>P3</t>
        </is>
      </c>
      <c r="R236" s="189" t="inlineStr">
        <is>
          <t>🚨 URGENT: Apply vendor patches immediately | 🔒 Isolate affected systems if patch unavailable | 🛡️ Enable additional monitoring/IDS rules</t>
        </is>
      </c>
      <c r="S236" s="189" t="inlineStr">
        <is>
          <t>CVE - IP enrichment n/a</t>
        </is>
      </c>
      <c r="T236" s="189" t="n">
        <v>0.0003</v>
      </c>
      <c r="U236" s="189" t="n">
        <v>0.0859</v>
      </c>
      <c r="V236" s="189" t="inlineStr">
        <is>
          <t>T1190:Exploit Public-Facing Application</t>
        </is>
      </c>
      <c r="W236" s="189" t="n">
        <v>1</v>
      </c>
      <c r="X236" s="189" t="inlineStr">
        <is>
          <t>LOW (40%)</t>
        </is>
      </c>
      <c r="Y236" s="189" t="inlineStr">
        <is>
          <t>UNLIKELY</t>
        </is>
      </c>
      <c r="Z236" s="189" t="inlineStr">
        <is>
          <t>PATCH_AVAILABLE</t>
        </is>
      </c>
      <c r="AA236" s="189" t="inlineStr">
        <is>
          <t>https://nvd.nist.gov/vuln/detail/CVE-2026-23552</t>
        </is>
      </c>
      <c r="AB236" s="189" t="inlineStr">
        <is>
          <t>NONE</t>
        </is>
      </c>
      <c r="AC236" s="189" t="n">
        <v>0</v>
      </c>
      <c r="AD236" s="189" t="inlineStr"/>
    </row>
    <row r="237">
      <c r="A237" s="187" t="inlineStr">
        <is>
          <t>CVE</t>
        </is>
      </c>
      <c r="B237" s="187" t="inlineStr">
        <is>
          <t>CVE-2026-25747</t>
        </is>
      </c>
      <c r="C237" s="187"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237" s="187" t="n">
        <v>8.800000000000001</v>
      </c>
      <c r="E237" s="187" t="inlineStr">
        <is>
          <t>HIGH</t>
        </is>
      </c>
      <c r="F237" s="187" t="n">
        <v>2</v>
      </c>
      <c r="G237" s="187" t="n">
        <v>3</v>
      </c>
      <c r="H237" s="187" t="inlineStr">
        <is>
          <t>HIGH</t>
        </is>
      </c>
      <c r="I237" s="187" t="n">
        <v>14.8</v>
      </c>
      <c r="J237" s="187" t="inlineStr">
        <is>
          <t>NO</t>
        </is>
      </c>
      <c r="K237" s="187" t="inlineStr">
        <is>
          <t>https://nvd.nist.gov/vuln/detail/CVE-2026-25747</t>
        </is>
      </c>
      <c r="L237" s="187" t="inlineStr">
        <is>
          <t>2026-02-27 20:47</t>
        </is>
      </c>
      <c r="M237" s="187" t="inlineStr">
        <is>
          <t>YES</t>
        </is>
      </c>
      <c r="N237" s="187" t="inlineStr">
        <is>
          <t>https://camel.apache.org/security/CVE-2026-25747.html</t>
        </is>
      </c>
      <c r="O237" s="187" t="inlineStr">
        <is>
          <t>Apply vendor patches</t>
        </is>
      </c>
      <c r="P237" s="187" t="inlineStr">
        <is>
          <t>apache camel *</t>
        </is>
      </c>
      <c r="Q237" s="187" t="inlineStr">
        <is>
          <t>P3</t>
        </is>
      </c>
      <c r="R237" s="187" t="inlineStr">
        <is>
          <t>🚨 URGENT: Apply vendor patches immediately | 🔒 Isolate affected systems if patch unavailable | 🛡️ Enable additional monitoring/IDS rules</t>
        </is>
      </c>
      <c r="S237" s="187" t="inlineStr">
        <is>
          <t>CVE - IP enrichment n/a</t>
        </is>
      </c>
      <c r="T237" s="187" t="n">
        <v>0.0011</v>
      </c>
      <c r="U237" s="187" t="n">
        <v>0.29</v>
      </c>
      <c r="V237" s="187" t="inlineStr">
        <is>
          <t>T1059:Command and Scripting Interpreter | T1203:Exploitation for Client Execution</t>
        </is>
      </c>
      <c r="W237" s="187" t="n">
        <v>1</v>
      </c>
      <c r="X237" s="187" t="inlineStr">
        <is>
          <t>LOW (40%)</t>
        </is>
      </c>
      <c r="Y237" s="187" t="inlineStr">
        <is>
          <t>UNLIKELY</t>
        </is>
      </c>
      <c r="Z237" s="187" t="inlineStr">
        <is>
          <t>PATCH_AVAILABLE</t>
        </is>
      </c>
      <c r="AA237" s="187" t="inlineStr">
        <is>
          <t>https://nvd.nist.gov/vuln/detail/CVE-2026-25747</t>
        </is>
      </c>
      <c r="AB237" s="187" t="inlineStr">
        <is>
          <t>NONE</t>
        </is>
      </c>
      <c r="AC237" s="187" t="n">
        <v>0</v>
      </c>
      <c r="AD237" s="187" t="inlineStr"/>
    </row>
    <row r="238">
      <c r="A238" s="188" t="inlineStr">
        <is>
          <t>CVE</t>
        </is>
      </c>
      <c r="B238" s="188" t="inlineStr">
        <is>
          <t>CVE-2026-26365</t>
        </is>
      </c>
      <c r="C238" s="188"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238" s="188" t="n">
        <v>4</v>
      </c>
      <c r="E238" s="188" t="inlineStr">
        <is>
          <t>MEDIUM</t>
        </is>
      </c>
      <c r="F238" s="188" t="n">
        <v>2</v>
      </c>
      <c r="G238" s="188" t="n">
        <v>2</v>
      </c>
      <c r="H238" s="188" t="inlineStr">
        <is>
          <t>MEDIUM</t>
        </is>
      </c>
      <c r="I238" s="188" t="n">
        <v>8</v>
      </c>
      <c r="J238" s="188" t="inlineStr">
        <is>
          <t>NO</t>
        </is>
      </c>
      <c r="K238" s="188" t="inlineStr">
        <is>
          <t>https://nvd.nist.gov/vuln/detail/CVE-2026-26365</t>
        </is>
      </c>
      <c r="L238" s="188" t="inlineStr">
        <is>
          <t>2026-02-27 20:47</t>
        </is>
      </c>
      <c r="M238" s="188" t="inlineStr">
        <is>
          <t>CHECK_VENDOR</t>
        </is>
      </c>
      <c r="N238" s="188" t="inlineStr">
        <is>
          <t>See NVD references</t>
        </is>
      </c>
      <c r="O238" s="188" t="inlineStr">
        <is>
          <t>Apply vendor patches</t>
        </is>
      </c>
      <c r="P238" s="188" t="inlineStr">
        <is>
          <t>See CVE details</t>
        </is>
      </c>
      <c r="Q238" s="188" t="inlineStr">
        <is>
          <t>P4</t>
        </is>
      </c>
      <c r="R238" s="188" t="inlineStr">
        <is>
          <t>📅 Schedule patch deployment within 30 days | 🔍 Monitor for exploitation attempts</t>
        </is>
      </c>
      <c r="S238" s="188" t="inlineStr">
        <is>
          <t>CVE - IP enrichment n/a</t>
        </is>
      </c>
      <c r="T238" s="188" t="n">
        <v>0.0003</v>
      </c>
      <c r="U238" s="188" t="n">
        <v>0.079</v>
      </c>
      <c r="V238" s="188" t="inlineStr">
        <is>
          <t>T1190:Exploit Public-Facing Application</t>
        </is>
      </c>
      <c r="W238" s="188" t="n">
        <v>1</v>
      </c>
      <c r="X238" s="188" t="inlineStr">
        <is>
          <t>LOW (40%)</t>
        </is>
      </c>
      <c r="Y238" s="188" t="inlineStr">
        <is>
          <t>UNLIKELY</t>
        </is>
      </c>
      <c r="Z238" s="188" t="inlineStr">
        <is>
          <t>CHECK_VENDOR</t>
        </is>
      </c>
      <c r="AA238" s="188" t="inlineStr">
        <is>
          <t>https://nvd.nist.gov/vuln/detail/CVE-2026-26365</t>
        </is>
      </c>
      <c r="AB238" s="188" t="inlineStr">
        <is>
          <t>NONE</t>
        </is>
      </c>
      <c r="AC238" s="188" t="n">
        <v>0</v>
      </c>
      <c r="AD238" s="188" t="inlineStr"/>
    </row>
    <row r="239">
      <c r="A239" s="188" t="inlineStr">
        <is>
          <t>CVE</t>
        </is>
      </c>
      <c r="B239" s="188" t="inlineStr">
        <is>
          <t>CVE-2026-2979</t>
        </is>
      </c>
      <c r="C239" s="188"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239" s="188" t="n">
        <v>6.3</v>
      </c>
      <c r="E239" s="188" t="inlineStr">
        <is>
          <t>MEDIUM</t>
        </is>
      </c>
      <c r="F239" s="188" t="n">
        <v>2</v>
      </c>
      <c r="G239" s="188" t="n">
        <v>2</v>
      </c>
      <c r="H239" s="188" t="inlineStr">
        <is>
          <t>MEDIUM</t>
        </is>
      </c>
      <c r="I239" s="188" t="n">
        <v>10.3</v>
      </c>
      <c r="J239" s="188" t="inlineStr">
        <is>
          <t>NO</t>
        </is>
      </c>
      <c r="K239" s="188" t="inlineStr">
        <is>
          <t>https://nvd.nist.gov/vuln/detail/CVE-2026-2979</t>
        </is>
      </c>
      <c r="L239" s="188" t="inlineStr">
        <is>
          <t>2026-02-27 20:47</t>
        </is>
      </c>
      <c r="M239" s="188" t="inlineStr">
        <is>
          <t>CHECK_VENDOR</t>
        </is>
      </c>
      <c r="N239" s="188" t="inlineStr">
        <is>
          <t>See NVD references</t>
        </is>
      </c>
      <c r="O239" s="188" t="inlineStr">
        <is>
          <t>Apply vendor patches</t>
        </is>
      </c>
      <c r="P239" s="188" t="inlineStr">
        <is>
          <t>fastapiadmin fastapi-admin 2.2.0 | fastapiadmin fastapi-admin 2.1 | fastapiadmin fastapi-admin 2.0</t>
        </is>
      </c>
      <c r="Q239" s="188" t="inlineStr">
        <is>
          <t>P4</t>
        </is>
      </c>
      <c r="R239" s="188" t="inlineStr">
        <is>
          <t>📅 Schedule patch deployment within 30 days | 🔍 Monitor for exploitation attempts</t>
        </is>
      </c>
      <c r="S239" s="188" t="inlineStr">
        <is>
          <t>CVE - IP enrichment n/a</t>
        </is>
      </c>
      <c r="T239" s="188" t="n">
        <v>0.0004</v>
      </c>
      <c r="U239" s="188" t="n">
        <v>0.122</v>
      </c>
      <c r="V239" s="188" t="inlineStr">
        <is>
          <t>T1190:Exploit Public-Facing Application</t>
        </is>
      </c>
      <c r="W239" s="188" t="n">
        <v>1</v>
      </c>
      <c r="X239" s="188" t="inlineStr">
        <is>
          <t>LOW (40%)</t>
        </is>
      </c>
      <c r="Y239" s="188" t="inlineStr">
        <is>
          <t>UNLIKELY</t>
        </is>
      </c>
      <c r="Z239" s="188" t="inlineStr">
        <is>
          <t>CHECK_VENDOR</t>
        </is>
      </c>
      <c r="AA239" s="188" t="inlineStr">
        <is>
          <t>https://nvd.nist.gov/vuln/detail/CVE-2026-2979</t>
        </is>
      </c>
      <c r="AB239" s="188" t="inlineStr">
        <is>
          <t>NONE</t>
        </is>
      </c>
      <c r="AC239" s="188" t="n">
        <v>0</v>
      </c>
      <c r="AD239" s="188" t="inlineStr"/>
    </row>
    <row r="240">
      <c r="A240" s="187" t="inlineStr">
        <is>
          <t>CVE</t>
        </is>
      </c>
      <c r="B240" s="187" t="inlineStr">
        <is>
          <t>CVE-2026-2980</t>
        </is>
      </c>
      <c r="C240" s="187"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240" s="187" t="n">
        <v>7.2</v>
      </c>
      <c r="E240" s="187" t="inlineStr">
        <is>
          <t>HIGH</t>
        </is>
      </c>
      <c r="F240" s="187" t="n">
        <v>2</v>
      </c>
      <c r="G240" s="187" t="n">
        <v>3</v>
      </c>
      <c r="H240" s="187" t="inlineStr">
        <is>
          <t>HIGH</t>
        </is>
      </c>
      <c r="I240" s="187" t="n">
        <v>13.2</v>
      </c>
      <c r="J240" s="187" t="inlineStr">
        <is>
          <t>NO</t>
        </is>
      </c>
      <c r="K240" s="187" t="inlineStr">
        <is>
          <t>https://nvd.nist.gov/vuln/detail/CVE-2026-2980</t>
        </is>
      </c>
      <c r="L240" s="187" t="inlineStr">
        <is>
          <t>2026-02-27 20:47</t>
        </is>
      </c>
      <c r="M240" s="187" t="inlineStr">
        <is>
          <t>CHECK_VENDOR</t>
        </is>
      </c>
      <c r="N240" s="187" t="inlineStr">
        <is>
          <t>See NVD references</t>
        </is>
      </c>
      <c r="O240" s="187" t="inlineStr">
        <is>
          <t>Apply vendor patches</t>
        </is>
      </c>
      <c r="P240" s="187" t="inlineStr">
        <is>
          <t>utt 810g 3.0 | utt 810g_firmware *</t>
        </is>
      </c>
      <c r="Q240" s="187" t="inlineStr">
        <is>
          <t>P3</t>
        </is>
      </c>
      <c r="R240" s="187" t="inlineStr">
        <is>
          <t>🚨 URGENT: Apply vendor patches immediately | 🔒 Isolate affected systems if patch unavailable | 🛡️ Enable additional monitoring/IDS rules</t>
        </is>
      </c>
      <c r="S240" s="187" t="inlineStr">
        <is>
          <t>CVE - IP enrichment n/a</t>
        </is>
      </c>
      <c r="T240" s="187" t="n">
        <v>0.0008</v>
      </c>
      <c r="U240" s="187" t="n">
        <v>0.2455</v>
      </c>
      <c r="V240" s="187" t="inlineStr">
        <is>
          <t>T1203:Exploitation for Client Execution</t>
        </is>
      </c>
      <c r="W240" s="187" t="n">
        <v>1</v>
      </c>
      <c r="X240" s="187" t="inlineStr">
        <is>
          <t>LOW (40%)</t>
        </is>
      </c>
      <c r="Y240" s="187" t="inlineStr">
        <is>
          <t>UNLIKELY</t>
        </is>
      </c>
      <c r="Z240" s="187" t="inlineStr">
        <is>
          <t>CHECK_VENDOR</t>
        </is>
      </c>
      <c r="AA240" s="187" t="inlineStr">
        <is>
          <t>https://nvd.nist.gov/vuln/detail/CVE-2026-2980</t>
        </is>
      </c>
      <c r="AB240" s="187" t="inlineStr">
        <is>
          <t>NONE</t>
        </is>
      </c>
      <c r="AC240" s="187" t="n">
        <v>0</v>
      </c>
      <c r="AD240" s="187" t="inlineStr"/>
    </row>
    <row r="241">
      <c r="A241" s="187" t="inlineStr">
        <is>
          <t>CVE</t>
        </is>
      </c>
      <c r="B241" s="187" t="inlineStr">
        <is>
          <t>CVE-2026-2981</t>
        </is>
      </c>
      <c r="C241" s="187"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241" s="187" t="n">
        <v>8.800000000000001</v>
      </c>
      <c r="E241" s="187" t="inlineStr">
        <is>
          <t>HIGH</t>
        </is>
      </c>
      <c r="F241" s="187" t="n">
        <v>2</v>
      </c>
      <c r="G241" s="187" t="n">
        <v>3</v>
      </c>
      <c r="H241" s="187" t="inlineStr">
        <is>
          <t>HIGH</t>
        </is>
      </c>
      <c r="I241" s="187" t="n">
        <v>14.8</v>
      </c>
      <c r="J241" s="187" t="inlineStr">
        <is>
          <t>NO</t>
        </is>
      </c>
      <c r="K241" s="187" t="inlineStr">
        <is>
          <t>https://nvd.nist.gov/vuln/detail/CVE-2026-2981</t>
        </is>
      </c>
      <c r="L241" s="187" t="inlineStr">
        <is>
          <t>2026-02-27 20:47</t>
        </is>
      </c>
      <c r="M241" s="187" t="inlineStr">
        <is>
          <t>CHECK_VENDOR</t>
        </is>
      </c>
      <c r="N241" s="187" t="inlineStr">
        <is>
          <t>See NVD references</t>
        </is>
      </c>
      <c r="O241" s="187" t="inlineStr">
        <is>
          <t>Apply vendor patches</t>
        </is>
      </c>
      <c r="P241" s="187" t="inlineStr">
        <is>
          <t>utt 810g 3.0 | utt 810g_firmware *</t>
        </is>
      </c>
      <c r="Q241" s="187" t="inlineStr">
        <is>
          <t>P3</t>
        </is>
      </c>
      <c r="R241" s="187" t="inlineStr">
        <is>
          <t>🚨 URGENT: Apply vendor patches immediately | 🔒 Isolate affected systems if patch unavailable | 🛡️ Enable additional monitoring/IDS rules</t>
        </is>
      </c>
      <c r="S241" s="187" t="inlineStr">
        <is>
          <t>CVE - IP enrichment n/a</t>
        </is>
      </c>
      <c r="T241" s="187" t="n">
        <v>0.0008</v>
      </c>
      <c r="U241" s="187" t="n">
        <v>0.2442</v>
      </c>
      <c r="V241" s="187" t="inlineStr">
        <is>
          <t>T1203:Exploitation for Client Execution</t>
        </is>
      </c>
      <c r="W241" s="187" t="n">
        <v>1</v>
      </c>
      <c r="X241" s="187" t="inlineStr">
        <is>
          <t>LOW (40%)</t>
        </is>
      </c>
      <c r="Y241" s="187" t="inlineStr">
        <is>
          <t>UNLIKELY</t>
        </is>
      </c>
      <c r="Z241" s="187" t="inlineStr">
        <is>
          <t>CHECK_VENDOR</t>
        </is>
      </c>
      <c r="AA241" s="187" t="inlineStr">
        <is>
          <t>https://nvd.nist.gov/vuln/detail/CVE-2026-2981</t>
        </is>
      </c>
      <c r="AB241" s="187" t="inlineStr">
        <is>
          <t>NONE</t>
        </is>
      </c>
      <c r="AC241" s="187" t="n">
        <v>0</v>
      </c>
      <c r="AD241" s="187" t="inlineStr"/>
    </row>
    <row r="242">
      <c r="A242" s="187" t="inlineStr">
        <is>
          <t>CVE</t>
        </is>
      </c>
      <c r="B242" s="187" t="inlineStr">
        <is>
          <t>CVE-2025-41002</t>
        </is>
      </c>
      <c r="C242" s="187" t="inlineStr">
        <is>
          <t>SQL injection vulnerability in Infoticketing. This vulnerability allows
 an unauthenticated attacker to retrieve, create, update, and delete the
 database by sending a POST request using the 'code' parameter in '/components/cart/cartApplyDiscount.php'.</t>
        </is>
      </c>
      <c r="D242" s="187" t="n">
        <v>8.5</v>
      </c>
      <c r="E242" s="187" t="inlineStr">
        <is>
          <t>HIGH</t>
        </is>
      </c>
      <c r="F242" s="187" t="n">
        <v>2</v>
      </c>
      <c r="G242" s="187" t="n">
        <v>3</v>
      </c>
      <c r="H242" s="187" t="inlineStr">
        <is>
          <t>HIGH</t>
        </is>
      </c>
      <c r="I242" s="187" t="n">
        <v>14.5</v>
      </c>
      <c r="J242" s="187" t="inlineStr">
        <is>
          <t>NO</t>
        </is>
      </c>
      <c r="K242" s="187" t="inlineStr">
        <is>
          <t>https://nvd.nist.gov/vuln/detail/CVE-2025-41002</t>
        </is>
      </c>
      <c r="L242" s="187" t="inlineStr">
        <is>
          <t>2026-02-27 20:47</t>
        </is>
      </c>
      <c r="M242" s="187" t="inlineStr">
        <is>
          <t>CHECK_VENDOR</t>
        </is>
      </c>
      <c r="N242" s="187" t="inlineStr">
        <is>
          <t>See NVD references</t>
        </is>
      </c>
      <c r="O242" s="187" t="inlineStr">
        <is>
          <t>Apply vendor patches</t>
        </is>
      </c>
      <c r="P242" s="187" t="inlineStr">
        <is>
          <t>See CVE details</t>
        </is>
      </c>
      <c r="Q242" s="187" t="inlineStr">
        <is>
          <t>P3</t>
        </is>
      </c>
      <c r="R242" s="187" t="inlineStr">
        <is>
          <t>🚨 URGENT: Apply vendor patches immediately | 🔒 Isolate affected systems if patch unavailable | 🛡️ Enable additional monitoring/IDS rules</t>
        </is>
      </c>
      <c r="S242" s="187" t="inlineStr">
        <is>
          <t>CVE - IP enrichment n/a</t>
        </is>
      </c>
      <c r="T242" s="187" t="n">
        <v>0.0005999999999999999</v>
      </c>
      <c r="U242" s="187" t="n">
        <v>0.1876</v>
      </c>
      <c r="V242" s="187" t="inlineStr">
        <is>
          <t>T1190:Exploit Public-Facing Application</t>
        </is>
      </c>
      <c r="W242" s="187" t="n">
        <v>1</v>
      </c>
      <c r="X242" s="187" t="inlineStr">
        <is>
          <t>LOW (40%)</t>
        </is>
      </c>
      <c r="Y242" s="187" t="inlineStr">
        <is>
          <t>UNLIKELY</t>
        </is>
      </c>
      <c r="Z242" s="187" t="inlineStr">
        <is>
          <t>CHECK_VENDOR</t>
        </is>
      </c>
      <c r="AA242" s="187" t="inlineStr">
        <is>
          <t>https://nvd.nist.gov/vuln/detail/CVE-2025-41002</t>
        </is>
      </c>
      <c r="AB242" s="187" t="inlineStr">
        <is>
          <t>NONE</t>
        </is>
      </c>
      <c r="AC242" s="187" t="n">
        <v>0</v>
      </c>
      <c r="AD242" s="187" t="inlineStr"/>
    </row>
    <row r="243">
      <c r="A243" s="187" t="inlineStr">
        <is>
          <t>CVE</t>
        </is>
      </c>
      <c r="B243" s="187" t="inlineStr">
        <is>
          <t>CVE-2026-2983</t>
        </is>
      </c>
      <c r="C243" s="187"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243" s="187" t="n">
        <v>7.3</v>
      </c>
      <c r="E243" s="187" t="inlineStr">
        <is>
          <t>HIGH</t>
        </is>
      </c>
      <c r="F243" s="187" t="n">
        <v>2</v>
      </c>
      <c r="G243" s="187" t="n">
        <v>3</v>
      </c>
      <c r="H243" s="187" t="inlineStr">
        <is>
          <t>HIGH</t>
        </is>
      </c>
      <c r="I243" s="187" t="n">
        <v>13.3</v>
      </c>
      <c r="J243" s="187" t="inlineStr">
        <is>
          <t>NO</t>
        </is>
      </c>
      <c r="K243" s="187" t="inlineStr">
        <is>
          <t>https://nvd.nist.gov/vuln/detail/CVE-2026-2983</t>
        </is>
      </c>
      <c r="L243" s="187" t="inlineStr">
        <is>
          <t>2026-02-27 20:47</t>
        </is>
      </c>
      <c r="M243" s="187" t="inlineStr">
        <is>
          <t>YES</t>
        </is>
      </c>
      <c r="N243" s="187" t="inlineStr">
        <is>
          <t>https://github.com/Shaon-Xis/SRMS-1.0---Unauthenticated-SMTP-Hijacking-to-Account-Takeover#-vulnerability-2-unauthenticated-bulk-account-injection-arbitrary-file-upload</t>
        </is>
      </c>
      <c r="O243" s="187" t="inlineStr">
        <is>
          <t>https://github.com/Shaon-Xis/SRMS-1.0---Unauthenticated-SMTP-Hijacking-to-Account-Takeover#-vulnerability-2-unauthenticated-bulk-account-injection-arbitrary-file-upload</t>
        </is>
      </c>
      <c r="P243" s="187" t="inlineStr">
        <is>
          <t>munyweki student_result_management_system 1.0</t>
        </is>
      </c>
      <c r="Q243" s="187" t="inlineStr">
        <is>
          <t>P3</t>
        </is>
      </c>
      <c r="R243" s="187" t="inlineStr">
        <is>
          <t>🚨 URGENT: Apply vendor patches immediately | 🔒 Isolate affected systems if patch unavailable | 🛡️ Enable additional monitoring/IDS rules</t>
        </is>
      </c>
      <c r="S243" s="187" t="inlineStr">
        <is>
          <t>CVE - IP enrichment n/a</t>
        </is>
      </c>
      <c r="T243" s="187" t="n">
        <v>0.0004</v>
      </c>
      <c r="U243" s="187" t="n">
        <v>0.1039</v>
      </c>
      <c r="V243" s="187" t="inlineStr">
        <is>
          <t>T1190:Exploit Public-Facing Application</t>
        </is>
      </c>
      <c r="W243" s="187" t="n">
        <v>1</v>
      </c>
      <c r="X243" s="187" t="inlineStr">
        <is>
          <t>LOW (40%)</t>
        </is>
      </c>
      <c r="Y243" s="187" t="inlineStr">
        <is>
          <t>UNLIKELY</t>
        </is>
      </c>
      <c r="Z243" s="187" t="inlineStr">
        <is>
          <t>PATCH_AVAILABLE</t>
        </is>
      </c>
      <c r="AA243" s="187" t="inlineStr">
        <is>
          <t>https://nvd.nist.gov/vuln/detail/CVE-2026-2983</t>
        </is>
      </c>
      <c r="AB243" s="187" t="inlineStr">
        <is>
          <t>NONE</t>
        </is>
      </c>
      <c r="AC243" s="187" t="n">
        <v>0</v>
      </c>
      <c r="AD243" s="187" t="inlineStr"/>
    </row>
    <row r="244">
      <c r="A244" s="188" t="inlineStr">
        <is>
          <t>CVE</t>
        </is>
      </c>
      <c r="B244" s="188" t="inlineStr">
        <is>
          <t>CVE-2025-40701</t>
        </is>
      </c>
      <c r="C244" s="188"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244" s="188" t="n">
        <v>5</v>
      </c>
      <c r="E244" s="188" t="inlineStr">
        <is>
          <t>MEDIUM</t>
        </is>
      </c>
      <c r="F244" s="188" t="n">
        <v>2</v>
      </c>
      <c r="G244" s="188" t="n">
        <v>2</v>
      </c>
      <c r="H244" s="188" t="inlineStr">
        <is>
          <t>MEDIUM</t>
        </is>
      </c>
      <c r="I244" s="188" t="n">
        <v>9</v>
      </c>
      <c r="J244" s="188" t="inlineStr">
        <is>
          <t>NO</t>
        </is>
      </c>
      <c r="K244" s="188" t="inlineStr">
        <is>
          <t>https://nvd.nist.gov/vuln/detail/CVE-2025-40701</t>
        </is>
      </c>
      <c r="L244" s="188" t="inlineStr">
        <is>
          <t>2026-02-27 20:47</t>
        </is>
      </c>
      <c r="M244" s="188" t="inlineStr">
        <is>
          <t>CHECK_VENDOR</t>
        </is>
      </c>
      <c r="N244" s="188" t="inlineStr">
        <is>
          <t>See NVD references</t>
        </is>
      </c>
      <c r="O244" s="188" t="inlineStr">
        <is>
          <t>Apply vendor patches</t>
        </is>
      </c>
      <c r="P244" s="188" t="inlineStr">
        <is>
          <t>See CVE details</t>
        </is>
      </c>
      <c r="Q244" s="188" t="inlineStr">
        <is>
          <t>P4</t>
        </is>
      </c>
      <c r="R244" s="188" t="inlineStr">
        <is>
          <t>📅 Schedule patch deployment within 30 days | 🔍 Monitor for exploitation attempts</t>
        </is>
      </c>
      <c r="S244" s="188" t="inlineStr">
        <is>
          <t>CVE - IP enrichment n/a</t>
        </is>
      </c>
      <c r="T244" s="188" t="n">
        <v>0.0001</v>
      </c>
      <c r="U244" s="188" t="n">
        <v>0.0306</v>
      </c>
      <c r="V244" s="188" t="inlineStr">
        <is>
          <t>T1189:Drive-by Compromise</t>
        </is>
      </c>
      <c r="W244" s="188" t="n">
        <v>1</v>
      </c>
      <c r="X244" s="188" t="inlineStr">
        <is>
          <t>LOW (40%)</t>
        </is>
      </c>
      <c r="Y244" s="188" t="inlineStr">
        <is>
          <t>UNLIKELY</t>
        </is>
      </c>
      <c r="Z244" s="188" t="inlineStr">
        <is>
          <t>CHECK_VENDOR</t>
        </is>
      </c>
      <c r="AA244" s="188" t="inlineStr">
        <is>
          <t>https://nvd.nist.gov/vuln/detail/CVE-2025-40701</t>
        </is>
      </c>
      <c r="AB244" s="188" t="inlineStr">
        <is>
          <t>NONE</t>
        </is>
      </c>
      <c r="AC244" s="188" t="n">
        <v>0</v>
      </c>
      <c r="AD244" s="188" t="inlineStr"/>
    </row>
    <row r="245">
      <c r="A245" s="188" t="inlineStr">
        <is>
          <t>CVE</t>
        </is>
      </c>
      <c r="B245" s="188" t="inlineStr">
        <is>
          <t>CVE-2025-40986</t>
        </is>
      </c>
      <c r="C245" s="188"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245" s="188" t="n">
        <v>5</v>
      </c>
      <c r="E245" s="188" t="inlineStr">
        <is>
          <t>MEDIUM</t>
        </is>
      </c>
      <c r="F245" s="188" t="n">
        <v>2</v>
      </c>
      <c r="G245" s="188" t="n">
        <v>2</v>
      </c>
      <c r="H245" s="188" t="inlineStr">
        <is>
          <t>MEDIUM</t>
        </is>
      </c>
      <c r="I245" s="188" t="n">
        <v>9</v>
      </c>
      <c r="J245" s="188" t="inlineStr">
        <is>
          <t>NO</t>
        </is>
      </c>
      <c r="K245" s="188" t="inlineStr">
        <is>
          <t>https://nvd.nist.gov/vuln/detail/CVE-2025-40986</t>
        </is>
      </c>
      <c r="L245" s="188" t="inlineStr">
        <is>
          <t>2026-02-27 20:47</t>
        </is>
      </c>
      <c r="M245" s="188" t="inlineStr">
        <is>
          <t>CHECK_VENDOR</t>
        </is>
      </c>
      <c r="N245" s="188" t="inlineStr">
        <is>
          <t>See NVD references</t>
        </is>
      </c>
      <c r="O245" s="188" t="inlineStr">
        <is>
          <t>Apply vendor patches</t>
        </is>
      </c>
      <c r="P245" s="188" t="inlineStr">
        <is>
          <t>See CVE details</t>
        </is>
      </c>
      <c r="Q245" s="188" t="inlineStr">
        <is>
          <t>P4</t>
        </is>
      </c>
      <c r="R245" s="188" t="inlineStr">
        <is>
          <t>📅 Schedule patch deployment within 30 days | 🔍 Monitor for exploitation attempts</t>
        </is>
      </c>
      <c r="S245" s="188" t="inlineStr">
        <is>
          <t>CVE - IP enrichment n/a</t>
        </is>
      </c>
      <c r="T245" s="188" t="n">
        <v>0.0001</v>
      </c>
      <c r="U245" s="188" t="n">
        <v>0.0306</v>
      </c>
      <c r="V245" s="188" t="inlineStr">
        <is>
          <t>T1189:Drive-by Compromise</t>
        </is>
      </c>
      <c r="W245" s="188" t="n">
        <v>1</v>
      </c>
      <c r="X245" s="188" t="inlineStr">
        <is>
          <t>LOW (40%)</t>
        </is>
      </c>
      <c r="Y245" s="188" t="inlineStr">
        <is>
          <t>UNLIKELY</t>
        </is>
      </c>
      <c r="Z245" s="188" t="inlineStr">
        <is>
          <t>CHECK_VENDOR</t>
        </is>
      </c>
      <c r="AA245" s="188" t="inlineStr">
        <is>
          <t>https://nvd.nist.gov/vuln/detail/CVE-2025-40986</t>
        </is>
      </c>
      <c r="AB245" s="188" t="inlineStr">
        <is>
          <t>NONE</t>
        </is>
      </c>
      <c r="AC245" s="188" t="n">
        <v>0</v>
      </c>
      <c r="AD245" s="188" t="inlineStr"/>
    </row>
    <row r="246">
      <c r="A246" s="188" t="inlineStr">
        <is>
          <t>CVE</t>
        </is>
      </c>
      <c r="B246" s="188" t="inlineStr">
        <is>
          <t>CVE-2025-59873</t>
        </is>
      </c>
      <c r="C246" s="188"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246" s="188" t="n">
        <v>5.9</v>
      </c>
      <c r="E246" s="188" t="inlineStr">
        <is>
          <t>MEDIUM</t>
        </is>
      </c>
      <c r="F246" s="188" t="n">
        <v>2</v>
      </c>
      <c r="G246" s="188" t="n">
        <v>2</v>
      </c>
      <c r="H246" s="188" t="inlineStr">
        <is>
          <t>MEDIUM</t>
        </is>
      </c>
      <c r="I246" s="188" t="n">
        <v>9.9</v>
      </c>
      <c r="J246" s="188" t="inlineStr">
        <is>
          <t>NO</t>
        </is>
      </c>
      <c r="K246" s="188" t="inlineStr">
        <is>
          <t>https://nvd.nist.gov/vuln/detail/CVE-2025-59873</t>
        </is>
      </c>
      <c r="L246" s="188" t="inlineStr">
        <is>
          <t>2026-02-27 20:47</t>
        </is>
      </c>
      <c r="M246" s="188" t="inlineStr">
        <is>
          <t>CHECK_VENDOR</t>
        </is>
      </c>
      <c r="N246" s="188" t="inlineStr">
        <is>
          <t>See NVD references</t>
        </is>
      </c>
      <c r="O246" s="188" t="inlineStr">
        <is>
          <t>Apply vendor patches</t>
        </is>
      </c>
      <c r="P246" s="188" t="inlineStr">
        <is>
          <t>See CVE details</t>
        </is>
      </c>
      <c r="Q246" s="188" t="inlineStr">
        <is>
          <t>P4</t>
        </is>
      </c>
      <c r="R246" s="188" t="inlineStr">
        <is>
          <t>📅 Schedule patch deployment within 30 days | 🔍 Monitor for exploitation attempts</t>
        </is>
      </c>
      <c r="S246" s="188" t="inlineStr">
        <is>
          <t>CVE - IP enrichment n/a</t>
        </is>
      </c>
      <c r="T246" s="188" t="n">
        <v>0.0001</v>
      </c>
      <c r="U246" s="188" t="n">
        <v>0.0142</v>
      </c>
      <c r="V246" s="188" t="inlineStr">
        <is>
          <t>T1190:Exploit Public-Facing Application</t>
        </is>
      </c>
      <c r="W246" s="188" t="n">
        <v>1</v>
      </c>
      <c r="X246" s="188" t="inlineStr">
        <is>
          <t>LOW (40%)</t>
        </is>
      </c>
      <c r="Y246" s="188" t="inlineStr">
        <is>
          <t>UNLIKELY</t>
        </is>
      </c>
      <c r="Z246" s="188" t="inlineStr">
        <is>
          <t>CHECK_VENDOR</t>
        </is>
      </c>
      <c r="AA246" s="188" t="inlineStr">
        <is>
          <t>https://nvd.nist.gov/vuln/detail/CVE-2025-59873</t>
        </is>
      </c>
      <c r="AB246" s="188" t="inlineStr">
        <is>
          <t>NONE</t>
        </is>
      </c>
      <c r="AC246" s="188" t="n">
        <v>0</v>
      </c>
      <c r="AD246" s="188" t="inlineStr"/>
    </row>
    <row r="247">
      <c r="A247" s="188" t="inlineStr">
        <is>
          <t>CVE</t>
        </is>
      </c>
      <c r="B247" s="188" t="inlineStr">
        <is>
          <t>CVE-2026-2984</t>
        </is>
      </c>
      <c r="C247" s="188"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247" s="188" t="n">
        <v>6.5</v>
      </c>
      <c r="E247" s="188" t="inlineStr">
        <is>
          <t>MEDIUM</t>
        </is>
      </c>
      <c r="F247" s="188" t="n">
        <v>2</v>
      </c>
      <c r="G247" s="188" t="n">
        <v>2</v>
      </c>
      <c r="H247" s="188" t="inlineStr">
        <is>
          <t>MEDIUM</t>
        </is>
      </c>
      <c r="I247" s="188" t="n">
        <v>10.5</v>
      </c>
      <c r="J247" s="188" t="inlineStr">
        <is>
          <t>NO</t>
        </is>
      </c>
      <c r="K247" s="188" t="inlineStr">
        <is>
          <t>https://nvd.nist.gov/vuln/detail/CVE-2026-2984</t>
        </is>
      </c>
      <c r="L247" s="188" t="inlineStr">
        <is>
          <t>2026-02-27 20:47</t>
        </is>
      </c>
      <c r="M247" s="188" t="inlineStr">
        <is>
          <t>YES</t>
        </is>
      </c>
      <c r="N247" s="188" t="inlineStr">
        <is>
          <t>https://github.com/Shaon-Xis/SRMS-1.0---Unauthenticated-SMTP-Hijacking-to-Account-Takeover#vulnerability-3-unauthenticated-arbitrary-account-deletion-dos</t>
        </is>
      </c>
      <c r="O247" s="188" t="inlineStr">
        <is>
          <t>https://github.com/Shaon-Xis/SRMS-1.0---Unauthenticated-SMTP-Hijacking-to-Account-Takeover#vulnerability-3-unauthenticated-arbitrary-account-deletion-dos</t>
        </is>
      </c>
      <c r="P247" s="188" t="inlineStr">
        <is>
          <t>munyweki student_result_management_system 1.0</t>
        </is>
      </c>
      <c r="Q247" s="188" t="inlineStr">
        <is>
          <t>P4</t>
        </is>
      </c>
      <c r="R247" s="188" t="inlineStr">
        <is>
          <t>📅 Schedule patch deployment within 30 days | 🔍 Monitor for exploitation attempts</t>
        </is>
      </c>
      <c r="S247" s="188" t="inlineStr">
        <is>
          <t>CVE - IP enrichment n/a</t>
        </is>
      </c>
      <c r="T247" s="188" t="n">
        <v>0.0008</v>
      </c>
      <c r="U247" s="188" t="n">
        <v>0.2264</v>
      </c>
      <c r="V247" s="188" t="inlineStr">
        <is>
          <t>T1190:Exploit Public-Facing Application | T1499:Endpoint Denial of Service</t>
        </is>
      </c>
      <c r="W247" s="188" t="n">
        <v>1</v>
      </c>
      <c r="X247" s="188" t="inlineStr">
        <is>
          <t>LOW (40%)</t>
        </is>
      </c>
      <c r="Y247" s="188" t="inlineStr">
        <is>
          <t>UNLIKELY</t>
        </is>
      </c>
      <c r="Z247" s="188" t="inlineStr">
        <is>
          <t>PATCH_AVAILABLE</t>
        </is>
      </c>
      <c r="AA247" s="188" t="inlineStr">
        <is>
          <t>https://nvd.nist.gov/vuln/detail/CVE-2026-2984</t>
        </is>
      </c>
      <c r="AB247" s="188" t="inlineStr">
        <is>
          <t>NONE</t>
        </is>
      </c>
      <c r="AC247" s="188" t="n">
        <v>0</v>
      </c>
      <c r="AD247" s="188" t="inlineStr"/>
    </row>
    <row r="248">
      <c r="A248" s="188" t="inlineStr">
        <is>
          <t>CVE</t>
        </is>
      </c>
      <c r="B248" s="188" t="inlineStr">
        <is>
          <t>CVE-2026-2985</t>
        </is>
      </c>
      <c r="C248" s="188"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248" s="188" t="n">
        <v>6.3</v>
      </c>
      <c r="E248" s="188" t="inlineStr">
        <is>
          <t>MEDIUM</t>
        </is>
      </c>
      <c r="F248" s="188" t="n">
        <v>2</v>
      </c>
      <c r="G248" s="188" t="n">
        <v>2</v>
      </c>
      <c r="H248" s="188" t="inlineStr">
        <is>
          <t>MEDIUM</t>
        </is>
      </c>
      <c r="I248" s="188" t="n">
        <v>10.3</v>
      </c>
      <c r="J248" s="188" t="inlineStr">
        <is>
          <t>NO</t>
        </is>
      </c>
      <c r="K248" s="188" t="inlineStr">
        <is>
          <t>https://nvd.nist.gov/vuln/detail/CVE-2026-2985</t>
        </is>
      </c>
      <c r="L248" s="188" t="inlineStr">
        <is>
          <t>2026-02-27 20:47</t>
        </is>
      </c>
      <c r="M248" s="188" t="inlineStr">
        <is>
          <t>CHECK_VENDOR</t>
        </is>
      </c>
      <c r="N248" s="188" t="inlineStr">
        <is>
          <t>See NVD references</t>
        </is>
      </c>
      <c r="O248" s="188" t="inlineStr">
        <is>
          <t>Apply vendor patches</t>
        </is>
      </c>
      <c r="P248" s="188" t="inlineStr">
        <is>
          <t>See CVE details</t>
        </is>
      </c>
      <c r="Q248" s="188" t="inlineStr">
        <is>
          <t>P4</t>
        </is>
      </c>
      <c r="R248" s="188" t="inlineStr">
        <is>
          <t>📅 Schedule patch deployment within 30 days | 🔍 Monitor for exploitation attempts</t>
        </is>
      </c>
      <c r="S248" s="188" t="inlineStr">
        <is>
          <t>CVE - IP enrichment n/a</t>
        </is>
      </c>
      <c r="T248" s="188" t="n">
        <v>0.0001</v>
      </c>
      <c r="U248" s="188" t="n">
        <v>0.0137</v>
      </c>
      <c r="V248" s="188" t="inlineStr">
        <is>
          <t>T1090:Proxy</t>
        </is>
      </c>
      <c r="W248" s="188" t="n">
        <v>1</v>
      </c>
      <c r="X248" s="188" t="inlineStr">
        <is>
          <t>LOW (40%)</t>
        </is>
      </c>
      <c r="Y248" s="188" t="inlineStr">
        <is>
          <t>UNLIKELY</t>
        </is>
      </c>
      <c r="Z248" s="188" t="inlineStr">
        <is>
          <t>CHECK_VENDOR</t>
        </is>
      </c>
      <c r="AA248" s="188" t="inlineStr">
        <is>
          <t>https://nvd.nist.gov/vuln/detail/CVE-2026-2985</t>
        </is>
      </c>
      <c r="AB248" s="188" t="inlineStr">
        <is>
          <t>NONE</t>
        </is>
      </c>
      <c r="AC248" s="188" t="n">
        <v>0</v>
      </c>
      <c r="AD248" s="188" t="inlineStr"/>
    </row>
    <row r="249">
      <c r="A249" s="187" t="inlineStr">
        <is>
          <t>CVE</t>
        </is>
      </c>
      <c r="B249" s="187" t="inlineStr">
        <is>
          <t>CVE-2025-69700</t>
        </is>
      </c>
      <c r="C249" s="187" t="inlineStr">
        <is>
          <t>Tenda FH1203 V2.0.1.6 contains a stack-based buffer overflow vulnerability in the modify_add_client_prio function, which is reachable via the formSetClientPrio CGI handler.</t>
        </is>
      </c>
      <c r="D249" s="187" t="n">
        <v>7.5</v>
      </c>
      <c r="E249" s="187" t="inlineStr">
        <is>
          <t>HIGH</t>
        </is>
      </c>
      <c r="F249" s="187" t="n">
        <v>2</v>
      </c>
      <c r="G249" s="187" t="n">
        <v>3</v>
      </c>
      <c r="H249" s="187" t="inlineStr">
        <is>
          <t>HIGH</t>
        </is>
      </c>
      <c r="I249" s="187" t="n">
        <v>13.5</v>
      </c>
      <c r="J249" s="187" t="inlineStr">
        <is>
          <t>NO</t>
        </is>
      </c>
      <c r="K249" s="187" t="inlineStr">
        <is>
          <t>https://nvd.nist.gov/vuln/detail/CVE-2025-69700</t>
        </is>
      </c>
      <c r="L249" s="187" t="inlineStr">
        <is>
          <t>2026-02-27 20:47</t>
        </is>
      </c>
      <c r="M249" s="187" t="inlineStr">
        <is>
          <t>CHECK_VENDOR</t>
        </is>
      </c>
      <c r="N249" s="187" t="inlineStr">
        <is>
          <t>See NVD references</t>
        </is>
      </c>
      <c r="O249" s="187" t="inlineStr">
        <is>
          <t>Apply vendor patches</t>
        </is>
      </c>
      <c r="P249" s="187" t="inlineStr">
        <is>
          <t>tenda fh1203 - | tenda fh1203_firmware 2.0.1.6</t>
        </is>
      </c>
      <c r="Q249" s="187" t="inlineStr">
        <is>
          <t>P3</t>
        </is>
      </c>
      <c r="R249" s="187" t="inlineStr">
        <is>
          <t>🚨 URGENT: Apply vendor patches immediately | 🔒 Isolate affected systems if patch unavailable | 🛡️ Enable additional monitoring/IDS rules</t>
        </is>
      </c>
      <c r="S249" s="187" t="inlineStr">
        <is>
          <t>CVE - IP enrichment n/a</t>
        </is>
      </c>
      <c r="T249" s="187" t="n">
        <v>0.0004</v>
      </c>
      <c r="U249" s="187" t="n">
        <v>0.1216</v>
      </c>
      <c r="V249" s="187" t="inlineStr">
        <is>
          <t>T1190:Exploit Public-Facing Application | T1203:Exploitation for Client Execution</t>
        </is>
      </c>
      <c r="W249" s="187" t="n">
        <v>1</v>
      </c>
      <c r="X249" s="187" t="inlineStr">
        <is>
          <t>LOW (40%)</t>
        </is>
      </c>
      <c r="Y249" s="187" t="inlineStr">
        <is>
          <t>UNLIKELY</t>
        </is>
      </c>
      <c r="Z249" s="187" t="inlineStr">
        <is>
          <t>CHECK_VENDOR</t>
        </is>
      </c>
      <c r="AA249" s="187" t="inlineStr">
        <is>
          <t>https://nvd.nist.gov/vuln/detail/CVE-2025-69700</t>
        </is>
      </c>
      <c r="AB249" s="187" t="inlineStr">
        <is>
          <t>NONE</t>
        </is>
      </c>
      <c r="AC249" s="187" t="n">
        <v>0</v>
      </c>
      <c r="AD249" s="187" t="inlineStr"/>
    </row>
    <row r="250">
      <c r="A250" s="187" t="inlineStr">
        <is>
          <t>CVE</t>
        </is>
      </c>
      <c r="B250" s="187" t="inlineStr">
        <is>
          <t>CVE-2026-21420</t>
        </is>
      </c>
      <c r="C250" s="187"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250" s="187" t="n">
        <v>7.3</v>
      </c>
      <c r="E250" s="187" t="inlineStr">
        <is>
          <t>HIGH</t>
        </is>
      </c>
      <c r="F250" s="187" t="n">
        <v>2</v>
      </c>
      <c r="G250" s="187" t="n">
        <v>3</v>
      </c>
      <c r="H250" s="187" t="inlineStr">
        <is>
          <t>HIGH</t>
        </is>
      </c>
      <c r="I250" s="187" t="n">
        <v>13.3</v>
      </c>
      <c r="J250" s="187" t="inlineStr">
        <is>
          <t>NO</t>
        </is>
      </c>
      <c r="K250" s="187" t="inlineStr">
        <is>
          <t>https://nvd.nist.gov/vuln/detail/CVE-2026-21420</t>
        </is>
      </c>
      <c r="L250" s="187" t="inlineStr">
        <is>
          <t>2026-02-27 20:47</t>
        </is>
      </c>
      <c r="M250" s="187" t="inlineStr">
        <is>
          <t>YES</t>
        </is>
      </c>
      <c r="N250" s="187" t="inlineStr">
        <is>
          <t>https://www.dell.com/support/kbdoc/en-us/000430183/dsa-2026-059-security-update-for-dell-repository-manager-vulnerability</t>
        </is>
      </c>
      <c r="O250" s="187" t="inlineStr">
        <is>
          <t>Apply vendor patches</t>
        </is>
      </c>
      <c r="P250" s="187" t="inlineStr">
        <is>
          <t>dell repository_manager *</t>
        </is>
      </c>
      <c r="Q250" s="187" t="inlineStr">
        <is>
          <t>P3</t>
        </is>
      </c>
      <c r="R250" s="187" t="inlineStr">
        <is>
          <t>🚨 URGENT: Apply vendor patches immediately | 🔒 Isolate affected systems if patch unavailable | 🛡️ Enable additional monitoring/IDS rules</t>
        </is>
      </c>
      <c r="S250" s="187" t="inlineStr">
        <is>
          <t>CVE - IP enrichment n/a</t>
        </is>
      </c>
      <c r="T250" s="187" t="n">
        <v>0.0001</v>
      </c>
      <c r="U250" s="187" t="n">
        <v>0.02</v>
      </c>
      <c r="V250" s="187" t="inlineStr">
        <is>
          <t>T1203:Exploitation for Client Execution</t>
        </is>
      </c>
      <c r="W250" s="187" t="n">
        <v>1</v>
      </c>
      <c r="X250" s="187" t="inlineStr">
        <is>
          <t>LOW (40%)</t>
        </is>
      </c>
      <c r="Y250" s="187" t="inlineStr">
        <is>
          <t>UNLIKELY</t>
        </is>
      </c>
      <c r="Z250" s="187" t="inlineStr">
        <is>
          <t>PATCH_AVAILABLE</t>
        </is>
      </c>
      <c r="AA250" s="187" t="inlineStr">
        <is>
          <t>https://nvd.nist.gov/vuln/detail/CVE-2026-21420</t>
        </is>
      </c>
      <c r="AB250" s="187" t="inlineStr">
        <is>
          <t>NONE</t>
        </is>
      </c>
      <c r="AC250" s="187" t="n">
        <v>0</v>
      </c>
      <c r="AD250" s="187" t="inlineStr"/>
    </row>
    <row r="251">
      <c r="A251" s="187" t="inlineStr">
        <is>
          <t>CVE</t>
        </is>
      </c>
      <c r="B251" s="187" t="inlineStr">
        <is>
          <t>CVE-2025-14905</t>
        </is>
      </c>
      <c r="C251" s="187"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251" s="187" t="n">
        <v>7.2</v>
      </c>
      <c r="E251" s="187" t="inlineStr">
        <is>
          <t>HIGH</t>
        </is>
      </c>
      <c r="F251" s="187" t="n">
        <v>2</v>
      </c>
      <c r="G251" s="187" t="n">
        <v>3</v>
      </c>
      <c r="H251" s="187" t="inlineStr">
        <is>
          <t>HIGH</t>
        </is>
      </c>
      <c r="I251" s="187" t="n">
        <v>13.2</v>
      </c>
      <c r="J251" s="187" t="inlineStr">
        <is>
          <t>NO</t>
        </is>
      </c>
      <c r="K251" s="187" t="inlineStr">
        <is>
          <t>https://nvd.nist.gov/vuln/detail/CVE-2025-14905</t>
        </is>
      </c>
      <c r="L251" s="187" t="inlineStr">
        <is>
          <t>2026-02-27 20:47</t>
        </is>
      </c>
      <c r="M251" s="187" t="inlineStr">
        <is>
          <t>CHECK_VENDOR</t>
        </is>
      </c>
      <c r="N251" s="187" t="inlineStr">
        <is>
          <t>See NVD references</t>
        </is>
      </c>
      <c r="O251" s="187" t="inlineStr">
        <is>
          <t>Apply vendor patches</t>
        </is>
      </c>
      <c r="P251" s="187" t="inlineStr">
        <is>
          <t>See CVE details</t>
        </is>
      </c>
      <c r="Q251" s="187" t="inlineStr">
        <is>
          <t>P3</t>
        </is>
      </c>
      <c r="R251" s="187" t="inlineStr">
        <is>
          <t>🚨 URGENT: Apply vendor patches immediately | 🔒 Isolate affected systems if patch unavailable | 🛡️ Enable additional monitoring/IDS rules</t>
        </is>
      </c>
      <c r="S251" s="187" t="inlineStr">
        <is>
          <t>CVE - IP enrichment n/a</t>
        </is>
      </c>
      <c r="T251" s="187" t="n">
        <v>0.0016</v>
      </c>
      <c r="U251" s="187" t="n">
        <v>0.3755</v>
      </c>
      <c r="V251" s="187" t="inlineStr">
        <is>
          <t>T1190:Exploit Public-Facing Application | T1210:Exploitation of Remote Services | T1203:Exploitation for Client Execution</t>
        </is>
      </c>
      <c r="W251" s="187" t="n">
        <v>1</v>
      </c>
      <c r="X251" s="187" t="inlineStr">
        <is>
          <t>LOW (40%)</t>
        </is>
      </c>
      <c r="Y251" s="187" t="inlineStr">
        <is>
          <t>UNLIKELY</t>
        </is>
      </c>
      <c r="Z251" s="187" t="inlineStr">
        <is>
          <t>CHECK_VENDOR</t>
        </is>
      </c>
      <c r="AA251" s="187" t="inlineStr">
        <is>
          <t>https://nvd.nist.gov/vuln/detail/CVE-2025-14905</t>
        </is>
      </c>
      <c r="AB251" s="187" t="inlineStr">
        <is>
          <t>NONE</t>
        </is>
      </c>
      <c r="AC251" s="187" t="n">
        <v>0</v>
      </c>
      <c r="AD251" s="187" t="inlineStr"/>
    </row>
    <row r="252">
      <c r="A252" s="189" t="inlineStr">
        <is>
          <t>CVE</t>
        </is>
      </c>
      <c r="B252" s="189" t="inlineStr">
        <is>
          <t>CVE-2025-70043</t>
        </is>
      </c>
      <c r="C252" s="189" t="inlineStr">
        <is>
          <t>An issue pertaining to CWE-295: Improper Certificate Validation was discovered in Ayms node-To master. The application disables TLS/SSL certificate validation by setting 'rejectUnauthorized': false in TLS socket options</t>
        </is>
      </c>
      <c r="D252" s="189" t="n">
        <v>9.1</v>
      </c>
      <c r="E252" s="189" t="inlineStr">
        <is>
          <t>CRITICAL</t>
        </is>
      </c>
      <c r="F252" s="189" t="n">
        <v>2</v>
      </c>
      <c r="G252" s="189" t="n">
        <v>3</v>
      </c>
      <c r="H252" s="189" t="inlineStr">
        <is>
          <t>HIGH</t>
        </is>
      </c>
      <c r="I252" s="189" t="n">
        <v>15.1</v>
      </c>
      <c r="J252" s="189" t="inlineStr">
        <is>
          <t>NO</t>
        </is>
      </c>
      <c r="K252" s="189" t="inlineStr">
        <is>
          <t>https://nvd.nist.gov/vuln/detail/CVE-2025-70043</t>
        </is>
      </c>
      <c r="L252" s="189" t="inlineStr">
        <is>
          <t>2026-02-27 20:47</t>
        </is>
      </c>
      <c r="M252" s="189" t="inlineStr">
        <is>
          <t>CHECK_VENDOR</t>
        </is>
      </c>
      <c r="N252" s="189" t="inlineStr">
        <is>
          <t>See NVD references</t>
        </is>
      </c>
      <c r="O252" s="189" t="inlineStr">
        <is>
          <t>Apply vendor patches</t>
        </is>
      </c>
      <c r="P252" s="189" t="inlineStr">
        <is>
          <t>See CVE details</t>
        </is>
      </c>
      <c r="Q252" s="189" t="inlineStr">
        <is>
          <t>P3</t>
        </is>
      </c>
      <c r="R252" s="189" t="inlineStr">
        <is>
          <t>🚨 URGENT: Apply vendor patches immediately | 🔒 Isolate affected systems if patch unavailable | 🛡️ Enable additional monitoring/IDS rules</t>
        </is>
      </c>
      <c r="S252" s="189" t="inlineStr">
        <is>
          <t>CVE - IP enrichment n/a</t>
        </is>
      </c>
      <c r="T252" s="189" t="n">
        <v>0.0002</v>
      </c>
      <c r="U252" s="189" t="n">
        <v>0.0346</v>
      </c>
      <c r="V252" s="189" t="inlineStr">
        <is>
          <t>T1190:Exploit Public-Facing Application</t>
        </is>
      </c>
      <c r="W252" s="189" t="n">
        <v>1</v>
      </c>
      <c r="X252" s="189" t="inlineStr">
        <is>
          <t>LOW (40%)</t>
        </is>
      </c>
      <c r="Y252" s="189" t="inlineStr">
        <is>
          <t>UNLIKELY</t>
        </is>
      </c>
      <c r="Z252" s="189" t="inlineStr">
        <is>
          <t>CHECK_VENDOR</t>
        </is>
      </c>
      <c r="AA252" s="189" t="inlineStr">
        <is>
          <t>https://nvd.nist.gov/vuln/detail/CVE-2025-70043</t>
        </is>
      </c>
      <c r="AB252" s="189" t="inlineStr">
        <is>
          <t>NONE</t>
        </is>
      </c>
      <c r="AC252" s="189" t="n">
        <v>0</v>
      </c>
      <c r="AD252" s="189" t="inlineStr"/>
    </row>
    <row r="253">
      <c r="A253" s="188" t="inlineStr">
        <is>
          <t>CVE</t>
        </is>
      </c>
      <c r="B253" s="188" t="inlineStr">
        <is>
          <t>CVE-2025-70044</t>
        </is>
      </c>
      <c r="C253" s="188" t="inlineStr">
        <is>
          <t>An issue pertaining to CWE-295: Improper Certificate Validation was discovered in fofolee uTools-quickcommand 5.0.3.</t>
        </is>
      </c>
      <c r="D253" s="188" t="n">
        <v>6.5</v>
      </c>
      <c r="E253" s="188" t="inlineStr">
        <is>
          <t>MEDIUM</t>
        </is>
      </c>
      <c r="F253" s="188" t="n">
        <v>2</v>
      </c>
      <c r="G253" s="188" t="n">
        <v>2</v>
      </c>
      <c r="H253" s="188" t="inlineStr">
        <is>
          <t>MEDIUM</t>
        </is>
      </c>
      <c r="I253" s="188" t="n">
        <v>10.5</v>
      </c>
      <c r="J253" s="188" t="inlineStr">
        <is>
          <t>NO</t>
        </is>
      </c>
      <c r="K253" s="188" t="inlineStr">
        <is>
          <t>https://nvd.nist.gov/vuln/detail/CVE-2025-70044</t>
        </is>
      </c>
      <c r="L253" s="188" t="inlineStr">
        <is>
          <t>2026-02-27 20:47</t>
        </is>
      </c>
      <c r="M253" s="188" t="inlineStr">
        <is>
          <t>CHECK_VENDOR</t>
        </is>
      </c>
      <c r="N253" s="188" t="inlineStr">
        <is>
          <t>See NVD references</t>
        </is>
      </c>
      <c r="O253" s="188" t="inlineStr">
        <is>
          <t>Apply vendor patches</t>
        </is>
      </c>
      <c r="P253" s="188" t="inlineStr">
        <is>
          <t>fofolee utools-quickcommand 5.0.3</t>
        </is>
      </c>
      <c r="Q253" s="188" t="inlineStr">
        <is>
          <t>P4</t>
        </is>
      </c>
      <c r="R253" s="188" t="inlineStr">
        <is>
          <t>📅 Schedule patch deployment within 30 days | 🔍 Monitor for exploitation attempts</t>
        </is>
      </c>
      <c r="S253" s="188" t="inlineStr">
        <is>
          <t>CVE - IP enrichment n/a</t>
        </is>
      </c>
      <c r="T253" s="188" t="n">
        <v>0.0002</v>
      </c>
      <c r="U253" s="188" t="n">
        <v>0.0324</v>
      </c>
      <c r="V253" s="188" t="inlineStr">
        <is>
          <t>T1190:Exploit Public-Facing Application</t>
        </is>
      </c>
      <c r="W253" s="188" t="n">
        <v>1</v>
      </c>
      <c r="X253" s="188" t="inlineStr">
        <is>
          <t>LOW (40%)</t>
        </is>
      </c>
      <c r="Y253" s="188" t="inlineStr">
        <is>
          <t>UNLIKELY</t>
        </is>
      </c>
      <c r="Z253" s="188" t="inlineStr">
        <is>
          <t>CHECK_VENDOR</t>
        </is>
      </c>
      <c r="AA253" s="188" t="inlineStr">
        <is>
          <t>https://nvd.nist.gov/vuln/detail/CVE-2025-70044</t>
        </is>
      </c>
      <c r="AB253" s="188" t="inlineStr">
        <is>
          <t>NONE</t>
        </is>
      </c>
      <c r="AC253" s="188" t="n">
        <v>0</v>
      </c>
      <c r="AD253" s="188" t="inlineStr"/>
    </row>
    <row r="254">
      <c r="A254" s="187" t="inlineStr">
        <is>
          <t>CVE</t>
        </is>
      </c>
      <c r="B254" s="187" t="inlineStr">
        <is>
          <t>CVE-2025-70045</t>
        </is>
      </c>
      <c r="C254" s="187" t="inlineStr">
        <is>
          <t>An issue pertaining to CWE-295: Improper Certificate Validation was discovered in jxcore jxm master. The application disables TLS/SSL certificate validation by setting 'rejectUnauthorized': false in HTTPS request options when 'jx_obj.IsSecure' is true</t>
        </is>
      </c>
      <c r="D254" s="187" t="n">
        <v>7.4</v>
      </c>
      <c r="E254" s="187" t="inlineStr">
        <is>
          <t>HIGH</t>
        </is>
      </c>
      <c r="F254" s="187" t="n">
        <v>2</v>
      </c>
      <c r="G254" s="187" t="n">
        <v>3</v>
      </c>
      <c r="H254" s="187" t="inlineStr">
        <is>
          <t>HIGH</t>
        </is>
      </c>
      <c r="I254" s="187" t="n">
        <v>13.4</v>
      </c>
      <c r="J254" s="187" t="inlineStr">
        <is>
          <t>NO</t>
        </is>
      </c>
      <c r="K254" s="187" t="inlineStr">
        <is>
          <t>https://nvd.nist.gov/vuln/detail/CVE-2025-70045</t>
        </is>
      </c>
      <c r="L254" s="187" t="inlineStr">
        <is>
          <t>2026-02-27 20:47</t>
        </is>
      </c>
      <c r="M254" s="187" t="inlineStr">
        <is>
          <t>CHECK_VENDOR</t>
        </is>
      </c>
      <c r="N254" s="187" t="inlineStr">
        <is>
          <t>See NVD references</t>
        </is>
      </c>
      <c r="O254" s="187" t="inlineStr">
        <is>
          <t>Apply vendor patches</t>
        </is>
      </c>
      <c r="P254" s="187" t="inlineStr">
        <is>
          <t>jxcore jxm -</t>
        </is>
      </c>
      <c r="Q254" s="187" t="inlineStr">
        <is>
          <t>P3</t>
        </is>
      </c>
      <c r="R254" s="187" t="inlineStr">
        <is>
          <t>🚨 URGENT: Apply vendor patches immediately | 🔒 Isolate affected systems if patch unavailable | 🛡️ Enable additional monitoring/IDS rules</t>
        </is>
      </c>
      <c r="S254" s="187" t="inlineStr">
        <is>
          <t>CVE - IP enrichment n/a</t>
        </is>
      </c>
      <c r="T254" s="187" t="n">
        <v>0.0002</v>
      </c>
      <c r="U254" s="187" t="n">
        <v>0.0372</v>
      </c>
      <c r="V254" s="187" t="inlineStr">
        <is>
          <t>T1190:Exploit Public-Facing Application</t>
        </is>
      </c>
      <c r="W254" s="187" t="n">
        <v>1</v>
      </c>
      <c r="X254" s="187" t="inlineStr">
        <is>
          <t>LOW (40%)</t>
        </is>
      </c>
      <c r="Y254" s="187" t="inlineStr">
        <is>
          <t>UNLIKELY</t>
        </is>
      </c>
      <c r="Z254" s="187" t="inlineStr">
        <is>
          <t>CHECK_VENDOR</t>
        </is>
      </c>
      <c r="AA254" s="187" t="inlineStr">
        <is>
          <t>https://nvd.nist.gov/vuln/detail/CVE-2025-70045</t>
        </is>
      </c>
      <c r="AB254" s="187" t="inlineStr">
        <is>
          <t>NONE</t>
        </is>
      </c>
      <c r="AC254" s="187" t="n">
        <v>0</v>
      </c>
      <c r="AD254" s="187" t="inlineStr"/>
    </row>
    <row r="255">
      <c r="A255" s="187" t="inlineStr">
        <is>
          <t>CVE</t>
        </is>
      </c>
      <c r="B255" s="187" t="inlineStr">
        <is>
          <t>CVE-2025-70058</t>
        </is>
      </c>
      <c r="C255" s="187" t="inlineStr">
        <is>
          <t>An issue pertaining to CWE-295: Improper Certificate Validation was discovered in YMFE yapi v1.12.0. The application disables TLS/SSL certificate validation by setting 'rejectUnauthorized': false in the HTTPS agent configuration for Axios requests</t>
        </is>
      </c>
      <c r="D255" s="187" t="n">
        <v>7.4</v>
      </c>
      <c r="E255" s="187" t="inlineStr">
        <is>
          <t>HIGH</t>
        </is>
      </c>
      <c r="F255" s="187" t="n">
        <v>2</v>
      </c>
      <c r="G255" s="187" t="n">
        <v>3</v>
      </c>
      <c r="H255" s="187" t="inlineStr">
        <is>
          <t>HIGH</t>
        </is>
      </c>
      <c r="I255" s="187" t="n">
        <v>13.4</v>
      </c>
      <c r="J255" s="187" t="inlineStr">
        <is>
          <t>NO</t>
        </is>
      </c>
      <c r="K255" s="187" t="inlineStr">
        <is>
          <t>https://nvd.nist.gov/vuln/detail/CVE-2025-70058</t>
        </is>
      </c>
      <c r="L255" s="187" t="inlineStr">
        <is>
          <t>2026-02-27 20:47</t>
        </is>
      </c>
      <c r="M255" s="187" t="inlineStr">
        <is>
          <t>CHECK_VENDOR</t>
        </is>
      </c>
      <c r="N255" s="187" t="inlineStr">
        <is>
          <t>See NVD references</t>
        </is>
      </c>
      <c r="O255" s="187" t="inlineStr">
        <is>
          <t>Apply vendor patches</t>
        </is>
      </c>
      <c r="P255" s="187" t="inlineStr">
        <is>
          <t>ymfe yapi 1.12.0</t>
        </is>
      </c>
      <c r="Q255" s="187" t="inlineStr">
        <is>
          <t>P3</t>
        </is>
      </c>
      <c r="R255" s="187" t="inlineStr">
        <is>
          <t>🚨 URGENT: Apply vendor patches immediately | 🔒 Isolate affected systems if patch unavailable | 🛡️ Enable additional monitoring/IDS rules</t>
        </is>
      </c>
      <c r="S255" s="187" t="inlineStr">
        <is>
          <t>CVE - IP enrichment n/a</t>
        </is>
      </c>
      <c r="T255" s="187" t="n">
        <v>0.0002</v>
      </c>
      <c r="U255" s="187" t="n">
        <v>0.0372</v>
      </c>
      <c r="V255" s="187" t="inlineStr">
        <is>
          <t>T1190:Exploit Public-Facing Application</t>
        </is>
      </c>
      <c r="W255" s="187" t="n">
        <v>1</v>
      </c>
      <c r="X255" s="187" t="inlineStr">
        <is>
          <t>LOW (40%)</t>
        </is>
      </c>
      <c r="Y255" s="187" t="inlineStr">
        <is>
          <t>UNLIKELY</t>
        </is>
      </c>
      <c r="Z255" s="187" t="inlineStr">
        <is>
          <t>CHECK_VENDOR</t>
        </is>
      </c>
      <c r="AA255" s="187" t="inlineStr">
        <is>
          <t>https://nvd.nist.gov/vuln/detail/CVE-2025-70058</t>
        </is>
      </c>
      <c r="AB255" s="187" t="inlineStr">
        <is>
          <t>NONE</t>
        </is>
      </c>
      <c r="AC255" s="187" t="n">
        <v>0</v>
      </c>
      <c r="AD255" s="187" t="inlineStr"/>
    </row>
    <row r="256">
      <c r="A256" s="188" t="inlineStr">
        <is>
          <t>CVE</t>
        </is>
      </c>
      <c r="B256" s="188" t="inlineStr">
        <is>
          <t>CVE-2026-2697</t>
        </is>
      </c>
      <c r="C256" s="188" t="inlineStr">
        <is>
          <t>An Indirect Object Reference (IDOR) in Security Center allows an authenticated remote attacker to escalate privileges via the 'owner' parameter.</t>
        </is>
      </c>
      <c r="D256" s="188" t="n">
        <v>6.3</v>
      </c>
      <c r="E256" s="188" t="inlineStr">
        <is>
          <t>MEDIUM</t>
        </is>
      </c>
      <c r="F256" s="188" t="n">
        <v>2</v>
      </c>
      <c r="G256" s="188" t="n">
        <v>2</v>
      </c>
      <c r="H256" s="188" t="inlineStr">
        <is>
          <t>MEDIUM</t>
        </is>
      </c>
      <c r="I256" s="188" t="n">
        <v>10.3</v>
      </c>
      <c r="J256" s="188" t="inlineStr">
        <is>
          <t>NO</t>
        </is>
      </c>
      <c r="K256" s="188" t="inlineStr">
        <is>
          <t>https://nvd.nist.gov/vuln/detail/CVE-2026-2697</t>
        </is>
      </c>
      <c r="L256" s="188" t="inlineStr">
        <is>
          <t>2026-02-27 20:47</t>
        </is>
      </c>
      <c r="M256" s="188" t="inlineStr">
        <is>
          <t>YES</t>
        </is>
      </c>
      <c r="N256" s="188" t="inlineStr">
        <is>
          <t>https://www.tenable.com/security/tns-2026-07</t>
        </is>
      </c>
      <c r="O256" s="188" t="inlineStr">
        <is>
          <t>Apply vendor patches</t>
        </is>
      </c>
      <c r="P256" s="188" t="inlineStr">
        <is>
          <t>tenable security_center *</t>
        </is>
      </c>
      <c r="Q256" s="188" t="inlineStr">
        <is>
          <t>P4</t>
        </is>
      </c>
      <c r="R256" s="188" t="inlineStr">
        <is>
          <t>📅 Schedule patch deployment within 30 days | 🔍 Monitor for exploitation attempts</t>
        </is>
      </c>
      <c r="S256" s="188" t="inlineStr">
        <is>
          <t>CVE - IP enrichment n/a</t>
        </is>
      </c>
      <c r="T256" s="188" t="n">
        <v>0.001</v>
      </c>
      <c r="U256" s="188" t="n">
        <v>0.2713</v>
      </c>
      <c r="V256" s="188" t="inlineStr">
        <is>
          <t>T1190:Exploit Public-Facing Application</t>
        </is>
      </c>
      <c r="W256" s="188" t="n">
        <v>1</v>
      </c>
      <c r="X256" s="188" t="inlineStr">
        <is>
          <t>LOW (40%)</t>
        </is>
      </c>
      <c r="Y256" s="188" t="inlineStr">
        <is>
          <t>UNLIKELY</t>
        </is>
      </c>
      <c r="Z256" s="188" t="inlineStr">
        <is>
          <t>PATCH_AVAILABLE</t>
        </is>
      </c>
      <c r="AA256" s="188" t="inlineStr">
        <is>
          <t>https://nvd.nist.gov/vuln/detail/CVE-2026-2697</t>
        </is>
      </c>
      <c r="AB256" s="188" t="inlineStr">
        <is>
          <t>NONE</t>
        </is>
      </c>
      <c r="AC256" s="188" t="n">
        <v>0</v>
      </c>
      <c r="AD256" s="188" t="inlineStr"/>
    </row>
    <row r="257">
      <c r="A257" s="187" t="inlineStr">
        <is>
          <t>CVE</t>
        </is>
      </c>
      <c r="B257" s="187" t="inlineStr">
        <is>
          <t>CVE-2026-3015</t>
        </is>
      </c>
      <c r="C257" s="187"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257" s="187" t="n">
        <v>8.800000000000001</v>
      </c>
      <c r="E257" s="187" t="inlineStr">
        <is>
          <t>HIGH</t>
        </is>
      </c>
      <c r="F257" s="187" t="n">
        <v>2</v>
      </c>
      <c r="G257" s="187" t="n">
        <v>3</v>
      </c>
      <c r="H257" s="187" t="inlineStr">
        <is>
          <t>HIGH</t>
        </is>
      </c>
      <c r="I257" s="187" t="n">
        <v>14.8</v>
      </c>
      <c r="J257" s="187" t="inlineStr">
        <is>
          <t>NO</t>
        </is>
      </c>
      <c r="K257" s="187" t="inlineStr">
        <is>
          <t>https://nvd.nist.gov/vuln/detail/CVE-2026-3015</t>
        </is>
      </c>
      <c r="L257" s="187" t="inlineStr">
        <is>
          <t>2026-02-27 20:47</t>
        </is>
      </c>
      <c r="M257" s="187" t="inlineStr">
        <is>
          <t>CHECK_VENDOR</t>
        </is>
      </c>
      <c r="N257" s="187" t="inlineStr">
        <is>
          <t>See NVD references</t>
        </is>
      </c>
      <c r="O257" s="187" t="inlineStr">
        <is>
          <t>Apply vendor patches</t>
        </is>
      </c>
      <c r="P257" s="187" t="inlineStr">
        <is>
          <t>utt 810g 3.0 | utt 810g_firmware *</t>
        </is>
      </c>
      <c r="Q257" s="187" t="inlineStr">
        <is>
          <t>P3</t>
        </is>
      </c>
      <c r="R257" s="187" t="inlineStr">
        <is>
          <t>🚨 URGENT: Apply vendor patches immediately | 🔒 Isolate affected systems if patch unavailable | 🛡️ Enable additional monitoring/IDS rules</t>
        </is>
      </c>
      <c r="S257" s="187" t="inlineStr">
        <is>
          <t>CVE - IP enrichment n/a</t>
        </is>
      </c>
      <c r="T257" s="187" t="n">
        <v>0.0008</v>
      </c>
      <c r="U257" s="187" t="n">
        <v>0.2442</v>
      </c>
      <c r="V257" s="187" t="inlineStr">
        <is>
          <t>T1203:Exploitation for Client Execution</t>
        </is>
      </c>
      <c r="W257" s="187" t="n">
        <v>1</v>
      </c>
      <c r="X257" s="187" t="inlineStr">
        <is>
          <t>LOW (40%)</t>
        </is>
      </c>
      <c r="Y257" s="187" t="inlineStr">
        <is>
          <t>UNLIKELY</t>
        </is>
      </c>
      <c r="Z257" s="187" t="inlineStr">
        <is>
          <t>CHECK_VENDOR</t>
        </is>
      </c>
      <c r="AA257" s="187" t="inlineStr">
        <is>
          <t>https://nvd.nist.gov/vuln/detail/CVE-2026-3015</t>
        </is>
      </c>
      <c r="AB257" s="187" t="inlineStr">
        <is>
          <t>NONE</t>
        </is>
      </c>
      <c r="AC257" s="187" t="n">
        <v>0</v>
      </c>
      <c r="AD257" s="187" t="inlineStr"/>
    </row>
    <row r="258">
      <c r="A258" s="187" t="inlineStr">
        <is>
          <t>CVE</t>
        </is>
      </c>
      <c r="B258" s="187" t="inlineStr">
        <is>
          <t>CVE-2026-3016</t>
        </is>
      </c>
      <c r="C258" s="187"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258" s="187" t="n">
        <v>8.800000000000001</v>
      </c>
      <c r="E258" s="187" t="inlineStr">
        <is>
          <t>HIGH</t>
        </is>
      </c>
      <c r="F258" s="187" t="n">
        <v>2</v>
      </c>
      <c r="G258" s="187" t="n">
        <v>3</v>
      </c>
      <c r="H258" s="187" t="inlineStr">
        <is>
          <t>HIGH</t>
        </is>
      </c>
      <c r="I258" s="187" t="n">
        <v>14.8</v>
      </c>
      <c r="J258" s="187" t="inlineStr">
        <is>
          <t>NO</t>
        </is>
      </c>
      <c r="K258" s="187" t="inlineStr">
        <is>
          <t>https://nvd.nist.gov/vuln/detail/CVE-2026-3016</t>
        </is>
      </c>
      <c r="L258" s="187" t="inlineStr">
        <is>
          <t>2026-02-27 20:47</t>
        </is>
      </c>
      <c r="M258" s="187" t="inlineStr">
        <is>
          <t>CHECK_VENDOR</t>
        </is>
      </c>
      <c r="N258" s="187" t="inlineStr">
        <is>
          <t>See NVD references</t>
        </is>
      </c>
      <c r="O258" s="187" t="inlineStr">
        <is>
          <t>Apply vendor patches</t>
        </is>
      </c>
      <c r="P258" s="187" t="inlineStr">
        <is>
          <t>utt 810g 3.0 | utt 810g_firmware *</t>
        </is>
      </c>
      <c r="Q258" s="187" t="inlineStr">
        <is>
          <t>P3</t>
        </is>
      </c>
      <c r="R258" s="187" t="inlineStr">
        <is>
          <t>🚨 URGENT: Apply vendor patches immediately | 🔒 Isolate affected systems if patch unavailable | 🛡️ Enable additional monitoring/IDS rules</t>
        </is>
      </c>
      <c r="S258" s="187" t="inlineStr">
        <is>
          <t>CVE - IP enrichment n/a</t>
        </is>
      </c>
      <c r="T258" s="187" t="n">
        <v>0.0008</v>
      </c>
      <c r="U258" s="187" t="n">
        <v>0.2442</v>
      </c>
      <c r="V258" s="187" t="inlineStr">
        <is>
          <t>T1203:Exploitation for Client Execution</t>
        </is>
      </c>
      <c r="W258" s="187" t="n">
        <v>1</v>
      </c>
      <c r="X258" s="187" t="inlineStr">
        <is>
          <t>LOW (40%)</t>
        </is>
      </c>
      <c r="Y258" s="187" t="inlineStr">
        <is>
          <t>UNLIKELY</t>
        </is>
      </c>
      <c r="Z258" s="187" t="inlineStr">
        <is>
          <t>CHECK_VENDOR</t>
        </is>
      </c>
      <c r="AA258" s="187" t="inlineStr">
        <is>
          <t>https://nvd.nist.gov/vuln/detail/CVE-2026-3016</t>
        </is>
      </c>
      <c r="AB258" s="187" t="inlineStr">
        <is>
          <t>NONE</t>
        </is>
      </c>
      <c r="AC258" s="187" t="n">
        <v>0</v>
      </c>
      <c r="AD258" s="187" t="inlineStr"/>
    </row>
    <row r="259">
      <c r="A259" s="187" t="inlineStr">
        <is>
          <t>CVE</t>
        </is>
      </c>
      <c r="B259" s="187" t="inlineStr">
        <is>
          <t>CVE-2026-22567</t>
        </is>
      </c>
      <c r="C259" s="187" t="inlineStr">
        <is>
          <t>Improper validation of user-supplied input in the ZIA Admin UI could allow an authenticated administrator to initiate backend functions through specific input fields in limited scenarios.</t>
        </is>
      </c>
      <c r="D259" s="187" t="n">
        <v>7.6</v>
      </c>
      <c r="E259" s="187" t="inlineStr">
        <is>
          <t>HIGH</t>
        </is>
      </c>
      <c r="F259" s="187" t="n">
        <v>2</v>
      </c>
      <c r="G259" s="187" t="n">
        <v>3</v>
      </c>
      <c r="H259" s="187" t="inlineStr">
        <is>
          <t>HIGH</t>
        </is>
      </c>
      <c r="I259" s="187" t="n">
        <v>13.6</v>
      </c>
      <c r="J259" s="187" t="inlineStr">
        <is>
          <t>NO</t>
        </is>
      </c>
      <c r="K259" s="187" t="inlineStr">
        <is>
          <t>https://nvd.nist.gov/vuln/detail/CVE-2026-22567</t>
        </is>
      </c>
      <c r="L259" s="187" t="inlineStr">
        <is>
          <t>2026-02-27 20:47</t>
        </is>
      </c>
      <c r="M259" s="187" t="inlineStr">
        <is>
          <t>YES</t>
        </is>
      </c>
      <c r="N259" s="187" t="inlineStr">
        <is>
          <t>https://help.zscaler.com/zia/release-upgrade-summary-2025?applicable_category=zscalertwo.net&amp;deployment_date=2025-12-17&amp;id=1538575</t>
        </is>
      </c>
      <c r="O259" s="187" t="inlineStr">
        <is>
          <t>Apply vendor patches</t>
        </is>
      </c>
      <c r="P259" s="187" t="inlineStr">
        <is>
          <t>zscaler zscaler_internet_access_admin_portal *</t>
        </is>
      </c>
      <c r="Q259" s="187" t="inlineStr">
        <is>
          <t>P3</t>
        </is>
      </c>
      <c r="R259" s="187" t="inlineStr">
        <is>
          <t>🚨 URGENT: Apply vendor patches immediately | 🔒 Isolate affected systems if patch unavailable | 🛡️ Enable additional monitoring/IDS rules</t>
        </is>
      </c>
      <c r="S259" s="187" t="inlineStr">
        <is>
          <t>CVE - IP enrichment n/a</t>
        </is>
      </c>
      <c r="T259" s="187" t="n">
        <v>0.0005999999999999999</v>
      </c>
      <c r="U259" s="187" t="n">
        <v>0.1732</v>
      </c>
      <c r="V259" s="187" t="inlineStr">
        <is>
          <t>T1190:Exploit Public-Facing Application</t>
        </is>
      </c>
      <c r="W259" s="187" t="n">
        <v>1</v>
      </c>
      <c r="X259" s="187" t="inlineStr">
        <is>
          <t>LOW (40%)</t>
        </is>
      </c>
      <c r="Y259" s="187" t="inlineStr">
        <is>
          <t>UNLIKELY</t>
        </is>
      </c>
      <c r="Z259" s="187" t="inlineStr">
        <is>
          <t>PATCH_AVAILABLE</t>
        </is>
      </c>
      <c r="AA259" s="187" t="inlineStr">
        <is>
          <t>https://nvd.nist.gov/vuln/detail/CVE-2026-22567</t>
        </is>
      </c>
      <c r="AB259" s="187" t="inlineStr">
        <is>
          <t>NONE</t>
        </is>
      </c>
      <c r="AC259" s="187" t="n">
        <v>0</v>
      </c>
      <c r="AD259" s="187" t="inlineStr"/>
    </row>
    <row r="260">
      <c r="A260" s="188" t="inlineStr">
        <is>
          <t>CVE</t>
        </is>
      </c>
      <c r="B260" s="188" t="inlineStr">
        <is>
          <t>CVE-2026-22568</t>
        </is>
      </c>
      <c r="C260" s="188" t="inlineStr">
        <is>
          <t>Improper neutralization of special elements in user-supplied input within the ZIA Admin UI could allow an authenticated administrator to access or retrieve unauthorized internal information in rare conditions.</t>
        </is>
      </c>
      <c r="D260" s="188" t="n">
        <v>5.5</v>
      </c>
      <c r="E260" s="188" t="inlineStr">
        <is>
          <t>MEDIUM</t>
        </is>
      </c>
      <c r="F260" s="188" t="n">
        <v>2</v>
      </c>
      <c r="G260" s="188" t="n">
        <v>2</v>
      </c>
      <c r="H260" s="188" t="inlineStr">
        <is>
          <t>MEDIUM</t>
        </is>
      </c>
      <c r="I260" s="188" t="n">
        <v>9.5</v>
      </c>
      <c r="J260" s="188" t="inlineStr">
        <is>
          <t>NO</t>
        </is>
      </c>
      <c r="K260" s="188" t="inlineStr">
        <is>
          <t>https://nvd.nist.gov/vuln/detail/CVE-2026-22568</t>
        </is>
      </c>
      <c r="L260" s="188" t="inlineStr">
        <is>
          <t>2026-02-27 20:47</t>
        </is>
      </c>
      <c r="M260" s="188" t="inlineStr">
        <is>
          <t>YES</t>
        </is>
      </c>
      <c r="N260" s="188" t="inlineStr">
        <is>
          <t>https://help.zscaler.com/zia/release-upgrade-summary-2026?applicable_category=zscaler.net&amp;deployment_date=2026-02-12&amp;id=1538576</t>
        </is>
      </c>
      <c r="O260" s="188" t="inlineStr">
        <is>
          <t>Apply vendor patches</t>
        </is>
      </c>
      <c r="P260" s="188" t="inlineStr">
        <is>
          <t>zscaler zscaler_internet_access_admin_portal *</t>
        </is>
      </c>
      <c r="Q260" s="188" t="inlineStr">
        <is>
          <t>P4</t>
        </is>
      </c>
      <c r="R260" s="188" t="inlineStr">
        <is>
          <t>📅 Schedule patch deployment within 30 days | 🔍 Monitor for exploitation attempts</t>
        </is>
      </c>
      <c r="S260" s="188" t="inlineStr">
        <is>
          <t>CVE - IP enrichment n/a</t>
        </is>
      </c>
      <c r="T260" s="188" t="n">
        <v>0.0005</v>
      </c>
      <c r="U260" s="188" t="n">
        <v>0.1529</v>
      </c>
      <c r="V260" s="188" t="inlineStr">
        <is>
          <t>T1190:Exploit Public-Facing Application</t>
        </is>
      </c>
      <c r="W260" s="188" t="n">
        <v>1</v>
      </c>
      <c r="X260" s="188" t="inlineStr">
        <is>
          <t>LOW (40%)</t>
        </is>
      </c>
      <c r="Y260" s="188" t="inlineStr">
        <is>
          <t>UNLIKELY</t>
        </is>
      </c>
      <c r="Z260" s="188" t="inlineStr">
        <is>
          <t>PATCH_AVAILABLE</t>
        </is>
      </c>
      <c r="AA260" s="188" t="inlineStr">
        <is>
          <t>https://nvd.nist.gov/vuln/detail/CVE-2026-22568</t>
        </is>
      </c>
      <c r="AB260" s="188" t="inlineStr">
        <is>
          <t>NONE</t>
        </is>
      </c>
      <c r="AC260" s="188" t="n">
        <v>0</v>
      </c>
      <c r="AD260" s="188" t="inlineStr"/>
    </row>
    <row r="261">
      <c r="A261" s="188" t="inlineStr">
        <is>
          <t>CVE</t>
        </is>
      </c>
      <c r="B261" s="188" t="inlineStr">
        <is>
          <t>CVE-2026-27511</t>
        </is>
      </c>
      <c r="C261" s="188"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261" s="188" t="n">
        <v>4.3</v>
      </c>
      <c r="E261" s="188" t="inlineStr">
        <is>
          <t>MEDIUM</t>
        </is>
      </c>
      <c r="F261" s="188" t="n">
        <v>2</v>
      </c>
      <c r="G261" s="188" t="n">
        <v>2</v>
      </c>
      <c r="H261" s="188" t="inlineStr">
        <is>
          <t>MEDIUM</t>
        </is>
      </c>
      <c r="I261" s="188" t="n">
        <v>8.300000000000001</v>
      </c>
      <c r="J261" s="188" t="inlineStr">
        <is>
          <t>NO</t>
        </is>
      </c>
      <c r="K261" s="188" t="inlineStr">
        <is>
          <t>https://nvd.nist.gov/vuln/detail/CVE-2026-27511</t>
        </is>
      </c>
      <c r="L261" s="188" t="inlineStr">
        <is>
          <t>2026-02-27 20:47</t>
        </is>
      </c>
      <c r="M261" s="188" t="inlineStr">
        <is>
          <t>CHECK_VENDOR</t>
        </is>
      </c>
      <c r="N261" s="188" t="inlineStr">
        <is>
          <t>See NVD references</t>
        </is>
      </c>
      <c r="O261" s="188" t="inlineStr">
        <is>
          <t>Apply vendor patches</t>
        </is>
      </c>
      <c r="P261" s="188" t="inlineStr">
        <is>
          <t>tenda f3_firmware * | tenda f3 -</t>
        </is>
      </c>
      <c r="Q261" s="188" t="inlineStr">
        <is>
          <t>P4</t>
        </is>
      </c>
      <c r="R261" s="188" t="inlineStr">
        <is>
          <t>📅 Schedule patch deployment within 30 days | 🔍 Monitor for exploitation attempts</t>
        </is>
      </c>
      <c r="S261" s="188" t="inlineStr">
        <is>
          <t>CVE - IP enrichment n/a</t>
        </is>
      </c>
      <c r="T261" s="188" t="n">
        <v>0.0004</v>
      </c>
      <c r="U261" s="188" t="n">
        <v>0.1041</v>
      </c>
      <c r="V261" s="188" t="inlineStr">
        <is>
          <t>T1190:Exploit Public-Facing Application</t>
        </is>
      </c>
      <c r="W261" s="188" t="n">
        <v>1</v>
      </c>
      <c r="X261" s="188" t="inlineStr">
        <is>
          <t>LOW (40%)</t>
        </is>
      </c>
      <c r="Y261" s="188" t="inlineStr">
        <is>
          <t>UNLIKELY</t>
        </is>
      </c>
      <c r="Z261" s="188" t="inlineStr">
        <is>
          <t>CHECK_VENDOR</t>
        </is>
      </c>
      <c r="AA261" s="188" t="inlineStr">
        <is>
          <t>https://nvd.nist.gov/vuln/detail/CVE-2026-27511</t>
        </is>
      </c>
      <c r="AB261" s="188" t="inlineStr">
        <is>
          <t>NONE</t>
        </is>
      </c>
      <c r="AC261" s="188" t="n">
        <v>0</v>
      </c>
      <c r="AD261" s="188" t="inlineStr"/>
    </row>
    <row r="262">
      <c r="A262" s="188" t="inlineStr">
        <is>
          <t>CVE</t>
        </is>
      </c>
      <c r="B262" s="188" t="inlineStr">
        <is>
          <t>CVE-2026-27512</t>
        </is>
      </c>
      <c r="C262" s="188"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262" s="188" t="n">
        <v>6.1</v>
      </c>
      <c r="E262" s="188" t="inlineStr">
        <is>
          <t>MEDIUM</t>
        </is>
      </c>
      <c r="F262" s="188" t="n">
        <v>2</v>
      </c>
      <c r="G262" s="188" t="n">
        <v>2</v>
      </c>
      <c r="H262" s="188" t="inlineStr">
        <is>
          <t>MEDIUM</t>
        </is>
      </c>
      <c r="I262" s="188" t="n">
        <v>10.1</v>
      </c>
      <c r="J262" s="188" t="inlineStr">
        <is>
          <t>NO</t>
        </is>
      </c>
      <c r="K262" s="188" t="inlineStr">
        <is>
          <t>https://nvd.nist.gov/vuln/detail/CVE-2026-27512</t>
        </is>
      </c>
      <c r="L262" s="188" t="inlineStr">
        <is>
          <t>2026-02-27 20:47</t>
        </is>
      </c>
      <c r="M262" s="188" t="inlineStr">
        <is>
          <t>CHECK_VENDOR</t>
        </is>
      </c>
      <c r="N262" s="188" t="inlineStr">
        <is>
          <t>See NVD references</t>
        </is>
      </c>
      <c r="O262" s="188" t="inlineStr">
        <is>
          <t>Apply vendor patches</t>
        </is>
      </c>
      <c r="P262" s="188" t="inlineStr">
        <is>
          <t>tenda f3_firmware * | tenda f3 -</t>
        </is>
      </c>
      <c r="Q262" s="188" t="inlineStr">
        <is>
          <t>P4</t>
        </is>
      </c>
      <c r="R262" s="188" t="inlineStr">
        <is>
          <t>📅 Schedule patch deployment within 30 days | 🔍 Monitor for exploitation attempts</t>
        </is>
      </c>
      <c r="S262" s="188" t="inlineStr">
        <is>
          <t>CVE - IP enrichment n/a</t>
        </is>
      </c>
      <c r="T262" s="188" t="n">
        <v>0.0005</v>
      </c>
      <c r="U262" s="188" t="n">
        <v>0.1517</v>
      </c>
      <c r="V262" s="188" t="inlineStr">
        <is>
          <t>T1189:Drive-by Compromise</t>
        </is>
      </c>
      <c r="W262" s="188" t="n">
        <v>1</v>
      </c>
      <c r="X262" s="188" t="inlineStr">
        <is>
          <t>LOW (40%)</t>
        </is>
      </c>
      <c r="Y262" s="188" t="inlineStr">
        <is>
          <t>UNLIKELY</t>
        </is>
      </c>
      <c r="Z262" s="188" t="inlineStr">
        <is>
          <t>CHECK_VENDOR</t>
        </is>
      </c>
      <c r="AA262" s="188" t="inlineStr">
        <is>
          <t>https://nvd.nist.gov/vuln/detail/CVE-2026-27512</t>
        </is>
      </c>
      <c r="AB262" s="188" t="inlineStr">
        <is>
          <t>NONE</t>
        </is>
      </c>
      <c r="AC262" s="188" t="n">
        <v>0</v>
      </c>
      <c r="AD262" s="188" t="inlineStr"/>
    </row>
    <row r="263">
      <c r="A263" s="188" t="inlineStr">
        <is>
          <t>CVE</t>
        </is>
      </c>
      <c r="B263" s="188" t="inlineStr">
        <is>
          <t>CVE-2026-27513</t>
        </is>
      </c>
      <c r="C263" s="188"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263" s="188" t="n">
        <v>4.3</v>
      </c>
      <c r="E263" s="188" t="inlineStr">
        <is>
          <t>MEDIUM</t>
        </is>
      </c>
      <c r="F263" s="188" t="n">
        <v>2</v>
      </c>
      <c r="G263" s="188" t="n">
        <v>2</v>
      </c>
      <c r="H263" s="188" t="inlineStr">
        <is>
          <t>MEDIUM</t>
        </is>
      </c>
      <c r="I263" s="188" t="n">
        <v>8.300000000000001</v>
      </c>
      <c r="J263" s="188" t="inlineStr">
        <is>
          <t>NO</t>
        </is>
      </c>
      <c r="K263" s="188" t="inlineStr">
        <is>
          <t>https://nvd.nist.gov/vuln/detail/CVE-2026-27513</t>
        </is>
      </c>
      <c r="L263" s="188" t="inlineStr">
        <is>
          <t>2026-02-27 20:47</t>
        </is>
      </c>
      <c r="M263" s="188" t="inlineStr">
        <is>
          <t>CHECK_VENDOR</t>
        </is>
      </c>
      <c r="N263" s="188" t="inlineStr">
        <is>
          <t>See NVD references</t>
        </is>
      </c>
      <c r="O263" s="188" t="inlineStr">
        <is>
          <t>Apply vendor patches</t>
        </is>
      </c>
      <c r="P263" s="188" t="inlineStr">
        <is>
          <t>tenda f3_firmware * | tenda f3 -</t>
        </is>
      </c>
      <c r="Q263" s="188" t="inlineStr">
        <is>
          <t>P4</t>
        </is>
      </c>
      <c r="R263" s="188" t="inlineStr">
        <is>
          <t>📅 Schedule patch deployment within 30 days | 🔍 Monitor for exploitation attempts</t>
        </is>
      </c>
      <c r="S263" s="188" t="inlineStr">
        <is>
          <t>CVE - IP enrichment n/a</t>
        </is>
      </c>
      <c r="T263" s="188" t="n">
        <v>0.0002</v>
      </c>
      <c r="U263" s="188" t="n">
        <v>0.0488</v>
      </c>
      <c r="V263" s="188" t="inlineStr">
        <is>
          <t>T1185:Browser Session Hijacking</t>
        </is>
      </c>
      <c r="W263" s="188" t="n">
        <v>1</v>
      </c>
      <c r="X263" s="188" t="inlineStr">
        <is>
          <t>LOW (40%)</t>
        </is>
      </c>
      <c r="Y263" s="188" t="inlineStr">
        <is>
          <t>UNLIKELY</t>
        </is>
      </c>
      <c r="Z263" s="188" t="inlineStr">
        <is>
          <t>CHECK_VENDOR</t>
        </is>
      </c>
      <c r="AA263" s="188" t="inlineStr">
        <is>
          <t>https://nvd.nist.gov/vuln/detail/CVE-2026-27513</t>
        </is>
      </c>
      <c r="AB263" s="188" t="inlineStr">
        <is>
          <t>NONE</t>
        </is>
      </c>
      <c r="AC263" s="188" t="n">
        <v>0</v>
      </c>
      <c r="AD263" s="188" t="inlineStr"/>
    </row>
    <row r="264">
      <c r="A264" s="188" t="inlineStr">
        <is>
          <t>CVE</t>
        </is>
      </c>
      <c r="B264" s="188" t="inlineStr">
        <is>
          <t>CVE-2026-27514</t>
        </is>
      </c>
      <c r="C264" s="188"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264" s="188" t="n">
        <v>6.5</v>
      </c>
      <c r="E264" s="188" t="inlineStr">
        <is>
          <t>MEDIUM</t>
        </is>
      </c>
      <c r="F264" s="188" t="n">
        <v>2</v>
      </c>
      <c r="G264" s="188" t="n">
        <v>2</v>
      </c>
      <c r="H264" s="188" t="inlineStr">
        <is>
          <t>MEDIUM</t>
        </is>
      </c>
      <c r="I264" s="188" t="n">
        <v>10.5</v>
      </c>
      <c r="J264" s="188" t="inlineStr">
        <is>
          <t>NO</t>
        </is>
      </c>
      <c r="K264" s="188" t="inlineStr">
        <is>
          <t>https://nvd.nist.gov/vuln/detail/CVE-2026-27514</t>
        </is>
      </c>
      <c r="L264" s="188" t="inlineStr">
        <is>
          <t>2026-02-27 20:47</t>
        </is>
      </c>
      <c r="M264" s="188" t="inlineStr">
        <is>
          <t>CHECK_VENDOR</t>
        </is>
      </c>
      <c r="N264" s="188" t="inlineStr">
        <is>
          <t>See NVD references</t>
        </is>
      </c>
      <c r="O264" s="188" t="inlineStr">
        <is>
          <t>Apply vendor patches</t>
        </is>
      </c>
      <c r="P264" s="188" t="inlineStr">
        <is>
          <t>tenda f3_firmware * | tenda f3 -</t>
        </is>
      </c>
      <c r="Q264" s="188" t="inlineStr">
        <is>
          <t>P4</t>
        </is>
      </c>
      <c r="R264" s="188" t="inlineStr">
        <is>
          <t>📅 Schedule patch deployment within 30 days | 🔍 Monitor for exploitation attempts</t>
        </is>
      </c>
      <c r="S264" s="188" t="inlineStr">
        <is>
          <t>CVE - IP enrichment n/a</t>
        </is>
      </c>
      <c r="T264" s="188" t="n">
        <v>0.0004</v>
      </c>
      <c r="U264" s="188" t="n">
        <v>0.1245</v>
      </c>
      <c r="V264" s="188" t="inlineStr">
        <is>
          <t>T1190:Exploit Public-Facing Application</t>
        </is>
      </c>
      <c r="W264" s="188" t="n">
        <v>1</v>
      </c>
      <c r="X264" s="188" t="inlineStr">
        <is>
          <t>LOW (40%)</t>
        </is>
      </c>
      <c r="Y264" s="188" t="inlineStr">
        <is>
          <t>UNLIKELY</t>
        </is>
      </c>
      <c r="Z264" s="188" t="inlineStr">
        <is>
          <t>CHECK_VENDOR</t>
        </is>
      </c>
      <c r="AA264" s="188" t="inlineStr">
        <is>
          <t>https://nvd.nist.gov/vuln/detail/CVE-2026-27514</t>
        </is>
      </c>
      <c r="AB264" s="188" t="inlineStr">
        <is>
          <t>NONE</t>
        </is>
      </c>
      <c r="AC264" s="188" t="n">
        <v>0</v>
      </c>
      <c r="AD264" s="188" t="inlineStr"/>
    </row>
    <row r="265">
      <c r="A265" s="188" t="inlineStr">
        <is>
          <t>CVE</t>
        </is>
      </c>
      <c r="B265" s="188" t="inlineStr">
        <is>
          <t>CVE-2026-2698</t>
        </is>
      </c>
      <c r="C265" s="188" t="inlineStr">
        <is>
          <t>An improper access control vulnerability exists where an authenticated user could access areas outside of their authorized scope.</t>
        </is>
      </c>
      <c r="D265" s="188" t="n">
        <v>6.5</v>
      </c>
      <c r="E265" s="188" t="inlineStr">
        <is>
          <t>MEDIUM</t>
        </is>
      </c>
      <c r="F265" s="188" t="n">
        <v>2</v>
      </c>
      <c r="G265" s="188" t="n">
        <v>2</v>
      </c>
      <c r="H265" s="188" t="inlineStr">
        <is>
          <t>MEDIUM</t>
        </is>
      </c>
      <c r="I265" s="188" t="n">
        <v>10.5</v>
      </c>
      <c r="J265" s="188" t="inlineStr">
        <is>
          <t>NO</t>
        </is>
      </c>
      <c r="K265" s="188" t="inlineStr">
        <is>
          <t>https://nvd.nist.gov/vuln/detail/CVE-2026-2698</t>
        </is>
      </c>
      <c r="L265" s="188" t="inlineStr">
        <is>
          <t>2026-02-27 20:47</t>
        </is>
      </c>
      <c r="M265" s="188" t="inlineStr">
        <is>
          <t>CHECK_VENDOR</t>
        </is>
      </c>
      <c r="N265" s="188" t="inlineStr">
        <is>
          <t>See NVD references</t>
        </is>
      </c>
      <c r="O265" s="188" t="inlineStr">
        <is>
          <t>Apply vendor patches</t>
        </is>
      </c>
      <c r="P265" s="188" t="inlineStr">
        <is>
          <t>tenable security_center *</t>
        </is>
      </c>
      <c r="Q265" s="188" t="inlineStr">
        <is>
          <t>P4</t>
        </is>
      </c>
      <c r="R265" s="188" t="inlineStr">
        <is>
          <t>📅 Schedule patch deployment within 30 days | 🔍 Monitor for exploitation attempts</t>
        </is>
      </c>
      <c r="S265" s="188" t="inlineStr">
        <is>
          <t>CVE - IP enrichment n/a</t>
        </is>
      </c>
      <c r="T265" s="188" t="n">
        <v>0.0003</v>
      </c>
      <c r="U265" s="188" t="n">
        <v>0.0772</v>
      </c>
      <c r="V265" s="188" t="inlineStr">
        <is>
          <t>T1190:Exploit Public-Facing Application</t>
        </is>
      </c>
      <c r="W265" s="188" t="n">
        <v>1</v>
      </c>
      <c r="X265" s="188" t="inlineStr">
        <is>
          <t>LOW (40%)</t>
        </is>
      </c>
      <c r="Y265" s="188" t="inlineStr">
        <is>
          <t>UNLIKELY</t>
        </is>
      </c>
      <c r="Z265" s="188" t="inlineStr">
        <is>
          <t>CHECK_VENDOR</t>
        </is>
      </c>
      <c r="AA265" s="188" t="inlineStr">
        <is>
          <t>https://nvd.nist.gov/vuln/detail/CVE-2026-2698</t>
        </is>
      </c>
      <c r="AB265" s="188" t="inlineStr">
        <is>
          <t>NONE</t>
        </is>
      </c>
      <c r="AC265" s="188" t="n">
        <v>0</v>
      </c>
      <c r="AD265" s="188" t="inlineStr"/>
    </row>
    <row r="266">
      <c r="A266" s="188" t="inlineStr">
        <is>
          <t>CVE</t>
        </is>
      </c>
      <c r="B266" s="188" t="inlineStr">
        <is>
          <t>CVE-2026-26464</t>
        </is>
      </c>
      <c r="C266" s="188"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266" s="188" t="n">
        <v>6.1</v>
      </c>
      <c r="E266" s="188" t="inlineStr">
        <is>
          <t>MEDIUM</t>
        </is>
      </c>
      <c r="F266" s="188" t="n">
        <v>2</v>
      </c>
      <c r="G266" s="188" t="n">
        <v>2</v>
      </c>
      <c r="H266" s="188" t="inlineStr">
        <is>
          <t>MEDIUM</t>
        </is>
      </c>
      <c r="I266" s="188" t="n">
        <v>10.1</v>
      </c>
      <c r="J266" s="188" t="inlineStr">
        <is>
          <t>NO</t>
        </is>
      </c>
      <c r="K266" s="188" t="inlineStr">
        <is>
          <t>https://nvd.nist.gov/vuln/detail/CVE-2026-26464</t>
        </is>
      </c>
      <c r="L266" s="188" t="inlineStr">
        <is>
          <t>2026-02-27 20:47</t>
        </is>
      </c>
      <c r="M266" s="188" t="inlineStr">
        <is>
          <t>CHECK_VENDOR</t>
        </is>
      </c>
      <c r="N266" s="188" t="inlineStr">
        <is>
          <t>See NVD references</t>
        </is>
      </c>
      <c r="O266" s="188" t="inlineStr">
        <is>
          <t>Apply vendor patches</t>
        </is>
      </c>
      <c r="P266" s="188" t="inlineStr">
        <is>
          <t>kashipara society_management_system_portal 1.0</t>
        </is>
      </c>
      <c r="Q266" s="188" t="inlineStr">
        <is>
          <t>P4</t>
        </is>
      </c>
      <c r="R266" s="188" t="inlineStr">
        <is>
          <t>📅 Schedule patch deployment within 30 days | 🔍 Monitor for exploitation attempts</t>
        </is>
      </c>
      <c r="S266" s="188" t="inlineStr">
        <is>
          <t>CVE - IP enrichment n/a</t>
        </is>
      </c>
      <c r="T266" s="188" t="n">
        <v>0.0005</v>
      </c>
      <c r="U266" s="188" t="n">
        <v>0.146</v>
      </c>
      <c r="V266" s="188" t="inlineStr">
        <is>
          <t>T1189:Drive-by Compromise</t>
        </is>
      </c>
      <c r="W266" s="188" t="n">
        <v>1</v>
      </c>
      <c r="X266" s="188" t="inlineStr">
        <is>
          <t>LOW (40%)</t>
        </is>
      </c>
      <c r="Y266" s="188" t="inlineStr">
        <is>
          <t>UNLIKELY</t>
        </is>
      </c>
      <c r="Z266" s="188" t="inlineStr">
        <is>
          <t>CHECK_VENDOR</t>
        </is>
      </c>
      <c r="AA266" s="188" t="inlineStr">
        <is>
          <t>https://nvd.nist.gov/vuln/detail/CVE-2026-26464</t>
        </is>
      </c>
      <c r="AB266" s="188" t="inlineStr">
        <is>
          <t>NONE</t>
        </is>
      </c>
      <c r="AC266" s="188" t="n">
        <v>0</v>
      </c>
      <c r="AD266" s="188" t="inlineStr"/>
    </row>
    <row r="267">
      <c r="A267" s="188" t="inlineStr">
        <is>
          <t>CVE</t>
        </is>
      </c>
      <c r="B267" s="188" t="inlineStr">
        <is>
          <t>CVE-2025-61143</t>
        </is>
      </c>
      <c r="C267" s="188" t="inlineStr">
        <is>
          <t>libtiff up to v4.7.1 was discovered to contain a NULL pointer dereference via the component libtiff/tif_open.c.</t>
        </is>
      </c>
      <c r="D267" s="188" t="n">
        <v>5.5</v>
      </c>
      <c r="E267" s="188" t="inlineStr">
        <is>
          <t>MEDIUM</t>
        </is>
      </c>
      <c r="F267" s="188" t="n">
        <v>2</v>
      </c>
      <c r="G267" s="188" t="n">
        <v>2</v>
      </c>
      <c r="H267" s="188" t="inlineStr">
        <is>
          <t>MEDIUM</t>
        </is>
      </c>
      <c r="I267" s="188" t="n">
        <v>9.5</v>
      </c>
      <c r="J267" s="188" t="inlineStr">
        <is>
          <t>NO</t>
        </is>
      </c>
      <c r="K267" s="188" t="inlineStr">
        <is>
          <t>https://nvd.nist.gov/vuln/detail/CVE-2025-61143</t>
        </is>
      </c>
      <c r="L267" s="188" t="inlineStr">
        <is>
          <t>2026-02-27 20:47</t>
        </is>
      </c>
      <c r="M267" s="188" t="inlineStr">
        <is>
          <t>CHECK_VENDOR</t>
        </is>
      </c>
      <c r="N267" s="188" t="inlineStr">
        <is>
          <t>See NVD references</t>
        </is>
      </c>
      <c r="O267" s="188" t="inlineStr">
        <is>
          <t>Apply vendor patches</t>
        </is>
      </c>
      <c r="P267" s="188" t="inlineStr">
        <is>
          <t>libtiff libtiff *</t>
        </is>
      </c>
      <c r="Q267" s="188" t="inlineStr">
        <is>
          <t>P4</t>
        </is>
      </c>
      <c r="R267" s="188" t="inlineStr">
        <is>
          <t>📅 Schedule patch deployment within 30 days | 🔍 Monitor for exploitation attempts</t>
        </is>
      </c>
      <c r="S267" s="188" t="inlineStr">
        <is>
          <t>CVE - IP enrichment n/a</t>
        </is>
      </c>
      <c r="T267" s="188" t="n">
        <v>0.0001</v>
      </c>
      <c r="U267" s="188" t="n">
        <v>0.0129</v>
      </c>
      <c r="V267" s="188" t="inlineStr">
        <is>
          <t>T1499:Endpoint Denial of Service</t>
        </is>
      </c>
      <c r="W267" s="188" t="n">
        <v>1</v>
      </c>
      <c r="X267" s="188" t="inlineStr">
        <is>
          <t>LOW (40%)</t>
        </is>
      </c>
      <c r="Y267" s="188" t="inlineStr">
        <is>
          <t>UNLIKELY</t>
        </is>
      </c>
      <c r="Z267" s="188" t="inlineStr">
        <is>
          <t>CHECK_VENDOR</t>
        </is>
      </c>
      <c r="AA267" s="188" t="inlineStr">
        <is>
          <t>https://nvd.nist.gov/vuln/detail/CVE-2025-61143</t>
        </is>
      </c>
      <c r="AB267" s="188" t="inlineStr">
        <is>
          <t>NONE</t>
        </is>
      </c>
      <c r="AC267" s="188" t="n">
        <v>0</v>
      </c>
      <c r="AD267" s="188" t="inlineStr"/>
    </row>
    <row r="268">
      <c r="A268" s="187" t="inlineStr">
        <is>
          <t>CVE</t>
        </is>
      </c>
      <c r="B268" s="187" t="inlineStr">
        <is>
          <t>CVE-2025-61144</t>
        </is>
      </c>
      <c r="C268" s="187" t="inlineStr">
        <is>
          <t>libtiff up to v4.7.1 was discovered to contain a stack overflow via the readSeparateStripsIntoBuffer function.</t>
        </is>
      </c>
      <c r="D268" s="187" t="n">
        <v>7.3</v>
      </c>
      <c r="E268" s="187" t="inlineStr">
        <is>
          <t>HIGH</t>
        </is>
      </c>
      <c r="F268" s="187" t="n">
        <v>2</v>
      </c>
      <c r="G268" s="187" t="n">
        <v>3</v>
      </c>
      <c r="H268" s="187" t="inlineStr">
        <is>
          <t>HIGH</t>
        </is>
      </c>
      <c r="I268" s="187" t="n">
        <v>13.3</v>
      </c>
      <c r="J268" s="187" t="inlineStr">
        <is>
          <t>NO</t>
        </is>
      </c>
      <c r="K268" s="187" t="inlineStr">
        <is>
          <t>https://nvd.nist.gov/vuln/detail/CVE-2025-61144</t>
        </is>
      </c>
      <c r="L268" s="187" t="inlineStr">
        <is>
          <t>2026-02-27 20:47</t>
        </is>
      </c>
      <c r="M268" s="187" t="inlineStr">
        <is>
          <t>YES</t>
        </is>
      </c>
      <c r="N268" s="187" t="inlineStr">
        <is>
          <t>https://gitlab.com/libtiff/libtiff/-/commit/09f53a86cf26dfd961925227e59e180db617f26d | https://gitlab.com/libtiff/libtiff/-/commit/88cf9dbb48f6e172629795ecffae35d5052f68aa</t>
        </is>
      </c>
      <c r="O268" s="187" t="inlineStr">
        <is>
          <t>Apply vendor patches</t>
        </is>
      </c>
      <c r="P268" s="187" t="inlineStr">
        <is>
          <t>libtiff libtiff *</t>
        </is>
      </c>
      <c r="Q268" s="187" t="inlineStr">
        <is>
          <t>P3</t>
        </is>
      </c>
      <c r="R268" s="187" t="inlineStr">
        <is>
          <t>🚨 URGENT: Apply vendor patches immediately | 🔒 Isolate affected systems if patch unavailable | 🛡️ Enable additional monitoring/IDS rules</t>
        </is>
      </c>
      <c r="S268" s="187" t="inlineStr">
        <is>
          <t>CVE - IP enrichment n/a</t>
        </is>
      </c>
      <c r="T268" s="187" t="n">
        <v>0.0003</v>
      </c>
      <c r="U268" s="187" t="n">
        <v>0.0684</v>
      </c>
      <c r="V268" s="187" t="inlineStr">
        <is>
          <t>T1203:Exploitation for Client Execution</t>
        </is>
      </c>
      <c r="W268" s="187" t="n">
        <v>1</v>
      </c>
      <c r="X268" s="187" t="inlineStr">
        <is>
          <t>LOW (40%)</t>
        </is>
      </c>
      <c r="Y268" s="187" t="inlineStr">
        <is>
          <t>UNLIKELY</t>
        </is>
      </c>
      <c r="Z268" s="187" t="inlineStr">
        <is>
          <t>PATCH_AVAILABLE</t>
        </is>
      </c>
      <c r="AA268" s="187" t="inlineStr">
        <is>
          <t>https://nvd.nist.gov/vuln/detail/CVE-2025-61144</t>
        </is>
      </c>
      <c r="AB268" s="187" t="inlineStr">
        <is>
          <t>NONE</t>
        </is>
      </c>
      <c r="AC268" s="187" t="n">
        <v>0</v>
      </c>
      <c r="AD268" s="187" t="inlineStr"/>
    </row>
    <row r="269">
      <c r="A269" s="188" t="inlineStr">
        <is>
          <t>CVE</t>
        </is>
      </c>
      <c r="B269" s="188" t="inlineStr">
        <is>
          <t>CVE-2025-61145</t>
        </is>
      </c>
      <c r="C269" s="188" t="inlineStr">
        <is>
          <t>libtiff up to v4.7.1 was discovered to contain a double free via the component tools/tiffcrop.c.</t>
        </is>
      </c>
      <c r="D269" s="188" t="n">
        <v>5</v>
      </c>
      <c r="E269" s="188" t="inlineStr">
        <is>
          <t>MEDIUM</t>
        </is>
      </c>
      <c r="F269" s="188" t="n">
        <v>2</v>
      </c>
      <c r="G269" s="188" t="n">
        <v>2</v>
      </c>
      <c r="H269" s="188" t="inlineStr">
        <is>
          <t>MEDIUM</t>
        </is>
      </c>
      <c r="I269" s="188" t="n">
        <v>9</v>
      </c>
      <c r="J269" s="188" t="inlineStr">
        <is>
          <t>NO</t>
        </is>
      </c>
      <c r="K269" s="188" t="inlineStr">
        <is>
          <t>https://nvd.nist.gov/vuln/detail/CVE-2025-61145</t>
        </is>
      </c>
      <c r="L269" s="188" t="inlineStr">
        <is>
          <t>2026-02-27 20:47</t>
        </is>
      </c>
      <c r="M269" s="188" t="inlineStr">
        <is>
          <t>CHECK_VENDOR</t>
        </is>
      </c>
      <c r="N269" s="188" t="inlineStr">
        <is>
          <t>See NVD references</t>
        </is>
      </c>
      <c r="O269" s="188" t="inlineStr">
        <is>
          <t>Apply vendor patches</t>
        </is>
      </c>
      <c r="P269" s="188" t="inlineStr">
        <is>
          <t>libtiff libtiff *</t>
        </is>
      </c>
      <c r="Q269" s="188" t="inlineStr">
        <is>
          <t>P4</t>
        </is>
      </c>
      <c r="R269" s="188" t="inlineStr">
        <is>
          <t>📅 Schedule patch deployment within 30 days | 🔍 Monitor for exploitation attempts</t>
        </is>
      </c>
      <c r="S269" s="188" t="inlineStr">
        <is>
          <t>CVE - IP enrichment n/a</t>
        </is>
      </c>
      <c r="T269" s="188" t="n">
        <v>0.0001</v>
      </c>
      <c r="U269" s="188" t="n">
        <v>0.0126</v>
      </c>
      <c r="V269" s="188" t="inlineStr">
        <is>
          <t>T1190:Exploit Public-Facing Application</t>
        </is>
      </c>
      <c r="W269" s="188" t="n">
        <v>1</v>
      </c>
      <c r="X269" s="188" t="inlineStr">
        <is>
          <t>LOW (40%)</t>
        </is>
      </c>
      <c r="Y269" s="188" t="inlineStr">
        <is>
          <t>UNLIKELY</t>
        </is>
      </c>
      <c r="Z269" s="188" t="inlineStr">
        <is>
          <t>CHECK_VENDOR</t>
        </is>
      </c>
      <c r="AA269" s="188" t="inlineStr">
        <is>
          <t>https://nvd.nist.gov/vuln/detail/CVE-2025-61145</t>
        </is>
      </c>
      <c r="AB269" s="188" t="inlineStr">
        <is>
          <t>NONE</t>
        </is>
      </c>
      <c r="AC269" s="188" t="n">
        <v>0</v>
      </c>
      <c r="AD269" s="188" t="inlineStr"/>
    </row>
    <row r="270">
      <c r="A270" s="188" t="inlineStr">
        <is>
          <t>CVE</t>
        </is>
      </c>
      <c r="B270" s="188" t="inlineStr">
        <is>
          <t>CVE-2025-61146</t>
        </is>
      </c>
      <c r="C270" s="188" t="inlineStr">
        <is>
          <t>saitoha libsixel until v1.8.7 was discovered to contain a memory leak via the component malloc_stub.c.</t>
        </is>
      </c>
      <c r="D270" s="188" t="n">
        <v>4</v>
      </c>
      <c r="E270" s="188" t="inlineStr">
        <is>
          <t>MEDIUM</t>
        </is>
      </c>
      <c r="F270" s="188" t="n">
        <v>2</v>
      </c>
      <c r="G270" s="188" t="n">
        <v>2</v>
      </c>
      <c r="H270" s="188" t="inlineStr">
        <is>
          <t>MEDIUM</t>
        </is>
      </c>
      <c r="I270" s="188" t="n">
        <v>8</v>
      </c>
      <c r="J270" s="188" t="inlineStr">
        <is>
          <t>NO</t>
        </is>
      </c>
      <c r="K270" s="188" t="inlineStr">
        <is>
          <t>https://nvd.nist.gov/vuln/detail/CVE-2025-61146</t>
        </is>
      </c>
      <c r="L270" s="188" t="inlineStr">
        <is>
          <t>2026-02-27 20:47</t>
        </is>
      </c>
      <c r="M270" s="188" t="inlineStr">
        <is>
          <t>YES</t>
        </is>
      </c>
      <c r="N270" s="188" t="inlineStr">
        <is>
          <t>https://github.com/saitoha/libsixel/commit/e0ba6685262a3679cc5b9009c0c5b7dc8a3f262e | https://github.com/saitoha/libsixel/issues/207</t>
        </is>
      </c>
      <c r="O270" s="188" t="inlineStr">
        <is>
          <t>Apply vendor patches</t>
        </is>
      </c>
      <c r="P270" s="188" t="inlineStr">
        <is>
          <t>libsixel_project libsixel *</t>
        </is>
      </c>
      <c r="Q270" s="188" t="inlineStr">
        <is>
          <t>P4</t>
        </is>
      </c>
      <c r="R270" s="188" t="inlineStr">
        <is>
          <t>📅 Schedule patch deployment within 30 days | 🔍 Monitor for exploitation attempts</t>
        </is>
      </c>
      <c r="S270" s="188" t="inlineStr">
        <is>
          <t>CVE - IP enrichment n/a</t>
        </is>
      </c>
      <c r="T270" s="188" t="n">
        <v>0.0001</v>
      </c>
      <c r="U270" s="188" t="n">
        <v>0.0135</v>
      </c>
      <c r="V270" s="188" t="inlineStr">
        <is>
          <t>T1190:Exploit Public-Facing Application</t>
        </is>
      </c>
      <c r="W270" s="188" t="n">
        <v>1</v>
      </c>
      <c r="X270" s="188" t="inlineStr">
        <is>
          <t>LOW (40%)</t>
        </is>
      </c>
      <c r="Y270" s="188" t="inlineStr">
        <is>
          <t>UNLIKELY</t>
        </is>
      </c>
      <c r="Z270" s="188" t="inlineStr">
        <is>
          <t>PATCH_AVAILABLE</t>
        </is>
      </c>
      <c r="AA270" s="188" t="inlineStr">
        <is>
          <t>https://nvd.nist.gov/vuln/detail/CVE-2025-61146</t>
        </is>
      </c>
      <c r="AB270" s="188" t="inlineStr">
        <is>
          <t>NONE</t>
        </is>
      </c>
      <c r="AC270" s="188" t="n">
        <v>0</v>
      </c>
      <c r="AD270" s="188" t="inlineStr"/>
    </row>
    <row r="271">
      <c r="A271" s="188" t="inlineStr">
        <is>
          <t>CVE</t>
        </is>
      </c>
      <c r="B271" s="188" t="inlineStr">
        <is>
          <t>CVE-2025-61147</t>
        </is>
      </c>
      <c r="C271" s="188" t="inlineStr">
        <is>
          <t>strukturag libde265 commit d9fea9d wa discovered to contain a segmentation fault via the component decoder_context::compute_framedrop_table().</t>
        </is>
      </c>
      <c r="D271" s="188" t="n">
        <v>6.2</v>
      </c>
      <c r="E271" s="188" t="inlineStr">
        <is>
          <t>MEDIUM</t>
        </is>
      </c>
      <c r="F271" s="188" t="n">
        <v>2</v>
      </c>
      <c r="G271" s="188" t="n">
        <v>2</v>
      </c>
      <c r="H271" s="188" t="inlineStr">
        <is>
          <t>MEDIUM</t>
        </is>
      </c>
      <c r="I271" s="188" t="n">
        <v>10.2</v>
      </c>
      <c r="J271" s="188" t="inlineStr">
        <is>
          <t>NO</t>
        </is>
      </c>
      <c r="K271" s="188" t="inlineStr">
        <is>
          <t>https://nvd.nist.gov/vuln/detail/CVE-2025-61147</t>
        </is>
      </c>
      <c r="L271" s="188" t="inlineStr">
        <is>
          <t>2026-02-27 20:47</t>
        </is>
      </c>
      <c r="M271" s="188" t="inlineStr">
        <is>
          <t>CHECK_VENDOR</t>
        </is>
      </c>
      <c r="N271" s="188" t="inlineStr">
        <is>
          <t>See NVD references</t>
        </is>
      </c>
      <c r="O271" s="188" t="inlineStr">
        <is>
          <t>Apply vendor patches</t>
        </is>
      </c>
      <c r="P271" s="188" t="inlineStr">
        <is>
          <t>See CVE details</t>
        </is>
      </c>
      <c r="Q271" s="188" t="inlineStr">
        <is>
          <t>P4</t>
        </is>
      </c>
      <c r="R271" s="188" t="inlineStr">
        <is>
          <t>📅 Schedule patch deployment within 30 days | 🔍 Monitor for exploitation attempts</t>
        </is>
      </c>
      <c r="S271" s="188" t="inlineStr">
        <is>
          <t>CVE - IP enrichment n/a</t>
        </is>
      </c>
      <c r="T271" s="188" t="n">
        <v>0.0001</v>
      </c>
      <c r="U271" s="188" t="n">
        <v>0.0157</v>
      </c>
      <c r="V271" s="188" t="inlineStr">
        <is>
          <t>T1203:Exploitation for Client Execution</t>
        </is>
      </c>
      <c r="W271" s="188" t="n">
        <v>1</v>
      </c>
      <c r="X271" s="188" t="inlineStr">
        <is>
          <t>LOW (40%)</t>
        </is>
      </c>
      <c r="Y271" s="188" t="inlineStr">
        <is>
          <t>UNLIKELY</t>
        </is>
      </c>
      <c r="Z271" s="188" t="inlineStr">
        <is>
          <t>CHECK_VENDOR</t>
        </is>
      </c>
      <c r="AA271" s="188" t="inlineStr">
        <is>
          <t>https://nvd.nist.gov/vuln/detail/CVE-2025-61147</t>
        </is>
      </c>
      <c r="AB271" s="188" t="inlineStr">
        <is>
          <t>NONE</t>
        </is>
      </c>
      <c r="AC271" s="188" t="n">
        <v>0</v>
      </c>
      <c r="AD271" s="188" t="inlineStr"/>
    </row>
    <row r="272">
      <c r="A272" s="187" t="inlineStr">
        <is>
          <t>CVE</t>
        </is>
      </c>
      <c r="B272" s="187" t="inlineStr">
        <is>
          <t>CVE-2025-63945</t>
        </is>
      </c>
      <c r="C272" s="187"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272" s="187" t="n">
        <v>7.4</v>
      </c>
      <c r="E272" s="187" t="inlineStr">
        <is>
          <t>HIGH</t>
        </is>
      </c>
      <c r="F272" s="187" t="n">
        <v>2</v>
      </c>
      <c r="G272" s="187" t="n">
        <v>3</v>
      </c>
      <c r="H272" s="187" t="inlineStr">
        <is>
          <t>HIGH</t>
        </is>
      </c>
      <c r="I272" s="187" t="n">
        <v>13.4</v>
      </c>
      <c r="J272" s="187" t="inlineStr">
        <is>
          <t>NO</t>
        </is>
      </c>
      <c r="K272" s="187" t="inlineStr">
        <is>
          <t>https://nvd.nist.gov/vuln/detail/CVE-2025-63945</t>
        </is>
      </c>
      <c r="L272" s="187" t="inlineStr">
        <is>
          <t>2026-02-27 20:47</t>
        </is>
      </c>
      <c r="M272" s="187" t="inlineStr">
        <is>
          <t>CHECK_VENDOR</t>
        </is>
      </c>
      <c r="N272" s="187" t="inlineStr">
        <is>
          <t>See NVD references</t>
        </is>
      </c>
      <c r="O272" s="187" t="inlineStr">
        <is>
          <t>Apply vendor patches</t>
        </is>
      </c>
      <c r="P272" s="187" t="inlineStr">
        <is>
          <t>tencent ioa *</t>
        </is>
      </c>
      <c r="Q272" s="187" t="inlineStr">
        <is>
          <t>P3</t>
        </is>
      </c>
      <c r="R272" s="187" t="inlineStr">
        <is>
          <t>🚨 URGENT: Apply vendor patches immediately | 🔒 Isolate affected systems if patch unavailable | 🛡️ Enable additional monitoring/IDS rules</t>
        </is>
      </c>
      <c r="S272" s="187" t="inlineStr">
        <is>
          <t>CVE - IP enrichment n/a</t>
        </is>
      </c>
      <c r="T272" s="187" t="n">
        <v>0.0002</v>
      </c>
      <c r="U272" s="187" t="n">
        <v>0.042</v>
      </c>
      <c r="V272" s="187" t="inlineStr">
        <is>
          <t>T1068:Exploitation for Privilege Escalation</t>
        </is>
      </c>
      <c r="W272" s="187" t="n">
        <v>1</v>
      </c>
      <c r="X272" s="187" t="inlineStr">
        <is>
          <t>LOW (40%)</t>
        </is>
      </c>
      <c r="Y272" s="187" t="inlineStr">
        <is>
          <t>UNLIKELY</t>
        </is>
      </c>
      <c r="Z272" s="187" t="inlineStr">
        <is>
          <t>CHECK_VENDOR</t>
        </is>
      </c>
      <c r="AA272" s="187" t="inlineStr">
        <is>
          <t>https://nvd.nist.gov/vuln/detail/CVE-2025-63945</t>
        </is>
      </c>
      <c r="AB272" s="187" t="inlineStr">
        <is>
          <t>NONE</t>
        </is>
      </c>
      <c r="AC272" s="187" t="n">
        <v>0</v>
      </c>
      <c r="AD272" s="187" t="inlineStr"/>
    </row>
    <row r="273">
      <c r="A273" s="187" t="inlineStr">
        <is>
          <t>CVE</t>
        </is>
      </c>
      <c r="B273" s="187" t="inlineStr">
        <is>
          <t>CVE-2025-63946</t>
        </is>
      </c>
      <c r="C273" s="187"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273" s="187" t="n">
        <v>7.4</v>
      </c>
      <c r="E273" s="187" t="inlineStr">
        <is>
          <t>HIGH</t>
        </is>
      </c>
      <c r="F273" s="187" t="n">
        <v>2</v>
      </c>
      <c r="G273" s="187" t="n">
        <v>3</v>
      </c>
      <c r="H273" s="187" t="inlineStr">
        <is>
          <t>HIGH</t>
        </is>
      </c>
      <c r="I273" s="187" t="n">
        <v>13.4</v>
      </c>
      <c r="J273" s="187" t="inlineStr">
        <is>
          <t>NO</t>
        </is>
      </c>
      <c r="K273" s="187" t="inlineStr">
        <is>
          <t>https://nvd.nist.gov/vuln/detail/CVE-2025-63946</t>
        </is>
      </c>
      <c r="L273" s="187" t="inlineStr">
        <is>
          <t>2026-02-27 20:47</t>
        </is>
      </c>
      <c r="M273" s="187" t="inlineStr">
        <is>
          <t>CHECK_VENDOR</t>
        </is>
      </c>
      <c r="N273" s="187" t="inlineStr">
        <is>
          <t>See NVD references</t>
        </is>
      </c>
      <c r="O273" s="187" t="inlineStr">
        <is>
          <t>Apply vendor patches</t>
        </is>
      </c>
      <c r="P273" s="187" t="inlineStr">
        <is>
          <t>tencent pcmanager *</t>
        </is>
      </c>
      <c r="Q273" s="187" t="inlineStr">
        <is>
          <t>P3</t>
        </is>
      </c>
      <c r="R273" s="187" t="inlineStr">
        <is>
          <t>🚨 URGENT: Apply vendor patches immediately | 🔒 Isolate affected systems if patch unavailable | 🛡️ Enable additional monitoring/IDS rules</t>
        </is>
      </c>
      <c r="S273" s="187" t="inlineStr">
        <is>
          <t>CVE - IP enrichment n/a</t>
        </is>
      </c>
      <c r="T273" s="187" t="n">
        <v>0.0002</v>
      </c>
      <c r="U273" s="187" t="n">
        <v>0.042</v>
      </c>
      <c r="V273" s="187" t="inlineStr">
        <is>
          <t>T1068:Exploitation for Privilege Escalation</t>
        </is>
      </c>
      <c r="W273" s="187" t="n">
        <v>1</v>
      </c>
      <c r="X273" s="187" t="inlineStr">
        <is>
          <t>LOW (40%)</t>
        </is>
      </c>
      <c r="Y273" s="187" t="inlineStr">
        <is>
          <t>UNLIKELY</t>
        </is>
      </c>
      <c r="Z273" s="187" t="inlineStr">
        <is>
          <t>CHECK_VENDOR</t>
        </is>
      </c>
      <c r="AA273" s="187" t="inlineStr">
        <is>
          <t>https://nvd.nist.gov/vuln/detail/CVE-2025-63946</t>
        </is>
      </c>
      <c r="AB273" s="187" t="inlineStr">
        <is>
          <t>NONE</t>
        </is>
      </c>
      <c r="AC273" s="187" t="n">
        <v>0</v>
      </c>
      <c r="AD273" s="187" t="inlineStr"/>
    </row>
    <row r="274">
      <c r="A274" s="187" t="inlineStr">
        <is>
          <t>CVE</t>
        </is>
      </c>
      <c r="B274" s="187" t="inlineStr">
        <is>
          <t>CVE-2025-67733</t>
        </is>
      </c>
      <c r="C274" s="187"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274" s="187" t="n">
        <v>8.5</v>
      </c>
      <c r="E274" s="187" t="inlineStr">
        <is>
          <t>HIGH</t>
        </is>
      </c>
      <c r="F274" s="187" t="n">
        <v>2</v>
      </c>
      <c r="G274" s="187" t="n">
        <v>3</v>
      </c>
      <c r="H274" s="187" t="inlineStr">
        <is>
          <t>HIGH</t>
        </is>
      </c>
      <c r="I274" s="187" t="n">
        <v>14.5</v>
      </c>
      <c r="J274" s="187" t="inlineStr">
        <is>
          <t>NO</t>
        </is>
      </c>
      <c r="K274" s="187" t="inlineStr">
        <is>
          <t>https://nvd.nist.gov/vuln/detail/CVE-2025-67733</t>
        </is>
      </c>
      <c r="L274" s="187" t="inlineStr">
        <is>
          <t>2026-02-27 20:47</t>
        </is>
      </c>
      <c r="M274" s="187" t="inlineStr">
        <is>
          <t>YES</t>
        </is>
      </c>
      <c r="N274" s="187" t="inlineStr">
        <is>
          <t>https://github.com/valkey-io/valkey/security/advisories/GHSA-p876-p7q5-hv2m</t>
        </is>
      </c>
      <c r="O274" s="187" t="inlineStr">
        <is>
          <t>Apply vendor patches</t>
        </is>
      </c>
      <c r="P274" s="187" t="inlineStr">
        <is>
          <t>lfprojects valkey *</t>
        </is>
      </c>
      <c r="Q274" s="187" t="inlineStr">
        <is>
          <t>P3</t>
        </is>
      </c>
      <c r="R274" s="187" t="inlineStr">
        <is>
          <t>🚨 URGENT: Apply vendor patches immediately | 🔒 Isolate affected systems if patch unavailable | 🛡️ Enable additional monitoring/IDS rules</t>
        </is>
      </c>
      <c r="S274" s="187" t="inlineStr">
        <is>
          <t>CVE - IP enrichment n/a</t>
        </is>
      </c>
      <c r="T274" s="187" t="n">
        <v>0.0001</v>
      </c>
      <c r="U274" s="187" t="n">
        <v>0.03</v>
      </c>
      <c r="V274" s="187" t="inlineStr">
        <is>
          <t>T1190:Exploit Public-Facing Application</t>
        </is>
      </c>
      <c r="W274" s="187" t="n">
        <v>1</v>
      </c>
      <c r="X274" s="187" t="inlineStr">
        <is>
          <t>LOW (40%)</t>
        </is>
      </c>
      <c r="Y274" s="187" t="inlineStr">
        <is>
          <t>UNLIKELY</t>
        </is>
      </c>
      <c r="Z274" s="187" t="inlineStr">
        <is>
          <t>PATCH_AVAILABLE</t>
        </is>
      </c>
      <c r="AA274" s="187" t="inlineStr">
        <is>
          <t>https://nvd.nist.gov/vuln/detail/CVE-2025-67733</t>
        </is>
      </c>
      <c r="AB274" s="187" t="inlineStr">
        <is>
          <t>NONE</t>
        </is>
      </c>
      <c r="AC274" s="187" t="n">
        <v>0</v>
      </c>
      <c r="AD274" s="187" t="inlineStr"/>
    </row>
    <row r="275">
      <c r="A275" s="187" t="inlineStr">
        <is>
          <t>CVE</t>
        </is>
      </c>
      <c r="B275" s="187" t="inlineStr">
        <is>
          <t>CVE-2025-70329</t>
        </is>
      </c>
      <c r="C275" s="187"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275" s="187" t="n">
        <v>8</v>
      </c>
      <c r="E275" s="187" t="inlineStr">
        <is>
          <t>HIGH</t>
        </is>
      </c>
      <c r="F275" s="187" t="n">
        <v>2</v>
      </c>
      <c r="G275" s="187" t="n">
        <v>3</v>
      </c>
      <c r="H275" s="187" t="inlineStr">
        <is>
          <t>HIGH</t>
        </is>
      </c>
      <c r="I275" s="187" t="n">
        <v>14</v>
      </c>
      <c r="J275" s="187" t="inlineStr">
        <is>
          <t>NO</t>
        </is>
      </c>
      <c r="K275" s="187" t="inlineStr">
        <is>
          <t>https://nvd.nist.gov/vuln/detail/CVE-2025-70329</t>
        </is>
      </c>
      <c r="L275" s="187" t="inlineStr">
        <is>
          <t>2026-02-27 20:47</t>
        </is>
      </c>
      <c r="M275" s="187" t="inlineStr">
        <is>
          <t>CHECK_VENDOR</t>
        </is>
      </c>
      <c r="N275" s="187" t="inlineStr">
        <is>
          <t>See NVD references</t>
        </is>
      </c>
      <c r="O275" s="187" t="inlineStr">
        <is>
          <t>Apply vendor patches</t>
        </is>
      </c>
      <c r="P275" s="187" t="inlineStr">
        <is>
          <t>totolink x5000r - | totolink x5000r_firmware 9.1.0cu.2415_b20250515</t>
        </is>
      </c>
      <c r="Q275" s="187" t="inlineStr">
        <is>
          <t>P3</t>
        </is>
      </c>
      <c r="R275" s="187" t="inlineStr">
        <is>
          <t>🚨 URGENT: Apply vendor patches immediately | 🔒 Isolate affected systems if patch unavailable | 🛡️ Enable additional monitoring/IDS rules</t>
        </is>
      </c>
      <c r="S275" s="187" t="inlineStr">
        <is>
          <t>CVE - IP enrichment n/a</t>
        </is>
      </c>
      <c r="T275" s="187" t="n">
        <v>0.0049</v>
      </c>
      <c r="U275" s="187" t="n">
        <v>0.6495</v>
      </c>
      <c r="V275" s="187" t="inlineStr">
        <is>
          <t>T1059:Command and Scripting Interpreter</t>
        </is>
      </c>
      <c r="W275" s="187" t="n">
        <v>1</v>
      </c>
      <c r="X275" s="187" t="inlineStr">
        <is>
          <t>LOW (40%)</t>
        </is>
      </c>
      <c r="Y275" s="187" t="inlineStr">
        <is>
          <t>UNLIKELY</t>
        </is>
      </c>
      <c r="Z275" s="187" t="inlineStr">
        <is>
          <t>CHECK_VENDOR</t>
        </is>
      </c>
      <c r="AA275" s="187" t="inlineStr">
        <is>
          <t>https://nvd.nist.gov/vuln/detail/CVE-2025-70329</t>
        </is>
      </c>
      <c r="AB275" s="187" t="inlineStr">
        <is>
          <t>NONE</t>
        </is>
      </c>
      <c r="AC275" s="187" t="n">
        <v>0</v>
      </c>
      <c r="AD275" s="187" t="inlineStr"/>
    </row>
    <row r="276">
      <c r="A276" s="187" t="inlineStr">
        <is>
          <t>CVE</t>
        </is>
      </c>
      <c r="B276" s="187" t="inlineStr">
        <is>
          <t>CVE-2026-21863</t>
        </is>
      </c>
      <c r="C276" s="187"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276" s="187" t="n">
        <v>7.5</v>
      </c>
      <c r="E276" s="187" t="inlineStr">
        <is>
          <t>HIGH</t>
        </is>
      </c>
      <c r="F276" s="187" t="n">
        <v>2</v>
      </c>
      <c r="G276" s="187" t="n">
        <v>3</v>
      </c>
      <c r="H276" s="187" t="inlineStr">
        <is>
          <t>HIGH</t>
        </is>
      </c>
      <c r="I276" s="187" t="n">
        <v>13.5</v>
      </c>
      <c r="J276" s="187" t="inlineStr">
        <is>
          <t>NO</t>
        </is>
      </c>
      <c r="K276" s="187" t="inlineStr">
        <is>
          <t>https://nvd.nist.gov/vuln/detail/CVE-2026-21863</t>
        </is>
      </c>
      <c r="L276" s="187" t="inlineStr">
        <is>
          <t>2026-02-27 20:47</t>
        </is>
      </c>
      <c r="M276" s="187" t="inlineStr">
        <is>
          <t>YES</t>
        </is>
      </c>
      <c r="N276" s="187" t="inlineStr">
        <is>
          <t>https://github.com/valkey-io/valkey/security/advisories/GHSA-c677-q3wr-gggq</t>
        </is>
      </c>
      <c r="O276" s="187" t="inlineStr">
        <is>
          <t>Apply vendor patches</t>
        </is>
      </c>
      <c r="P276" s="187" t="inlineStr">
        <is>
          <t>lfprojects valkey *</t>
        </is>
      </c>
      <c r="Q276" s="187" t="inlineStr">
        <is>
          <t>P3</t>
        </is>
      </c>
      <c r="R276" s="187" t="inlineStr">
        <is>
          <t>🚨 URGENT: Apply vendor patches immediately | 🔒 Isolate affected systems if patch unavailable | 🛡️ Enable additional monitoring/IDS rules</t>
        </is>
      </c>
      <c r="S276" s="187" t="inlineStr">
        <is>
          <t>CVE - IP enrichment n/a</t>
        </is>
      </c>
      <c r="T276" s="187" t="n">
        <v>0.0001</v>
      </c>
      <c r="U276" s="187" t="n">
        <v>0.0224</v>
      </c>
      <c r="V276" s="187" t="inlineStr">
        <is>
          <t>T1203:Exploitation for Client Execution</t>
        </is>
      </c>
      <c r="W276" s="187" t="n">
        <v>1</v>
      </c>
      <c r="X276" s="187" t="inlineStr">
        <is>
          <t>LOW (40%)</t>
        </is>
      </c>
      <c r="Y276" s="187" t="inlineStr">
        <is>
          <t>UNLIKELY</t>
        </is>
      </c>
      <c r="Z276" s="187" t="inlineStr">
        <is>
          <t>PATCH_AVAILABLE</t>
        </is>
      </c>
      <c r="AA276" s="187" t="inlineStr">
        <is>
          <t>https://nvd.nist.gov/vuln/detail/CVE-2026-21863</t>
        </is>
      </c>
      <c r="AB276" s="187" t="inlineStr">
        <is>
          <t>NONE</t>
        </is>
      </c>
      <c r="AC276" s="187" t="n">
        <v>0</v>
      </c>
      <c r="AD276" s="187" t="inlineStr"/>
    </row>
    <row r="277">
      <c r="A277" s="187" t="inlineStr">
        <is>
          <t>CVE</t>
        </is>
      </c>
      <c r="B277" s="187" t="inlineStr">
        <is>
          <t>CVE-2026-27623</t>
        </is>
      </c>
      <c r="C277" s="187"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277" s="187" t="n">
        <v>7.5</v>
      </c>
      <c r="E277" s="187" t="inlineStr">
        <is>
          <t>HIGH</t>
        </is>
      </c>
      <c r="F277" s="187" t="n">
        <v>2</v>
      </c>
      <c r="G277" s="187" t="n">
        <v>3</v>
      </c>
      <c r="H277" s="187" t="inlineStr">
        <is>
          <t>HIGH</t>
        </is>
      </c>
      <c r="I277" s="187" t="n">
        <v>13.5</v>
      </c>
      <c r="J277" s="187" t="inlineStr">
        <is>
          <t>NO</t>
        </is>
      </c>
      <c r="K277" s="187" t="inlineStr">
        <is>
          <t>https://nvd.nist.gov/vuln/detail/CVE-2026-27623</t>
        </is>
      </c>
      <c r="L277" s="187" t="inlineStr">
        <is>
          <t>2026-02-27 20:47</t>
        </is>
      </c>
      <c r="M277" s="187" t="inlineStr">
        <is>
          <t>YES</t>
        </is>
      </c>
      <c r="N277" s="187" t="inlineStr">
        <is>
          <t>https://github.com/valkey-io/valkey/security/advisories/GHSA-93p9-5vc7-8wgr</t>
        </is>
      </c>
      <c r="O277" s="187" t="inlineStr">
        <is>
          <t>Apply vendor patches</t>
        </is>
      </c>
      <c r="P277" s="187" t="inlineStr">
        <is>
          <t>lfprojects valkey *</t>
        </is>
      </c>
      <c r="Q277" s="187" t="inlineStr">
        <is>
          <t>P3</t>
        </is>
      </c>
      <c r="R277" s="187" t="inlineStr">
        <is>
          <t>🚨 URGENT: Apply vendor patches immediately | 🔒 Isolate affected systems if patch unavailable | 🛡️ Enable additional monitoring/IDS rules</t>
        </is>
      </c>
      <c r="S277" s="187" t="inlineStr">
        <is>
          <t>CVE - IP enrichment n/a</t>
        </is>
      </c>
      <c r="T277" s="187" t="n">
        <v>0.0008</v>
      </c>
      <c r="U277" s="187" t="n">
        <v>0.246</v>
      </c>
      <c r="V277" s="187" t="inlineStr">
        <is>
          <t>T1190:Exploit Public-Facing Application</t>
        </is>
      </c>
      <c r="W277" s="187" t="n">
        <v>1</v>
      </c>
      <c r="X277" s="187" t="inlineStr">
        <is>
          <t>LOW (40%)</t>
        </is>
      </c>
      <c r="Y277" s="187" t="inlineStr">
        <is>
          <t>UNLIKELY</t>
        </is>
      </c>
      <c r="Z277" s="187" t="inlineStr">
        <is>
          <t>PATCH_AVAILABLE</t>
        </is>
      </c>
      <c r="AA277" s="187" t="inlineStr">
        <is>
          <t>https://nvd.nist.gov/vuln/detail/CVE-2026-27623</t>
        </is>
      </c>
      <c r="AB277" s="187" t="inlineStr">
        <is>
          <t>NONE</t>
        </is>
      </c>
      <c r="AC277" s="187" t="n">
        <v>0</v>
      </c>
      <c r="AD277" s="187" t="inlineStr"/>
    </row>
    <row r="278">
      <c r="A278" s="187" t="inlineStr">
        <is>
          <t>CVE</t>
        </is>
      </c>
      <c r="B278" s="187" t="inlineStr">
        <is>
          <t>CVE-2025-68930</t>
        </is>
      </c>
      <c r="C278" s="187"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278" s="187" t="n">
        <v>7.1</v>
      </c>
      <c r="E278" s="187" t="inlineStr">
        <is>
          <t>HIGH</t>
        </is>
      </c>
      <c r="F278" s="187" t="n">
        <v>2</v>
      </c>
      <c r="G278" s="187" t="n">
        <v>3</v>
      </c>
      <c r="H278" s="187" t="inlineStr">
        <is>
          <t>HIGH</t>
        </is>
      </c>
      <c r="I278" s="187" t="n">
        <v>13.1</v>
      </c>
      <c r="J278" s="187" t="inlineStr">
        <is>
          <t>NO</t>
        </is>
      </c>
      <c r="K278" s="187" t="inlineStr">
        <is>
          <t>https://nvd.nist.gov/vuln/detail/CVE-2025-68930</t>
        </is>
      </c>
      <c r="L278" s="187" t="inlineStr">
        <is>
          <t>2026-02-27 20:47</t>
        </is>
      </c>
      <c r="M278" s="187" t="inlineStr">
        <is>
          <t>YES</t>
        </is>
      </c>
      <c r="N278" s="187" t="inlineStr">
        <is>
          <t>https://github.com/traccar/traccar/security/advisories/GHSA-69x6-wcx2-vghp</t>
        </is>
      </c>
      <c r="O278" s="187" t="inlineStr">
        <is>
          <t>https://github.com/traccar/traccar/security/advisories/GHSA-69x6-wcx2-vghp</t>
        </is>
      </c>
      <c r="P278" s="187" t="inlineStr">
        <is>
          <t>traccar traccar *</t>
        </is>
      </c>
      <c r="Q278" s="187" t="inlineStr">
        <is>
          <t>P3</t>
        </is>
      </c>
      <c r="R278" s="187" t="inlineStr">
        <is>
          <t>🚨 URGENT: Apply vendor patches immediately | 🔒 Isolate affected systems if patch unavailable | 🛡️ Enable additional monitoring/IDS rules</t>
        </is>
      </c>
      <c r="S278" s="187" t="inlineStr">
        <is>
          <t>CVE - IP enrichment n/a</t>
        </is>
      </c>
      <c r="T278" s="187" t="n">
        <v>0.0002</v>
      </c>
      <c r="U278" s="187" t="n">
        <v>0.0621</v>
      </c>
      <c r="V278" s="187" t="inlineStr">
        <is>
          <t>T1190:Exploit Public-Facing Application | T1552:Unsecured Credentials</t>
        </is>
      </c>
      <c r="W278" s="187" t="n">
        <v>1</v>
      </c>
      <c r="X278" s="187" t="inlineStr">
        <is>
          <t>LOW (40%)</t>
        </is>
      </c>
      <c r="Y278" s="187" t="inlineStr">
        <is>
          <t>UNLIKELY</t>
        </is>
      </c>
      <c r="Z278" s="187" t="inlineStr">
        <is>
          <t>PATCH_AVAILABLE</t>
        </is>
      </c>
      <c r="AA278" s="187" t="inlineStr">
        <is>
          <t>https://nvd.nist.gov/vuln/detail/CVE-2025-68930</t>
        </is>
      </c>
      <c r="AB278" s="187" t="inlineStr">
        <is>
          <t>NONE</t>
        </is>
      </c>
      <c r="AC278" s="187" t="n">
        <v>0</v>
      </c>
      <c r="AD278" s="187" t="inlineStr"/>
    </row>
    <row r="279">
      <c r="A279" s="189" t="inlineStr">
        <is>
          <t>CVE</t>
        </is>
      </c>
      <c r="B279" s="189" t="inlineStr">
        <is>
          <t>CVE-2025-70327</t>
        </is>
      </c>
      <c r="C279" s="189"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279" s="189" t="n">
        <v>9.800000000000001</v>
      </c>
      <c r="E279" s="189" t="inlineStr">
        <is>
          <t>CRITICAL</t>
        </is>
      </c>
      <c r="F279" s="189" t="n">
        <v>2</v>
      </c>
      <c r="G279" s="189" t="n">
        <v>3</v>
      </c>
      <c r="H279" s="189" t="inlineStr">
        <is>
          <t>HIGH</t>
        </is>
      </c>
      <c r="I279" s="189" t="n">
        <v>15.8</v>
      </c>
      <c r="J279" s="189" t="inlineStr">
        <is>
          <t>NO</t>
        </is>
      </c>
      <c r="K279" s="189" t="inlineStr">
        <is>
          <t>https://nvd.nist.gov/vuln/detail/CVE-2025-70327</t>
        </is>
      </c>
      <c r="L279" s="189" t="inlineStr">
        <is>
          <t>2026-02-27 20:47</t>
        </is>
      </c>
      <c r="M279" s="189" t="inlineStr">
        <is>
          <t>CHECK_VENDOR</t>
        </is>
      </c>
      <c r="N279" s="189" t="inlineStr">
        <is>
          <t>See NVD references</t>
        </is>
      </c>
      <c r="O279" s="189" t="inlineStr">
        <is>
          <t>Apply vendor patches</t>
        </is>
      </c>
      <c r="P279" s="189" t="inlineStr">
        <is>
          <t>totolink x5000r - | totolink x5000r_firmware 9.1.0cu.2415_b20250515</t>
        </is>
      </c>
      <c r="Q279" s="189" t="inlineStr">
        <is>
          <t>P2</t>
        </is>
      </c>
      <c r="R279" s="189" t="inlineStr">
        <is>
          <t>🚨 URGENT: Apply vendor patches immediately | 🔒 Isolate affected systems if patch unavailable | 🛡️ Enable additional monitoring/IDS rules</t>
        </is>
      </c>
      <c r="S279" s="189" t="inlineStr">
        <is>
          <t>CVE - IP enrichment n/a</t>
        </is>
      </c>
      <c r="T279" s="189" t="n">
        <v>0.0185</v>
      </c>
      <c r="U279" s="189" t="n">
        <v>0.8273</v>
      </c>
      <c r="V279" s="189" t="inlineStr">
        <is>
          <t>T1190:Exploit Public-Facing Application | T1499:Endpoint Denial of Service</t>
        </is>
      </c>
      <c r="W279" s="189" t="n">
        <v>1</v>
      </c>
      <c r="X279" s="189" t="inlineStr">
        <is>
          <t>LOW (40%)</t>
        </is>
      </c>
      <c r="Y279" s="189" t="inlineStr">
        <is>
          <t>UNLIKELY</t>
        </is>
      </c>
      <c r="Z279" s="189" t="inlineStr">
        <is>
          <t>CHECK_VENDOR</t>
        </is>
      </c>
      <c r="AA279" s="189" t="inlineStr">
        <is>
          <t>https://nvd.nist.gov/vuln/detail/CVE-2025-70327</t>
        </is>
      </c>
      <c r="AB279" s="189" t="inlineStr">
        <is>
          <t>NONE</t>
        </is>
      </c>
      <c r="AC279" s="189" t="n">
        <v>0</v>
      </c>
      <c r="AD279" s="189" t="inlineStr"/>
    </row>
    <row r="280">
      <c r="A280" s="187" t="inlineStr">
        <is>
          <t>CVE</t>
        </is>
      </c>
      <c r="B280" s="187" t="inlineStr">
        <is>
          <t>CVE-2025-70328</t>
        </is>
      </c>
      <c r="C280" s="187"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280" s="187" t="n">
        <v>8.800000000000001</v>
      </c>
      <c r="E280" s="187" t="inlineStr">
        <is>
          <t>HIGH</t>
        </is>
      </c>
      <c r="F280" s="187" t="n">
        <v>2</v>
      </c>
      <c r="G280" s="187" t="n">
        <v>3</v>
      </c>
      <c r="H280" s="187" t="inlineStr">
        <is>
          <t>HIGH</t>
        </is>
      </c>
      <c r="I280" s="187" t="n">
        <v>14.8</v>
      </c>
      <c r="J280" s="187" t="inlineStr">
        <is>
          <t>NO</t>
        </is>
      </c>
      <c r="K280" s="187" t="inlineStr">
        <is>
          <t>https://nvd.nist.gov/vuln/detail/CVE-2025-70328</t>
        </is>
      </c>
      <c r="L280" s="187" t="inlineStr">
        <is>
          <t>2026-02-27 20:47</t>
        </is>
      </c>
      <c r="M280" s="187" t="inlineStr">
        <is>
          <t>CHECK_VENDOR</t>
        </is>
      </c>
      <c r="N280" s="187" t="inlineStr">
        <is>
          <t>See NVD references</t>
        </is>
      </c>
      <c r="O280" s="187" t="inlineStr">
        <is>
          <t>Apply vendor patches</t>
        </is>
      </c>
      <c r="P280" s="187" t="inlineStr">
        <is>
          <t>totolink x6000r_firmware 9.4.0cu.1498_b20250826 | totolink x6000r -</t>
        </is>
      </c>
      <c r="Q280" s="187" t="inlineStr">
        <is>
          <t>P2</t>
        </is>
      </c>
      <c r="R280" s="187" t="inlineStr">
        <is>
          <t>🚨 URGENT: Apply vendor patches immediately | 🔒 Isolate affected systems if patch unavailable | 🛡️ Enable additional monitoring/IDS rules</t>
        </is>
      </c>
      <c r="S280" s="187" t="inlineStr">
        <is>
          <t>CVE - IP enrichment n/a</t>
        </is>
      </c>
      <c r="T280" s="187" t="n">
        <v>0.0251</v>
      </c>
      <c r="U280" s="187" t="n">
        <v>0.8511</v>
      </c>
      <c r="V280" s="187" t="inlineStr">
        <is>
          <t>T1059:Command and Scripting Interpreter</t>
        </is>
      </c>
      <c r="W280" s="187" t="n">
        <v>1</v>
      </c>
      <c r="X280" s="187" t="inlineStr">
        <is>
          <t>LOW (40%)</t>
        </is>
      </c>
      <c r="Y280" s="187" t="inlineStr">
        <is>
          <t>UNLIKELY</t>
        </is>
      </c>
      <c r="Z280" s="187" t="inlineStr">
        <is>
          <t>CHECK_VENDOR</t>
        </is>
      </c>
      <c r="AA280" s="187" t="inlineStr">
        <is>
          <t>https://nvd.nist.gov/vuln/detail/CVE-2025-70328</t>
        </is>
      </c>
      <c r="AB280" s="187" t="inlineStr">
        <is>
          <t>NONE</t>
        </is>
      </c>
      <c r="AC280" s="187" t="n">
        <v>0</v>
      </c>
      <c r="AD280" s="187" t="inlineStr"/>
    </row>
    <row r="281">
      <c r="A281" s="187" t="inlineStr">
        <is>
          <t>CVE</t>
        </is>
      </c>
      <c r="B281" s="187" t="inlineStr">
        <is>
          <t>CVE-2025-71056</t>
        </is>
      </c>
      <c r="C281" s="187" t="inlineStr">
        <is>
          <t>Improper session management in GCOM EPON 1GE ONU version C00R371V00B01 allows attackers to execute a session hijacking attack via spoofing the IP address of an authenticated user.</t>
        </is>
      </c>
      <c r="D281" s="187" t="n">
        <v>8.1</v>
      </c>
      <c r="E281" s="187" t="inlineStr">
        <is>
          <t>HIGH</t>
        </is>
      </c>
      <c r="F281" s="187" t="n">
        <v>2</v>
      </c>
      <c r="G281" s="187" t="n">
        <v>3</v>
      </c>
      <c r="H281" s="187" t="inlineStr">
        <is>
          <t>HIGH</t>
        </is>
      </c>
      <c r="I281" s="187" t="n">
        <v>14.1</v>
      </c>
      <c r="J281" s="187" t="inlineStr">
        <is>
          <t>NO</t>
        </is>
      </c>
      <c r="K281" s="187" t="inlineStr">
        <is>
          <t>https://nvd.nist.gov/vuln/detail/CVE-2025-71056</t>
        </is>
      </c>
      <c r="L281" s="187" t="inlineStr">
        <is>
          <t>2026-02-27 20:47</t>
        </is>
      </c>
      <c r="M281" s="187" t="inlineStr">
        <is>
          <t>CHECK_VENDOR</t>
        </is>
      </c>
      <c r="N281" s="187" t="inlineStr">
        <is>
          <t>See NVD references</t>
        </is>
      </c>
      <c r="O281" s="187" t="inlineStr">
        <is>
          <t>Apply vendor patches</t>
        </is>
      </c>
      <c r="P281" s="187" t="inlineStr">
        <is>
          <t>See CVE details</t>
        </is>
      </c>
      <c r="Q281" s="187" t="inlineStr">
        <is>
          <t>P3</t>
        </is>
      </c>
      <c r="R281" s="187" t="inlineStr">
        <is>
          <t>🚨 URGENT: Apply vendor patches immediately | 🔒 Isolate affected systems if patch unavailable | 🛡️ Enable additional monitoring/IDS rules</t>
        </is>
      </c>
      <c r="S281" s="187" t="inlineStr">
        <is>
          <t>CVE - IP enrichment n/a</t>
        </is>
      </c>
      <c r="T281" s="187" t="n">
        <v>0.0003</v>
      </c>
      <c r="U281" s="187" t="n">
        <v>0.0775</v>
      </c>
      <c r="V281" s="187" t="inlineStr">
        <is>
          <t>T1190:Exploit Public-Facing Application</t>
        </is>
      </c>
      <c r="W281" s="187" t="n">
        <v>1</v>
      </c>
      <c r="X281" s="187" t="inlineStr">
        <is>
          <t>LOW (40%)</t>
        </is>
      </c>
      <c r="Y281" s="187" t="inlineStr">
        <is>
          <t>UNLIKELY</t>
        </is>
      </c>
      <c r="Z281" s="187" t="inlineStr">
        <is>
          <t>CHECK_VENDOR</t>
        </is>
      </c>
      <c r="AA281" s="187" t="inlineStr">
        <is>
          <t>https://nvd.nist.gov/vuln/detail/CVE-2025-71056</t>
        </is>
      </c>
      <c r="AB281" s="187" t="inlineStr">
        <is>
          <t>NONE</t>
        </is>
      </c>
      <c r="AC281" s="187" t="n">
        <v>0</v>
      </c>
      <c r="AD281" s="187" t="inlineStr"/>
    </row>
    <row r="282">
      <c r="A282" s="188" t="inlineStr">
        <is>
          <t>CVE</t>
        </is>
      </c>
      <c r="B282" s="188" t="inlineStr">
        <is>
          <t>CVE-2026-23521</t>
        </is>
      </c>
      <c r="C282" s="188"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282" s="188" t="n">
        <v>6.5</v>
      </c>
      <c r="E282" s="188" t="inlineStr">
        <is>
          <t>MEDIUM</t>
        </is>
      </c>
      <c r="F282" s="188" t="n">
        <v>2</v>
      </c>
      <c r="G282" s="188" t="n">
        <v>2</v>
      </c>
      <c r="H282" s="188" t="inlineStr">
        <is>
          <t>MEDIUM</t>
        </is>
      </c>
      <c r="I282" s="188" t="n">
        <v>10.5</v>
      </c>
      <c r="J282" s="188" t="inlineStr">
        <is>
          <t>NO</t>
        </is>
      </c>
      <c r="K282" s="188" t="inlineStr">
        <is>
          <t>https://nvd.nist.gov/vuln/detail/CVE-2026-23521</t>
        </is>
      </c>
      <c r="L282" s="188" t="inlineStr">
        <is>
          <t>2026-02-27 20:47</t>
        </is>
      </c>
      <c r="M282" s="188" t="inlineStr">
        <is>
          <t>YES</t>
        </is>
      </c>
      <c r="N282" s="188" t="inlineStr">
        <is>
          <t>https://github.com/traccar/traccar/security/advisories/GHSA-rc28-cvfc-chqr</t>
        </is>
      </c>
      <c r="O282" s="188" t="inlineStr">
        <is>
          <t>https://github.com/traccar/traccar/security/advisories/GHSA-rc28-cvfc-chqr</t>
        </is>
      </c>
      <c r="P282" s="188" t="inlineStr">
        <is>
          <t>traccar traccar *</t>
        </is>
      </c>
      <c r="Q282" s="188" t="inlineStr">
        <is>
          <t>P4</t>
        </is>
      </c>
      <c r="R282" s="188" t="inlineStr">
        <is>
          <t>📅 Schedule patch deployment within 30 days | 🔍 Monitor for exploitation attempts</t>
        </is>
      </c>
      <c r="S282" s="188" t="inlineStr">
        <is>
          <t>CVE - IP enrichment n/a</t>
        </is>
      </c>
      <c r="T282" s="188" t="n">
        <v>0.0004</v>
      </c>
      <c r="U282" s="188" t="n">
        <v>0.1345</v>
      </c>
      <c r="V282" s="188" t="inlineStr">
        <is>
          <t>T1083:File and Directory Discovery | T1190:Exploit Public-Facing Application</t>
        </is>
      </c>
      <c r="W282" s="188" t="n">
        <v>1</v>
      </c>
      <c r="X282" s="188" t="inlineStr">
        <is>
          <t>LOW (40%)</t>
        </is>
      </c>
      <c r="Y282" s="188" t="inlineStr">
        <is>
          <t>UNLIKELY</t>
        </is>
      </c>
      <c r="Z282" s="188" t="inlineStr">
        <is>
          <t>PATCH_AVAILABLE</t>
        </is>
      </c>
      <c r="AA282" s="188" t="inlineStr">
        <is>
          <t>https://nvd.nist.gov/vuln/detail/CVE-2026-23521</t>
        </is>
      </c>
      <c r="AB282" s="188" t="inlineStr">
        <is>
          <t>NONE</t>
        </is>
      </c>
      <c r="AC282" s="188" t="n">
        <v>0</v>
      </c>
      <c r="AD282" s="188" t="inlineStr"/>
    </row>
    <row r="283">
      <c r="A283" s="189" t="inlineStr">
        <is>
          <t>CVE</t>
        </is>
      </c>
      <c r="B283" s="189" t="inlineStr">
        <is>
          <t>CVE-2026-23693</t>
        </is>
      </c>
      <c r="C283" s="189"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283" s="189" t="n">
        <v>10</v>
      </c>
      <c r="E283" s="189" t="inlineStr">
        <is>
          <t>CRITICAL</t>
        </is>
      </c>
      <c r="F283" s="189" t="n">
        <v>2</v>
      </c>
      <c r="G283" s="189" t="n">
        <v>3</v>
      </c>
      <c r="H283" s="189" t="inlineStr">
        <is>
          <t>HIGH</t>
        </is>
      </c>
      <c r="I283" s="189" t="n">
        <v>16</v>
      </c>
      <c r="J283" s="189" t="inlineStr">
        <is>
          <t>NO</t>
        </is>
      </c>
      <c r="K283" s="189" t="inlineStr">
        <is>
          <t>https://nvd.nist.gov/vuln/detail/CVE-2026-23693</t>
        </is>
      </c>
      <c r="L283" s="189" t="inlineStr">
        <is>
          <t>2026-02-27 20:47</t>
        </is>
      </c>
      <c r="M283" s="189" t="inlineStr">
        <is>
          <t>CHECK_VENDOR</t>
        </is>
      </c>
      <c r="N283" s="189" t="inlineStr">
        <is>
          <t>See NVD references</t>
        </is>
      </c>
      <c r="O283" s="189" t="inlineStr">
        <is>
          <t>Apply vendor patches</t>
        </is>
      </c>
      <c r="P283" s="189" t="inlineStr">
        <is>
          <t>See CVE details</t>
        </is>
      </c>
      <c r="Q283" s="189" t="inlineStr">
        <is>
          <t>P3</t>
        </is>
      </c>
      <c r="R283" s="189" t="inlineStr">
        <is>
          <t>🚨 URGENT: Apply vendor patches immediately | 🔒 Isolate affected systems if patch unavailable | 🛡️ Enable additional monitoring/IDS rules</t>
        </is>
      </c>
      <c r="S283" s="189" t="inlineStr">
        <is>
          <t>CVE - IP enrichment n/a</t>
        </is>
      </c>
      <c r="T283" s="189" t="n">
        <v>0.0015</v>
      </c>
      <c r="U283" s="189" t="n">
        <v>0.3542</v>
      </c>
      <c r="V283" s="189" t="inlineStr">
        <is>
          <t>T1078:Valid Accounts | T1190:Exploit Public-Facing Application | T1552:Unsecured Credentials</t>
        </is>
      </c>
      <c r="W283" s="189" t="n">
        <v>1</v>
      </c>
      <c r="X283" s="189" t="inlineStr">
        <is>
          <t>LOW (40%)</t>
        </is>
      </c>
      <c r="Y283" s="189" t="inlineStr">
        <is>
          <t>UNLIKELY</t>
        </is>
      </c>
      <c r="Z283" s="189" t="inlineStr">
        <is>
          <t>CHECK_VENDOR</t>
        </is>
      </c>
      <c r="AA283" s="189" t="inlineStr">
        <is>
          <t>https://nvd.nist.gov/vuln/detail/CVE-2026-23693</t>
        </is>
      </c>
      <c r="AB283" s="189" t="inlineStr">
        <is>
          <t>NONE</t>
        </is>
      </c>
      <c r="AC283" s="189" t="n">
        <v>0</v>
      </c>
      <c r="AD283" s="189" t="inlineStr"/>
    </row>
    <row r="284">
      <c r="A284" s="188" t="inlineStr">
        <is>
          <t>CVE</t>
        </is>
      </c>
      <c r="B284" s="188" t="inlineStr">
        <is>
          <t>CVE-2026-23694</t>
        </is>
      </c>
      <c r="C284" s="188"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284" s="188" t="n">
        <v>5</v>
      </c>
      <c r="E284" s="188" t="inlineStr">
        <is>
          <t>MEDIUM</t>
        </is>
      </c>
      <c r="F284" s="188" t="n">
        <v>2</v>
      </c>
      <c r="G284" s="188" t="n">
        <v>2</v>
      </c>
      <c r="H284" s="188" t="inlineStr">
        <is>
          <t>MEDIUM</t>
        </is>
      </c>
      <c r="I284" s="188" t="n">
        <v>9</v>
      </c>
      <c r="J284" s="188" t="inlineStr">
        <is>
          <t>NO</t>
        </is>
      </c>
      <c r="K284" s="188" t="inlineStr">
        <is>
          <t>https://nvd.nist.gov/vuln/detail/CVE-2026-23694</t>
        </is>
      </c>
      <c r="L284" s="188" t="inlineStr">
        <is>
          <t>2026-02-27 20:47</t>
        </is>
      </c>
      <c r="M284" s="188" t="inlineStr">
        <is>
          <t>CHECK_VENDOR</t>
        </is>
      </c>
      <c r="N284" s="188" t="inlineStr">
        <is>
          <t>See NVD references</t>
        </is>
      </c>
      <c r="O284" s="188" t="inlineStr">
        <is>
          <t>Apply vendor patches</t>
        </is>
      </c>
      <c r="P284" s="188" t="inlineStr">
        <is>
          <t>See CVE details</t>
        </is>
      </c>
      <c r="Q284" s="188" t="inlineStr">
        <is>
          <t>P4</t>
        </is>
      </c>
      <c r="R284" s="188" t="inlineStr">
        <is>
          <t>📅 Schedule patch deployment within 30 days | 🔍 Monitor for exploitation attempts</t>
        </is>
      </c>
      <c r="S284" s="188" t="inlineStr">
        <is>
          <t>CVE - IP enrichment n/a</t>
        </is>
      </c>
      <c r="T284" s="188" t="n">
        <v>0.0003</v>
      </c>
      <c r="U284" s="188" t="n">
        <v>0.0868</v>
      </c>
      <c r="V284" s="188" t="inlineStr">
        <is>
          <t>T1185:Browser Session Hijacking</t>
        </is>
      </c>
      <c r="W284" s="188" t="n">
        <v>1</v>
      </c>
      <c r="X284" s="188" t="inlineStr">
        <is>
          <t>LOW (40%)</t>
        </is>
      </c>
      <c r="Y284" s="188" t="inlineStr">
        <is>
          <t>UNLIKELY</t>
        </is>
      </c>
      <c r="Z284" s="188" t="inlineStr">
        <is>
          <t>CHECK_VENDOR</t>
        </is>
      </c>
      <c r="AA284" s="188" t="inlineStr">
        <is>
          <t>https://nvd.nist.gov/vuln/detail/CVE-2026-23694</t>
        </is>
      </c>
      <c r="AB284" s="188" t="inlineStr">
        <is>
          <t>NONE</t>
        </is>
      </c>
      <c r="AC284" s="188" t="n">
        <v>0</v>
      </c>
      <c r="AD284" s="188" t="inlineStr"/>
    </row>
    <row r="285">
      <c r="A285" s="187" t="inlineStr">
        <is>
          <t>CVE</t>
        </is>
      </c>
      <c r="B285" s="187" t="inlineStr">
        <is>
          <t>CVE-2026-25648</t>
        </is>
      </c>
      <c r="C285" s="187"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285" s="187" t="n">
        <v>8.699999999999999</v>
      </c>
      <c r="E285" s="187" t="inlineStr">
        <is>
          <t>HIGH</t>
        </is>
      </c>
      <c r="F285" s="187" t="n">
        <v>2</v>
      </c>
      <c r="G285" s="187" t="n">
        <v>3</v>
      </c>
      <c r="H285" s="187" t="inlineStr">
        <is>
          <t>HIGH</t>
        </is>
      </c>
      <c r="I285" s="187" t="n">
        <v>14.7</v>
      </c>
      <c r="J285" s="187" t="inlineStr">
        <is>
          <t>NO</t>
        </is>
      </c>
      <c r="K285" s="187" t="inlineStr">
        <is>
          <t>https://nvd.nist.gov/vuln/detail/CVE-2026-25648</t>
        </is>
      </c>
      <c r="L285" s="187" t="inlineStr">
        <is>
          <t>2026-02-27 20:47</t>
        </is>
      </c>
      <c r="M285" s="187" t="inlineStr">
        <is>
          <t>YES</t>
        </is>
      </c>
      <c r="N285" s="187" t="inlineStr">
        <is>
          <t>https://github.com/traccar/traccar/security/advisories/GHSA-mc2g-mjqh-8x78</t>
        </is>
      </c>
      <c r="O285" s="187" t="inlineStr">
        <is>
          <t>https://github.com/traccar/traccar/security/advisories/GHSA-mc2g-mjqh-8x78</t>
        </is>
      </c>
      <c r="P285" s="187" t="inlineStr">
        <is>
          <t>traccar traccar *</t>
        </is>
      </c>
      <c r="Q285" s="187" t="inlineStr">
        <is>
          <t>P3</t>
        </is>
      </c>
      <c r="R285" s="187" t="inlineStr">
        <is>
          <t>🚨 URGENT: Apply vendor patches immediately | 🔒 Isolate affected systems if patch unavailable | 🛡️ Enable additional monitoring/IDS rules</t>
        </is>
      </c>
      <c r="S285" s="187" t="inlineStr">
        <is>
          <t>CVE - IP enrichment n/a</t>
        </is>
      </c>
      <c r="T285" s="187" t="n">
        <v>0.0003</v>
      </c>
      <c r="U285" s="187" t="n">
        <v>0.1023</v>
      </c>
      <c r="V285" s="187" t="inlineStr">
        <is>
          <t>T1189:Drive-by Compromise | T1190:Exploit Public-Facing Application</t>
        </is>
      </c>
      <c r="W285" s="187" t="n">
        <v>1</v>
      </c>
      <c r="X285" s="187" t="inlineStr">
        <is>
          <t>LOW (40%)</t>
        </is>
      </c>
      <c r="Y285" s="187" t="inlineStr">
        <is>
          <t>UNLIKELY</t>
        </is>
      </c>
      <c r="Z285" s="187" t="inlineStr">
        <is>
          <t>PATCH_AVAILABLE</t>
        </is>
      </c>
      <c r="AA285" s="187" t="inlineStr">
        <is>
          <t>https://nvd.nist.gov/vuln/detail/CVE-2026-25648</t>
        </is>
      </c>
      <c r="AB285" s="187" t="inlineStr">
        <is>
          <t>NONE</t>
        </is>
      </c>
      <c r="AC285" s="187" t="n">
        <v>0</v>
      </c>
      <c r="AD285" s="187" t="inlineStr"/>
    </row>
    <row r="286">
      <c r="A286" s="187" t="inlineStr">
        <is>
          <t>CVE</t>
        </is>
      </c>
      <c r="B286" s="187" t="inlineStr">
        <is>
          <t>CVE-2026-3025</t>
        </is>
      </c>
      <c r="C286" s="187"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286" s="187" t="n">
        <v>7.3</v>
      </c>
      <c r="E286" s="187" t="inlineStr">
        <is>
          <t>HIGH</t>
        </is>
      </c>
      <c r="F286" s="187" t="n">
        <v>2</v>
      </c>
      <c r="G286" s="187" t="n">
        <v>3</v>
      </c>
      <c r="H286" s="187" t="inlineStr">
        <is>
          <t>HIGH</t>
        </is>
      </c>
      <c r="I286" s="187" t="n">
        <v>13.3</v>
      </c>
      <c r="J286" s="187" t="inlineStr">
        <is>
          <t>NO</t>
        </is>
      </c>
      <c r="K286" s="187" t="inlineStr">
        <is>
          <t>https://nvd.nist.gov/vuln/detail/CVE-2026-3025</t>
        </is>
      </c>
      <c r="L286" s="187" t="inlineStr">
        <is>
          <t>2026-02-27 20:47</t>
        </is>
      </c>
      <c r="M286" s="187" t="inlineStr">
        <is>
          <t>CHECK_VENDOR</t>
        </is>
      </c>
      <c r="N286" s="187" t="inlineStr">
        <is>
          <t>See NVD references</t>
        </is>
      </c>
      <c r="O286" s="187" t="inlineStr">
        <is>
          <t>Apply vendor patches</t>
        </is>
      </c>
      <c r="P286" s="187" t="inlineStr">
        <is>
          <t>See CVE details</t>
        </is>
      </c>
      <c r="Q286" s="187" t="inlineStr">
        <is>
          <t>P3</t>
        </is>
      </c>
      <c r="R286" s="187" t="inlineStr">
        <is>
          <t>🚨 URGENT: Apply vendor patches immediately | 🔒 Isolate affected systems if patch unavailable | 🛡️ Enable additional monitoring/IDS rules</t>
        </is>
      </c>
      <c r="S286" s="187" t="inlineStr">
        <is>
          <t>CVE - IP enrichment n/a</t>
        </is>
      </c>
      <c r="T286" s="187" t="n">
        <v>0.0004</v>
      </c>
      <c r="U286" s="187" t="n">
        <v>0.1036</v>
      </c>
      <c r="V286" s="187" t="inlineStr">
        <is>
          <t>T1190:Exploit Public-Facing Application</t>
        </is>
      </c>
      <c r="W286" s="187" t="n">
        <v>1</v>
      </c>
      <c r="X286" s="187" t="inlineStr">
        <is>
          <t>LOW (40%)</t>
        </is>
      </c>
      <c r="Y286" s="187" t="inlineStr">
        <is>
          <t>UNLIKELY</t>
        </is>
      </c>
      <c r="Z286" s="187" t="inlineStr">
        <is>
          <t>CHECK_VENDOR</t>
        </is>
      </c>
      <c r="AA286" s="187" t="inlineStr">
        <is>
          <t>https://nvd.nist.gov/vuln/detail/CVE-2026-3025</t>
        </is>
      </c>
      <c r="AB286" s="187" t="inlineStr">
        <is>
          <t>NONE</t>
        </is>
      </c>
      <c r="AC286" s="187" t="n">
        <v>0</v>
      </c>
      <c r="AD286" s="187" t="inlineStr"/>
    </row>
    <row r="287">
      <c r="A287" s="187" t="inlineStr">
        <is>
          <t>CVE</t>
        </is>
      </c>
      <c r="B287" s="187" t="inlineStr">
        <is>
          <t>CVE-2026-3026</t>
        </is>
      </c>
      <c r="C287" s="187"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287" s="187" t="n">
        <v>7.3</v>
      </c>
      <c r="E287" s="187" t="inlineStr">
        <is>
          <t>HIGH</t>
        </is>
      </c>
      <c r="F287" s="187" t="n">
        <v>2</v>
      </c>
      <c r="G287" s="187" t="n">
        <v>3</v>
      </c>
      <c r="H287" s="187" t="inlineStr">
        <is>
          <t>HIGH</t>
        </is>
      </c>
      <c r="I287" s="187" t="n">
        <v>13.3</v>
      </c>
      <c r="J287" s="187" t="inlineStr">
        <is>
          <t>NO</t>
        </is>
      </c>
      <c r="K287" s="187" t="inlineStr">
        <is>
          <t>https://nvd.nist.gov/vuln/detail/CVE-2026-3026</t>
        </is>
      </c>
      <c r="L287" s="187" t="inlineStr">
        <is>
          <t>2026-02-27 20:47</t>
        </is>
      </c>
      <c r="M287" s="187" t="inlineStr">
        <is>
          <t>CHECK_VENDOR</t>
        </is>
      </c>
      <c r="N287" s="187" t="inlineStr">
        <is>
          <t>See NVD references</t>
        </is>
      </c>
      <c r="O287" s="187" t="inlineStr">
        <is>
          <t>Apply vendor patches</t>
        </is>
      </c>
      <c r="P287" s="187" t="inlineStr">
        <is>
          <t>jeewms jeewms *</t>
        </is>
      </c>
      <c r="Q287" s="187" t="inlineStr">
        <is>
          <t>P3</t>
        </is>
      </c>
      <c r="R287" s="187" t="inlineStr">
        <is>
          <t>🚨 URGENT: Apply vendor patches immediately | 🔒 Isolate affected systems if patch unavailable | 🛡️ Enable additional monitoring/IDS rules</t>
        </is>
      </c>
      <c r="S287" s="187" t="inlineStr">
        <is>
          <t>CVE - IP enrichment n/a</t>
        </is>
      </c>
      <c r="T287" s="187" t="n">
        <v>0.0004</v>
      </c>
      <c r="U287" s="187" t="n">
        <v>0.1069</v>
      </c>
      <c r="V287" s="187" t="inlineStr">
        <is>
          <t>T1090:Proxy</t>
        </is>
      </c>
      <c r="W287" s="187" t="n">
        <v>1</v>
      </c>
      <c r="X287" s="187" t="inlineStr">
        <is>
          <t>LOW (40%)</t>
        </is>
      </c>
      <c r="Y287" s="187" t="inlineStr">
        <is>
          <t>UNLIKELY</t>
        </is>
      </c>
      <c r="Z287" s="187" t="inlineStr">
        <is>
          <t>CHECK_VENDOR</t>
        </is>
      </c>
      <c r="AA287" s="187" t="inlineStr">
        <is>
          <t>https://nvd.nist.gov/vuln/detail/CVE-2026-3026</t>
        </is>
      </c>
      <c r="AB287" s="187" t="inlineStr">
        <is>
          <t>NONE</t>
        </is>
      </c>
      <c r="AC287" s="187" t="n">
        <v>0</v>
      </c>
      <c r="AD287" s="187" t="inlineStr"/>
    </row>
    <row r="288">
      <c r="A288" s="188" t="inlineStr">
        <is>
          <t>CVE</t>
        </is>
      </c>
      <c r="B288" s="188" t="inlineStr">
        <is>
          <t>CVE-2026-3027</t>
        </is>
      </c>
      <c r="C288" s="188"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288" s="188" t="n">
        <v>4.3</v>
      </c>
      <c r="E288" s="188" t="inlineStr">
        <is>
          <t>MEDIUM</t>
        </is>
      </c>
      <c r="F288" s="188" t="n">
        <v>2</v>
      </c>
      <c r="G288" s="188" t="n">
        <v>2</v>
      </c>
      <c r="H288" s="188" t="inlineStr">
        <is>
          <t>MEDIUM</t>
        </is>
      </c>
      <c r="I288" s="188" t="n">
        <v>8.300000000000001</v>
      </c>
      <c r="J288" s="188" t="inlineStr">
        <is>
          <t>NO</t>
        </is>
      </c>
      <c r="K288" s="188" t="inlineStr">
        <is>
          <t>https://nvd.nist.gov/vuln/detail/CVE-2026-3027</t>
        </is>
      </c>
      <c r="L288" s="188" t="inlineStr">
        <is>
          <t>2026-02-27 20:47</t>
        </is>
      </c>
      <c r="M288" s="188" t="inlineStr">
        <is>
          <t>CHECK_VENDOR</t>
        </is>
      </c>
      <c r="N288" s="188" t="inlineStr">
        <is>
          <t>See NVD references</t>
        </is>
      </c>
      <c r="O288" s="188" t="inlineStr">
        <is>
          <t>Apply vendor patches</t>
        </is>
      </c>
      <c r="P288" s="188" t="inlineStr">
        <is>
          <t>jeewms jeewms *</t>
        </is>
      </c>
      <c r="Q288" s="188" t="inlineStr">
        <is>
          <t>P4</t>
        </is>
      </c>
      <c r="R288" s="188" t="inlineStr">
        <is>
          <t>📅 Schedule patch deployment within 30 days | 🔍 Monitor for exploitation attempts</t>
        </is>
      </c>
      <c r="S288" s="188" t="inlineStr">
        <is>
          <t>CVE - IP enrichment n/a</t>
        </is>
      </c>
      <c r="T288" s="188" t="n">
        <v>0.0003</v>
      </c>
      <c r="U288" s="188" t="n">
        <v>0.099</v>
      </c>
      <c r="V288" s="188" t="inlineStr">
        <is>
          <t>T1189:Drive-by Compromise</t>
        </is>
      </c>
      <c r="W288" s="188" t="n">
        <v>1</v>
      </c>
      <c r="X288" s="188" t="inlineStr">
        <is>
          <t>LOW (40%)</t>
        </is>
      </c>
      <c r="Y288" s="188" t="inlineStr">
        <is>
          <t>UNLIKELY</t>
        </is>
      </c>
      <c r="Z288" s="188" t="inlineStr">
        <is>
          <t>CHECK_VENDOR</t>
        </is>
      </c>
      <c r="AA288" s="188" t="inlineStr">
        <is>
          <t>https://nvd.nist.gov/vuln/detail/CVE-2026-3027</t>
        </is>
      </c>
      <c r="AB288" s="188" t="inlineStr">
        <is>
          <t>NONE</t>
        </is>
      </c>
      <c r="AC288" s="188" t="n">
        <v>0</v>
      </c>
      <c r="AD288" s="188" t="inlineStr"/>
    </row>
    <row r="289">
      <c r="A289" s="188" t="inlineStr">
        <is>
          <t>CVE</t>
        </is>
      </c>
      <c r="B289" s="188" t="inlineStr">
        <is>
          <t>CVE-2026-3075</t>
        </is>
      </c>
      <c r="C289" s="188" t="inlineStr">
        <is>
          <t>Exposure of Sensitive System Information to an Unauthorized Control Sphere vulnerability in Jeff Starr Simple Ajax Chat simple-ajax-chat allows Retrieve Embedded Sensitive Data.This issue affects Simple Ajax Chat: from n/a through &lt;= 20251121.</t>
        </is>
      </c>
      <c r="D289" s="188" t="n">
        <v>5.3</v>
      </c>
      <c r="E289" s="188" t="inlineStr">
        <is>
          <t>MEDIUM</t>
        </is>
      </c>
      <c r="F289" s="188" t="n">
        <v>2</v>
      </c>
      <c r="G289" s="188" t="n">
        <v>2</v>
      </c>
      <c r="H289" s="188" t="inlineStr">
        <is>
          <t>MEDIUM</t>
        </is>
      </c>
      <c r="I289" s="188" t="n">
        <v>9.300000000000001</v>
      </c>
      <c r="J289" s="188" t="inlineStr">
        <is>
          <t>NO</t>
        </is>
      </c>
      <c r="K289" s="188" t="inlineStr">
        <is>
          <t>https://nvd.nist.gov/vuln/detail/CVE-2026-3075</t>
        </is>
      </c>
      <c r="L289" s="188" t="inlineStr">
        <is>
          <t>2026-02-27 20:47</t>
        </is>
      </c>
      <c r="M289" s="188" t="inlineStr">
        <is>
          <t>CHECK_VENDOR</t>
        </is>
      </c>
      <c r="N289" s="188" t="inlineStr">
        <is>
          <t>See NVD references</t>
        </is>
      </c>
      <c r="O289" s="188" t="inlineStr">
        <is>
          <t>Apply vendor patches</t>
        </is>
      </c>
      <c r="P289" s="188" t="inlineStr">
        <is>
          <t>See CVE details</t>
        </is>
      </c>
      <c r="Q289" s="188" t="inlineStr">
        <is>
          <t>P4</t>
        </is>
      </c>
      <c r="R289" s="188" t="inlineStr">
        <is>
          <t>📅 Schedule patch deployment within 30 days | 🔍 Monitor for exploitation attempts</t>
        </is>
      </c>
      <c r="S289" s="188" t="inlineStr">
        <is>
          <t>CVE - IP enrichment n/a</t>
        </is>
      </c>
      <c r="T289" s="188" t="n">
        <v>0.0002</v>
      </c>
      <c r="U289" s="188" t="n">
        <v>0.0449</v>
      </c>
      <c r="V289" s="188" t="inlineStr">
        <is>
          <t>T1190:Exploit Public-Facing Application</t>
        </is>
      </c>
      <c r="W289" s="188" t="n">
        <v>1</v>
      </c>
      <c r="X289" s="188" t="inlineStr">
        <is>
          <t>LOW (40%)</t>
        </is>
      </c>
      <c r="Y289" s="188" t="inlineStr">
        <is>
          <t>UNLIKELY</t>
        </is>
      </c>
      <c r="Z289" s="188" t="inlineStr">
        <is>
          <t>CHECK_VENDOR</t>
        </is>
      </c>
      <c r="AA289" s="188" t="inlineStr">
        <is>
          <t>https://nvd.nist.gov/vuln/detail/CVE-2026-3075</t>
        </is>
      </c>
      <c r="AB289" s="188" t="inlineStr">
        <is>
          <t>NONE</t>
        </is>
      </c>
      <c r="AC289" s="188" t="n">
        <v>0</v>
      </c>
      <c r="AD289" s="188" t="inlineStr"/>
    </row>
    <row r="290">
      <c r="A290" s="188" t="inlineStr">
        <is>
          <t>CVE</t>
        </is>
      </c>
      <c r="B290" s="188" t="inlineStr">
        <is>
          <t>CVE-2025-69208</t>
        </is>
      </c>
      <c r="C290" s="188"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290" s="188" t="n">
        <v>5.3</v>
      </c>
      <c r="E290" s="188" t="inlineStr">
        <is>
          <t>MEDIUM</t>
        </is>
      </c>
      <c r="F290" s="188" t="n">
        <v>2</v>
      </c>
      <c r="G290" s="188" t="n">
        <v>2</v>
      </c>
      <c r="H290" s="188" t="inlineStr">
        <is>
          <t>MEDIUM</t>
        </is>
      </c>
      <c r="I290" s="188" t="n">
        <v>9.300000000000001</v>
      </c>
      <c r="J290" s="188" t="inlineStr">
        <is>
          <t>NO</t>
        </is>
      </c>
      <c r="K290" s="188" t="inlineStr">
        <is>
          <t>https://nvd.nist.gov/vuln/detail/CVE-2025-69208</t>
        </is>
      </c>
      <c r="L290" s="188" t="inlineStr">
        <is>
          <t>2026-02-27 20:47</t>
        </is>
      </c>
      <c r="M290" s="188" t="inlineStr">
        <is>
          <t>YES</t>
        </is>
      </c>
      <c r="N290" s="188" t="inlineStr">
        <is>
          <t>https://github.com/free5gc/free5gc/issues/753 | https://github.com/free5gc/free5gc/security/advisories/GHSA-f3pc-w7jp-4jh2 | https://github.com/free5gc/udr/commit/91bb34bd96e1c89b3fddca80db8b90049da61ebb</t>
        </is>
      </c>
      <c r="O290" s="188" t="inlineStr">
        <is>
          <t>Apply vendor patches</t>
        </is>
      </c>
      <c r="P290" s="188" t="inlineStr">
        <is>
          <t>free5gc udr *</t>
        </is>
      </c>
      <c r="Q290" s="188" t="inlineStr">
        <is>
          <t>P4</t>
        </is>
      </c>
      <c r="R290" s="188" t="inlineStr">
        <is>
          <t>📅 Schedule patch deployment within 30 days | 🔍 Monitor for exploitation attempts</t>
        </is>
      </c>
      <c r="S290" s="188" t="inlineStr">
        <is>
          <t>CVE - IP enrichment n/a</t>
        </is>
      </c>
      <c r="T290" s="188" t="n">
        <v>0.0002</v>
      </c>
      <c r="U290" s="188" t="n">
        <v>0.06270000000000001</v>
      </c>
      <c r="V290" s="188" t="inlineStr">
        <is>
          <t>T1190:Exploit Public-Facing Application</t>
        </is>
      </c>
      <c r="W290" s="188" t="n">
        <v>1</v>
      </c>
      <c r="X290" s="188" t="inlineStr">
        <is>
          <t>LOW (40%)</t>
        </is>
      </c>
      <c r="Y290" s="188" t="inlineStr">
        <is>
          <t>UNLIKELY</t>
        </is>
      </c>
      <c r="Z290" s="188" t="inlineStr">
        <is>
          <t>PATCH_AVAILABLE</t>
        </is>
      </c>
      <c r="AA290" s="188" t="inlineStr">
        <is>
          <t>https://nvd.nist.gov/vuln/detail/CVE-2025-69208</t>
        </is>
      </c>
      <c r="AB290" s="188" t="inlineStr">
        <is>
          <t>NONE</t>
        </is>
      </c>
      <c r="AC290" s="188" t="n">
        <v>0</v>
      </c>
      <c r="AD290" s="188" t="inlineStr"/>
    </row>
    <row r="291">
      <c r="A291" s="187" t="inlineStr">
        <is>
          <t>CVE</t>
        </is>
      </c>
      <c r="B291" s="187" t="inlineStr">
        <is>
          <t>CVE-2025-69232</t>
        </is>
      </c>
      <c r="C291" s="187"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291" s="187" t="n">
        <v>7.5</v>
      </c>
      <c r="E291" s="187" t="inlineStr">
        <is>
          <t>HIGH</t>
        </is>
      </c>
      <c r="F291" s="187" t="n">
        <v>2</v>
      </c>
      <c r="G291" s="187" t="n">
        <v>3</v>
      </c>
      <c r="H291" s="187" t="inlineStr">
        <is>
          <t>HIGH</t>
        </is>
      </c>
      <c r="I291" s="187" t="n">
        <v>13.5</v>
      </c>
      <c r="J291" s="187" t="inlineStr">
        <is>
          <t>NO</t>
        </is>
      </c>
      <c r="K291" s="187" t="inlineStr">
        <is>
          <t>https://nvd.nist.gov/vuln/detail/CVE-2025-69232</t>
        </is>
      </c>
      <c r="L291" s="187" t="inlineStr">
        <is>
          <t>2026-02-27 20:47</t>
        </is>
      </c>
      <c r="M291" s="187" t="inlineStr">
        <is>
          <t>YES</t>
        </is>
      </c>
      <c r="N291" s="187" t="inlineStr">
        <is>
          <t>https://github.com/free5gc/free5gc/issues/745 | https://github.com/free5gc/free5gc/security/advisories/GHSA-8m42-qw58-8362</t>
        </is>
      </c>
      <c r="O291" s="187" t="inlineStr">
        <is>
          <t>Apply vendor patches</t>
        </is>
      </c>
      <c r="P291" s="187" t="inlineStr">
        <is>
          <t>free5gc smf * | free5gc go-upf *</t>
        </is>
      </c>
      <c r="Q291" s="187" t="inlineStr">
        <is>
          <t>P3</t>
        </is>
      </c>
      <c r="R291" s="187" t="inlineStr">
        <is>
          <t>🚨 URGENT: Apply vendor patches immediately | 🔒 Isolate affected systems if patch unavailable | 🛡️ Enable additional monitoring/IDS rules</t>
        </is>
      </c>
      <c r="S291" s="187" t="inlineStr">
        <is>
          <t>CVE - IP enrichment n/a</t>
        </is>
      </c>
      <c r="T291" s="187" t="n">
        <v>0.0012</v>
      </c>
      <c r="U291" s="187" t="n">
        <v>0.3169</v>
      </c>
      <c r="V291" s="187" t="inlineStr">
        <is>
          <t>T1190:Exploit Public-Facing Application | T1499:Endpoint Denial of Service</t>
        </is>
      </c>
      <c r="W291" s="187" t="n">
        <v>1</v>
      </c>
      <c r="X291" s="187" t="inlineStr">
        <is>
          <t>LOW (40%)</t>
        </is>
      </c>
      <c r="Y291" s="187" t="inlineStr">
        <is>
          <t>UNLIKELY</t>
        </is>
      </c>
      <c r="Z291" s="187" t="inlineStr">
        <is>
          <t>PATCH_AVAILABLE</t>
        </is>
      </c>
      <c r="AA291" s="187" t="inlineStr">
        <is>
          <t>https://nvd.nist.gov/vuln/detail/CVE-2025-69232</t>
        </is>
      </c>
      <c r="AB291" s="187" t="inlineStr">
        <is>
          <t>NONE</t>
        </is>
      </c>
      <c r="AC291" s="187" t="n">
        <v>0</v>
      </c>
      <c r="AD291" s="187" t="inlineStr"/>
    </row>
    <row r="292">
      <c r="A292" s="187" t="inlineStr">
        <is>
          <t>CVE</t>
        </is>
      </c>
      <c r="B292" s="187" t="inlineStr">
        <is>
          <t>CVE-2025-69247</t>
        </is>
      </c>
      <c r="C292" s="187"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292" s="187" t="n">
        <v>7.5</v>
      </c>
      <c r="E292" s="187" t="inlineStr">
        <is>
          <t>HIGH</t>
        </is>
      </c>
      <c r="F292" s="187" t="n">
        <v>2</v>
      </c>
      <c r="G292" s="187" t="n">
        <v>3</v>
      </c>
      <c r="H292" s="187" t="inlineStr">
        <is>
          <t>HIGH</t>
        </is>
      </c>
      <c r="I292" s="187" t="n">
        <v>13.5</v>
      </c>
      <c r="J292" s="187" t="inlineStr">
        <is>
          <t>NO</t>
        </is>
      </c>
      <c r="K292" s="187" t="inlineStr">
        <is>
          <t>https://nvd.nist.gov/vuln/detail/CVE-2025-69247</t>
        </is>
      </c>
      <c r="L292" s="187" t="inlineStr">
        <is>
          <t>2026-02-27 20:47</t>
        </is>
      </c>
      <c r="M292" s="187" t="inlineStr">
        <is>
          <t>YES</t>
        </is>
      </c>
      <c r="N292" s="187" t="inlineStr">
        <is>
          <t>https://github.com/free5gc/free5gc/issues/746 | https://github.com/free5gc/free5gc/security/advisories/GHSA-gf69-93xr-p23g | https://github.com/free5gc/go-upf/commit/b798fe5ee6a984be492fa53958dd5f1305469f85</t>
        </is>
      </c>
      <c r="O292" s="187" t="inlineStr">
        <is>
          <t>Apply vendor patches</t>
        </is>
      </c>
      <c r="P292" s="187" t="inlineStr">
        <is>
          <t>free5gc go-upf *</t>
        </is>
      </c>
      <c r="Q292" s="187" t="inlineStr">
        <is>
          <t>P3</t>
        </is>
      </c>
      <c r="R292" s="187" t="inlineStr">
        <is>
          <t>🚨 URGENT: Apply vendor patches immediately | 🔒 Isolate affected systems if patch unavailable | 🛡️ Enable additional monitoring/IDS rules</t>
        </is>
      </c>
      <c r="S292" s="187" t="inlineStr">
        <is>
          <t>CVE - IP enrichment n/a</t>
        </is>
      </c>
      <c r="T292" s="187" t="n">
        <v>0.0012</v>
      </c>
      <c r="U292" s="187" t="n">
        <v>0.311</v>
      </c>
      <c r="V292" s="187" t="inlineStr">
        <is>
          <t>T1203:Exploitation for Client Execution | T1499:Endpoint Denial of Service</t>
        </is>
      </c>
      <c r="W292" s="187" t="n">
        <v>1</v>
      </c>
      <c r="X292" s="187" t="inlineStr">
        <is>
          <t>LOW (40%)</t>
        </is>
      </c>
      <c r="Y292" s="187" t="inlineStr">
        <is>
          <t>UNLIKELY</t>
        </is>
      </c>
      <c r="Z292" s="187" t="inlineStr">
        <is>
          <t>PATCH_AVAILABLE</t>
        </is>
      </c>
      <c r="AA292" s="187" t="inlineStr">
        <is>
          <t>https://nvd.nist.gov/vuln/detail/CVE-2025-69247</t>
        </is>
      </c>
      <c r="AB292" s="187" t="inlineStr">
        <is>
          <t>NONE</t>
        </is>
      </c>
      <c r="AC292" s="187" t="n">
        <v>0</v>
      </c>
      <c r="AD292" s="187" t="inlineStr"/>
    </row>
    <row r="293">
      <c r="A293" s="187" t="inlineStr">
        <is>
          <t>CVE</t>
        </is>
      </c>
      <c r="B293" s="187" t="inlineStr">
        <is>
          <t>CVE-2025-69248</t>
        </is>
      </c>
      <c r="C293" s="187"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293" s="187" t="n">
        <v>7.5</v>
      </c>
      <c r="E293" s="187" t="inlineStr">
        <is>
          <t>HIGH</t>
        </is>
      </c>
      <c r="F293" s="187" t="n">
        <v>2</v>
      </c>
      <c r="G293" s="187" t="n">
        <v>3</v>
      </c>
      <c r="H293" s="187" t="inlineStr">
        <is>
          <t>HIGH</t>
        </is>
      </c>
      <c r="I293" s="187" t="n">
        <v>13.5</v>
      </c>
      <c r="J293" s="187" t="inlineStr">
        <is>
          <t>NO</t>
        </is>
      </c>
      <c r="K293" s="187" t="inlineStr">
        <is>
          <t>https://nvd.nist.gov/vuln/detail/CVE-2025-69248</t>
        </is>
      </c>
      <c r="L293" s="187" t="inlineStr">
        <is>
          <t>2026-02-27 20:47</t>
        </is>
      </c>
      <c r="M293" s="187" t="inlineStr">
        <is>
          <t>YES</t>
        </is>
      </c>
      <c r="N293" s="187" t="inlineStr">
        <is>
          <t>https://github.com/free5gc/free5gc/issues/747 | https://github.com/free5gc/free5gc/security/advisories/GHSA-h6xc-8vvf-jcjp | https://github.com/free5gc/nas/commit/0329a7ac3f314f210366c1b3c33dc29eded4ac5f</t>
        </is>
      </c>
      <c r="O293" s="187" t="inlineStr">
        <is>
          <t>Apply vendor patches</t>
        </is>
      </c>
      <c r="P293" s="187" t="inlineStr">
        <is>
          <t>free5gc amf *</t>
        </is>
      </c>
      <c r="Q293" s="187" t="inlineStr">
        <is>
          <t>P3</t>
        </is>
      </c>
      <c r="R293" s="187" t="inlineStr">
        <is>
          <t>🚨 URGENT: Apply vendor patches immediately | 🔒 Isolate affected systems if patch unavailable | 🛡️ Enable additional monitoring/IDS rules</t>
        </is>
      </c>
      <c r="S293" s="187" t="inlineStr">
        <is>
          <t>CVE - IP enrichment n/a</t>
        </is>
      </c>
      <c r="T293" s="187" t="n">
        <v>0.0024</v>
      </c>
      <c r="U293" s="187" t="n">
        <v>0.4607</v>
      </c>
      <c r="V293" s="187" t="inlineStr">
        <is>
          <t>T1190:Exploit Public-Facing Application | T1203:Exploitation for Client Execution | T1499:Endpoint Denial of Service</t>
        </is>
      </c>
      <c r="W293" s="187" t="n">
        <v>1</v>
      </c>
      <c r="X293" s="187" t="inlineStr">
        <is>
          <t>LOW (40%)</t>
        </is>
      </c>
      <c r="Y293" s="187" t="inlineStr">
        <is>
          <t>UNLIKELY</t>
        </is>
      </c>
      <c r="Z293" s="187" t="inlineStr">
        <is>
          <t>PATCH_AVAILABLE</t>
        </is>
      </c>
      <c r="AA293" s="187" t="inlineStr">
        <is>
          <t>https://nvd.nist.gov/vuln/detail/CVE-2025-69248</t>
        </is>
      </c>
      <c r="AB293" s="187" t="inlineStr">
        <is>
          <t>NONE</t>
        </is>
      </c>
      <c r="AC293" s="187" t="n">
        <v>0</v>
      </c>
      <c r="AD293" s="187" t="inlineStr"/>
    </row>
    <row r="294">
      <c r="A294" s="187" t="inlineStr">
        <is>
          <t>CVE</t>
        </is>
      </c>
      <c r="B294" s="187" t="inlineStr">
        <is>
          <t>CVE-2026-25649</t>
        </is>
      </c>
      <c r="C294" s="187"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294" s="187" t="n">
        <v>7.3</v>
      </c>
      <c r="E294" s="187" t="inlineStr">
        <is>
          <t>HIGH</t>
        </is>
      </c>
      <c r="F294" s="187" t="n">
        <v>2</v>
      </c>
      <c r="G294" s="187" t="n">
        <v>3</v>
      </c>
      <c r="H294" s="187" t="inlineStr">
        <is>
          <t>HIGH</t>
        </is>
      </c>
      <c r="I294" s="187" t="n">
        <v>13.3</v>
      </c>
      <c r="J294" s="187" t="inlineStr">
        <is>
          <t>NO</t>
        </is>
      </c>
      <c r="K294" s="187" t="inlineStr">
        <is>
          <t>https://nvd.nist.gov/vuln/detail/CVE-2026-25649</t>
        </is>
      </c>
      <c r="L294" s="187" t="inlineStr">
        <is>
          <t>2026-02-27 20:47</t>
        </is>
      </c>
      <c r="M294" s="187" t="inlineStr">
        <is>
          <t>YES</t>
        </is>
      </c>
      <c r="N294" s="187" t="inlineStr">
        <is>
          <t>https://github.com/traccar/traccar/security/advisories/GHSA-ccc7-4r59-4pp7</t>
        </is>
      </c>
      <c r="O294" s="187" t="inlineStr">
        <is>
          <t>https://github.com/traccar/traccar/security/advisories/GHSA-ccc7-4r59-4pp7</t>
        </is>
      </c>
      <c r="P294" s="187" t="inlineStr">
        <is>
          <t>traccar traccar *</t>
        </is>
      </c>
      <c r="Q294" s="187" t="inlineStr">
        <is>
          <t>P3</t>
        </is>
      </c>
      <c r="R294" s="187" t="inlineStr">
        <is>
          <t>🚨 URGENT: Apply vendor patches immediately | 🔒 Isolate affected systems if patch unavailable | 🛡️ Enable additional monitoring/IDS rules</t>
        </is>
      </c>
      <c r="S294" s="187" t="inlineStr">
        <is>
          <t>CVE - IP enrichment n/a</t>
        </is>
      </c>
      <c r="T294" s="187" t="n">
        <v>0.0002</v>
      </c>
      <c r="U294" s="187" t="n">
        <v>0.0386</v>
      </c>
      <c r="V294" s="187" t="inlineStr">
        <is>
          <t>T1185:Browser Session Hijacking | T1189:Drive-by Compromise | T1190:Exploit Public-Facing Application</t>
        </is>
      </c>
      <c r="W294" s="187" t="n">
        <v>1</v>
      </c>
      <c r="X294" s="187" t="inlineStr">
        <is>
          <t>LOW (40%)</t>
        </is>
      </c>
      <c r="Y294" s="187" t="inlineStr">
        <is>
          <t>UNLIKELY</t>
        </is>
      </c>
      <c r="Z294" s="187" t="inlineStr">
        <is>
          <t>PATCH_AVAILABLE</t>
        </is>
      </c>
      <c r="AA294" s="187" t="inlineStr">
        <is>
          <t>https://nvd.nist.gov/vuln/detail/CVE-2026-25649</t>
        </is>
      </c>
      <c r="AB294" s="187" t="inlineStr">
        <is>
          <t>NONE</t>
        </is>
      </c>
      <c r="AC294" s="187" t="n">
        <v>0</v>
      </c>
      <c r="AD294" s="187" t="inlineStr"/>
    </row>
    <row r="295">
      <c r="A295" s="188" t="inlineStr">
        <is>
          <t>CVE</t>
        </is>
      </c>
      <c r="B295" s="188" t="inlineStr">
        <is>
          <t>CVE-2026-25984</t>
        </is>
      </c>
      <c r="C295" s="188" t="inlineStr">
        <is>
          <t>Rejected reason: This CVE was assigned in error.</t>
        </is>
      </c>
      <c r="D295" s="188" t="n">
        <v>5</v>
      </c>
      <c r="E295" s="188" t="inlineStr">
        <is>
          <t>MEDIUM</t>
        </is>
      </c>
      <c r="F295" s="188" t="n">
        <v>2</v>
      </c>
      <c r="G295" s="188" t="n">
        <v>2</v>
      </c>
      <c r="H295" s="188" t="inlineStr">
        <is>
          <t>MEDIUM</t>
        </is>
      </c>
      <c r="I295" s="188" t="n">
        <v>9</v>
      </c>
      <c r="J295" s="188" t="inlineStr">
        <is>
          <t>NO</t>
        </is>
      </c>
      <c r="K295" s="188" t="inlineStr">
        <is>
          <t>https://nvd.nist.gov/vuln/detail/CVE-2026-25984</t>
        </is>
      </c>
      <c r="L295" s="188" t="inlineStr">
        <is>
          <t>2026-02-27 20:47</t>
        </is>
      </c>
      <c r="M295" s="188" t="inlineStr">
        <is>
          <t>CHECK_VENDOR</t>
        </is>
      </c>
      <c r="N295" s="188" t="inlineStr">
        <is>
          <t>See NVD references</t>
        </is>
      </c>
      <c r="O295" s="188" t="inlineStr">
        <is>
          <t>Apply vendor patches</t>
        </is>
      </c>
      <c r="P295" s="188" t="inlineStr">
        <is>
          <t>See CVE details</t>
        </is>
      </c>
      <c r="Q295" s="188" t="inlineStr">
        <is>
          <t>P4</t>
        </is>
      </c>
      <c r="R295" s="188" t="inlineStr">
        <is>
          <t>📅 Schedule patch deployment within 30 days | 🔍 Monitor for exploitation attempts</t>
        </is>
      </c>
      <c r="S295" s="188" t="inlineStr">
        <is>
          <t>CVE - IP enrichment n/a</t>
        </is>
      </c>
      <c r="T295" s="188" t="n">
        <v>0</v>
      </c>
      <c r="U295" s="188" t="n">
        <v>0</v>
      </c>
      <c r="V295" s="188" t="inlineStr">
        <is>
          <t>T1190:Exploit Public-Facing Application</t>
        </is>
      </c>
      <c r="W295" s="188" t="n">
        <v>1</v>
      </c>
      <c r="X295" s="188" t="inlineStr">
        <is>
          <t>LOW (40%)</t>
        </is>
      </c>
      <c r="Y295" s="188" t="inlineStr">
        <is>
          <t>UNLIKELY</t>
        </is>
      </c>
      <c r="Z295" s="188" t="inlineStr">
        <is>
          <t>CHECK_VENDOR</t>
        </is>
      </c>
      <c r="AA295" s="188" t="inlineStr">
        <is>
          <t>https://nvd.nist.gov/vuln/detail/CVE-2026-25984</t>
        </is>
      </c>
      <c r="AB295" s="188" t="inlineStr">
        <is>
          <t>NONE</t>
        </is>
      </c>
      <c r="AC295" s="188" t="n">
        <v>0</v>
      </c>
      <c r="AD295" s="188" t="inlineStr"/>
    </row>
    <row r="296">
      <c r="A296" s="188" t="inlineStr">
        <is>
          <t>CVE</t>
        </is>
      </c>
      <c r="B296" s="188" t="inlineStr">
        <is>
          <t>CVE-2026-27163</t>
        </is>
      </c>
      <c r="C296" s="188" t="inlineStr">
        <is>
          <t>Rejected reason: This CVE was assigned in error.</t>
        </is>
      </c>
      <c r="D296" s="188" t="n">
        <v>5</v>
      </c>
      <c r="E296" s="188" t="inlineStr">
        <is>
          <t>MEDIUM</t>
        </is>
      </c>
      <c r="F296" s="188" t="n">
        <v>2</v>
      </c>
      <c r="G296" s="188" t="n">
        <v>2</v>
      </c>
      <c r="H296" s="188" t="inlineStr">
        <is>
          <t>MEDIUM</t>
        </is>
      </c>
      <c r="I296" s="188" t="n">
        <v>9</v>
      </c>
      <c r="J296" s="188" t="inlineStr">
        <is>
          <t>NO</t>
        </is>
      </c>
      <c r="K296" s="188" t="inlineStr">
        <is>
          <t>https://nvd.nist.gov/vuln/detail/CVE-2026-27163</t>
        </is>
      </c>
      <c r="L296" s="188" t="inlineStr">
        <is>
          <t>2026-02-27 20:47</t>
        </is>
      </c>
      <c r="M296" s="188" t="inlineStr">
        <is>
          <t>CHECK_VENDOR</t>
        </is>
      </c>
      <c r="N296" s="188" t="inlineStr">
        <is>
          <t>See NVD references</t>
        </is>
      </c>
      <c r="O296" s="188" t="inlineStr">
        <is>
          <t>Apply vendor patches</t>
        </is>
      </c>
      <c r="P296" s="188" t="inlineStr">
        <is>
          <t>See CVE details</t>
        </is>
      </c>
      <c r="Q296" s="188" t="inlineStr">
        <is>
          <t>P4</t>
        </is>
      </c>
      <c r="R296" s="188" t="inlineStr">
        <is>
          <t>📅 Schedule patch deployment within 30 days | 🔍 Monitor for exploitation attempts</t>
        </is>
      </c>
      <c r="S296" s="188" t="inlineStr">
        <is>
          <t>CVE - IP enrichment n/a</t>
        </is>
      </c>
      <c r="T296" s="188" t="n">
        <v>0</v>
      </c>
      <c r="U296" s="188" t="n">
        <v>0</v>
      </c>
      <c r="V296" s="188" t="inlineStr">
        <is>
          <t>T1190:Exploit Public-Facing Application</t>
        </is>
      </c>
      <c r="W296" s="188" t="n">
        <v>1</v>
      </c>
      <c r="X296" s="188" t="inlineStr">
        <is>
          <t>LOW (40%)</t>
        </is>
      </c>
      <c r="Y296" s="188" t="inlineStr">
        <is>
          <t>UNLIKELY</t>
        </is>
      </c>
      <c r="Z296" s="188" t="inlineStr">
        <is>
          <t>CHECK_VENDOR</t>
        </is>
      </c>
      <c r="AA296" s="188" t="inlineStr">
        <is>
          <t>https://nvd.nist.gov/vuln/detail/CVE-2026-27163</t>
        </is>
      </c>
      <c r="AB296" s="188" t="inlineStr">
        <is>
          <t>NONE</t>
        </is>
      </c>
      <c r="AC296" s="188" t="n">
        <v>0</v>
      </c>
      <c r="AD296" s="188" t="inlineStr"/>
    </row>
    <row r="297">
      <c r="A297" s="188" t="inlineStr">
        <is>
          <t>CVE</t>
        </is>
      </c>
      <c r="B297" s="188" t="inlineStr">
        <is>
          <t>CVE-2026-27741</t>
        </is>
      </c>
      <c r="C297" s="188"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297" s="188" t="n">
        <v>4.3</v>
      </c>
      <c r="E297" s="188" t="inlineStr">
        <is>
          <t>MEDIUM</t>
        </is>
      </c>
      <c r="F297" s="188" t="n">
        <v>2</v>
      </c>
      <c r="G297" s="188" t="n">
        <v>2</v>
      </c>
      <c r="H297" s="188" t="inlineStr">
        <is>
          <t>MEDIUM</t>
        </is>
      </c>
      <c r="I297" s="188" t="n">
        <v>8.300000000000001</v>
      </c>
      <c r="J297" s="188" t="inlineStr">
        <is>
          <t>NO</t>
        </is>
      </c>
      <c r="K297" s="188" t="inlineStr">
        <is>
          <t>https://nvd.nist.gov/vuln/detail/CVE-2026-27741</t>
        </is>
      </c>
      <c r="L297" s="188" t="inlineStr">
        <is>
          <t>2026-02-27 20:47</t>
        </is>
      </c>
      <c r="M297" s="188" t="inlineStr">
        <is>
          <t>CHECK_VENDOR</t>
        </is>
      </c>
      <c r="N297" s="188" t="inlineStr">
        <is>
          <t>See NVD references</t>
        </is>
      </c>
      <c r="O297" s="188" t="inlineStr">
        <is>
          <t>Apply vendor patches</t>
        </is>
      </c>
      <c r="P297" s="188" t="inlineStr">
        <is>
          <t>bludit bludit 3.16.1</t>
        </is>
      </c>
      <c r="Q297" s="188" t="inlineStr">
        <is>
          <t>P4</t>
        </is>
      </c>
      <c r="R297" s="188" t="inlineStr">
        <is>
          <t>📅 Schedule patch deployment within 30 days | 🔍 Monitor for exploitation attempts</t>
        </is>
      </c>
      <c r="S297" s="188" t="inlineStr">
        <is>
          <t>CVE - IP enrichment n/a</t>
        </is>
      </c>
      <c r="T297" s="188" t="n">
        <v>0.0002</v>
      </c>
      <c r="U297" s="188" t="n">
        <v>0.0433</v>
      </c>
      <c r="V297" s="188" t="inlineStr">
        <is>
          <t>T1185:Browser Session Hijacking</t>
        </is>
      </c>
      <c r="W297" s="188" t="n">
        <v>1</v>
      </c>
      <c r="X297" s="188" t="inlineStr">
        <is>
          <t>LOW (40%)</t>
        </is>
      </c>
      <c r="Y297" s="188" t="inlineStr">
        <is>
          <t>UNLIKELY</t>
        </is>
      </c>
      <c r="Z297" s="188" t="inlineStr">
        <is>
          <t>CHECK_VENDOR</t>
        </is>
      </c>
      <c r="AA297" s="188" t="inlineStr">
        <is>
          <t>https://nvd.nist.gov/vuln/detail/CVE-2026-27741</t>
        </is>
      </c>
      <c r="AB297" s="188" t="inlineStr">
        <is>
          <t>NONE</t>
        </is>
      </c>
      <c r="AC297" s="188" t="n">
        <v>0</v>
      </c>
      <c r="AD297" s="188" t="inlineStr"/>
    </row>
    <row r="298">
      <c r="A298" s="188" t="inlineStr">
        <is>
          <t>CVE</t>
        </is>
      </c>
      <c r="B298" s="188" t="inlineStr">
        <is>
          <t>CVE-2026-27742</t>
        </is>
      </c>
      <c r="C298" s="188"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298" s="188" t="n">
        <v>5.4</v>
      </c>
      <c r="E298" s="188" t="inlineStr">
        <is>
          <t>MEDIUM</t>
        </is>
      </c>
      <c r="F298" s="188" t="n">
        <v>2</v>
      </c>
      <c r="G298" s="188" t="n">
        <v>2</v>
      </c>
      <c r="H298" s="188" t="inlineStr">
        <is>
          <t>MEDIUM</t>
        </is>
      </c>
      <c r="I298" s="188" t="n">
        <v>9.4</v>
      </c>
      <c r="J298" s="188" t="inlineStr">
        <is>
          <t>NO</t>
        </is>
      </c>
      <c r="K298" s="188" t="inlineStr">
        <is>
          <t>https://nvd.nist.gov/vuln/detail/CVE-2026-27742</t>
        </is>
      </c>
      <c r="L298" s="188" t="inlineStr">
        <is>
          <t>2026-02-27 20:47</t>
        </is>
      </c>
      <c r="M298" s="188" t="inlineStr">
        <is>
          <t>CHECK_VENDOR</t>
        </is>
      </c>
      <c r="N298" s="188" t="inlineStr">
        <is>
          <t>See NVD references</t>
        </is>
      </c>
      <c r="O298" s="188" t="inlineStr">
        <is>
          <t>Apply vendor patches</t>
        </is>
      </c>
      <c r="P298" s="188" t="inlineStr">
        <is>
          <t>bludit bludit *</t>
        </is>
      </c>
      <c r="Q298" s="188" t="inlineStr">
        <is>
          <t>P4</t>
        </is>
      </c>
      <c r="R298" s="188" t="inlineStr">
        <is>
          <t>📅 Schedule patch deployment within 30 days | 🔍 Monitor for exploitation attempts</t>
        </is>
      </c>
      <c r="S298" s="188" t="inlineStr">
        <is>
          <t>CVE - IP enrichment n/a</t>
        </is>
      </c>
      <c r="T298" s="188" t="n">
        <v>0.0003</v>
      </c>
      <c r="U298" s="188" t="n">
        <v>0.0721</v>
      </c>
      <c r="V298" s="188" t="inlineStr">
        <is>
          <t>T1189:Drive-by Compromise | T1190:Exploit Public-Facing Application | T1552:Unsecured Credentials</t>
        </is>
      </c>
      <c r="W298" s="188" t="n">
        <v>1</v>
      </c>
      <c r="X298" s="188" t="inlineStr">
        <is>
          <t>LOW (40%)</t>
        </is>
      </c>
      <c r="Y298" s="188" t="inlineStr">
        <is>
          <t>UNLIKELY</t>
        </is>
      </c>
      <c r="Z298" s="188" t="inlineStr">
        <is>
          <t>CHECK_VENDOR</t>
        </is>
      </c>
      <c r="AA298" s="188" t="inlineStr">
        <is>
          <t>https://nvd.nist.gov/vuln/detail/CVE-2026-27742</t>
        </is>
      </c>
      <c r="AB298" s="188" t="inlineStr">
        <is>
          <t>NONE</t>
        </is>
      </c>
      <c r="AC298" s="188" t="n">
        <v>0</v>
      </c>
      <c r="AD298" s="188" t="inlineStr"/>
    </row>
    <row r="299">
      <c r="A299" s="188" t="inlineStr">
        <is>
          <t>CVE</t>
        </is>
      </c>
      <c r="B299" s="188" t="inlineStr">
        <is>
          <t>CVE-2026-3028</t>
        </is>
      </c>
      <c r="C299" s="188"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299" s="188" t="n">
        <v>4.3</v>
      </c>
      <c r="E299" s="188" t="inlineStr">
        <is>
          <t>MEDIUM</t>
        </is>
      </c>
      <c r="F299" s="188" t="n">
        <v>2</v>
      </c>
      <c r="G299" s="188" t="n">
        <v>2</v>
      </c>
      <c r="H299" s="188" t="inlineStr">
        <is>
          <t>MEDIUM</t>
        </is>
      </c>
      <c r="I299" s="188" t="n">
        <v>8.300000000000001</v>
      </c>
      <c r="J299" s="188" t="inlineStr">
        <is>
          <t>NO</t>
        </is>
      </c>
      <c r="K299" s="188" t="inlineStr">
        <is>
          <t>https://nvd.nist.gov/vuln/detail/CVE-2026-3028</t>
        </is>
      </c>
      <c r="L299" s="188" t="inlineStr">
        <is>
          <t>2026-02-27 20:47</t>
        </is>
      </c>
      <c r="M299" s="188" t="inlineStr">
        <is>
          <t>CHECK_VENDOR</t>
        </is>
      </c>
      <c r="N299" s="188" t="inlineStr">
        <is>
          <t>See NVD references</t>
        </is>
      </c>
      <c r="O299" s="188" t="inlineStr">
        <is>
          <t>Apply vendor patches</t>
        </is>
      </c>
      <c r="P299" s="188" t="inlineStr">
        <is>
          <t>huayi-tec jeewms *</t>
        </is>
      </c>
      <c r="Q299" s="188" t="inlineStr">
        <is>
          <t>P4</t>
        </is>
      </c>
      <c r="R299" s="188" t="inlineStr">
        <is>
          <t>📅 Schedule patch deployment within 30 days | 🔍 Monitor for exploitation attempts</t>
        </is>
      </c>
      <c r="S299" s="188" t="inlineStr">
        <is>
          <t>CVE - IP enrichment n/a</t>
        </is>
      </c>
      <c r="T299" s="188" t="n">
        <v>0.0003</v>
      </c>
      <c r="U299" s="188" t="n">
        <v>0.068</v>
      </c>
      <c r="V299" s="188" t="inlineStr">
        <is>
          <t>T1189:Drive-by Compromise</t>
        </is>
      </c>
      <c r="W299" s="188" t="n">
        <v>1</v>
      </c>
      <c r="X299" s="188" t="inlineStr">
        <is>
          <t>LOW (40%)</t>
        </is>
      </c>
      <c r="Y299" s="188" t="inlineStr">
        <is>
          <t>UNLIKELY</t>
        </is>
      </c>
      <c r="Z299" s="188" t="inlineStr">
        <is>
          <t>CHECK_VENDOR</t>
        </is>
      </c>
      <c r="AA299" s="188" t="inlineStr">
        <is>
          <t>https://nvd.nist.gov/vuln/detail/CVE-2026-3028</t>
        </is>
      </c>
      <c r="AB299" s="188" t="inlineStr">
        <is>
          <t>NONE</t>
        </is>
      </c>
      <c r="AC299" s="188" t="n">
        <v>0</v>
      </c>
      <c r="AD299" s="188" t="inlineStr"/>
    </row>
    <row r="300">
      <c r="A300" s="188" t="inlineStr">
        <is>
          <t>CVE</t>
        </is>
      </c>
      <c r="B300" s="188" t="inlineStr">
        <is>
          <t>CVE-2026-3040</t>
        </is>
      </c>
      <c r="C300" s="188"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300" s="188" t="n">
        <v>4.7</v>
      </c>
      <c r="E300" s="188" t="inlineStr">
        <is>
          <t>MEDIUM</t>
        </is>
      </c>
      <c r="F300" s="188" t="n">
        <v>2</v>
      </c>
      <c r="G300" s="188" t="n">
        <v>2</v>
      </c>
      <c r="H300" s="188" t="inlineStr">
        <is>
          <t>MEDIUM</t>
        </is>
      </c>
      <c r="I300" s="188" t="n">
        <v>8.699999999999999</v>
      </c>
      <c r="J300" s="188" t="inlineStr">
        <is>
          <t>NO</t>
        </is>
      </c>
      <c r="K300" s="188" t="inlineStr">
        <is>
          <t>https://nvd.nist.gov/vuln/detail/CVE-2026-3040</t>
        </is>
      </c>
      <c r="L300" s="188" t="inlineStr">
        <is>
          <t>2026-02-27 20:47</t>
        </is>
      </c>
      <c r="M300" s="188" t="inlineStr">
        <is>
          <t>CHECK_VENDOR</t>
        </is>
      </c>
      <c r="N300" s="188" t="inlineStr">
        <is>
          <t>See NVD references</t>
        </is>
      </c>
      <c r="O300" s="188" t="inlineStr">
        <is>
          <t>Apply vendor patches</t>
        </is>
      </c>
      <c r="P300" s="188" t="inlineStr">
        <is>
          <t>draytek vigor300b - | draytek vigor300b_firmware *</t>
        </is>
      </c>
      <c r="Q300" s="188" t="inlineStr">
        <is>
          <t>P4</t>
        </is>
      </c>
      <c r="R300" s="188" t="inlineStr">
        <is>
          <t>📅 Schedule patch deployment within 30 days | 🔍 Monitor for exploitation attempts</t>
        </is>
      </c>
      <c r="S300" s="188" t="inlineStr">
        <is>
          <t>CVE - IP enrichment n/a</t>
        </is>
      </c>
      <c r="T300" s="188" t="n">
        <v>0.002</v>
      </c>
      <c r="U300" s="188" t="n">
        <v>0.4195</v>
      </c>
      <c r="V300" s="188" t="inlineStr">
        <is>
          <t>T1059:Command and Scripting Interpreter</t>
        </is>
      </c>
      <c r="W300" s="188" t="n">
        <v>1</v>
      </c>
      <c r="X300" s="188" t="inlineStr">
        <is>
          <t>LOW (40%)</t>
        </is>
      </c>
      <c r="Y300" s="188" t="inlineStr">
        <is>
          <t>UNLIKELY</t>
        </is>
      </c>
      <c r="Z300" s="188" t="inlineStr">
        <is>
          <t>CHECK_VENDOR</t>
        </is>
      </c>
      <c r="AA300" s="188" t="inlineStr">
        <is>
          <t>https://nvd.nist.gov/vuln/detail/CVE-2026-3040</t>
        </is>
      </c>
      <c r="AB300" s="188" t="inlineStr">
        <is>
          <t>NONE</t>
        </is>
      </c>
      <c r="AC300" s="188" t="n">
        <v>0</v>
      </c>
      <c r="AD300" s="188" t="inlineStr"/>
    </row>
    <row r="301">
      <c r="A301" s="190" t="inlineStr">
        <is>
          <t>CVE</t>
        </is>
      </c>
      <c r="B301" s="190" t="inlineStr">
        <is>
          <t>CVE-2026-3041</t>
        </is>
      </c>
      <c r="C301" s="190"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301" s="190" t="n">
        <v>2.4</v>
      </c>
      <c r="E301" s="190" t="inlineStr">
        <is>
          <t>LOW</t>
        </is>
      </c>
      <c r="F301" s="190" t="n">
        <v>2</v>
      </c>
      <c r="G301" s="190" t="n">
        <v>1</v>
      </c>
      <c r="H301" s="190" t="inlineStr">
        <is>
          <t>LOW</t>
        </is>
      </c>
      <c r="I301" s="190" t="n">
        <v>4.4</v>
      </c>
      <c r="J301" s="190" t="inlineStr">
        <is>
          <t>NO</t>
        </is>
      </c>
      <c r="K301" s="190" t="inlineStr">
        <is>
          <t>https://nvd.nist.gov/vuln/detail/CVE-2026-3041</t>
        </is>
      </c>
      <c r="L301" s="190" t="inlineStr">
        <is>
          <t>2026-02-27 20:47</t>
        </is>
      </c>
      <c r="M301" s="190" t="inlineStr">
        <is>
          <t>CHECK_VENDOR</t>
        </is>
      </c>
      <c r="N301" s="190" t="inlineStr">
        <is>
          <t>See NVD references</t>
        </is>
      </c>
      <c r="O301" s="190" t="inlineStr">
        <is>
          <t>Apply vendor patches</t>
        </is>
      </c>
      <c r="P301" s="190" t="inlineStr">
        <is>
          <t>See CVE details</t>
        </is>
      </c>
      <c r="Q301" s="190" t="inlineStr">
        <is>
          <t>P4</t>
        </is>
      </c>
      <c r="R301" s="190" t="inlineStr">
        <is>
          <t>📅 Schedule patch deployment within 30 days | 🔍 Monitor for exploitation attempts</t>
        </is>
      </c>
      <c r="S301" s="190" t="inlineStr">
        <is>
          <t>CVE - IP enrichment n/a</t>
        </is>
      </c>
      <c r="T301" s="190" t="n">
        <v>0.0001</v>
      </c>
      <c r="U301" s="190" t="n">
        <v>0.0123</v>
      </c>
      <c r="V301" s="190" t="inlineStr">
        <is>
          <t>T1189:Drive-by Compromise</t>
        </is>
      </c>
      <c r="W301" s="190" t="n">
        <v>1</v>
      </c>
      <c r="X301" s="190" t="inlineStr">
        <is>
          <t>LOW (40%)</t>
        </is>
      </c>
      <c r="Y301" s="190" t="inlineStr">
        <is>
          <t>UNLIKELY</t>
        </is>
      </c>
      <c r="Z301" s="190" t="inlineStr">
        <is>
          <t>CHECK_VENDOR</t>
        </is>
      </c>
      <c r="AA301" s="190" t="inlineStr">
        <is>
          <t>https://nvd.nist.gov/vuln/detail/CVE-2026-3041</t>
        </is>
      </c>
      <c r="AB301" s="190" t="inlineStr">
        <is>
          <t>NONE</t>
        </is>
      </c>
      <c r="AC301" s="190" t="n">
        <v>0</v>
      </c>
      <c r="AD301" s="190" t="inlineStr"/>
    </row>
    <row r="302">
      <c r="A302" s="187" t="inlineStr">
        <is>
          <t>CVE</t>
        </is>
      </c>
      <c r="B302" s="187" t="inlineStr">
        <is>
          <t>CVE-2026-21665</t>
        </is>
      </c>
      <c r="C302" s="187"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302" s="187" t="n">
        <v>8.5</v>
      </c>
      <c r="E302" s="187" t="inlineStr">
        <is>
          <t>HIGH</t>
        </is>
      </c>
      <c r="F302" s="187" t="n">
        <v>2</v>
      </c>
      <c r="G302" s="187" t="n">
        <v>3</v>
      </c>
      <c r="H302" s="187" t="inlineStr">
        <is>
          <t>HIGH</t>
        </is>
      </c>
      <c r="I302" s="187" t="n">
        <v>14.5</v>
      </c>
      <c r="J302" s="187" t="inlineStr">
        <is>
          <t>NO</t>
        </is>
      </c>
      <c r="K302" s="187" t="inlineStr">
        <is>
          <t>https://nvd.nist.gov/vuln/detail/CVE-2026-21665</t>
        </is>
      </c>
      <c r="L302" s="187" t="inlineStr">
        <is>
          <t>2026-02-27 20:47</t>
        </is>
      </c>
      <c r="M302" s="187" t="inlineStr">
        <is>
          <t>CHECK_VENDOR</t>
        </is>
      </c>
      <c r="N302" s="187" t="inlineStr">
        <is>
          <t>See NVD references</t>
        </is>
      </c>
      <c r="O302" s="187" t="inlineStr">
        <is>
          <t>Apply vendor patches</t>
        </is>
      </c>
      <c r="P302" s="187" t="inlineStr">
        <is>
          <t>See CVE details</t>
        </is>
      </c>
      <c r="Q302" s="187" t="inlineStr">
        <is>
          <t>P3</t>
        </is>
      </c>
      <c r="R302" s="187" t="inlineStr">
        <is>
          <t>🚨 URGENT: Apply vendor patches immediately | 🔒 Isolate affected systems if patch unavailable | 🛡️ Enable additional monitoring/IDS rules</t>
        </is>
      </c>
      <c r="S302" s="187" t="inlineStr">
        <is>
          <t>CVE - IP enrichment n/a</t>
        </is>
      </c>
      <c r="T302" s="187" t="n">
        <v>0.0032</v>
      </c>
      <c r="U302" s="187" t="n">
        <v>0.5426</v>
      </c>
      <c r="V302" s="187" t="inlineStr">
        <is>
          <t>T1059:Command and Scripting Interpreter | T1190:Exploit Public-Facing Application | T1210:Exploitation of Remote Services</t>
        </is>
      </c>
      <c r="W302" s="187" t="n">
        <v>1</v>
      </c>
      <c r="X302" s="187" t="inlineStr">
        <is>
          <t>LOW (40%)</t>
        </is>
      </c>
      <c r="Y302" s="187" t="inlineStr">
        <is>
          <t>UNLIKELY</t>
        </is>
      </c>
      <c r="Z302" s="187" t="inlineStr">
        <is>
          <t>CHECK_VENDOR</t>
        </is>
      </c>
      <c r="AA302" s="187" t="inlineStr">
        <is>
          <t>https://nvd.nist.gov/vuln/detail/CVE-2026-21665</t>
        </is>
      </c>
      <c r="AB302" s="187" t="inlineStr">
        <is>
          <t>NONE</t>
        </is>
      </c>
      <c r="AC302" s="187" t="n">
        <v>0</v>
      </c>
      <c r="AD302" s="187" t="inlineStr"/>
    </row>
    <row r="303">
      <c r="A303" s="189" t="inlineStr">
        <is>
          <t>CVE</t>
        </is>
      </c>
      <c r="B303" s="189" t="inlineStr">
        <is>
          <t>CVE-2026-3061</t>
        </is>
      </c>
      <c r="C303" s="189" t="inlineStr">
        <is>
          <t>Out of bounds read in Media in Google Chrome prior to 145.0.7632.116 allowed a remote attacker to perform an out of bounds memory read via a crafted HTML page. (Chromium security severity: High)</t>
        </is>
      </c>
      <c r="D303" s="189" t="n">
        <v>9.1</v>
      </c>
      <c r="E303" s="189" t="inlineStr">
        <is>
          <t>CRITICAL</t>
        </is>
      </c>
      <c r="F303" s="189" t="n">
        <v>2</v>
      </c>
      <c r="G303" s="189" t="n">
        <v>3</v>
      </c>
      <c r="H303" s="189" t="inlineStr">
        <is>
          <t>HIGH</t>
        </is>
      </c>
      <c r="I303" s="189" t="n">
        <v>15.1</v>
      </c>
      <c r="J303" s="189" t="inlineStr">
        <is>
          <t>NO</t>
        </is>
      </c>
      <c r="K303" s="189" t="inlineStr">
        <is>
          <t>https://nvd.nist.gov/vuln/detail/CVE-2026-3061</t>
        </is>
      </c>
      <c r="L303" s="189" t="inlineStr">
        <is>
          <t>2026-02-27 20:47</t>
        </is>
      </c>
      <c r="M303" s="189" t="inlineStr">
        <is>
          <t>CHECK_VENDOR</t>
        </is>
      </c>
      <c r="N303" s="189" t="inlineStr">
        <is>
          <t>See NVD references</t>
        </is>
      </c>
      <c r="O303" s="189" t="inlineStr">
        <is>
          <t>Apply vendor patches</t>
        </is>
      </c>
      <c r="P303" s="189" t="inlineStr">
        <is>
          <t>linux linux_kernel - | microsoft windows - | apple macos -</t>
        </is>
      </c>
      <c r="Q303" s="189" t="inlineStr">
        <is>
          <t>P3</t>
        </is>
      </c>
      <c r="R303" s="189" t="inlineStr">
        <is>
          <t>🚨 URGENT: Apply vendor patches immediately | 🔒 Isolate affected systems if patch unavailable | 🛡️ Enable additional monitoring/IDS rules</t>
        </is>
      </c>
      <c r="S303" s="189" t="inlineStr">
        <is>
          <t>CVE - IP enrichment n/a</t>
        </is>
      </c>
      <c r="T303" s="189" t="n">
        <v>0.0003</v>
      </c>
      <c r="U303" s="189" t="n">
        <v>0.0683</v>
      </c>
      <c r="V303" s="189" t="inlineStr">
        <is>
          <t>T1203:Exploitation for Client Execution</t>
        </is>
      </c>
      <c r="W303" s="189" t="n">
        <v>1</v>
      </c>
      <c r="X303" s="189" t="inlineStr">
        <is>
          <t>LOW (40%)</t>
        </is>
      </c>
      <c r="Y303" s="189" t="inlineStr">
        <is>
          <t>UNLIKELY</t>
        </is>
      </c>
      <c r="Z303" s="189" t="inlineStr">
        <is>
          <t>CHECK_VENDOR</t>
        </is>
      </c>
      <c r="AA303" s="189" t="inlineStr">
        <is>
          <t>https://nvd.nist.gov/vuln/detail/CVE-2026-3061</t>
        </is>
      </c>
      <c r="AB303" s="189" t="inlineStr">
        <is>
          <t>NONE</t>
        </is>
      </c>
      <c r="AC303" s="189" t="n">
        <v>0</v>
      </c>
      <c r="AD303" s="189" t="inlineStr"/>
    </row>
    <row r="304">
      <c r="A304" s="189" t="inlineStr">
        <is>
          <t>CVE</t>
        </is>
      </c>
      <c r="B304" s="189" t="inlineStr">
        <is>
          <t>CVE-2026-3062</t>
        </is>
      </c>
      <c r="C304" s="189" t="inlineStr">
        <is>
          <t>Out of bounds read and write in Tint in Google Chrome on Mac prior to 145.0.7632.116 allowed a remote attacker to perform out of bounds memory access via a crafted HTML page. (Chromium security severity: High)</t>
        </is>
      </c>
      <c r="D304" s="189" t="n">
        <v>9.800000000000001</v>
      </c>
      <c r="E304" s="189" t="inlineStr">
        <is>
          <t>CRITICAL</t>
        </is>
      </c>
      <c r="F304" s="189" t="n">
        <v>2</v>
      </c>
      <c r="G304" s="189" t="n">
        <v>3</v>
      </c>
      <c r="H304" s="189" t="inlineStr">
        <is>
          <t>HIGH</t>
        </is>
      </c>
      <c r="I304" s="189" t="n">
        <v>15.8</v>
      </c>
      <c r="J304" s="189" t="inlineStr">
        <is>
          <t>NO</t>
        </is>
      </c>
      <c r="K304" s="189" t="inlineStr">
        <is>
          <t>https://nvd.nist.gov/vuln/detail/CVE-2026-3062</t>
        </is>
      </c>
      <c r="L304" s="189" t="inlineStr">
        <is>
          <t>2026-02-27 20:47</t>
        </is>
      </c>
      <c r="M304" s="189" t="inlineStr">
        <is>
          <t>CHECK_VENDOR</t>
        </is>
      </c>
      <c r="N304" s="189" t="inlineStr">
        <is>
          <t>See NVD references</t>
        </is>
      </c>
      <c r="O304" s="189" t="inlineStr">
        <is>
          <t>Apply vendor patches</t>
        </is>
      </c>
      <c r="P304" s="189" t="inlineStr">
        <is>
          <t>linux linux_kernel - | microsoft windows - | apple macos -</t>
        </is>
      </c>
      <c r="Q304" s="189" t="inlineStr">
        <is>
          <t>P3</t>
        </is>
      </c>
      <c r="R304" s="189" t="inlineStr">
        <is>
          <t>🚨 URGENT: Apply vendor patches immediately | 🔒 Isolate affected systems if patch unavailable | 🛡️ Enable additional monitoring/IDS rules</t>
        </is>
      </c>
      <c r="S304" s="189" t="inlineStr">
        <is>
          <t>CVE - IP enrichment n/a</t>
        </is>
      </c>
      <c r="T304" s="189" t="n">
        <v>0.0003</v>
      </c>
      <c r="U304" s="189" t="n">
        <v>0.0683</v>
      </c>
      <c r="V304" s="189" t="inlineStr">
        <is>
          <t>T1203:Exploitation for Client Execution</t>
        </is>
      </c>
      <c r="W304" s="189" t="n">
        <v>1</v>
      </c>
      <c r="X304" s="189" t="inlineStr">
        <is>
          <t>LOW (40%)</t>
        </is>
      </c>
      <c r="Y304" s="189" t="inlineStr">
        <is>
          <t>UNLIKELY</t>
        </is>
      </c>
      <c r="Z304" s="189" t="inlineStr">
        <is>
          <t>CHECK_VENDOR</t>
        </is>
      </c>
      <c r="AA304" s="189" t="inlineStr">
        <is>
          <t>https://nvd.nist.gov/vuln/detail/CVE-2026-3062</t>
        </is>
      </c>
      <c r="AB304" s="189" t="inlineStr">
        <is>
          <t>NONE</t>
        </is>
      </c>
      <c r="AC304" s="189" t="n">
        <v>0</v>
      </c>
      <c r="AD304" s="189" t="inlineStr"/>
    </row>
    <row r="305">
      <c r="A305" s="188" t="inlineStr">
        <is>
          <t>CVE</t>
        </is>
      </c>
      <c r="B305" s="188" t="inlineStr">
        <is>
          <t>CVE-2026-3063</t>
        </is>
      </c>
      <c r="C305" s="188" t="inlineStr">
        <is>
          <t>Inappropriate implementation in DevTools in Google Chrome prior to 145.0.7632.116 allowed an attacker who convinced a user to install a malicious extension to inject scripts or HTML into a privileged page via DevTools. (Chromium security severity: High)</t>
        </is>
      </c>
      <c r="D305" s="188" t="n">
        <v>5.4</v>
      </c>
      <c r="E305" s="188" t="inlineStr">
        <is>
          <t>MEDIUM</t>
        </is>
      </c>
      <c r="F305" s="188" t="n">
        <v>2</v>
      </c>
      <c r="G305" s="188" t="n">
        <v>2</v>
      </c>
      <c r="H305" s="188" t="inlineStr">
        <is>
          <t>MEDIUM</t>
        </is>
      </c>
      <c r="I305" s="188" t="n">
        <v>9.4</v>
      </c>
      <c r="J305" s="188" t="inlineStr">
        <is>
          <t>NO</t>
        </is>
      </c>
      <c r="K305" s="188" t="inlineStr">
        <is>
          <t>https://nvd.nist.gov/vuln/detail/CVE-2026-3063</t>
        </is>
      </c>
      <c r="L305" s="188" t="inlineStr">
        <is>
          <t>2026-02-27 20:47</t>
        </is>
      </c>
      <c r="M305" s="188" t="inlineStr">
        <is>
          <t>CHECK_VENDOR</t>
        </is>
      </c>
      <c r="N305" s="188" t="inlineStr">
        <is>
          <t>See NVD references</t>
        </is>
      </c>
      <c r="O305" s="188" t="inlineStr">
        <is>
          <t>Apply vendor patches</t>
        </is>
      </c>
      <c r="P305" s="188" t="inlineStr">
        <is>
          <t>linux linux_kernel - | microsoft windows - | apple macos -</t>
        </is>
      </c>
      <c r="Q305" s="188" t="inlineStr">
        <is>
          <t>P4</t>
        </is>
      </c>
      <c r="R305" s="188" t="inlineStr">
        <is>
          <t>📅 Schedule patch deployment within 30 days | 🔍 Monitor for exploitation attempts</t>
        </is>
      </c>
      <c r="S305" s="188" t="inlineStr">
        <is>
          <t>CVE - IP enrichment n/a</t>
        </is>
      </c>
      <c r="T305" s="188" t="n">
        <v>0.0001</v>
      </c>
      <c r="U305" s="188" t="n">
        <v>0.0026</v>
      </c>
      <c r="V305" s="188" t="inlineStr">
        <is>
          <t>T1190:Exploit Public-Facing Application</t>
        </is>
      </c>
      <c r="W305" s="188" t="n">
        <v>1</v>
      </c>
      <c r="X305" s="188" t="inlineStr">
        <is>
          <t>LOW (40%)</t>
        </is>
      </c>
      <c r="Y305" s="188" t="inlineStr">
        <is>
          <t>UNLIKELY</t>
        </is>
      </c>
      <c r="Z305" s="188" t="inlineStr">
        <is>
          <t>CHECK_VENDOR</t>
        </is>
      </c>
      <c r="AA305" s="188" t="inlineStr">
        <is>
          <t>https://nvd.nist.gov/vuln/detail/CVE-2026-3063</t>
        </is>
      </c>
      <c r="AB305" s="188" t="inlineStr">
        <is>
          <t>NONE</t>
        </is>
      </c>
      <c r="AC305" s="188" t="n">
        <v>0</v>
      </c>
      <c r="AD305" s="188" t="inlineStr"/>
    </row>
    <row r="306">
      <c r="A306" s="189" t="inlineStr">
        <is>
          <t>CVE</t>
        </is>
      </c>
      <c r="B306" s="189" t="inlineStr">
        <is>
          <t>CVE-2024-58041</t>
        </is>
      </c>
      <c r="C306" s="189"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306" s="189" t="n">
        <v>9.1</v>
      </c>
      <c r="E306" s="189" t="inlineStr">
        <is>
          <t>CRITICAL</t>
        </is>
      </c>
      <c r="F306" s="189" t="n">
        <v>2</v>
      </c>
      <c r="G306" s="189" t="n">
        <v>3</v>
      </c>
      <c r="H306" s="189" t="inlineStr">
        <is>
          <t>HIGH</t>
        </is>
      </c>
      <c r="I306" s="189" t="n">
        <v>15.1</v>
      </c>
      <c r="J306" s="189" t="inlineStr">
        <is>
          <t>NO</t>
        </is>
      </c>
      <c r="K306" s="189" t="inlineStr">
        <is>
          <t>https://nvd.nist.gov/vuln/detail/CVE-2024-58041</t>
        </is>
      </c>
      <c r="L306" s="189" t="inlineStr">
        <is>
          <t>2026-02-27 20:47</t>
        </is>
      </c>
      <c r="M306" s="189" t="inlineStr">
        <is>
          <t>CHECK_VENDOR</t>
        </is>
      </c>
      <c r="N306" s="189" t="inlineStr">
        <is>
          <t>See NVD references</t>
        </is>
      </c>
      <c r="O306" s="189" t="inlineStr">
        <is>
          <t>Apply vendor patches</t>
        </is>
      </c>
      <c r="P306" s="189" t="inlineStr">
        <is>
          <t>See CVE details</t>
        </is>
      </c>
      <c r="Q306" s="189" t="inlineStr">
        <is>
          <t>P3</t>
        </is>
      </c>
      <c r="R306" s="189" t="inlineStr">
        <is>
          <t>🚨 URGENT: Apply vendor patches immediately | 🔒 Isolate affected systems if patch unavailable | 🛡️ Enable additional monitoring/IDS rules</t>
        </is>
      </c>
      <c r="S306" s="189" t="inlineStr">
        <is>
          <t>CVE - IP enrichment n/a</t>
        </is>
      </c>
      <c r="T306" s="189" t="n">
        <v>0.0003</v>
      </c>
      <c r="U306" s="189" t="n">
        <v>0.0901</v>
      </c>
      <c r="V306" s="189" t="inlineStr">
        <is>
          <t>T1190:Exploit Public-Facing Application | T1600:Weaken Encryption</t>
        </is>
      </c>
      <c r="W306" s="189" t="n">
        <v>1</v>
      </c>
      <c r="X306" s="189" t="inlineStr">
        <is>
          <t>LOW (40%)</t>
        </is>
      </c>
      <c r="Y306" s="189" t="inlineStr">
        <is>
          <t>UNLIKELY</t>
        </is>
      </c>
      <c r="Z306" s="189" t="inlineStr">
        <is>
          <t>CHECK_VENDOR</t>
        </is>
      </c>
      <c r="AA306" s="189" t="inlineStr">
        <is>
          <t>https://nvd.nist.gov/vuln/detail/CVE-2024-58041</t>
        </is>
      </c>
      <c r="AB306" s="189" t="inlineStr">
        <is>
          <t>NONE</t>
        </is>
      </c>
      <c r="AC306" s="189" t="n">
        <v>0</v>
      </c>
      <c r="AD306" s="189" t="inlineStr"/>
    </row>
    <row r="307">
      <c r="A307" s="187" t="inlineStr">
        <is>
          <t>CVE</t>
        </is>
      </c>
      <c r="B307" s="187" t="inlineStr">
        <is>
          <t>CVE-2025-69250</t>
        </is>
      </c>
      <c r="C307" s="187"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307" s="187" t="n">
        <v>7.5</v>
      </c>
      <c r="E307" s="187" t="inlineStr">
        <is>
          <t>HIGH</t>
        </is>
      </c>
      <c r="F307" s="187" t="n">
        <v>2</v>
      </c>
      <c r="G307" s="187" t="n">
        <v>3</v>
      </c>
      <c r="H307" s="187" t="inlineStr">
        <is>
          <t>HIGH</t>
        </is>
      </c>
      <c r="I307" s="187" t="n">
        <v>13.5</v>
      </c>
      <c r="J307" s="187" t="inlineStr">
        <is>
          <t>NO</t>
        </is>
      </c>
      <c r="K307" s="187" t="inlineStr">
        <is>
          <t>https://nvd.nist.gov/vuln/detail/CVE-2025-69250</t>
        </is>
      </c>
      <c r="L307" s="187" t="inlineStr">
        <is>
          <t>2026-02-27 20:47</t>
        </is>
      </c>
      <c r="M307" s="187" t="inlineStr">
        <is>
          <t>YES</t>
        </is>
      </c>
      <c r="N307" s="187" t="inlineStr">
        <is>
          <t>https://github.com/free5gc/free5gc/issues/750 | https://github.com/free5gc/free5gc/security/advisories/GHSA-6w77-5pqh-83rm | https://github.com/free5gc/udm/commit/504b14458d156558b3c0ade7107b86b3d5e72998</t>
        </is>
      </c>
      <c r="O307" s="187" t="inlineStr">
        <is>
          <t>Apply vendor patches</t>
        </is>
      </c>
      <c r="P307" s="187" t="inlineStr">
        <is>
          <t>free5gc udm *</t>
        </is>
      </c>
      <c r="Q307" s="187" t="inlineStr">
        <is>
          <t>P3</t>
        </is>
      </c>
      <c r="R307" s="187" t="inlineStr">
        <is>
          <t>🚨 URGENT: Apply vendor patches immediately | 🔒 Isolate affected systems if patch unavailable | 🛡️ Enable additional monitoring/IDS rules</t>
        </is>
      </c>
      <c r="S307" s="187" t="inlineStr">
        <is>
          <t>CVE - IP enrichment n/a</t>
        </is>
      </c>
      <c r="T307" s="187" t="n">
        <v>0.0007</v>
      </c>
      <c r="U307" s="187" t="n">
        <v>0.2116</v>
      </c>
      <c r="V307" s="187" t="inlineStr">
        <is>
          <t>T1190:Exploit Public-Facing Application</t>
        </is>
      </c>
      <c r="W307" s="187" t="n">
        <v>1</v>
      </c>
      <c r="X307" s="187" t="inlineStr">
        <is>
          <t>LOW (40%)</t>
        </is>
      </c>
      <c r="Y307" s="187" t="inlineStr">
        <is>
          <t>UNLIKELY</t>
        </is>
      </c>
      <c r="Z307" s="187" t="inlineStr">
        <is>
          <t>PATCH_AVAILABLE</t>
        </is>
      </c>
      <c r="AA307" s="187" t="inlineStr">
        <is>
          <t>https://nvd.nist.gov/vuln/detail/CVE-2025-69250</t>
        </is>
      </c>
      <c r="AB307" s="187" t="inlineStr">
        <is>
          <t>NONE</t>
        </is>
      </c>
      <c r="AC307" s="187" t="n">
        <v>0</v>
      </c>
      <c r="AD307" s="187" t="inlineStr"/>
    </row>
    <row r="308">
      <c r="A308" s="188" t="inlineStr">
        <is>
          <t>CVE</t>
        </is>
      </c>
      <c r="B308" s="188" t="inlineStr">
        <is>
          <t>CVE-2025-69251</t>
        </is>
      </c>
      <c r="C308" s="188"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308" s="188" t="n">
        <v>5.3</v>
      </c>
      <c r="E308" s="188" t="inlineStr">
        <is>
          <t>MEDIUM</t>
        </is>
      </c>
      <c r="F308" s="188" t="n">
        <v>2</v>
      </c>
      <c r="G308" s="188" t="n">
        <v>2</v>
      </c>
      <c r="H308" s="188" t="inlineStr">
        <is>
          <t>MEDIUM</t>
        </is>
      </c>
      <c r="I308" s="188" t="n">
        <v>9.300000000000001</v>
      </c>
      <c r="J308" s="188" t="inlineStr">
        <is>
          <t>NO</t>
        </is>
      </c>
      <c r="K308" s="188" t="inlineStr">
        <is>
          <t>https://nvd.nist.gov/vuln/detail/CVE-2025-69251</t>
        </is>
      </c>
      <c r="L308" s="188" t="inlineStr">
        <is>
          <t>2026-02-27 20:47</t>
        </is>
      </c>
      <c r="M308" s="188" t="inlineStr">
        <is>
          <t>YES</t>
        </is>
      </c>
      <c r="N308" s="188" t="inlineStr">
        <is>
          <t>https://github.com/free5gc/free5gc/issues/751 | https://github.com/free5gc/free5gc/issues/76 | https://github.com/free5gc/free5gc/security/advisories/GHSA-pwxh-4qh4-hgpq</t>
        </is>
      </c>
      <c r="O308" s="188" t="inlineStr">
        <is>
          <t>Apply vendor patches</t>
        </is>
      </c>
      <c r="P308" s="188" t="inlineStr">
        <is>
          <t>free5gc udm *</t>
        </is>
      </c>
      <c r="Q308" s="188" t="inlineStr">
        <is>
          <t>P4</t>
        </is>
      </c>
      <c r="R308" s="188" t="inlineStr">
        <is>
          <t>📅 Schedule patch deployment within 30 days | 🔍 Monitor for exploitation attempts</t>
        </is>
      </c>
      <c r="S308" s="188" t="inlineStr">
        <is>
          <t>CVE - IP enrichment n/a</t>
        </is>
      </c>
      <c r="T308" s="188" t="n">
        <v>0.0005999999999999999</v>
      </c>
      <c r="U308" s="188" t="n">
        <v>0.1699</v>
      </c>
      <c r="V308" s="188" t="inlineStr">
        <is>
          <t>T1190:Exploit Public-Facing Application</t>
        </is>
      </c>
      <c r="W308" s="188" t="n">
        <v>1</v>
      </c>
      <c r="X308" s="188" t="inlineStr">
        <is>
          <t>LOW (40%)</t>
        </is>
      </c>
      <c r="Y308" s="188" t="inlineStr">
        <is>
          <t>UNLIKELY</t>
        </is>
      </c>
      <c r="Z308" s="188" t="inlineStr">
        <is>
          <t>PATCH_AVAILABLE</t>
        </is>
      </c>
      <c r="AA308" s="188" t="inlineStr">
        <is>
          <t>https://nvd.nist.gov/vuln/detail/CVE-2025-69251</t>
        </is>
      </c>
      <c r="AB308" s="188" t="inlineStr">
        <is>
          <t>NONE</t>
        </is>
      </c>
      <c r="AC308" s="188" t="n">
        <v>0</v>
      </c>
      <c r="AD308" s="188" t="inlineStr"/>
    </row>
    <row r="309">
      <c r="A309" s="187" t="inlineStr">
        <is>
          <t>CVE</t>
        </is>
      </c>
      <c r="B309" s="187" t="inlineStr">
        <is>
          <t>CVE-2025-69252</t>
        </is>
      </c>
      <c r="C309" s="187"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309" s="187" t="n">
        <v>7.5</v>
      </c>
      <c r="E309" s="187" t="inlineStr">
        <is>
          <t>HIGH</t>
        </is>
      </c>
      <c r="F309" s="187" t="n">
        <v>2</v>
      </c>
      <c r="G309" s="187" t="n">
        <v>3</v>
      </c>
      <c r="H309" s="187" t="inlineStr">
        <is>
          <t>HIGH</t>
        </is>
      </c>
      <c r="I309" s="187" t="n">
        <v>13.5</v>
      </c>
      <c r="J309" s="187" t="inlineStr">
        <is>
          <t>NO</t>
        </is>
      </c>
      <c r="K309" s="187" t="inlineStr">
        <is>
          <t>https://nvd.nist.gov/vuln/detail/CVE-2025-69252</t>
        </is>
      </c>
      <c r="L309" s="187" t="inlineStr">
        <is>
          <t>2026-02-27 20:47</t>
        </is>
      </c>
      <c r="M309" s="187" t="inlineStr">
        <is>
          <t>YES</t>
        </is>
      </c>
      <c r="N309" s="187" t="inlineStr">
        <is>
          <t>https://github.com/free5gc/free5gc/issues/752 | https://github.com/free5gc/free5gc/security/advisories/GHSA-v8cv-qvf6-9rpm | https://github.com/free5gc/udm/commit/504b14458d156558b3c0ade7107b86b3d5e72998</t>
        </is>
      </c>
      <c r="O309" s="187" t="inlineStr">
        <is>
          <t>Apply vendor patches</t>
        </is>
      </c>
      <c r="P309" s="187" t="inlineStr">
        <is>
          <t>free5gc udm *</t>
        </is>
      </c>
      <c r="Q309" s="187" t="inlineStr">
        <is>
          <t>P3</t>
        </is>
      </c>
      <c r="R309" s="187" t="inlineStr">
        <is>
          <t>🚨 URGENT: Apply vendor patches immediately | 🔒 Isolate affected systems if patch unavailable | 🛡️ Enable additional monitoring/IDS rules</t>
        </is>
      </c>
      <c r="S309" s="187" t="inlineStr">
        <is>
          <t>CVE - IP enrichment n/a</t>
        </is>
      </c>
      <c r="T309" s="187" t="n">
        <v>0.0026</v>
      </c>
      <c r="U309" s="187" t="n">
        <v>0.4885</v>
      </c>
      <c r="V309" s="187" t="inlineStr">
        <is>
          <t>T1499:Endpoint Denial of Service | T1190:Exploit Public-Facing Application</t>
        </is>
      </c>
      <c r="W309" s="187" t="n">
        <v>1</v>
      </c>
      <c r="X309" s="187" t="inlineStr">
        <is>
          <t>LOW (40%)</t>
        </is>
      </c>
      <c r="Y309" s="187" t="inlineStr">
        <is>
          <t>UNLIKELY</t>
        </is>
      </c>
      <c r="Z309" s="187" t="inlineStr">
        <is>
          <t>PATCH_AVAILABLE</t>
        </is>
      </c>
      <c r="AA309" s="187" t="inlineStr">
        <is>
          <t>https://nvd.nist.gov/vuln/detail/CVE-2025-69252</t>
        </is>
      </c>
      <c r="AB309" s="187" t="inlineStr">
        <is>
          <t>NONE</t>
        </is>
      </c>
      <c r="AC309" s="187" t="n">
        <v>0</v>
      </c>
      <c r="AD309" s="187" t="inlineStr"/>
    </row>
    <row r="310">
      <c r="A310" s="187" t="inlineStr">
        <is>
          <t>CVE</t>
        </is>
      </c>
      <c r="B310" s="187" t="inlineStr">
        <is>
          <t>CVE-2026-3042</t>
        </is>
      </c>
      <c r="C310" s="187"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310" s="187" t="n">
        <v>7.3</v>
      </c>
      <c r="E310" s="187" t="inlineStr">
        <is>
          <t>HIGH</t>
        </is>
      </c>
      <c r="F310" s="187" t="n">
        <v>2</v>
      </c>
      <c r="G310" s="187" t="n">
        <v>3</v>
      </c>
      <c r="H310" s="187" t="inlineStr">
        <is>
          <t>HIGH</t>
        </is>
      </c>
      <c r="I310" s="187" t="n">
        <v>13.3</v>
      </c>
      <c r="J310" s="187" t="inlineStr">
        <is>
          <t>NO</t>
        </is>
      </c>
      <c r="K310" s="187" t="inlineStr">
        <is>
          <t>https://nvd.nist.gov/vuln/detail/CVE-2026-3042</t>
        </is>
      </c>
      <c r="L310" s="187" t="inlineStr">
        <is>
          <t>2026-02-27 20:47</t>
        </is>
      </c>
      <c r="M310" s="187" t="inlineStr">
        <is>
          <t>YES</t>
        </is>
      </c>
      <c r="N310" s="187" t="inlineStr">
        <is>
          <t>https://github.com/ltranquility/cve_submit/issues/1</t>
        </is>
      </c>
      <c r="O310" s="187" t="inlineStr">
        <is>
          <t>https://github.com/ltranquility/cve_submit/issues/1</t>
        </is>
      </c>
      <c r="P310" s="187" t="inlineStr">
        <is>
          <t>admerc event_management_system 1.0</t>
        </is>
      </c>
      <c r="Q310" s="187" t="inlineStr">
        <is>
          <t>P3</t>
        </is>
      </c>
      <c r="R310" s="187" t="inlineStr">
        <is>
          <t>🚨 URGENT: Apply vendor patches immediately | 🔒 Isolate affected systems if patch unavailable | 🛡️ Enable additional monitoring/IDS rules</t>
        </is>
      </c>
      <c r="S310" s="187" t="inlineStr">
        <is>
          <t>CVE - IP enrichment n/a</t>
        </is>
      </c>
      <c r="T310" s="187" t="n">
        <v>0.0003</v>
      </c>
      <c r="U310" s="187" t="n">
        <v>0.0711</v>
      </c>
      <c r="V310" s="187" t="inlineStr">
        <is>
          <t>T1190:Exploit Public-Facing Application</t>
        </is>
      </c>
      <c r="W310" s="187" t="n">
        <v>1</v>
      </c>
      <c r="X310" s="187" t="inlineStr">
        <is>
          <t>LOW (40%)</t>
        </is>
      </c>
      <c r="Y310" s="187" t="inlineStr">
        <is>
          <t>UNLIKELY</t>
        </is>
      </c>
      <c r="Z310" s="187" t="inlineStr">
        <is>
          <t>PATCH_AVAILABLE</t>
        </is>
      </c>
      <c r="AA310" s="187" t="inlineStr">
        <is>
          <t>https://nvd.nist.gov/vuln/detail/CVE-2026-3042</t>
        </is>
      </c>
      <c r="AB310" s="187" t="inlineStr">
        <is>
          <t>NONE</t>
        </is>
      </c>
      <c r="AC310" s="187" t="n">
        <v>0</v>
      </c>
      <c r="AD310" s="187" t="inlineStr"/>
    </row>
    <row r="311">
      <c r="A311" s="188" t="inlineStr">
        <is>
          <t>CVE</t>
        </is>
      </c>
      <c r="B311" s="188" t="inlineStr">
        <is>
          <t>CVE-2026-3043</t>
        </is>
      </c>
      <c r="C311" s="188"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311" s="188" t="n">
        <v>4.3</v>
      </c>
      <c r="E311" s="188" t="inlineStr">
        <is>
          <t>MEDIUM</t>
        </is>
      </c>
      <c r="F311" s="188" t="n">
        <v>2</v>
      </c>
      <c r="G311" s="188" t="n">
        <v>2</v>
      </c>
      <c r="H311" s="188" t="inlineStr">
        <is>
          <t>MEDIUM</t>
        </is>
      </c>
      <c r="I311" s="188" t="n">
        <v>8.300000000000001</v>
      </c>
      <c r="J311" s="188" t="inlineStr">
        <is>
          <t>NO</t>
        </is>
      </c>
      <c r="K311" s="188" t="inlineStr">
        <is>
          <t>https://nvd.nist.gov/vuln/detail/CVE-2026-3043</t>
        </is>
      </c>
      <c r="L311" s="188" t="inlineStr">
        <is>
          <t>2026-02-27 20:47</t>
        </is>
      </c>
      <c r="M311" s="188" t="inlineStr">
        <is>
          <t>YES</t>
        </is>
      </c>
      <c r="N311" s="188" t="inlineStr">
        <is>
          <t>https://github.com/ltranquility/cve_submit/issues/2</t>
        </is>
      </c>
      <c r="O311" s="188" t="inlineStr">
        <is>
          <t>https://github.com/ltranquility/cve_submit/issues/2</t>
        </is>
      </c>
      <c r="P311" s="188" t="inlineStr">
        <is>
          <t>admerc event_management_system 1.0</t>
        </is>
      </c>
      <c r="Q311" s="188" t="inlineStr">
        <is>
          <t>P4</t>
        </is>
      </c>
      <c r="R311" s="188" t="inlineStr">
        <is>
          <t>📅 Schedule patch deployment within 30 days | 🔍 Monitor for exploitation attempts</t>
        </is>
      </c>
      <c r="S311" s="188" t="inlineStr">
        <is>
          <t>CVE - IP enrichment n/a</t>
        </is>
      </c>
      <c r="T311" s="188" t="n">
        <v>0.0003</v>
      </c>
      <c r="U311" s="188" t="n">
        <v>0.0842</v>
      </c>
      <c r="V311" s="188" t="inlineStr">
        <is>
          <t>T1189:Drive-by Compromise | T1190:Exploit Public-Facing Application</t>
        </is>
      </c>
      <c r="W311" s="188" t="n">
        <v>1</v>
      </c>
      <c r="X311" s="188" t="inlineStr">
        <is>
          <t>LOW (40%)</t>
        </is>
      </c>
      <c r="Y311" s="188" t="inlineStr">
        <is>
          <t>UNLIKELY</t>
        </is>
      </c>
      <c r="Z311" s="188" t="inlineStr">
        <is>
          <t>PATCH_AVAILABLE</t>
        </is>
      </c>
      <c r="AA311" s="188" t="inlineStr">
        <is>
          <t>https://nvd.nist.gov/vuln/detail/CVE-2026-3043</t>
        </is>
      </c>
      <c r="AB311" s="188" t="inlineStr">
        <is>
          <t>NONE</t>
        </is>
      </c>
      <c r="AC311" s="188" t="n">
        <v>0</v>
      </c>
      <c r="AD311" s="188" t="inlineStr"/>
    </row>
    <row r="312">
      <c r="A312" s="187" t="inlineStr">
        <is>
          <t>CVE</t>
        </is>
      </c>
      <c r="B312" s="187" t="inlineStr">
        <is>
          <t>CVE-2026-3044</t>
        </is>
      </c>
      <c r="C312" s="187"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312" s="187" t="n">
        <v>8.800000000000001</v>
      </c>
      <c r="E312" s="187" t="inlineStr">
        <is>
          <t>HIGH</t>
        </is>
      </c>
      <c r="F312" s="187" t="n">
        <v>2</v>
      </c>
      <c r="G312" s="187" t="n">
        <v>3</v>
      </c>
      <c r="H312" s="187" t="inlineStr">
        <is>
          <t>HIGH</t>
        </is>
      </c>
      <c r="I312" s="187" t="n">
        <v>14.8</v>
      </c>
      <c r="J312" s="187" t="inlineStr">
        <is>
          <t>NO</t>
        </is>
      </c>
      <c r="K312" s="187" t="inlineStr">
        <is>
          <t>https://nvd.nist.gov/vuln/detail/CVE-2026-3044</t>
        </is>
      </c>
      <c r="L312" s="187" t="inlineStr">
        <is>
          <t>2026-02-27 20:47</t>
        </is>
      </c>
      <c r="M312" s="187" t="inlineStr">
        <is>
          <t>CHECK_VENDOR</t>
        </is>
      </c>
      <c r="N312" s="187" t="inlineStr">
        <is>
          <t>See NVD references</t>
        </is>
      </c>
      <c r="O312" s="187" t="inlineStr">
        <is>
          <t>Apply vendor patches</t>
        </is>
      </c>
      <c r="P312" s="187" t="inlineStr">
        <is>
          <t>tenda ac8 - | tenda ac8_firmware 16.03.34.06</t>
        </is>
      </c>
      <c r="Q312" s="187" t="inlineStr">
        <is>
          <t>P3</t>
        </is>
      </c>
      <c r="R312" s="187" t="inlineStr">
        <is>
          <t>🚨 URGENT: Apply vendor patches immediately | 🔒 Isolate affected systems if patch unavailable | 🛡️ Enable additional monitoring/IDS rules</t>
        </is>
      </c>
      <c r="S312" s="187" t="inlineStr">
        <is>
          <t>CVE - IP enrichment n/a</t>
        </is>
      </c>
      <c r="T312" s="187" t="n">
        <v>0.0007</v>
      </c>
      <c r="U312" s="187" t="n">
        <v>0.2201</v>
      </c>
      <c r="V312" s="187" t="inlineStr">
        <is>
          <t>T1203:Exploitation for Client Execution</t>
        </is>
      </c>
      <c r="W312" s="187" t="n">
        <v>1</v>
      </c>
      <c r="X312" s="187" t="inlineStr">
        <is>
          <t>LOW (40%)</t>
        </is>
      </c>
      <c r="Y312" s="187" t="inlineStr">
        <is>
          <t>UNLIKELY</t>
        </is>
      </c>
      <c r="Z312" s="187" t="inlineStr">
        <is>
          <t>CHECK_VENDOR</t>
        </is>
      </c>
      <c r="AA312" s="187" t="inlineStr">
        <is>
          <t>https://nvd.nist.gov/vuln/detail/CVE-2026-3044</t>
        </is>
      </c>
      <c r="AB312" s="187" t="inlineStr">
        <is>
          <t>NONE</t>
        </is>
      </c>
      <c r="AC312" s="187" t="n">
        <v>0</v>
      </c>
      <c r="AD312" s="187" t="inlineStr"/>
    </row>
    <row r="313">
      <c r="A313" s="188" t="inlineStr">
        <is>
          <t>CVE</t>
        </is>
      </c>
      <c r="B313" s="188" t="inlineStr">
        <is>
          <t>CVE-2025-69253</t>
        </is>
      </c>
      <c r="C313" s="188"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313" s="188" t="n">
        <v>5.3</v>
      </c>
      <c r="E313" s="188" t="inlineStr">
        <is>
          <t>MEDIUM</t>
        </is>
      </c>
      <c r="F313" s="188" t="n">
        <v>2</v>
      </c>
      <c r="G313" s="188" t="n">
        <v>2</v>
      </c>
      <c r="H313" s="188" t="inlineStr">
        <is>
          <t>MEDIUM</t>
        </is>
      </c>
      <c r="I313" s="188" t="n">
        <v>9.300000000000001</v>
      </c>
      <c r="J313" s="188" t="inlineStr">
        <is>
          <t>NO</t>
        </is>
      </c>
      <c r="K313" s="188" t="inlineStr">
        <is>
          <t>https://nvd.nist.gov/vuln/detail/CVE-2025-69253</t>
        </is>
      </c>
      <c r="L313" s="188" t="inlineStr">
        <is>
          <t>2026-02-27 20:47</t>
        </is>
      </c>
      <c r="M313" s="188" t="inlineStr">
        <is>
          <t>YES</t>
        </is>
      </c>
      <c r="N313" s="188" t="inlineStr">
        <is>
          <t>https://github.com/free5gc/free5gc/issues/753 | https://github.com/free5gc/free5gc/security/advisories/GHSA-cj2h-x8qm-xgwc | https://github.com/free5gc/udr/commit/754d23b03755ad59077ed529ce3b971e477080c4</t>
        </is>
      </c>
      <c r="O313" s="188" t="inlineStr">
        <is>
          <t>Apply vendor patches</t>
        </is>
      </c>
      <c r="P313" s="188" t="inlineStr">
        <is>
          <t>free5gc udr *</t>
        </is>
      </c>
      <c r="Q313" s="188" t="inlineStr">
        <is>
          <t>P4</t>
        </is>
      </c>
      <c r="R313" s="188" t="inlineStr">
        <is>
          <t>📅 Schedule patch deployment within 30 days | 🔍 Monitor for exploitation attempts</t>
        </is>
      </c>
      <c r="S313" s="188" t="inlineStr">
        <is>
          <t>CVE - IP enrichment n/a</t>
        </is>
      </c>
      <c r="T313" s="188" t="n">
        <v>0.0003</v>
      </c>
      <c r="U313" s="188" t="n">
        <v>0.0725</v>
      </c>
      <c r="V313" s="188" t="inlineStr">
        <is>
          <t>T1190:Exploit Public-Facing Application</t>
        </is>
      </c>
      <c r="W313" s="188" t="n">
        <v>1</v>
      </c>
      <c r="X313" s="188" t="inlineStr">
        <is>
          <t>LOW (40%)</t>
        </is>
      </c>
      <c r="Y313" s="188" t="inlineStr">
        <is>
          <t>UNLIKELY</t>
        </is>
      </c>
      <c r="Z313" s="188" t="inlineStr">
        <is>
          <t>PATCH_AVAILABLE</t>
        </is>
      </c>
      <c r="AA313" s="188" t="inlineStr">
        <is>
          <t>https://nvd.nist.gov/vuln/detail/CVE-2025-69253</t>
        </is>
      </c>
      <c r="AB313" s="188" t="inlineStr">
        <is>
          <t>NONE</t>
        </is>
      </c>
      <c r="AC313" s="188" t="n">
        <v>0</v>
      </c>
      <c r="AD313" s="188" t="inlineStr"/>
    </row>
    <row r="314">
      <c r="A314" s="188" t="inlineStr">
        <is>
          <t>CVE</t>
        </is>
      </c>
      <c r="B314" s="188" t="inlineStr">
        <is>
          <t>CVE-2025-9120</t>
        </is>
      </c>
      <c r="C314" s="188"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314" s="188" t="n">
        <v>5</v>
      </c>
      <c r="E314" s="188" t="inlineStr">
        <is>
          <t>MEDIUM</t>
        </is>
      </c>
      <c r="F314" s="188" t="n">
        <v>2</v>
      </c>
      <c r="G314" s="188" t="n">
        <v>2</v>
      </c>
      <c r="H314" s="188" t="inlineStr">
        <is>
          <t>MEDIUM</t>
        </is>
      </c>
      <c r="I314" s="188" t="n">
        <v>9</v>
      </c>
      <c r="J314" s="188" t="inlineStr">
        <is>
          <t>NO</t>
        </is>
      </c>
      <c r="K314" s="188" t="inlineStr">
        <is>
          <t>https://nvd.nist.gov/vuln/detail/CVE-2025-9120</t>
        </is>
      </c>
      <c r="L314" s="188" t="inlineStr">
        <is>
          <t>2026-02-27 20:47</t>
        </is>
      </c>
      <c r="M314" s="188" t="inlineStr">
        <is>
          <t>CHECK_VENDOR</t>
        </is>
      </c>
      <c r="N314" s="188" t="inlineStr">
        <is>
          <t>See NVD references</t>
        </is>
      </c>
      <c r="O314" s="188" t="inlineStr">
        <is>
          <t>Apply vendor patches</t>
        </is>
      </c>
      <c r="P314" s="188" t="inlineStr">
        <is>
          <t>See CVE details</t>
        </is>
      </c>
      <c r="Q314" s="188" t="inlineStr">
        <is>
          <t>P4</t>
        </is>
      </c>
      <c r="R314" s="188" t="inlineStr">
        <is>
          <t>📅 Schedule patch deployment within 30 days | 🔍 Monitor for exploitation attempts</t>
        </is>
      </c>
      <c r="S314" s="188" t="inlineStr">
        <is>
          <t>CVE - IP enrichment n/a</t>
        </is>
      </c>
      <c r="T314" s="188" t="n">
        <v>0.0003</v>
      </c>
      <c r="U314" s="188" t="n">
        <v>0.07099999999999999</v>
      </c>
      <c r="V314" s="188" t="inlineStr">
        <is>
          <t>T1059:Command and Scripting Interpreter</t>
        </is>
      </c>
      <c r="W314" s="188" t="n">
        <v>1</v>
      </c>
      <c r="X314" s="188" t="inlineStr">
        <is>
          <t>LOW (40%)</t>
        </is>
      </c>
      <c r="Y314" s="188" t="inlineStr">
        <is>
          <t>UNLIKELY</t>
        </is>
      </c>
      <c r="Z314" s="188" t="inlineStr">
        <is>
          <t>CHECK_VENDOR</t>
        </is>
      </c>
      <c r="AA314" s="188" t="inlineStr">
        <is>
          <t>https://nvd.nist.gov/vuln/detail/CVE-2025-9120</t>
        </is>
      </c>
      <c r="AB314" s="188" t="inlineStr">
        <is>
          <t>NONE</t>
        </is>
      </c>
      <c r="AC314" s="188" t="n">
        <v>0</v>
      </c>
      <c r="AD314" s="188" t="inlineStr"/>
    </row>
    <row r="315">
      <c r="A315" s="188" t="inlineStr">
        <is>
          <t>CVE</t>
        </is>
      </c>
      <c r="B315" s="188" t="inlineStr">
        <is>
          <t>CVE-2026-21864</t>
        </is>
      </c>
      <c r="C315" s="188"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315" s="188" t="n">
        <v>6.5</v>
      </c>
      <c r="E315" s="188" t="inlineStr">
        <is>
          <t>MEDIUM</t>
        </is>
      </c>
      <c r="F315" s="188" t="n">
        <v>2</v>
      </c>
      <c r="G315" s="188" t="n">
        <v>2</v>
      </c>
      <c r="H315" s="188" t="inlineStr">
        <is>
          <t>MEDIUM</t>
        </is>
      </c>
      <c r="I315" s="188" t="n">
        <v>10.5</v>
      </c>
      <c r="J315" s="188" t="inlineStr">
        <is>
          <t>NO</t>
        </is>
      </c>
      <c r="K315" s="188" t="inlineStr">
        <is>
          <t>https://nvd.nist.gov/vuln/detail/CVE-2026-21864</t>
        </is>
      </c>
      <c r="L315" s="188" t="inlineStr">
        <is>
          <t>2026-02-27 20:47</t>
        </is>
      </c>
      <c r="M315" s="188" t="inlineStr">
        <is>
          <t>YES</t>
        </is>
      </c>
      <c r="N315" s="188" t="inlineStr">
        <is>
          <t>https://github.com/valkey-io/valkey-bloom/commit/a68614b6e3845777d383b3a513cedcc08b3b7ccd | https://github.com/valkey-io/valkey-bloom/security/advisories/GHSA-mc2g-h759-3qw2</t>
        </is>
      </c>
      <c r="O315" s="188" t="inlineStr">
        <is>
          <t>Apply vendor patches</t>
        </is>
      </c>
      <c r="P315" s="188" t="inlineStr">
        <is>
          <t>lfprojects valkey-bloom *</t>
        </is>
      </c>
      <c r="Q315" s="188" t="inlineStr">
        <is>
          <t>P4</t>
        </is>
      </c>
      <c r="R315" s="188" t="inlineStr">
        <is>
          <t>📅 Schedule patch deployment within 30 days | 🔍 Monitor for exploitation attempts</t>
        </is>
      </c>
      <c r="S315" s="188" t="inlineStr">
        <is>
          <t>CVE - IP enrichment n/a</t>
        </is>
      </c>
      <c r="T315" s="188" t="n">
        <v>0.0011</v>
      </c>
      <c r="U315" s="188" t="n">
        <v>0.2924</v>
      </c>
      <c r="V315" s="188" t="inlineStr">
        <is>
          <t>T1190:Exploit Public-Facing Application</t>
        </is>
      </c>
      <c r="W315" s="188" t="n">
        <v>1</v>
      </c>
      <c r="X315" s="188" t="inlineStr">
        <is>
          <t>LOW (40%)</t>
        </is>
      </c>
      <c r="Y315" s="188" t="inlineStr">
        <is>
          <t>UNLIKELY</t>
        </is>
      </c>
      <c r="Z315" s="188" t="inlineStr">
        <is>
          <t>PATCH_AVAILABLE</t>
        </is>
      </c>
      <c r="AA315" s="188" t="inlineStr">
        <is>
          <t>https://nvd.nist.gov/vuln/detail/CVE-2026-21864</t>
        </is>
      </c>
      <c r="AB315" s="188" t="inlineStr">
        <is>
          <t>NONE</t>
        </is>
      </c>
      <c r="AC315" s="188" t="n">
        <v>0</v>
      </c>
      <c r="AD315" s="188" t="inlineStr"/>
    </row>
    <row r="316">
      <c r="A316" s="187" t="inlineStr">
        <is>
          <t>CVE</t>
        </is>
      </c>
      <c r="B316" s="187" t="inlineStr">
        <is>
          <t>CVE-2026-24481</t>
        </is>
      </c>
      <c r="C316" s="187"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316" s="187" t="n">
        <v>7.5</v>
      </c>
      <c r="E316" s="187" t="inlineStr">
        <is>
          <t>HIGH</t>
        </is>
      </c>
      <c r="F316" s="187" t="n">
        <v>2</v>
      </c>
      <c r="G316" s="187" t="n">
        <v>3</v>
      </c>
      <c r="H316" s="187" t="inlineStr">
        <is>
          <t>HIGH</t>
        </is>
      </c>
      <c r="I316" s="187" t="n">
        <v>13.5</v>
      </c>
      <c r="J316" s="187" t="inlineStr">
        <is>
          <t>NO</t>
        </is>
      </c>
      <c r="K316" s="187" t="inlineStr">
        <is>
          <t>https://nvd.nist.gov/vuln/detail/CVE-2026-24481</t>
        </is>
      </c>
      <c r="L316" s="187" t="inlineStr">
        <is>
          <t>2026-02-27 20:47</t>
        </is>
      </c>
      <c r="M316" s="187" t="inlineStr">
        <is>
          <t>YES</t>
        </is>
      </c>
      <c r="N316" s="187" t="inlineStr">
        <is>
          <t>https://github.com/ImageMagick/ImageMagick/security/advisories/GHSA-96pc-27rx-pr36</t>
        </is>
      </c>
      <c r="O316" s="187" t="inlineStr">
        <is>
          <t>Apply vendor patches</t>
        </is>
      </c>
      <c r="P316" s="187" t="inlineStr">
        <is>
          <t>imagemagick imagemagick *</t>
        </is>
      </c>
      <c r="Q316" s="187" t="inlineStr">
        <is>
          <t>P3</t>
        </is>
      </c>
      <c r="R316" s="187" t="inlineStr">
        <is>
          <t>🚨 URGENT: Apply vendor patches immediately | 🔒 Isolate affected systems if patch unavailable | 🛡️ Enable additional monitoring/IDS rules</t>
        </is>
      </c>
      <c r="S316" s="187" t="inlineStr">
        <is>
          <t>CVE - IP enrichment n/a</t>
        </is>
      </c>
      <c r="T316" s="187" t="n">
        <v>0.0003</v>
      </c>
      <c r="U316" s="187" t="n">
        <v>0.0921</v>
      </c>
      <c r="V316" s="187" t="inlineStr">
        <is>
          <t>T1203:Exploitation for Client Execution | T1190:Exploit Public-Facing Application | T1213:Data from Information Repositories</t>
        </is>
      </c>
      <c r="W316" s="187" t="n">
        <v>1</v>
      </c>
      <c r="X316" s="187" t="inlineStr">
        <is>
          <t>LOW (40%)</t>
        </is>
      </c>
      <c r="Y316" s="187" t="inlineStr">
        <is>
          <t>UNLIKELY</t>
        </is>
      </c>
      <c r="Z316" s="187" t="inlineStr">
        <is>
          <t>PATCH_AVAILABLE</t>
        </is>
      </c>
      <c r="AA316" s="187" t="inlineStr">
        <is>
          <t>https://nvd.nist.gov/vuln/detail/CVE-2026-24481</t>
        </is>
      </c>
      <c r="AB316" s="187" t="inlineStr">
        <is>
          <t>NONE</t>
        </is>
      </c>
      <c r="AC316" s="187" t="n">
        <v>0</v>
      </c>
      <c r="AD316" s="187" t="inlineStr"/>
    </row>
    <row r="317">
      <c r="A317" s="188" t="inlineStr">
        <is>
          <t>CVE</t>
        </is>
      </c>
      <c r="B317" s="188" t="inlineStr">
        <is>
          <t>CVE-2026-24484</t>
        </is>
      </c>
      <c r="C317" s="188" t="inlineStr">
        <is>
          <t>ImageMagick is free and open-source software used for editing and manipulating digital images. Prior to versions 7.1.2-15 and 6.9.13-40, Magick fails to check for multi-layer nested mvg conversions to svg, leading to DoS. Versions 7.1.2-15 and 6.9.13-40 contain a patch.</t>
        </is>
      </c>
      <c r="D317" s="188" t="n">
        <v>5.3</v>
      </c>
      <c r="E317" s="188" t="inlineStr">
        <is>
          <t>MEDIUM</t>
        </is>
      </c>
      <c r="F317" s="188" t="n">
        <v>2</v>
      </c>
      <c r="G317" s="188" t="n">
        <v>2</v>
      </c>
      <c r="H317" s="188" t="inlineStr">
        <is>
          <t>MEDIUM</t>
        </is>
      </c>
      <c r="I317" s="188" t="n">
        <v>9.300000000000001</v>
      </c>
      <c r="J317" s="188" t="inlineStr">
        <is>
          <t>NO</t>
        </is>
      </c>
      <c r="K317" s="188" t="inlineStr">
        <is>
          <t>https://nvd.nist.gov/vuln/detail/CVE-2026-24484</t>
        </is>
      </c>
      <c r="L317" s="188" t="inlineStr">
        <is>
          <t>2026-02-27 20:47</t>
        </is>
      </c>
      <c r="M317" s="188" t="inlineStr">
        <is>
          <t>YES</t>
        </is>
      </c>
      <c r="N317" s="188" t="inlineStr">
        <is>
          <t>https://github.com/ImageMagick/ImageMagick/commit/0349df6d43d633bd61bb582d1e1e87d6332de32a | https://github.com/ImageMagick/ImageMagick/security/advisories/GHSA-wg3g-gvx5-2pmv</t>
        </is>
      </c>
      <c r="O317" s="188" t="inlineStr">
        <is>
          <t>Apply vendor patches</t>
        </is>
      </c>
      <c r="P317" s="188" t="inlineStr">
        <is>
          <t>dlemstra magick.net * | imagemagick imagemagick *</t>
        </is>
      </c>
      <c r="Q317" s="188" t="inlineStr">
        <is>
          <t>P4</t>
        </is>
      </c>
      <c r="R317" s="188" t="inlineStr">
        <is>
          <t>📅 Schedule patch deployment within 30 days | 🔍 Monitor for exploitation attempts</t>
        </is>
      </c>
      <c r="S317" s="188" t="inlineStr">
        <is>
          <t>CVE - IP enrichment n/a</t>
        </is>
      </c>
      <c r="T317" s="188" t="n">
        <v>0.0004</v>
      </c>
      <c r="U317" s="188" t="n">
        <v>0.1078</v>
      </c>
      <c r="V317" s="188" t="inlineStr">
        <is>
          <t>T1190:Exploit Public-Facing Application</t>
        </is>
      </c>
      <c r="W317" s="188" t="n">
        <v>1</v>
      </c>
      <c r="X317" s="188" t="inlineStr">
        <is>
          <t>LOW (40%)</t>
        </is>
      </c>
      <c r="Y317" s="188" t="inlineStr">
        <is>
          <t>UNLIKELY</t>
        </is>
      </c>
      <c r="Z317" s="188" t="inlineStr">
        <is>
          <t>PATCH_AVAILABLE</t>
        </is>
      </c>
      <c r="AA317" s="188" t="inlineStr">
        <is>
          <t>https://nvd.nist.gov/vuln/detail/CVE-2026-24484</t>
        </is>
      </c>
      <c r="AB317" s="188" t="inlineStr">
        <is>
          <t>NONE</t>
        </is>
      </c>
      <c r="AC317" s="188" t="n">
        <v>0</v>
      </c>
      <c r="AD317" s="188" t="inlineStr"/>
    </row>
    <row r="318">
      <c r="A318" s="187" t="inlineStr">
        <is>
          <t>CVE</t>
        </is>
      </c>
      <c r="B318" s="187" t="inlineStr">
        <is>
          <t>CVE-2026-24485</t>
        </is>
      </c>
      <c r="C318" s="187"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318" s="187" t="n">
        <v>7.5</v>
      </c>
      <c r="E318" s="187" t="inlineStr">
        <is>
          <t>HIGH</t>
        </is>
      </c>
      <c r="F318" s="187" t="n">
        <v>2</v>
      </c>
      <c r="G318" s="187" t="n">
        <v>3</v>
      </c>
      <c r="H318" s="187" t="inlineStr">
        <is>
          <t>HIGH</t>
        </is>
      </c>
      <c r="I318" s="187" t="n">
        <v>13.5</v>
      </c>
      <c r="J318" s="187" t="inlineStr">
        <is>
          <t>NO</t>
        </is>
      </c>
      <c r="K318" s="187" t="inlineStr">
        <is>
          <t>https://nvd.nist.gov/vuln/detail/CVE-2026-24485</t>
        </is>
      </c>
      <c r="L318" s="187" t="inlineStr">
        <is>
          <t>2026-02-27 20:47</t>
        </is>
      </c>
      <c r="M318" s="187" t="inlineStr">
        <is>
          <t>YES</t>
        </is>
      </c>
      <c r="N318" s="187" t="inlineStr">
        <is>
          <t>https://github.com/ImageMagick/ImageMagick/commit/332c1566acc2de77857032d3c2504ead6210ff50 | https://github.com/ImageMagick/ImageMagick/security/advisories/GHSA-pqgj-2p96-rx85</t>
        </is>
      </c>
      <c r="O318" s="187" t="inlineStr">
        <is>
          <t>Apply vendor patches</t>
        </is>
      </c>
      <c r="P318" s="187" t="inlineStr">
        <is>
          <t>dlemstra magick.net * | imagemagick imagemagick *</t>
        </is>
      </c>
      <c r="Q318" s="187" t="inlineStr">
        <is>
          <t>P3</t>
        </is>
      </c>
      <c r="R318" s="187" t="inlineStr">
        <is>
          <t>🚨 URGENT: Apply vendor patches immediately | 🔒 Isolate affected systems if patch unavailable | 🛡️ Enable additional monitoring/IDS rules</t>
        </is>
      </c>
      <c r="S318" s="187" t="inlineStr">
        <is>
          <t>CVE - IP enrichment n/a</t>
        </is>
      </c>
      <c r="T318" s="187" t="n">
        <v>0.0004</v>
      </c>
      <c r="U318" s="187" t="n">
        <v>0.111</v>
      </c>
      <c r="V318" s="187" t="inlineStr">
        <is>
          <t>T1190:Exploit Public-Facing Application | T1499:Endpoint Denial of Service</t>
        </is>
      </c>
      <c r="W318" s="187" t="n">
        <v>1</v>
      </c>
      <c r="X318" s="187" t="inlineStr">
        <is>
          <t>LOW (40%)</t>
        </is>
      </c>
      <c r="Y318" s="187" t="inlineStr">
        <is>
          <t>UNLIKELY</t>
        </is>
      </c>
      <c r="Z318" s="187" t="inlineStr">
        <is>
          <t>PATCH_AVAILABLE</t>
        </is>
      </c>
      <c r="AA318" s="187" t="inlineStr">
        <is>
          <t>https://nvd.nist.gov/vuln/detail/CVE-2026-24485</t>
        </is>
      </c>
      <c r="AB318" s="187" t="inlineStr">
        <is>
          <t>NONE</t>
        </is>
      </c>
      <c r="AC318" s="187" t="n">
        <v>0</v>
      </c>
      <c r="AD318" s="187" t="inlineStr"/>
    </row>
    <row r="319">
      <c r="A319" s="187" t="inlineStr">
        <is>
          <t>CVE</t>
        </is>
      </c>
      <c r="B319" s="187" t="inlineStr">
        <is>
          <t>CVE-2026-25501</t>
        </is>
      </c>
      <c r="C319" s="187"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319" s="187" t="n">
        <v>7.5</v>
      </c>
      <c r="E319" s="187" t="inlineStr">
        <is>
          <t>HIGH</t>
        </is>
      </c>
      <c r="F319" s="187" t="n">
        <v>2</v>
      </c>
      <c r="G319" s="187" t="n">
        <v>3</v>
      </c>
      <c r="H319" s="187" t="inlineStr">
        <is>
          <t>HIGH</t>
        </is>
      </c>
      <c r="I319" s="187" t="n">
        <v>13.5</v>
      </c>
      <c r="J319" s="187" t="inlineStr">
        <is>
          <t>NO</t>
        </is>
      </c>
      <c r="K319" s="187" t="inlineStr">
        <is>
          <t>https://nvd.nist.gov/vuln/detail/CVE-2026-25501</t>
        </is>
      </c>
      <c r="L319" s="187" t="inlineStr">
        <is>
          <t>2026-02-27 20:47</t>
        </is>
      </c>
      <c r="M319" s="187" t="inlineStr">
        <is>
          <t>YES</t>
        </is>
      </c>
      <c r="N319" s="187" t="inlineStr">
        <is>
          <t>https://github.com/free5gc/free5gc/issues/805 | https://github.com/free5gc/free5gc/security/advisories/GHSA-vq85-8f6p-g9q5</t>
        </is>
      </c>
      <c r="O319" s="187" t="inlineStr">
        <is>
          <t>Apply vendor patches</t>
        </is>
      </c>
      <c r="P319" s="187" t="inlineStr">
        <is>
          <t>free5gc smf *</t>
        </is>
      </c>
      <c r="Q319" s="187" t="inlineStr">
        <is>
          <t>P3</t>
        </is>
      </c>
      <c r="R319" s="187" t="inlineStr">
        <is>
          <t>🚨 URGENT: Apply vendor patches immediately | 🔒 Isolate affected systems if patch unavailable | 🛡️ Enable additional monitoring/IDS rules</t>
        </is>
      </c>
      <c r="S319" s="187" t="inlineStr">
        <is>
          <t>CVE - IP enrichment n/a</t>
        </is>
      </c>
      <c r="T319" s="187" t="n">
        <v>0.0004</v>
      </c>
      <c r="U319" s="187" t="n">
        <v>0.1109</v>
      </c>
      <c r="V319" s="187" t="inlineStr">
        <is>
          <t>T1499:Endpoint Denial of Service | T1190:Exploit Public-Facing Application | T1562:Impair Defenses</t>
        </is>
      </c>
      <c r="W319" s="187" t="n">
        <v>1</v>
      </c>
      <c r="X319" s="187" t="inlineStr">
        <is>
          <t>LOW (40%)</t>
        </is>
      </c>
      <c r="Y319" s="187" t="inlineStr">
        <is>
          <t>UNLIKELY</t>
        </is>
      </c>
      <c r="Z319" s="187" t="inlineStr">
        <is>
          <t>PATCH_AVAILABLE</t>
        </is>
      </c>
      <c r="AA319" s="187" t="inlineStr">
        <is>
          <t>https://nvd.nist.gov/vuln/detail/CVE-2026-25501</t>
        </is>
      </c>
      <c r="AB319" s="187" t="inlineStr">
        <is>
          <t>NONE</t>
        </is>
      </c>
      <c r="AC319" s="187" t="n">
        <v>0</v>
      </c>
      <c r="AD319" s="187" t="inlineStr"/>
    </row>
    <row r="320">
      <c r="A320" s="187" t="inlineStr">
        <is>
          <t>CVE</t>
        </is>
      </c>
      <c r="B320" s="187" t="inlineStr">
        <is>
          <t>CVE-2026-25545</t>
        </is>
      </c>
      <c r="C320" s="187"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320" s="187" t="n">
        <v>8.6</v>
      </c>
      <c r="E320" s="187" t="inlineStr">
        <is>
          <t>HIGH</t>
        </is>
      </c>
      <c r="F320" s="187" t="n">
        <v>2</v>
      </c>
      <c r="G320" s="187" t="n">
        <v>3</v>
      </c>
      <c r="H320" s="187" t="inlineStr">
        <is>
          <t>HIGH</t>
        </is>
      </c>
      <c r="I320" s="187" t="n">
        <v>14.6</v>
      </c>
      <c r="J320" s="187" t="inlineStr">
        <is>
          <t>NO</t>
        </is>
      </c>
      <c r="K320" s="187" t="inlineStr">
        <is>
          <t>https://nvd.nist.gov/vuln/detail/CVE-2026-25545</t>
        </is>
      </c>
      <c r="L320" s="187" t="inlineStr">
        <is>
          <t>2026-02-27 20:47</t>
        </is>
      </c>
      <c r="M320" s="187" t="inlineStr">
        <is>
          <t>YES</t>
        </is>
      </c>
      <c r="N320" s="187" t="inlineStr">
        <is>
          <t>https://github.com/withastro/astro/commit/e01e98b063e90d274c42130ec2a60cc0966622c9</t>
        </is>
      </c>
      <c r="O320" s="187" t="inlineStr">
        <is>
          <t>Apply vendor patches</t>
        </is>
      </c>
      <c r="P320" s="187" t="inlineStr">
        <is>
          <t>astro \@astrojs\/node *</t>
        </is>
      </c>
      <c r="Q320" s="187" t="inlineStr">
        <is>
          <t>P3</t>
        </is>
      </c>
      <c r="R320" s="187" t="inlineStr">
        <is>
          <t>🚨 URGENT: Apply vendor patches immediately | 🔒 Isolate affected systems if patch unavailable | 🛡️ Enable additional monitoring/IDS rules</t>
        </is>
      </c>
      <c r="S320" s="187" t="inlineStr">
        <is>
          <t>CVE - IP enrichment n/a</t>
        </is>
      </c>
      <c r="T320" s="187" t="n">
        <v>0.0003</v>
      </c>
      <c r="U320" s="187" t="n">
        <v>0.0774</v>
      </c>
      <c r="V320" s="187" t="inlineStr">
        <is>
          <t>T1090:Proxy</t>
        </is>
      </c>
      <c r="W320" s="187" t="n">
        <v>1</v>
      </c>
      <c r="X320" s="187" t="inlineStr">
        <is>
          <t>LOW (40%)</t>
        </is>
      </c>
      <c r="Y320" s="187" t="inlineStr">
        <is>
          <t>UNLIKELY</t>
        </is>
      </c>
      <c r="Z320" s="187" t="inlineStr">
        <is>
          <t>PATCH_AVAILABLE</t>
        </is>
      </c>
      <c r="AA320" s="187" t="inlineStr">
        <is>
          <t>https://nvd.nist.gov/vuln/detail/CVE-2026-25545</t>
        </is>
      </c>
      <c r="AB320" s="187" t="inlineStr">
        <is>
          <t>NONE</t>
        </is>
      </c>
      <c r="AC320" s="187" t="n">
        <v>0</v>
      </c>
      <c r="AD320" s="187" t="inlineStr"/>
    </row>
    <row r="321">
      <c r="A321" s="188" t="inlineStr">
        <is>
          <t>CVE</t>
        </is>
      </c>
      <c r="B321" s="188" t="inlineStr">
        <is>
          <t>CVE-2026-25576</t>
        </is>
      </c>
      <c r="C321" s="188"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321" s="188" t="n">
        <v>5.1</v>
      </c>
      <c r="E321" s="188" t="inlineStr">
        <is>
          <t>MEDIUM</t>
        </is>
      </c>
      <c r="F321" s="188" t="n">
        <v>2</v>
      </c>
      <c r="G321" s="188" t="n">
        <v>2</v>
      </c>
      <c r="H321" s="188" t="inlineStr">
        <is>
          <t>MEDIUM</t>
        </is>
      </c>
      <c r="I321" s="188" t="n">
        <v>9.1</v>
      </c>
      <c r="J321" s="188" t="inlineStr">
        <is>
          <t>NO</t>
        </is>
      </c>
      <c r="K321" s="188" t="inlineStr">
        <is>
          <t>https://nvd.nist.gov/vuln/detail/CVE-2026-25576</t>
        </is>
      </c>
      <c r="L321" s="188" t="inlineStr">
        <is>
          <t>2026-02-27 20:47</t>
        </is>
      </c>
      <c r="M321" s="188" t="inlineStr">
        <is>
          <t>YES</t>
        </is>
      </c>
      <c r="N321" s="188" t="inlineStr">
        <is>
          <t>https://github.com/ImageMagick/ImageMagick/commit/077b42643212d7da8c1a4f6b2cd0067ebca8ec0f | https://github.com/ImageMagick/ImageMagick/security/advisories/GHSA-jv4p-gjwq-9r2j</t>
        </is>
      </c>
      <c r="O321" s="188" t="inlineStr">
        <is>
          <t>Apply vendor patches</t>
        </is>
      </c>
      <c r="P321" s="188" t="inlineStr">
        <is>
          <t>dlemstra magick.net * | imagemagick imagemagick *</t>
        </is>
      </c>
      <c r="Q321" s="188" t="inlineStr">
        <is>
          <t>P4</t>
        </is>
      </c>
      <c r="R321" s="188" t="inlineStr">
        <is>
          <t>📅 Schedule patch deployment within 30 days | 🔍 Monitor for exploitation attempts</t>
        </is>
      </c>
      <c r="S321" s="188" t="inlineStr">
        <is>
          <t>CVE - IP enrichment n/a</t>
        </is>
      </c>
      <c r="T321" s="188" t="n">
        <v>0.0001</v>
      </c>
      <c r="U321" s="188" t="n">
        <v>0.014</v>
      </c>
      <c r="V321" s="188" t="inlineStr">
        <is>
          <t>T1190:Exploit Public-Facing Application | T1203:Exploitation for Client Execution</t>
        </is>
      </c>
      <c r="W321" s="188" t="n">
        <v>1</v>
      </c>
      <c r="X321" s="188" t="inlineStr">
        <is>
          <t>LOW (40%)</t>
        </is>
      </c>
      <c r="Y321" s="188" t="inlineStr">
        <is>
          <t>UNLIKELY</t>
        </is>
      </c>
      <c r="Z321" s="188" t="inlineStr">
        <is>
          <t>PATCH_AVAILABLE</t>
        </is>
      </c>
      <c r="AA321" s="188" t="inlineStr">
        <is>
          <t>https://nvd.nist.gov/vuln/detail/CVE-2026-25576</t>
        </is>
      </c>
      <c r="AB321" s="188" t="inlineStr">
        <is>
          <t>NONE</t>
        </is>
      </c>
      <c r="AC321" s="188" t="n">
        <v>0</v>
      </c>
      <c r="AD321" s="188" t="inlineStr"/>
    </row>
    <row r="322">
      <c r="A322" s="187" t="inlineStr">
        <is>
          <t>CVE</t>
        </is>
      </c>
      <c r="B322" s="187" t="inlineStr">
        <is>
          <t>CVE-2026-25591</t>
        </is>
      </c>
      <c r="C322" s="187"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322" s="187" t="n">
        <v>8.5</v>
      </c>
      <c r="E322" s="187" t="inlineStr">
        <is>
          <t>HIGH</t>
        </is>
      </c>
      <c r="F322" s="187" t="n">
        <v>2</v>
      </c>
      <c r="G322" s="187" t="n">
        <v>3</v>
      </c>
      <c r="H322" s="187" t="inlineStr">
        <is>
          <t>HIGH</t>
        </is>
      </c>
      <c r="I322" s="187" t="n">
        <v>14.5</v>
      </c>
      <c r="J322" s="187" t="inlineStr">
        <is>
          <t>NO</t>
        </is>
      </c>
      <c r="K322" s="187" t="inlineStr">
        <is>
          <t>https://nvd.nist.gov/vuln/detail/CVE-2026-25591</t>
        </is>
      </c>
      <c r="L322" s="187" t="inlineStr">
        <is>
          <t>2026-02-27 20:47</t>
        </is>
      </c>
      <c r="M322" s="187" t="inlineStr">
        <is>
          <t>CHECK_VENDOR</t>
        </is>
      </c>
      <c r="N322" s="187" t="inlineStr">
        <is>
          <t>See NVD references</t>
        </is>
      </c>
      <c r="O322" s="187" t="inlineStr">
        <is>
          <t>Apply vendor patches</t>
        </is>
      </c>
      <c r="P322" s="187" t="inlineStr">
        <is>
          <t>See CVE details</t>
        </is>
      </c>
      <c r="Q322" s="187" t="inlineStr">
        <is>
          <t>P3</t>
        </is>
      </c>
      <c r="R322" s="187" t="inlineStr">
        <is>
          <t>🚨 URGENT: Apply vendor patches immediately | 🔒 Isolate affected systems if patch unavailable | 🛡️ Enable additional monitoring/IDS rules</t>
        </is>
      </c>
      <c r="S322" s="187" t="inlineStr">
        <is>
          <t>CVE - IP enrichment n/a</t>
        </is>
      </c>
      <c r="T322" s="187" t="n">
        <v>0.0004</v>
      </c>
      <c r="U322" s="187" t="n">
        <v>0.1337</v>
      </c>
      <c r="V322" s="187" t="inlineStr">
        <is>
          <t>T1190:Exploit Public-Facing Application | T1499:Endpoint Denial of Service</t>
        </is>
      </c>
      <c r="W322" s="187" t="n">
        <v>1</v>
      </c>
      <c r="X322" s="187" t="inlineStr">
        <is>
          <t>LOW (40%)</t>
        </is>
      </c>
      <c r="Y322" s="187" t="inlineStr">
        <is>
          <t>UNLIKELY</t>
        </is>
      </c>
      <c r="Z322" s="187" t="inlineStr">
        <is>
          <t>CHECK_VENDOR</t>
        </is>
      </c>
      <c r="AA322" s="187" t="inlineStr">
        <is>
          <t>https://nvd.nist.gov/vuln/detail/CVE-2026-25591</t>
        </is>
      </c>
      <c r="AB322" s="187" t="inlineStr">
        <is>
          <t>NONE</t>
        </is>
      </c>
      <c r="AC322" s="187" t="n">
        <v>0</v>
      </c>
      <c r="AD322" s="187" t="inlineStr"/>
    </row>
    <row r="323">
      <c r="A323" s="188" t="inlineStr">
        <is>
          <t>CVE</t>
        </is>
      </c>
      <c r="B323" s="188" t="inlineStr">
        <is>
          <t>CVE-2026-25637</t>
        </is>
      </c>
      <c r="C323" s="188"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323" s="188" t="n">
        <v>5.3</v>
      </c>
      <c r="E323" s="188" t="inlineStr">
        <is>
          <t>MEDIUM</t>
        </is>
      </c>
      <c r="F323" s="188" t="n">
        <v>2</v>
      </c>
      <c r="G323" s="188" t="n">
        <v>2</v>
      </c>
      <c r="H323" s="188" t="inlineStr">
        <is>
          <t>MEDIUM</t>
        </is>
      </c>
      <c r="I323" s="188" t="n">
        <v>9.300000000000001</v>
      </c>
      <c r="J323" s="188" t="inlineStr">
        <is>
          <t>NO</t>
        </is>
      </c>
      <c r="K323" s="188" t="inlineStr">
        <is>
          <t>https://nvd.nist.gov/vuln/detail/CVE-2026-25637</t>
        </is>
      </c>
      <c r="L323" s="188" t="inlineStr">
        <is>
          <t>2026-02-27 20:47</t>
        </is>
      </c>
      <c r="M323" s="188" t="inlineStr">
        <is>
          <t>YES</t>
        </is>
      </c>
      <c r="N323" s="188" t="inlineStr">
        <is>
          <t>https://github.com/ImageMagick/ImageMagick/commit/30ce0e8efbd72fd6b50ed3a10ae22f57c8901137 | https://github.com/ImageMagick/ImageMagick/security/advisories/GHSA-gm37-qx7w-p258</t>
        </is>
      </c>
      <c r="O323" s="188" t="inlineStr">
        <is>
          <t>Apply vendor patches</t>
        </is>
      </c>
      <c r="P323" s="188" t="inlineStr">
        <is>
          <t>dlemstra magick.net * | imagemagick imagemagick *</t>
        </is>
      </c>
      <c r="Q323" s="188" t="inlineStr">
        <is>
          <t>P4</t>
        </is>
      </c>
      <c r="R323" s="188" t="inlineStr">
        <is>
          <t>📅 Schedule patch deployment within 30 days | 🔍 Monitor for exploitation attempts</t>
        </is>
      </c>
      <c r="S323" s="188" t="inlineStr">
        <is>
          <t>CVE - IP enrichment n/a</t>
        </is>
      </c>
      <c r="T323" s="188" t="n">
        <v>0.0004</v>
      </c>
      <c r="U323" s="188" t="n">
        <v>0.1078</v>
      </c>
      <c r="V323" s="188" t="inlineStr">
        <is>
          <t>T1190:Exploit Public-Facing Application</t>
        </is>
      </c>
      <c r="W323" s="188" t="n">
        <v>1</v>
      </c>
      <c r="X323" s="188" t="inlineStr">
        <is>
          <t>LOW (40%)</t>
        </is>
      </c>
      <c r="Y323" s="188" t="inlineStr">
        <is>
          <t>UNLIKELY</t>
        </is>
      </c>
      <c r="Z323" s="188" t="inlineStr">
        <is>
          <t>PATCH_AVAILABLE</t>
        </is>
      </c>
      <c r="AA323" s="188" t="inlineStr">
        <is>
          <t>https://nvd.nist.gov/vuln/detail/CVE-2026-25637</t>
        </is>
      </c>
      <c r="AB323" s="188" t="inlineStr">
        <is>
          <t>NONE</t>
        </is>
      </c>
      <c r="AC323" s="188" t="n">
        <v>0</v>
      </c>
      <c r="AD323" s="188" t="inlineStr"/>
    </row>
    <row r="324">
      <c r="A324" s="188" t="inlineStr">
        <is>
          <t>CVE</t>
        </is>
      </c>
      <c r="B324" s="188" t="inlineStr">
        <is>
          <t>CVE-2026-25638</t>
        </is>
      </c>
      <c r="C324" s="188"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324" s="188" t="n">
        <v>5.3</v>
      </c>
      <c r="E324" s="188" t="inlineStr">
        <is>
          <t>MEDIUM</t>
        </is>
      </c>
      <c r="F324" s="188" t="n">
        <v>2</v>
      </c>
      <c r="G324" s="188" t="n">
        <v>2</v>
      </c>
      <c r="H324" s="188" t="inlineStr">
        <is>
          <t>MEDIUM</t>
        </is>
      </c>
      <c r="I324" s="188" t="n">
        <v>9.300000000000001</v>
      </c>
      <c r="J324" s="188" t="inlineStr">
        <is>
          <t>NO</t>
        </is>
      </c>
      <c r="K324" s="188" t="inlineStr">
        <is>
          <t>https://nvd.nist.gov/vuln/detail/CVE-2026-25638</t>
        </is>
      </c>
      <c r="L324" s="188" t="inlineStr">
        <is>
          <t>2026-02-27 20:47</t>
        </is>
      </c>
      <c r="M324" s="188" t="inlineStr">
        <is>
          <t>YES</t>
        </is>
      </c>
      <c r="N324" s="188" t="inlineStr">
        <is>
          <t>https://github.com/ImageMagick/ImageMagick/security/advisories/GHSA-gxcx-qjqp-8vjw</t>
        </is>
      </c>
      <c r="O324" s="188" t="inlineStr">
        <is>
          <t>Apply vendor patches</t>
        </is>
      </c>
      <c r="P324" s="188" t="inlineStr">
        <is>
          <t>imagemagick imagemagick *</t>
        </is>
      </c>
      <c r="Q324" s="188" t="inlineStr">
        <is>
          <t>P4</t>
        </is>
      </c>
      <c r="R324" s="188" t="inlineStr">
        <is>
          <t>📅 Schedule patch deployment within 30 days | 🔍 Monitor for exploitation attempts</t>
        </is>
      </c>
      <c r="S324" s="188" t="inlineStr">
        <is>
          <t>CVE - IP enrichment n/a</t>
        </is>
      </c>
      <c r="T324" s="188" t="n">
        <v>0.0004</v>
      </c>
      <c r="U324" s="188" t="n">
        <v>0.1232</v>
      </c>
      <c r="V324" s="188" t="inlineStr">
        <is>
          <t>T1190:Exploit Public-Facing Application</t>
        </is>
      </c>
      <c r="W324" s="188" t="n">
        <v>1</v>
      </c>
      <c r="X324" s="188" t="inlineStr">
        <is>
          <t>LOW (40%)</t>
        </is>
      </c>
      <c r="Y324" s="188" t="inlineStr">
        <is>
          <t>UNLIKELY</t>
        </is>
      </c>
      <c r="Z324" s="188" t="inlineStr">
        <is>
          <t>PATCH_AVAILABLE</t>
        </is>
      </c>
      <c r="AA324" s="188" t="inlineStr">
        <is>
          <t>https://nvd.nist.gov/vuln/detail/CVE-2026-25638</t>
        </is>
      </c>
      <c r="AB324" s="188" t="inlineStr">
        <is>
          <t>NONE</t>
        </is>
      </c>
      <c r="AC324" s="188" t="n">
        <v>0</v>
      </c>
      <c r="AD324" s="188" t="inlineStr"/>
    </row>
    <row r="325">
      <c r="A325" s="187" t="inlineStr">
        <is>
          <t>CVE</t>
        </is>
      </c>
      <c r="B325" s="187" t="inlineStr">
        <is>
          <t>CVE-2026-25794</t>
        </is>
      </c>
      <c r="C325" s="187"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325" s="187" t="n">
        <v>8.199999999999999</v>
      </c>
      <c r="E325" s="187" t="inlineStr">
        <is>
          <t>HIGH</t>
        </is>
      </c>
      <c r="F325" s="187" t="n">
        <v>2</v>
      </c>
      <c r="G325" s="187" t="n">
        <v>3</v>
      </c>
      <c r="H325" s="187" t="inlineStr">
        <is>
          <t>HIGH</t>
        </is>
      </c>
      <c r="I325" s="187" t="n">
        <v>14.2</v>
      </c>
      <c r="J325" s="187" t="inlineStr">
        <is>
          <t>NO</t>
        </is>
      </c>
      <c r="K325" s="187" t="inlineStr">
        <is>
          <t>https://nvd.nist.gov/vuln/detail/CVE-2026-25794</t>
        </is>
      </c>
      <c r="L325" s="187" t="inlineStr">
        <is>
          <t>2026-02-27 20:47</t>
        </is>
      </c>
      <c r="M325" s="187" t="inlineStr">
        <is>
          <t>YES</t>
        </is>
      </c>
      <c r="N325" s="187" t="inlineStr">
        <is>
          <t>https://github.com/ImageMagick/ImageMagick/security/advisories/GHSA-vhqj-f5cj-9x8h</t>
        </is>
      </c>
      <c r="O325" s="187" t="inlineStr">
        <is>
          <t>Apply vendor patches</t>
        </is>
      </c>
      <c r="P325" s="187" t="inlineStr">
        <is>
          <t>imagemagick imagemagick *</t>
        </is>
      </c>
      <c r="Q325" s="187" t="inlineStr">
        <is>
          <t>P3</t>
        </is>
      </c>
      <c r="R325" s="187" t="inlineStr">
        <is>
          <t>🚨 URGENT: Apply vendor patches immediately | 🔒 Isolate affected systems if patch unavailable | 🛡️ Enable additional monitoring/IDS rules</t>
        </is>
      </c>
      <c r="S325" s="187" t="inlineStr">
        <is>
          <t>CVE - IP enrichment n/a</t>
        </is>
      </c>
      <c r="T325" s="187" t="n">
        <v>0.0004</v>
      </c>
      <c r="U325" s="187" t="n">
        <v>0.1205</v>
      </c>
      <c r="V325" s="187" t="inlineStr">
        <is>
          <t>T1190:Exploit Public-Facing Application | T1203:Exploitation for Client Execution</t>
        </is>
      </c>
      <c r="W325" s="187" t="n">
        <v>1</v>
      </c>
      <c r="X325" s="187" t="inlineStr">
        <is>
          <t>LOW (40%)</t>
        </is>
      </c>
      <c r="Y325" s="187" t="inlineStr">
        <is>
          <t>UNLIKELY</t>
        </is>
      </c>
      <c r="Z325" s="187" t="inlineStr">
        <is>
          <t>PATCH_AVAILABLE</t>
        </is>
      </c>
      <c r="AA325" s="187" t="inlineStr">
        <is>
          <t>https://nvd.nist.gov/vuln/detail/CVE-2026-25794</t>
        </is>
      </c>
      <c r="AB325" s="187" t="inlineStr">
        <is>
          <t>NONE</t>
        </is>
      </c>
      <c r="AC325" s="187" t="n">
        <v>0</v>
      </c>
      <c r="AD325" s="187" t="inlineStr"/>
    </row>
    <row r="326">
      <c r="A326" s="188" t="inlineStr">
        <is>
          <t>CVE</t>
        </is>
      </c>
      <c r="B326" s="188" t="inlineStr">
        <is>
          <t>CVE-2026-25795</t>
        </is>
      </c>
      <c r="C326" s="188"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326" s="188" t="n">
        <v>5.3</v>
      </c>
      <c r="E326" s="188" t="inlineStr">
        <is>
          <t>MEDIUM</t>
        </is>
      </c>
      <c r="F326" s="188" t="n">
        <v>2</v>
      </c>
      <c r="G326" s="188" t="n">
        <v>2</v>
      </c>
      <c r="H326" s="188" t="inlineStr">
        <is>
          <t>MEDIUM</t>
        </is>
      </c>
      <c r="I326" s="188" t="n">
        <v>9.300000000000001</v>
      </c>
      <c r="J326" s="188" t="inlineStr">
        <is>
          <t>NO</t>
        </is>
      </c>
      <c r="K326" s="188" t="inlineStr">
        <is>
          <t>https://nvd.nist.gov/vuln/detail/CVE-2026-25795</t>
        </is>
      </c>
      <c r="L326" s="188" t="inlineStr">
        <is>
          <t>2026-02-27 20:47</t>
        </is>
      </c>
      <c r="M326" s="188" t="inlineStr">
        <is>
          <t>YES</t>
        </is>
      </c>
      <c r="N326" s="188" t="inlineStr">
        <is>
          <t>https://github.com/ImageMagick/ImageMagick/security/advisories/GHSA-p33r-fqw2-rqmm</t>
        </is>
      </c>
      <c r="O326" s="188" t="inlineStr">
        <is>
          <t>Apply vendor patches</t>
        </is>
      </c>
      <c r="P326" s="188" t="inlineStr">
        <is>
          <t>imagemagick imagemagick *</t>
        </is>
      </c>
      <c r="Q326" s="188" t="inlineStr">
        <is>
          <t>P4</t>
        </is>
      </c>
      <c r="R326" s="188" t="inlineStr">
        <is>
          <t>📅 Schedule patch deployment within 30 days | 🔍 Monitor for exploitation attempts</t>
        </is>
      </c>
      <c r="S326" s="188" t="inlineStr">
        <is>
          <t>CVE - IP enrichment n/a</t>
        </is>
      </c>
      <c r="T326" s="188" t="n">
        <v>0.0004</v>
      </c>
      <c r="U326" s="188" t="n">
        <v>0.1277</v>
      </c>
      <c r="V326" s="188" t="inlineStr">
        <is>
          <t>T1499:Endpoint Denial of Service | T1190:Exploit Public-Facing Application</t>
        </is>
      </c>
      <c r="W326" s="188" t="n">
        <v>1</v>
      </c>
      <c r="X326" s="188" t="inlineStr">
        <is>
          <t>LOW (40%)</t>
        </is>
      </c>
      <c r="Y326" s="188" t="inlineStr">
        <is>
          <t>UNLIKELY</t>
        </is>
      </c>
      <c r="Z326" s="188" t="inlineStr">
        <is>
          <t>PATCH_AVAILABLE</t>
        </is>
      </c>
      <c r="AA326" s="188" t="inlineStr">
        <is>
          <t>https://nvd.nist.gov/vuln/detail/CVE-2026-25795</t>
        </is>
      </c>
      <c r="AB326" s="188" t="inlineStr">
        <is>
          <t>NONE</t>
        </is>
      </c>
      <c r="AC326" s="188" t="n">
        <v>0</v>
      </c>
      <c r="AD326" s="188" t="inlineStr"/>
    </row>
    <row r="327">
      <c r="A327" s="188" t="inlineStr">
        <is>
          <t>CVE</t>
        </is>
      </c>
      <c r="B327" s="188" t="inlineStr">
        <is>
          <t>CVE-2026-25796</t>
        </is>
      </c>
      <c r="C327" s="188"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327" s="188" t="n">
        <v>5.3</v>
      </c>
      <c r="E327" s="188" t="inlineStr">
        <is>
          <t>MEDIUM</t>
        </is>
      </c>
      <c r="F327" s="188" t="n">
        <v>2</v>
      </c>
      <c r="G327" s="188" t="n">
        <v>2</v>
      </c>
      <c r="H327" s="188" t="inlineStr">
        <is>
          <t>MEDIUM</t>
        </is>
      </c>
      <c r="I327" s="188" t="n">
        <v>9.300000000000001</v>
      </c>
      <c r="J327" s="188" t="inlineStr">
        <is>
          <t>NO</t>
        </is>
      </c>
      <c r="K327" s="188" t="inlineStr">
        <is>
          <t>https://nvd.nist.gov/vuln/detail/CVE-2026-25796</t>
        </is>
      </c>
      <c r="L327" s="188" t="inlineStr">
        <is>
          <t>2026-02-27 20:47</t>
        </is>
      </c>
      <c r="M327" s="188" t="inlineStr">
        <is>
          <t>YES</t>
        </is>
      </c>
      <c r="N327" s="188" t="inlineStr">
        <is>
          <t>https://github.com/ImageMagick/ImageMagick/security/advisories/GHSA-g2pr-qxjg-7r2w</t>
        </is>
      </c>
      <c r="O327" s="188" t="inlineStr">
        <is>
          <t>Apply vendor patches</t>
        </is>
      </c>
      <c r="P327" s="188" t="inlineStr">
        <is>
          <t>imagemagick imagemagick *</t>
        </is>
      </c>
      <c r="Q327" s="188" t="inlineStr">
        <is>
          <t>P4</t>
        </is>
      </c>
      <c r="R327" s="188" t="inlineStr">
        <is>
          <t>📅 Schedule patch deployment within 30 days | 🔍 Monitor for exploitation attempts</t>
        </is>
      </c>
      <c r="S327" s="188" t="inlineStr">
        <is>
          <t>CVE - IP enrichment n/a</t>
        </is>
      </c>
      <c r="T327" s="188" t="n">
        <v>0.0004</v>
      </c>
      <c r="U327" s="188" t="n">
        <v>0.1265</v>
      </c>
      <c r="V327" s="188" t="inlineStr">
        <is>
          <t>T1190:Exploit Public-Facing Application | T1499:Endpoint Denial of Service</t>
        </is>
      </c>
      <c r="W327" s="188" t="n">
        <v>1</v>
      </c>
      <c r="X327" s="188" t="inlineStr">
        <is>
          <t>LOW (40%)</t>
        </is>
      </c>
      <c r="Y327" s="188" t="inlineStr">
        <is>
          <t>UNLIKELY</t>
        </is>
      </c>
      <c r="Z327" s="188" t="inlineStr">
        <is>
          <t>PATCH_AVAILABLE</t>
        </is>
      </c>
      <c r="AA327" s="188" t="inlineStr">
        <is>
          <t>https://nvd.nist.gov/vuln/detail/CVE-2026-25796</t>
        </is>
      </c>
      <c r="AB327" s="188" t="inlineStr">
        <is>
          <t>NONE</t>
        </is>
      </c>
      <c r="AC327" s="188" t="n">
        <v>0</v>
      </c>
      <c r="AD327" s="188" t="inlineStr"/>
    </row>
    <row r="328">
      <c r="A328" s="188" t="inlineStr">
        <is>
          <t>CVE</t>
        </is>
      </c>
      <c r="B328" s="188" t="inlineStr">
        <is>
          <t>CVE-2026-25797</t>
        </is>
      </c>
      <c r="C328" s="188"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328" s="188" t="n">
        <v>5.7</v>
      </c>
      <c r="E328" s="188" t="inlineStr">
        <is>
          <t>MEDIUM</t>
        </is>
      </c>
      <c r="F328" s="188" t="n">
        <v>2</v>
      </c>
      <c r="G328" s="188" t="n">
        <v>2</v>
      </c>
      <c r="H328" s="188" t="inlineStr">
        <is>
          <t>MEDIUM</t>
        </is>
      </c>
      <c r="I328" s="188" t="n">
        <v>9.699999999999999</v>
      </c>
      <c r="J328" s="188" t="inlineStr">
        <is>
          <t>NO</t>
        </is>
      </c>
      <c r="K328" s="188" t="inlineStr">
        <is>
          <t>https://nvd.nist.gov/vuln/detail/CVE-2026-25797</t>
        </is>
      </c>
      <c r="L328" s="188" t="inlineStr">
        <is>
          <t>2026-02-27 20:47</t>
        </is>
      </c>
      <c r="M328" s="188" t="inlineStr">
        <is>
          <t>CHECK_VENDOR</t>
        </is>
      </c>
      <c r="N328" s="188" t="inlineStr">
        <is>
          <t>See NVD references</t>
        </is>
      </c>
      <c r="O328" s="188" t="inlineStr">
        <is>
          <t>Apply vendor patches</t>
        </is>
      </c>
      <c r="P328" s="188" t="inlineStr">
        <is>
          <t>imagemagick imagemagick *</t>
        </is>
      </c>
      <c r="Q328" s="188" t="inlineStr">
        <is>
          <t>P4</t>
        </is>
      </c>
      <c r="R328" s="188" t="inlineStr">
        <is>
          <t>📅 Schedule patch deployment within 30 days | 🔍 Monitor for exploitation attempts</t>
        </is>
      </c>
      <c r="S328" s="188" t="inlineStr">
        <is>
          <t>CVE - IP enrichment n/a</t>
        </is>
      </c>
      <c r="T328" s="188" t="n">
        <v>0.0002</v>
      </c>
      <c r="U328" s="188" t="n">
        <v>0.0483</v>
      </c>
      <c r="V328" s="188" t="inlineStr">
        <is>
          <t>T1059:Command and Scripting Interpreter | T1190:Exploit Public-Facing Application</t>
        </is>
      </c>
      <c r="W328" s="188" t="n">
        <v>1</v>
      </c>
      <c r="X328" s="188" t="inlineStr">
        <is>
          <t>LOW (40%)</t>
        </is>
      </c>
      <c r="Y328" s="188" t="inlineStr">
        <is>
          <t>UNLIKELY</t>
        </is>
      </c>
      <c r="Z328" s="188" t="inlineStr">
        <is>
          <t>CHECK_VENDOR</t>
        </is>
      </c>
      <c r="AA328" s="188" t="inlineStr">
        <is>
          <t>https://nvd.nist.gov/vuln/detail/CVE-2026-25797</t>
        </is>
      </c>
      <c r="AB328" s="188" t="inlineStr">
        <is>
          <t>NONE</t>
        </is>
      </c>
      <c r="AC328" s="188" t="n">
        <v>0</v>
      </c>
      <c r="AD328" s="188" t="inlineStr"/>
    </row>
    <row r="329">
      <c r="A329" s="188" t="inlineStr">
        <is>
          <t>CVE</t>
        </is>
      </c>
      <c r="B329" s="188" t="inlineStr">
        <is>
          <t>CVE-2026-25798</t>
        </is>
      </c>
      <c r="C329" s="188"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329" s="188" t="n">
        <v>5.3</v>
      </c>
      <c r="E329" s="188" t="inlineStr">
        <is>
          <t>MEDIUM</t>
        </is>
      </c>
      <c r="F329" s="188" t="n">
        <v>2</v>
      </c>
      <c r="G329" s="188" t="n">
        <v>2</v>
      </c>
      <c r="H329" s="188" t="inlineStr">
        <is>
          <t>MEDIUM</t>
        </is>
      </c>
      <c r="I329" s="188" t="n">
        <v>9.300000000000001</v>
      </c>
      <c r="J329" s="188" t="inlineStr">
        <is>
          <t>NO</t>
        </is>
      </c>
      <c r="K329" s="188" t="inlineStr">
        <is>
          <t>https://nvd.nist.gov/vuln/detail/CVE-2026-25798</t>
        </is>
      </c>
      <c r="L329" s="188" t="inlineStr">
        <is>
          <t>2026-02-27 20:47</t>
        </is>
      </c>
      <c r="M329" s="188" t="inlineStr">
        <is>
          <t>YES</t>
        </is>
      </c>
      <c r="N329" s="188" t="inlineStr">
        <is>
          <t>https://github.com/ImageMagick/ImageMagick/security/advisories/GHSA-p863-5fgm-rgq4</t>
        </is>
      </c>
      <c r="O329" s="188" t="inlineStr">
        <is>
          <t>Apply vendor patches</t>
        </is>
      </c>
      <c r="P329" s="188" t="inlineStr">
        <is>
          <t>imagemagick imagemagick *</t>
        </is>
      </c>
      <c r="Q329" s="188" t="inlineStr">
        <is>
          <t>P4</t>
        </is>
      </c>
      <c r="R329" s="188" t="inlineStr">
        <is>
          <t>📅 Schedule patch deployment within 30 days | 🔍 Monitor for exploitation attempts</t>
        </is>
      </c>
      <c r="S329" s="188" t="inlineStr">
        <is>
          <t>CVE - IP enrichment n/a</t>
        </is>
      </c>
      <c r="T329" s="188" t="n">
        <v>0.0011</v>
      </c>
      <c r="U329" s="188" t="n">
        <v>0.2878</v>
      </c>
      <c r="V329" s="188" t="inlineStr">
        <is>
          <t>T1499:Endpoint Denial of Service | T1190:Exploit Public-Facing Application</t>
        </is>
      </c>
      <c r="W329" s="188" t="n">
        <v>1</v>
      </c>
      <c r="X329" s="188" t="inlineStr">
        <is>
          <t>LOW (40%)</t>
        </is>
      </c>
      <c r="Y329" s="188" t="inlineStr">
        <is>
          <t>UNLIKELY</t>
        </is>
      </c>
      <c r="Z329" s="188" t="inlineStr">
        <is>
          <t>PATCH_AVAILABLE</t>
        </is>
      </c>
      <c r="AA329" s="188" t="inlineStr">
        <is>
          <t>https://nvd.nist.gov/vuln/detail/CVE-2026-25798</t>
        </is>
      </c>
      <c r="AB329" s="188" t="inlineStr">
        <is>
          <t>NONE</t>
        </is>
      </c>
      <c r="AC329" s="188" t="n">
        <v>0</v>
      </c>
      <c r="AD329" s="188" t="inlineStr"/>
    </row>
    <row r="330">
      <c r="A330" s="188" t="inlineStr">
        <is>
          <t>CVE</t>
        </is>
      </c>
      <c r="B330" s="188" t="inlineStr">
        <is>
          <t>CVE-2026-25799</t>
        </is>
      </c>
      <c r="C330" s="188"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330" s="188" t="n">
        <v>5.3</v>
      </c>
      <c r="E330" s="188" t="inlineStr">
        <is>
          <t>MEDIUM</t>
        </is>
      </c>
      <c r="F330" s="188" t="n">
        <v>2</v>
      </c>
      <c r="G330" s="188" t="n">
        <v>2</v>
      </c>
      <c r="H330" s="188" t="inlineStr">
        <is>
          <t>MEDIUM</t>
        </is>
      </c>
      <c r="I330" s="188" t="n">
        <v>9.300000000000001</v>
      </c>
      <c r="J330" s="188" t="inlineStr">
        <is>
          <t>NO</t>
        </is>
      </c>
      <c r="K330" s="188" t="inlineStr">
        <is>
          <t>https://nvd.nist.gov/vuln/detail/CVE-2026-25799</t>
        </is>
      </c>
      <c r="L330" s="188" t="inlineStr">
        <is>
          <t>2026-02-27 20:47</t>
        </is>
      </c>
      <c r="M330" s="188" t="inlineStr">
        <is>
          <t>YES</t>
        </is>
      </c>
      <c r="N330" s="188" t="inlineStr">
        <is>
          <t>https://github.com/ImageMagick/ImageMagick/security/advisories/GHSA-543g-8grm-9cw6</t>
        </is>
      </c>
      <c r="O330" s="188" t="inlineStr">
        <is>
          <t>Apply vendor patches</t>
        </is>
      </c>
      <c r="P330" s="188" t="inlineStr">
        <is>
          <t>imagemagick imagemagick *</t>
        </is>
      </c>
      <c r="Q330" s="188" t="inlineStr">
        <is>
          <t>P4</t>
        </is>
      </c>
      <c r="R330" s="188" t="inlineStr">
        <is>
          <t>📅 Schedule patch deployment within 30 days | 🔍 Monitor for exploitation attempts</t>
        </is>
      </c>
      <c r="S330" s="188" t="inlineStr">
        <is>
          <t>CVE - IP enrichment n/a</t>
        </is>
      </c>
      <c r="T330" s="188" t="n">
        <v>0.0004</v>
      </c>
      <c r="U330" s="188" t="n">
        <v>0.1272</v>
      </c>
      <c r="V330" s="188" t="inlineStr">
        <is>
          <t>T1190:Exploit Public-Facing Application</t>
        </is>
      </c>
      <c r="W330" s="188" t="n">
        <v>1</v>
      </c>
      <c r="X330" s="188" t="inlineStr">
        <is>
          <t>LOW (40%)</t>
        </is>
      </c>
      <c r="Y330" s="188" t="inlineStr">
        <is>
          <t>UNLIKELY</t>
        </is>
      </c>
      <c r="Z330" s="188" t="inlineStr">
        <is>
          <t>PATCH_AVAILABLE</t>
        </is>
      </c>
      <c r="AA330" s="188" t="inlineStr">
        <is>
          <t>https://nvd.nist.gov/vuln/detail/CVE-2026-25799</t>
        </is>
      </c>
      <c r="AB330" s="188" t="inlineStr">
        <is>
          <t>NONE</t>
        </is>
      </c>
      <c r="AC330" s="188" t="n">
        <v>0</v>
      </c>
      <c r="AD330" s="188" t="inlineStr"/>
    </row>
    <row r="331">
      <c r="A331" s="187" t="inlineStr">
        <is>
          <t>CVE</t>
        </is>
      </c>
      <c r="B331" s="187" t="inlineStr">
        <is>
          <t>CVE-2026-25802</t>
        </is>
      </c>
      <c r="C331" s="187"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331" s="187" t="n">
        <v>7.6</v>
      </c>
      <c r="E331" s="187" t="inlineStr">
        <is>
          <t>HIGH</t>
        </is>
      </c>
      <c r="F331" s="187" t="n">
        <v>2</v>
      </c>
      <c r="G331" s="187" t="n">
        <v>3</v>
      </c>
      <c r="H331" s="187" t="inlineStr">
        <is>
          <t>HIGH</t>
        </is>
      </c>
      <c r="I331" s="187" t="n">
        <v>13.6</v>
      </c>
      <c r="J331" s="187" t="inlineStr">
        <is>
          <t>NO</t>
        </is>
      </c>
      <c r="K331" s="187" t="inlineStr">
        <is>
          <t>https://nvd.nist.gov/vuln/detail/CVE-2026-25802</t>
        </is>
      </c>
      <c r="L331" s="187" t="inlineStr">
        <is>
          <t>2026-02-27 20:47</t>
        </is>
      </c>
      <c r="M331" s="187" t="inlineStr">
        <is>
          <t>YES</t>
        </is>
      </c>
      <c r="N331" s="187" t="inlineStr">
        <is>
          <t>https://github.com/QuantumNous/new-api/commit/ab5456eb1049aa8a0f3e51f359907ec7fff38b4b | https://github.com/QuantumNous/new-api/security/advisories/GHSA-299v-8pq9-5gjq</t>
        </is>
      </c>
      <c r="O331" s="187" t="inlineStr">
        <is>
          <t>Apply vendor patches</t>
        </is>
      </c>
      <c r="P331" s="187" t="inlineStr">
        <is>
          <t>newapi new_api 0.10.8 | newapi new_api *</t>
        </is>
      </c>
      <c r="Q331" s="187" t="inlineStr">
        <is>
          <t>P3</t>
        </is>
      </c>
      <c r="R331" s="187" t="inlineStr">
        <is>
          <t>🚨 URGENT: Apply vendor patches immediately | 🔒 Isolate affected systems if patch unavailable | 🛡️ Enable additional monitoring/IDS rules</t>
        </is>
      </c>
      <c r="S331" s="187" t="inlineStr">
        <is>
          <t>CVE - IP enrichment n/a</t>
        </is>
      </c>
      <c r="T331" s="187" t="n">
        <v>0.0003</v>
      </c>
      <c r="U331" s="187" t="n">
        <v>0.0833</v>
      </c>
      <c r="V331" s="187" t="inlineStr">
        <is>
          <t>T1189:Drive-by Compromise</t>
        </is>
      </c>
      <c r="W331" s="187" t="n">
        <v>1</v>
      </c>
      <c r="X331" s="187" t="inlineStr">
        <is>
          <t>LOW (40%)</t>
        </is>
      </c>
      <c r="Y331" s="187" t="inlineStr">
        <is>
          <t>UNLIKELY</t>
        </is>
      </c>
      <c r="Z331" s="187" t="inlineStr">
        <is>
          <t>PATCH_AVAILABLE</t>
        </is>
      </c>
      <c r="AA331" s="187" t="inlineStr">
        <is>
          <t>https://nvd.nist.gov/vuln/detail/CVE-2026-25802</t>
        </is>
      </c>
      <c r="AB331" s="187" t="inlineStr">
        <is>
          <t>NONE</t>
        </is>
      </c>
      <c r="AC331" s="187" t="n">
        <v>0</v>
      </c>
      <c r="AD331" s="187" t="inlineStr"/>
    </row>
    <row r="332">
      <c r="A332" s="187" t="inlineStr">
        <is>
          <t>CVE</t>
        </is>
      </c>
      <c r="B332" s="187" t="inlineStr">
        <is>
          <t>CVE-2026-26024</t>
        </is>
      </c>
      <c r="C332" s="187"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332" s="187" t="n">
        <v>7.5</v>
      </c>
      <c r="E332" s="187" t="inlineStr">
        <is>
          <t>HIGH</t>
        </is>
      </c>
      <c r="F332" s="187" t="n">
        <v>2</v>
      </c>
      <c r="G332" s="187" t="n">
        <v>3</v>
      </c>
      <c r="H332" s="187" t="inlineStr">
        <is>
          <t>HIGH</t>
        </is>
      </c>
      <c r="I332" s="187" t="n">
        <v>13.5</v>
      </c>
      <c r="J332" s="187" t="inlineStr">
        <is>
          <t>NO</t>
        </is>
      </c>
      <c r="K332" s="187" t="inlineStr">
        <is>
          <t>https://nvd.nist.gov/vuln/detail/CVE-2026-26024</t>
        </is>
      </c>
      <c r="L332" s="187" t="inlineStr">
        <is>
          <t>2026-02-27 20:47</t>
        </is>
      </c>
      <c r="M332" s="187" t="inlineStr">
        <is>
          <t>YES</t>
        </is>
      </c>
      <c r="N332" s="187" t="inlineStr">
        <is>
          <t>https://github.com/free5gc/free5gc/security/advisories/GHSA-mrv4-m9wc-c4g9</t>
        </is>
      </c>
      <c r="O332" s="187" t="inlineStr">
        <is>
          <t>Apply vendor patches</t>
        </is>
      </c>
      <c r="P332" s="187" t="inlineStr">
        <is>
          <t>free5gc smf *</t>
        </is>
      </c>
      <c r="Q332" s="187" t="inlineStr">
        <is>
          <t>P3</t>
        </is>
      </c>
      <c r="R332" s="187" t="inlineStr">
        <is>
          <t>🚨 URGENT: Apply vendor patches immediately | 🔒 Isolate affected systems if patch unavailable | 🛡️ Enable additional monitoring/IDS rules</t>
        </is>
      </c>
      <c r="S332" s="187" t="inlineStr">
        <is>
          <t>CVE - IP enrichment n/a</t>
        </is>
      </c>
      <c r="T332" s="187" t="n">
        <v>0.0004</v>
      </c>
      <c r="U332" s="187" t="n">
        <v>0.1315</v>
      </c>
      <c r="V332" s="187" t="inlineStr">
        <is>
          <t>T1499:Endpoint Denial of Service | T1190:Exploit Public-Facing Application | T1562:Impair Defenses</t>
        </is>
      </c>
      <c r="W332" s="187" t="n">
        <v>1</v>
      </c>
      <c r="X332" s="187" t="inlineStr">
        <is>
          <t>LOW (40%)</t>
        </is>
      </c>
      <c r="Y332" s="187" t="inlineStr">
        <is>
          <t>UNLIKELY</t>
        </is>
      </c>
      <c r="Z332" s="187" t="inlineStr">
        <is>
          <t>PATCH_AVAILABLE</t>
        </is>
      </c>
      <c r="AA332" s="187" t="inlineStr">
        <is>
          <t>https://nvd.nist.gov/vuln/detail/CVE-2026-26024</t>
        </is>
      </c>
      <c r="AB332" s="187" t="inlineStr">
        <is>
          <t>NONE</t>
        </is>
      </c>
      <c r="AC332" s="187" t="n">
        <v>0</v>
      </c>
      <c r="AD332" s="187" t="inlineStr"/>
    </row>
    <row r="333">
      <c r="A333" s="187" t="inlineStr">
        <is>
          <t>CVE</t>
        </is>
      </c>
      <c r="B333" s="187" t="inlineStr">
        <is>
          <t>CVE-2026-26025</t>
        </is>
      </c>
      <c r="C333" s="187"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333" s="187" t="n">
        <v>7.5</v>
      </c>
      <c r="E333" s="187" t="inlineStr">
        <is>
          <t>HIGH</t>
        </is>
      </c>
      <c r="F333" s="187" t="n">
        <v>2</v>
      </c>
      <c r="G333" s="187" t="n">
        <v>3</v>
      </c>
      <c r="H333" s="187" t="inlineStr">
        <is>
          <t>HIGH</t>
        </is>
      </c>
      <c r="I333" s="187" t="n">
        <v>13.5</v>
      </c>
      <c r="J333" s="187" t="inlineStr">
        <is>
          <t>NO</t>
        </is>
      </c>
      <c r="K333" s="187" t="inlineStr">
        <is>
          <t>https://nvd.nist.gov/vuln/detail/CVE-2026-26025</t>
        </is>
      </c>
      <c r="L333" s="187" t="inlineStr">
        <is>
          <t>2026-02-27 20:47</t>
        </is>
      </c>
      <c r="M333" s="187" t="inlineStr">
        <is>
          <t>YES</t>
        </is>
      </c>
      <c r="N333" s="187" t="inlineStr">
        <is>
          <t>https://github.com/free5gc/free5gc/security/advisories/GHSA-vw8r-p7h3-g3xh</t>
        </is>
      </c>
      <c r="O333" s="187" t="inlineStr">
        <is>
          <t>Apply vendor patches</t>
        </is>
      </c>
      <c r="P333" s="187" t="inlineStr">
        <is>
          <t>free5gc smf *</t>
        </is>
      </c>
      <c r="Q333" s="187" t="inlineStr">
        <is>
          <t>P3</t>
        </is>
      </c>
      <c r="R333" s="187" t="inlineStr">
        <is>
          <t>🚨 URGENT: Apply vendor patches immediately | 🔒 Isolate affected systems if patch unavailable | 🛡️ Enable additional monitoring/IDS rules</t>
        </is>
      </c>
      <c r="S333" s="187" t="inlineStr">
        <is>
          <t>CVE - IP enrichment n/a</t>
        </is>
      </c>
      <c r="T333" s="187" t="n">
        <v>0.0004</v>
      </c>
      <c r="U333" s="187" t="n">
        <v>0.1315</v>
      </c>
      <c r="V333" s="187" t="inlineStr">
        <is>
          <t>T1499:Endpoint Denial of Service | T1190:Exploit Public-Facing Application | T1562:Impair Defenses</t>
        </is>
      </c>
      <c r="W333" s="187" t="n">
        <v>1</v>
      </c>
      <c r="X333" s="187" t="inlineStr">
        <is>
          <t>LOW (40%)</t>
        </is>
      </c>
      <c r="Y333" s="187" t="inlineStr">
        <is>
          <t>UNLIKELY</t>
        </is>
      </c>
      <c r="Z333" s="187" t="inlineStr">
        <is>
          <t>PATCH_AVAILABLE</t>
        </is>
      </c>
      <c r="AA333" s="187" t="inlineStr">
        <is>
          <t>https://nvd.nist.gov/vuln/detail/CVE-2026-26025</t>
        </is>
      </c>
      <c r="AB333" s="187" t="inlineStr">
        <is>
          <t>NONE</t>
        </is>
      </c>
      <c r="AC333" s="187" t="n">
        <v>0</v>
      </c>
      <c r="AD333" s="187" t="inlineStr"/>
    </row>
    <row r="334">
      <c r="A334" s="187" t="inlineStr">
        <is>
          <t>CVE</t>
        </is>
      </c>
      <c r="B334" s="187" t="inlineStr">
        <is>
          <t>CVE-2026-27642</t>
        </is>
      </c>
      <c r="C334" s="187"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334" s="187" t="n">
        <v>7.5</v>
      </c>
      <c r="E334" s="187" t="inlineStr">
        <is>
          <t>HIGH</t>
        </is>
      </c>
      <c r="F334" s="187" t="n">
        <v>2</v>
      </c>
      <c r="G334" s="187" t="n">
        <v>3</v>
      </c>
      <c r="H334" s="187" t="inlineStr">
        <is>
          <t>HIGH</t>
        </is>
      </c>
      <c r="I334" s="187" t="n">
        <v>13.5</v>
      </c>
      <c r="J334" s="187" t="inlineStr">
        <is>
          <t>NO</t>
        </is>
      </c>
      <c r="K334" s="187" t="inlineStr">
        <is>
          <t>https://nvd.nist.gov/vuln/detail/CVE-2026-27642</t>
        </is>
      </c>
      <c r="L334" s="187" t="inlineStr">
        <is>
          <t>2026-02-27 20:47</t>
        </is>
      </c>
      <c r="M334" s="187" t="inlineStr">
        <is>
          <t>YES</t>
        </is>
      </c>
      <c r="N334" s="187" t="inlineStr">
        <is>
          <t>https://github.com/free5gc/free5gc/issues/749 | https://github.com/free5gc/free5gc/security/advisories/GHSA-h4wg-rp7m-8xx4 | https://github.com/free5gc/udm/commit/a7af2321ddea6368c43835f90f6d1b9d67dd2ea1</t>
        </is>
      </c>
      <c r="O334" s="187" t="inlineStr">
        <is>
          <t>Apply vendor patches</t>
        </is>
      </c>
      <c r="P334" s="187" t="inlineStr">
        <is>
          <t>free5gc udm *</t>
        </is>
      </c>
      <c r="Q334" s="187" t="inlineStr">
        <is>
          <t>P3</t>
        </is>
      </c>
      <c r="R334" s="187" t="inlineStr">
        <is>
          <t>🚨 URGENT: Apply vendor patches immediately | 🔒 Isolate affected systems if patch unavailable | 🛡️ Enable additional monitoring/IDS rules</t>
        </is>
      </c>
      <c r="S334" s="187" t="inlineStr">
        <is>
          <t>CVE - IP enrichment n/a</t>
        </is>
      </c>
      <c r="T334" s="187" t="n">
        <v>0.0005</v>
      </c>
      <c r="U334" s="187" t="n">
        <v>0.1499</v>
      </c>
      <c r="V334" s="187" t="inlineStr">
        <is>
          <t>T1190:Exploit Public-Facing Application</t>
        </is>
      </c>
      <c r="W334" s="187" t="n">
        <v>1</v>
      </c>
      <c r="X334" s="187" t="inlineStr">
        <is>
          <t>LOW (40%)</t>
        </is>
      </c>
      <c r="Y334" s="187" t="inlineStr">
        <is>
          <t>UNLIKELY</t>
        </is>
      </c>
      <c r="Z334" s="187" t="inlineStr">
        <is>
          <t>PATCH_AVAILABLE</t>
        </is>
      </c>
      <c r="AA334" s="187" t="inlineStr">
        <is>
          <t>https://nvd.nist.gov/vuln/detail/CVE-2026-27642</t>
        </is>
      </c>
      <c r="AB334" s="187" t="inlineStr">
        <is>
          <t>NONE</t>
        </is>
      </c>
      <c r="AC334" s="187" t="n">
        <v>0</v>
      </c>
      <c r="AD334" s="187" t="inlineStr"/>
    </row>
    <row r="335">
      <c r="A335" s="188" t="inlineStr">
        <is>
          <t>CVE</t>
        </is>
      </c>
      <c r="B335" s="188" t="inlineStr">
        <is>
          <t>CVE-2026-27643</t>
        </is>
      </c>
      <c r="C335" s="188"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335" s="188" t="n">
        <v>5.3</v>
      </c>
      <c r="E335" s="188" t="inlineStr">
        <is>
          <t>MEDIUM</t>
        </is>
      </c>
      <c r="F335" s="188" t="n">
        <v>2</v>
      </c>
      <c r="G335" s="188" t="n">
        <v>2</v>
      </c>
      <c r="H335" s="188" t="inlineStr">
        <is>
          <t>MEDIUM</t>
        </is>
      </c>
      <c r="I335" s="188" t="n">
        <v>9.300000000000001</v>
      </c>
      <c r="J335" s="188" t="inlineStr">
        <is>
          <t>NO</t>
        </is>
      </c>
      <c r="K335" s="188" t="inlineStr">
        <is>
          <t>https://nvd.nist.gov/vuln/detail/CVE-2026-27643</t>
        </is>
      </c>
      <c r="L335" s="188" t="inlineStr">
        <is>
          <t>2026-02-27 20:47</t>
        </is>
      </c>
      <c r="M335" s="188" t="inlineStr">
        <is>
          <t>YES</t>
        </is>
      </c>
      <c r="N335" s="188" t="inlineStr">
        <is>
          <t>https://github.com/free5gc/free5gc/issues/753 | https://github.com/free5gc/free5gc/security/advisories/GHSA-6468-f87j-6g82 | https://github.com/free5gc/udr/commit/754d23b03755ad59077ed529ce3b971e477080c4</t>
        </is>
      </c>
      <c r="O335" s="188" t="inlineStr">
        <is>
          <t>Apply vendor patches</t>
        </is>
      </c>
      <c r="P335" s="188" t="inlineStr">
        <is>
          <t>free5gc udr *</t>
        </is>
      </c>
      <c r="Q335" s="188" t="inlineStr">
        <is>
          <t>P4</t>
        </is>
      </c>
      <c r="R335" s="188" t="inlineStr">
        <is>
          <t>📅 Schedule patch deployment within 30 days | 🔍 Monitor for exploitation attempts</t>
        </is>
      </c>
      <c r="S335" s="188" t="inlineStr">
        <is>
          <t>CVE - IP enrichment n/a</t>
        </is>
      </c>
      <c r="T335" s="188" t="n">
        <v>0.0002</v>
      </c>
      <c r="U335" s="188" t="n">
        <v>0.06270000000000001</v>
      </c>
      <c r="V335" s="188" t="inlineStr">
        <is>
          <t>T1190:Exploit Public-Facing Application</t>
        </is>
      </c>
      <c r="W335" s="188" t="n">
        <v>1</v>
      </c>
      <c r="X335" s="188" t="inlineStr">
        <is>
          <t>LOW (40%)</t>
        </is>
      </c>
      <c r="Y335" s="188" t="inlineStr">
        <is>
          <t>UNLIKELY</t>
        </is>
      </c>
      <c r="Z335" s="188" t="inlineStr">
        <is>
          <t>PATCH_AVAILABLE</t>
        </is>
      </c>
      <c r="AA335" s="188" t="inlineStr">
        <is>
          <t>https://nvd.nist.gov/vuln/detail/CVE-2026-27643</t>
        </is>
      </c>
      <c r="AB335" s="188" t="inlineStr">
        <is>
          <t>NONE</t>
        </is>
      </c>
      <c r="AC335" s="188" t="n">
        <v>0</v>
      </c>
      <c r="AD335" s="188" t="inlineStr"/>
    </row>
    <row r="336">
      <c r="A336" s="188" t="inlineStr">
        <is>
          <t>CVE</t>
        </is>
      </c>
      <c r="B336" s="188" t="inlineStr">
        <is>
          <t>CVE-2026-27729</t>
        </is>
      </c>
      <c r="C336" s="188"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336" s="188" t="n">
        <v>5.9</v>
      </c>
      <c r="E336" s="188" t="inlineStr">
        <is>
          <t>MEDIUM</t>
        </is>
      </c>
      <c r="F336" s="188" t="n">
        <v>2</v>
      </c>
      <c r="G336" s="188" t="n">
        <v>2</v>
      </c>
      <c r="H336" s="188" t="inlineStr">
        <is>
          <t>MEDIUM</t>
        </is>
      </c>
      <c r="I336" s="188" t="n">
        <v>9.9</v>
      </c>
      <c r="J336" s="188" t="inlineStr">
        <is>
          <t>NO</t>
        </is>
      </c>
      <c r="K336" s="188" t="inlineStr">
        <is>
          <t>https://nvd.nist.gov/vuln/detail/CVE-2026-27729</t>
        </is>
      </c>
      <c r="L336" s="188" t="inlineStr">
        <is>
          <t>2026-02-27 20:47</t>
        </is>
      </c>
      <c r="M336" s="188" t="inlineStr">
        <is>
          <t>YES</t>
        </is>
      </c>
      <c r="N336" s="188" t="inlineStr">
        <is>
          <t>https://github.com/withastro/astro/commit/522f880b07a4ea7d69a19b5507fb53a5ed6c87f8</t>
        </is>
      </c>
      <c r="O336" s="188" t="inlineStr">
        <is>
          <t>Apply vendor patches</t>
        </is>
      </c>
      <c r="P336" s="188" t="inlineStr">
        <is>
          <t>astro \@astrojs\/node *</t>
        </is>
      </c>
      <c r="Q336" s="188" t="inlineStr">
        <is>
          <t>P4</t>
        </is>
      </c>
      <c r="R336" s="188" t="inlineStr">
        <is>
          <t>📅 Schedule patch deployment within 30 days | 🔍 Monitor for exploitation attempts</t>
        </is>
      </c>
      <c r="S336" s="188" t="inlineStr">
        <is>
          <t>CVE - IP enrichment n/a</t>
        </is>
      </c>
      <c r="T336" s="188" t="n">
        <v>0.0007</v>
      </c>
      <c r="U336" s="188" t="n">
        <v>0.2053</v>
      </c>
      <c r="V336" s="188" t="inlineStr">
        <is>
          <t>T1499:Endpoint Denial of Service</t>
        </is>
      </c>
      <c r="W336" s="188" t="n">
        <v>1</v>
      </c>
      <c r="X336" s="188" t="inlineStr">
        <is>
          <t>LOW (40%)</t>
        </is>
      </c>
      <c r="Y336" s="188" t="inlineStr">
        <is>
          <t>UNLIKELY</t>
        </is>
      </c>
      <c r="Z336" s="188" t="inlineStr">
        <is>
          <t>PATCH_AVAILABLE</t>
        </is>
      </c>
      <c r="AA336" s="188" t="inlineStr">
        <is>
          <t>https://nvd.nist.gov/vuln/detail/CVE-2026-27729</t>
        </is>
      </c>
      <c r="AB336" s="188" t="inlineStr">
        <is>
          <t>NONE</t>
        </is>
      </c>
      <c r="AC336" s="188" t="n">
        <v>0</v>
      </c>
      <c r="AD336" s="188" t="inlineStr"/>
    </row>
    <row r="337">
      <c r="A337" s="187" t="inlineStr">
        <is>
          <t>CVE</t>
        </is>
      </c>
      <c r="B337" s="187" t="inlineStr">
        <is>
          <t>CVE-2026-3046</t>
        </is>
      </c>
      <c r="C337" s="187"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337" s="187" t="n">
        <v>7.3</v>
      </c>
      <c r="E337" s="187" t="inlineStr">
        <is>
          <t>HIGH</t>
        </is>
      </c>
      <c r="F337" s="187" t="n">
        <v>2</v>
      </c>
      <c r="G337" s="187" t="n">
        <v>3</v>
      </c>
      <c r="H337" s="187" t="inlineStr">
        <is>
          <t>HIGH</t>
        </is>
      </c>
      <c r="I337" s="187" t="n">
        <v>13.3</v>
      </c>
      <c r="J337" s="187" t="inlineStr">
        <is>
          <t>NO</t>
        </is>
      </c>
      <c r="K337" s="187" t="inlineStr">
        <is>
          <t>https://nvd.nist.gov/vuln/detail/CVE-2026-3046</t>
        </is>
      </c>
      <c r="L337" s="187" t="inlineStr">
        <is>
          <t>2026-02-27 20:47</t>
        </is>
      </c>
      <c r="M337" s="187" t="inlineStr">
        <is>
          <t>YES</t>
        </is>
      </c>
      <c r="N337" s="187" t="inlineStr">
        <is>
          <t>https://github.com/ltranquility/cve_submit/issues/3</t>
        </is>
      </c>
      <c r="O337" s="187" t="inlineStr">
        <is>
          <t>https://github.com/ltranquility/cve_submit/issues/3</t>
        </is>
      </c>
      <c r="P337" s="187" t="inlineStr">
        <is>
          <t>emiloi e-logbook_with_health_monitoring_system_for_covid-19 1.0</t>
        </is>
      </c>
      <c r="Q337" s="187" t="inlineStr">
        <is>
          <t>P3</t>
        </is>
      </c>
      <c r="R337" s="187" t="inlineStr">
        <is>
          <t>🚨 URGENT: Apply vendor patches immediately | 🔒 Isolate affected systems if patch unavailable | 🛡️ Enable additional monitoring/IDS rules</t>
        </is>
      </c>
      <c r="S337" s="187" t="inlineStr">
        <is>
          <t>CVE - IP enrichment n/a</t>
        </is>
      </c>
      <c r="T337" s="187" t="n">
        <v>0.0003</v>
      </c>
      <c r="U337" s="187" t="n">
        <v>0.0711</v>
      </c>
      <c r="V337" s="187" t="inlineStr">
        <is>
          <t>T1190:Exploit Public-Facing Application</t>
        </is>
      </c>
      <c r="W337" s="187" t="n">
        <v>1</v>
      </c>
      <c r="X337" s="187" t="inlineStr">
        <is>
          <t>LOW (40%)</t>
        </is>
      </c>
      <c r="Y337" s="187" t="inlineStr">
        <is>
          <t>UNLIKELY</t>
        </is>
      </c>
      <c r="Z337" s="187" t="inlineStr">
        <is>
          <t>PATCH_AVAILABLE</t>
        </is>
      </c>
      <c r="AA337" s="187" t="inlineStr">
        <is>
          <t>https://nvd.nist.gov/vuln/detail/CVE-2026-3046</t>
        </is>
      </c>
      <c r="AB337" s="187" t="inlineStr">
        <is>
          <t>NONE</t>
        </is>
      </c>
      <c r="AC337" s="187" t="n">
        <v>0</v>
      </c>
      <c r="AD337" s="187" t="inlineStr"/>
    </row>
    <row r="338">
      <c r="A338" s="188" t="inlineStr">
        <is>
          <t>CVE</t>
        </is>
      </c>
      <c r="B338" s="188" t="inlineStr">
        <is>
          <t>CVE-2026-3049</t>
        </is>
      </c>
      <c r="C338" s="188"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338" s="188" t="n">
        <v>4.3</v>
      </c>
      <c r="E338" s="188" t="inlineStr">
        <is>
          <t>MEDIUM</t>
        </is>
      </c>
      <c r="F338" s="188" t="n">
        <v>2</v>
      </c>
      <c r="G338" s="188" t="n">
        <v>2</v>
      </c>
      <c r="H338" s="188" t="inlineStr">
        <is>
          <t>MEDIUM</t>
        </is>
      </c>
      <c r="I338" s="188" t="n">
        <v>8.300000000000001</v>
      </c>
      <c r="J338" s="188" t="inlineStr">
        <is>
          <t>NO</t>
        </is>
      </c>
      <c r="K338" s="188" t="inlineStr">
        <is>
          <t>https://nvd.nist.gov/vuln/detail/CVE-2026-3049</t>
        </is>
      </c>
      <c r="L338" s="188" t="inlineStr">
        <is>
          <t>2026-02-27 20:47</t>
        </is>
      </c>
      <c r="M338" s="188" t="inlineStr">
        <is>
          <t>YES</t>
        </is>
      </c>
      <c r="N338" s="188" t="inlineStr">
        <is>
          <t>https://github.com/horilla-opensource/horilla-crm/commit/730b5a44ff060916780c44a4bdbc8ced70a2cd27</t>
        </is>
      </c>
      <c r="O338" s="188" t="inlineStr">
        <is>
          <t>Apply vendor patches</t>
        </is>
      </c>
      <c r="P338" s="188" t="inlineStr">
        <is>
          <t>horilla horilla *</t>
        </is>
      </c>
      <c r="Q338" s="188" t="inlineStr">
        <is>
          <t>P4</t>
        </is>
      </c>
      <c r="R338" s="188" t="inlineStr">
        <is>
          <t>📅 Schedule patch deployment within 30 days | 🔍 Monitor for exploitation attempts</t>
        </is>
      </c>
      <c r="S338" s="188" t="inlineStr">
        <is>
          <t>CVE - IP enrichment n/a</t>
        </is>
      </c>
      <c r="T338" s="188" t="n">
        <v>0.0003</v>
      </c>
      <c r="U338" s="188" t="n">
        <v>0.09</v>
      </c>
      <c r="V338" s="188" t="inlineStr">
        <is>
          <t>T1189:Drive-by Compromise | T1190:Exploit Public-Facing Application</t>
        </is>
      </c>
      <c r="W338" s="188" t="n">
        <v>1</v>
      </c>
      <c r="X338" s="188" t="inlineStr">
        <is>
          <t>LOW (40%)</t>
        </is>
      </c>
      <c r="Y338" s="188" t="inlineStr">
        <is>
          <t>UNLIKELY</t>
        </is>
      </c>
      <c r="Z338" s="188" t="inlineStr">
        <is>
          <t>PATCH_AVAILABLE</t>
        </is>
      </c>
      <c r="AA338" s="188" t="inlineStr">
        <is>
          <t>https://nvd.nist.gov/vuln/detail/CVE-2026-3049</t>
        </is>
      </c>
      <c r="AB338" s="188" t="inlineStr">
        <is>
          <t>NONE</t>
        </is>
      </c>
      <c r="AC338" s="188" t="n">
        <v>0</v>
      </c>
      <c r="AD338" s="188" t="inlineStr"/>
    </row>
    <row r="339">
      <c r="A339" s="190" t="inlineStr">
        <is>
          <t>CVE</t>
        </is>
      </c>
      <c r="B339" s="190" t="inlineStr">
        <is>
          <t>CVE-2026-3050</t>
        </is>
      </c>
      <c r="C339" s="190"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339" s="190" t="n">
        <v>3.5</v>
      </c>
      <c r="E339" s="190" t="inlineStr">
        <is>
          <t>LOW</t>
        </is>
      </c>
      <c r="F339" s="190" t="n">
        <v>2</v>
      </c>
      <c r="G339" s="190" t="n">
        <v>1</v>
      </c>
      <c r="H339" s="190" t="inlineStr">
        <is>
          <t>LOW</t>
        </is>
      </c>
      <c r="I339" s="190" t="n">
        <v>5.5</v>
      </c>
      <c r="J339" s="190" t="inlineStr">
        <is>
          <t>NO</t>
        </is>
      </c>
      <c r="K339" s="190" t="inlineStr">
        <is>
          <t>https://nvd.nist.gov/vuln/detail/CVE-2026-3050</t>
        </is>
      </c>
      <c r="L339" s="190" t="inlineStr">
        <is>
          <t>2026-02-27 20:47</t>
        </is>
      </c>
      <c r="M339" s="190" t="inlineStr">
        <is>
          <t>YES</t>
        </is>
      </c>
      <c r="N339" s="190" t="inlineStr">
        <is>
          <t>https://github.com/Horilla-opensource/Horilla-crm/commit/fc5c8e55988e89273012491b5f097b762b474546</t>
        </is>
      </c>
      <c r="O339" s="190" t="inlineStr">
        <is>
          <t>Apply vendor patches</t>
        </is>
      </c>
      <c r="P339" s="190" t="inlineStr">
        <is>
          <t>horilla horilla *</t>
        </is>
      </c>
      <c r="Q339" s="190" t="inlineStr">
        <is>
          <t>P4</t>
        </is>
      </c>
      <c r="R339" s="190" t="inlineStr">
        <is>
          <t>📅 Schedule patch deployment within 30 days | 🔍 Monitor for exploitation attempts</t>
        </is>
      </c>
      <c r="S339" s="190" t="inlineStr">
        <is>
          <t>CVE - IP enrichment n/a</t>
        </is>
      </c>
      <c r="T339" s="190" t="n">
        <v>0.0003</v>
      </c>
      <c r="U339" s="190" t="n">
        <v>0.0989</v>
      </c>
      <c r="V339" s="190" t="inlineStr">
        <is>
          <t>T1189:Drive-by Compromise | T1190:Exploit Public-Facing Application</t>
        </is>
      </c>
      <c r="W339" s="190" t="n">
        <v>1</v>
      </c>
      <c r="X339" s="190" t="inlineStr">
        <is>
          <t>LOW (40%)</t>
        </is>
      </c>
      <c r="Y339" s="190" t="inlineStr">
        <is>
          <t>UNLIKELY</t>
        </is>
      </c>
      <c r="Z339" s="190" t="inlineStr">
        <is>
          <t>PATCH_AVAILABLE</t>
        </is>
      </c>
      <c r="AA339" s="190" t="inlineStr">
        <is>
          <t>https://nvd.nist.gov/vuln/detail/CVE-2026-3050</t>
        </is>
      </c>
      <c r="AB339" s="190" t="inlineStr">
        <is>
          <t>NONE</t>
        </is>
      </c>
      <c r="AC339" s="190" t="n">
        <v>0</v>
      </c>
      <c r="AD339" s="190" t="inlineStr"/>
    </row>
    <row r="340">
      <c r="A340" s="188" t="inlineStr">
        <is>
          <t>CVE</t>
        </is>
      </c>
      <c r="B340" s="188" t="inlineStr">
        <is>
          <t>CVE-2026-3051</t>
        </is>
      </c>
      <c r="C340" s="188"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340" s="188" t="n">
        <v>6.3</v>
      </c>
      <c r="E340" s="188" t="inlineStr">
        <is>
          <t>MEDIUM</t>
        </is>
      </c>
      <c r="F340" s="188" t="n">
        <v>2</v>
      </c>
      <c r="G340" s="188" t="n">
        <v>2</v>
      </c>
      <c r="H340" s="188" t="inlineStr">
        <is>
          <t>MEDIUM</t>
        </is>
      </c>
      <c r="I340" s="188" t="n">
        <v>10.3</v>
      </c>
      <c r="J340" s="188" t="inlineStr">
        <is>
          <t>NO</t>
        </is>
      </c>
      <c r="K340" s="188" t="inlineStr">
        <is>
          <t>https://nvd.nist.gov/vuln/detail/CVE-2026-3051</t>
        </is>
      </c>
      <c r="L340" s="188" t="inlineStr">
        <is>
          <t>2026-02-27 20:47</t>
        </is>
      </c>
      <c r="M340" s="188" t="inlineStr">
        <is>
          <t>CHECK_VENDOR</t>
        </is>
      </c>
      <c r="N340" s="188" t="inlineStr">
        <is>
          <t>See NVD references</t>
        </is>
      </c>
      <c r="O340" s="188" t="inlineStr">
        <is>
          <t>Apply vendor patches</t>
        </is>
      </c>
      <c r="P340" s="188" t="inlineStr">
        <is>
          <t>dinky dinky *</t>
        </is>
      </c>
      <c r="Q340" s="188" t="inlineStr">
        <is>
          <t>P4</t>
        </is>
      </c>
      <c r="R340" s="188" t="inlineStr">
        <is>
          <t>📅 Schedule patch deployment within 30 days | 🔍 Monitor for exploitation attempts</t>
        </is>
      </c>
      <c r="S340" s="188" t="inlineStr">
        <is>
          <t>CVE - IP enrichment n/a</t>
        </is>
      </c>
      <c r="T340" s="188" t="n">
        <v>0.0008</v>
      </c>
      <c r="U340" s="188" t="n">
        <v>0.2423</v>
      </c>
      <c r="V340" s="188" t="inlineStr">
        <is>
          <t>T1083:File and Directory Discovery</t>
        </is>
      </c>
      <c r="W340" s="188" t="n">
        <v>1</v>
      </c>
      <c r="X340" s="188" t="inlineStr">
        <is>
          <t>LOW (40%)</t>
        </is>
      </c>
      <c r="Y340" s="188" t="inlineStr">
        <is>
          <t>UNLIKELY</t>
        </is>
      </c>
      <c r="Z340" s="188" t="inlineStr">
        <is>
          <t>CHECK_VENDOR</t>
        </is>
      </c>
      <c r="AA340" s="188" t="inlineStr">
        <is>
          <t>https://nvd.nist.gov/vuln/detail/CVE-2026-3051</t>
        </is>
      </c>
      <c r="AB340" s="188" t="inlineStr">
        <is>
          <t>NONE</t>
        </is>
      </c>
      <c r="AC340" s="188" t="n">
        <v>0</v>
      </c>
      <c r="AD340" s="188" t="inlineStr"/>
    </row>
    <row r="341">
      <c r="A341" s="188" t="inlineStr">
        <is>
          <t>CVE</t>
        </is>
      </c>
      <c r="B341" s="188" t="inlineStr">
        <is>
          <t>CVE-2025-11845</t>
        </is>
      </c>
      <c r="C341" s="188"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41" s="188" t="n">
        <v>4.9</v>
      </c>
      <c r="E341" s="188" t="inlineStr">
        <is>
          <t>MEDIUM</t>
        </is>
      </c>
      <c r="F341" s="188" t="n">
        <v>2</v>
      </c>
      <c r="G341" s="188" t="n">
        <v>2</v>
      </c>
      <c r="H341" s="188" t="inlineStr">
        <is>
          <t>MEDIUM</t>
        </is>
      </c>
      <c r="I341" s="188" t="n">
        <v>8.9</v>
      </c>
      <c r="J341" s="188" t="inlineStr">
        <is>
          <t>NO</t>
        </is>
      </c>
      <c r="K341" s="188" t="inlineStr">
        <is>
          <t>https://nvd.nist.gov/vuln/detail/CVE-2025-11845</t>
        </is>
      </c>
      <c r="L341" s="188" t="inlineStr">
        <is>
          <t>2026-02-27 20:47</t>
        </is>
      </c>
      <c r="M341" s="188" t="inlineStr">
        <is>
          <t>YES</t>
        </is>
      </c>
      <c r="N341" s="188" t="inlineStr">
        <is>
          <t>https://www.zyxel.com/global/en/support/security-advisories/zyxel-security-advisory-for-null-pointer-dereference-and-command-injection-vulnerabilities-in-certain-4g-lte-5g-nr-cpe-dsl-ethernet-cpe-fiber-onts-security-routers-and-wireless-extenders-02-24-2026</t>
        </is>
      </c>
      <c r="O341" s="188" t="inlineStr">
        <is>
          <t>Apply vendor patches</t>
        </is>
      </c>
      <c r="P341" s="188" t="inlineStr">
        <is>
          <t>zyxel dx4510-b0 - | zyxel wx3401-b1_firmware * | zyxel ex5401-b1_firmware *</t>
        </is>
      </c>
      <c r="Q341" s="188" t="inlineStr">
        <is>
          <t>P4</t>
        </is>
      </c>
      <c r="R341" s="188" t="inlineStr">
        <is>
          <t>📅 Schedule patch deployment within 30 days | 🔍 Monitor for exploitation attempts</t>
        </is>
      </c>
      <c r="S341" s="188" t="inlineStr">
        <is>
          <t>CVE - IP enrichment n/a</t>
        </is>
      </c>
      <c r="T341" s="188" t="n">
        <v>0.0007</v>
      </c>
      <c r="U341" s="188" t="n">
        <v>0.2076</v>
      </c>
      <c r="V341" s="188" t="inlineStr">
        <is>
          <t>T1499:Endpoint Denial of Service</t>
        </is>
      </c>
      <c r="W341" s="188" t="n">
        <v>1</v>
      </c>
      <c r="X341" s="188" t="inlineStr">
        <is>
          <t>LOW (40%)</t>
        </is>
      </c>
      <c r="Y341" s="188" t="inlineStr">
        <is>
          <t>UNLIKELY</t>
        </is>
      </c>
      <c r="Z341" s="188" t="inlineStr">
        <is>
          <t>PATCH_AVAILABLE</t>
        </is>
      </c>
      <c r="AA341" s="188" t="inlineStr">
        <is>
          <t>https://nvd.nist.gov/vuln/detail/CVE-2025-11845</t>
        </is>
      </c>
      <c r="AB341" s="188" t="inlineStr">
        <is>
          <t>NONE</t>
        </is>
      </c>
      <c r="AC341" s="188" t="n">
        <v>0</v>
      </c>
      <c r="AD341" s="188" t="inlineStr"/>
    </row>
    <row r="342">
      <c r="A342" s="188" t="inlineStr">
        <is>
          <t>CVE</t>
        </is>
      </c>
      <c r="B342" s="188" t="inlineStr">
        <is>
          <t>CVE-2025-11846</t>
        </is>
      </c>
      <c r="C342" s="188"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42" s="188" t="n">
        <v>4.9</v>
      </c>
      <c r="E342" s="188" t="inlineStr">
        <is>
          <t>MEDIUM</t>
        </is>
      </c>
      <c r="F342" s="188" t="n">
        <v>2</v>
      </c>
      <c r="G342" s="188" t="n">
        <v>2</v>
      </c>
      <c r="H342" s="188" t="inlineStr">
        <is>
          <t>MEDIUM</t>
        </is>
      </c>
      <c r="I342" s="188" t="n">
        <v>8.9</v>
      </c>
      <c r="J342" s="188" t="inlineStr">
        <is>
          <t>NO</t>
        </is>
      </c>
      <c r="K342" s="188" t="inlineStr">
        <is>
          <t>https://nvd.nist.gov/vuln/detail/CVE-2025-11846</t>
        </is>
      </c>
      <c r="L342" s="188" t="inlineStr">
        <is>
          <t>2026-02-27 20:47</t>
        </is>
      </c>
      <c r="M342" s="188" t="inlineStr">
        <is>
          <t>YES</t>
        </is>
      </c>
      <c r="N342" s="188" t="inlineStr">
        <is>
          <t>https://www.zyxel.com/global/en/support/security-advisories/zyxel-security-advisory-for-null-pointer-dereference-and-command-injection-vulnerabilities-in-certain-4g-lte-5g-nr-cpe-dsl-ethernet-cpe-fiber-onts-security-routers-and-wireless-extenders-02-24-2026</t>
        </is>
      </c>
      <c r="O342" s="188" t="inlineStr">
        <is>
          <t>Apply vendor patches</t>
        </is>
      </c>
      <c r="P342" s="188" t="inlineStr">
        <is>
          <t>zyxel dx4510-b0 - | zyxel wx3401-b1_firmware * | zyxel ex5401-b1_firmware *</t>
        </is>
      </c>
      <c r="Q342" s="188" t="inlineStr">
        <is>
          <t>P4</t>
        </is>
      </c>
      <c r="R342" s="188" t="inlineStr">
        <is>
          <t>📅 Schedule patch deployment within 30 days | 🔍 Monitor for exploitation attempts</t>
        </is>
      </c>
      <c r="S342" s="188" t="inlineStr">
        <is>
          <t>CVE - IP enrichment n/a</t>
        </is>
      </c>
      <c r="T342" s="188" t="n">
        <v>0.0005999999999999999</v>
      </c>
      <c r="U342" s="188" t="n">
        <v>0.1941</v>
      </c>
      <c r="V342" s="188" t="inlineStr">
        <is>
          <t>T1499:Endpoint Denial of Service</t>
        </is>
      </c>
      <c r="W342" s="188" t="n">
        <v>1</v>
      </c>
      <c r="X342" s="188" t="inlineStr">
        <is>
          <t>LOW (40%)</t>
        </is>
      </c>
      <c r="Y342" s="188" t="inlineStr">
        <is>
          <t>UNLIKELY</t>
        </is>
      </c>
      <c r="Z342" s="188" t="inlineStr">
        <is>
          <t>PATCH_AVAILABLE</t>
        </is>
      </c>
      <c r="AA342" s="188" t="inlineStr">
        <is>
          <t>https://nvd.nist.gov/vuln/detail/CVE-2025-11846</t>
        </is>
      </c>
      <c r="AB342" s="188" t="inlineStr">
        <is>
          <t>NONE</t>
        </is>
      </c>
      <c r="AC342" s="188" t="n">
        <v>0</v>
      </c>
      <c r="AD342" s="188" t="inlineStr"/>
    </row>
    <row r="343">
      <c r="A343" s="188" t="inlineStr">
        <is>
          <t>CVE</t>
        </is>
      </c>
      <c r="B343" s="188" t="inlineStr">
        <is>
          <t>CVE-2026-25897</t>
        </is>
      </c>
      <c r="C343" s="188"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343" s="188" t="n">
        <v>6.5</v>
      </c>
      <c r="E343" s="188" t="inlineStr">
        <is>
          <t>MEDIUM</t>
        </is>
      </c>
      <c r="F343" s="188" t="n">
        <v>2</v>
      </c>
      <c r="G343" s="188" t="n">
        <v>2</v>
      </c>
      <c r="H343" s="188" t="inlineStr">
        <is>
          <t>MEDIUM</t>
        </is>
      </c>
      <c r="I343" s="188" t="n">
        <v>10.5</v>
      </c>
      <c r="J343" s="188" t="inlineStr">
        <is>
          <t>NO</t>
        </is>
      </c>
      <c r="K343" s="188" t="inlineStr">
        <is>
          <t>https://nvd.nist.gov/vuln/detail/CVE-2026-25897</t>
        </is>
      </c>
      <c r="L343" s="188" t="inlineStr">
        <is>
          <t>2026-02-27 20:47</t>
        </is>
      </c>
      <c r="M343" s="188" t="inlineStr">
        <is>
          <t>YES</t>
        </is>
      </c>
      <c r="N343" s="188" t="inlineStr">
        <is>
          <t>https://github.com/ImageMagick/ImageMagick/security/advisories/GHSA-6j5f-24fw-pqp4</t>
        </is>
      </c>
      <c r="O343" s="188" t="inlineStr">
        <is>
          <t>Apply vendor patches</t>
        </is>
      </c>
      <c r="P343" s="188" t="inlineStr">
        <is>
          <t>imagemagick imagemagick *</t>
        </is>
      </c>
      <c r="Q343" s="188" t="inlineStr">
        <is>
          <t>P4</t>
        </is>
      </c>
      <c r="R343" s="188" t="inlineStr">
        <is>
          <t>📅 Schedule patch deployment within 30 days | 🔍 Monitor for exploitation attempts</t>
        </is>
      </c>
      <c r="S343" s="188" t="inlineStr">
        <is>
          <t>CVE - IP enrichment n/a</t>
        </is>
      </c>
      <c r="T343" s="188" t="n">
        <v>0.0004</v>
      </c>
      <c r="U343" s="188" t="n">
        <v>0.1308</v>
      </c>
      <c r="V343" s="188" t="inlineStr">
        <is>
          <t>T1190:Exploit Public-Facing Application | T1203:Exploitation for Client Execution</t>
        </is>
      </c>
      <c r="W343" s="188" t="n">
        <v>1</v>
      </c>
      <c r="X343" s="188" t="inlineStr">
        <is>
          <t>LOW (40%)</t>
        </is>
      </c>
      <c r="Y343" s="188" t="inlineStr">
        <is>
          <t>UNLIKELY</t>
        </is>
      </c>
      <c r="Z343" s="188" t="inlineStr">
        <is>
          <t>PATCH_AVAILABLE</t>
        </is>
      </c>
      <c r="AA343" s="188" t="inlineStr">
        <is>
          <t>https://nvd.nist.gov/vuln/detail/CVE-2026-25897</t>
        </is>
      </c>
      <c r="AB343" s="188" t="inlineStr">
        <is>
          <t>NONE</t>
        </is>
      </c>
      <c r="AC343" s="188" t="n">
        <v>0</v>
      </c>
      <c r="AD343" s="188" t="inlineStr"/>
    </row>
    <row r="344">
      <c r="A344" s="188" t="inlineStr">
        <is>
          <t>CVE</t>
        </is>
      </c>
      <c r="B344" s="188" t="inlineStr">
        <is>
          <t>CVE-2026-25898</t>
        </is>
      </c>
      <c r="C344" s="188"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344" s="188" t="n">
        <v>6.5</v>
      </c>
      <c r="E344" s="188" t="inlineStr">
        <is>
          <t>MEDIUM</t>
        </is>
      </c>
      <c r="F344" s="188" t="n">
        <v>2</v>
      </c>
      <c r="G344" s="188" t="n">
        <v>2</v>
      </c>
      <c r="H344" s="188" t="inlineStr">
        <is>
          <t>MEDIUM</t>
        </is>
      </c>
      <c r="I344" s="188" t="n">
        <v>10.5</v>
      </c>
      <c r="J344" s="188" t="inlineStr">
        <is>
          <t>NO</t>
        </is>
      </c>
      <c r="K344" s="188" t="inlineStr">
        <is>
          <t>https://nvd.nist.gov/vuln/detail/CVE-2026-25898</t>
        </is>
      </c>
      <c r="L344" s="188" t="inlineStr">
        <is>
          <t>2026-02-27 20:47</t>
        </is>
      </c>
      <c r="M344" s="188" t="inlineStr">
        <is>
          <t>CHECK_VENDOR</t>
        </is>
      </c>
      <c r="N344" s="188" t="inlineStr">
        <is>
          <t>See NVD references</t>
        </is>
      </c>
      <c r="O344" s="188" t="inlineStr">
        <is>
          <t>Apply vendor patches</t>
        </is>
      </c>
      <c r="P344" s="188" t="inlineStr">
        <is>
          <t>imagemagick imagemagick *</t>
        </is>
      </c>
      <c r="Q344" s="188" t="inlineStr">
        <is>
          <t>P4</t>
        </is>
      </c>
      <c r="R344" s="188" t="inlineStr">
        <is>
          <t>📅 Schedule patch deployment within 30 days | 🔍 Monitor for exploitation attempts</t>
        </is>
      </c>
      <c r="S344" s="188" t="inlineStr">
        <is>
          <t>CVE - IP enrichment n/a</t>
        </is>
      </c>
      <c r="T344" s="188" t="n">
        <v>0.0004</v>
      </c>
      <c r="U344" s="188" t="n">
        <v>0.1221</v>
      </c>
      <c r="V344" s="188" t="inlineStr">
        <is>
          <t>T1203:Exploitation for Client Execution | T1190:Exploit Public-Facing Application | T1213:Data from Information Repositories</t>
        </is>
      </c>
      <c r="W344" s="188" t="n">
        <v>1</v>
      </c>
      <c r="X344" s="188" t="inlineStr">
        <is>
          <t>LOW (40%)</t>
        </is>
      </c>
      <c r="Y344" s="188" t="inlineStr">
        <is>
          <t>UNLIKELY</t>
        </is>
      </c>
      <c r="Z344" s="188" t="inlineStr">
        <is>
          <t>CHECK_VENDOR</t>
        </is>
      </c>
      <c r="AA344" s="188" t="inlineStr">
        <is>
          <t>https://nvd.nist.gov/vuln/detail/CVE-2026-25898</t>
        </is>
      </c>
      <c r="AB344" s="188" t="inlineStr">
        <is>
          <t>NONE</t>
        </is>
      </c>
      <c r="AC344" s="188" t="n">
        <v>0</v>
      </c>
      <c r="AD344" s="188" t="inlineStr"/>
    </row>
    <row r="345">
      <c r="A345" s="187" t="inlineStr">
        <is>
          <t>CVE</t>
        </is>
      </c>
      <c r="B345" s="187" t="inlineStr">
        <is>
          <t>CVE-2026-25965</t>
        </is>
      </c>
      <c r="C345" s="187"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345" s="187" t="n">
        <v>8.6</v>
      </c>
      <c r="E345" s="187" t="inlineStr">
        <is>
          <t>HIGH</t>
        </is>
      </c>
      <c r="F345" s="187" t="n">
        <v>2</v>
      </c>
      <c r="G345" s="187" t="n">
        <v>3</v>
      </c>
      <c r="H345" s="187" t="inlineStr">
        <is>
          <t>HIGH</t>
        </is>
      </c>
      <c r="I345" s="187" t="n">
        <v>14.6</v>
      </c>
      <c r="J345" s="187" t="inlineStr">
        <is>
          <t>NO</t>
        </is>
      </c>
      <c r="K345" s="187" t="inlineStr">
        <is>
          <t>https://nvd.nist.gov/vuln/detail/CVE-2026-25965</t>
        </is>
      </c>
      <c r="L345" s="187" t="inlineStr">
        <is>
          <t>2026-02-27 20:47</t>
        </is>
      </c>
      <c r="M345" s="187" t="inlineStr">
        <is>
          <t>CHECK_VENDOR</t>
        </is>
      </c>
      <c r="N345" s="187" t="inlineStr">
        <is>
          <t>See NVD references</t>
        </is>
      </c>
      <c r="O345" s="187" t="inlineStr">
        <is>
          <t>Apply vendor patches</t>
        </is>
      </c>
      <c r="P345" s="187" t="inlineStr">
        <is>
          <t>imagemagick imagemagick *</t>
        </is>
      </c>
      <c r="Q345" s="187" t="inlineStr">
        <is>
          <t>P1</t>
        </is>
      </c>
      <c r="R345" s="187" t="inlineStr">
        <is>
          <t>🚨 URGENT: Apply vendor patches immediately | 🔒 Isolate affected systems if patch unavailable | 🛡️ Enable additional monitoring/IDS rules</t>
        </is>
      </c>
      <c r="S345" s="187" t="inlineStr">
        <is>
          <t>CVE - IP enrichment n/a</t>
        </is>
      </c>
      <c r="T345" s="187" t="n">
        <v>0.0003</v>
      </c>
      <c r="U345" s="187" t="n">
        <v>0.0931</v>
      </c>
      <c r="V345" s="187" t="inlineStr">
        <is>
          <t>T1083:File and Directory Discovery | T1190:Exploit Public-Facing Application</t>
        </is>
      </c>
      <c r="W345" s="187" t="n">
        <v>2</v>
      </c>
      <c r="X345" s="187" t="inlineStr">
        <is>
          <t>HIGH (72%)</t>
        </is>
      </c>
      <c r="Y345" s="187" t="inlineStr">
        <is>
          <t>HIGH</t>
        </is>
      </c>
      <c r="Z345" s="187" t="inlineStr">
        <is>
          <t>CHECK_VENDOR</t>
        </is>
      </c>
      <c r="AA345" s="187" t="inlineStr">
        <is>
          <t>https://nvd.nist.gov/vuln/detail/CVE-2026-25965</t>
        </is>
      </c>
      <c r="AB345" s="187" t="inlineStr">
        <is>
          <t>http://www.zerodayinitiative.com/advisories/ZDI-26-123/</t>
        </is>
      </c>
      <c r="AC345" s="187" t="n">
        <v>0</v>
      </c>
      <c r="AD345" s="187" t="inlineStr"/>
    </row>
    <row r="346">
      <c r="A346" s="188" t="inlineStr">
        <is>
          <t>CVE</t>
        </is>
      </c>
      <c r="B346" s="188" t="inlineStr">
        <is>
          <t>CVE-2026-25966</t>
        </is>
      </c>
      <c r="C346" s="188"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346" s="188" t="n">
        <v>5.9</v>
      </c>
      <c r="E346" s="188" t="inlineStr">
        <is>
          <t>MEDIUM</t>
        </is>
      </c>
      <c r="F346" s="188" t="n">
        <v>2</v>
      </c>
      <c r="G346" s="188" t="n">
        <v>2</v>
      </c>
      <c r="H346" s="188" t="inlineStr">
        <is>
          <t>MEDIUM</t>
        </is>
      </c>
      <c r="I346" s="188" t="n">
        <v>9.9</v>
      </c>
      <c r="J346" s="188" t="inlineStr">
        <is>
          <t>NO</t>
        </is>
      </c>
      <c r="K346" s="188" t="inlineStr">
        <is>
          <t>https://nvd.nist.gov/vuln/detail/CVE-2026-25966</t>
        </is>
      </c>
      <c r="L346" s="188" t="inlineStr">
        <is>
          <t>2026-02-27 20:47</t>
        </is>
      </c>
      <c r="M346" s="188" t="inlineStr">
        <is>
          <t>CHECK_VENDOR</t>
        </is>
      </c>
      <c r="N346" s="188" t="inlineStr">
        <is>
          <t>See NVD references</t>
        </is>
      </c>
      <c r="O346" s="188" t="inlineStr">
        <is>
          <t>Apply vendor patches</t>
        </is>
      </c>
      <c r="P346" s="188" t="inlineStr">
        <is>
          <t>imagemagick imagemagick *</t>
        </is>
      </c>
      <c r="Q346" s="188" t="inlineStr">
        <is>
          <t>P4</t>
        </is>
      </c>
      <c r="R346" s="188" t="inlineStr">
        <is>
          <t>📅 Schedule patch deployment within 30 days | 🔍 Monitor for exploitation attempts</t>
        </is>
      </c>
      <c r="S346" s="188" t="inlineStr">
        <is>
          <t>CVE - IP enrichment n/a</t>
        </is>
      </c>
      <c r="T346" s="188" t="n">
        <v>0.0001</v>
      </c>
      <c r="U346" s="188" t="n">
        <v>0.0163</v>
      </c>
      <c r="V346" s="188" t="inlineStr">
        <is>
          <t>T1190:Exploit Public-Facing Application</t>
        </is>
      </c>
      <c r="W346" s="188" t="n">
        <v>1</v>
      </c>
      <c r="X346" s="188" t="inlineStr">
        <is>
          <t>LOW (40%)</t>
        </is>
      </c>
      <c r="Y346" s="188" t="inlineStr">
        <is>
          <t>UNLIKELY</t>
        </is>
      </c>
      <c r="Z346" s="188" t="inlineStr">
        <is>
          <t>CHECK_VENDOR</t>
        </is>
      </c>
      <c r="AA346" s="188" t="inlineStr">
        <is>
          <t>https://nvd.nist.gov/vuln/detail/CVE-2026-25966</t>
        </is>
      </c>
      <c r="AB346" s="188" t="inlineStr">
        <is>
          <t>NONE</t>
        </is>
      </c>
      <c r="AC346" s="188" t="n">
        <v>0</v>
      </c>
      <c r="AD346" s="188" t="inlineStr"/>
    </row>
    <row r="347">
      <c r="A347" s="187" t="inlineStr">
        <is>
          <t>CVE</t>
        </is>
      </c>
      <c r="B347" s="187" t="inlineStr">
        <is>
          <t>CVE-2026-25967</t>
        </is>
      </c>
      <c r="C347" s="187"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347" s="187" t="n">
        <v>7.4</v>
      </c>
      <c r="E347" s="187" t="inlineStr">
        <is>
          <t>HIGH</t>
        </is>
      </c>
      <c r="F347" s="187" t="n">
        <v>2</v>
      </c>
      <c r="G347" s="187" t="n">
        <v>3</v>
      </c>
      <c r="H347" s="187" t="inlineStr">
        <is>
          <t>HIGH</t>
        </is>
      </c>
      <c r="I347" s="187" t="n">
        <v>13.4</v>
      </c>
      <c r="J347" s="187" t="inlineStr">
        <is>
          <t>NO</t>
        </is>
      </c>
      <c r="K347" s="187" t="inlineStr">
        <is>
          <t>https://nvd.nist.gov/vuln/detail/CVE-2026-25967</t>
        </is>
      </c>
      <c r="L347" s="187" t="inlineStr">
        <is>
          <t>2026-02-27 20:47</t>
        </is>
      </c>
      <c r="M347" s="187" t="inlineStr">
        <is>
          <t>CHECK_VENDOR</t>
        </is>
      </c>
      <c r="N347" s="187" t="inlineStr">
        <is>
          <t>See NVD references</t>
        </is>
      </c>
      <c r="O347" s="187" t="inlineStr">
        <is>
          <t>Apply vendor patches</t>
        </is>
      </c>
      <c r="P347" s="187" t="inlineStr">
        <is>
          <t>imagemagick imagemagick *</t>
        </is>
      </c>
      <c r="Q347" s="187" t="inlineStr">
        <is>
          <t>P3</t>
        </is>
      </c>
      <c r="R347" s="187" t="inlineStr">
        <is>
          <t>🚨 URGENT: Apply vendor patches immediately | 🔒 Isolate affected systems if patch unavailable | 🛡️ Enable additional monitoring/IDS rules</t>
        </is>
      </c>
      <c r="S347" s="187" t="inlineStr">
        <is>
          <t>CVE - IP enrichment n/a</t>
        </is>
      </c>
      <c r="T347" s="187" t="n">
        <v>0.0004</v>
      </c>
      <c r="U347" s="187" t="n">
        <v>0.1198</v>
      </c>
      <c r="V347" s="187" t="inlineStr">
        <is>
          <t>T1190:Exploit Public-Facing Application | T1203:Exploitation for Client Execution</t>
        </is>
      </c>
      <c r="W347" s="187" t="n">
        <v>1</v>
      </c>
      <c r="X347" s="187" t="inlineStr">
        <is>
          <t>LOW (40%)</t>
        </is>
      </c>
      <c r="Y347" s="187" t="inlineStr">
        <is>
          <t>UNLIKELY</t>
        </is>
      </c>
      <c r="Z347" s="187" t="inlineStr">
        <is>
          <t>CHECK_VENDOR</t>
        </is>
      </c>
      <c r="AA347" s="187" t="inlineStr">
        <is>
          <t>https://nvd.nist.gov/vuln/detail/CVE-2026-25967</t>
        </is>
      </c>
      <c r="AB347" s="187" t="inlineStr">
        <is>
          <t>NONE</t>
        </is>
      </c>
      <c r="AC347" s="187" t="n">
        <v>0</v>
      </c>
      <c r="AD347" s="187" t="inlineStr"/>
    </row>
    <row r="348">
      <c r="A348" s="187" t="inlineStr">
        <is>
          <t>CVE</t>
        </is>
      </c>
      <c r="B348" s="187" t="inlineStr">
        <is>
          <t>CVE-2026-25968</t>
        </is>
      </c>
      <c r="C348" s="187"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348" s="187" t="n">
        <v>7.4</v>
      </c>
      <c r="E348" s="187" t="inlineStr">
        <is>
          <t>HIGH</t>
        </is>
      </c>
      <c r="F348" s="187" t="n">
        <v>2</v>
      </c>
      <c r="G348" s="187" t="n">
        <v>3</v>
      </c>
      <c r="H348" s="187" t="inlineStr">
        <is>
          <t>HIGH</t>
        </is>
      </c>
      <c r="I348" s="187" t="n">
        <v>13.4</v>
      </c>
      <c r="J348" s="187" t="inlineStr">
        <is>
          <t>NO</t>
        </is>
      </c>
      <c r="K348" s="187" t="inlineStr">
        <is>
          <t>https://nvd.nist.gov/vuln/detail/CVE-2026-25968</t>
        </is>
      </c>
      <c r="L348" s="187" t="inlineStr">
        <is>
          <t>2026-02-27 20:47</t>
        </is>
      </c>
      <c r="M348" s="187" t="inlineStr">
        <is>
          <t>CHECK_VENDOR</t>
        </is>
      </c>
      <c r="N348" s="187" t="inlineStr">
        <is>
          <t>See NVD references</t>
        </is>
      </c>
      <c r="O348" s="187" t="inlineStr">
        <is>
          <t>Apply vendor patches</t>
        </is>
      </c>
      <c r="P348" s="187" t="inlineStr">
        <is>
          <t>imagemagick imagemagick *</t>
        </is>
      </c>
      <c r="Q348" s="187" t="inlineStr">
        <is>
          <t>P3</t>
        </is>
      </c>
      <c r="R348" s="187" t="inlineStr">
        <is>
          <t>🚨 URGENT: Apply vendor patches immediately | 🔒 Isolate affected systems if patch unavailable | 🛡️ Enable additional monitoring/IDS rules</t>
        </is>
      </c>
      <c r="S348" s="187" t="inlineStr">
        <is>
          <t>CVE - IP enrichment n/a</t>
        </is>
      </c>
      <c r="T348" s="187" t="n">
        <v>0.0004</v>
      </c>
      <c r="U348" s="187" t="n">
        <v>0.1296</v>
      </c>
      <c r="V348" s="187" t="inlineStr">
        <is>
          <t>T1190:Exploit Public-Facing Application | T1203:Exploitation for Client Execution</t>
        </is>
      </c>
      <c r="W348" s="187" t="n">
        <v>1</v>
      </c>
      <c r="X348" s="187" t="inlineStr">
        <is>
          <t>LOW (40%)</t>
        </is>
      </c>
      <c r="Y348" s="187" t="inlineStr">
        <is>
          <t>UNLIKELY</t>
        </is>
      </c>
      <c r="Z348" s="187" t="inlineStr">
        <is>
          <t>CHECK_VENDOR</t>
        </is>
      </c>
      <c r="AA348" s="187" t="inlineStr">
        <is>
          <t>https://nvd.nist.gov/vuln/detail/CVE-2026-25968</t>
        </is>
      </c>
      <c r="AB348" s="187" t="inlineStr">
        <is>
          <t>NONE</t>
        </is>
      </c>
      <c r="AC348" s="187" t="n">
        <v>0</v>
      </c>
      <c r="AD348" s="187" t="inlineStr"/>
    </row>
    <row r="349">
      <c r="A349" s="188" t="inlineStr">
        <is>
          <t>CVE</t>
        </is>
      </c>
      <c r="B349" s="188" t="inlineStr">
        <is>
          <t>CVE-2026-25969</t>
        </is>
      </c>
      <c r="C349" s="188"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349" s="188" t="n">
        <v>5.3</v>
      </c>
      <c r="E349" s="188" t="inlineStr">
        <is>
          <t>MEDIUM</t>
        </is>
      </c>
      <c r="F349" s="188" t="n">
        <v>2</v>
      </c>
      <c r="G349" s="188" t="n">
        <v>2</v>
      </c>
      <c r="H349" s="188" t="inlineStr">
        <is>
          <t>MEDIUM</t>
        </is>
      </c>
      <c r="I349" s="188" t="n">
        <v>9.300000000000001</v>
      </c>
      <c r="J349" s="188" t="inlineStr">
        <is>
          <t>NO</t>
        </is>
      </c>
      <c r="K349" s="188" t="inlineStr">
        <is>
          <t>https://nvd.nist.gov/vuln/detail/CVE-2026-25969</t>
        </is>
      </c>
      <c r="L349" s="188" t="inlineStr">
        <is>
          <t>2026-02-27 20:47</t>
        </is>
      </c>
      <c r="M349" s="188" t="inlineStr">
        <is>
          <t>CHECK_VENDOR</t>
        </is>
      </c>
      <c r="N349" s="188" t="inlineStr">
        <is>
          <t>See NVD references</t>
        </is>
      </c>
      <c r="O349" s="188" t="inlineStr">
        <is>
          <t>Apply vendor patches</t>
        </is>
      </c>
      <c r="P349" s="188" t="inlineStr">
        <is>
          <t>imagemagick imagemagick *</t>
        </is>
      </c>
      <c r="Q349" s="188" t="inlineStr">
        <is>
          <t>P4</t>
        </is>
      </c>
      <c r="R349" s="188" t="inlineStr">
        <is>
          <t>📅 Schedule patch deployment within 30 days | 🔍 Monitor for exploitation attempts</t>
        </is>
      </c>
      <c r="S349" s="188" t="inlineStr">
        <is>
          <t>CVE - IP enrichment n/a</t>
        </is>
      </c>
      <c r="T349" s="188" t="n">
        <v>0.0004</v>
      </c>
      <c r="U349" s="188" t="n">
        <v>0.1198</v>
      </c>
      <c r="V349" s="188" t="inlineStr">
        <is>
          <t>T1190:Exploit Public-Facing Application</t>
        </is>
      </c>
      <c r="W349" s="188" t="n">
        <v>1</v>
      </c>
      <c r="X349" s="188" t="inlineStr">
        <is>
          <t>LOW (40%)</t>
        </is>
      </c>
      <c r="Y349" s="188" t="inlineStr">
        <is>
          <t>UNLIKELY</t>
        </is>
      </c>
      <c r="Z349" s="188" t="inlineStr">
        <is>
          <t>CHECK_VENDOR</t>
        </is>
      </c>
      <c r="AA349" s="188" t="inlineStr">
        <is>
          <t>https://nvd.nist.gov/vuln/detail/CVE-2026-25969</t>
        </is>
      </c>
      <c r="AB349" s="188" t="inlineStr">
        <is>
          <t>NONE</t>
        </is>
      </c>
      <c r="AC349" s="188" t="n">
        <v>0</v>
      </c>
      <c r="AD349" s="188" t="inlineStr"/>
    </row>
    <row r="350">
      <c r="A350" s="188" t="inlineStr">
        <is>
          <t>CVE</t>
        </is>
      </c>
      <c r="B350" s="188" t="inlineStr">
        <is>
          <t>CVE-2026-25970</t>
        </is>
      </c>
      <c r="C350" s="188"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350" s="188" t="n">
        <v>5.3</v>
      </c>
      <c r="E350" s="188" t="inlineStr">
        <is>
          <t>MEDIUM</t>
        </is>
      </c>
      <c r="F350" s="188" t="n">
        <v>2</v>
      </c>
      <c r="G350" s="188" t="n">
        <v>2</v>
      </c>
      <c r="H350" s="188" t="inlineStr">
        <is>
          <t>MEDIUM</t>
        </is>
      </c>
      <c r="I350" s="188" t="n">
        <v>9.300000000000001</v>
      </c>
      <c r="J350" s="188" t="inlineStr">
        <is>
          <t>NO</t>
        </is>
      </c>
      <c r="K350" s="188" t="inlineStr">
        <is>
          <t>https://nvd.nist.gov/vuln/detail/CVE-2026-25970</t>
        </is>
      </c>
      <c r="L350" s="188" t="inlineStr">
        <is>
          <t>2026-02-27 20:47</t>
        </is>
      </c>
      <c r="M350" s="188" t="inlineStr">
        <is>
          <t>CHECK_VENDOR</t>
        </is>
      </c>
      <c r="N350" s="188" t="inlineStr">
        <is>
          <t>See NVD references</t>
        </is>
      </c>
      <c r="O350" s="188" t="inlineStr">
        <is>
          <t>Apply vendor patches</t>
        </is>
      </c>
      <c r="P350" s="188" t="inlineStr">
        <is>
          <t>imagemagick imagemagick *</t>
        </is>
      </c>
      <c r="Q350" s="188" t="inlineStr">
        <is>
          <t>P4</t>
        </is>
      </c>
      <c r="R350" s="188" t="inlineStr">
        <is>
          <t>📅 Schedule patch deployment within 30 days | 🔍 Monitor for exploitation attempts</t>
        </is>
      </c>
      <c r="S350" s="188" t="inlineStr">
        <is>
          <t>CVE - IP enrichment n/a</t>
        </is>
      </c>
      <c r="T350" s="188" t="n">
        <v>0.0004</v>
      </c>
      <c r="U350" s="188" t="n">
        <v>0.1193</v>
      </c>
      <c r="V350" s="188" t="inlineStr">
        <is>
          <t>T1190:Exploit Public-Facing Application | T1499:Endpoint Denial of Service | T1203:Exploitation for Client Execution</t>
        </is>
      </c>
      <c r="W350" s="188" t="n">
        <v>1</v>
      </c>
      <c r="X350" s="188" t="inlineStr">
        <is>
          <t>LOW (40%)</t>
        </is>
      </c>
      <c r="Y350" s="188" t="inlineStr">
        <is>
          <t>UNLIKELY</t>
        </is>
      </c>
      <c r="Z350" s="188" t="inlineStr">
        <is>
          <t>CHECK_VENDOR</t>
        </is>
      </c>
      <c r="AA350" s="188" t="inlineStr">
        <is>
          <t>https://nvd.nist.gov/vuln/detail/CVE-2026-25970</t>
        </is>
      </c>
      <c r="AB350" s="188" t="inlineStr">
        <is>
          <t>NONE</t>
        </is>
      </c>
      <c r="AC350" s="188" t="n">
        <v>0</v>
      </c>
      <c r="AD350" s="188" t="inlineStr"/>
    </row>
    <row r="351">
      <c r="A351" s="188" t="inlineStr">
        <is>
          <t>CVE</t>
        </is>
      </c>
      <c r="B351" s="188" t="inlineStr">
        <is>
          <t>CVE-2026-25971</t>
        </is>
      </c>
      <c r="C351" s="188"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351" s="188" t="n">
        <v>6.2</v>
      </c>
      <c r="E351" s="188" t="inlineStr">
        <is>
          <t>MEDIUM</t>
        </is>
      </c>
      <c r="F351" s="188" t="n">
        <v>2</v>
      </c>
      <c r="G351" s="188" t="n">
        <v>2</v>
      </c>
      <c r="H351" s="188" t="inlineStr">
        <is>
          <t>MEDIUM</t>
        </is>
      </c>
      <c r="I351" s="188" t="n">
        <v>10.2</v>
      </c>
      <c r="J351" s="188" t="inlineStr">
        <is>
          <t>NO</t>
        </is>
      </c>
      <c r="K351" s="188" t="inlineStr">
        <is>
          <t>https://nvd.nist.gov/vuln/detail/CVE-2026-25971</t>
        </is>
      </c>
      <c r="L351" s="188" t="inlineStr">
        <is>
          <t>2026-02-27 20:47</t>
        </is>
      </c>
      <c r="M351" s="188" t="inlineStr">
        <is>
          <t>CHECK_VENDOR</t>
        </is>
      </c>
      <c r="N351" s="188" t="inlineStr">
        <is>
          <t>See NVD references</t>
        </is>
      </c>
      <c r="O351" s="188" t="inlineStr">
        <is>
          <t>Apply vendor patches</t>
        </is>
      </c>
      <c r="P351" s="188" t="inlineStr">
        <is>
          <t>imagemagick imagemagick *</t>
        </is>
      </c>
      <c r="Q351" s="188" t="inlineStr">
        <is>
          <t>P4</t>
        </is>
      </c>
      <c r="R351" s="188" t="inlineStr">
        <is>
          <t>📅 Schedule patch deployment within 30 days | 🔍 Monitor for exploitation attempts</t>
        </is>
      </c>
      <c r="S351" s="188" t="inlineStr">
        <is>
          <t>CVE - IP enrichment n/a</t>
        </is>
      </c>
      <c r="T351" s="188" t="n">
        <v>0.0003</v>
      </c>
      <c r="U351" s="188" t="n">
        <v>0.0835</v>
      </c>
      <c r="V351" s="188" t="inlineStr">
        <is>
          <t>T1203:Exploitation for Client Execution | T1190:Exploit Public-Facing Application</t>
        </is>
      </c>
      <c r="W351" s="188" t="n">
        <v>1</v>
      </c>
      <c r="X351" s="188" t="inlineStr">
        <is>
          <t>LOW (40%)</t>
        </is>
      </c>
      <c r="Y351" s="188" t="inlineStr">
        <is>
          <t>UNLIKELY</t>
        </is>
      </c>
      <c r="Z351" s="188" t="inlineStr">
        <is>
          <t>CHECK_VENDOR</t>
        </is>
      </c>
      <c r="AA351" s="188" t="inlineStr">
        <is>
          <t>https://nvd.nist.gov/vuln/detail/CVE-2026-25971</t>
        </is>
      </c>
      <c r="AB351" s="188" t="inlineStr">
        <is>
          <t>NONE</t>
        </is>
      </c>
      <c r="AC351" s="188" t="n">
        <v>0</v>
      </c>
      <c r="AD351" s="188" t="inlineStr"/>
    </row>
    <row r="352">
      <c r="A352" s="188" t="inlineStr">
        <is>
          <t>CVE</t>
        </is>
      </c>
      <c r="B352" s="188" t="inlineStr">
        <is>
          <t>CVE-2026-25982</t>
        </is>
      </c>
      <c r="C352" s="188"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352" s="188" t="n">
        <v>6.5</v>
      </c>
      <c r="E352" s="188" t="inlineStr">
        <is>
          <t>MEDIUM</t>
        </is>
      </c>
      <c r="F352" s="188" t="n">
        <v>2</v>
      </c>
      <c r="G352" s="188" t="n">
        <v>2</v>
      </c>
      <c r="H352" s="188" t="inlineStr">
        <is>
          <t>MEDIUM</t>
        </is>
      </c>
      <c r="I352" s="188" t="n">
        <v>10.5</v>
      </c>
      <c r="J352" s="188" t="inlineStr">
        <is>
          <t>NO</t>
        </is>
      </c>
      <c r="K352" s="188" t="inlineStr">
        <is>
          <t>https://nvd.nist.gov/vuln/detail/CVE-2026-25982</t>
        </is>
      </c>
      <c r="L352" s="188" t="inlineStr">
        <is>
          <t>2026-02-27 20:47</t>
        </is>
      </c>
      <c r="M352" s="188" t="inlineStr">
        <is>
          <t>CHECK_VENDOR</t>
        </is>
      </c>
      <c r="N352" s="188" t="inlineStr">
        <is>
          <t>See NVD references</t>
        </is>
      </c>
      <c r="O352" s="188" t="inlineStr">
        <is>
          <t>Apply vendor patches</t>
        </is>
      </c>
      <c r="P352" s="188" t="inlineStr">
        <is>
          <t>imagemagick imagemagick *</t>
        </is>
      </c>
      <c r="Q352" s="188" t="inlineStr">
        <is>
          <t>P4</t>
        </is>
      </c>
      <c r="R352" s="188" t="inlineStr">
        <is>
          <t>📅 Schedule patch deployment within 30 days | 🔍 Monitor for exploitation attempts</t>
        </is>
      </c>
      <c r="S352" s="188" t="inlineStr">
        <is>
          <t>CVE - IP enrichment n/a</t>
        </is>
      </c>
      <c r="T352" s="188" t="n">
        <v>0.0004</v>
      </c>
      <c r="U352" s="188" t="n">
        <v>0.1082</v>
      </c>
      <c r="V352" s="188" t="inlineStr">
        <is>
          <t>T1203:Exploitation for Client Execution | T1190:Exploit Public-Facing Application | T1499:Endpoint Denial of Service</t>
        </is>
      </c>
      <c r="W352" s="188" t="n">
        <v>1</v>
      </c>
      <c r="X352" s="188" t="inlineStr">
        <is>
          <t>LOW (40%)</t>
        </is>
      </c>
      <c r="Y352" s="188" t="inlineStr">
        <is>
          <t>UNLIKELY</t>
        </is>
      </c>
      <c r="Z352" s="188" t="inlineStr">
        <is>
          <t>CHECK_VENDOR</t>
        </is>
      </c>
      <c r="AA352" s="188" t="inlineStr">
        <is>
          <t>https://nvd.nist.gov/vuln/detail/CVE-2026-25982</t>
        </is>
      </c>
      <c r="AB352" s="188" t="inlineStr">
        <is>
          <t>NONE</t>
        </is>
      </c>
      <c r="AC352" s="188" t="n">
        <v>0</v>
      </c>
      <c r="AD352" s="188" t="inlineStr"/>
    </row>
    <row r="353">
      <c r="A353" s="188" t="inlineStr">
        <is>
          <t>CVE</t>
        </is>
      </c>
      <c r="B353" s="188" t="inlineStr">
        <is>
          <t>CVE-2026-25983</t>
        </is>
      </c>
      <c r="C353" s="188"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353" s="188" t="n">
        <v>5.3</v>
      </c>
      <c r="E353" s="188" t="inlineStr">
        <is>
          <t>MEDIUM</t>
        </is>
      </c>
      <c r="F353" s="188" t="n">
        <v>2</v>
      </c>
      <c r="G353" s="188" t="n">
        <v>2</v>
      </c>
      <c r="H353" s="188" t="inlineStr">
        <is>
          <t>MEDIUM</t>
        </is>
      </c>
      <c r="I353" s="188" t="n">
        <v>9.300000000000001</v>
      </c>
      <c r="J353" s="188" t="inlineStr">
        <is>
          <t>NO</t>
        </is>
      </c>
      <c r="K353" s="188" t="inlineStr">
        <is>
          <t>https://nvd.nist.gov/vuln/detail/CVE-2026-25983</t>
        </is>
      </c>
      <c r="L353" s="188" t="inlineStr">
        <is>
          <t>2026-02-27 20:47</t>
        </is>
      </c>
      <c r="M353" s="188" t="inlineStr">
        <is>
          <t>CHECK_VENDOR</t>
        </is>
      </c>
      <c r="N353" s="188" t="inlineStr">
        <is>
          <t>See NVD references</t>
        </is>
      </c>
      <c r="O353" s="188" t="inlineStr">
        <is>
          <t>Apply vendor patches</t>
        </is>
      </c>
      <c r="P353" s="188" t="inlineStr">
        <is>
          <t>imagemagick imagemagick *</t>
        </is>
      </c>
      <c r="Q353" s="188" t="inlineStr">
        <is>
          <t>P4</t>
        </is>
      </c>
      <c r="R353" s="188" t="inlineStr">
        <is>
          <t>📅 Schedule patch deployment within 30 days | 🔍 Monitor for exploitation attempts</t>
        </is>
      </c>
      <c r="S353" s="188" t="inlineStr">
        <is>
          <t>CVE - IP enrichment n/a</t>
        </is>
      </c>
      <c r="T353" s="188" t="n">
        <v>0.0005999999999999999</v>
      </c>
      <c r="U353" s="188" t="n">
        <v>0.1719</v>
      </c>
      <c r="V353" s="188" t="inlineStr">
        <is>
          <t>T1203:Exploitation for Client Execution | T1190:Exploit Public-Facing Application</t>
        </is>
      </c>
      <c r="W353" s="188" t="n">
        <v>1</v>
      </c>
      <c r="X353" s="188" t="inlineStr">
        <is>
          <t>LOW (40%)</t>
        </is>
      </c>
      <c r="Y353" s="188" t="inlineStr">
        <is>
          <t>UNLIKELY</t>
        </is>
      </c>
      <c r="Z353" s="188" t="inlineStr">
        <is>
          <t>CHECK_VENDOR</t>
        </is>
      </c>
      <c r="AA353" s="188" t="inlineStr">
        <is>
          <t>https://nvd.nist.gov/vuln/detail/CVE-2026-25983</t>
        </is>
      </c>
      <c r="AB353" s="188" t="inlineStr">
        <is>
          <t>NONE</t>
        </is>
      </c>
      <c r="AC353" s="188" t="n">
        <v>0</v>
      </c>
      <c r="AD353" s="188" t="inlineStr"/>
    </row>
    <row r="354">
      <c r="A354" s="187" t="inlineStr">
        <is>
          <t>CVE</t>
        </is>
      </c>
      <c r="B354" s="187" t="inlineStr">
        <is>
          <t>CVE-2026-25985</t>
        </is>
      </c>
      <c r="C354" s="187"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354" s="187" t="n">
        <v>7.5</v>
      </c>
      <c r="E354" s="187" t="inlineStr">
        <is>
          <t>HIGH</t>
        </is>
      </c>
      <c r="F354" s="187" t="n">
        <v>2</v>
      </c>
      <c r="G354" s="187" t="n">
        <v>3</v>
      </c>
      <c r="H354" s="187" t="inlineStr">
        <is>
          <t>HIGH</t>
        </is>
      </c>
      <c r="I354" s="187" t="n">
        <v>13.5</v>
      </c>
      <c r="J354" s="187" t="inlineStr">
        <is>
          <t>NO</t>
        </is>
      </c>
      <c r="K354" s="187" t="inlineStr">
        <is>
          <t>https://nvd.nist.gov/vuln/detail/CVE-2026-25985</t>
        </is>
      </c>
      <c r="L354" s="187" t="inlineStr">
        <is>
          <t>2026-02-27 20:47</t>
        </is>
      </c>
      <c r="M354" s="187" t="inlineStr">
        <is>
          <t>CHECK_VENDOR</t>
        </is>
      </c>
      <c r="N354" s="187" t="inlineStr">
        <is>
          <t>See NVD references</t>
        </is>
      </c>
      <c r="O354" s="187" t="inlineStr">
        <is>
          <t>Apply vendor patches</t>
        </is>
      </c>
      <c r="P354" s="187" t="inlineStr">
        <is>
          <t>imagemagick imagemagick *</t>
        </is>
      </c>
      <c r="Q354" s="187" t="inlineStr">
        <is>
          <t>P3</t>
        </is>
      </c>
      <c r="R354" s="187" t="inlineStr">
        <is>
          <t>🚨 URGENT: Apply vendor patches immediately | 🔒 Isolate affected systems if patch unavailable | 🛡️ Enable additional monitoring/IDS rules</t>
        </is>
      </c>
      <c r="S354" s="187" t="inlineStr">
        <is>
          <t>CVE - IP enrichment n/a</t>
        </is>
      </c>
      <c r="T354" s="187" t="n">
        <v>0.0004</v>
      </c>
      <c r="U354" s="187" t="n">
        <v>0.1198</v>
      </c>
      <c r="V354" s="187" t="inlineStr">
        <is>
          <t>T1190:Exploit Public-Facing Application</t>
        </is>
      </c>
      <c r="W354" s="187" t="n">
        <v>1</v>
      </c>
      <c r="X354" s="187" t="inlineStr">
        <is>
          <t>LOW (40%)</t>
        </is>
      </c>
      <c r="Y354" s="187" t="inlineStr">
        <is>
          <t>UNLIKELY</t>
        </is>
      </c>
      <c r="Z354" s="187" t="inlineStr">
        <is>
          <t>CHECK_VENDOR</t>
        </is>
      </c>
      <c r="AA354" s="187" t="inlineStr">
        <is>
          <t>https://nvd.nist.gov/vuln/detail/CVE-2026-25985</t>
        </is>
      </c>
      <c r="AB354" s="187" t="inlineStr">
        <is>
          <t>NONE</t>
        </is>
      </c>
      <c r="AC354" s="187" t="n">
        <v>0</v>
      </c>
      <c r="AD354" s="187" t="inlineStr"/>
    </row>
    <row r="355">
      <c r="A355" s="188" t="inlineStr">
        <is>
          <t>CVE</t>
        </is>
      </c>
      <c r="B355" s="188" t="inlineStr">
        <is>
          <t>CVE-2026-25986</t>
        </is>
      </c>
      <c r="C355" s="188"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355" s="188" t="n">
        <v>5.3</v>
      </c>
      <c r="E355" s="188" t="inlineStr">
        <is>
          <t>MEDIUM</t>
        </is>
      </c>
      <c r="F355" s="188" t="n">
        <v>2</v>
      </c>
      <c r="G355" s="188" t="n">
        <v>2</v>
      </c>
      <c r="H355" s="188" t="inlineStr">
        <is>
          <t>MEDIUM</t>
        </is>
      </c>
      <c r="I355" s="188" t="n">
        <v>9.300000000000001</v>
      </c>
      <c r="J355" s="188" t="inlineStr">
        <is>
          <t>NO</t>
        </is>
      </c>
      <c r="K355" s="188" t="inlineStr">
        <is>
          <t>https://nvd.nist.gov/vuln/detail/CVE-2026-25986</t>
        </is>
      </c>
      <c r="L355" s="188" t="inlineStr">
        <is>
          <t>2026-02-27 20:47</t>
        </is>
      </c>
      <c r="M355" s="188" t="inlineStr">
        <is>
          <t>CHECK_VENDOR</t>
        </is>
      </c>
      <c r="N355" s="188" t="inlineStr">
        <is>
          <t>See NVD references</t>
        </is>
      </c>
      <c r="O355" s="188" t="inlineStr">
        <is>
          <t>Apply vendor patches</t>
        </is>
      </c>
      <c r="P355" s="188" t="inlineStr">
        <is>
          <t>imagemagick imagemagick *</t>
        </is>
      </c>
      <c r="Q355" s="188" t="inlineStr">
        <is>
          <t>P4</t>
        </is>
      </c>
      <c r="R355" s="188" t="inlineStr">
        <is>
          <t>📅 Schedule patch deployment within 30 days | 🔍 Monitor for exploitation attempts</t>
        </is>
      </c>
      <c r="S355" s="188" t="inlineStr">
        <is>
          <t>CVE - IP enrichment n/a</t>
        </is>
      </c>
      <c r="T355" s="188" t="n">
        <v>0.0004</v>
      </c>
      <c r="U355" s="188" t="n">
        <v>0.1296</v>
      </c>
      <c r="V355" s="188" t="inlineStr">
        <is>
          <t>T1203:Exploitation for Client Execution | T1190:Exploit Public-Facing Application</t>
        </is>
      </c>
      <c r="W355" s="188" t="n">
        <v>1</v>
      </c>
      <c r="X355" s="188" t="inlineStr">
        <is>
          <t>LOW (40%)</t>
        </is>
      </c>
      <c r="Y355" s="188" t="inlineStr">
        <is>
          <t>UNLIKELY</t>
        </is>
      </c>
      <c r="Z355" s="188" t="inlineStr">
        <is>
          <t>CHECK_VENDOR</t>
        </is>
      </c>
      <c r="AA355" s="188" t="inlineStr">
        <is>
          <t>https://nvd.nist.gov/vuln/detail/CVE-2026-25986</t>
        </is>
      </c>
      <c r="AB355" s="188" t="inlineStr">
        <is>
          <t>NONE</t>
        </is>
      </c>
      <c r="AC355" s="188" t="n">
        <v>0</v>
      </c>
      <c r="AD355" s="188" t="inlineStr"/>
    </row>
    <row r="356">
      <c r="A356" s="188" t="inlineStr">
        <is>
          <t>CVE</t>
        </is>
      </c>
      <c r="B356" s="188" t="inlineStr">
        <is>
          <t>CVE-2026-25987</t>
        </is>
      </c>
      <c r="C356" s="188"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356" s="188" t="n">
        <v>5.3</v>
      </c>
      <c r="E356" s="188" t="inlineStr">
        <is>
          <t>MEDIUM</t>
        </is>
      </c>
      <c r="F356" s="188" t="n">
        <v>2</v>
      </c>
      <c r="G356" s="188" t="n">
        <v>2</v>
      </c>
      <c r="H356" s="188" t="inlineStr">
        <is>
          <t>MEDIUM</t>
        </is>
      </c>
      <c r="I356" s="188" t="n">
        <v>9.300000000000001</v>
      </c>
      <c r="J356" s="188" t="inlineStr">
        <is>
          <t>NO</t>
        </is>
      </c>
      <c r="K356" s="188" t="inlineStr">
        <is>
          <t>https://nvd.nist.gov/vuln/detail/CVE-2026-25987</t>
        </is>
      </c>
      <c r="L356" s="188" t="inlineStr">
        <is>
          <t>2026-02-27 20:47</t>
        </is>
      </c>
      <c r="M356" s="188" t="inlineStr">
        <is>
          <t>CHECK_VENDOR</t>
        </is>
      </c>
      <c r="N356" s="188" t="inlineStr">
        <is>
          <t>See NVD references</t>
        </is>
      </c>
      <c r="O356" s="188" t="inlineStr">
        <is>
          <t>Apply vendor patches</t>
        </is>
      </c>
      <c r="P356" s="188" t="inlineStr">
        <is>
          <t>imagemagick imagemagick *</t>
        </is>
      </c>
      <c r="Q356" s="188" t="inlineStr">
        <is>
          <t>P4</t>
        </is>
      </c>
      <c r="R356" s="188" t="inlineStr">
        <is>
          <t>📅 Schedule patch deployment within 30 days | 🔍 Monitor for exploitation attempts</t>
        </is>
      </c>
      <c r="S356" s="188" t="inlineStr">
        <is>
          <t>CVE - IP enrichment n/a</t>
        </is>
      </c>
      <c r="T356" s="188" t="n">
        <v>0.0003</v>
      </c>
      <c r="U356" s="188" t="n">
        <v>0.0843</v>
      </c>
      <c r="V356" s="188" t="inlineStr">
        <is>
          <t>T1203:Exploitation for Client Execution | T1190:Exploit Public-Facing Application</t>
        </is>
      </c>
      <c r="W356" s="188" t="n">
        <v>1</v>
      </c>
      <c r="X356" s="188" t="inlineStr">
        <is>
          <t>LOW (40%)</t>
        </is>
      </c>
      <c r="Y356" s="188" t="inlineStr">
        <is>
          <t>UNLIKELY</t>
        </is>
      </c>
      <c r="Z356" s="188" t="inlineStr">
        <is>
          <t>CHECK_VENDOR</t>
        </is>
      </c>
      <c r="AA356" s="188" t="inlineStr">
        <is>
          <t>https://nvd.nist.gov/vuln/detail/CVE-2026-25987</t>
        </is>
      </c>
      <c r="AB356" s="188" t="inlineStr">
        <is>
          <t>NONE</t>
        </is>
      </c>
      <c r="AC356" s="188" t="n">
        <v>0</v>
      </c>
      <c r="AD356" s="188" t="inlineStr"/>
    </row>
    <row r="357">
      <c r="A357" s="188" t="inlineStr">
        <is>
          <t>CVE</t>
        </is>
      </c>
      <c r="B357" s="188" t="inlineStr">
        <is>
          <t>CVE-2026-25988</t>
        </is>
      </c>
      <c r="C357" s="188"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357" s="188" t="n">
        <v>5.3</v>
      </c>
      <c r="E357" s="188" t="inlineStr">
        <is>
          <t>MEDIUM</t>
        </is>
      </c>
      <c r="F357" s="188" t="n">
        <v>2</v>
      </c>
      <c r="G357" s="188" t="n">
        <v>2</v>
      </c>
      <c r="H357" s="188" t="inlineStr">
        <is>
          <t>MEDIUM</t>
        </is>
      </c>
      <c r="I357" s="188" t="n">
        <v>9.300000000000001</v>
      </c>
      <c r="J357" s="188" t="inlineStr">
        <is>
          <t>NO</t>
        </is>
      </c>
      <c r="K357" s="188" t="inlineStr">
        <is>
          <t>https://nvd.nist.gov/vuln/detail/CVE-2026-25988</t>
        </is>
      </c>
      <c r="L357" s="188" t="inlineStr">
        <is>
          <t>2026-02-27 20:47</t>
        </is>
      </c>
      <c r="M357" s="188" t="inlineStr">
        <is>
          <t>CHECK_VENDOR</t>
        </is>
      </c>
      <c r="N357" s="188" t="inlineStr">
        <is>
          <t>See NVD references</t>
        </is>
      </c>
      <c r="O357" s="188" t="inlineStr">
        <is>
          <t>Apply vendor patches</t>
        </is>
      </c>
      <c r="P357" s="188" t="inlineStr">
        <is>
          <t>imagemagick imagemagick *</t>
        </is>
      </c>
      <c r="Q357" s="188" t="inlineStr">
        <is>
          <t>P4</t>
        </is>
      </c>
      <c r="R357" s="188" t="inlineStr">
        <is>
          <t>📅 Schedule patch deployment within 30 days | 🔍 Monitor for exploitation attempts</t>
        </is>
      </c>
      <c r="S357" s="188" t="inlineStr">
        <is>
          <t>CVE - IP enrichment n/a</t>
        </is>
      </c>
      <c r="T357" s="188" t="n">
        <v>0.0004</v>
      </c>
      <c r="U357" s="188" t="n">
        <v>0.1198</v>
      </c>
      <c r="V357" s="188" t="inlineStr">
        <is>
          <t>T1190:Exploit Public-Facing Application</t>
        </is>
      </c>
      <c r="W357" s="188" t="n">
        <v>1</v>
      </c>
      <c r="X357" s="188" t="inlineStr">
        <is>
          <t>LOW (40%)</t>
        </is>
      </c>
      <c r="Y357" s="188" t="inlineStr">
        <is>
          <t>UNLIKELY</t>
        </is>
      </c>
      <c r="Z357" s="188" t="inlineStr">
        <is>
          <t>CHECK_VENDOR</t>
        </is>
      </c>
      <c r="AA357" s="188" t="inlineStr">
        <is>
          <t>https://nvd.nist.gov/vuln/detail/CVE-2026-25988</t>
        </is>
      </c>
      <c r="AB357" s="188" t="inlineStr">
        <is>
          <t>NONE</t>
        </is>
      </c>
      <c r="AC357" s="188" t="n">
        <v>0</v>
      </c>
      <c r="AD357" s="188" t="inlineStr"/>
    </row>
    <row r="358">
      <c r="A358" s="188" t="inlineStr">
        <is>
          <t>CVE</t>
        </is>
      </c>
      <c r="B358" s="188" t="inlineStr">
        <is>
          <t>CVE-2026-3052</t>
        </is>
      </c>
      <c r="C358" s="188"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358" s="188" t="n">
        <v>6.3</v>
      </c>
      <c r="E358" s="188" t="inlineStr">
        <is>
          <t>MEDIUM</t>
        </is>
      </c>
      <c r="F358" s="188" t="n">
        <v>2</v>
      </c>
      <c r="G358" s="188" t="n">
        <v>2</v>
      </c>
      <c r="H358" s="188" t="inlineStr">
        <is>
          <t>MEDIUM</t>
        </is>
      </c>
      <c r="I358" s="188" t="n">
        <v>10.3</v>
      </c>
      <c r="J358" s="188" t="inlineStr">
        <is>
          <t>NO</t>
        </is>
      </c>
      <c r="K358" s="188" t="inlineStr">
        <is>
          <t>https://nvd.nist.gov/vuln/detail/CVE-2026-3052</t>
        </is>
      </c>
      <c r="L358" s="188" t="inlineStr">
        <is>
          <t>2026-02-27 20:47</t>
        </is>
      </c>
      <c r="M358" s="188" t="inlineStr">
        <is>
          <t>CHECK_VENDOR</t>
        </is>
      </c>
      <c r="N358" s="188" t="inlineStr">
        <is>
          <t>See NVD references</t>
        </is>
      </c>
      <c r="O358" s="188" t="inlineStr">
        <is>
          <t>Apply vendor patches</t>
        </is>
      </c>
      <c r="P358" s="188" t="inlineStr">
        <is>
          <t>dinky dinky *</t>
        </is>
      </c>
      <c r="Q358" s="188" t="inlineStr">
        <is>
          <t>P4</t>
        </is>
      </c>
      <c r="R358" s="188" t="inlineStr">
        <is>
          <t>📅 Schedule patch deployment within 30 days | 🔍 Monitor for exploitation attempts</t>
        </is>
      </c>
      <c r="S358" s="188" t="inlineStr">
        <is>
          <t>CVE - IP enrichment n/a</t>
        </is>
      </c>
      <c r="T358" s="188" t="n">
        <v>0.0003</v>
      </c>
      <c r="U358" s="188" t="n">
        <v>0.077</v>
      </c>
      <c r="V358" s="188" t="inlineStr">
        <is>
          <t>T1090:Proxy</t>
        </is>
      </c>
      <c r="W358" s="188" t="n">
        <v>1</v>
      </c>
      <c r="X358" s="188" t="inlineStr">
        <is>
          <t>LOW (40%)</t>
        </is>
      </c>
      <c r="Y358" s="188" t="inlineStr">
        <is>
          <t>UNLIKELY</t>
        </is>
      </c>
      <c r="Z358" s="188" t="inlineStr">
        <is>
          <t>CHECK_VENDOR</t>
        </is>
      </c>
      <c r="AA358" s="188" t="inlineStr">
        <is>
          <t>https://nvd.nist.gov/vuln/detail/CVE-2026-3052</t>
        </is>
      </c>
      <c r="AB358" s="188" t="inlineStr">
        <is>
          <t>NONE</t>
        </is>
      </c>
      <c r="AC358" s="188" t="n">
        <v>0</v>
      </c>
      <c r="AD358" s="188" t="inlineStr"/>
    </row>
    <row r="359">
      <c r="A359" s="187" t="inlineStr">
        <is>
          <t>CVE</t>
        </is>
      </c>
      <c r="B359" s="187" t="inlineStr">
        <is>
          <t>CVE-2026-3053</t>
        </is>
      </c>
      <c r="C359" s="187"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359" s="187" t="n">
        <v>7.3</v>
      </c>
      <c r="E359" s="187" t="inlineStr">
        <is>
          <t>HIGH</t>
        </is>
      </c>
      <c r="F359" s="187" t="n">
        <v>2</v>
      </c>
      <c r="G359" s="187" t="n">
        <v>3</v>
      </c>
      <c r="H359" s="187" t="inlineStr">
        <is>
          <t>HIGH</t>
        </is>
      </c>
      <c r="I359" s="187" t="n">
        <v>13.3</v>
      </c>
      <c r="J359" s="187" t="inlineStr">
        <is>
          <t>NO</t>
        </is>
      </c>
      <c r="K359" s="187" t="inlineStr">
        <is>
          <t>https://nvd.nist.gov/vuln/detail/CVE-2026-3053</t>
        </is>
      </c>
      <c r="L359" s="187" t="inlineStr">
        <is>
          <t>2026-02-27 20:47</t>
        </is>
      </c>
      <c r="M359" s="187" t="inlineStr">
        <is>
          <t>CHECK_VENDOR</t>
        </is>
      </c>
      <c r="N359" s="187" t="inlineStr">
        <is>
          <t>See NVD references</t>
        </is>
      </c>
      <c r="O359" s="187" t="inlineStr">
        <is>
          <t>Apply vendor patches</t>
        </is>
      </c>
      <c r="P359" s="187" t="inlineStr">
        <is>
          <t>dinky dinky *</t>
        </is>
      </c>
      <c r="Q359" s="187" t="inlineStr">
        <is>
          <t>P3</t>
        </is>
      </c>
      <c r="R359" s="187" t="inlineStr">
        <is>
          <t>🚨 URGENT: Apply vendor patches immediately | 🔒 Isolate affected systems if patch unavailable | 🛡️ Enable additional monitoring/IDS rules</t>
        </is>
      </c>
      <c r="S359" s="187" t="inlineStr">
        <is>
          <t>CVE - IP enrichment n/a</t>
        </is>
      </c>
      <c r="T359" s="187" t="n">
        <v>0.0011</v>
      </c>
      <c r="U359" s="187" t="n">
        <v>0.2972</v>
      </c>
      <c r="V359" s="187" t="inlineStr">
        <is>
          <t>T1078:Valid Accounts | T1110:Brute Force | T1190:Exploit Public-Facing Application</t>
        </is>
      </c>
      <c r="W359" s="187" t="n">
        <v>1</v>
      </c>
      <c r="X359" s="187" t="inlineStr">
        <is>
          <t>LOW (40%)</t>
        </is>
      </c>
      <c r="Y359" s="187" t="inlineStr">
        <is>
          <t>UNLIKELY</t>
        </is>
      </c>
      <c r="Z359" s="187" t="inlineStr">
        <is>
          <t>CHECK_VENDOR</t>
        </is>
      </c>
      <c r="AA359" s="187" t="inlineStr">
        <is>
          <t>https://nvd.nist.gov/vuln/detail/CVE-2026-3053</t>
        </is>
      </c>
      <c r="AB359" s="187" t="inlineStr">
        <is>
          <t>NONE</t>
        </is>
      </c>
      <c r="AC359" s="187" t="n">
        <v>0</v>
      </c>
      <c r="AD359" s="187" t="inlineStr"/>
    </row>
    <row r="360">
      <c r="A360" s="188" t="inlineStr">
        <is>
          <t>CVE</t>
        </is>
      </c>
      <c r="B360" s="188" t="inlineStr">
        <is>
          <t>CVE-2025-11847</t>
        </is>
      </c>
      <c r="C360" s="188"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60" s="188" t="n">
        <v>4.9</v>
      </c>
      <c r="E360" s="188" t="inlineStr">
        <is>
          <t>MEDIUM</t>
        </is>
      </c>
      <c r="F360" s="188" t="n">
        <v>2</v>
      </c>
      <c r="G360" s="188" t="n">
        <v>2</v>
      </c>
      <c r="H360" s="188" t="inlineStr">
        <is>
          <t>MEDIUM</t>
        </is>
      </c>
      <c r="I360" s="188" t="n">
        <v>8.9</v>
      </c>
      <c r="J360" s="188" t="inlineStr">
        <is>
          <t>NO</t>
        </is>
      </c>
      <c r="K360" s="188" t="inlineStr">
        <is>
          <t>https://nvd.nist.gov/vuln/detail/CVE-2025-11847</t>
        </is>
      </c>
      <c r="L360" s="188" t="inlineStr">
        <is>
          <t>2026-02-27 20:47</t>
        </is>
      </c>
      <c r="M360" s="188" t="inlineStr">
        <is>
          <t>YES</t>
        </is>
      </c>
      <c r="N360" s="188" t="inlineStr">
        <is>
          <t>https://www.zyxel.com/global/en/support/security-advisories/zyxel-security-advisory-for-null-pointer-dereference-and-command-injection-vulnerabilities-in-certain-4g-lte-5g-nr-cpe-dsl-ethernet-cpe-fiber-onts-security-routers-and-wireless-extenders-02-24-2026</t>
        </is>
      </c>
      <c r="O360" s="188" t="inlineStr">
        <is>
          <t>Apply vendor patches</t>
        </is>
      </c>
      <c r="P360" s="188" t="inlineStr">
        <is>
          <t>zyxel dx4510-b0 - | zyxel wx3401-b1_firmware * | zyxel ex5401-b1_firmware *</t>
        </is>
      </c>
      <c r="Q360" s="188" t="inlineStr">
        <is>
          <t>P4</t>
        </is>
      </c>
      <c r="R360" s="188" t="inlineStr">
        <is>
          <t>📅 Schedule patch deployment within 30 days | 🔍 Monitor for exploitation attempts</t>
        </is>
      </c>
      <c r="S360" s="188" t="inlineStr">
        <is>
          <t>CVE - IP enrichment n/a</t>
        </is>
      </c>
      <c r="T360" s="188" t="n">
        <v>0.0005999999999999999</v>
      </c>
      <c r="U360" s="188" t="n">
        <v>0.1941</v>
      </c>
      <c r="V360" s="188" t="inlineStr">
        <is>
          <t>T1499:Endpoint Denial of Service</t>
        </is>
      </c>
      <c r="W360" s="188" t="n">
        <v>1</v>
      </c>
      <c r="X360" s="188" t="inlineStr">
        <is>
          <t>LOW (40%)</t>
        </is>
      </c>
      <c r="Y360" s="188" t="inlineStr">
        <is>
          <t>UNLIKELY</t>
        </is>
      </c>
      <c r="Z360" s="188" t="inlineStr">
        <is>
          <t>PATCH_AVAILABLE</t>
        </is>
      </c>
      <c r="AA360" s="188" t="inlineStr">
        <is>
          <t>https://nvd.nist.gov/vuln/detail/CVE-2025-11847</t>
        </is>
      </c>
      <c r="AB360" s="188" t="inlineStr">
        <is>
          <t>NONE</t>
        </is>
      </c>
      <c r="AC360" s="188" t="n">
        <v>0</v>
      </c>
      <c r="AD360" s="188" t="inlineStr"/>
    </row>
    <row r="361">
      <c r="A361" s="188" t="inlineStr">
        <is>
          <t>CVE</t>
        </is>
      </c>
      <c r="B361" s="188" t="inlineStr">
        <is>
          <t>CVE-2025-11848</t>
        </is>
      </c>
      <c r="C361" s="188"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361" s="188" t="n">
        <v>4.9</v>
      </c>
      <c r="E361" s="188" t="inlineStr">
        <is>
          <t>MEDIUM</t>
        </is>
      </c>
      <c r="F361" s="188" t="n">
        <v>2</v>
      </c>
      <c r="G361" s="188" t="n">
        <v>2</v>
      </c>
      <c r="H361" s="188" t="inlineStr">
        <is>
          <t>MEDIUM</t>
        </is>
      </c>
      <c r="I361" s="188" t="n">
        <v>8.9</v>
      </c>
      <c r="J361" s="188" t="inlineStr">
        <is>
          <t>NO</t>
        </is>
      </c>
      <c r="K361" s="188" t="inlineStr">
        <is>
          <t>https://nvd.nist.gov/vuln/detail/CVE-2025-11848</t>
        </is>
      </c>
      <c r="L361" s="188" t="inlineStr">
        <is>
          <t>2026-02-27 20:47</t>
        </is>
      </c>
      <c r="M361" s="188" t="inlineStr">
        <is>
          <t>YES</t>
        </is>
      </c>
      <c r="N361" s="188" t="inlineStr">
        <is>
          <t>https://www.zyxel.com/global/en/support/security-advisories/zyxel-security-advisory-for-null-pointer-dereference-and-command-injection-vulnerabilities-in-certain-4g-lte-5g-nr-cpe-dsl-ethernet-cpe-fiber-onts-security-routers-and-wireless-extenders-02-24-2026</t>
        </is>
      </c>
      <c r="O361" s="188" t="inlineStr">
        <is>
          <t>Apply vendor patches</t>
        </is>
      </c>
      <c r="P361" s="188" t="inlineStr">
        <is>
          <t>zyxel dx4510-b0 - | zyxel wx3401-b1_firmware * | zyxel ex5401-b1_firmware *</t>
        </is>
      </c>
      <c r="Q361" s="188" t="inlineStr">
        <is>
          <t>P4</t>
        </is>
      </c>
      <c r="R361" s="188" t="inlineStr">
        <is>
          <t>📅 Schedule patch deployment within 30 days | 🔍 Monitor for exploitation attempts</t>
        </is>
      </c>
      <c r="S361" s="188" t="inlineStr">
        <is>
          <t>CVE - IP enrichment n/a</t>
        </is>
      </c>
      <c r="T361" s="188" t="n">
        <v>0.0005999999999999999</v>
      </c>
      <c r="U361" s="188" t="n">
        <v>0.1941</v>
      </c>
      <c r="V361" s="188" t="inlineStr">
        <is>
          <t>T1499:Endpoint Denial of Service</t>
        </is>
      </c>
      <c r="W361" s="188" t="n">
        <v>1</v>
      </c>
      <c r="X361" s="188" t="inlineStr">
        <is>
          <t>LOW (40%)</t>
        </is>
      </c>
      <c r="Y361" s="188" t="inlineStr">
        <is>
          <t>UNLIKELY</t>
        </is>
      </c>
      <c r="Z361" s="188" t="inlineStr">
        <is>
          <t>PATCH_AVAILABLE</t>
        </is>
      </c>
      <c r="AA361" s="188" t="inlineStr">
        <is>
          <t>https://nvd.nist.gov/vuln/detail/CVE-2025-11848</t>
        </is>
      </c>
      <c r="AB361" s="188" t="inlineStr">
        <is>
          <t>NONE</t>
        </is>
      </c>
      <c r="AC361" s="188" t="n">
        <v>0</v>
      </c>
      <c r="AD361" s="188" t="inlineStr"/>
    </row>
    <row r="362">
      <c r="A362" s="189" t="inlineStr">
        <is>
          <t>CVE</t>
        </is>
      </c>
      <c r="B362" s="189" t="inlineStr">
        <is>
          <t>CVE-2025-13942</t>
        </is>
      </c>
      <c r="C362" s="189"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362" s="189" t="n">
        <v>9.800000000000001</v>
      </c>
      <c r="E362" s="189" t="inlineStr">
        <is>
          <t>CRITICAL</t>
        </is>
      </c>
      <c r="F362" s="189" t="n">
        <v>2</v>
      </c>
      <c r="G362" s="189" t="n">
        <v>3</v>
      </c>
      <c r="H362" s="189" t="inlineStr">
        <is>
          <t>HIGH</t>
        </is>
      </c>
      <c r="I362" s="189" t="n">
        <v>15.8</v>
      </c>
      <c r="J362" s="189" t="inlineStr">
        <is>
          <t>NO</t>
        </is>
      </c>
      <c r="K362" s="189" t="inlineStr">
        <is>
          <t>https://nvd.nist.gov/vuln/detail/CVE-2025-13942</t>
        </is>
      </c>
      <c r="L362" s="189" t="inlineStr">
        <is>
          <t>2026-02-27 20:47</t>
        </is>
      </c>
      <c r="M362" s="189" t="inlineStr">
        <is>
          <t>YES</t>
        </is>
      </c>
      <c r="N362" s="189" t="inlineStr">
        <is>
          <t>https://www.zyxel.com/global/en/support/security-advisories/zyxel-security-advisory-for-null-pointer-dereference-and-command-injection-vulnerabilities-in-certain-4g-lte-5g-nr-cpe-dsl-ethernet-cpe-fiber-onts-security-routers-and-wireless-extenders-02-24-2026</t>
        </is>
      </c>
      <c r="O362" s="189" t="inlineStr">
        <is>
          <t>Apply vendor patches</t>
        </is>
      </c>
      <c r="P362" s="189" t="inlineStr">
        <is>
          <t>zyxel dx4510-b0 - | zyxel nebula_nr7101_firmware * | zyxel vmg4927-b50a_firmware *</t>
        </is>
      </c>
      <c r="Q362" s="189" t="inlineStr">
        <is>
          <t>P3</t>
        </is>
      </c>
      <c r="R362" s="189" t="inlineStr">
        <is>
          <t>🚨 URGENT: Apply vendor patches immediately | 🔒 Isolate affected systems if patch unavailable | 🛡️ Enable additional monitoring/IDS rules</t>
        </is>
      </c>
      <c r="S362" s="189" t="inlineStr">
        <is>
          <t>CVE - IP enrichment n/a</t>
        </is>
      </c>
      <c r="T362" s="189" t="n">
        <v>0.0034</v>
      </c>
      <c r="U362" s="189" t="n">
        <v>0.5631</v>
      </c>
      <c r="V362" s="189" t="inlineStr">
        <is>
          <t>T1059:Command and Scripting Interpreter</t>
        </is>
      </c>
      <c r="W362" s="189" t="n">
        <v>1</v>
      </c>
      <c r="X362" s="189" t="inlineStr">
        <is>
          <t>LOW (40%)</t>
        </is>
      </c>
      <c r="Y362" s="189" t="inlineStr">
        <is>
          <t>UNLIKELY</t>
        </is>
      </c>
      <c r="Z362" s="189" t="inlineStr">
        <is>
          <t>PATCH_AVAILABLE</t>
        </is>
      </c>
      <c r="AA362" s="189" t="inlineStr">
        <is>
          <t>https://nvd.nist.gov/vuln/detail/CVE-2025-13942</t>
        </is>
      </c>
      <c r="AB362" s="189" t="inlineStr">
        <is>
          <t>NONE</t>
        </is>
      </c>
      <c r="AC362" s="189" t="n">
        <v>0</v>
      </c>
      <c r="AD362" s="189" t="inlineStr"/>
    </row>
    <row r="363">
      <c r="A363" s="187" t="inlineStr">
        <is>
          <t>CVE</t>
        </is>
      </c>
      <c r="B363" s="187" t="inlineStr">
        <is>
          <t>CVE-2025-13943</t>
        </is>
      </c>
      <c r="C363" s="187" t="inlineStr">
        <is>
          <t>A post-authentication command injection vulnerability in the log file download function of the Zyxel EX3301-T0 firmware versions through 5.50(ABVY.7)C0 could allow an authenticated attacker to execute operating system (OS) commands on an affected device.</t>
        </is>
      </c>
      <c r="D363" s="187" t="n">
        <v>8.800000000000001</v>
      </c>
      <c r="E363" s="187" t="inlineStr">
        <is>
          <t>HIGH</t>
        </is>
      </c>
      <c r="F363" s="187" t="n">
        <v>2</v>
      </c>
      <c r="G363" s="187" t="n">
        <v>3</v>
      </c>
      <c r="H363" s="187" t="inlineStr">
        <is>
          <t>HIGH</t>
        </is>
      </c>
      <c r="I363" s="187" t="n">
        <v>14.8</v>
      </c>
      <c r="J363" s="187" t="inlineStr">
        <is>
          <t>NO</t>
        </is>
      </c>
      <c r="K363" s="187" t="inlineStr">
        <is>
          <t>https://nvd.nist.gov/vuln/detail/CVE-2025-13943</t>
        </is>
      </c>
      <c r="L363" s="187" t="inlineStr">
        <is>
          <t>2026-02-27 20:47</t>
        </is>
      </c>
      <c r="M363" s="187" t="inlineStr">
        <is>
          <t>YES</t>
        </is>
      </c>
      <c r="N363" s="187" t="inlineStr">
        <is>
          <t>https://www.zyxel.com/global/en/support/security-advisories/zyxel-security-advisory-for-null-pointer-dereference-and-command-injection-vulnerabilities-in-certain-4g-lte-5g-nr-cpe-dsl-ethernet-cpe-fiber-onts-security-routers-and-wireless-extenders-02-24-2026</t>
        </is>
      </c>
      <c r="O363" s="187" t="inlineStr">
        <is>
          <t>Apply vendor patches</t>
        </is>
      </c>
      <c r="P363" s="187" t="inlineStr">
        <is>
          <t>zyxel dx4510-b0 - | zyxel wx3401-b1_firmware * | zyxel ex5401-b1_firmware *</t>
        </is>
      </c>
      <c r="Q363" s="187" t="inlineStr">
        <is>
          <t>P3</t>
        </is>
      </c>
      <c r="R363" s="187" t="inlineStr">
        <is>
          <t>🚨 URGENT: Apply vendor patches immediately | 🔒 Isolate affected systems if patch unavailable | 🛡️ Enable additional monitoring/IDS rules</t>
        </is>
      </c>
      <c r="S363" s="187" t="inlineStr">
        <is>
          <t>CVE - IP enrichment n/a</t>
        </is>
      </c>
      <c r="T363" s="187" t="n">
        <v>0.0018</v>
      </c>
      <c r="U363" s="187" t="n">
        <v>0.3939</v>
      </c>
      <c r="V363" s="187" t="inlineStr">
        <is>
          <t>T1059:Command and Scripting Interpreter</t>
        </is>
      </c>
      <c r="W363" s="187" t="n">
        <v>1</v>
      </c>
      <c r="X363" s="187" t="inlineStr">
        <is>
          <t>LOW (40%)</t>
        </is>
      </c>
      <c r="Y363" s="187" t="inlineStr">
        <is>
          <t>UNLIKELY</t>
        </is>
      </c>
      <c r="Z363" s="187" t="inlineStr">
        <is>
          <t>PATCH_AVAILABLE</t>
        </is>
      </c>
      <c r="AA363" s="187" t="inlineStr">
        <is>
          <t>https://nvd.nist.gov/vuln/detail/CVE-2025-13943</t>
        </is>
      </c>
      <c r="AB363" s="187" t="inlineStr">
        <is>
          <t>NONE</t>
        </is>
      </c>
      <c r="AC363" s="187" t="n">
        <v>0</v>
      </c>
      <c r="AD363" s="187" t="inlineStr"/>
    </row>
    <row r="364">
      <c r="A364" s="187" t="inlineStr">
        <is>
          <t>CVE</t>
        </is>
      </c>
      <c r="B364" s="187" t="inlineStr">
        <is>
          <t>CVE-2026-1459</t>
        </is>
      </c>
      <c r="C364" s="187"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364" s="187" t="n">
        <v>7.2</v>
      </c>
      <c r="E364" s="187" t="inlineStr">
        <is>
          <t>HIGH</t>
        </is>
      </c>
      <c r="F364" s="187" t="n">
        <v>2</v>
      </c>
      <c r="G364" s="187" t="n">
        <v>3</v>
      </c>
      <c r="H364" s="187" t="inlineStr">
        <is>
          <t>HIGH</t>
        </is>
      </c>
      <c r="I364" s="187" t="n">
        <v>13.2</v>
      </c>
      <c r="J364" s="187" t="inlineStr">
        <is>
          <t>NO</t>
        </is>
      </c>
      <c r="K364" s="187" t="inlineStr">
        <is>
          <t>https://nvd.nist.gov/vuln/detail/CVE-2026-1459</t>
        </is>
      </c>
      <c r="L364" s="187" t="inlineStr">
        <is>
          <t>2026-02-27 20:47</t>
        </is>
      </c>
      <c r="M364" s="187" t="inlineStr">
        <is>
          <t>YES</t>
        </is>
      </c>
      <c r="N364" s="187" t="inlineStr">
        <is>
          <t>https://www.zyxel.com/global/en/support/security-advisories/zyxel-security-advisory-for-null-pointer-dereference-and-command-injection-vulnerabilities-in-certain-4g-lte-5g-nr-cpe-dsl-ethernet-cpe-fiber-onts-security-routers-and-wireless-extenders-02-24-2026</t>
        </is>
      </c>
      <c r="O364" s="187" t="inlineStr">
        <is>
          <t>Apply vendor patches</t>
        </is>
      </c>
      <c r="P364" s="187" t="inlineStr">
        <is>
          <t>zyxel dx5401-b1 - | zyxel vmg3625-t50c - | zyxel vmg8623-t50b -</t>
        </is>
      </c>
      <c r="Q364" s="187" t="inlineStr">
        <is>
          <t>P3</t>
        </is>
      </c>
      <c r="R364" s="187" t="inlineStr">
        <is>
          <t>🚨 URGENT: Apply vendor patches immediately | 🔒 Isolate affected systems if patch unavailable | 🛡️ Enable additional monitoring/IDS rules</t>
        </is>
      </c>
      <c r="S364" s="187" t="inlineStr">
        <is>
          <t>CVE - IP enrichment n/a</t>
        </is>
      </c>
      <c r="T364" s="187" t="n">
        <v>0.0005999999999999999</v>
      </c>
      <c r="U364" s="187" t="n">
        <v>0.1757</v>
      </c>
      <c r="V364" s="187" t="inlineStr">
        <is>
          <t>T1059:Command and Scripting Interpreter</t>
        </is>
      </c>
      <c r="W364" s="187" t="n">
        <v>1</v>
      </c>
      <c r="X364" s="187" t="inlineStr">
        <is>
          <t>LOW (40%)</t>
        </is>
      </c>
      <c r="Y364" s="187" t="inlineStr">
        <is>
          <t>UNLIKELY</t>
        </is>
      </c>
      <c r="Z364" s="187" t="inlineStr">
        <is>
          <t>PATCH_AVAILABLE</t>
        </is>
      </c>
      <c r="AA364" s="187" t="inlineStr">
        <is>
          <t>https://nvd.nist.gov/vuln/detail/CVE-2026-1459</t>
        </is>
      </c>
      <c r="AB364" s="187" t="inlineStr">
        <is>
          <t>NONE</t>
        </is>
      </c>
      <c r="AC364" s="187" t="n">
        <v>0</v>
      </c>
      <c r="AD364" s="187" t="inlineStr"/>
    </row>
    <row r="365">
      <c r="A365" s="187" t="inlineStr">
        <is>
          <t>CVE</t>
        </is>
      </c>
      <c r="B365" s="187" t="inlineStr">
        <is>
          <t>CVE-2026-25989</t>
        </is>
      </c>
      <c r="C365" s="187"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365" s="187" t="n">
        <v>7.5</v>
      </c>
      <c r="E365" s="187" t="inlineStr">
        <is>
          <t>HIGH</t>
        </is>
      </c>
      <c r="F365" s="187" t="n">
        <v>2</v>
      </c>
      <c r="G365" s="187" t="n">
        <v>3</v>
      </c>
      <c r="H365" s="187" t="inlineStr">
        <is>
          <t>HIGH</t>
        </is>
      </c>
      <c r="I365" s="187" t="n">
        <v>13.5</v>
      </c>
      <c r="J365" s="187" t="inlineStr">
        <is>
          <t>NO</t>
        </is>
      </c>
      <c r="K365" s="187" t="inlineStr">
        <is>
          <t>https://nvd.nist.gov/vuln/detail/CVE-2026-25989</t>
        </is>
      </c>
      <c r="L365" s="187" t="inlineStr">
        <is>
          <t>2026-02-27 20:47</t>
        </is>
      </c>
      <c r="M365" s="187" t="inlineStr">
        <is>
          <t>YES</t>
        </is>
      </c>
      <c r="N365" s="187" t="inlineStr">
        <is>
          <t>https://github.com/ImageMagick/ImageMagick/security/advisories/GHSA-7355-pwx2-pm84</t>
        </is>
      </c>
      <c r="O365" s="187" t="inlineStr">
        <is>
          <t>Apply vendor patches</t>
        </is>
      </c>
      <c r="P365" s="187" t="inlineStr">
        <is>
          <t>imagemagick imagemagick *</t>
        </is>
      </c>
      <c r="Q365" s="187" t="inlineStr">
        <is>
          <t>P3</t>
        </is>
      </c>
      <c r="R365" s="187" t="inlineStr">
        <is>
          <t>🚨 URGENT: Apply vendor patches immediately | 🔒 Isolate affected systems if patch unavailable | 🛡️ Enable additional monitoring/IDS rules</t>
        </is>
      </c>
      <c r="S365" s="187" t="inlineStr">
        <is>
          <t>CVE - IP enrichment n/a</t>
        </is>
      </c>
      <c r="T365" s="187" t="n">
        <v>0.0004</v>
      </c>
      <c r="U365" s="187" t="n">
        <v>0.1265</v>
      </c>
      <c r="V365" s="187" t="inlineStr">
        <is>
          <t>T1190:Exploit Public-Facing Application | T1499:Endpoint Denial of Service</t>
        </is>
      </c>
      <c r="W365" s="187" t="n">
        <v>1</v>
      </c>
      <c r="X365" s="187" t="inlineStr">
        <is>
          <t>LOW (40%)</t>
        </is>
      </c>
      <c r="Y365" s="187" t="inlineStr">
        <is>
          <t>UNLIKELY</t>
        </is>
      </c>
      <c r="Z365" s="187" t="inlineStr">
        <is>
          <t>PATCH_AVAILABLE</t>
        </is>
      </c>
      <c r="AA365" s="187" t="inlineStr">
        <is>
          <t>https://nvd.nist.gov/vuln/detail/CVE-2026-25989</t>
        </is>
      </c>
      <c r="AB365" s="187" t="inlineStr">
        <is>
          <t>NONE</t>
        </is>
      </c>
      <c r="AC365" s="187" t="n">
        <v>0</v>
      </c>
      <c r="AD365" s="187" t="inlineStr"/>
    </row>
    <row r="366">
      <c r="A366" s="188" t="inlineStr">
        <is>
          <t>CVE</t>
        </is>
      </c>
      <c r="B366" s="188" t="inlineStr">
        <is>
          <t>CVE-2026-26066</t>
        </is>
      </c>
      <c r="C366" s="188"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366" s="188" t="n">
        <v>6.2</v>
      </c>
      <c r="E366" s="188" t="inlineStr">
        <is>
          <t>MEDIUM</t>
        </is>
      </c>
      <c r="F366" s="188" t="n">
        <v>2</v>
      </c>
      <c r="G366" s="188" t="n">
        <v>2</v>
      </c>
      <c r="H366" s="188" t="inlineStr">
        <is>
          <t>MEDIUM</t>
        </is>
      </c>
      <c r="I366" s="188" t="n">
        <v>10.2</v>
      </c>
      <c r="J366" s="188" t="inlineStr">
        <is>
          <t>NO</t>
        </is>
      </c>
      <c r="K366" s="188" t="inlineStr">
        <is>
          <t>https://nvd.nist.gov/vuln/detail/CVE-2026-26066</t>
        </is>
      </c>
      <c r="L366" s="188" t="inlineStr">
        <is>
          <t>2026-02-27 20:47</t>
        </is>
      </c>
      <c r="M366" s="188" t="inlineStr">
        <is>
          <t>CHECK_VENDOR</t>
        </is>
      </c>
      <c r="N366" s="188" t="inlineStr">
        <is>
          <t>See NVD references</t>
        </is>
      </c>
      <c r="O366" s="188" t="inlineStr">
        <is>
          <t>Apply vendor patches</t>
        </is>
      </c>
      <c r="P366" s="188" t="inlineStr">
        <is>
          <t>imagemagick imagemagick *</t>
        </is>
      </c>
      <c r="Q366" s="188" t="inlineStr">
        <is>
          <t>P4</t>
        </is>
      </c>
      <c r="R366" s="188" t="inlineStr">
        <is>
          <t>📅 Schedule patch deployment within 30 days | 🔍 Monitor for exploitation attempts</t>
        </is>
      </c>
      <c r="S366" s="188" t="inlineStr">
        <is>
          <t>CVE - IP enrichment n/a</t>
        </is>
      </c>
      <c r="T366" s="188" t="n">
        <v>0.0003</v>
      </c>
      <c r="U366" s="188" t="n">
        <v>0.08260000000000001</v>
      </c>
      <c r="V366" s="188" t="inlineStr">
        <is>
          <t>T1190:Exploit Public-Facing Application</t>
        </is>
      </c>
      <c r="W366" s="188" t="n">
        <v>1</v>
      </c>
      <c r="X366" s="188" t="inlineStr">
        <is>
          <t>LOW (40%)</t>
        </is>
      </c>
      <c r="Y366" s="188" t="inlineStr">
        <is>
          <t>UNLIKELY</t>
        </is>
      </c>
      <c r="Z366" s="188" t="inlineStr">
        <is>
          <t>CHECK_VENDOR</t>
        </is>
      </c>
      <c r="AA366" s="188" t="inlineStr">
        <is>
          <t>https://nvd.nist.gov/vuln/detail/CVE-2026-26066</t>
        </is>
      </c>
      <c r="AB366" s="188" t="inlineStr">
        <is>
          <t>NONE</t>
        </is>
      </c>
      <c r="AC366" s="188" t="n">
        <v>0</v>
      </c>
      <c r="AD366" s="188" t="inlineStr"/>
    </row>
    <row r="367">
      <c r="A367" s="189" t="inlineStr">
        <is>
          <t>CVE</t>
        </is>
      </c>
      <c r="B367" s="189" t="inlineStr">
        <is>
          <t>CVE-2026-26198</t>
        </is>
      </c>
      <c r="C367" s="189"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367" s="189" t="n">
        <v>9.800000000000001</v>
      </c>
      <c r="E367" s="189" t="inlineStr">
        <is>
          <t>CRITICAL</t>
        </is>
      </c>
      <c r="F367" s="189" t="n">
        <v>2</v>
      </c>
      <c r="G367" s="189" t="n">
        <v>3</v>
      </c>
      <c r="H367" s="189" t="inlineStr">
        <is>
          <t>HIGH</t>
        </is>
      </c>
      <c r="I367" s="189" t="n">
        <v>15.8</v>
      </c>
      <c r="J367" s="189" t="inlineStr">
        <is>
          <t>NO</t>
        </is>
      </c>
      <c r="K367" s="189" t="inlineStr">
        <is>
          <t>https://nvd.nist.gov/vuln/detail/CVE-2026-26198</t>
        </is>
      </c>
      <c r="L367" s="189" t="inlineStr">
        <is>
          <t>2026-02-27 20:47</t>
        </is>
      </c>
      <c r="M367" s="189" t="inlineStr">
        <is>
          <t>YES</t>
        </is>
      </c>
      <c r="N367" s="189" t="inlineStr">
        <is>
          <t>https://github.com/collerek/ormar/commit/a03bae14fe01358d3eaf7e319fcd5db2e4956b16 | https://github.com/collerek/ormar/security/advisories/GHSA-xxh2-68g9-8jqr</t>
        </is>
      </c>
      <c r="O367" s="189" t="inlineStr">
        <is>
          <t>Apply vendor patches</t>
        </is>
      </c>
      <c r="P367" s="189" t="inlineStr">
        <is>
          <t>collerek ormar *</t>
        </is>
      </c>
      <c r="Q367" s="189" t="inlineStr">
        <is>
          <t>P3</t>
        </is>
      </c>
      <c r="R367" s="189" t="inlineStr">
        <is>
          <t>🚨 URGENT: Apply vendor patches immediately | 🔒 Isolate affected systems if patch unavailable | 🛡️ Enable additional monitoring/IDS rules</t>
        </is>
      </c>
      <c r="S367" s="189" t="inlineStr">
        <is>
          <t>CVE - IP enrichment n/a</t>
        </is>
      </c>
      <c r="T367" s="189" t="n">
        <v>0.0003</v>
      </c>
      <c r="U367" s="189" t="n">
        <v>0.0867</v>
      </c>
      <c r="V367" s="189" t="inlineStr">
        <is>
          <t>T1190:Exploit Public-Facing Application</t>
        </is>
      </c>
      <c r="W367" s="189" t="n">
        <v>1</v>
      </c>
      <c r="X367" s="189" t="inlineStr">
        <is>
          <t>LOW (40%)</t>
        </is>
      </c>
      <c r="Y367" s="189" t="inlineStr">
        <is>
          <t>UNLIKELY</t>
        </is>
      </c>
      <c r="Z367" s="189" t="inlineStr">
        <is>
          <t>PATCH_AVAILABLE</t>
        </is>
      </c>
      <c r="AA367" s="189" t="inlineStr">
        <is>
          <t>https://nvd.nist.gov/vuln/detail/CVE-2026-26198</t>
        </is>
      </c>
      <c r="AB367" s="189" t="inlineStr">
        <is>
          <t>NONE</t>
        </is>
      </c>
      <c r="AC367" s="189" t="n">
        <v>0</v>
      </c>
      <c r="AD367" s="189" t="inlineStr"/>
    </row>
    <row r="368">
      <c r="A368" s="188" t="inlineStr">
        <is>
          <t>CVE</t>
        </is>
      </c>
      <c r="B368" s="188" t="inlineStr">
        <is>
          <t>CVE-2026-26283</t>
        </is>
      </c>
      <c r="C368" s="188"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368" s="188" t="n">
        <v>6.2</v>
      </c>
      <c r="E368" s="188" t="inlineStr">
        <is>
          <t>MEDIUM</t>
        </is>
      </c>
      <c r="F368" s="188" t="n">
        <v>2</v>
      </c>
      <c r="G368" s="188" t="n">
        <v>2</v>
      </c>
      <c r="H368" s="188" t="inlineStr">
        <is>
          <t>MEDIUM</t>
        </is>
      </c>
      <c r="I368" s="188" t="n">
        <v>10.2</v>
      </c>
      <c r="J368" s="188" t="inlineStr">
        <is>
          <t>NO</t>
        </is>
      </c>
      <c r="K368" s="188" t="inlineStr">
        <is>
          <t>https://nvd.nist.gov/vuln/detail/CVE-2026-26283</t>
        </is>
      </c>
      <c r="L368" s="188" t="inlineStr">
        <is>
          <t>2026-02-27 20:47</t>
        </is>
      </c>
      <c r="M368" s="188" t="inlineStr">
        <is>
          <t>YES</t>
        </is>
      </c>
      <c r="N368" s="188" t="inlineStr">
        <is>
          <t>https://github.com/ImageMagick/ImageMagick/security/advisories/GHSA-gwr3-x37h-h84v</t>
        </is>
      </c>
      <c r="O368" s="188" t="inlineStr">
        <is>
          <t>Apply vendor patches</t>
        </is>
      </c>
      <c r="P368" s="188" t="inlineStr">
        <is>
          <t>imagemagick imagemagick *</t>
        </is>
      </c>
      <c r="Q368" s="188" t="inlineStr">
        <is>
          <t>P4</t>
        </is>
      </c>
      <c r="R368" s="188" t="inlineStr">
        <is>
          <t>📅 Schedule patch deployment within 30 days | 🔍 Monitor for exploitation attempts</t>
        </is>
      </c>
      <c r="S368" s="188" t="inlineStr">
        <is>
          <t>CVE - IP enrichment n/a</t>
        </is>
      </c>
      <c r="T368" s="188" t="n">
        <v>0.0003</v>
      </c>
      <c r="U368" s="188" t="n">
        <v>0.0873</v>
      </c>
      <c r="V368" s="188" t="inlineStr">
        <is>
          <t>T1190:Exploit Public-Facing Application | T1499:Endpoint Denial of Service</t>
        </is>
      </c>
      <c r="W368" s="188" t="n">
        <v>1</v>
      </c>
      <c r="X368" s="188" t="inlineStr">
        <is>
          <t>LOW (40%)</t>
        </is>
      </c>
      <c r="Y368" s="188" t="inlineStr">
        <is>
          <t>UNLIKELY</t>
        </is>
      </c>
      <c r="Z368" s="188" t="inlineStr">
        <is>
          <t>PATCH_AVAILABLE</t>
        </is>
      </c>
      <c r="AA368" s="188" t="inlineStr">
        <is>
          <t>https://nvd.nist.gov/vuln/detail/CVE-2026-26283</t>
        </is>
      </c>
      <c r="AB368" s="188" t="inlineStr">
        <is>
          <t>NONE</t>
        </is>
      </c>
      <c r="AC368" s="188" t="n">
        <v>0</v>
      </c>
      <c r="AD368" s="188" t="inlineStr"/>
    </row>
    <row r="369">
      <c r="A369" s="188" t="inlineStr">
        <is>
          <t>CVE</t>
        </is>
      </c>
      <c r="B369" s="188" t="inlineStr">
        <is>
          <t>CVE-2026-26284</t>
        </is>
      </c>
      <c r="C369" s="188"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369" s="188" t="n">
        <v>6.5</v>
      </c>
      <c r="E369" s="188" t="inlineStr">
        <is>
          <t>MEDIUM</t>
        </is>
      </c>
      <c r="F369" s="188" t="n">
        <v>2</v>
      </c>
      <c r="G369" s="188" t="n">
        <v>2</v>
      </c>
      <c r="H369" s="188" t="inlineStr">
        <is>
          <t>MEDIUM</t>
        </is>
      </c>
      <c r="I369" s="188" t="n">
        <v>10.5</v>
      </c>
      <c r="J369" s="188" t="inlineStr">
        <is>
          <t>NO</t>
        </is>
      </c>
      <c r="K369" s="188" t="inlineStr">
        <is>
          <t>https://nvd.nist.gov/vuln/detail/CVE-2026-26284</t>
        </is>
      </c>
      <c r="L369" s="188" t="inlineStr">
        <is>
          <t>2026-02-27 20:47</t>
        </is>
      </c>
      <c r="M369" s="188" t="inlineStr">
        <is>
          <t>YES</t>
        </is>
      </c>
      <c r="N369" s="188" t="inlineStr">
        <is>
          <t>https://github.com/ImageMagick/ImageMagick/security/advisories/GHSA-wrhr-rf8j-r842</t>
        </is>
      </c>
      <c r="O369" s="188" t="inlineStr">
        <is>
          <t>Apply vendor patches</t>
        </is>
      </c>
      <c r="P369" s="188" t="inlineStr">
        <is>
          <t>imagemagick imagemagick *</t>
        </is>
      </c>
      <c r="Q369" s="188" t="inlineStr">
        <is>
          <t>P4</t>
        </is>
      </c>
      <c r="R369" s="188" t="inlineStr">
        <is>
          <t>📅 Schedule patch deployment within 30 days | 🔍 Monitor for exploitation attempts</t>
        </is>
      </c>
      <c r="S369" s="188" t="inlineStr">
        <is>
          <t>CVE - IP enrichment n/a</t>
        </is>
      </c>
      <c r="T369" s="188" t="n">
        <v>0.0004</v>
      </c>
      <c r="U369" s="188" t="n">
        <v>0.1308</v>
      </c>
      <c r="V369" s="188" t="inlineStr">
        <is>
          <t>T1203:Exploitation for Client Execution | T1190:Exploit Public-Facing Application</t>
        </is>
      </c>
      <c r="W369" s="188" t="n">
        <v>1</v>
      </c>
      <c r="X369" s="188" t="inlineStr">
        <is>
          <t>LOW (40%)</t>
        </is>
      </c>
      <c r="Y369" s="188" t="inlineStr">
        <is>
          <t>UNLIKELY</t>
        </is>
      </c>
      <c r="Z369" s="188" t="inlineStr">
        <is>
          <t>PATCH_AVAILABLE</t>
        </is>
      </c>
      <c r="AA369" s="188" t="inlineStr">
        <is>
          <t>https://nvd.nist.gov/vuln/detail/CVE-2026-26284</t>
        </is>
      </c>
      <c r="AB369" s="188" t="inlineStr">
        <is>
          <t>NONE</t>
        </is>
      </c>
      <c r="AC369" s="188" t="n">
        <v>0</v>
      </c>
      <c r="AD369" s="188" t="inlineStr"/>
    </row>
    <row r="370">
      <c r="A370" s="187" t="inlineStr">
        <is>
          <t>CVE</t>
        </is>
      </c>
      <c r="B370" s="187" t="inlineStr">
        <is>
          <t>CVE-2026-26331</t>
        </is>
      </c>
      <c r="C370" s="187"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370" s="187" t="n">
        <v>8.800000000000001</v>
      </c>
      <c r="E370" s="187" t="inlineStr">
        <is>
          <t>HIGH</t>
        </is>
      </c>
      <c r="F370" s="187" t="n">
        <v>2</v>
      </c>
      <c r="G370" s="187" t="n">
        <v>3</v>
      </c>
      <c r="H370" s="187" t="inlineStr">
        <is>
          <t>HIGH</t>
        </is>
      </c>
      <c r="I370" s="187" t="n">
        <v>14.8</v>
      </c>
      <c r="J370" s="187" t="inlineStr">
        <is>
          <t>NO</t>
        </is>
      </c>
      <c r="K370" s="187" t="inlineStr">
        <is>
          <t>https://nvd.nist.gov/vuln/detail/CVE-2026-26331</t>
        </is>
      </c>
      <c r="L370" s="187" t="inlineStr">
        <is>
          <t>2026-02-27 20:47</t>
        </is>
      </c>
      <c r="M370" s="187" t="inlineStr">
        <is>
          <t>YES</t>
        </is>
      </c>
      <c r="N370" s="187" t="inlineStr">
        <is>
          <t>https://github.com/yt-dlp/yt-dlp/commit/1fbbe29b99dc61375bf6d786f824d9fcf6ea9c1a | https://github.com/yt-dlp/yt-dlp/security/advisories/GHSA-g3gw-q23r-pgqm</t>
        </is>
      </c>
      <c r="O370" s="187" t="inlineStr">
        <is>
          <t>https://github.com/yt-dlp/yt-dlp/security/advisories/GHSA-g3gw-q23r-pgqm</t>
        </is>
      </c>
      <c r="P370" s="187" t="inlineStr">
        <is>
          <t>yt-dlp_project yt-dlp *</t>
        </is>
      </c>
      <c r="Q370" s="187" t="inlineStr">
        <is>
          <t>P3</t>
        </is>
      </c>
      <c r="R370" s="187" t="inlineStr">
        <is>
          <t>🚨 URGENT: Apply vendor patches immediately | 🔒 Isolate affected systems if patch unavailable | 🛡️ Enable additional monitoring/IDS rules</t>
        </is>
      </c>
      <c r="S370" s="187" t="inlineStr">
        <is>
          <t>CVE - IP enrichment n/a</t>
        </is>
      </c>
      <c r="T370" s="187" t="n">
        <v>0.006</v>
      </c>
      <c r="U370" s="187" t="n">
        <v>0.6918</v>
      </c>
      <c r="V370" s="187" t="inlineStr">
        <is>
          <t>T1059:Command and Scripting Interpreter</t>
        </is>
      </c>
      <c r="W370" s="187" t="n">
        <v>1</v>
      </c>
      <c r="X370" s="187" t="inlineStr">
        <is>
          <t>LOW (40%)</t>
        </is>
      </c>
      <c r="Y370" s="187" t="inlineStr">
        <is>
          <t>UNLIKELY</t>
        </is>
      </c>
      <c r="Z370" s="187" t="inlineStr">
        <is>
          <t>PATCH_AVAILABLE</t>
        </is>
      </c>
      <c r="AA370" s="187" t="inlineStr">
        <is>
          <t>https://nvd.nist.gov/vuln/detail/CVE-2026-26331</t>
        </is>
      </c>
      <c r="AB370" s="187" t="inlineStr">
        <is>
          <t>NONE</t>
        </is>
      </c>
      <c r="AC370" s="187" t="n">
        <v>0</v>
      </c>
      <c r="AD370" s="187" t="inlineStr"/>
    </row>
    <row r="371">
      <c r="A371" s="188" t="inlineStr">
        <is>
          <t>CVE</t>
        </is>
      </c>
      <c r="B371" s="188" t="inlineStr">
        <is>
          <t>CVE-2026-26981</t>
        </is>
      </c>
      <c r="C371" s="188"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371" s="188" t="n">
        <v>6.5</v>
      </c>
      <c r="E371" s="188" t="inlineStr">
        <is>
          <t>MEDIUM</t>
        </is>
      </c>
      <c r="F371" s="188" t="n">
        <v>2</v>
      </c>
      <c r="G371" s="188" t="n">
        <v>2</v>
      </c>
      <c r="H371" s="188" t="inlineStr">
        <is>
          <t>MEDIUM</t>
        </is>
      </c>
      <c r="I371" s="188" t="n">
        <v>10.5</v>
      </c>
      <c r="J371" s="188" t="inlineStr">
        <is>
          <t>NO</t>
        </is>
      </c>
      <c r="K371" s="188" t="inlineStr">
        <is>
          <t>https://nvd.nist.gov/vuln/detail/CVE-2026-26981</t>
        </is>
      </c>
      <c r="L371" s="188" t="inlineStr">
        <is>
          <t>2026-02-27 20:47</t>
        </is>
      </c>
      <c r="M371" s="188" t="inlineStr">
        <is>
          <t>YES</t>
        </is>
      </c>
      <c r="N371" s="188" t="inlineStr">
        <is>
          <t>https://github.com/AcademySoftwareFoundation/openexr/commit/6bb2ddf1068573d073edf81270a015b38cc05cef | https://github.com/AcademySoftwareFoundation/openexr/commit/d2be382758adc3e9ab83a3de35138ec28d93ebd8 | https://github.com/AcademySoftwareFoundation/openexr/security/advisories/GHSA-q6vj-wxvf-5m8c</t>
        </is>
      </c>
      <c r="O371" s="188" t="inlineStr">
        <is>
          <t>Apply vendor patches</t>
        </is>
      </c>
      <c r="P371" s="188" t="inlineStr">
        <is>
          <t>openexr openexr *</t>
        </is>
      </c>
      <c r="Q371" s="188" t="inlineStr">
        <is>
          <t>P4</t>
        </is>
      </c>
      <c r="R371" s="188" t="inlineStr">
        <is>
          <t>📅 Schedule patch deployment within 30 days | 🔍 Monitor for exploitation attempts</t>
        </is>
      </c>
      <c r="S371" s="188" t="inlineStr">
        <is>
          <t>CVE - IP enrichment n/a</t>
        </is>
      </c>
      <c r="T371" s="188" t="n">
        <v>0.0004</v>
      </c>
      <c r="U371" s="188" t="n">
        <v>0.1241</v>
      </c>
      <c r="V371" s="188" t="inlineStr">
        <is>
          <t>T1190:Exploit Public-Facing Application</t>
        </is>
      </c>
      <c r="W371" s="188" t="n">
        <v>1</v>
      </c>
      <c r="X371" s="188" t="inlineStr">
        <is>
          <t>LOW (40%)</t>
        </is>
      </c>
      <c r="Y371" s="188" t="inlineStr">
        <is>
          <t>UNLIKELY</t>
        </is>
      </c>
      <c r="Z371" s="188" t="inlineStr">
        <is>
          <t>PATCH_AVAILABLE</t>
        </is>
      </c>
      <c r="AA371" s="188" t="inlineStr">
        <is>
          <t>https://nvd.nist.gov/vuln/detail/CVE-2026-26981</t>
        </is>
      </c>
      <c r="AB371" s="188" t="inlineStr">
        <is>
          <t>NONE</t>
        </is>
      </c>
      <c r="AC371" s="188" t="n">
        <v>0</v>
      </c>
      <c r="AD371" s="188" t="inlineStr"/>
    </row>
    <row r="372">
      <c r="A372" s="188" t="inlineStr">
        <is>
          <t>CVE</t>
        </is>
      </c>
      <c r="B372" s="188" t="inlineStr">
        <is>
          <t>CVE-2026-26983</t>
        </is>
      </c>
      <c r="C372" s="188"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372" s="188" t="n">
        <v>5.3</v>
      </c>
      <c r="E372" s="188" t="inlineStr">
        <is>
          <t>MEDIUM</t>
        </is>
      </c>
      <c r="F372" s="188" t="n">
        <v>2</v>
      </c>
      <c r="G372" s="188" t="n">
        <v>2</v>
      </c>
      <c r="H372" s="188" t="inlineStr">
        <is>
          <t>MEDIUM</t>
        </is>
      </c>
      <c r="I372" s="188" t="n">
        <v>9.300000000000001</v>
      </c>
      <c r="J372" s="188" t="inlineStr">
        <is>
          <t>NO</t>
        </is>
      </c>
      <c r="K372" s="188" t="inlineStr">
        <is>
          <t>https://nvd.nist.gov/vuln/detail/CVE-2026-26983</t>
        </is>
      </c>
      <c r="L372" s="188" t="inlineStr">
        <is>
          <t>2026-02-27 20:47</t>
        </is>
      </c>
      <c r="M372" s="188" t="inlineStr">
        <is>
          <t>YES</t>
        </is>
      </c>
      <c r="N372" s="188" t="inlineStr">
        <is>
          <t>https://github.com/ImageMagick/ImageMagick/security/advisories/GHSA-w8mw-frc6-r7m8</t>
        </is>
      </c>
      <c r="O372" s="188" t="inlineStr">
        <is>
          <t>Apply vendor patches</t>
        </is>
      </c>
      <c r="P372" s="188" t="inlineStr">
        <is>
          <t>imagemagick imagemagick *</t>
        </is>
      </c>
      <c r="Q372" s="188" t="inlineStr">
        <is>
          <t>P4</t>
        </is>
      </c>
      <c r="R372" s="188" t="inlineStr">
        <is>
          <t>📅 Schedule patch deployment within 30 days | 🔍 Monitor for exploitation attempts</t>
        </is>
      </c>
      <c r="S372" s="188" t="inlineStr">
        <is>
          <t>CVE - IP enrichment n/a</t>
        </is>
      </c>
      <c r="T372" s="188" t="n">
        <v>0.0003</v>
      </c>
      <c r="U372" s="188" t="n">
        <v>0.1018</v>
      </c>
      <c r="V372" s="188" t="inlineStr">
        <is>
          <t>T1499:Endpoint Denial of Service | T1203:Exploitation for Client Execution | T1190:Exploit Public-Facing Application</t>
        </is>
      </c>
      <c r="W372" s="188" t="n">
        <v>1</v>
      </c>
      <c r="X372" s="188" t="inlineStr">
        <is>
          <t>LOW (40%)</t>
        </is>
      </c>
      <c r="Y372" s="188" t="inlineStr">
        <is>
          <t>UNLIKELY</t>
        </is>
      </c>
      <c r="Z372" s="188" t="inlineStr">
        <is>
          <t>PATCH_AVAILABLE</t>
        </is>
      </c>
      <c r="AA372" s="188" t="inlineStr">
        <is>
          <t>https://nvd.nist.gov/vuln/detail/CVE-2026-26983</t>
        </is>
      </c>
      <c r="AB372" s="188" t="inlineStr">
        <is>
          <t>NONE</t>
        </is>
      </c>
      <c r="AC372" s="188" t="n">
        <v>0</v>
      </c>
      <c r="AD372" s="188" t="inlineStr"/>
    </row>
    <row r="373">
      <c r="A373" s="188" t="inlineStr">
        <is>
          <t>CVE</t>
        </is>
      </c>
      <c r="B373" s="188" t="inlineStr">
        <is>
          <t>CVE-2026-27126</t>
        </is>
      </c>
      <c r="C373" s="188"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373" s="188" t="n">
        <v>5</v>
      </c>
      <c r="E373" s="188" t="inlineStr">
        <is>
          <t>MEDIUM</t>
        </is>
      </c>
      <c r="F373" s="188" t="n">
        <v>2</v>
      </c>
      <c r="G373" s="188" t="n">
        <v>2</v>
      </c>
      <c r="H373" s="188" t="inlineStr">
        <is>
          <t>MEDIUM</t>
        </is>
      </c>
      <c r="I373" s="188" t="n">
        <v>9</v>
      </c>
      <c r="J373" s="188" t="inlineStr">
        <is>
          <t>NO</t>
        </is>
      </c>
      <c r="K373" s="188" t="inlineStr">
        <is>
          <t>https://nvd.nist.gov/vuln/detail/CVE-2026-27126</t>
        </is>
      </c>
      <c r="L373" s="188" t="inlineStr">
        <is>
          <t>2026-02-27 20:47</t>
        </is>
      </c>
      <c r="M373" s="188" t="inlineStr">
        <is>
          <t>CHECK_VENDOR</t>
        </is>
      </c>
      <c r="N373" s="188" t="inlineStr">
        <is>
          <t>See NVD references</t>
        </is>
      </c>
      <c r="O373" s="188" t="inlineStr">
        <is>
          <t>Apply vendor patches</t>
        </is>
      </c>
      <c r="P373" s="188" t="inlineStr">
        <is>
          <t>See CVE details</t>
        </is>
      </c>
      <c r="Q373" s="188" t="inlineStr">
        <is>
          <t>P4</t>
        </is>
      </c>
      <c r="R373" s="188" t="inlineStr">
        <is>
          <t>📅 Schedule patch deployment within 30 days | 🔍 Monitor for exploitation attempts</t>
        </is>
      </c>
      <c r="S373" s="188" t="inlineStr">
        <is>
          <t>CVE - IP enrichment n/a</t>
        </is>
      </c>
      <c r="T373" s="188" t="n">
        <v>0.0001</v>
      </c>
      <c r="U373" s="188" t="n">
        <v>0.0315</v>
      </c>
      <c r="V373" s="188" t="inlineStr">
        <is>
          <t>T1189:Drive-by Compromise</t>
        </is>
      </c>
      <c r="W373" s="188" t="n">
        <v>1</v>
      </c>
      <c r="X373" s="188" t="inlineStr">
        <is>
          <t>LOW (40%)</t>
        </is>
      </c>
      <c r="Y373" s="188" t="inlineStr">
        <is>
          <t>UNLIKELY</t>
        </is>
      </c>
      <c r="Z373" s="188" t="inlineStr">
        <is>
          <t>CHECK_VENDOR</t>
        </is>
      </c>
      <c r="AA373" s="188" t="inlineStr">
        <is>
          <t>https://nvd.nist.gov/vuln/detail/CVE-2026-27126</t>
        </is>
      </c>
      <c r="AB373" s="188" t="inlineStr">
        <is>
          <t>NONE</t>
        </is>
      </c>
      <c r="AC373" s="188" t="n">
        <v>0</v>
      </c>
      <c r="AD373" s="188" t="inlineStr"/>
    </row>
    <row r="374">
      <c r="A374" s="188" t="inlineStr">
        <is>
          <t>CVE</t>
        </is>
      </c>
      <c r="B374" s="188" t="inlineStr">
        <is>
          <t>CVE-2026-27127</t>
        </is>
      </c>
      <c r="C374" s="188"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374" s="188" t="n">
        <v>6.3</v>
      </c>
      <c r="E374" s="188" t="inlineStr">
        <is>
          <t>MEDIUM</t>
        </is>
      </c>
      <c r="F374" s="188" t="n">
        <v>2</v>
      </c>
      <c r="G374" s="188" t="n">
        <v>2</v>
      </c>
      <c r="H374" s="188" t="inlineStr">
        <is>
          <t>MEDIUM</t>
        </is>
      </c>
      <c r="I374" s="188" t="n">
        <v>10.3</v>
      </c>
      <c r="J374" s="188" t="inlineStr">
        <is>
          <t>NO</t>
        </is>
      </c>
      <c r="K374" s="188" t="inlineStr">
        <is>
          <t>https://nvd.nist.gov/vuln/detail/CVE-2026-27127</t>
        </is>
      </c>
      <c r="L374" s="188" t="inlineStr">
        <is>
          <t>2026-02-27 20:47</t>
        </is>
      </c>
      <c r="M374" s="188" t="inlineStr">
        <is>
          <t>YES</t>
        </is>
      </c>
      <c r="N374" s="188" t="inlineStr">
        <is>
          <t>https://github.com/craftcms/cms/commit/a4cf3fb63bba3249cf1e2882b18a2d29e77a8575 | https://github.com/craftcms/cms/security/advisories/GHSA-gp2f-7wcm-5fhx | https://github.com/craftcms/cms/security/advisories/GHSA-x27p-wfqw-hfcc</t>
        </is>
      </c>
      <c r="O374" s="188" t="inlineStr">
        <is>
          <t>https://github.com/craftcms/cms/security/advisories/GHSA-gp2f-7wcm-5fhx</t>
        </is>
      </c>
      <c r="P374" s="188" t="inlineStr">
        <is>
          <t>craftcms craft_cms * | craftcms craft_cms 3.5.0</t>
        </is>
      </c>
      <c r="Q374" s="188" t="inlineStr">
        <is>
          <t>P4</t>
        </is>
      </c>
      <c r="R374" s="188" t="inlineStr">
        <is>
          <t>📅 Schedule patch deployment within 30 days | 🔍 Monitor for exploitation attempts</t>
        </is>
      </c>
      <c r="S374" s="188" t="inlineStr">
        <is>
          <t>CVE - IP enrichment n/a</t>
        </is>
      </c>
      <c r="T374" s="188" t="n">
        <v>0.0001</v>
      </c>
      <c r="U374" s="188" t="n">
        <v>0.0102</v>
      </c>
      <c r="V374" s="188" t="inlineStr">
        <is>
          <t>T1090:Proxy</t>
        </is>
      </c>
      <c r="W374" s="188" t="n">
        <v>1</v>
      </c>
      <c r="X374" s="188" t="inlineStr">
        <is>
          <t>LOW (40%)</t>
        </is>
      </c>
      <c r="Y374" s="188" t="inlineStr">
        <is>
          <t>UNLIKELY</t>
        </is>
      </c>
      <c r="Z374" s="188" t="inlineStr">
        <is>
          <t>PATCH_AVAILABLE</t>
        </is>
      </c>
      <c r="AA374" s="188" t="inlineStr">
        <is>
          <t>https://nvd.nist.gov/vuln/detail/CVE-2026-27127</t>
        </is>
      </c>
      <c r="AB374" s="188" t="inlineStr">
        <is>
          <t>NONE</t>
        </is>
      </c>
      <c r="AC374" s="188" t="n">
        <v>0</v>
      </c>
      <c r="AD374" s="188" t="inlineStr"/>
    </row>
    <row r="375">
      <c r="A375" s="188" t="inlineStr">
        <is>
          <t>CVE</t>
        </is>
      </c>
      <c r="B375" s="188" t="inlineStr">
        <is>
          <t>CVE-2026-27128</t>
        </is>
      </c>
      <c r="C375" s="188"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375" s="188" t="n">
        <v>5</v>
      </c>
      <c r="E375" s="188" t="inlineStr">
        <is>
          <t>MEDIUM</t>
        </is>
      </c>
      <c r="F375" s="188" t="n">
        <v>2</v>
      </c>
      <c r="G375" s="188" t="n">
        <v>2</v>
      </c>
      <c r="H375" s="188" t="inlineStr">
        <is>
          <t>MEDIUM</t>
        </is>
      </c>
      <c r="I375" s="188" t="n">
        <v>9</v>
      </c>
      <c r="J375" s="188" t="inlineStr">
        <is>
          <t>NO</t>
        </is>
      </c>
      <c r="K375" s="188" t="inlineStr">
        <is>
          <t>https://nvd.nist.gov/vuln/detail/CVE-2026-27128</t>
        </is>
      </c>
      <c r="L375" s="188" t="inlineStr">
        <is>
          <t>2026-02-27 20:47</t>
        </is>
      </c>
      <c r="M375" s="188" t="inlineStr">
        <is>
          <t>CHECK_VENDOR</t>
        </is>
      </c>
      <c r="N375" s="188" t="inlineStr">
        <is>
          <t>See NVD references</t>
        </is>
      </c>
      <c r="O375" s="188" t="inlineStr">
        <is>
          <t>Apply vendor patches</t>
        </is>
      </c>
      <c r="P375" s="188" t="inlineStr">
        <is>
          <t>See CVE details</t>
        </is>
      </c>
      <c r="Q375" s="188" t="inlineStr">
        <is>
          <t>P4</t>
        </is>
      </c>
      <c r="R375" s="188" t="inlineStr">
        <is>
          <t>📅 Schedule patch deployment within 30 days | 🔍 Monitor for exploitation attempts</t>
        </is>
      </c>
      <c r="S375" s="188" t="inlineStr">
        <is>
          <t>CVE - IP enrichment n/a</t>
        </is>
      </c>
      <c r="T375" s="188" t="n">
        <v>0.0001</v>
      </c>
      <c r="U375" s="188" t="n">
        <v>0.0081</v>
      </c>
      <c r="V375" s="188" t="inlineStr">
        <is>
          <t>T1068:Exploitation for Privilege Escalation</t>
        </is>
      </c>
      <c r="W375" s="188" t="n">
        <v>1</v>
      </c>
      <c r="X375" s="188" t="inlineStr">
        <is>
          <t>LOW (40%)</t>
        </is>
      </c>
      <c r="Y375" s="188" t="inlineStr">
        <is>
          <t>UNLIKELY</t>
        </is>
      </c>
      <c r="Z375" s="188" t="inlineStr">
        <is>
          <t>CHECK_VENDOR</t>
        </is>
      </c>
      <c r="AA375" s="188" t="inlineStr">
        <is>
          <t>https://nvd.nist.gov/vuln/detail/CVE-2026-27128</t>
        </is>
      </c>
      <c r="AB375" s="188" t="inlineStr">
        <is>
          <t>NONE</t>
        </is>
      </c>
      <c r="AC375" s="188" t="n">
        <v>0</v>
      </c>
      <c r="AD375" s="188" t="inlineStr"/>
    </row>
    <row r="376">
      <c r="A376" s="188" t="inlineStr">
        <is>
          <t>CVE</t>
        </is>
      </c>
      <c r="B376" s="188" t="inlineStr">
        <is>
          <t>CVE-2026-27129</t>
        </is>
      </c>
      <c r="C376" s="188"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376" s="188" t="n">
        <v>5</v>
      </c>
      <c r="E376" s="188" t="inlineStr">
        <is>
          <t>MEDIUM</t>
        </is>
      </c>
      <c r="F376" s="188" t="n">
        <v>2</v>
      </c>
      <c r="G376" s="188" t="n">
        <v>2</v>
      </c>
      <c r="H376" s="188" t="inlineStr">
        <is>
          <t>MEDIUM</t>
        </is>
      </c>
      <c r="I376" s="188" t="n">
        <v>9</v>
      </c>
      <c r="J376" s="188" t="inlineStr">
        <is>
          <t>NO</t>
        </is>
      </c>
      <c r="K376" s="188" t="inlineStr">
        <is>
          <t>https://nvd.nist.gov/vuln/detail/CVE-2026-27129</t>
        </is>
      </c>
      <c r="L376" s="188" t="inlineStr">
        <is>
          <t>2026-02-27 20:47</t>
        </is>
      </c>
      <c r="M376" s="188" t="inlineStr">
        <is>
          <t>CHECK_VENDOR</t>
        </is>
      </c>
      <c r="N376" s="188" t="inlineStr">
        <is>
          <t>See NVD references</t>
        </is>
      </c>
      <c r="O376" s="188" t="inlineStr">
        <is>
          <t>Apply vendor patches</t>
        </is>
      </c>
      <c r="P376" s="188" t="inlineStr">
        <is>
          <t>See CVE details</t>
        </is>
      </c>
      <c r="Q376" s="188" t="inlineStr">
        <is>
          <t>P4</t>
        </is>
      </c>
      <c r="R376" s="188" t="inlineStr">
        <is>
          <t>📅 Schedule patch deployment within 30 days | 🔍 Monitor for exploitation attempts</t>
        </is>
      </c>
      <c r="S376" s="188" t="inlineStr">
        <is>
          <t>CVE - IP enrichment n/a</t>
        </is>
      </c>
      <c r="T376" s="188" t="n">
        <v>0.0003</v>
      </c>
      <c r="U376" s="188" t="n">
        <v>0.0829</v>
      </c>
      <c r="V376" s="188" t="inlineStr">
        <is>
          <t>T1090:Proxy</t>
        </is>
      </c>
      <c r="W376" s="188" t="n">
        <v>1</v>
      </c>
      <c r="X376" s="188" t="inlineStr">
        <is>
          <t>LOW (40%)</t>
        </is>
      </c>
      <c r="Y376" s="188" t="inlineStr">
        <is>
          <t>UNLIKELY</t>
        </is>
      </c>
      <c r="Z376" s="188" t="inlineStr">
        <is>
          <t>CHECK_VENDOR</t>
        </is>
      </c>
      <c r="AA376" s="188" t="inlineStr">
        <is>
          <t>https://nvd.nist.gov/vuln/detail/CVE-2026-27129</t>
        </is>
      </c>
      <c r="AB376" s="188" t="inlineStr">
        <is>
          <t>NONE</t>
        </is>
      </c>
      <c r="AC376" s="188" t="n">
        <v>0</v>
      </c>
      <c r="AD376" s="188" t="inlineStr"/>
    </row>
    <row r="377">
      <c r="A377" s="188" t="inlineStr">
        <is>
          <t>CVE</t>
        </is>
      </c>
      <c r="B377" s="188" t="inlineStr">
        <is>
          <t>CVE-2026-3054</t>
        </is>
      </c>
      <c r="C377" s="188"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377" s="188" t="n">
        <v>4.3</v>
      </c>
      <c r="E377" s="188" t="inlineStr">
        <is>
          <t>MEDIUM</t>
        </is>
      </c>
      <c r="F377" s="188" t="n">
        <v>2</v>
      </c>
      <c r="G377" s="188" t="n">
        <v>2</v>
      </c>
      <c r="H377" s="188" t="inlineStr">
        <is>
          <t>MEDIUM</t>
        </is>
      </c>
      <c r="I377" s="188" t="n">
        <v>8.300000000000001</v>
      </c>
      <c r="J377" s="188" t="inlineStr">
        <is>
          <t>NO</t>
        </is>
      </c>
      <c r="K377" s="188" t="inlineStr">
        <is>
          <t>https://nvd.nist.gov/vuln/detail/CVE-2026-3054</t>
        </is>
      </c>
      <c r="L377" s="188" t="inlineStr">
        <is>
          <t>2026-02-27 20:47</t>
        </is>
      </c>
      <c r="M377" s="188" t="inlineStr">
        <is>
          <t>CHECK_VENDOR</t>
        </is>
      </c>
      <c r="N377" s="188" t="inlineStr">
        <is>
          <t>See NVD references</t>
        </is>
      </c>
      <c r="O377" s="188" t="inlineStr">
        <is>
          <t>Apply vendor patches</t>
        </is>
      </c>
      <c r="P377" s="188" t="inlineStr">
        <is>
          <t>See CVE details</t>
        </is>
      </c>
      <c r="Q377" s="188" t="inlineStr">
        <is>
          <t>P4</t>
        </is>
      </c>
      <c r="R377" s="188" t="inlineStr">
        <is>
          <t>📅 Schedule patch deployment within 30 days | 🔍 Monitor for exploitation attempts</t>
        </is>
      </c>
      <c r="S377" s="188" t="inlineStr">
        <is>
          <t>CVE - IP enrichment n/a</t>
        </is>
      </c>
      <c r="T377" s="188" t="n">
        <v>0.0003</v>
      </c>
      <c r="U377" s="188" t="n">
        <v>0.0789</v>
      </c>
      <c r="V377" s="188" t="inlineStr">
        <is>
          <t>T1189:Drive-by Compromise</t>
        </is>
      </c>
      <c r="W377" s="188" t="n">
        <v>1</v>
      </c>
      <c r="X377" s="188" t="inlineStr">
        <is>
          <t>LOW (40%)</t>
        </is>
      </c>
      <c r="Y377" s="188" t="inlineStr">
        <is>
          <t>UNLIKELY</t>
        </is>
      </c>
      <c r="Z377" s="188" t="inlineStr">
        <is>
          <t>CHECK_VENDOR</t>
        </is>
      </c>
      <c r="AA377" s="188" t="inlineStr">
        <is>
          <t>https://nvd.nist.gov/vuln/detail/CVE-2026-3054</t>
        </is>
      </c>
      <c r="AB377" s="188" t="inlineStr">
        <is>
          <t>NONE</t>
        </is>
      </c>
      <c r="AC377" s="188" t="n">
        <v>0</v>
      </c>
      <c r="AD377" s="188" t="inlineStr"/>
    </row>
    <row r="378">
      <c r="A378" s="188" t="inlineStr">
        <is>
          <t>CVE</t>
        </is>
      </c>
      <c r="B378" s="188" t="inlineStr">
        <is>
          <t>CVE-2026-3057</t>
        </is>
      </c>
      <c r="C378" s="188"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378" s="188" t="n">
        <v>6.3</v>
      </c>
      <c r="E378" s="188" t="inlineStr">
        <is>
          <t>MEDIUM</t>
        </is>
      </c>
      <c r="F378" s="188" t="n">
        <v>2</v>
      </c>
      <c r="G378" s="188" t="n">
        <v>2</v>
      </c>
      <c r="H378" s="188" t="inlineStr">
        <is>
          <t>MEDIUM</t>
        </is>
      </c>
      <c r="I378" s="188" t="n">
        <v>10.3</v>
      </c>
      <c r="J378" s="188" t="inlineStr">
        <is>
          <t>NO</t>
        </is>
      </c>
      <c r="K378" s="188" t="inlineStr">
        <is>
          <t>https://nvd.nist.gov/vuln/detail/CVE-2026-3057</t>
        </is>
      </c>
      <c r="L378" s="188" t="inlineStr">
        <is>
          <t>2026-02-27 20:47</t>
        </is>
      </c>
      <c r="M378" s="188" t="inlineStr">
        <is>
          <t>CHECK_VENDOR</t>
        </is>
      </c>
      <c r="N378" s="188" t="inlineStr">
        <is>
          <t>See NVD references</t>
        </is>
      </c>
      <c r="O378" s="188" t="inlineStr">
        <is>
          <t>Apply vendor patches</t>
        </is>
      </c>
      <c r="P378" s="188" t="inlineStr">
        <is>
          <t>See CVE details</t>
        </is>
      </c>
      <c r="Q378" s="188" t="inlineStr">
        <is>
          <t>P4</t>
        </is>
      </c>
      <c r="R378" s="188" t="inlineStr">
        <is>
          <t>📅 Schedule patch deployment within 30 days | 🔍 Monitor for exploitation attempts</t>
        </is>
      </c>
      <c r="S378" s="188" t="inlineStr">
        <is>
          <t>CVE - IP enrichment n/a</t>
        </is>
      </c>
      <c r="T378" s="188" t="n">
        <v>0.0003</v>
      </c>
      <c r="U378" s="188" t="n">
        <v>0.0769</v>
      </c>
      <c r="V378" s="188" t="inlineStr">
        <is>
          <t>T1190:Exploit Public-Facing Application</t>
        </is>
      </c>
      <c r="W378" s="188" t="n">
        <v>1</v>
      </c>
      <c r="X378" s="188" t="inlineStr">
        <is>
          <t>LOW (40%)</t>
        </is>
      </c>
      <c r="Y378" s="188" t="inlineStr">
        <is>
          <t>UNLIKELY</t>
        </is>
      </c>
      <c r="Z378" s="188" t="inlineStr">
        <is>
          <t>CHECK_VENDOR</t>
        </is>
      </c>
      <c r="AA378" s="188" t="inlineStr">
        <is>
          <t>https://nvd.nist.gov/vuln/detail/CVE-2026-3057</t>
        </is>
      </c>
      <c r="AB378" s="188" t="inlineStr">
        <is>
          <t>NONE</t>
        </is>
      </c>
      <c r="AC378" s="188" t="n">
        <v>0</v>
      </c>
      <c r="AD378" s="188" t="inlineStr"/>
    </row>
    <row r="379">
      <c r="A379" s="188" t="inlineStr">
        <is>
          <t>CVE</t>
        </is>
      </c>
      <c r="B379" s="188" t="inlineStr">
        <is>
          <t>CVE-2026-3064</t>
        </is>
      </c>
      <c r="C379" s="188"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379" s="188" t="n">
        <v>6.3</v>
      </c>
      <c r="E379" s="188" t="inlineStr">
        <is>
          <t>MEDIUM</t>
        </is>
      </c>
      <c r="F379" s="188" t="n">
        <v>2</v>
      </c>
      <c r="G379" s="188" t="n">
        <v>2</v>
      </c>
      <c r="H379" s="188" t="inlineStr">
        <is>
          <t>MEDIUM</t>
        </is>
      </c>
      <c r="I379" s="188" t="n">
        <v>10.3</v>
      </c>
      <c r="J379" s="188" t="inlineStr">
        <is>
          <t>NO</t>
        </is>
      </c>
      <c r="K379" s="188" t="inlineStr">
        <is>
          <t>https://nvd.nist.gov/vuln/detail/CVE-2026-3064</t>
        </is>
      </c>
      <c r="L379" s="188" t="inlineStr">
        <is>
          <t>2026-02-27 20:47</t>
        </is>
      </c>
      <c r="M379" s="188" t="inlineStr">
        <is>
          <t>YES</t>
        </is>
      </c>
      <c r="N379" s="188" t="inlineStr">
        <is>
          <t>https://github.com/AnalogyC0de/public_exp/issues/8</t>
        </is>
      </c>
      <c r="O379" s="188" t="inlineStr">
        <is>
          <t>https://github.com/AnalogyC0de/public_exp/issues/8</t>
        </is>
      </c>
      <c r="P379" s="188" t="inlineStr">
        <is>
          <t>hummerrisk hummerrisk *</t>
        </is>
      </c>
      <c r="Q379" s="188" t="inlineStr">
        <is>
          <t>P4</t>
        </is>
      </c>
      <c r="R379" s="188" t="inlineStr">
        <is>
          <t>📅 Schedule patch deployment within 30 days | 🔍 Monitor for exploitation attempts</t>
        </is>
      </c>
      <c r="S379" s="188" t="inlineStr">
        <is>
          <t>CVE - IP enrichment n/a</t>
        </is>
      </c>
      <c r="T379" s="188" t="n">
        <v>0.0031</v>
      </c>
      <c r="U379" s="188" t="n">
        <v>0.5342</v>
      </c>
      <c r="V379" s="188" t="inlineStr">
        <is>
          <t>T1059:Command and Scripting Interpreter | T1190:Exploit Public-Facing Application</t>
        </is>
      </c>
      <c r="W379" s="188" t="n">
        <v>1</v>
      </c>
      <c r="X379" s="188" t="inlineStr">
        <is>
          <t>LOW (40%)</t>
        </is>
      </c>
      <c r="Y379" s="188" t="inlineStr">
        <is>
          <t>UNLIKELY</t>
        </is>
      </c>
      <c r="Z379" s="188" t="inlineStr">
        <is>
          <t>PATCH_AVAILABLE</t>
        </is>
      </c>
      <c r="AA379" s="188" t="inlineStr">
        <is>
          <t>https://nvd.nist.gov/vuln/detail/CVE-2026-3064</t>
        </is>
      </c>
      <c r="AB379" s="188" t="inlineStr">
        <is>
          <t>NONE</t>
        </is>
      </c>
      <c r="AC379" s="188" t="n">
        <v>0</v>
      </c>
      <c r="AD379" s="188" t="inlineStr"/>
    </row>
    <row r="380">
      <c r="A380" s="188" t="inlineStr">
        <is>
          <t>CVE</t>
        </is>
      </c>
      <c r="B380" s="188" t="inlineStr">
        <is>
          <t>CVE-2026-3065</t>
        </is>
      </c>
      <c r="C380" s="188"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380" s="188" t="n">
        <v>6.3</v>
      </c>
      <c r="E380" s="188" t="inlineStr">
        <is>
          <t>MEDIUM</t>
        </is>
      </c>
      <c r="F380" s="188" t="n">
        <v>2</v>
      </c>
      <c r="G380" s="188" t="n">
        <v>2</v>
      </c>
      <c r="H380" s="188" t="inlineStr">
        <is>
          <t>MEDIUM</t>
        </is>
      </c>
      <c r="I380" s="188" t="n">
        <v>10.3</v>
      </c>
      <c r="J380" s="188" t="inlineStr">
        <is>
          <t>NO</t>
        </is>
      </c>
      <c r="K380" s="188" t="inlineStr">
        <is>
          <t>https://nvd.nist.gov/vuln/detail/CVE-2026-3065</t>
        </is>
      </c>
      <c r="L380" s="188" t="inlineStr">
        <is>
          <t>2026-02-27 20:47</t>
        </is>
      </c>
      <c r="M380" s="188" t="inlineStr">
        <is>
          <t>YES</t>
        </is>
      </c>
      <c r="N380" s="188" t="inlineStr">
        <is>
          <t>https://github.com/AnalogyC0de/public_exp/issues/9</t>
        </is>
      </c>
      <c r="O380" s="188" t="inlineStr">
        <is>
          <t>https://github.com/AnalogyC0de/public_exp/issues/9</t>
        </is>
      </c>
      <c r="P380" s="188" t="inlineStr">
        <is>
          <t>hummerrisk hummerrisk *</t>
        </is>
      </c>
      <c r="Q380" s="188" t="inlineStr">
        <is>
          <t>P4</t>
        </is>
      </c>
      <c r="R380" s="188" t="inlineStr">
        <is>
          <t>📅 Schedule patch deployment within 30 days | 🔍 Monitor for exploitation attempts</t>
        </is>
      </c>
      <c r="S380" s="188" t="inlineStr">
        <is>
          <t>CVE - IP enrichment n/a</t>
        </is>
      </c>
      <c r="T380" s="188" t="n">
        <v>0.0031</v>
      </c>
      <c r="U380" s="188" t="n">
        <v>0.5342</v>
      </c>
      <c r="V380" s="188" t="inlineStr">
        <is>
          <t>T1059:Command and Scripting Interpreter</t>
        </is>
      </c>
      <c r="W380" s="188" t="n">
        <v>1</v>
      </c>
      <c r="X380" s="188" t="inlineStr">
        <is>
          <t>LOW (40%)</t>
        </is>
      </c>
      <c r="Y380" s="188" t="inlineStr">
        <is>
          <t>UNLIKELY</t>
        </is>
      </c>
      <c r="Z380" s="188" t="inlineStr">
        <is>
          <t>PATCH_AVAILABLE</t>
        </is>
      </c>
      <c r="AA380" s="188" t="inlineStr">
        <is>
          <t>https://nvd.nist.gov/vuln/detail/CVE-2026-3065</t>
        </is>
      </c>
      <c r="AB380" s="188" t="inlineStr">
        <is>
          <t>NONE</t>
        </is>
      </c>
      <c r="AC380" s="188" t="n">
        <v>0</v>
      </c>
      <c r="AD380" s="188" t="inlineStr"/>
    </row>
    <row r="381">
      <c r="A381" s="188" t="inlineStr">
        <is>
          <t>CVE</t>
        </is>
      </c>
      <c r="B381" s="188" t="inlineStr">
        <is>
          <t>CVE-2026-3091</t>
        </is>
      </c>
      <c r="C381" s="188" t="inlineStr">
        <is>
          <t>An uncontrolled search path element vulnerability in Synology Presto Client before 2.1.3-0672 allows local users to read or write arbitrary files during installation by placing a malicious DLL in advance in the same directory as the installer.</t>
        </is>
      </c>
      <c r="D381" s="188" t="n">
        <v>6.7</v>
      </c>
      <c r="E381" s="188" t="inlineStr">
        <is>
          <t>MEDIUM</t>
        </is>
      </c>
      <c r="F381" s="188" t="n">
        <v>2</v>
      </c>
      <c r="G381" s="188" t="n">
        <v>2</v>
      </c>
      <c r="H381" s="188" t="inlineStr">
        <is>
          <t>MEDIUM</t>
        </is>
      </c>
      <c r="I381" s="188" t="n">
        <v>10.7</v>
      </c>
      <c r="J381" s="188" t="inlineStr">
        <is>
          <t>NO</t>
        </is>
      </c>
      <c r="K381" s="188" t="inlineStr">
        <is>
          <t>https://nvd.nist.gov/vuln/detail/CVE-2026-3091</t>
        </is>
      </c>
      <c r="L381" s="188" t="inlineStr">
        <is>
          <t>2026-02-27 20:47</t>
        </is>
      </c>
      <c r="M381" s="188" t="inlineStr">
        <is>
          <t>CHECK_VENDOR</t>
        </is>
      </c>
      <c r="N381" s="188" t="inlineStr">
        <is>
          <t>See NVD references</t>
        </is>
      </c>
      <c r="O381" s="188" t="inlineStr">
        <is>
          <t>Apply vendor patches</t>
        </is>
      </c>
      <c r="P381" s="188" t="inlineStr">
        <is>
          <t>See CVE details</t>
        </is>
      </c>
      <c r="Q381" s="188" t="inlineStr">
        <is>
          <t>P4</t>
        </is>
      </c>
      <c r="R381" s="188" t="inlineStr">
        <is>
          <t>📅 Schedule patch deployment within 30 days | 🔍 Monitor for exploitation attempts</t>
        </is>
      </c>
      <c r="S381" s="188" t="inlineStr">
        <is>
          <t>CVE - IP enrichment n/a</t>
        </is>
      </c>
      <c r="T381" s="188" t="n">
        <v>0.0001</v>
      </c>
      <c r="U381" s="188" t="n">
        <v>0.018</v>
      </c>
      <c r="V381" s="188" t="inlineStr">
        <is>
          <t>T1190:Exploit Public-Facing Application</t>
        </is>
      </c>
      <c r="W381" s="188" t="n">
        <v>1</v>
      </c>
      <c r="X381" s="188" t="inlineStr">
        <is>
          <t>LOW (40%)</t>
        </is>
      </c>
      <c r="Y381" s="188" t="inlineStr">
        <is>
          <t>UNLIKELY</t>
        </is>
      </c>
      <c r="Z381" s="188" t="inlineStr">
        <is>
          <t>CHECK_VENDOR</t>
        </is>
      </c>
      <c r="AA381" s="188" t="inlineStr">
        <is>
          <t>https://nvd.nist.gov/vuln/detail/CVE-2026-3091</t>
        </is>
      </c>
      <c r="AB381" s="188" t="inlineStr">
        <is>
          <t>NONE</t>
        </is>
      </c>
      <c r="AC381" s="188" t="n">
        <v>0</v>
      </c>
      <c r="AD381" s="188" t="inlineStr"/>
    </row>
    <row r="382">
      <c r="A382" s="188" t="inlineStr">
        <is>
          <t>CVE</t>
        </is>
      </c>
      <c r="B382" s="188" t="inlineStr">
        <is>
          <t>CVE-2026-27461</t>
        </is>
      </c>
      <c r="C382" s="188"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382" s="188" t="n">
        <v>4.9</v>
      </c>
      <c r="E382" s="188" t="inlineStr">
        <is>
          <t>MEDIUM</t>
        </is>
      </c>
      <c r="F382" s="188" t="n">
        <v>2</v>
      </c>
      <c r="G382" s="188" t="n">
        <v>2</v>
      </c>
      <c r="H382" s="188" t="inlineStr">
        <is>
          <t>MEDIUM</t>
        </is>
      </c>
      <c r="I382" s="188" t="n">
        <v>8.9</v>
      </c>
      <c r="J382" s="188" t="inlineStr">
        <is>
          <t>NO</t>
        </is>
      </c>
      <c r="K382" s="188" t="inlineStr">
        <is>
          <t>https://nvd.nist.gov/vuln/detail/CVE-2026-27461</t>
        </is>
      </c>
      <c r="L382" s="188" t="inlineStr">
        <is>
          <t>2026-02-27 20:47</t>
        </is>
      </c>
      <c r="M382" s="188" t="inlineStr">
        <is>
          <t>YES</t>
        </is>
      </c>
      <c r="N382" s="188" t="inlineStr">
        <is>
          <t>https://github.com/pimcore/pimcore/commit/1c3925fbec4895abeb21e5c244a83679c4e4a6f4 | https://github.com/pimcore/pimcore/pull/18991 | https://github.com/pimcore/pimcore/security/advisories/GHSA-vxg3-v4p6-f3fp</t>
        </is>
      </c>
      <c r="O382" s="188" t="inlineStr">
        <is>
          <t>Apply vendor patches</t>
        </is>
      </c>
      <c r="P382" s="188" t="inlineStr">
        <is>
          <t>pimcore pimcore *</t>
        </is>
      </c>
      <c r="Q382" s="188" t="inlineStr">
        <is>
          <t>P4</t>
        </is>
      </c>
      <c r="R382" s="188" t="inlineStr">
        <is>
          <t>📅 Schedule patch deployment within 30 days | 🔍 Monitor for exploitation attempts</t>
        </is>
      </c>
      <c r="S382" s="188" t="inlineStr">
        <is>
          <t>CVE - IP enrichment n/a</t>
        </is>
      </c>
      <c r="T382" s="188" t="n">
        <v>0.0003</v>
      </c>
      <c r="U382" s="188" t="n">
        <v>0.0751</v>
      </c>
      <c r="V382" s="188" t="inlineStr">
        <is>
          <t>T1190:Exploit Public-Facing Application</t>
        </is>
      </c>
      <c r="W382" s="188" t="n">
        <v>1</v>
      </c>
      <c r="X382" s="188" t="inlineStr">
        <is>
          <t>LOW (40%)</t>
        </is>
      </c>
      <c r="Y382" s="188" t="inlineStr">
        <is>
          <t>UNLIKELY</t>
        </is>
      </c>
      <c r="Z382" s="188" t="inlineStr">
        <is>
          <t>PATCH_AVAILABLE</t>
        </is>
      </c>
      <c r="AA382" s="188" t="inlineStr">
        <is>
          <t>https://nvd.nist.gov/vuln/detail/CVE-2026-27461</t>
        </is>
      </c>
      <c r="AB382" s="188" t="inlineStr">
        <is>
          <t>NONE</t>
        </is>
      </c>
      <c r="AC382" s="188" t="n">
        <v>0</v>
      </c>
      <c r="AD382" s="188" t="inlineStr"/>
    </row>
    <row r="383">
      <c r="A383" s="188" t="inlineStr">
        <is>
          <t>CVE</t>
        </is>
      </c>
      <c r="B383" s="188" t="inlineStr">
        <is>
          <t>CVE-2026-3066</t>
        </is>
      </c>
      <c r="C383" s="188"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383" s="188" t="n">
        <v>6.3</v>
      </c>
      <c r="E383" s="188" t="inlineStr">
        <is>
          <t>MEDIUM</t>
        </is>
      </c>
      <c r="F383" s="188" t="n">
        <v>2</v>
      </c>
      <c r="G383" s="188" t="n">
        <v>2</v>
      </c>
      <c r="H383" s="188" t="inlineStr">
        <is>
          <t>MEDIUM</t>
        </is>
      </c>
      <c r="I383" s="188" t="n">
        <v>10.3</v>
      </c>
      <c r="J383" s="188" t="inlineStr">
        <is>
          <t>NO</t>
        </is>
      </c>
      <c r="K383" s="188" t="inlineStr">
        <is>
          <t>https://nvd.nist.gov/vuln/detail/CVE-2026-3066</t>
        </is>
      </c>
      <c r="L383" s="188" t="inlineStr">
        <is>
          <t>2026-02-27 20:47</t>
        </is>
      </c>
      <c r="M383" s="188" t="inlineStr">
        <is>
          <t>YES</t>
        </is>
      </c>
      <c r="N383" s="188" t="inlineStr">
        <is>
          <t>https://github.com/AnalogyC0de/public_exp/issues/10</t>
        </is>
      </c>
      <c r="O383" s="188" t="inlineStr">
        <is>
          <t>https://github.com/AnalogyC0de/public_exp/issues/10</t>
        </is>
      </c>
      <c r="P383" s="188" t="inlineStr">
        <is>
          <t>hummerrisk hummerrisk *</t>
        </is>
      </c>
      <c r="Q383" s="188" t="inlineStr">
        <is>
          <t>P4</t>
        </is>
      </c>
      <c r="R383" s="188" t="inlineStr">
        <is>
          <t>📅 Schedule patch deployment within 30 days | 🔍 Monitor for exploitation attempts</t>
        </is>
      </c>
      <c r="S383" s="188" t="inlineStr">
        <is>
          <t>CVE - IP enrichment n/a</t>
        </is>
      </c>
      <c r="T383" s="188" t="n">
        <v>0.0031</v>
      </c>
      <c r="U383" s="188" t="n">
        <v>0.5342</v>
      </c>
      <c r="V383" s="188" t="inlineStr">
        <is>
          <t>T1059:Command and Scripting Interpreter</t>
        </is>
      </c>
      <c r="W383" s="188" t="n">
        <v>1</v>
      </c>
      <c r="X383" s="188" t="inlineStr">
        <is>
          <t>LOW (40%)</t>
        </is>
      </c>
      <c r="Y383" s="188" t="inlineStr">
        <is>
          <t>UNLIKELY</t>
        </is>
      </c>
      <c r="Z383" s="188" t="inlineStr">
        <is>
          <t>PATCH_AVAILABLE</t>
        </is>
      </c>
      <c r="AA383" s="188" t="inlineStr">
        <is>
          <t>https://nvd.nist.gov/vuln/detail/CVE-2026-3066</t>
        </is>
      </c>
      <c r="AB383" s="188" t="inlineStr">
        <is>
          <t>NONE</t>
        </is>
      </c>
      <c r="AC383" s="188" t="n">
        <v>0</v>
      </c>
      <c r="AD383" s="188" t="inlineStr"/>
    </row>
    <row r="384">
      <c r="A384" s="188" t="inlineStr">
        <is>
          <t>CVE</t>
        </is>
      </c>
      <c r="B384" s="188" t="inlineStr">
        <is>
          <t>CVE-2026-3067</t>
        </is>
      </c>
      <c r="C384" s="188"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384" s="188" t="n">
        <v>6.3</v>
      </c>
      <c r="E384" s="188" t="inlineStr">
        <is>
          <t>MEDIUM</t>
        </is>
      </c>
      <c r="F384" s="188" t="n">
        <v>2</v>
      </c>
      <c r="G384" s="188" t="n">
        <v>2</v>
      </c>
      <c r="H384" s="188" t="inlineStr">
        <is>
          <t>MEDIUM</t>
        </is>
      </c>
      <c r="I384" s="188" t="n">
        <v>10.3</v>
      </c>
      <c r="J384" s="188" t="inlineStr">
        <is>
          <t>NO</t>
        </is>
      </c>
      <c r="K384" s="188" t="inlineStr">
        <is>
          <t>https://nvd.nist.gov/vuln/detail/CVE-2026-3067</t>
        </is>
      </c>
      <c r="L384" s="188" t="inlineStr">
        <is>
          <t>2026-02-27 20:47</t>
        </is>
      </c>
      <c r="M384" s="188" t="inlineStr">
        <is>
          <t>CHECK_VENDOR</t>
        </is>
      </c>
      <c r="N384" s="188" t="inlineStr">
        <is>
          <t>See NVD references</t>
        </is>
      </c>
      <c r="O384" s="188" t="inlineStr">
        <is>
          <t>Apply vendor patches</t>
        </is>
      </c>
      <c r="P384" s="188" t="inlineStr">
        <is>
          <t>hummerrisk hummerrisk *</t>
        </is>
      </c>
      <c r="Q384" s="188" t="inlineStr">
        <is>
          <t>P4</t>
        </is>
      </c>
      <c r="R384" s="188" t="inlineStr">
        <is>
          <t>📅 Schedule patch deployment within 30 days | 🔍 Monitor for exploitation attempts</t>
        </is>
      </c>
      <c r="S384" s="188" t="inlineStr">
        <is>
          <t>CVE - IP enrichment n/a</t>
        </is>
      </c>
      <c r="T384" s="188" t="n">
        <v>0.0008</v>
      </c>
      <c r="U384" s="188" t="n">
        <v>0.2309</v>
      </c>
      <c r="V384" s="188" t="inlineStr">
        <is>
          <t>T1083:File and Directory Discovery</t>
        </is>
      </c>
      <c r="W384" s="188" t="n">
        <v>1</v>
      </c>
      <c r="X384" s="188" t="inlineStr">
        <is>
          <t>LOW (40%)</t>
        </is>
      </c>
      <c r="Y384" s="188" t="inlineStr">
        <is>
          <t>UNLIKELY</t>
        </is>
      </c>
      <c r="Z384" s="188" t="inlineStr">
        <is>
          <t>CHECK_VENDOR</t>
        </is>
      </c>
      <c r="AA384" s="188" t="inlineStr">
        <is>
          <t>https://nvd.nist.gov/vuln/detail/CVE-2026-3067</t>
        </is>
      </c>
      <c r="AB384" s="188" t="inlineStr">
        <is>
          <t>NONE</t>
        </is>
      </c>
      <c r="AC384" s="188" t="n">
        <v>0</v>
      </c>
      <c r="AD384" s="188" t="inlineStr"/>
    </row>
    <row r="385">
      <c r="A385" s="187" t="inlineStr">
        <is>
          <t>CVE</t>
        </is>
      </c>
      <c r="B385" s="187" t="inlineStr">
        <is>
          <t>CVE-2026-3068</t>
        </is>
      </c>
      <c r="C385" s="187"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385" s="187" t="n">
        <v>7.3</v>
      </c>
      <c r="E385" s="187" t="inlineStr">
        <is>
          <t>HIGH</t>
        </is>
      </c>
      <c r="F385" s="187" t="n">
        <v>2</v>
      </c>
      <c r="G385" s="187" t="n">
        <v>3</v>
      </c>
      <c r="H385" s="187" t="inlineStr">
        <is>
          <t>HIGH</t>
        </is>
      </c>
      <c r="I385" s="187" t="n">
        <v>13.3</v>
      </c>
      <c r="J385" s="187" t="inlineStr">
        <is>
          <t>NO</t>
        </is>
      </c>
      <c r="K385" s="187" t="inlineStr">
        <is>
          <t>https://nvd.nist.gov/vuln/detail/CVE-2026-3068</t>
        </is>
      </c>
      <c r="L385" s="187" t="inlineStr">
        <is>
          <t>2026-02-27 20:47</t>
        </is>
      </c>
      <c r="M385" s="187" t="inlineStr">
        <is>
          <t>YES</t>
        </is>
      </c>
      <c r="N385" s="187" t="inlineStr">
        <is>
          <t>https://github.com/ltranquility/cve_submit/issues/4</t>
        </is>
      </c>
      <c r="O385" s="187" t="inlineStr">
        <is>
          <t>https://github.com/ltranquility/cve_submit/issues/4</t>
        </is>
      </c>
      <c r="P385" s="187" t="inlineStr">
        <is>
          <t>admerc document_management_system 1.0</t>
        </is>
      </c>
      <c r="Q385" s="187" t="inlineStr">
        <is>
          <t>P3</t>
        </is>
      </c>
      <c r="R385" s="187" t="inlineStr">
        <is>
          <t>🚨 URGENT: Apply vendor patches immediately | 🔒 Isolate affected systems if patch unavailable | 🛡️ Enable additional monitoring/IDS rules</t>
        </is>
      </c>
      <c r="S385" s="187" t="inlineStr">
        <is>
          <t>CVE - IP enrichment n/a</t>
        </is>
      </c>
      <c r="T385" s="187" t="n">
        <v>0.0003</v>
      </c>
      <c r="U385" s="187" t="n">
        <v>0.0711</v>
      </c>
      <c r="V385" s="187" t="inlineStr">
        <is>
          <t>T1190:Exploit Public-Facing Application</t>
        </is>
      </c>
      <c r="W385" s="187" t="n">
        <v>1</v>
      </c>
      <c r="X385" s="187" t="inlineStr">
        <is>
          <t>LOW (40%)</t>
        </is>
      </c>
      <c r="Y385" s="187" t="inlineStr">
        <is>
          <t>UNLIKELY</t>
        </is>
      </c>
      <c r="Z385" s="187" t="inlineStr">
        <is>
          <t>PATCH_AVAILABLE</t>
        </is>
      </c>
      <c r="AA385" s="187" t="inlineStr">
        <is>
          <t>https://nvd.nist.gov/vuln/detail/CVE-2026-3068</t>
        </is>
      </c>
      <c r="AB385" s="187" t="inlineStr">
        <is>
          <t>NONE</t>
        </is>
      </c>
      <c r="AC385" s="187" t="n">
        <v>0</v>
      </c>
      <c r="AD385" s="187" t="inlineStr"/>
    </row>
    <row r="386">
      <c r="A386" s="187" t="inlineStr">
        <is>
          <t>CVE</t>
        </is>
      </c>
      <c r="B386" s="187" t="inlineStr">
        <is>
          <t>CVE-2026-3069</t>
        </is>
      </c>
      <c r="C386" s="187"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386" s="187" t="n">
        <v>7.3</v>
      </c>
      <c r="E386" s="187" t="inlineStr">
        <is>
          <t>HIGH</t>
        </is>
      </c>
      <c r="F386" s="187" t="n">
        <v>2</v>
      </c>
      <c r="G386" s="187" t="n">
        <v>3</v>
      </c>
      <c r="H386" s="187" t="inlineStr">
        <is>
          <t>HIGH</t>
        </is>
      </c>
      <c r="I386" s="187" t="n">
        <v>13.3</v>
      </c>
      <c r="J386" s="187" t="inlineStr">
        <is>
          <t>NO</t>
        </is>
      </c>
      <c r="K386" s="187" t="inlineStr">
        <is>
          <t>https://nvd.nist.gov/vuln/detail/CVE-2026-3069</t>
        </is>
      </c>
      <c r="L386" s="187" t="inlineStr">
        <is>
          <t>2026-02-27 20:47</t>
        </is>
      </c>
      <c r="M386" s="187" t="inlineStr">
        <is>
          <t>YES</t>
        </is>
      </c>
      <c r="N386" s="187" t="inlineStr">
        <is>
          <t>https://github.com/ltranquility/cve_submit/issues/5</t>
        </is>
      </c>
      <c r="O386" s="187" t="inlineStr">
        <is>
          <t>https://github.com/ltranquility/cve_submit/issues/5</t>
        </is>
      </c>
      <c r="P386" s="187" t="inlineStr">
        <is>
          <t>admerc document_management_system 1.0</t>
        </is>
      </c>
      <c r="Q386" s="187" t="inlineStr">
        <is>
          <t>P3</t>
        </is>
      </c>
      <c r="R386" s="187" t="inlineStr">
        <is>
          <t>🚨 URGENT: Apply vendor patches immediately | 🔒 Isolate affected systems if patch unavailable | 🛡️ Enable additional monitoring/IDS rules</t>
        </is>
      </c>
      <c r="S386" s="187" t="inlineStr">
        <is>
          <t>CVE - IP enrichment n/a</t>
        </is>
      </c>
      <c r="T386" s="187" t="n">
        <v>0.0003</v>
      </c>
      <c r="U386" s="187" t="n">
        <v>0.0711</v>
      </c>
      <c r="V386" s="187" t="inlineStr">
        <is>
          <t>T1190:Exploit Public-Facing Application</t>
        </is>
      </c>
      <c r="W386" s="187" t="n">
        <v>1</v>
      </c>
      <c r="X386" s="187" t="inlineStr">
        <is>
          <t>LOW (40%)</t>
        </is>
      </c>
      <c r="Y386" s="187" t="inlineStr">
        <is>
          <t>UNLIKELY</t>
        </is>
      </c>
      <c r="Z386" s="187" t="inlineStr">
        <is>
          <t>PATCH_AVAILABLE</t>
        </is>
      </c>
      <c r="AA386" s="187" t="inlineStr">
        <is>
          <t>https://nvd.nist.gov/vuln/detail/CVE-2026-3069</t>
        </is>
      </c>
      <c r="AB386" s="187" t="inlineStr">
        <is>
          <t>NONE</t>
        </is>
      </c>
      <c r="AC386" s="187" t="n">
        <v>0</v>
      </c>
      <c r="AD386" s="187" t="inlineStr"/>
    </row>
    <row r="387">
      <c r="A387" s="188" t="inlineStr">
        <is>
          <t>CVE</t>
        </is>
      </c>
      <c r="B387" s="188" t="inlineStr">
        <is>
          <t>CVE-2026-3070</t>
        </is>
      </c>
      <c r="C387" s="188"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387" s="188" t="n">
        <v>4.3</v>
      </c>
      <c r="E387" s="188" t="inlineStr">
        <is>
          <t>MEDIUM</t>
        </is>
      </c>
      <c r="F387" s="188" t="n">
        <v>2</v>
      </c>
      <c r="G387" s="188" t="n">
        <v>2</v>
      </c>
      <c r="H387" s="188" t="inlineStr">
        <is>
          <t>MEDIUM</t>
        </is>
      </c>
      <c r="I387" s="188" t="n">
        <v>8.300000000000001</v>
      </c>
      <c r="J387" s="188" t="inlineStr">
        <is>
          <t>NO</t>
        </is>
      </c>
      <c r="K387" s="188" t="inlineStr">
        <is>
          <t>https://nvd.nist.gov/vuln/detail/CVE-2026-3070</t>
        </is>
      </c>
      <c r="L387" s="188" t="inlineStr">
        <is>
          <t>2026-02-27 20:47</t>
        </is>
      </c>
      <c r="M387" s="188" t="inlineStr">
        <is>
          <t>YES</t>
        </is>
      </c>
      <c r="N387" s="188" t="inlineStr">
        <is>
          <t>https://github.com/tiancesec/CVE/issues/28</t>
        </is>
      </c>
      <c r="O387" s="188" t="inlineStr">
        <is>
          <t>https://github.com/tiancesec/CVE/issues/28</t>
        </is>
      </c>
      <c r="P387" s="188" t="inlineStr">
        <is>
          <t>remyandrade modern_image_gallery_app 1.0</t>
        </is>
      </c>
      <c r="Q387" s="188" t="inlineStr">
        <is>
          <t>P4</t>
        </is>
      </c>
      <c r="R387" s="188" t="inlineStr">
        <is>
          <t>📅 Schedule patch deployment within 30 days | 🔍 Monitor for exploitation attempts</t>
        </is>
      </c>
      <c r="S387" s="188" t="inlineStr">
        <is>
          <t>CVE - IP enrichment n/a</t>
        </is>
      </c>
      <c r="T387" s="188" t="n">
        <v>0.0003</v>
      </c>
      <c r="U387" s="188" t="n">
        <v>0.0842</v>
      </c>
      <c r="V387" s="188" t="inlineStr">
        <is>
          <t>T1189:Drive-by Compromise | T1190:Exploit Public-Facing Application</t>
        </is>
      </c>
      <c r="W387" s="188" t="n">
        <v>1</v>
      </c>
      <c r="X387" s="188" t="inlineStr">
        <is>
          <t>LOW (40%)</t>
        </is>
      </c>
      <c r="Y387" s="188" t="inlineStr">
        <is>
          <t>UNLIKELY</t>
        </is>
      </c>
      <c r="Z387" s="188" t="inlineStr">
        <is>
          <t>PATCH_AVAILABLE</t>
        </is>
      </c>
      <c r="AA387" s="188" t="inlineStr">
        <is>
          <t>https://nvd.nist.gov/vuln/detail/CVE-2026-3070</t>
        </is>
      </c>
      <c r="AB387" s="188" t="inlineStr">
        <is>
          <t>NONE</t>
        </is>
      </c>
      <c r="AC387" s="188" t="n">
        <v>0</v>
      </c>
      <c r="AD387" s="188" t="inlineStr"/>
    </row>
    <row r="388">
      <c r="A388" s="187" t="inlineStr">
        <is>
          <t>CVE</t>
        </is>
      </c>
      <c r="B388" s="187" t="inlineStr">
        <is>
          <t>CVE-2025-15386</t>
        </is>
      </c>
      <c r="C388" s="187"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388" s="187" t="n">
        <v>8.800000000000001</v>
      </c>
      <c r="E388" s="187" t="inlineStr">
        <is>
          <t>HIGH</t>
        </is>
      </c>
      <c r="F388" s="187" t="n">
        <v>2</v>
      </c>
      <c r="G388" s="187" t="n">
        <v>3</v>
      </c>
      <c r="H388" s="187" t="inlineStr">
        <is>
          <t>HIGH</t>
        </is>
      </c>
      <c r="I388" s="187" t="n">
        <v>14.8</v>
      </c>
      <c r="J388" s="187" t="inlineStr">
        <is>
          <t>NO</t>
        </is>
      </c>
      <c r="K388" s="187" t="inlineStr">
        <is>
          <t>https://nvd.nist.gov/vuln/detail/CVE-2025-15386</t>
        </is>
      </c>
      <c r="L388" s="187" t="inlineStr">
        <is>
          <t>2026-02-27 20:47</t>
        </is>
      </c>
      <c r="M388" s="187" t="inlineStr">
        <is>
          <t>CHECK_VENDOR</t>
        </is>
      </c>
      <c r="N388" s="187" t="inlineStr">
        <is>
          <t>See NVD references</t>
        </is>
      </c>
      <c r="O388" s="187" t="inlineStr">
        <is>
          <t>Apply vendor patches</t>
        </is>
      </c>
      <c r="P388" s="187" t="inlineStr">
        <is>
          <t>See CVE details</t>
        </is>
      </c>
      <c r="Q388" s="187" t="inlineStr">
        <is>
          <t>P3</t>
        </is>
      </c>
      <c r="R388" s="187" t="inlineStr">
        <is>
          <t>🚨 URGENT: Apply vendor patches immediately | 🔒 Isolate affected systems if patch unavailable | 🛡️ Enable additional monitoring/IDS rules</t>
        </is>
      </c>
      <c r="S388" s="187" t="inlineStr">
        <is>
          <t>CVE - IP enrichment n/a</t>
        </is>
      </c>
      <c r="T388" s="187" t="n">
        <v>0.0004</v>
      </c>
      <c r="U388" s="187" t="n">
        <v>0.124</v>
      </c>
      <c r="V388" s="187" t="inlineStr">
        <is>
          <t>T1189:Drive-by Compromise</t>
        </is>
      </c>
      <c r="W388" s="187" t="n">
        <v>1</v>
      </c>
      <c r="X388" s="187" t="inlineStr">
        <is>
          <t>LOW (40%)</t>
        </is>
      </c>
      <c r="Y388" s="187" t="inlineStr">
        <is>
          <t>UNLIKELY</t>
        </is>
      </c>
      <c r="Z388" s="187" t="inlineStr">
        <is>
          <t>CHECK_VENDOR</t>
        </is>
      </c>
      <c r="AA388" s="187" t="inlineStr">
        <is>
          <t>https://nvd.nist.gov/vuln/detail/CVE-2025-15386</t>
        </is>
      </c>
      <c r="AB388" s="187" t="inlineStr">
        <is>
          <t>NONE</t>
        </is>
      </c>
      <c r="AC388" s="187" t="n">
        <v>0</v>
      </c>
      <c r="AD388" s="187" t="inlineStr"/>
    </row>
    <row r="389">
      <c r="A389" s="190" t="inlineStr">
        <is>
          <t>CVE</t>
        </is>
      </c>
      <c r="B389" s="190" t="inlineStr">
        <is>
          <t>CVE-2025-15589</t>
        </is>
      </c>
      <c r="C389" s="190"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389" s="190" t="n">
        <v>3.8</v>
      </c>
      <c r="E389" s="190" t="inlineStr">
        <is>
          <t>LOW</t>
        </is>
      </c>
      <c r="F389" s="190" t="n">
        <v>2</v>
      </c>
      <c r="G389" s="190" t="n">
        <v>1</v>
      </c>
      <c r="H389" s="190" t="inlineStr">
        <is>
          <t>LOW</t>
        </is>
      </c>
      <c r="I389" s="190" t="n">
        <v>5.8</v>
      </c>
      <c r="J389" s="190" t="inlineStr">
        <is>
          <t>NO</t>
        </is>
      </c>
      <c r="K389" s="190" t="inlineStr">
        <is>
          <t>https://nvd.nist.gov/vuln/detail/CVE-2025-15589</t>
        </is>
      </c>
      <c r="L389" s="190" t="inlineStr">
        <is>
          <t>2026-02-27 20:47</t>
        </is>
      </c>
      <c r="M389" s="190" t="inlineStr">
        <is>
          <t>CHECK_VENDOR</t>
        </is>
      </c>
      <c r="N389" s="190" t="inlineStr">
        <is>
          <t>See NVD references</t>
        </is>
      </c>
      <c r="O389" s="190" t="inlineStr">
        <is>
          <t>Apply vendor patches</t>
        </is>
      </c>
      <c r="P389" s="190" t="inlineStr">
        <is>
          <t>muyucms muyucms 2.7</t>
        </is>
      </c>
      <c r="Q389" s="190" t="inlineStr">
        <is>
          <t>P4</t>
        </is>
      </c>
      <c r="R389" s="190" t="inlineStr">
        <is>
          <t>📅 Schedule patch deployment within 30 days | 🔍 Monitor for exploitation attempts</t>
        </is>
      </c>
      <c r="S389" s="190" t="inlineStr">
        <is>
          <t>CVE - IP enrichment n/a</t>
        </is>
      </c>
      <c r="T389" s="190" t="n">
        <v>0.001</v>
      </c>
      <c r="U389" s="190" t="n">
        <v>0.2871</v>
      </c>
      <c r="V389" s="190" t="inlineStr">
        <is>
          <t>T1083:File and Directory Discovery</t>
        </is>
      </c>
      <c r="W389" s="190" t="n">
        <v>1</v>
      </c>
      <c r="X389" s="190" t="inlineStr">
        <is>
          <t>LOW (40%)</t>
        </is>
      </c>
      <c r="Y389" s="190" t="inlineStr">
        <is>
          <t>UNLIKELY</t>
        </is>
      </c>
      <c r="Z389" s="190" t="inlineStr">
        <is>
          <t>CHECK_VENDOR</t>
        </is>
      </c>
      <c r="AA389" s="190" t="inlineStr">
        <is>
          <t>https://nvd.nist.gov/vuln/detail/CVE-2025-15589</t>
        </is>
      </c>
      <c r="AB389" s="190" t="inlineStr">
        <is>
          <t>NONE</t>
        </is>
      </c>
      <c r="AC389" s="190" t="n">
        <v>0</v>
      </c>
      <c r="AD389" s="190" t="inlineStr"/>
    </row>
    <row r="390">
      <c r="A390" s="188" t="inlineStr">
        <is>
          <t>CVE</t>
        </is>
      </c>
      <c r="B390" s="188" t="inlineStr">
        <is>
          <t>CVE-2026-24314</t>
        </is>
      </c>
      <c r="C390" s="188"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390" s="188" t="n">
        <v>4.3</v>
      </c>
      <c r="E390" s="188" t="inlineStr">
        <is>
          <t>MEDIUM</t>
        </is>
      </c>
      <c r="F390" s="188" t="n">
        <v>2</v>
      </c>
      <c r="G390" s="188" t="n">
        <v>2</v>
      </c>
      <c r="H390" s="188" t="inlineStr">
        <is>
          <t>MEDIUM</t>
        </is>
      </c>
      <c r="I390" s="188" t="n">
        <v>8.300000000000001</v>
      </c>
      <c r="J390" s="188" t="inlineStr">
        <is>
          <t>NO</t>
        </is>
      </c>
      <c r="K390" s="188" t="inlineStr">
        <is>
          <t>https://nvd.nist.gov/vuln/detail/CVE-2026-24314</t>
        </is>
      </c>
      <c r="L390" s="188" t="inlineStr">
        <is>
          <t>2026-02-27 20:47</t>
        </is>
      </c>
      <c r="M390" s="188" t="inlineStr">
        <is>
          <t>CHECK_VENDOR</t>
        </is>
      </c>
      <c r="N390" s="188" t="inlineStr">
        <is>
          <t>See NVD references</t>
        </is>
      </c>
      <c r="O390" s="188" t="inlineStr">
        <is>
          <t>Apply vendor patches</t>
        </is>
      </c>
      <c r="P390" s="188" t="inlineStr">
        <is>
          <t>See CVE details</t>
        </is>
      </c>
      <c r="Q390" s="188" t="inlineStr">
        <is>
          <t>P4</t>
        </is>
      </c>
      <c r="R390" s="188" t="inlineStr">
        <is>
          <t>📅 Schedule patch deployment within 30 days | 🔍 Monitor for exploitation attempts</t>
        </is>
      </c>
      <c r="S390" s="188" t="inlineStr">
        <is>
          <t>CVE - IP enrichment n/a</t>
        </is>
      </c>
      <c r="T390" s="188" t="n">
        <v>0.0003</v>
      </c>
      <c r="U390" s="188" t="n">
        <v>0.0737</v>
      </c>
      <c r="V390" s="188" t="inlineStr">
        <is>
          <t>T1190:Exploit Public-Facing Application</t>
        </is>
      </c>
      <c r="W390" s="188" t="n">
        <v>1</v>
      </c>
      <c r="X390" s="188" t="inlineStr">
        <is>
          <t>LOW (40%)</t>
        </is>
      </c>
      <c r="Y390" s="188" t="inlineStr">
        <is>
          <t>UNLIKELY</t>
        </is>
      </c>
      <c r="Z390" s="188" t="inlineStr">
        <is>
          <t>CHECK_VENDOR</t>
        </is>
      </c>
      <c r="AA390" s="188" t="inlineStr">
        <is>
          <t>https://nvd.nist.gov/vuln/detail/CVE-2026-24314</t>
        </is>
      </c>
      <c r="AB390" s="188" t="inlineStr">
        <is>
          <t>NONE</t>
        </is>
      </c>
      <c r="AC390" s="188" t="n">
        <v>0</v>
      </c>
      <c r="AD390" s="188" t="inlineStr"/>
    </row>
    <row r="391">
      <c r="A391" s="189" t="inlineStr">
        <is>
          <t>CVE</t>
        </is>
      </c>
      <c r="B391" s="189" t="inlineStr">
        <is>
          <t>CVE-2025-40538</t>
        </is>
      </c>
      <c r="C391" s="189"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391" s="189" t="n">
        <v>9.1</v>
      </c>
      <c r="E391" s="189" t="inlineStr">
        <is>
          <t>CRITICAL</t>
        </is>
      </c>
      <c r="F391" s="189" t="n">
        <v>2</v>
      </c>
      <c r="G391" s="189" t="n">
        <v>3</v>
      </c>
      <c r="H391" s="189" t="inlineStr">
        <is>
          <t>HIGH</t>
        </is>
      </c>
      <c r="I391" s="189" t="n">
        <v>15.1</v>
      </c>
      <c r="J391" s="189" t="inlineStr">
        <is>
          <t>NO</t>
        </is>
      </c>
      <c r="K391" s="189" t="inlineStr">
        <is>
          <t>https://nvd.nist.gov/vuln/detail/CVE-2025-40538</t>
        </is>
      </c>
      <c r="L391" s="189" t="inlineStr">
        <is>
          <t>2026-02-27 20:47</t>
        </is>
      </c>
      <c r="M391" s="189" t="inlineStr">
        <is>
          <t>YES</t>
        </is>
      </c>
      <c r="N391" s="189" t="inlineStr">
        <is>
          <t>https://documentation.solarwinds.com/en/success_center/servu/content/release_notes/servu_15-5-4_release_notes.htm | https://www.solarwinds.com/trust-center/security-advisories/CVE-2025-40538</t>
        </is>
      </c>
      <c r="O391" s="189" t="inlineStr">
        <is>
          <t>Apply vendor patches</t>
        </is>
      </c>
      <c r="P391" s="189" t="inlineStr">
        <is>
          <t>solarwinds serv-u *</t>
        </is>
      </c>
      <c r="Q391" s="189" t="inlineStr">
        <is>
          <t>P3</t>
        </is>
      </c>
      <c r="R391" s="189" t="inlineStr">
        <is>
          <t>🚨 URGENT: Apply vendor patches immediately | 🔒 Isolate affected systems if patch unavailable | 🛡️ Enable additional monitoring/IDS rules</t>
        </is>
      </c>
      <c r="S391" s="189" t="inlineStr">
        <is>
          <t>CVE - IP enrichment n/a</t>
        </is>
      </c>
      <c r="T391" s="189" t="n">
        <v>0.0003</v>
      </c>
      <c r="U391" s="189" t="n">
        <v>0.0799</v>
      </c>
      <c r="V391" s="189" t="inlineStr">
        <is>
          <t>T1203:Exploitation for Client Execution</t>
        </is>
      </c>
      <c r="W391" s="189" t="n">
        <v>1</v>
      </c>
      <c r="X391" s="189" t="inlineStr">
        <is>
          <t>LOW (40%)</t>
        </is>
      </c>
      <c r="Y391" s="189" t="inlineStr">
        <is>
          <t>UNLIKELY</t>
        </is>
      </c>
      <c r="Z391" s="189" t="inlineStr">
        <is>
          <t>PATCH_AVAILABLE</t>
        </is>
      </c>
      <c r="AA391" s="189" t="inlineStr">
        <is>
          <t>https://nvd.nist.gov/vuln/detail/CVE-2025-40538</t>
        </is>
      </c>
      <c r="AB391" s="189" t="inlineStr">
        <is>
          <t>NONE</t>
        </is>
      </c>
      <c r="AC391" s="189" t="n">
        <v>0</v>
      </c>
      <c r="AD391" s="189" t="inlineStr"/>
    </row>
    <row r="392">
      <c r="A392" s="189" t="inlineStr">
        <is>
          <t>CVE</t>
        </is>
      </c>
      <c r="B392" s="189" t="inlineStr">
        <is>
          <t>CVE-2025-40539</t>
        </is>
      </c>
      <c r="C392" s="18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392" s="189" t="n">
        <v>9.1</v>
      </c>
      <c r="E392" s="189" t="inlineStr">
        <is>
          <t>CRITICAL</t>
        </is>
      </c>
      <c r="F392" s="189" t="n">
        <v>2</v>
      </c>
      <c r="G392" s="189" t="n">
        <v>3</v>
      </c>
      <c r="H392" s="189" t="inlineStr">
        <is>
          <t>HIGH</t>
        </is>
      </c>
      <c r="I392" s="189" t="n">
        <v>15.1</v>
      </c>
      <c r="J392" s="189" t="inlineStr">
        <is>
          <t>NO</t>
        </is>
      </c>
      <c r="K392" s="189" t="inlineStr">
        <is>
          <t>https://nvd.nist.gov/vuln/detail/CVE-2025-40539</t>
        </is>
      </c>
      <c r="L392" s="189" t="inlineStr">
        <is>
          <t>2026-02-27 20:47</t>
        </is>
      </c>
      <c r="M392" s="189" t="inlineStr">
        <is>
          <t>YES</t>
        </is>
      </c>
      <c r="N392" s="189" t="inlineStr">
        <is>
          <t>https://documentation.solarwinds.com/en/success_center/servu/content/release_notes/servu_15-5-4_release_notes.htm | https://www.solarwinds.com/trust-center/security-advisories/CVE-2025-40539</t>
        </is>
      </c>
      <c r="O392" s="189" t="inlineStr">
        <is>
          <t>Apply vendor patches</t>
        </is>
      </c>
      <c r="P392" s="189" t="inlineStr">
        <is>
          <t>solarwinds serv-u *</t>
        </is>
      </c>
      <c r="Q392" s="189" t="inlineStr">
        <is>
          <t>P3</t>
        </is>
      </c>
      <c r="R392" s="189" t="inlineStr">
        <is>
          <t>🚨 URGENT: Apply vendor patches immediately | 🔒 Isolate affected systems if patch unavailable | 🛡️ Enable additional monitoring/IDS rules</t>
        </is>
      </c>
      <c r="S392" s="189" t="inlineStr">
        <is>
          <t>CVE - IP enrichment n/a</t>
        </is>
      </c>
      <c r="T392" s="189" t="n">
        <v>0.0005</v>
      </c>
      <c r="U392" s="189" t="n">
        <v>0.1491</v>
      </c>
      <c r="V392" s="189" t="inlineStr">
        <is>
          <t>T1190:Exploit Public-Facing Application</t>
        </is>
      </c>
      <c r="W392" s="189" t="n">
        <v>1</v>
      </c>
      <c r="X392" s="189" t="inlineStr">
        <is>
          <t>LOW (40%)</t>
        </is>
      </c>
      <c r="Y392" s="189" t="inlineStr">
        <is>
          <t>UNLIKELY</t>
        </is>
      </c>
      <c r="Z392" s="189" t="inlineStr">
        <is>
          <t>PATCH_AVAILABLE</t>
        </is>
      </c>
      <c r="AA392" s="189" t="inlineStr">
        <is>
          <t>https://nvd.nist.gov/vuln/detail/CVE-2025-40539</t>
        </is>
      </c>
      <c r="AB392" s="189" t="inlineStr">
        <is>
          <t>NONE</t>
        </is>
      </c>
      <c r="AC392" s="189" t="n">
        <v>0</v>
      </c>
      <c r="AD392" s="189" t="inlineStr"/>
    </row>
    <row r="393">
      <c r="A393" s="189" t="inlineStr">
        <is>
          <t>CVE</t>
        </is>
      </c>
      <c r="B393" s="189" t="inlineStr">
        <is>
          <t>CVE-2025-40540</t>
        </is>
      </c>
      <c r="C393" s="18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393" s="189" t="n">
        <v>9.1</v>
      </c>
      <c r="E393" s="189" t="inlineStr">
        <is>
          <t>CRITICAL</t>
        </is>
      </c>
      <c r="F393" s="189" t="n">
        <v>2</v>
      </c>
      <c r="G393" s="189" t="n">
        <v>3</v>
      </c>
      <c r="H393" s="189" t="inlineStr">
        <is>
          <t>HIGH</t>
        </is>
      </c>
      <c r="I393" s="189" t="n">
        <v>15.1</v>
      </c>
      <c r="J393" s="189" t="inlineStr">
        <is>
          <t>NO</t>
        </is>
      </c>
      <c r="K393" s="189" t="inlineStr">
        <is>
          <t>https://nvd.nist.gov/vuln/detail/CVE-2025-40540</t>
        </is>
      </c>
      <c r="L393" s="189" t="inlineStr">
        <is>
          <t>2026-02-27 20:47</t>
        </is>
      </c>
      <c r="M393" s="189" t="inlineStr">
        <is>
          <t>YES</t>
        </is>
      </c>
      <c r="N393" s="189" t="inlineStr">
        <is>
          <t>https://documentation.solarwinds.com/en/success_center/servu/content/release_notes/servu_15-5-4_release_notes.htm | https://www.solarwinds.com/trust-center/security-advisories/CVE-2025-40540</t>
        </is>
      </c>
      <c r="O393" s="189" t="inlineStr">
        <is>
          <t>Apply vendor patches</t>
        </is>
      </c>
      <c r="P393" s="189" t="inlineStr">
        <is>
          <t>solarwinds serv-u *</t>
        </is>
      </c>
      <c r="Q393" s="189" t="inlineStr">
        <is>
          <t>P3</t>
        </is>
      </c>
      <c r="R393" s="189" t="inlineStr">
        <is>
          <t>🚨 URGENT: Apply vendor patches immediately | 🔒 Isolate affected systems if patch unavailable | 🛡️ Enable additional monitoring/IDS rules</t>
        </is>
      </c>
      <c r="S393" s="189" t="inlineStr">
        <is>
          <t>CVE - IP enrichment n/a</t>
        </is>
      </c>
      <c r="T393" s="189" t="n">
        <v>0.0005</v>
      </c>
      <c r="U393" s="189" t="n">
        <v>0.1491</v>
      </c>
      <c r="V393" s="189" t="inlineStr">
        <is>
          <t>T1190:Exploit Public-Facing Application</t>
        </is>
      </c>
      <c r="W393" s="189" t="n">
        <v>1</v>
      </c>
      <c r="X393" s="189" t="inlineStr">
        <is>
          <t>LOW (40%)</t>
        </is>
      </c>
      <c r="Y393" s="189" t="inlineStr">
        <is>
          <t>UNLIKELY</t>
        </is>
      </c>
      <c r="Z393" s="189" t="inlineStr">
        <is>
          <t>PATCH_AVAILABLE</t>
        </is>
      </c>
      <c r="AA393" s="189" t="inlineStr">
        <is>
          <t>https://nvd.nist.gov/vuln/detail/CVE-2025-40540</t>
        </is>
      </c>
      <c r="AB393" s="189" t="inlineStr">
        <is>
          <t>NONE</t>
        </is>
      </c>
      <c r="AC393" s="189" t="n">
        <v>0</v>
      </c>
      <c r="AD393" s="189" t="inlineStr"/>
    </row>
    <row r="394">
      <c r="A394" s="189" t="inlineStr">
        <is>
          <t>CVE</t>
        </is>
      </c>
      <c r="B394" s="189" t="inlineStr">
        <is>
          <t>CVE-2025-40541</t>
        </is>
      </c>
      <c r="C394" s="189"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394" s="189" t="n">
        <v>9.1</v>
      </c>
      <c r="E394" s="189" t="inlineStr">
        <is>
          <t>CRITICAL</t>
        </is>
      </c>
      <c r="F394" s="189" t="n">
        <v>2</v>
      </c>
      <c r="G394" s="189" t="n">
        <v>3</v>
      </c>
      <c r="H394" s="189" t="inlineStr">
        <is>
          <t>HIGH</t>
        </is>
      </c>
      <c r="I394" s="189" t="n">
        <v>15.1</v>
      </c>
      <c r="J394" s="189" t="inlineStr">
        <is>
          <t>NO</t>
        </is>
      </c>
      <c r="K394" s="189" t="inlineStr">
        <is>
          <t>https://nvd.nist.gov/vuln/detail/CVE-2025-40541</t>
        </is>
      </c>
      <c r="L394" s="189" t="inlineStr">
        <is>
          <t>2026-02-27 20:47</t>
        </is>
      </c>
      <c r="M394" s="189" t="inlineStr">
        <is>
          <t>YES</t>
        </is>
      </c>
      <c r="N394" s="189" t="inlineStr">
        <is>
          <t>https://documentation.solarwinds.com/en/success_center/servu/content/release_notes/servu_15-5-4_release_notes.htm | https://www.solarwinds.com/trust-center/security-advisories/CVE-2025-40541</t>
        </is>
      </c>
      <c r="O394" s="189" t="inlineStr">
        <is>
          <t>Apply vendor patches</t>
        </is>
      </c>
      <c r="P394" s="189" t="inlineStr">
        <is>
          <t>solarwinds serv-u *</t>
        </is>
      </c>
      <c r="Q394" s="189" t="inlineStr">
        <is>
          <t>P3</t>
        </is>
      </c>
      <c r="R394" s="189" t="inlineStr">
        <is>
          <t>🚨 URGENT: Apply vendor patches immediately | 🔒 Isolate affected systems if patch unavailable | 🛡️ Enable additional monitoring/IDS rules</t>
        </is>
      </c>
      <c r="S394" s="189" t="inlineStr">
        <is>
          <t>CVE - IP enrichment n/a</t>
        </is>
      </c>
      <c r="T394" s="189" t="n">
        <v>0.0002</v>
      </c>
      <c r="U394" s="189" t="n">
        <v>0.0423</v>
      </c>
      <c r="V394" s="189" t="inlineStr">
        <is>
          <t>T1190:Exploit Public-Facing Application</t>
        </is>
      </c>
      <c r="W394" s="189" t="n">
        <v>1</v>
      </c>
      <c r="X394" s="189" t="inlineStr">
        <is>
          <t>LOW (40%)</t>
        </is>
      </c>
      <c r="Y394" s="189" t="inlineStr">
        <is>
          <t>UNLIKELY</t>
        </is>
      </c>
      <c r="Z394" s="189" t="inlineStr">
        <is>
          <t>PATCH_AVAILABLE</t>
        </is>
      </c>
      <c r="AA394" s="189" t="inlineStr">
        <is>
          <t>https://nvd.nist.gov/vuln/detail/CVE-2025-40541</t>
        </is>
      </c>
      <c r="AB394" s="189" t="inlineStr">
        <is>
          <t>NONE</t>
        </is>
      </c>
      <c r="AC394" s="189" t="n">
        <v>0</v>
      </c>
      <c r="AD394" s="189" t="inlineStr"/>
    </row>
    <row r="395">
      <c r="A395" s="188" t="inlineStr">
        <is>
          <t>CVE</t>
        </is>
      </c>
      <c r="B395" s="188" t="inlineStr">
        <is>
          <t>CVE-2026-1229</t>
        </is>
      </c>
      <c r="C395" s="188"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395" s="188" t="n">
        <v>5</v>
      </c>
      <c r="E395" s="188" t="inlineStr">
        <is>
          <t>MEDIUM</t>
        </is>
      </c>
      <c r="F395" s="188" t="n">
        <v>2</v>
      </c>
      <c r="G395" s="188" t="n">
        <v>2</v>
      </c>
      <c r="H395" s="188" t="inlineStr">
        <is>
          <t>MEDIUM</t>
        </is>
      </c>
      <c r="I395" s="188" t="n">
        <v>9</v>
      </c>
      <c r="J395" s="188" t="inlineStr">
        <is>
          <t>NO</t>
        </is>
      </c>
      <c r="K395" s="188" t="inlineStr">
        <is>
          <t>https://nvd.nist.gov/vuln/detail/CVE-2026-1229</t>
        </is>
      </c>
      <c r="L395" s="188" t="inlineStr">
        <is>
          <t>2026-02-27 20:47</t>
        </is>
      </c>
      <c r="M395" s="188" t="inlineStr">
        <is>
          <t>CHECK_VENDOR</t>
        </is>
      </c>
      <c r="N395" s="188" t="inlineStr">
        <is>
          <t>See NVD references</t>
        </is>
      </c>
      <c r="O395" s="188" t="inlineStr">
        <is>
          <t>Apply vendor patches</t>
        </is>
      </c>
      <c r="P395" s="188" t="inlineStr">
        <is>
          <t>See CVE details</t>
        </is>
      </c>
      <c r="Q395" s="188" t="inlineStr">
        <is>
          <t>P4</t>
        </is>
      </c>
      <c r="R395" s="188" t="inlineStr">
        <is>
          <t>📅 Schedule patch deployment within 30 days | 🔍 Monitor for exploitation attempts</t>
        </is>
      </c>
      <c r="S395" s="188" t="inlineStr">
        <is>
          <t>CVE - IP enrichment n/a</t>
        </is>
      </c>
      <c r="T395" s="188" t="n">
        <v>0.0001</v>
      </c>
      <c r="U395" s="188" t="n">
        <v>0.02</v>
      </c>
      <c r="V395" s="188" t="inlineStr">
        <is>
          <t>T1190:Exploit Public-Facing Application</t>
        </is>
      </c>
      <c r="W395" s="188" t="n">
        <v>1</v>
      </c>
      <c r="X395" s="188" t="inlineStr">
        <is>
          <t>LOW (40%)</t>
        </is>
      </c>
      <c r="Y395" s="188" t="inlineStr">
        <is>
          <t>UNLIKELY</t>
        </is>
      </c>
      <c r="Z395" s="188" t="inlineStr">
        <is>
          <t>CHECK_VENDOR</t>
        </is>
      </c>
      <c r="AA395" s="188" t="inlineStr">
        <is>
          <t>https://nvd.nist.gov/vuln/detail/CVE-2026-1229</t>
        </is>
      </c>
      <c r="AB395" s="188" t="inlineStr">
        <is>
          <t>NONE</t>
        </is>
      </c>
      <c r="AC395" s="188" t="n">
        <v>0</v>
      </c>
      <c r="AD395" s="188" t="inlineStr"/>
    </row>
    <row r="396">
      <c r="A396" s="187" t="inlineStr">
        <is>
          <t>CVE</t>
        </is>
      </c>
      <c r="B396" s="187" t="inlineStr">
        <is>
          <t>CVE-2024-1524</t>
        </is>
      </c>
      <c r="C396" s="187"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396" s="187" t="n">
        <v>7.7</v>
      </c>
      <c r="E396" s="187" t="inlineStr">
        <is>
          <t>HIGH</t>
        </is>
      </c>
      <c r="F396" s="187" t="n">
        <v>2</v>
      </c>
      <c r="G396" s="187" t="n">
        <v>3</v>
      </c>
      <c r="H396" s="187" t="inlineStr">
        <is>
          <t>HIGH</t>
        </is>
      </c>
      <c r="I396" s="187" t="n">
        <v>13.7</v>
      </c>
      <c r="J396" s="187" t="inlineStr">
        <is>
          <t>NO</t>
        </is>
      </c>
      <c r="K396" s="187" t="inlineStr">
        <is>
          <t>https://nvd.nist.gov/vuln/detail/CVE-2024-1524</t>
        </is>
      </c>
      <c r="L396" s="187" t="inlineStr">
        <is>
          <t>2026-02-27 20:47</t>
        </is>
      </c>
      <c r="M396" s="187" t="inlineStr">
        <is>
          <t>CHECK_VENDOR</t>
        </is>
      </c>
      <c r="N396" s="187" t="inlineStr">
        <is>
          <t>See NVD references</t>
        </is>
      </c>
      <c r="O396" s="187" t="inlineStr">
        <is>
          <t>Apply vendor patches</t>
        </is>
      </c>
      <c r="P396" s="187" t="inlineStr">
        <is>
          <t>See CVE details</t>
        </is>
      </c>
      <c r="Q396" s="187" t="inlineStr">
        <is>
          <t>P3</t>
        </is>
      </c>
      <c r="R396" s="187" t="inlineStr">
        <is>
          <t>🚨 URGENT: Apply vendor patches immediately | 🔒 Isolate affected systems if patch unavailable | 🛡️ Enable additional monitoring/IDS rules</t>
        </is>
      </c>
      <c r="S396" s="187" t="inlineStr">
        <is>
          <t>CVE - IP enrichment n/a</t>
        </is>
      </c>
      <c r="T396" s="187" t="n">
        <v>0.0005</v>
      </c>
      <c r="U396" s="187" t="n">
        <v>0.1516</v>
      </c>
      <c r="V396" s="187" t="inlineStr">
        <is>
          <t>T1190:Exploit Public-Facing Application</t>
        </is>
      </c>
      <c r="W396" s="187" t="n">
        <v>1</v>
      </c>
      <c r="X396" s="187" t="inlineStr">
        <is>
          <t>LOW (40%)</t>
        </is>
      </c>
      <c r="Y396" s="187" t="inlineStr">
        <is>
          <t>UNLIKELY</t>
        </is>
      </c>
      <c r="Z396" s="187" t="inlineStr">
        <is>
          <t>CHECK_VENDOR</t>
        </is>
      </c>
      <c r="AA396" s="187" t="inlineStr">
        <is>
          <t>https://nvd.nist.gov/vuln/detail/CVE-2024-1524</t>
        </is>
      </c>
      <c r="AB396" s="187" t="inlineStr">
        <is>
          <t>NONE</t>
        </is>
      </c>
      <c r="AC396" s="187" t="n">
        <v>0</v>
      </c>
      <c r="AD396" s="187" t="inlineStr"/>
    </row>
    <row r="397">
      <c r="A397" s="187" t="inlineStr">
        <is>
          <t>CVE</t>
        </is>
      </c>
      <c r="B397" s="187" t="inlineStr">
        <is>
          <t>CVE-2025-11165</t>
        </is>
      </c>
      <c r="C397" s="187"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397" s="187" t="n">
        <v>8.5</v>
      </c>
      <c r="E397" s="187" t="inlineStr">
        <is>
          <t>HIGH</t>
        </is>
      </c>
      <c r="F397" s="187" t="n">
        <v>2</v>
      </c>
      <c r="G397" s="187" t="n">
        <v>3</v>
      </c>
      <c r="H397" s="187" t="inlineStr">
        <is>
          <t>HIGH</t>
        </is>
      </c>
      <c r="I397" s="187" t="n">
        <v>14.5</v>
      </c>
      <c r="J397" s="187" t="inlineStr">
        <is>
          <t>NO</t>
        </is>
      </c>
      <c r="K397" s="187" t="inlineStr">
        <is>
          <t>https://nvd.nist.gov/vuln/detail/CVE-2025-11165</t>
        </is>
      </c>
      <c r="L397" s="187" t="inlineStr">
        <is>
          <t>2026-02-27 20:47</t>
        </is>
      </c>
      <c r="M397" s="187" t="inlineStr">
        <is>
          <t>CHECK_VENDOR</t>
        </is>
      </c>
      <c r="N397" s="187" t="inlineStr">
        <is>
          <t>See NVD references</t>
        </is>
      </c>
      <c r="O397" s="187" t="inlineStr">
        <is>
          <t>Apply vendor patches</t>
        </is>
      </c>
      <c r="P397" s="187" t="inlineStr">
        <is>
          <t>See CVE details</t>
        </is>
      </c>
      <c r="Q397" s="187" t="inlineStr">
        <is>
          <t>P3</t>
        </is>
      </c>
      <c r="R397" s="187" t="inlineStr">
        <is>
          <t>🚨 URGENT: Apply vendor patches immediately | 🔒 Isolate affected systems if patch unavailable | 🛡️ Enable additional monitoring/IDS rules</t>
        </is>
      </c>
      <c r="S397" s="187" t="inlineStr">
        <is>
          <t>CVE - IP enrichment n/a</t>
        </is>
      </c>
      <c r="T397" s="187" t="n">
        <v>0.0005</v>
      </c>
      <c r="U397" s="187" t="n">
        <v>0.143</v>
      </c>
      <c r="V397" s="187" t="inlineStr">
        <is>
          <t>T1190:Exploit Public-Facing Application</t>
        </is>
      </c>
      <c r="W397" s="187" t="n">
        <v>1</v>
      </c>
      <c r="X397" s="187" t="inlineStr">
        <is>
          <t>LOW (40%)</t>
        </is>
      </c>
      <c r="Y397" s="187" t="inlineStr">
        <is>
          <t>UNLIKELY</t>
        </is>
      </c>
      <c r="Z397" s="187" t="inlineStr">
        <is>
          <t>CHECK_VENDOR</t>
        </is>
      </c>
      <c r="AA397" s="187" t="inlineStr">
        <is>
          <t>https://nvd.nist.gov/vuln/detail/CVE-2025-11165</t>
        </is>
      </c>
      <c r="AB397" s="187" t="inlineStr">
        <is>
          <t>NONE</t>
        </is>
      </c>
      <c r="AC397" s="187" t="n">
        <v>0</v>
      </c>
      <c r="AD397" s="187" t="inlineStr"/>
    </row>
    <row r="398">
      <c r="A398" s="187" t="inlineStr">
        <is>
          <t>CVE</t>
        </is>
      </c>
      <c r="B398" s="187" t="inlineStr">
        <is>
          <t>CVE-2024-56373</t>
        </is>
      </c>
      <c r="C398" s="187"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398" s="187" t="n">
        <v>8.4</v>
      </c>
      <c r="E398" s="187" t="inlineStr">
        <is>
          <t>HIGH</t>
        </is>
      </c>
      <c r="F398" s="187" t="n">
        <v>2</v>
      </c>
      <c r="G398" s="187" t="n">
        <v>3</v>
      </c>
      <c r="H398" s="187" t="inlineStr">
        <is>
          <t>HIGH</t>
        </is>
      </c>
      <c r="I398" s="187" t="n">
        <v>14.4</v>
      </c>
      <c r="J398" s="187" t="inlineStr">
        <is>
          <t>NO</t>
        </is>
      </c>
      <c r="K398" s="187" t="inlineStr">
        <is>
          <t>https://nvd.nist.gov/vuln/detail/CVE-2024-56373</t>
        </is>
      </c>
      <c r="L398" s="187" t="inlineStr">
        <is>
          <t>2026-02-27 20:47</t>
        </is>
      </c>
      <c r="M398" s="187" t="inlineStr">
        <is>
          <t>YES</t>
        </is>
      </c>
      <c r="N398" s="187" t="inlineStr">
        <is>
          <t>https://lists.apache.org/thread/2vrmrhcht6g7cp5yjxpnrk2wtrncm6cy</t>
        </is>
      </c>
      <c r="O398" s="187" t="inlineStr">
        <is>
          <t>Apply vendor patches</t>
        </is>
      </c>
      <c r="P398" s="187" t="inlineStr">
        <is>
          <t>apache airflow *</t>
        </is>
      </c>
      <c r="Q398" s="187" t="inlineStr">
        <is>
          <t>P1</t>
        </is>
      </c>
      <c r="R398" s="187" t="inlineStr">
        <is>
          <t>🚨 URGENT: Apply vendor patches immediately | 🔒 Isolate affected systems if patch unavailable | 🛡️ Enable additional monitoring/IDS rules</t>
        </is>
      </c>
      <c r="S398" s="187" t="inlineStr">
        <is>
          <t>CVE - IP enrichment n/a</t>
        </is>
      </c>
      <c r="T398" s="187" t="n">
        <v>0.001</v>
      </c>
      <c r="U398" s="187" t="n">
        <v>0.2857</v>
      </c>
      <c r="V398" s="187" t="inlineStr">
        <is>
          <t>T1059:Command and Scripting Interpreter | T1190:Exploit Public-Facing Application | T1210:Exploitation of Remote Services</t>
        </is>
      </c>
      <c r="W398" s="187" t="n">
        <v>2</v>
      </c>
      <c r="X398" s="187" t="inlineStr">
        <is>
          <t>HIGH (72%)</t>
        </is>
      </c>
      <c r="Y398" s="187" t="inlineStr">
        <is>
          <t>HIGH</t>
        </is>
      </c>
      <c r="Z398" s="187" t="inlineStr">
        <is>
          <t>PATCH_AVAILABLE</t>
        </is>
      </c>
      <c r="AA398" s="187" t="inlineStr">
        <is>
          <t>https://nvd.nist.gov/vuln/detail/CVE-2024-56373</t>
        </is>
      </c>
      <c r="AB398" s="187" t="inlineStr">
        <is>
          <t>http://www.zerodayinitiative.com/advisories/ZDI-26-123/</t>
        </is>
      </c>
      <c r="AC398" s="187" t="n">
        <v>0</v>
      </c>
      <c r="AD398" s="187" t="inlineStr"/>
    </row>
    <row r="399">
      <c r="A399" s="188" t="inlineStr">
        <is>
          <t>CVE</t>
        </is>
      </c>
      <c r="B399" s="188" t="inlineStr">
        <is>
          <t>CVE-2025-27555</t>
        </is>
      </c>
      <c r="C399" s="188"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399" s="188" t="n">
        <v>6.5</v>
      </c>
      <c r="E399" s="188" t="inlineStr">
        <is>
          <t>MEDIUM</t>
        </is>
      </c>
      <c r="F399" s="188" t="n">
        <v>2</v>
      </c>
      <c r="G399" s="188" t="n">
        <v>2</v>
      </c>
      <c r="H399" s="188" t="inlineStr">
        <is>
          <t>MEDIUM</t>
        </is>
      </c>
      <c r="I399" s="188" t="n">
        <v>10.5</v>
      </c>
      <c r="J399" s="188" t="inlineStr">
        <is>
          <t>NO</t>
        </is>
      </c>
      <c r="K399" s="188" t="inlineStr">
        <is>
          <t>https://nvd.nist.gov/vuln/detail/CVE-2025-27555</t>
        </is>
      </c>
      <c r="L399" s="188" t="inlineStr">
        <is>
          <t>2026-02-27 20:47</t>
        </is>
      </c>
      <c r="M399" s="188" t="inlineStr">
        <is>
          <t>YES</t>
        </is>
      </c>
      <c r="N399" s="188" t="inlineStr">
        <is>
          <t>https://lists.apache.org/thread/nxovkp319jo8vg498gql1yswtb2frbkw</t>
        </is>
      </c>
      <c r="O399" s="188" t="inlineStr">
        <is>
          <t>Apply vendor patches</t>
        </is>
      </c>
      <c r="P399" s="188" t="inlineStr">
        <is>
          <t>apache airflow *</t>
        </is>
      </c>
      <c r="Q399" s="188" t="inlineStr">
        <is>
          <t>P1</t>
        </is>
      </c>
      <c r="R399" s="188" t="inlineStr">
        <is>
          <t>📅 Schedule patch deployment within 30 days | 🔍 Monitor for exploitation attempts</t>
        </is>
      </c>
      <c r="S399" s="188" t="inlineStr">
        <is>
          <t>CVE - IP enrichment n/a</t>
        </is>
      </c>
      <c r="T399" s="188" t="n">
        <v>0.0003</v>
      </c>
      <c r="U399" s="188" t="n">
        <v>0.0964</v>
      </c>
      <c r="V399" s="188" t="inlineStr">
        <is>
          <t>T1190:Exploit Public-Facing Application</t>
        </is>
      </c>
      <c r="W399" s="188" t="n">
        <v>2</v>
      </c>
      <c r="X399" s="188" t="inlineStr">
        <is>
          <t>HIGH (72%)</t>
        </is>
      </c>
      <c r="Y399" s="188" t="inlineStr">
        <is>
          <t>HIGH</t>
        </is>
      </c>
      <c r="Z399" s="188" t="inlineStr">
        <is>
          <t>PATCH_AVAILABLE</t>
        </is>
      </c>
      <c r="AA399" s="188" t="inlineStr">
        <is>
          <t>https://nvd.nist.gov/vuln/detail/CVE-2025-27555</t>
        </is>
      </c>
      <c r="AB399" s="188" t="inlineStr">
        <is>
          <t>http://www.zerodayinitiative.com/advisories/ZDI-26-123/</t>
        </is>
      </c>
      <c r="AC399" s="188" t="n">
        <v>0</v>
      </c>
      <c r="AD399" s="188" t="inlineStr"/>
    </row>
    <row r="400">
      <c r="A400" s="187" t="inlineStr">
        <is>
          <t>CVE</t>
        </is>
      </c>
      <c r="B400" s="187" t="inlineStr">
        <is>
          <t>CVE-2026-2664</t>
        </is>
      </c>
      <c r="C400" s="187"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400" s="187" t="n">
        <v>7.8</v>
      </c>
      <c r="E400" s="187" t="inlineStr">
        <is>
          <t>HIGH</t>
        </is>
      </c>
      <c r="F400" s="187" t="n">
        <v>2</v>
      </c>
      <c r="G400" s="187" t="n">
        <v>3</v>
      </c>
      <c r="H400" s="187" t="inlineStr">
        <is>
          <t>HIGH</t>
        </is>
      </c>
      <c r="I400" s="187" t="n">
        <v>13.8</v>
      </c>
      <c r="J400" s="187" t="inlineStr">
        <is>
          <t>NO</t>
        </is>
      </c>
      <c r="K400" s="187" t="inlineStr">
        <is>
          <t>https://nvd.nist.gov/vuln/detail/CVE-2026-2664</t>
        </is>
      </c>
      <c r="L400" s="187" t="inlineStr">
        <is>
          <t>2026-02-27 20:47</t>
        </is>
      </c>
      <c r="M400" s="187" t="inlineStr">
        <is>
          <t>CHECK_VENDOR</t>
        </is>
      </c>
      <c r="N400" s="187" t="inlineStr">
        <is>
          <t>See NVD references</t>
        </is>
      </c>
      <c r="O400" s="187" t="inlineStr">
        <is>
          <t>Apply vendor patches</t>
        </is>
      </c>
      <c r="P400" s="187" t="inlineStr">
        <is>
          <t>docker desktop *</t>
        </is>
      </c>
      <c r="Q400" s="187" t="inlineStr">
        <is>
          <t>P1</t>
        </is>
      </c>
      <c r="R400" s="187" t="inlineStr">
        <is>
          <t>🚨 URGENT: Apply vendor patches immediately | 🔒 Isolate affected systems if patch unavailable | 🛡️ Enable additional monitoring/IDS rules</t>
        </is>
      </c>
      <c r="S400" s="187" t="inlineStr">
        <is>
          <t>CVE - IP enrichment n/a</t>
        </is>
      </c>
      <c r="T400" s="187" t="n">
        <v>0.0001</v>
      </c>
      <c r="U400" s="187" t="n">
        <v>0.0251</v>
      </c>
      <c r="V400" s="187" t="inlineStr">
        <is>
          <t>T1203:Exploitation for Client Execution</t>
        </is>
      </c>
      <c r="W400" s="187" t="n">
        <v>2</v>
      </c>
      <c r="X400" s="187" t="inlineStr">
        <is>
          <t>HIGH (72%)</t>
        </is>
      </c>
      <c r="Y400" s="187" t="inlineStr">
        <is>
          <t>HIGH</t>
        </is>
      </c>
      <c r="Z400" s="187" t="inlineStr">
        <is>
          <t>CHECK_VENDOR</t>
        </is>
      </c>
      <c r="AA400" s="187" t="inlineStr">
        <is>
          <t>https://nvd.nist.gov/vuln/detail/CVE-2026-2664</t>
        </is>
      </c>
      <c r="AB400" s="187" t="inlineStr">
        <is>
          <t>http://www.zerodayinitiative.com/advisories/ZDI-26-125/</t>
        </is>
      </c>
      <c r="AC400" s="187" t="n">
        <v>0</v>
      </c>
      <c r="AD400" s="187" t="inlineStr"/>
    </row>
    <row r="401">
      <c r="A401" s="187" t="inlineStr">
        <is>
          <t>CVE</t>
        </is>
      </c>
      <c r="B401" s="187" t="inlineStr">
        <is>
          <t>CVE-2025-14577</t>
        </is>
      </c>
      <c r="C401" s="187"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401" s="187" t="n">
        <v>8.5</v>
      </c>
      <c r="E401" s="187" t="inlineStr">
        <is>
          <t>HIGH</t>
        </is>
      </c>
      <c r="F401" s="187" t="n">
        <v>2</v>
      </c>
      <c r="G401" s="187" t="n">
        <v>3</v>
      </c>
      <c r="H401" s="187" t="inlineStr">
        <is>
          <t>HIGH</t>
        </is>
      </c>
      <c r="I401" s="187" t="n">
        <v>14.5</v>
      </c>
      <c r="J401" s="187" t="inlineStr">
        <is>
          <t>NO</t>
        </is>
      </c>
      <c r="K401" s="187" t="inlineStr">
        <is>
          <t>https://nvd.nist.gov/vuln/detail/CVE-2025-14577</t>
        </is>
      </c>
      <c r="L401" s="187" t="inlineStr">
        <is>
          <t>2026-02-27 20:47</t>
        </is>
      </c>
      <c r="M401" s="187" t="inlineStr">
        <is>
          <t>CHECK_VENDOR</t>
        </is>
      </c>
      <c r="N401" s="187" t="inlineStr">
        <is>
          <t>See NVD references</t>
        </is>
      </c>
      <c r="O401" s="187" t="inlineStr">
        <is>
          <t>Apply vendor patches</t>
        </is>
      </c>
      <c r="P401" s="187" t="inlineStr">
        <is>
          <t>See CVE details</t>
        </is>
      </c>
      <c r="Q401" s="187" t="inlineStr">
        <is>
          <t>P3</t>
        </is>
      </c>
      <c r="R401" s="187" t="inlineStr">
        <is>
          <t>🚨 URGENT: Apply vendor patches immediately | 🔒 Isolate affected systems if patch unavailable | 🛡️ Enable additional monitoring/IDS rules</t>
        </is>
      </c>
      <c r="S401" s="187" t="inlineStr">
        <is>
          <t>CVE - IP enrichment n/a</t>
        </is>
      </c>
      <c r="T401" s="187" t="n">
        <v>0.0013</v>
      </c>
      <c r="U401" s="187" t="n">
        <v>0.33</v>
      </c>
      <c r="V401" s="187" t="inlineStr">
        <is>
          <t>T1078:Valid Accounts</t>
        </is>
      </c>
      <c r="W401" s="187" t="n">
        <v>1</v>
      </c>
      <c r="X401" s="187" t="inlineStr">
        <is>
          <t>LOW (40%)</t>
        </is>
      </c>
      <c r="Y401" s="187" t="inlineStr">
        <is>
          <t>UNLIKELY</t>
        </is>
      </c>
      <c r="Z401" s="187" t="inlineStr">
        <is>
          <t>CHECK_VENDOR</t>
        </is>
      </c>
      <c r="AA401" s="187" t="inlineStr">
        <is>
          <t>https://nvd.nist.gov/vuln/detail/CVE-2025-14577</t>
        </is>
      </c>
      <c r="AB401" s="187" t="inlineStr">
        <is>
          <t>NONE</t>
        </is>
      </c>
      <c r="AC401" s="187" t="n">
        <v>0</v>
      </c>
      <c r="AD401" s="187" t="inlineStr"/>
    </row>
    <row r="402">
      <c r="A402" s="188" t="inlineStr">
        <is>
          <t>CVE</t>
        </is>
      </c>
      <c r="B402" s="188" t="inlineStr">
        <is>
          <t>CVE-2026-1772</t>
        </is>
      </c>
      <c r="C402" s="188" t="inlineStr">
        <is>
          <t>RTU500 web interface: An unprivileged user can read user management information. The information cannot be accessed via the RTU500 web user interface but requires further tools like browser development utilities to access them without required privileges.</t>
        </is>
      </c>
      <c r="D402" s="188" t="n">
        <v>5</v>
      </c>
      <c r="E402" s="188" t="inlineStr">
        <is>
          <t>MEDIUM</t>
        </is>
      </c>
      <c r="F402" s="188" t="n">
        <v>2</v>
      </c>
      <c r="G402" s="188" t="n">
        <v>2</v>
      </c>
      <c r="H402" s="188" t="inlineStr">
        <is>
          <t>MEDIUM</t>
        </is>
      </c>
      <c r="I402" s="188" t="n">
        <v>9</v>
      </c>
      <c r="J402" s="188" t="inlineStr">
        <is>
          <t>NO</t>
        </is>
      </c>
      <c r="K402" s="188" t="inlineStr">
        <is>
          <t>https://nvd.nist.gov/vuln/detail/CVE-2026-1772</t>
        </is>
      </c>
      <c r="L402" s="188" t="inlineStr">
        <is>
          <t>2026-02-27 20:47</t>
        </is>
      </c>
      <c r="M402" s="188" t="inlineStr">
        <is>
          <t>CHECK_VENDOR</t>
        </is>
      </c>
      <c r="N402" s="188" t="inlineStr">
        <is>
          <t>See NVD references</t>
        </is>
      </c>
      <c r="O402" s="188" t="inlineStr">
        <is>
          <t>Apply vendor patches</t>
        </is>
      </c>
      <c r="P402" s="188" t="inlineStr">
        <is>
          <t>See CVE details</t>
        </is>
      </c>
      <c r="Q402" s="188" t="inlineStr">
        <is>
          <t>P4</t>
        </is>
      </c>
      <c r="R402" s="188" t="inlineStr">
        <is>
          <t>📅 Schedule patch deployment within 30 days | 🔍 Monitor for exploitation attempts</t>
        </is>
      </c>
      <c r="S402" s="188" t="inlineStr">
        <is>
          <t>CVE - IP enrichment n/a</t>
        </is>
      </c>
      <c r="T402" s="188" t="n">
        <v>0.0004</v>
      </c>
      <c r="U402" s="188" t="n">
        <v>0.1139</v>
      </c>
      <c r="V402" s="188" t="inlineStr">
        <is>
          <t>T1190:Exploit Public-Facing Application</t>
        </is>
      </c>
      <c r="W402" s="188" t="n">
        <v>1</v>
      </c>
      <c r="X402" s="188" t="inlineStr">
        <is>
          <t>LOW (40%)</t>
        </is>
      </c>
      <c r="Y402" s="188" t="inlineStr">
        <is>
          <t>UNLIKELY</t>
        </is>
      </c>
      <c r="Z402" s="188" t="inlineStr">
        <is>
          <t>CHECK_VENDOR</t>
        </is>
      </c>
      <c r="AA402" s="188" t="inlineStr">
        <is>
          <t>https://nvd.nist.gov/vuln/detail/CVE-2026-1772</t>
        </is>
      </c>
      <c r="AB402" s="188" t="inlineStr">
        <is>
          <t>NONE</t>
        </is>
      </c>
      <c r="AC402" s="188" t="n">
        <v>0</v>
      </c>
      <c r="AD402" s="188" t="inlineStr"/>
    </row>
    <row r="403">
      <c r="A403" s="188" t="inlineStr">
        <is>
          <t>CVE</t>
        </is>
      </c>
      <c r="B403" s="188" t="inlineStr">
        <is>
          <t>CVE-2026-1773</t>
        </is>
      </c>
      <c r="C403" s="188"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403" s="188" t="n">
        <v>5</v>
      </c>
      <c r="E403" s="188" t="inlineStr">
        <is>
          <t>MEDIUM</t>
        </is>
      </c>
      <c r="F403" s="188" t="n">
        <v>2</v>
      </c>
      <c r="G403" s="188" t="n">
        <v>2</v>
      </c>
      <c r="H403" s="188" t="inlineStr">
        <is>
          <t>MEDIUM</t>
        </is>
      </c>
      <c r="I403" s="188" t="n">
        <v>9</v>
      </c>
      <c r="J403" s="188" t="inlineStr">
        <is>
          <t>NO</t>
        </is>
      </c>
      <c r="K403" s="188" t="inlineStr">
        <is>
          <t>https://nvd.nist.gov/vuln/detail/CVE-2026-1773</t>
        </is>
      </c>
      <c r="L403" s="188" t="inlineStr">
        <is>
          <t>2026-02-27 20:47</t>
        </is>
      </c>
      <c r="M403" s="188" t="inlineStr">
        <is>
          <t>CHECK_VENDOR</t>
        </is>
      </c>
      <c r="N403" s="188" t="inlineStr">
        <is>
          <t>See NVD references</t>
        </is>
      </c>
      <c r="O403" s="188" t="inlineStr">
        <is>
          <t>Apply vendor patches</t>
        </is>
      </c>
      <c r="P403" s="188" t="inlineStr">
        <is>
          <t>See CVE details</t>
        </is>
      </c>
      <c r="Q403" s="188" t="inlineStr">
        <is>
          <t>P4</t>
        </is>
      </c>
      <c r="R403" s="188" t="inlineStr">
        <is>
          <t>📅 Schedule patch deployment within 30 days | 🔍 Monitor for exploitation attempts</t>
        </is>
      </c>
      <c r="S403" s="188" t="inlineStr">
        <is>
          <t>CVE - IP enrichment n/a</t>
        </is>
      </c>
      <c r="T403" s="188" t="n">
        <v>0.0005999999999999999</v>
      </c>
      <c r="U403" s="188" t="n">
        <v>0.1722</v>
      </c>
      <c r="V403" s="188" t="inlineStr">
        <is>
          <t>T1499:Endpoint Denial of Service</t>
        </is>
      </c>
      <c r="W403" s="188" t="n">
        <v>1</v>
      </c>
      <c r="X403" s="188" t="inlineStr">
        <is>
          <t>LOW (40%)</t>
        </is>
      </c>
      <c r="Y403" s="188" t="inlineStr">
        <is>
          <t>UNLIKELY</t>
        </is>
      </c>
      <c r="Z403" s="188" t="inlineStr">
        <is>
          <t>CHECK_VENDOR</t>
        </is>
      </c>
      <c r="AA403" s="188" t="inlineStr">
        <is>
          <t>https://nvd.nist.gov/vuln/detail/CVE-2026-1773</t>
        </is>
      </c>
      <c r="AB403" s="188" t="inlineStr">
        <is>
          <t>NONE</t>
        </is>
      </c>
      <c r="AC403" s="188" t="n">
        <v>0</v>
      </c>
      <c r="AD403" s="188" t="inlineStr"/>
    </row>
    <row r="404">
      <c r="A404" s="188" t="inlineStr">
        <is>
          <t>CVE</t>
        </is>
      </c>
      <c r="B404" s="188" t="inlineStr">
        <is>
          <t>CVE-2026-23969</t>
        </is>
      </c>
      <c r="C404" s="188"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404" s="188" t="n">
        <v>6.5</v>
      </c>
      <c r="E404" s="188" t="inlineStr">
        <is>
          <t>MEDIUM</t>
        </is>
      </c>
      <c r="F404" s="188" t="n">
        <v>2</v>
      </c>
      <c r="G404" s="188" t="n">
        <v>2</v>
      </c>
      <c r="H404" s="188" t="inlineStr">
        <is>
          <t>MEDIUM</t>
        </is>
      </c>
      <c r="I404" s="188" t="n">
        <v>10.5</v>
      </c>
      <c r="J404" s="188" t="inlineStr">
        <is>
          <t>NO</t>
        </is>
      </c>
      <c r="K404" s="188" t="inlineStr">
        <is>
          <t>https://nvd.nist.gov/vuln/detail/CVE-2026-23969</t>
        </is>
      </c>
      <c r="L404" s="188" t="inlineStr">
        <is>
          <t>2026-02-27 20:47</t>
        </is>
      </c>
      <c r="M404" s="188" t="inlineStr">
        <is>
          <t>CHECK_VENDOR</t>
        </is>
      </c>
      <c r="N404" s="188" t="inlineStr">
        <is>
          <t>See NVD references</t>
        </is>
      </c>
      <c r="O404" s="188" t="inlineStr">
        <is>
          <t>Apply vendor patches</t>
        </is>
      </c>
      <c r="P404" s="188" t="inlineStr">
        <is>
          <t>apache superset *</t>
        </is>
      </c>
      <c r="Q404" s="188" t="inlineStr">
        <is>
          <t>P4</t>
        </is>
      </c>
      <c r="R404" s="188" t="inlineStr">
        <is>
          <t>📅 Schedule patch deployment within 30 days | 🔍 Monitor for exploitation attempts</t>
        </is>
      </c>
      <c r="S404" s="188" t="inlineStr">
        <is>
          <t>CVE - IP enrichment n/a</t>
        </is>
      </c>
      <c r="T404" s="188" t="n">
        <v>0.0005999999999999999</v>
      </c>
      <c r="U404" s="188" t="n">
        <v>0.1751</v>
      </c>
      <c r="V404" s="188" t="inlineStr">
        <is>
          <t>T1190:Exploit Public-Facing Application</t>
        </is>
      </c>
      <c r="W404" s="188" t="n">
        <v>1</v>
      </c>
      <c r="X404" s="188" t="inlineStr">
        <is>
          <t>LOW (40%)</t>
        </is>
      </c>
      <c r="Y404" s="188" t="inlineStr">
        <is>
          <t>UNLIKELY</t>
        </is>
      </c>
      <c r="Z404" s="188" t="inlineStr">
        <is>
          <t>CHECK_VENDOR</t>
        </is>
      </c>
      <c r="AA404" s="188" t="inlineStr">
        <is>
          <t>https://nvd.nist.gov/vuln/detail/CVE-2026-23969</t>
        </is>
      </c>
      <c r="AB404" s="188" t="inlineStr">
        <is>
          <t>NONE</t>
        </is>
      </c>
      <c r="AC404" s="188" t="n">
        <v>0</v>
      </c>
      <c r="AD404" s="188" t="inlineStr"/>
    </row>
    <row r="405">
      <c r="A405" s="188" t="inlineStr">
        <is>
          <t>CVE</t>
        </is>
      </c>
      <c r="B405" s="188" t="inlineStr">
        <is>
          <t>CVE-2026-23980</t>
        </is>
      </c>
      <c r="C405" s="188"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405" s="188" t="n">
        <v>6.5</v>
      </c>
      <c r="E405" s="188" t="inlineStr">
        <is>
          <t>MEDIUM</t>
        </is>
      </c>
      <c r="F405" s="188" t="n">
        <v>2</v>
      </c>
      <c r="G405" s="188" t="n">
        <v>2</v>
      </c>
      <c r="H405" s="188" t="inlineStr">
        <is>
          <t>MEDIUM</t>
        </is>
      </c>
      <c r="I405" s="188" t="n">
        <v>10.5</v>
      </c>
      <c r="J405" s="188" t="inlineStr">
        <is>
          <t>NO</t>
        </is>
      </c>
      <c r="K405" s="188" t="inlineStr">
        <is>
          <t>https://nvd.nist.gov/vuln/detail/CVE-2026-23980</t>
        </is>
      </c>
      <c r="L405" s="188" t="inlineStr">
        <is>
          <t>2026-02-27 20:47</t>
        </is>
      </c>
      <c r="M405" s="188" t="inlineStr">
        <is>
          <t>YES</t>
        </is>
      </c>
      <c r="N405" s="188" t="inlineStr">
        <is>
          <t>https://lists.apache.org/thread/h4l02zw1pr2vywv0dc5zjn3grdcdhwf4</t>
        </is>
      </c>
      <c r="O405" s="188" t="inlineStr">
        <is>
          <t>Apply vendor patches</t>
        </is>
      </c>
      <c r="P405" s="188" t="inlineStr">
        <is>
          <t>apache superset *</t>
        </is>
      </c>
      <c r="Q405" s="188" t="inlineStr">
        <is>
          <t>P4</t>
        </is>
      </c>
      <c r="R405" s="188" t="inlineStr">
        <is>
          <t>📅 Schedule patch deployment within 30 days | 🔍 Monitor for exploitation attempts</t>
        </is>
      </c>
      <c r="S405" s="188" t="inlineStr">
        <is>
          <t>CVE - IP enrichment n/a</t>
        </is>
      </c>
      <c r="T405" s="188" t="n">
        <v>0.0003</v>
      </c>
      <c r="U405" s="188" t="n">
        <v>0.0819</v>
      </c>
      <c r="V405" s="188" t="inlineStr">
        <is>
          <t>T1190:Exploit Public-Facing Application</t>
        </is>
      </c>
      <c r="W405" s="188" t="n">
        <v>1</v>
      </c>
      <c r="X405" s="188" t="inlineStr">
        <is>
          <t>LOW (40%)</t>
        </is>
      </c>
      <c r="Y405" s="188" t="inlineStr">
        <is>
          <t>UNLIKELY</t>
        </is>
      </c>
      <c r="Z405" s="188" t="inlineStr">
        <is>
          <t>PATCH_AVAILABLE</t>
        </is>
      </c>
      <c r="AA405" s="188" t="inlineStr">
        <is>
          <t>https://nvd.nist.gov/vuln/detail/CVE-2026-23980</t>
        </is>
      </c>
      <c r="AB405" s="188" t="inlineStr">
        <is>
          <t>NONE</t>
        </is>
      </c>
      <c r="AC405" s="188" t="n">
        <v>0</v>
      </c>
      <c r="AD405" s="188" t="inlineStr"/>
    </row>
    <row r="406">
      <c r="A406" s="188" t="inlineStr">
        <is>
          <t>CVE</t>
        </is>
      </c>
      <c r="B406" s="188" t="inlineStr">
        <is>
          <t>CVE-2026-23982</t>
        </is>
      </c>
      <c r="C406" s="188"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406" s="188" t="n">
        <v>6.5</v>
      </c>
      <c r="E406" s="188" t="inlineStr">
        <is>
          <t>MEDIUM</t>
        </is>
      </c>
      <c r="F406" s="188" t="n">
        <v>2</v>
      </c>
      <c r="G406" s="188" t="n">
        <v>2</v>
      </c>
      <c r="H406" s="188" t="inlineStr">
        <is>
          <t>MEDIUM</t>
        </is>
      </c>
      <c r="I406" s="188" t="n">
        <v>10.5</v>
      </c>
      <c r="J406" s="188" t="inlineStr">
        <is>
          <t>NO</t>
        </is>
      </c>
      <c r="K406" s="188" t="inlineStr">
        <is>
          <t>https://nvd.nist.gov/vuln/detail/CVE-2026-23982</t>
        </is>
      </c>
      <c r="L406" s="188" t="inlineStr">
        <is>
          <t>2026-02-27 20:47</t>
        </is>
      </c>
      <c r="M406" s="188" t="inlineStr">
        <is>
          <t>YES</t>
        </is>
      </c>
      <c r="N406" s="188" t="inlineStr">
        <is>
          <t>https://lists.apache.org/thread/9lvbzwkw4rxgdvbpfvnnnfcll92v75fp</t>
        </is>
      </c>
      <c r="O406" s="188" t="inlineStr">
        <is>
          <t>Apply vendor patches</t>
        </is>
      </c>
      <c r="P406" s="188" t="inlineStr">
        <is>
          <t>apache superset *</t>
        </is>
      </c>
      <c r="Q406" s="188" t="inlineStr">
        <is>
          <t>P4</t>
        </is>
      </c>
      <c r="R406" s="188" t="inlineStr">
        <is>
          <t>📅 Schedule patch deployment within 30 days | 🔍 Monitor for exploitation attempts</t>
        </is>
      </c>
      <c r="S406" s="188" t="inlineStr">
        <is>
          <t>CVE - IP enrichment n/a</t>
        </is>
      </c>
      <c r="T406" s="188" t="n">
        <v>0.0003</v>
      </c>
      <c r="U406" s="188" t="n">
        <v>0.0993</v>
      </c>
      <c r="V406" s="188" t="inlineStr">
        <is>
          <t>T1190:Exploit Public-Facing Application</t>
        </is>
      </c>
      <c r="W406" s="188" t="n">
        <v>1</v>
      </c>
      <c r="X406" s="188" t="inlineStr">
        <is>
          <t>LOW (40%)</t>
        </is>
      </c>
      <c r="Y406" s="188" t="inlineStr">
        <is>
          <t>UNLIKELY</t>
        </is>
      </c>
      <c r="Z406" s="188" t="inlineStr">
        <is>
          <t>PATCH_AVAILABLE</t>
        </is>
      </c>
      <c r="AA406" s="188" t="inlineStr">
        <is>
          <t>https://nvd.nist.gov/vuln/detail/CVE-2026-23982</t>
        </is>
      </c>
      <c r="AB406" s="188" t="inlineStr">
        <is>
          <t>NONE</t>
        </is>
      </c>
      <c r="AC406" s="188" t="n">
        <v>0</v>
      </c>
      <c r="AD406" s="188" t="inlineStr"/>
    </row>
    <row r="407">
      <c r="A407" s="188" t="inlineStr">
        <is>
          <t>CVE</t>
        </is>
      </c>
      <c r="B407" s="188" t="inlineStr">
        <is>
          <t>CVE-2026-23983</t>
        </is>
      </c>
      <c r="C407" s="188"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407" s="188" t="n">
        <v>6.5</v>
      </c>
      <c r="E407" s="188" t="inlineStr">
        <is>
          <t>MEDIUM</t>
        </is>
      </c>
      <c r="F407" s="188" t="n">
        <v>2</v>
      </c>
      <c r="G407" s="188" t="n">
        <v>2</v>
      </c>
      <c r="H407" s="188" t="inlineStr">
        <is>
          <t>MEDIUM</t>
        </is>
      </c>
      <c r="I407" s="188" t="n">
        <v>10.5</v>
      </c>
      <c r="J407" s="188" t="inlineStr">
        <is>
          <t>NO</t>
        </is>
      </c>
      <c r="K407" s="188" t="inlineStr">
        <is>
          <t>https://nvd.nist.gov/vuln/detail/CVE-2026-23983</t>
        </is>
      </c>
      <c r="L407" s="188" t="inlineStr">
        <is>
          <t>2026-02-27 20:47</t>
        </is>
      </c>
      <c r="M407" s="188" t="inlineStr">
        <is>
          <t>YES</t>
        </is>
      </c>
      <c r="N407" s="188" t="inlineStr">
        <is>
          <t>https://lists.apache.org/thread/62mgbc5hc8026skp69kb6vqozj3pr5ww</t>
        </is>
      </c>
      <c r="O407" s="188" t="inlineStr">
        <is>
          <t>Apply vendor patches</t>
        </is>
      </c>
      <c r="P407" s="188" t="inlineStr">
        <is>
          <t>apache superset *</t>
        </is>
      </c>
      <c r="Q407" s="188" t="inlineStr">
        <is>
          <t>P4</t>
        </is>
      </c>
      <c r="R407" s="188" t="inlineStr">
        <is>
          <t>📅 Schedule patch deployment within 30 days | 🔍 Monitor for exploitation attempts</t>
        </is>
      </c>
      <c r="S407" s="188" t="inlineStr">
        <is>
          <t>CVE - IP enrichment n/a</t>
        </is>
      </c>
      <c r="T407" s="188" t="n">
        <v>0.0005</v>
      </c>
      <c r="U407" s="188" t="n">
        <v>0.1388</v>
      </c>
      <c r="V407" s="188" t="inlineStr">
        <is>
          <t>T1213:Data from Information Repositories</t>
        </is>
      </c>
      <c r="W407" s="188" t="n">
        <v>1</v>
      </c>
      <c r="X407" s="188" t="inlineStr">
        <is>
          <t>LOW (40%)</t>
        </is>
      </c>
      <c r="Y407" s="188" t="inlineStr">
        <is>
          <t>UNLIKELY</t>
        </is>
      </c>
      <c r="Z407" s="188" t="inlineStr">
        <is>
          <t>PATCH_AVAILABLE</t>
        </is>
      </c>
      <c r="AA407" s="188" t="inlineStr">
        <is>
          <t>https://nvd.nist.gov/vuln/detail/CVE-2026-23983</t>
        </is>
      </c>
      <c r="AB407" s="188" t="inlineStr">
        <is>
          <t>NONE</t>
        </is>
      </c>
      <c r="AC407" s="188" t="n">
        <v>0</v>
      </c>
      <c r="AD407" s="188" t="inlineStr"/>
    </row>
    <row r="408">
      <c r="A408" s="188" t="inlineStr">
        <is>
          <t>CVE</t>
        </is>
      </c>
      <c r="B408" s="188" t="inlineStr">
        <is>
          <t>CVE-2026-23984</t>
        </is>
      </c>
      <c r="C408" s="188"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408" s="188" t="n">
        <v>6.5</v>
      </c>
      <c r="E408" s="188" t="inlineStr">
        <is>
          <t>MEDIUM</t>
        </is>
      </c>
      <c r="F408" s="188" t="n">
        <v>2</v>
      </c>
      <c r="G408" s="188" t="n">
        <v>2</v>
      </c>
      <c r="H408" s="188" t="inlineStr">
        <is>
          <t>MEDIUM</t>
        </is>
      </c>
      <c r="I408" s="188" t="n">
        <v>10.5</v>
      </c>
      <c r="J408" s="188" t="inlineStr">
        <is>
          <t>NO</t>
        </is>
      </c>
      <c r="K408" s="188" t="inlineStr">
        <is>
          <t>https://nvd.nist.gov/vuln/detail/CVE-2026-23984</t>
        </is>
      </c>
      <c r="L408" s="188" t="inlineStr">
        <is>
          <t>2026-02-27 20:47</t>
        </is>
      </c>
      <c r="M408" s="188" t="inlineStr">
        <is>
          <t>CHECK_VENDOR</t>
        </is>
      </c>
      <c r="N408" s="188" t="inlineStr">
        <is>
          <t>See NVD references</t>
        </is>
      </c>
      <c r="O408" s="188" t="inlineStr">
        <is>
          <t>Apply vendor patches</t>
        </is>
      </c>
      <c r="P408" s="188" t="inlineStr">
        <is>
          <t>apache superset *</t>
        </is>
      </c>
      <c r="Q408" s="188" t="inlineStr">
        <is>
          <t>P4</t>
        </is>
      </c>
      <c r="R408" s="188" t="inlineStr">
        <is>
          <t>📅 Schedule patch deployment within 30 days | 🔍 Monitor for exploitation attempts</t>
        </is>
      </c>
      <c r="S408" s="188" t="inlineStr">
        <is>
          <t>CVE - IP enrichment n/a</t>
        </is>
      </c>
      <c r="T408" s="188" t="n">
        <v>0.0003</v>
      </c>
      <c r="U408" s="188" t="n">
        <v>0.0949</v>
      </c>
      <c r="V408" s="188" t="inlineStr">
        <is>
          <t>T1190:Exploit Public-Facing Application</t>
        </is>
      </c>
      <c r="W408" s="188" t="n">
        <v>1</v>
      </c>
      <c r="X408" s="188" t="inlineStr">
        <is>
          <t>LOW (40%)</t>
        </is>
      </c>
      <c r="Y408" s="188" t="inlineStr">
        <is>
          <t>UNLIKELY</t>
        </is>
      </c>
      <c r="Z408" s="188" t="inlineStr">
        <is>
          <t>CHECK_VENDOR</t>
        </is>
      </c>
      <c r="AA408" s="188" t="inlineStr">
        <is>
          <t>https://nvd.nist.gov/vuln/detail/CVE-2026-23984</t>
        </is>
      </c>
      <c r="AB408" s="188" t="inlineStr">
        <is>
          <t>NONE</t>
        </is>
      </c>
      <c r="AC408" s="188" t="n">
        <v>0</v>
      </c>
      <c r="AD408" s="188" t="inlineStr"/>
    </row>
    <row r="409">
      <c r="A409" s="187" t="inlineStr">
        <is>
          <t>CVE</t>
        </is>
      </c>
      <c r="B409" s="187" t="inlineStr">
        <is>
          <t>CVE-2026-2459</t>
        </is>
      </c>
      <c r="C409" s="187" t="inlineStr">
        <is>
          <t>A vulnerability exists in REB500 for an authenticated user with Installer role to access and alter the contents of directories that the role is not authorized to do so.</t>
        </is>
      </c>
      <c r="D409" s="187" t="n">
        <v>8.1</v>
      </c>
      <c r="E409" s="187" t="inlineStr">
        <is>
          <t>HIGH</t>
        </is>
      </c>
      <c r="F409" s="187" t="n">
        <v>2</v>
      </c>
      <c r="G409" s="187" t="n">
        <v>3</v>
      </c>
      <c r="H409" s="187" t="inlineStr">
        <is>
          <t>HIGH</t>
        </is>
      </c>
      <c r="I409" s="187" t="n">
        <v>14.1</v>
      </c>
      <c r="J409" s="187" t="inlineStr">
        <is>
          <t>NO</t>
        </is>
      </c>
      <c r="K409" s="187" t="inlineStr">
        <is>
          <t>https://nvd.nist.gov/vuln/detail/CVE-2026-2459</t>
        </is>
      </c>
      <c r="L409" s="187" t="inlineStr">
        <is>
          <t>2026-02-27 20:47</t>
        </is>
      </c>
      <c r="M409" s="187" t="inlineStr">
        <is>
          <t>YES</t>
        </is>
      </c>
      <c r="N409" s="187" t="inlineStr">
        <is>
          <t>https://publisher.hitachienergy.com/preview?DocumentID=8DBD000217&amp;LanguageCode=en&amp;DocumentPartId=&amp;Action=Launch</t>
        </is>
      </c>
      <c r="O409" s="187" t="inlineStr">
        <is>
          <t>Apply vendor patches</t>
        </is>
      </c>
      <c r="P409" s="187" t="inlineStr">
        <is>
          <t>hitachienergy reb500_firmware * | hitachienergy reb500 -</t>
        </is>
      </c>
      <c r="Q409" s="187" t="inlineStr">
        <is>
          <t>P3</t>
        </is>
      </c>
      <c r="R409" s="187" t="inlineStr">
        <is>
          <t>🚨 URGENT: Apply vendor patches immediately | 🔒 Isolate affected systems if patch unavailable | 🛡️ Enable additional monitoring/IDS rules</t>
        </is>
      </c>
      <c r="S409" s="187" t="inlineStr">
        <is>
          <t>CVE - IP enrichment n/a</t>
        </is>
      </c>
      <c r="T409" s="187" t="n">
        <v>0.0003</v>
      </c>
      <c r="U409" s="187" t="n">
        <v>0.0736</v>
      </c>
      <c r="V409" s="187" t="inlineStr">
        <is>
          <t>T1190:Exploit Public-Facing Application</t>
        </is>
      </c>
      <c r="W409" s="187" t="n">
        <v>1</v>
      </c>
      <c r="X409" s="187" t="inlineStr">
        <is>
          <t>LOW (40%)</t>
        </is>
      </c>
      <c r="Y409" s="187" t="inlineStr">
        <is>
          <t>UNLIKELY</t>
        </is>
      </c>
      <c r="Z409" s="187" t="inlineStr">
        <is>
          <t>PATCH_AVAILABLE</t>
        </is>
      </c>
      <c r="AA409" s="187" t="inlineStr">
        <is>
          <t>https://nvd.nist.gov/vuln/detail/CVE-2026-2459</t>
        </is>
      </c>
      <c r="AB409" s="187" t="inlineStr">
        <is>
          <t>NONE</t>
        </is>
      </c>
      <c r="AC409" s="187" t="n">
        <v>0</v>
      </c>
      <c r="AD409" s="187" t="inlineStr"/>
    </row>
    <row r="410">
      <c r="A410" s="187" t="inlineStr">
        <is>
          <t>CVE</t>
        </is>
      </c>
      <c r="B410" s="187" t="inlineStr">
        <is>
          <t>CVE-2026-2460</t>
        </is>
      </c>
      <c r="C410" s="187" t="inlineStr">
        <is>
          <t>A vulnerability exists in REB500 for an authenticated user with low-level privileges to access and alter the content of directories by using the DAC protocol that the user is not authorized to do so.</t>
        </is>
      </c>
      <c r="D410" s="187" t="n">
        <v>8.1</v>
      </c>
      <c r="E410" s="187" t="inlineStr">
        <is>
          <t>HIGH</t>
        </is>
      </c>
      <c r="F410" s="187" t="n">
        <v>2</v>
      </c>
      <c r="G410" s="187" t="n">
        <v>3</v>
      </c>
      <c r="H410" s="187" t="inlineStr">
        <is>
          <t>HIGH</t>
        </is>
      </c>
      <c r="I410" s="187" t="n">
        <v>14.1</v>
      </c>
      <c r="J410" s="187" t="inlineStr">
        <is>
          <t>NO</t>
        </is>
      </c>
      <c r="K410" s="187" t="inlineStr">
        <is>
          <t>https://nvd.nist.gov/vuln/detail/CVE-2026-2460</t>
        </is>
      </c>
      <c r="L410" s="187" t="inlineStr">
        <is>
          <t>2026-02-27 20:47</t>
        </is>
      </c>
      <c r="M410" s="187" t="inlineStr">
        <is>
          <t>YES</t>
        </is>
      </c>
      <c r="N410" s="187" t="inlineStr">
        <is>
          <t>https://publisher.hitachienergy.com/preview?DocumentID=8DBD000217&amp;LanguageCode=en&amp;DocumentPartId=&amp;Action=Launch</t>
        </is>
      </c>
      <c r="O410" s="187" t="inlineStr">
        <is>
          <t>Apply vendor patches</t>
        </is>
      </c>
      <c r="P410" s="187" t="inlineStr">
        <is>
          <t>hitachienergy reb500_firmware * | hitachienergy reb500 -</t>
        </is>
      </c>
      <c r="Q410" s="187" t="inlineStr">
        <is>
          <t>P3</t>
        </is>
      </c>
      <c r="R410" s="187" t="inlineStr">
        <is>
          <t>🚨 URGENT: Apply vendor patches immediately | 🔒 Isolate affected systems if patch unavailable | 🛡️ Enable additional monitoring/IDS rules</t>
        </is>
      </c>
      <c r="S410" s="187" t="inlineStr">
        <is>
          <t>CVE - IP enrichment n/a</t>
        </is>
      </c>
      <c r="T410" s="187" t="n">
        <v>0.0003</v>
      </c>
      <c r="U410" s="187" t="n">
        <v>0.0828</v>
      </c>
      <c r="V410" s="187" t="inlineStr">
        <is>
          <t>T1190:Exploit Public-Facing Application</t>
        </is>
      </c>
      <c r="W410" s="187" t="n">
        <v>1</v>
      </c>
      <c r="X410" s="187" t="inlineStr">
        <is>
          <t>LOW (40%)</t>
        </is>
      </c>
      <c r="Y410" s="187" t="inlineStr">
        <is>
          <t>UNLIKELY</t>
        </is>
      </c>
      <c r="Z410" s="187" t="inlineStr">
        <is>
          <t>PATCH_AVAILABLE</t>
        </is>
      </c>
      <c r="AA410" s="187" t="inlineStr">
        <is>
          <t>https://nvd.nist.gov/vuln/detail/CVE-2026-2460</t>
        </is>
      </c>
      <c r="AB410" s="187" t="inlineStr">
        <is>
          <t>NONE</t>
        </is>
      </c>
      <c r="AC410" s="187" t="n">
        <v>0</v>
      </c>
      <c r="AD410" s="187" t="inlineStr"/>
    </row>
    <row r="411">
      <c r="A411" s="189" t="inlineStr">
        <is>
          <t>CVE</t>
        </is>
      </c>
      <c r="B411" s="189" t="inlineStr">
        <is>
          <t>CVE-2026-2634</t>
        </is>
      </c>
      <c r="C411" s="189"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411" s="189" t="n">
        <v>9.800000000000001</v>
      </c>
      <c r="E411" s="189" t="inlineStr">
        <is>
          <t>CRITICAL</t>
        </is>
      </c>
      <c r="F411" s="189" t="n">
        <v>2</v>
      </c>
      <c r="G411" s="189" t="n">
        <v>3</v>
      </c>
      <c r="H411" s="189" t="inlineStr">
        <is>
          <t>HIGH</t>
        </is>
      </c>
      <c r="I411" s="189" t="n">
        <v>15.8</v>
      </c>
      <c r="J411" s="189" t="inlineStr">
        <is>
          <t>NO</t>
        </is>
      </c>
      <c r="K411" s="189" t="inlineStr">
        <is>
          <t>https://nvd.nist.gov/vuln/detail/CVE-2026-2634</t>
        </is>
      </c>
      <c r="L411" s="189" t="inlineStr">
        <is>
          <t>2026-02-27 20:47</t>
        </is>
      </c>
      <c r="M411" s="189" t="inlineStr">
        <is>
          <t>YES</t>
        </is>
      </c>
      <c r="N411" s="189" t="inlineStr">
        <is>
          <t>https://www.mozilla.org/security/advisories/mfsa2026-12/</t>
        </is>
      </c>
      <c r="O411" s="189" t="inlineStr">
        <is>
          <t>Apply vendor patches</t>
        </is>
      </c>
      <c r="P411" s="189" t="inlineStr">
        <is>
          <t>mozilla firefox *</t>
        </is>
      </c>
      <c r="Q411" s="189" t="inlineStr">
        <is>
          <t>P3</t>
        </is>
      </c>
      <c r="R411" s="189" t="inlineStr">
        <is>
          <t>🚨 URGENT: Apply vendor patches immediately | 🔒 Isolate affected systems if patch unavailable | 🛡️ Enable additional monitoring/IDS rules</t>
        </is>
      </c>
      <c r="S411" s="189" t="inlineStr">
        <is>
          <t>CVE - IP enrichment n/a</t>
        </is>
      </c>
      <c r="T411" s="189" t="n">
        <v>0.0004</v>
      </c>
      <c r="U411" s="189" t="n">
        <v>0.1265</v>
      </c>
      <c r="V411" s="189" t="inlineStr">
        <is>
          <t>T1190:Exploit Public-Facing Application</t>
        </is>
      </c>
      <c r="W411" s="189" t="n">
        <v>1</v>
      </c>
      <c r="X411" s="189" t="inlineStr">
        <is>
          <t>LOW (40%)</t>
        </is>
      </c>
      <c r="Y411" s="189" t="inlineStr">
        <is>
          <t>UNLIKELY</t>
        </is>
      </c>
      <c r="Z411" s="189" t="inlineStr">
        <is>
          <t>PATCH_AVAILABLE</t>
        </is>
      </c>
      <c r="AA411" s="189" t="inlineStr">
        <is>
          <t>https://nvd.nist.gov/vuln/detail/CVE-2026-2634</t>
        </is>
      </c>
      <c r="AB411" s="189" t="inlineStr">
        <is>
          <t>NONE</t>
        </is>
      </c>
      <c r="AC411" s="189" t="n">
        <v>0</v>
      </c>
      <c r="AD411" s="189" t="inlineStr"/>
    </row>
    <row r="412">
      <c r="A412" s="189" t="inlineStr">
        <is>
          <t>CVE</t>
        </is>
      </c>
      <c r="B412" s="189" t="inlineStr">
        <is>
          <t>CVE-2026-2757</t>
        </is>
      </c>
      <c r="C412" s="189" t="inlineStr">
        <is>
          <t>Incorrect boundary conditions in the WebRTC: Audio/Video component. This vulnerability affects Firefox &lt; 148, Firefox ESR &lt; 115.33, Firefox ESR &lt; 140.8, Thunderbird &lt; 148, and Thunderbird &lt; 140.8.</t>
        </is>
      </c>
      <c r="D412" s="189" t="n">
        <v>9.800000000000001</v>
      </c>
      <c r="E412" s="189" t="inlineStr">
        <is>
          <t>CRITICAL</t>
        </is>
      </c>
      <c r="F412" s="189" t="n">
        <v>2</v>
      </c>
      <c r="G412" s="189" t="n">
        <v>3</v>
      </c>
      <c r="H412" s="189" t="inlineStr">
        <is>
          <t>HIGH</t>
        </is>
      </c>
      <c r="I412" s="189" t="n">
        <v>15.8</v>
      </c>
      <c r="J412" s="189" t="inlineStr">
        <is>
          <t>NO</t>
        </is>
      </c>
      <c r="K412" s="189" t="inlineStr">
        <is>
          <t>https://nvd.nist.gov/vuln/detail/CVE-2026-2757</t>
        </is>
      </c>
      <c r="L412" s="189" t="inlineStr">
        <is>
          <t>2026-02-27 20:47</t>
        </is>
      </c>
      <c r="M412" s="189" t="inlineStr">
        <is>
          <t>YES</t>
        </is>
      </c>
      <c r="N412" s="189" t="inlineStr">
        <is>
          <t>https://www.mozilla.org/security/advisories/mfsa2026-13/ | https://www.mozilla.org/security/advisories/mfsa2026-14/ | https://www.mozilla.org/security/advisories/mfsa2026-15/</t>
        </is>
      </c>
      <c r="O412" s="189" t="inlineStr">
        <is>
          <t>Apply vendor patches</t>
        </is>
      </c>
      <c r="P412" s="189" t="inlineStr">
        <is>
          <t>mozilla firefox *</t>
        </is>
      </c>
      <c r="Q412" s="189" t="inlineStr">
        <is>
          <t>P3</t>
        </is>
      </c>
      <c r="R412" s="189" t="inlineStr">
        <is>
          <t>🚨 URGENT: Apply vendor patches immediately | 🔒 Isolate affected systems if patch unavailable | 🛡️ Enable additional monitoring/IDS rules</t>
        </is>
      </c>
      <c r="S412" s="189" t="inlineStr">
        <is>
          <t>CVE - IP enrichment n/a</t>
        </is>
      </c>
      <c r="T412" s="189" t="n">
        <v>0.0005</v>
      </c>
      <c r="U412" s="189" t="n">
        <v>0.1409</v>
      </c>
      <c r="V412" s="189" t="inlineStr">
        <is>
          <t>T1190:Exploit Public-Facing Application</t>
        </is>
      </c>
      <c r="W412" s="189" t="n">
        <v>1</v>
      </c>
      <c r="X412" s="189" t="inlineStr">
        <is>
          <t>LOW (40%)</t>
        </is>
      </c>
      <c r="Y412" s="189" t="inlineStr">
        <is>
          <t>UNLIKELY</t>
        </is>
      </c>
      <c r="Z412" s="189" t="inlineStr">
        <is>
          <t>PATCH_AVAILABLE</t>
        </is>
      </c>
      <c r="AA412" s="189" t="inlineStr">
        <is>
          <t>https://nvd.nist.gov/vuln/detail/CVE-2026-2757</t>
        </is>
      </c>
      <c r="AB412" s="189" t="inlineStr">
        <is>
          <t>NONE</t>
        </is>
      </c>
      <c r="AC412" s="189" t="n">
        <v>0</v>
      </c>
      <c r="AD412" s="189" t="inlineStr"/>
    </row>
    <row r="413">
      <c r="A413" s="189" t="inlineStr">
        <is>
          <t>CVE</t>
        </is>
      </c>
      <c r="B413" s="189" t="inlineStr">
        <is>
          <t>CVE-2026-2758</t>
        </is>
      </c>
      <c r="C413" s="189" t="inlineStr">
        <is>
          <t>Use-after-free in the JavaScript: GC component. This vulnerability affects Firefox &lt; 148, Firefox ESR &lt; 115.33, Firefox ESR &lt; 140.8, Thunderbird &lt; 148, and Thunderbird &lt; 140.8.</t>
        </is>
      </c>
      <c r="D413" s="189" t="n">
        <v>9.800000000000001</v>
      </c>
      <c r="E413" s="189" t="inlineStr">
        <is>
          <t>CRITICAL</t>
        </is>
      </c>
      <c r="F413" s="189" t="n">
        <v>2</v>
      </c>
      <c r="G413" s="189" t="n">
        <v>3</v>
      </c>
      <c r="H413" s="189" t="inlineStr">
        <is>
          <t>HIGH</t>
        </is>
      </c>
      <c r="I413" s="189" t="n">
        <v>15.8</v>
      </c>
      <c r="J413" s="189" t="inlineStr">
        <is>
          <t>NO</t>
        </is>
      </c>
      <c r="K413" s="189" t="inlineStr">
        <is>
          <t>https://nvd.nist.gov/vuln/detail/CVE-2026-2758</t>
        </is>
      </c>
      <c r="L413" s="189" t="inlineStr">
        <is>
          <t>2026-02-27 20:47</t>
        </is>
      </c>
      <c r="M413" s="189" t="inlineStr">
        <is>
          <t>YES</t>
        </is>
      </c>
      <c r="N413" s="189" t="inlineStr">
        <is>
          <t>https://www.mozilla.org/security/advisories/mfsa2026-13/ | https://www.mozilla.org/security/advisories/mfsa2026-14/ | https://www.mozilla.org/security/advisories/mfsa2026-15/</t>
        </is>
      </c>
      <c r="O413" s="189" t="inlineStr">
        <is>
          <t>Apply vendor patches</t>
        </is>
      </c>
      <c r="P413" s="189" t="inlineStr">
        <is>
          <t>mozilla firefox *</t>
        </is>
      </c>
      <c r="Q413" s="189" t="inlineStr">
        <is>
          <t>P3</t>
        </is>
      </c>
      <c r="R413" s="189" t="inlineStr">
        <is>
          <t>🚨 URGENT: Apply vendor patches immediately | 🔒 Isolate affected systems if patch unavailable | 🛡️ Enable additional monitoring/IDS rules</t>
        </is>
      </c>
      <c r="S413" s="189" t="inlineStr">
        <is>
          <t>CVE - IP enrichment n/a</t>
        </is>
      </c>
      <c r="T413" s="189" t="n">
        <v>0.0005</v>
      </c>
      <c r="U413" s="189" t="n">
        <v>0.1409</v>
      </c>
      <c r="V413" s="189" t="inlineStr">
        <is>
          <t>T1203:Exploitation for Client Execution</t>
        </is>
      </c>
      <c r="W413" s="189" t="n">
        <v>1</v>
      </c>
      <c r="X413" s="189" t="inlineStr">
        <is>
          <t>LOW (40%)</t>
        </is>
      </c>
      <c r="Y413" s="189" t="inlineStr">
        <is>
          <t>UNLIKELY</t>
        </is>
      </c>
      <c r="Z413" s="189" t="inlineStr">
        <is>
          <t>PATCH_AVAILABLE</t>
        </is>
      </c>
      <c r="AA413" s="189" t="inlineStr">
        <is>
          <t>https://nvd.nist.gov/vuln/detail/CVE-2026-2758</t>
        </is>
      </c>
      <c r="AB413" s="189" t="inlineStr">
        <is>
          <t>NONE</t>
        </is>
      </c>
      <c r="AC413" s="189" t="n">
        <v>0</v>
      </c>
      <c r="AD413" s="189" t="inlineStr"/>
    </row>
    <row r="414">
      <c r="A414" s="189" t="inlineStr">
        <is>
          <t>CVE</t>
        </is>
      </c>
      <c r="B414" s="189" t="inlineStr">
        <is>
          <t>CVE-2026-2759</t>
        </is>
      </c>
      <c r="C414" s="189" t="inlineStr">
        <is>
          <t>Incorrect boundary conditions in the Graphics: ImageLib component. This vulnerability affects Firefox &lt; 148, Firefox ESR &lt; 115.33, Firefox ESR &lt; 140.8, Thunderbird &lt; 148, and Thunderbird &lt; 140.8.</t>
        </is>
      </c>
      <c r="D414" s="189" t="n">
        <v>9.800000000000001</v>
      </c>
      <c r="E414" s="189" t="inlineStr">
        <is>
          <t>CRITICAL</t>
        </is>
      </c>
      <c r="F414" s="189" t="n">
        <v>2</v>
      </c>
      <c r="G414" s="189" t="n">
        <v>3</v>
      </c>
      <c r="H414" s="189" t="inlineStr">
        <is>
          <t>HIGH</t>
        </is>
      </c>
      <c r="I414" s="189" t="n">
        <v>15.8</v>
      </c>
      <c r="J414" s="189" t="inlineStr">
        <is>
          <t>NO</t>
        </is>
      </c>
      <c r="K414" s="189" t="inlineStr">
        <is>
          <t>https://nvd.nist.gov/vuln/detail/CVE-2026-2759</t>
        </is>
      </c>
      <c r="L414" s="189" t="inlineStr">
        <is>
          <t>2026-02-27 20:47</t>
        </is>
      </c>
      <c r="M414" s="189" t="inlineStr">
        <is>
          <t>YES</t>
        </is>
      </c>
      <c r="N414" s="189" t="inlineStr">
        <is>
          <t>https://www.mozilla.org/security/advisories/mfsa2026-13/ | https://www.mozilla.org/security/advisories/mfsa2026-14/ | https://www.mozilla.org/security/advisories/mfsa2026-15/</t>
        </is>
      </c>
      <c r="O414" s="189" t="inlineStr">
        <is>
          <t>Apply vendor patches</t>
        </is>
      </c>
      <c r="P414" s="189" t="inlineStr">
        <is>
          <t>mozilla firefox *</t>
        </is>
      </c>
      <c r="Q414" s="189" t="inlineStr">
        <is>
          <t>P3</t>
        </is>
      </c>
      <c r="R414" s="189" t="inlineStr">
        <is>
          <t>🚨 URGENT: Apply vendor patches immediately | 🔒 Isolate affected systems if patch unavailable | 🛡️ Enable additional monitoring/IDS rules</t>
        </is>
      </c>
      <c r="S414" s="189" t="inlineStr">
        <is>
          <t>CVE - IP enrichment n/a</t>
        </is>
      </c>
      <c r="T414" s="189" t="n">
        <v>0.0005</v>
      </c>
      <c r="U414" s="189" t="n">
        <v>0.1409</v>
      </c>
      <c r="V414" s="189" t="inlineStr">
        <is>
          <t>T1190:Exploit Public-Facing Application</t>
        </is>
      </c>
      <c r="W414" s="189" t="n">
        <v>1</v>
      </c>
      <c r="X414" s="189" t="inlineStr">
        <is>
          <t>LOW (40%)</t>
        </is>
      </c>
      <c r="Y414" s="189" t="inlineStr">
        <is>
          <t>UNLIKELY</t>
        </is>
      </c>
      <c r="Z414" s="189" t="inlineStr">
        <is>
          <t>PATCH_AVAILABLE</t>
        </is>
      </c>
      <c r="AA414" s="189" t="inlineStr">
        <is>
          <t>https://nvd.nist.gov/vuln/detail/CVE-2026-2759</t>
        </is>
      </c>
      <c r="AB414" s="189" t="inlineStr">
        <is>
          <t>NONE</t>
        </is>
      </c>
      <c r="AC414" s="189" t="n">
        <v>0</v>
      </c>
      <c r="AD414" s="189" t="inlineStr"/>
    </row>
    <row r="415">
      <c r="A415" s="189" t="inlineStr">
        <is>
          <t>CVE</t>
        </is>
      </c>
      <c r="B415" s="189" t="inlineStr">
        <is>
          <t>CVE-2026-2760</t>
        </is>
      </c>
      <c r="C415" s="189" t="inlineStr">
        <is>
          <t>Sandbox escape due to incorrect boundary conditions in the Graphics: WebRender component. This vulnerability affects Firefox &lt; 148, Firefox ESR &lt; 115.33, Firefox ESR &lt; 140.8, Thunderbird &lt; 148, and Thunderbird &lt; 140.8.</t>
        </is>
      </c>
      <c r="D415" s="189" t="n">
        <v>10</v>
      </c>
      <c r="E415" s="189" t="inlineStr">
        <is>
          <t>CRITICAL</t>
        </is>
      </c>
      <c r="F415" s="189" t="n">
        <v>2</v>
      </c>
      <c r="G415" s="189" t="n">
        <v>3</v>
      </c>
      <c r="H415" s="189" t="inlineStr">
        <is>
          <t>HIGH</t>
        </is>
      </c>
      <c r="I415" s="189" t="n">
        <v>16</v>
      </c>
      <c r="J415" s="189" t="inlineStr">
        <is>
          <t>NO</t>
        </is>
      </c>
      <c r="K415" s="189" t="inlineStr">
        <is>
          <t>https://nvd.nist.gov/vuln/detail/CVE-2026-2760</t>
        </is>
      </c>
      <c r="L415" s="189" t="inlineStr">
        <is>
          <t>2026-02-27 20:47</t>
        </is>
      </c>
      <c r="M415" s="189" t="inlineStr">
        <is>
          <t>YES</t>
        </is>
      </c>
      <c r="N415" s="189" t="inlineStr">
        <is>
          <t>https://www.mozilla.org/security/advisories/mfsa2026-13/ | https://www.mozilla.org/security/advisories/mfsa2026-14/ | https://www.mozilla.org/security/advisories/mfsa2026-15/</t>
        </is>
      </c>
      <c r="O415" s="189" t="inlineStr">
        <is>
          <t>Apply vendor patches</t>
        </is>
      </c>
      <c r="P415" s="189" t="inlineStr">
        <is>
          <t>mozilla firefox *</t>
        </is>
      </c>
      <c r="Q415" s="189" t="inlineStr">
        <is>
          <t>P3</t>
        </is>
      </c>
      <c r="R415" s="189" t="inlineStr">
        <is>
          <t>🚨 URGENT: Apply vendor patches immediately | 🔒 Isolate affected systems if patch unavailable | 🛡️ Enable additional monitoring/IDS rules</t>
        </is>
      </c>
      <c r="S415" s="189" t="inlineStr">
        <is>
          <t>CVE - IP enrichment n/a</t>
        </is>
      </c>
      <c r="T415" s="189" t="n">
        <v>0.0005</v>
      </c>
      <c r="U415" s="189" t="n">
        <v>0.1686</v>
      </c>
      <c r="V415" s="189" t="inlineStr">
        <is>
          <t>T1190:Exploit Public-Facing Application</t>
        </is>
      </c>
      <c r="W415" s="189" t="n">
        <v>1</v>
      </c>
      <c r="X415" s="189" t="inlineStr">
        <is>
          <t>LOW (40%)</t>
        </is>
      </c>
      <c r="Y415" s="189" t="inlineStr">
        <is>
          <t>UNLIKELY</t>
        </is>
      </c>
      <c r="Z415" s="189" t="inlineStr">
        <is>
          <t>PATCH_AVAILABLE</t>
        </is>
      </c>
      <c r="AA415" s="189" t="inlineStr">
        <is>
          <t>https://nvd.nist.gov/vuln/detail/CVE-2026-2760</t>
        </is>
      </c>
      <c r="AB415" s="189" t="inlineStr">
        <is>
          <t>NONE</t>
        </is>
      </c>
      <c r="AC415" s="189" t="n">
        <v>0</v>
      </c>
      <c r="AD415" s="189" t="inlineStr"/>
    </row>
    <row r="416">
      <c r="A416" s="189" t="inlineStr">
        <is>
          <t>CVE</t>
        </is>
      </c>
      <c r="B416" s="189" t="inlineStr">
        <is>
          <t>CVE-2026-2761</t>
        </is>
      </c>
      <c r="C416" s="189" t="inlineStr">
        <is>
          <t>Sandbox escape in the Graphics: WebRender component. This vulnerability affects Firefox &lt; 148, Firefox ESR &lt; 115.33, Firefox ESR &lt; 140.8, Thunderbird &lt; 148, and Thunderbird &lt; 140.8.</t>
        </is>
      </c>
      <c r="D416" s="189" t="n">
        <v>10</v>
      </c>
      <c r="E416" s="189" t="inlineStr">
        <is>
          <t>CRITICAL</t>
        </is>
      </c>
      <c r="F416" s="189" t="n">
        <v>2</v>
      </c>
      <c r="G416" s="189" t="n">
        <v>3</v>
      </c>
      <c r="H416" s="189" t="inlineStr">
        <is>
          <t>HIGH</t>
        </is>
      </c>
      <c r="I416" s="189" t="n">
        <v>16</v>
      </c>
      <c r="J416" s="189" t="inlineStr">
        <is>
          <t>NO</t>
        </is>
      </c>
      <c r="K416" s="189" t="inlineStr">
        <is>
          <t>https://nvd.nist.gov/vuln/detail/CVE-2026-2761</t>
        </is>
      </c>
      <c r="L416" s="189" t="inlineStr">
        <is>
          <t>2026-02-27 20:47</t>
        </is>
      </c>
      <c r="M416" s="189" t="inlineStr">
        <is>
          <t>YES</t>
        </is>
      </c>
      <c r="N416" s="189" t="inlineStr">
        <is>
          <t>https://www.mozilla.org/security/advisories/mfsa2026-13/ | https://www.mozilla.org/security/advisories/mfsa2026-14/ | https://www.mozilla.org/security/advisories/mfsa2026-15/</t>
        </is>
      </c>
      <c r="O416" s="189" t="inlineStr">
        <is>
          <t>Apply vendor patches</t>
        </is>
      </c>
      <c r="P416" s="189" t="inlineStr">
        <is>
          <t>mozilla firefox *</t>
        </is>
      </c>
      <c r="Q416" s="189" t="inlineStr">
        <is>
          <t>P3</t>
        </is>
      </c>
      <c r="R416" s="189" t="inlineStr">
        <is>
          <t>🚨 URGENT: Apply vendor patches immediately | 🔒 Isolate affected systems if patch unavailable | 🛡️ Enable additional monitoring/IDS rules</t>
        </is>
      </c>
      <c r="S416" s="189" t="inlineStr">
        <is>
          <t>CVE - IP enrichment n/a</t>
        </is>
      </c>
      <c r="T416" s="189" t="n">
        <v>0.001</v>
      </c>
      <c r="U416" s="189" t="n">
        <v>0.2684</v>
      </c>
      <c r="V416" s="189" t="inlineStr">
        <is>
          <t>T1190:Exploit Public-Facing Application</t>
        </is>
      </c>
      <c r="W416" s="189" t="n">
        <v>1</v>
      </c>
      <c r="X416" s="189" t="inlineStr">
        <is>
          <t>LOW (40%)</t>
        </is>
      </c>
      <c r="Y416" s="189" t="inlineStr">
        <is>
          <t>UNLIKELY</t>
        </is>
      </c>
      <c r="Z416" s="189" t="inlineStr">
        <is>
          <t>PATCH_AVAILABLE</t>
        </is>
      </c>
      <c r="AA416" s="189" t="inlineStr">
        <is>
          <t>https://nvd.nist.gov/vuln/detail/CVE-2026-2761</t>
        </is>
      </c>
      <c r="AB416" s="189" t="inlineStr">
        <is>
          <t>NONE</t>
        </is>
      </c>
      <c r="AC416" s="189" t="n">
        <v>0</v>
      </c>
      <c r="AD416" s="189" t="inlineStr"/>
    </row>
    <row r="417">
      <c r="A417" s="189" t="inlineStr">
        <is>
          <t>CVE</t>
        </is>
      </c>
      <c r="B417" s="189" t="inlineStr">
        <is>
          <t>CVE-2026-2762</t>
        </is>
      </c>
      <c r="C417" s="189" t="inlineStr">
        <is>
          <t>Integer overflow in the JavaScript: Standard Library component. This vulnerability affects Firefox &lt; 148, Firefox ESR &lt; 140.8, Thunderbird &lt; 148, and Thunderbird &lt; 140.8.</t>
        </is>
      </c>
      <c r="D417" s="189" t="n">
        <v>9.800000000000001</v>
      </c>
      <c r="E417" s="189" t="inlineStr">
        <is>
          <t>CRITICAL</t>
        </is>
      </c>
      <c r="F417" s="189" t="n">
        <v>2</v>
      </c>
      <c r="G417" s="189" t="n">
        <v>3</v>
      </c>
      <c r="H417" s="189" t="inlineStr">
        <is>
          <t>HIGH</t>
        </is>
      </c>
      <c r="I417" s="189" t="n">
        <v>15.8</v>
      </c>
      <c r="J417" s="189" t="inlineStr">
        <is>
          <t>NO</t>
        </is>
      </c>
      <c r="K417" s="189" t="inlineStr">
        <is>
          <t>https://nvd.nist.gov/vuln/detail/CVE-2026-2762</t>
        </is>
      </c>
      <c r="L417" s="189" t="inlineStr">
        <is>
          <t>2026-02-27 20:47</t>
        </is>
      </c>
      <c r="M417" s="189" t="inlineStr">
        <is>
          <t>YES</t>
        </is>
      </c>
      <c r="N417" s="189" t="inlineStr">
        <is>
          <t>https://www.mozilla.org/security/advisories/mfsa2026-13/ | https://www.mozilla.org/security/advisories/mfsa2026-15/ | https://www.mozilla.org/security/advisories/mfsa2026-16/</t>
        </is>
      </c>
      <c r="O417" s="189" t="inlineStr">
        <is>
          <t>Apply vendor patches</t>
        </is>
      </c>
      <c r="P417" s="189" t="inlineStr">
        <is>
          <t>mozilla firefox * | mozilla thunderbird *</t>
        </is>
      </c>
      <c r="Q417" s="189" t="inlineStr">
        <is>
          <t>P3</t>
        </is>
      </c>
      <c r="R417" s="189" t="inlineStr">
        <is>
          <t>🚨 URGENT: Apply vendor patches immediately | 🔒 Isolate affected systems if patch unavailable | 🛡️ Enable additional monitoring/IDS rules</t>
        </is>
      </c>
      <c r="S417" s="189" t="inlineStr">
        <is>
          <t>CVE - IP enrichment n/a</t>
        </is>
      </c>
      <c r="T417" s="189" t="n">
        <v>0.0004</v>
      </c>
      <c r="U417" s="189" t="n">
        <v>0.1377</v>
      </c>
      <c r="V417" s="189" t="inlineStr">
        <is>
          <t>T1190:Exploit Public-Facing Application | T1203:Exploitation for Client Execution</t>
        </is>
      </c>
      <c r="W417" s="189" t="n">
        <v>1</v>
      </c>
      <c r="X417" s="189" t="inlineStr">
        <is>
          <t>LOW (40%)</t>
        </is>
      </c>
      <c r="Y417" s="189" t="inlineStr">
        <is>
          <t>UNLIKELY</t>
        </is>
      </c>
      <c r="Z417" s="189" t="inlineStr">
        <is>
          <t>PATCH_AVAILABLE</t>
        </is>
      </c>
      <c r="AA417" s="189" t="inlineStr">
        <is>
          <t>https://nvd.nist.gov/vuln/detail/CVE-2026-2762</t>
        </is>
      </c>
      <c r="AB417" s="189" t="inlineStr">
        <is>
          <t>NONE</t>
        </is>
      </c>
      <c r="AC417" s="189" t="n">
        <v>0</v>
      </c>
      <c r="AD417" s="189" t="inlineStr"/>
    </row>
    <row r="418">
      <c r="A418" s="189" t="inlineStr">
        <is>
          <t>CVE</t>
        </is>
      </c>
      <c r="B418" s="189" t="inlineStr">
        <is>
          <t>CVE-2026-2763</t>
        </is>
      </c>
      <c r="C418" s="189" t="inlineStr">
        <is>
          <t>Use-after-free in the JavaScript Engine component. This vulnerability affects Firefox &lt; 148, Firefox ESR &lt; 115.33, Firefox ESR &lt; 140.8, Thunderbird &lt; 148, and Thunderbird &lt; 140.8.</t>
        </is>
      </c>
      <c r="D418" s="189" t="n">
        <v>9.800000000000001</v>
      </c>
      <c r="E418" s="189" t="inlineStr">
        <is>
          <t>CRITICAL</t>
        </is>
      </c>
      <c r="F418" s="189" t="n">
        <v>2</v>
      </c>
      <c r="G418" s="189" t="n">
        <v>3</v>
      </c>
      <c r="H418" s="189" t="inlineStr">
        <is>
          <t>HIGH</t>
        </is>
      </c>
      <c r="I418" s="189" t="n">
        <v>15.8</v>
      </c>
      <c r="J418" s="189" t="inlineStr">
        <is>
          <t>NO</t>
        </is>
      </c>
      <c r="K418" s="189" t="inlineStr">
        <is>
          <t>https://nvd.nist.gov/vuln/detail/CVE-2026-2763</t>
        </is>
      </c>
      <c r="L418" s="189" t="inlineStr">
        <is>
          <t>2026-02-27 20:47</t>
        </is>
      </c>
      <c r="M418" s="189" t="inlineStr">
        <is>
          <t>YES</t>
        </is>
      </c>
      <c r="N418" s="189" t="inlineStr">
        <is>
          <t>https://www.mozilla.org/security/advisories/mfsa2026-13/ | https://www.mozilla.org/security/advisories/mfsa2026-14/ | https://www.mozilla.org/security/advisories/mfsa2026-15/</t>
        </is>
      </c>
      <c r="O418" s="189" t="inlineStr">
        <is>
          <t>Apply vendor patches</t>
        </is>
      </c>
      <c r="P418" s="189" t="inlineStr">
        <is>
          <t>mozilla firefox *</t>
        </is>
      </c>
      <c r="Q418" s="189" t="inlineStr">
        <is>
          <t>P3</t>
        </is>
      </c>
      <c r="R418" s="189" t="inlineStr">
        <is>
          <t>🚨 URGENT: Apply vendor patches immediately | 🔒 Isolate affected systems if patch unavailable | 🛡️ Enable additional monitoring/IDS rules</t>
        </is>
      </c>
      <c r="S418" s="189" t="inlineStr">
        <is>
          <t>CVE - IP enrichment n/a</t>
        </is>
      </c>
      <c r="T418" s="189" t="n">
        <v>0.0005</v>
      </c>
      <c r="U418" s="189" t="n">
        <v>0.1409</v>
      </c>
      <c r="V418" s="189" t="inlineStr">
        <is>
          <t>T1203:Exploitation for Client Execution</t>
        </is>
      </c>
      <c r="W418" s="189" t="n">
        <v>1</v>
      </c>
      <c r="X418" s="189" t="inlineStr">
        <is>
          <t>LOW (40%)</t>
        </is>
      </c>
      <c r="Y418" s="189" t="inlineStr">
        <is>
          <t>UNLIKELY</t>
        </is>
      </c>
      <c r="Z418" s="189" t="inlineStr">
        <is>
          <t>PATCH_AVAILABLE</t>
        </is>
      </c>
      <c r="AA418" s="189" t="inlineStr">
        <is>
          <t>https://nvd.nist.gov/vuln/detail/CVE-2026-2763</t>
        </is>
      </c>
      <c r="AB418" s="189" t="inlineStr">
        <is>
          <t>NONE</t>
        </is>
      </c>
      <c r="AC418" s="189" t="n">
        <v>0</v>
      </c>
      <c r="AD418" s="189" t="inlineStr"/>
    </row>
    <row r="419">
      <c r="A419" s="189" t="inlineStr">
        <is>
          <t>CVE</t>
        </is>
      </c>
      <c r="B419" s="189" t="inlineStr">
        <is>
          <t>CVE-2026-2764</t>
        </is>
      </c>
      <c r="C419" s="189" t="inlineStr">
        <is>
          <t>JIT miscompilation, use-after-free in the JavaScript Engine: JIT component. This vulnerability affects Firefox &lt; 148, Firefox ESR &lt; 115.33, Firefox ESR &lt; 140.8, Thunderbird &lt; 148, and Thunderbird &lt; 140.8.</t>
        </is>
      </c>
      <c r="D419" s="189" t="n">
        <v>9.800000000000001</v>
      </c>
      <c r="E419" s="189" t="inlineStr">
        <is>
          <t>CRITICAL</t>
        </is>
      </c>
      <c r="F419" s="189" t="n">
        <v>2</v>
      </c>
      <c r="G419" s="189" t="n">
        <v>3</v>
      </c>
      <c r="H419" s="189" t="inlineStr">
        <is>
          <t>HIGH</t>
        </is>
      </c>
      <c r="I419" s="189" t="n">
        <v>15.8</v>
      </c>
      <c r="J419" s="189" t="inlineStr">
        <is>
          <t>NO</t>
        </is>
      </c>
      <c r="K419" s="189" t="inlineStr">
        <is>
          <t>https://nvd.nist.gov/vuln/detail/CVE-2026-2764</t>
        </is>
      </c>
      <c r="L419" s="189" t="inlineStr">
        <is>
          <t>2026-02-27 20:47</t>
        </is>
      </c>
      <c r="M419" s="189" t="inlineStr">
        <is>
          <t>YES</t>
        </is>
      </c>
      <c r="N419" s="189" t="inlineStr">
        <is>
          <t>https://www.mozilla.org/security/advisories/mfsa2026-13/ | https://www.mozilla.org/security/advisories/mfsa2026-14/ | https://www.mozilla.org/security/advisories/mfsa2026-15/</t>
        </is>
      </c>
      <c r="O419" s="189" t="inlineStr">
        <is>
          <t>Apply vendor patches</t>
        </is>
      </c>
      <c r="P419" s="189" t="inlineStr">
        <is>
          <t>mozilla firefox *</t>
        </is>
      </c>
      <c r="Q419" s="189" t="inlineStr">
        <is>
          <t>P3</t>
        </is>
      </c>
      <c r="R419" s="189" t="inlineStr">
        <is>
          <t>🚨 URGENT: Apply vendor patches immediately | 🔒 Isolate affected systems if patch unavailable | 🛡️ Enable additional monitoring/IDS rules</t>
        </is>
      </c>
      <c r="S419" s="189" t="inlineStr">
        <is>
          <t>CVE - IP enrichment n/a</t>
        </is>
      </c>
      <c r="T419" s="189" t="n">
        <v>0.0005</v>
      </c>
      <c r="U419" s="189" t="n">
        <v>0.1409</v>
      </c>
      <c r="V419" s="189" t="inlineStr">
        <is>
          <t>T1203:Exploitation for Client Execution</t>
        </is>
      </c>
      <c r="W419" s="189" t="n">
        <v>1</v>
      </c>
      <c r="X419" s="189" t="inlineStr">
        <is>
          <t>LOW (40%)</t>
        </is>
      </c>
      <c r="Y419" s="189" t="inlineStr">
        <is>
          <t>UNLIKELY</t>
        </is>
      </c>
      <c r="Z419" s="189" t="inlineStr">
        <is>
          <t>PATCH_AVAILABLE</t>
        </is>
      </c>
      <c r="AA419" s="189" t="inlineStr">
        <is>
          <t>https://nvd.nist.gov/vuln/detail/CVE-2026-2764</t>
        </is>
      </c>
      <c r="AB419" s="189" t="inlineStr">
        <is>
          <t>NONE</t>
        </is>
      </c>
      <c r="AC419" s="189" t="n">
        <v>0</v>
      </c>
      <c r="AD419" s="189" t="inlineStr"/>
    </row>
    <row r="420">
      <c r="A420" s="189" t="inlineStr">
        <is>
          <t>CVE</t>
        </is>
      </c>
      <c r="B420" s="189" t="inlineStr">
        <is>
          <t>CVE-2026-2765</t>
        </is>
      </c>
      <c r="C420" s="189" t="inlineStr">
        <is>
          <t>Use-after-free in the JavaScript Engine component. This vulnerability affects Firefox &lt; 148, Firefox ESR &lt; 140.8, Thunderbird &lt; 148, and Thunderbird &lt; 140.8.</t>
        </is>
      </c>
      <c r="D420" s="189" t="n">
        <v>9.800000000000001</v>
      </c>
      <c r="E420" s="189" t="inlineStr">
        <is>
          <t>CRITICAL</t>
        </is>
      </c>
      <c r="F420" s="189" t="n">
        <v>2</v>
      </c>
      <c r="G420" s="189" t="n">
        <v>3</v>
      </c>
      <c r="H420" s="189" t="inlineStr">
        <is>
          <t>HIGH</t>
        </is>
      </c>
      <c r="I420" s="189" t="n">
        <v>15.8</v>
      </c>
      <c r="J420" s="189" t="inlineStr">
        <is>
          <t>NO</t>
        </is>
      </c>
      <c r="K420" s="189" t="inlineStr">
        <is>
          <t>https://nvd.nist.gov/vuln/detail/CVE-2026-2765</t>
        </is>
      </c>
      <c r="L420" s="189" t="inlineStr">
        <is>
          <t>2026-02-27 20:47</t>
        </is>
      </c>
      <c r="M420" s="189" t="inlineStr">
        <is>
          <t>YES</t>
        </is>
      </c>
      <c r="N420" s="189" t="inlineStr">
        <is>
          <t>https://www.mozilla.org/security/advisories/mfsa2026-13/ | https://www.mozilla.org/security/advisories/mfsa2026-15/ | https://www.mozilla.org/security/advisories/mfsa2026-16/</t>
        </is>
      </c>
      <c r="O420" s="189" t="inlineStr">
        <is>
          <t>Apply vendor patches</t>
        </is>
      </c>
      <c r="P420" s="189" t="inlineStr">
        <is>
          <t>mozilla firefox * | mozilla thunderbird *</t>
        </is>
      </c>
      <c r="Q420" s="189" t="inlineStr">
        <is>
          <t>P3</t>
        </is>
      </c>
      <c r="R420" s="189" t="inlineStr">
        <is>
          <t>🚨 URGENT: Apply vendor patches immediately | 🔒 Isolate affected systems if patch unavailable | 🛡️ Enable additional monitoring/IDS rules</t>
        </is>
      </c>
      <c r="S420" s="189" t="inlineStr">
        <is>
          <t>CVE - IP enrichment n/a</t>
        </is>
      </c>
      <c r="T420" s="189" t="n">
        <v>0.0004</v>
      </c>
      <c r="U420" s="189" t="n">
        <v>0.1377</v>
      </c>
      <c r="V420" s="189" t="inlineStr">
        <is>
          <t>T1203:Exploitation for Client Execution</t>
        </is>
      </c>
      <c r="W420" s="189" t="n">
        <v>1</v>
      </c>
      <c r="X420" s="189" t="inlineStr">
        <is>
          <t>LOW (40%)</t>
        </is>
      </c>
      <c r="Y420" s="189" t="inlineStr">
        <is>
          <t>UNLIKELY</t>
        </is>
      </c>
      <c r="Z420" s="189" t="inlineStr">
        <is>
          <t>PATCH_AVAILABLE</t>
        </is>
      </c>
      <c r="AA420" s="189" t="inlineStr">
        <is>
          <t>https://nvd.nist.gov/vuln/detail/CVE-2026-2765</t>
        </is>
      </c>
      <c r="AB420" s="189" t="inlineStr">
        <is>
          <t>NONE</t>
        </is>
      </c>
      <c r="AC420" s="189" t="n">
        <v>0</v>
      </c>
      <c r="AD420" s="189" t="inlineStr"/>
    </row>
    <row r="421">
      <c r="A421" s="189" t="inlineStr">
        <is>
          <t>CVE</t>
        </is>
      </c>
      <c r="B421" s="189" t="inlineStr">
        <is>
          <t>CVE-2026-2766</t>
        </is>
      </c>
      <c r="C421" s="189" t="inlineStr">
        <is>
          <t>Use-after-free in the JavaScript Engine: JIT component. This vulnerability affects Firefox &lt; 148, Firefox ESR &lt; 140.8, Thunderbird &lt; 148, and Thunderbird &lt; 140.8.</t>
        </is>
      </c>
      <c r="D421" s="189" t="n">
        <v>9.800000000000001</v>
      </c>
      <c r="E421" s="189" t="inlineStr">
        <is>
          <t>CRITICAL</t>
        </is>
      </c>
      <c r="F421" s="189" t="n">
        <v>2</v>
      </c>
      <c r="G421" s="189" t="n">
        <v>3</v>
      </c>
      <c r="H421" s="189" t="inlineStr">
        <is>
          <t>HIGH</t>
        </is>
      </c>
      <c r="I421" s="189" t="n">
        <v>15.8</v>
      </c>
      <c r="J421" s="189" t="inlineStr">
        <is>
          <t>NO</t>
        </is>
      </c>
      <c r="K421" s="189" t="inlineStr">
        <is>
          <t>https://nvd.nist.gov/vuln/detail/CVE-2026-2766</t>
        </is>
      </c>
      <c r="L421" s="189" t="inlineStr">
        <is>
          <t>2026-02-27 20:47</t>
        </is>
      </c>
      <c r="M421" s="189" t="inlineStr">
        <is>
          <t>YES</t>
        </is>
      </c>
      <c r="N421" s="189" t="inlineStr">
        <is>
          <t>https://www.mozilla.org/security/advisories/mfsa2026-13/ | https://www.mozilla.org/security/advisories/mfsa2026-15/ | https://www.mozilla.org/security/advisories/mfsa2026-16/</t>
        </is>
      </c>
      <c r="O421" s="189" t="inlineStr">
        <is>
          <t>Apply vendor patches</t>
        </is>
      </c>
      <c r="P421" s="189" t="inlineStr">
        <is>
          <t>mozilla firefox * | mozilla thunderbird *</t>
        </is>
      </c>
      <c r="Q421" s="189" t="inlineStr">
        <is>
          <t>P3</t>
        </is>
      </c>
      <c r="R421" s="189" t="inlineStr">
        <is>
          <t>🚨 URGENT: Apply vendor patches immediately | 🔒 Isolate affected systems if patch unavailable | 🛡️ Enable additional monitoring/IDS rules</t>
        </is>
      </c>
      <c r="S421" s="189" t="inlineStr">
        <is>
          <t>CVE - IP enrichment n/a</t>
        </is>
      </c>
      <c r="T421" s="189" t="n">
        <v>0.0004</v>
      </c>
      <c r="U421" s="189" t="n">
        <v>0.1377</v>
      </c>
      <c r="V421" s="189" t="inlineStr">
        <is>
          <t>T1203:Exploitation for Client Execution</t>
        </is>
      </c>
      <c r="W421" s="189" t="n">
        <v>1</v>
      </c>
      <c r="X421" s="189" t="inlineStr">
        <is>
          <t>LOW (40%)</t>
        </is>
      </c>
      <c r="Y421" s="189" t="inlineStr">
        <is>
          <t>UNLIKELY</t>
        </is>
      </c>
      <c r="Z421" s="189" t="inlineStr">
        <is>
          <t>PATCH_AVAILABLE</t>
        </is>
      </c>
      <c r="AA421" s="189" t="inlineStr">
        <is>
          <t>https://nvd.nist.gov/vuln/detail/CVE-2026-2766</t>
        </is>
      </c>
      <c r="AB421" s="189" t="inlineStr">
        <is>
          <t>NONE</t>
        </is>
      </c>
      <c r="AC421" s="189" t="n">
        <v>0</v>
      </c>
      <c r="AD421" s="189" t="inlineStr"/>
    </row>
    <row r="422">
      <c r="A422" s="189" t="inlineStr">
        <is>
          <t>CVE</t>
        </is>
      </c>
      <c r="B422" s="189" t="inlineStr">
        <is>
          <t>CVE-2026-2767</t>
        </is>
      </c>
      <c r="C422" s="189" t="inlineStr">
        <is>
          <t>Use-after-free in the JavaScript: WebAssembly component. This vulnerability affects Firefox &lt; 148, Firefox ESR &lt; 140.8, Thunderbird &lt; 148, and Thunderbird &lt; 140.8.</t>
        </is>
      </c>
      <c r="D422" s="189" t="n">
        <v>9.800000000000001</v>
      </c>
      <c r="E422" s="189" t="inlineStr">
        <is>
          <t>CRITICAL</t>
        </is>
      </c>
      <c r="F422" s="189" t="n">
        <v>2</v>
      </c>
      <c r="G422" s="189" t="n">
        <v>3</v>
      </c>
      <c r="H422" s="189" t="inlineStr">
        <is>
          <t>HIGH</t>
        </is>
      </c>
      <c r="I422" s="189" t="n">
        <v>15.8</v>
      </c>
      <c r="J422" s="189" t="inlineStr">
        <is>
          <t>NO</t>
        </is>
      </c>
      <c r="K422" s="189" t="inlineStr">
        <is>
          <t>https://nvd.nist.gov/vuln/detail/CVE-2026-2767</t>
        </is>
      </c>
      <c r="L422" s="189" t="inlineStr">
        <is>
          <t>2026-02-27 20:47</t>
        </is>
      </c>
      <c r="M422" s="189" t="inlineStr">
        <is>
          <t>YES</t>
        </is>
      </c>
      <c r="N422" s="189" t="inlineStr">
        <is>
          <t>https://www.mozilla.org/security/advisories/mfsa2026-13/ | https://www.mozilla.org/security/advisories/mfsa2026-15/ | https://www.mozilla.org/security/advisories/mfsa2026-16/</t>
        </is>
      </c>
      <c r="O422" s="189" t="inlineStr">
        <is>
          <t>Apply vendor patches</t>
        </is>
      </c>
      <c r="P422" s="189" t="inlineStr">
        <is>
          <t>mozilla firefox * | mozilla thunderbird *</t>
        </is>
      </c>
      <c r="Q422" s="189" t="inlineStr">
        <is>
          <t>P3</t>
        </is>
      </c>
      <c r="R422" s="189" t="inlineStr">
        <is>
          <t>🚨 URGENT: Apply vendor patches immediately | 🔒 Isolate affected systems if patch unavailable | 🛡️ Enable additional monitoring/IDS rules</t>
        </is>
      </c>
      <c r="S422" s="189" t="inlineStr">
        <is>
          <t>CVE - IP enrichment n/a</t>
        </is>
      </c>
      <c r="T422" s="189" t="n">
        <v>0.0004</v>
      </c>
      <c r="U422" s="189" t="n">
        <v>0.1242</v>
      </c>
      <c r="V422" s="189" t="inlineStr">
        <is>
          <t>T1203:Exploitation for Client Execution</t>
        </is>
      </c>
      <c r="W422" s="189" t="n">
        <v>1</v>
      </c>
      <c r="X422" s="189" t="inlineStr">
        <is>
          <t>LOW (40%)</t>
        </is>
      </c>
      <c r="Y422" s="189" t="inlineStr">
        <is>
          <t>UNLIKELY</t>
        </is>
      </c>
      <c r="Z422" s="189" t="inlineStr">
        <is>
          <t>PATCH_AVAILABLE</t>
        </is>
      </c>
      <c r="AA422" s="189" t="inlineStr">
        <is>
          <t>https://nvd.nist.gov/vuln/detail/CVE-2026-2767</t>
        </is>
      </c>
      <c r="AB422" s="189" t="inlineStr">
        <is>
          <t>NONE</t>
        </is>
      </c>
      <c r="AC422" s="189" t="n">
        <v>0</v>
      </c>
      <c r="AD422" s="189" t="inlineStr"/>
    </row>
    <row r="423">
      <c r="A423" s="189" t="inlineStr">
        <is>
          <t>CVE</t>
        </is>
      </c>
      <c r="B423" s="189" t="inlineStr">
        <is>
          <t>CVE-2026-2768</t>
        </is>
      </c>
      <c r="C423" s="189" t="inlineStr">
        <is>
          <t>Sandbox escape in the Storage: IndexedDB component. This vulnerability affects Firefox &lt; 148, Firefox ESR &lt; 140.8, Thunderbird &lt; 148, and Thunderbird &lt; 140.8.</t>
        </is>
      </c>
      <c r="D423" s="189" t="n">
        <v>10</v>
      </c>
      <c r="E423" s="189" t="inlineStr">
        <is>
          <t>CRITICAL</t>
        </is>
      </c>
      <c r="F423" s="189" t="n">
        <v>2</v>
      </c>
      <c r="G423" s="189" t="n">
        <v>3</v>
      </c>
      <c r="H423" s="189" t="inlineStr">
        <is>
          <t>HIGH</t>
        </is>
      </c>
      <c r="I423" s="189" t="n">
        <v>16</v>
      </c>
      <c r="J423" s="189" t="inlineStr">
        <is>
          <t>NO</t>
        </is>
      </c>
      <c r="K423" s="189" t="inlineStr">
        <is>
          <t>https://nvd.nist.gov/vuln/detail/CVE-2026-2768</t>
        </is>
      </c>
      <c r="L423" s="189" t="inlineStr">
        <is>
          <t>2026-02-27 20:47</t>
        </is>
      </c>
      <c r="M423" s="189" t="inlineStr">
        <is>
          <t>YES</t>
        </is>
      </c>
      <c r="N423" s="189" t="inlineStr">
        <is>
          <t>https://www.mozilla.org/security/advisories/mfsa2026-13/ | https://www.mozilla.org/security/advisories/mfsa2026-15/ | https://www.mozilla.org/security/advisories/mfsa2026-16/</t>
        </is>
      </c>
      <c r="O423" s="189" t="inlineStr">
        <is>
          <t>Apply vendor patches</t>
        </is>
      </c>
      <c r="P423" s="189" t="inlineStr">
        <is>
          <t>mozilla firefox * | mozilla thunderbird *</t>
        </is>
      </c>
      <c r="Q423" s="189" t="inlineStr">
        <is>
          <t>P3</t>
        </is>
      </c>
      <c r="R423" s="189" t="inlineStr">
        <is>
          <t>🚨 URGENT: Apply vendor patches immediately | 🔒 Isolate affected systems if patch unavailable | 🛡️ Enable additional monitoring/IDS rules</t>
        </is>
      </c>
      <c r="S423" s="189" t="inlineStr">
        <is>
          <t>CVE - IP enrichment n/a</t>
        </is>
      </c>
      <c r="T423" s="189" t="n">
        <v>0.0007</v>
      </c>
      <c r="U423" s="189" t="n">
        <v>0.2087</v>
      </c>
      <c r="V423" s="189" t="inlineStr">
        <is>
          <t>T1190:Exploit Public-Facing Application</t>
        </is>
      </c>
      <c r="W423" s="189" t="n">
        <v>1</v>
      </c>
      <c r="X423" s="189" t="inlineStr">
        <is>
          <t>LOW (40%)</t>
        </is>
      </c>
      <c r="Y423" s="189" t="inlineStr">
        <is>
          <t>UNLIKELY</t>
        </is>
      </c>
      <c r="Z423" s="189" t="inlineStr">
        <is>
          <t>PATCH_AVAILABLE</t>
        </is>
      </c>
      <c r="AA423" s="189" t="inlineStr">
        <is>
          <t>https://nvd.nist.gov/vuln/detail/CVE-2026-2768</t>
        </is>
      </c>
      <c r="AB423" s="189" t="inlineStr">
        <is>
          <t>NONE</t>
        </is>
      </c>
      <c r="AC423" s="189" t="n">
        <v>0</v>
      </c>
      <c r="AD423" s="189" t="inlineStr"/>
    </row>
    <row r="424">
      <c r="A424" s="187" t="inlineStr">
        <is>
          <t>CVE</t>
        </is>
      </c>
      <c r="B424" s="187" t="inlineStr">
        <is>
          <t>CVE-2026-2769</t>
        </is>
      </c>
      <c r="C424" s="187" t="inlineStr">
        <is>
          <t>Use-after-free in the Storage: IndexedDB component. This vulnerability affects Firefox &lt; 148, Firefox ESR &lt; 115.33, Firefox ESR &lt; 140.8, Thunderbird &lt; 148, and Thunderbird &lt; 140.8.</t>
        </is>
      </c>
      <c r="D424" s="187" t="n">
        <v>8.800000000000001</v>
      </c>
      <c r="E424" s="187" t="inlineStr">
        <is>
          <t>HIGH</t>
        </is>
      </c>
      <c r="F424" s="187" t="n">
        <v>2</v>
      </c>
      <c r="G424" s="187" t="n">
        <v>3</v>
      </c>
      <c r="H424" s="187" t="inlineStr">
        <is>
          <t>HIGH</t>
        </is>
      </c>
      <c r="I424" s="187" t="n">
        <v>14.8</v>
      </c>
      <c r="J424" s="187" t="inlineStr">
        <is>
          <t>NO</t>
        </is>
      </c>
      <c r="K424" s="187" t="inlineStr">
        <is>
          <t>https://nvd.nist.gov/vuln/detail/CVE-2026-2769</t>
        </is>
      </c>
      <c r="L424" s="187" t="inlineStr">
        <is>
          <t>2026-02-27 20:47</t>
        </is>
      </c>
      <c r="M424" s="187" t="inlineStr">
        <is>
          <t>YES</t>
        </is>
      </c>
      <c r="N424" s="187" t="inlineStr">
        <is>
          <t>https://www.mozilla.org/security/advisories/mfsa2026-13/ | https://www.mozilla.org/security/advisories/mfsa2026-14/ | https://www.mozilla.org/security/advisories/mfsa2026-15/</t>
        </is>
      </c>
      <c r="O424" s="187" t="inlineStr">
        <is>
          <t>Apply vendor patches</t>
        </is>
      </c>
      <c r="P424" s="187" t="inlineStr">
        <is>
          <t>mozilla firefox *</t>
        </is>
      </c>
      <c r="Q424" s="187" t="inlineStr">
        <is>
          <t>P3</t>
        </is>
      </c>
      <c r="R424" s="187" t="inlineStr">
        <is>
          <t>🚨 URGENT: Apply vendor patches immediately | 🔒 Isolate affected systems if patch unavailable | 🛡️ Enable additional monitoring/IDS rules</t>
        </is>
      </c>
      <c r="S424" s="187" t="inlineStr">
        <is>
          <t>CVE - IP enrichment n/a</t>
        </is>
      </c>
      <c r="T424" s="187" t="n">
        <v>0.0004</v>
      </c>
      <c r="U424" s="187" t="n">
        <v>0.1291</v>
      </c>
      <c r="V424" s="187" t="inlineStr">
        <is>
          <t>T1203:Exploitation for Client Execution</t>
        </is>
      </c>
      <c r="W424" s="187" t="n">
        <v>1</v>
      </c>
      <c r="X424" s="187" t="inlineStr">
        <is>
          <t>LOW (40%)</t>
        </is>
      </c>
      <c r="Y424" s="187" t="inlineStr">
        <is>
          <t>UNLIKELY</t>
        </is>
      </c>
      <c r="Z424" s="187" t="inlineStr">
        <is>
          <t>PATCH_AVAILABLE</t>
        </is>
      </c>
      <c r="AA424" s="187" t="inlineStr">
        <is>
          <t>https://nvd.nist.gov/vuln/detail/CVE-2026-2769</t>
        </is>
      </c>
      <c r="AB424" s="187" t="inlineStr">
        <is>
          <t>NONE</t>
        </is>
      </c>
      <c r="AC424" s="187" t="n">
        <v>0</v>
      </c>
      <c r="AD424" s="187" t="inlineStr"/>
    </row>
    <row r="425">
      <c r="A425" s="189" t="inlineStr">
        <is>
          <t>CVE</t>
        </is>
      </c>
      <c r="B425" s="189" t="inlineStr">
        <is>
          <t>CVE-2026-2770</t>
        </is>
      </c>
      <c r="C425" s="189" t="inlineStr">
        <is>
          <t>Use-after-free in the DOM: Bindings (WebIDL) component. This vulnerability affects Firefox &lt; 148, Firefox ESR &lt; 115.33, Firefox ESR &lt; 140.8, Thunderbird &lt; 148, and Thunderbird &lt; 140.8.</t>
        </is>
      </c>
      <c r="D425" s="189" t="n">
        <v>9.800000000000001</v>
      </c>
      <c r="E425" s="189" t="inlineStr">
        <is>
          <t>CRITICAL</t>
        </is>
      </c>
      <c r="F425" s="189" t="n">
        <v>2</v>
      </c>
      <c r="G425" s="189" t="n">
        <v>3</v>
      </c>
      <c r="H425" s="189" t="inlineStr">
        <is>
          <t>HIGH</t>
        </is>
      </c>
      <c r="I425" s="189" t="n">
        <v>15.8</v>
      </c>
      <c r="J425" s="189" t="inlineStr">
        <is>
          <t>NO</t>
        </is>
      </c>
      <c r="K425" s="189" t="inlineStr">
        <is>
          <t>https://nvd.nist.gov/vuln/detail/CVE-2026-2770</t>
        </is>
      </c>
      <c r="L425" s="189" t="inlineStr">
        <is>
          <t>2026-02-27 20:47</t>
        </is>
      </c>
      <c r="M425" s="189" t="inlineStr">
        <is>
          <t>YES</t>
        </is>
      </c>
      <c r="N425" s="189" t="inlineStr">
        <is>
          <t>https://www.mozilla.org/security/advisories/mfsa2026-13/ | https://www.mozilla.org/security/advisories/mfsa2026-14/ | https://www.mozilla.org/security/advisories/mfsa2026-15/</t>
        </is>
      </c>
      <c r="O425" s="189" t="inlineStr">
        <is>
          <t>Apply vendor patches</t>
        </is>
      </c>
      <c r="P425" s="189" t="inlineStr">
        <is>
          <t>mozilla firefox *</t>
        </is>
      </c>
      <c r="Q425" s="189" t="inlineStr">
        <is>
          <t>P3</t>
        </is>
      </c>
      <c r="R425" s="189" t="inlineStr">
        <is>
          <t>🚨 URGENT: Apply vendor patches immediately | 🔒 Isolate affected systems if patch unavailable | 🛡️ Enable additional monitoring/IDS rules</t>
        </is>
      </c>
      <c r="S425" s="189" t="inlineStr">
        <is>
          <t>CVE - IP enrichment n/a</t>
        </is>
      </c>
      <c r="T425" s="189" t="n">
        <v>0.0004</v>
      </c>
      <c r="U425" s="189" t="n">
        <v>0.1273</v>
      </c>
      <c r="V425" s="189" t="inlineStr">
        <is>
          <t>T1203:Exploitation for Client Execution</t>
        </is>
      </c>
      <c r="W425" s="189" t="n">
        <v>1</v>
      </c>
      <c r="X425" s="189" t="inlineStr">
        <is>
          <t>LOW (40%)</t>
        </is>
      </c>
      <c r="Y425" s="189" t="inlineStr">
        <is>
          <t>UNLIKELY</t>
        </is>
      </c>
      <c r="Z425" s="189" t="inlineStr">
        <is>
          <t>PATCH_AVAILABLE</t>
        </is>
      </c>
      <c r="AA425" s="189" t="inlineStr">
        <is>
          <t>https://nvd.nist.gov/vuln/detail/CVE-2026-2770</t>
        </is>
      </c>
      <c r="AB425" s="189" t="inlineStr">
        <is>
          <t>NONE</t>
        </is>
      </c>
      <c r="AC425" s="189" t="n">
        <v>0</v>
      </c>
      <c r="AD425" s="189" t="inlineStr"/>
    </row>
    <row r="426">
      <c r="A426" s="189" t="inlineStr">
        <is>
          <t>CVE</t>
        </is>
      </c>
      <c r="B426" s="189" t="inlineStr">
        <is>
          <t>CVE-2026-2771</t>
        </is>
      </c>
      <c r="C426" s="189" t="inlineStr">
        <is>
          <t>Undefined behavior in the DOM: Core &amp; HTML component. This vulnerability affects Firefox &lt; 148, Firefox ESR &lt; 115.33, Firefox ESR &lt; 140.8, Thunderbird &lt; 148, and Thunderbird &lt; 140.8.</t>
        </is>
      </c>
      <c r="D426" s="189" t="n">
        <v>9.800000000000001</v>
      </c>
      <c r="E426" s="189" t="inlineStr">
        <is>
          <t>CRITICAL</t>
        </is>
      </c>
      <c r="F426" s="189" t="n">
        <v>2</v>
      </c>
      <c r="G426" s="189" t="n">
        <v>3</v>
      </c>
      <c r="H426" s="189" t="inlineStr">
        <is>
          <t>HIGH</t>
        </is>
      </c>
      <c r="I426" s="189" t="n">
        <v>15.8</v>
      </c>
      <c r="J426" s="189" t="inlineStr">
        <is>
          <t>NO</t>
        </is>
      </c>
      <c r="K426" s="189" t="inlineStr">
        <is>
          <t>https://nvd.nist.gov/vuln/detail/CVE-2026-2771</t>
        </is>
      </c>
      <c r="L426" s="189" t="inlineStr">
        <is>
          <t>2026-02-27 20:47</t>
        </is>
      </c>
      <c r="M426" s="189" t="inlineStr">
        <is>
          <t>YES</t>
        </is>
      </c>
      <c r="N426" s="189" t="inlineStr">
        <is>
          <t>https://www.mozilla.org/security/advisories/mfsa2026-13/ | https://www.mozilla.org/security/advisories/mfsa2026-14/ | https://www.mozilla.org/security/advisories/mfsa2026-15/</t>
        </is>
      </c>
      <c r="O426" s="189" t="inlineStr">
        <is>
          <t>Apply vendor patches</t>
        </is>
      </c>
      <c r="P426" s="189" t="inlineStr">
        <is>
          <t>mozilla firefox *</t>
        </is>
      </c>
      <c r="Q426" s="189" t="inlineStr">
        <is>
          <t>P3</t>
        </is>
      </c>
      <c r="R426" s="189" t="inlineStr">
        <is>
          <t>🚨 URGENT: Apply vendor patches immediately | 🔒 Isolate affected systems if patch unavailable | 🛡️ Enable additional monitoring/IDS rules</t>
        </is>
      </c>
      <c r="S426" s="189" t="inlineStr">
        <is>
          <t>CVE - IP enrichment n/a</t>
        </is>
      </c>
      <c r="T426" s="189" t="n">
        <v>0.0005</v>
      </c>
      <c r="U426" s="189" t="n">
        <v>0.1409</v>
      </c>
      <c r="V426" s="189" t="inlineStr">
        <is>
          <t>T1190:Exploit Public-Facing Application</t>
        </is>
      </c>
      <c r="W426" s="189" t="n">
        <v>1</v>
      </c>
      <c r="X426" s="189" t="inlineStr">
        <is>
          <t>LOW (40%)</t>
        </is>
      </c>
      <c r="Y426" s="189" t="inlineStr">
        <is>
          <t>UNLIKELY</t>
        </is>
      </c>
      <c r="Z426" s="189" t="inlineStr">
        <is>
          <t>PATCH_AVAILABLE</t>
        </is>
      </c>
      <c r="AA426" s="189" t="inlineStr">
        <is>
          <t>https://nvd.nist.gov/vuln/detail/CVE-2026-2771</t>
        </is>
      </c>
      <c r="AB426" s="189" t="inlineStr">
        <is>
          <t>NONE</t>
        </is>
      </c>
      <c r="AC426" s="189" t="n">
        <v>0</v>
      </c>
      <c r="AD426" s="189" t="inlineStr"/>
    </row>
    <row r="427">
      <c r="A427" s="189" t="inlineStr">
        <is>
          <t>CVE</t>
        </is>
      </c>
      <c r="B427" s="189" t="inlineStr">
        <is>
          <t>CVE-2026-2772</t>
        </is>
      </c>
      <c r="C427" s="189" t="inlineStr">
        <is>
          <t>Use-after-free in the Audio/Video: Playback component. This vulnerability affects Firefox &lt; 148, Firefox ESR &lt; 115.33, Firefox ESR &lt; 140.8, Thunderbird &lt; 148, and Thunderbird &lt; 140.8.</t>
        </is>
      </c>
      <c r="D427" s="189" t="n">
        <v>9.800000000000001</v>
      </c>
      <c r="E427" s="189" t="inlineStr">
        <is>
          <t>CRITICAL</t>
        </is>
      </c>
      <c r="F427" s="189" t="n">
        <v>2</v>
      </c>
      <c r="G427" s="189" t="n">
        <v>3</v>
      </c>
      <c r="H427" s="189" t="inlineStr">
        <is>
          <t>HIGH</t>
        </is>
      </c>
      <c r="I427" s="189" t="n">
        <v>15.8</v>
      </c>
      <c r="J427" s="189" t="inlineStr">
        <is>
          <t>NO</t>
        </is>
      </c>
      <c r="K427" s="189" t="inlineStr">
        <is>
          <t>https://nvd.nist.gov/vuln/detail/CVE-2026-2772</t>
        </is>
      </c>
      <c r="L427" s="189" t="inlineStr">
        <is>
          <t>2026-02-27 20:47</t>
        </is>
      </c>
      <c r="M427" s="189" t="inlineStr">
        <is>
          <t>YES</t>
        </is>
      </c>
      <c r="N427" s="189" t="inlineStr">
        <is>
          <t>https://www.mozilla.org/security/advisories/mfsa2026-13/ | https://www.mozilla.org/security/advisories/mfsa2026-14/ | https://www.mozilla.org/security/advisories/mfsa2026-15/</t>
        </is>
      </c>
      <c r="O427" s="189" t="inlineStr">
        <is>
          <t>Apply vendor patches</t>
        </is>
      </c>
      <c r="P427" s="189" t="inlineStr">
        <is>
          <t>mozilla firefox *</t>
        </is>
      </c>
      <c r="Q427" s="189" t="inlineStr">
        <is>
          <t>P3</t>
        </is>
      </c>
      <c r="R427" s="189" t="inlineStr">
        <is>
          <t>🚨 URGENT: Apply vendor patches immediately | 🔒 Isolate affected systems if patch unavailable | 🛡️ Enable additional monitoring/IDS rules</t>
        </is>
      </c>
      <c r="S427" s="189" t="inlineStr">
        <is>
          <t>CVE - IP enrichment n/a</t>
        </is>
      </c>
      <c r="T427" s="189" t="n">
        <v>0.0004</v>
      </c>
      <c r="U427" s="189" t="n">
        <v>0.1273</v>
      </c>
      <c r="V427" s="189" t="inlineStr">
        <is>
          <t>T1203:Exploitation for Client Execution</t>
        </is>
      </c>
      <c r="W427" s="189" t="n">
        <v>1</v>
      </c>
      <c r="X427" s="189" t="inlineStr">
        <is>
          <t>LOW (40%)</t>
        </is>
      </c>
      <c r="Y427" s="189" t="inlineStr">
        <is>
          <t>UNLIKELY</t>
        </is>
      </c>
      <c r="Z427" s="189" t="inlineStr">
        <is>
          <t>PATCH_AVAILABLE</t>
        </is>
      </c>
      <c r="AA427" s="189" t="inlineStr">
        <is>
          <t>https://nvd.nist.gov/vuln/detail/CVE-2026-2772</t>
        </is>
      </c>
      <c r="AB427" s="189" t="inlineStr">
        <is>
          <t>NONE</t>
        </is>
      </c>
      <c r="AC427" s="189" t="n">
        <v>0</v>
      </c>
      <c r="AD427" s="189" t="inlineStr"/>
    </row>
    <row r="428">
      <c r="A428" s="189" t="inlineStr">
        <is>
          <t>CVE</t>
        </is>
      </c>
      <c r="B428" s="189" t="inlineStr">
        <is>
          <t>CVE-2026-2773</t>
        </is>
      </c>
      <c r="C428" s="189" t="inlineStr">
        <is>
          <t>Incorrect boundary conditions in the Web Audio component. This vulnerability affects Firefox &lt; 148, Firefox ESR &lt; 115.33, Firefox ESR &lt; 140.8, Thunderbird &lt; 148, and Thunderbird &lt; 140.8.</t>
        </is>
      </c>
      <c r="D428" s="189" t="n">
        <v>9.800000000000001</v>
      </c>
      <c r="E428" s="189" t="inlineStr">
        <is>
          <t>CRITICAL</t>
        </is>
      </c>
      <c r="F428" s="189" t="n">
        <v>2</v>
      </c>
      <c r="G428" s="189" t="n">
        <v>3</v>
      </c>
      <c r="H428" s="189" t="inlineStr">
        <is>
          <t>HIGH</t>
        </is>
      </c>
      <c r="I428" s="189" t="n">
        <v>15.8</v>
      </c>
      <c r="J428" s="189" t="inlineStr">
        <is>
          <t>NO</t>
        </is>
      </c>
      <c r="K428" s="189" t="inlineStr">
        <is>
          <t>https://nvd.nist.gov/vuln/detail/CVE-2026-2773</t>
        </is>
      </c>
      <c r="L428" s="189" t="inlineStr">
        <is>
          <t>2026-02-27 20:47</t>
        </is>
      </c>
      <c r="M428" s="189" t="inlineStr">
        <is>
          <t>YES</t>
        </is>
      </c>
      <c r="N428" s="189" t="inlineStr">
        <is>
          <t>https://www.mozilla.org/security/advisories/mfsa2026-13/ | https://www.mozilla.org/security/advisories/mfsa2026-14/ | https://www.mozilla.org/security/advisories/mfsa2026-15/</t>
        </is>
      </c>
      <c r="O428" s="189" t="inlineStr">
        <is>
          <t>Apply vendor patches</t>
        </is>
      </c>
      <c r="P428" s="189" t="inlineStr">
        <is>
          <t>mozilla firefox *</t>
        </is>
      </c>
      <c r="Q428" s="189" t="inlineStr">
        <is>
          <t>P3</t>
        </is>
      </c>
      <c r="R428" s="189" t="inlineStr">
        <is>
          <t>🚨 URGENT: Apply vendor patches immediately | 🔒 Isolate affected systems if patch unavailable | 🛡️ Enable additional monitoring/IDS rules</t>
        </is>
      </c>
      <c r="S428" s="189" t="inlineStr">
        <is>
          <t>CVE - IP enrichment n/a</t>
        </is>
      </c>
      <c r="T428" s="189" t="n">
        <v>0.0005</v>
      </c>
      <c r="U428" s="189" t="n">
        <v>0.1409</v>
      </c>
      <c r="V428" s="189" t="inlineStr">
        <is>
          <t>T1190:Exploit Public-Facing Application</t>
        </is>
      </c>
      <c r="W428" s="189" t="n">
        <v>1</v>
      </c>
      <c r="X428" s="189" t="inlineStr">
        <is>
          <t>LOW (40%)</t>
        </is>
      </c>
      <c r="Y428" s="189" t="inlineStr">
        <is>
          <t>UNLIKELY</t>
        </is>
      </c>
      <c r="Z428" s="189" t="inlineStr">
        <is>
          <t>PATCH_AVAILABLE</t>
        </is>
      </c>
      <c r="AA428" s="189" t="inlineStr">
        <is>
          <t>https://nvd.nist.gov/vuln/detail/CVE-2026-2773</t>
        </is>
      </c>
      <c r="AB428" s="189" t="inlineStr">
        <is>
          <t>NONE</t>
        </is>
      </c>
      <c r="AC428" s="189" t="n">
        <v>0</v>
      </c>
      <c r="AD428" s="189" t="inlineStr"/>
    </row>
    <row r="429">
      <c r="A429" s="189" t="inlineStr">
        <is>
          <t>CVE</t>
        </is>
      </c>
      <c r="B429" s="189" t="inlineStr">
        <is>
          <t>CVE-2026-2774</t>
        </is>
      </c>
      <c r="C429" s="189" t="inlineStr">
        <is>
          <t>Integer overflow in the Audio/Video component. This vulnerability affects Firefox &lt; 148, Firefox ESR &lt; 115.33, Firefox ESR &lt; 140.8, Thunderbird &lt; 148, and Thunderbird &lt; 140.8.</t>
        </is>
      </c>
      <c r="D429" s="189" t="n">
        <v>9.800000000000001</v>
      </c>
      <c r="E429" s="189" t="inlineStr">
        <is>
          <t>CRITICAL</t>
        </is>
      </c>
      <c r="F429" s="189" t="n">
        <v>2</v>
      </c>
      <c r="G429" s="189" t="n">
        <v>3</v>
      </c>
      <c r="H429" s="189" t="inlineStr">
        <is>
          <t>HIGH</t>
        </is>
      </c>
      <c r="I429" s="189" t="n">
        <v>15.8</v>
      </c>
      <c r="J429" s="189" t="inlineStr">
        <is>
          <t>NO</t>
        </is>
      </c>
      <c r="K429" s="189" t="inlineStr">
        <is>
          <t>https://nvd.nist.gov/vuln/detail/CVE-2026-2774</t>
        </is>
      </c>
      <c r="L429" s="189" t="inlineStr">
        <is>
          <t>2026-02-27 20:47</t>
        </is>
      </c>
      <c r="M429" s="189" t="inlineStr">
        <is>
          <t>YES</t>
        </is>
      </c>
      <c r="N429" s="189" t="inlineStr">
        <is>
          <t>https://www.mozilla.org/security/advisories/mfsa2026-13/ | https://www.mozilla.org/security/advisories/mfsa2026-14/ | https://www.mozilla.org/security/advisories/mfsa2026-15/</t>
        </is>
      </c>
      <c r="O429" s="189" t="inlineStr">
        <is>
          <t>Apply vendor patches</t>
        </is>
      </c>
      <c r="P429" s="189" t="inlineStr">
        <is>
          <t>mozilla firefox *</t>
        </is>
      </c>
      <c r="Q429" s="189" t="inlineStr">
        <is>
          <t>P3</t>
        </is>
      </c>
      <c r="R429" s="189" t="inlineStr">
        <is>
          <t>🚨 URGENT: Apply vendor patches immediately | 🔒 Isolate affected systems if patch unavailable | 🛡️ Enable additional monitoring/IDS rules</t>
        </is>
      </c>
      <c r="S429" s="189" t="inlineStr">
        <is>
          <t>CVE - IP enrichment n/a</t>
        </is>
      </c>
      <c r="T429" s="189" t="n">
        <v>0.0004</v>
      </c>
      <c r="U429" s="189" t="n">
        <v>0.1273</v>
      </c>
      <c r="V429" s="189" t="inlineStr">
        <is>
          <t>T1190:Exploit Public-Facing Application | T1203:Exploitation for Client Execution</t>
        </is>
      </c>
      <c r="W429" s="189" t="n">
        <v>1</v>
      </c>
      <c r="X429" s="189" t="inlineStr">
        <is>
          <t>LOW (40%)</t>
        </is>
      </c>
      <c r="Y429" s="189" t="inlineStr">
        <is>
          <t>UNLIKELY</t>
        </is>
      </c>
      <c r="Z429" s="189" t="inlineStr">
        <is>
          <t>PATCH_AVAILABLE</t>
        </is>
      </c>
      <c r="AA429" s="189" t="inlineStr">
        <is>
          <t>https://nvd.nist.gov/vuln/detail/CVE-2026-2774</t>
        </is>
      </c>
      <c r="AB429" s="189" t="inlineStr">
        <is>
          <t>NONE</t>
        </is>
      </c>
      <c r="AC429" s="189" t="n">
        <v>0</v>
      </c>
      <c r="AD429" s="189" t="inlineStr"/>
    </row>
    <row r="430">
      <c r="A430" s="189" t="inlineStr">
        <is>
          <t>CVE</t>
        </is>
      </c>
      <c r="B430" s="189" t="inlineStr">
        <is>
          <t>CVE-2026-2775</t>
        </is>
      </c>
      <c r="C430" s="189" t="inlineStr">
        <is>
          <t>Mitigation bypass in the DOM: HTML Parser component. This vulnerability affects Firefox &lt; 148, Firefox ESR &lt; 115.33, Firefox ESR &lt; 140.8, Thunderbird &lt; 148, and Thunderbird &lt; 140.8.</t>
        </is>
      </c>
      <c r="D430" s="189" t="n">
        <v>9.800000000000001</v>
      </c>
      <c r="E430" s="189" t="inlineStr">
        <is>
          <t>CRITICAL</t>
        </is>
      </c>
      <c r="F430" s="189" t="n">
        <v>2</v>
      </c>
      <c r="G430" s="189" t="n">
        <v>3</v>
      </c>
      <c r="H430" s="189" t="inlineStr">
        <is>
          <t>HIGH</t>
        </is>
      </c>
      <c r="I430" s="189" t="n">
        <v>15.8</v>
      </c>
      <c r="J430" s="189" t="inlineStr">
        <is>
          <t>NO</t>
        </is>
      </c>
      <c r="K430" s="189" t="inlineStr">
        <is>
          <t>https://nvd.nist.gov/vuln/detail/CVE-2026-2775</t>
        </is>
      </c>
      <c r="L430" s="189" t="inlineStr">
        <is>
          <t>2026-02-27 20:47</t>
        </is>
      </c>
      <c r="M430" s="189" t="inlineStr">
        <is>
          <t>YES</t>
        </is>
      </c>
      <c r="N430" s="189" t="inlineStr">
        <is>
          <t>https://www.mozilla.org/security/advisories/mfsa2026-13/ | https://www.mozilla.org/security/advisories/mfsa2026-14/ | https://www.mozilla.org/security/advisories/mfsa2026-15/</t>
        </is>
      </c>
      <c r="O430" s="189" t="inlineStr">
        <is>
          <t>Apply vendor patches</t>
        </is>
      </c>
      <c r="P430" s="189" t="inlineStr">
        <is>
          <t>mozilla firefox *</t>
        </is>
      </c>
      <c r="Q430" s="189" t="inlineStr">
        <is>
          <t>P3</t>
        </is>
      </c>
      <c r="R430" s="189" t="inlineStr">
        <is>
          <t>🚨 URGENT: Apply vendor patches immediately | 🔒 Isolate affected systems if patch unavailable | 🛡️ Enable additional monitoring/IDS rules</t>
        </is>
      </c>
      <c r="S430" s="189" t="inlineStr">
        <is>
          <t>CVE - IP enrichment n/a</t>
        </is>
      </c>
      <c r="T430" s="189" t="n">
        <v>0.0005</v>
      </c>
      <c r="U430" s="189" t="n">
        <v>0.1409</v>
      </c>
      <c r="V430" s="189" t="inlineStr">
        <is>
          <t>T1190:Exploit Public-Facing Application</t>
        </is>
      </c>
      <c r="W430" s="189" t="n">
        <v>1</v>
      </c>
      <c r="X430" s="189" t="inlineStr">
        <is>
          <t>LOW (40%)</t>
        </is>
      </c>
      <c r="Y430" s="189" t="inlineStr">
        <is>
          <t>UNLIKELY</t>
        </is>
      </c>
      <c r="Z430" s="189" t="inlineStr">
        <is>
          <t>PATCH_AVAILABLE</t>
        </is>
      </c>
      <c r="AA430" s="189" t="inlineStr">
        <is>
          <t>https://nvd.nist.gov/vuln/detail/CVE-2026-2775</t>
        </is>
      </c>
      <c r="AB430" s="189" t="inlineStr">
        <is>
          <t>NONE</t>
        </is>
      </c>
      <c r="AC430" s="189" t="n">
        <v>0</v>
      </c>
      <c r="AD430" s="189" t="inlineStr"/>
    </row>
    <row r="431">
      <c r="A431" s="189" t="inlineStr">
        <is>
          <t>CVE</t>
        </is>
      </c>
      <c r="B431" s="189" t="inlineStr">
        <is>
          <t>CVE-2026-2776</t>
        </is>
      </c>
      <c r="C431" s="189" t="inlineStr">
        <is>
          <t>Sandbox escape due to incorrect boundary conditions in the Telemetry component in External Software. This vulnerability affects Firefox &lt; 148, Firefox ESR &lt; 115.33, Firefox ESR &lt; 140.8, Thunderbird &lt; 148, and Thunderbird &lt; 140.8.</t>
        </is>
      </c>
      <c r="D431" s="189" t="n">
        <v>10</v>
      </c>
      <c r="E431" s="189" t="inlineStr">
        <is>
          <t>CRITICAL</t>
        </is>
      </c>
      <c r="F431" s="189" t="n">
        <v>2</v>
      </c>
      <c r="G431" s="189" t="n">
        <v>3</v>
      </c>
      <c r="H431" s="189" t="inlineStr">
        <is>
          <t>HIGH</t>
        </is>
      </c>
      <c r="I431" s="189" t="n">
        <v>16</v>
      </c>
      <c r="J431" s="189" t="inlineStr">
        <is>
          <t>NO</t>
        </is>
      </c>
      <c r="K431" s="189" t="inlineStr">
        <is>
          <t>https://nvd.nist.gov/vuln/detail/CVE-2026-2776</t>
        </is>
      </c>
      <c r="L431" s="189" t="inlineStr">
        <is>
          <t>2026-02-27 20:47</t>
        </is>
      </c>
      <c r="M431" s="189" t="inlineStr">
        <is>
          <t>YES</t>
        </is>
      </c>
      <c r="N431" s="189" t="inlineStr">
        <is>
          <t>https://www.mozilla.org/security/advisories/mfsa2026-13/ | https://www.mozilla.org/security/advisories/mfsa2026-14/ | https://www.mozilla.org/security/advisories/mfsa2026-15/</t>
        </is>
      </c>
      <c r="O431" s="189" t="inlineStr">
        <is>
          <t>Apply vendor patches</t>
        </is>
      </c>
      <c r="P431" s="189" t="inlineStr">
        <is>
          <t>mozilla firefox *</t>
        </is>
      </c>
      <c r="Q431" s="189" t="inlineStr">
        <is>
          <t>P3</t>
        </is>
      </c>
      <c r="R431" s="189" t="inlineStr">
        <is>
          <t>🚨 URGENT: Apply vendor patches immediately | 🔒 Isolate affected systems if patch unavailable | 🛡️ Enable additional monitoring/IDS rules</t>
        </is>
      </c>
      <c r="S431" s="189" t="inlineStr">
        <is>
          <t>CVE - IP enrichment n/a</t>
        </is>
      </c>
      <c r="T431" s="189" t="n">
        <v>0.0005</v>
      </c>
      <c r="U431" s="189" t="n">
        <v>0.1686</v>
      </c>
      <c r="V431" s="189" t="inlineStr">
        <is>
          <t>T1190:Exploit Public-Facing Application</t>
        </is>
      </c>
      <c r="W431" s="189" t="n">
        <v>1</v>
      </c>
      <c r="X431" s="189" t="inlineStr">
        <is>
          <t>LOW (40%)</t>
        </is>
      </c>
      <c r="Y431" s="189" t="inlineStr">
        <is>
          <t>UNLIKELY</t>
        </is>
      </c>
      <c r="Z431" s="189" t="inlineStr">
        <is>
          <t>PATCH_AVAILABLE</t>
        </is>
      </c>
      <c r="AA431" s="189" t="inlineStr">
        <is>
          <t>https://nvd.nist.gov/vuln/detail/CVE-2026-2776</t>
        </is>
      </c>
      <c r="AB431" s="189" t="inlineStr">
        <is>
          <t>NONE</t>
        </is>
      </c>
      <c r="AC431" s="189" t="n">
        <v>0</v>
      </c>
      <c r="AD431" s="189" t="inlineStr"/>
    </row>
    <row r="432">
      <c r="A432" s="189" t="inlineStr">
        <is>
          <t>CVE</t>
        </is>
      </c>
      <c r="B432" s="189" t="inlineStr">
        <is>
          <t>CVE-2026-2777</t>
        </is>
      </c>
      <c r="C432" s="189" t="inlineStr">
        <is>
          <t>Privilege escalation in the Messaging System component. This vulnerability affects Firefox &lt; 148, Firefox ESR &lt; 115.33, Firefox ESR &lt; 140.8, Thunderbird &lt; 148, and Thunderbird &lt; 140.8.</t>
        </is>
      </c>
      <c r="D432" s="189" t="n">
        <v>9.800000000000001</v>
      </c>
      <c r="E432" s="189" t="inlineStr">
        <is>
          <t>CRITICAL</t>
        </is>
      </c>
      <c r="F432" s="189" t="n">
        <v>2</v>
      </c>
      <c r="G432" s="189" t="n">
        <v>3</v>
      </c>
      <c r="H432" s="189" t="inlineStr">
        <is>
          <t>HIGH</t>
        </is>
      </c>
      <c r="I432" s="189" t="n">
        <v>15.8</v>
      </c>
      <c r="J432" s="189" t="inlineStr">
        <is>
          <t>NO</t>
        </is>
      </c>
      <c r="K432" s="189" t="inlineStr">
        <is>
          <t>https://nvd.nist.gov/vuln/detail/CVE-2026-2777</t>
        </is>
      </c>
      <c r="L432" s="189" t="inlineStr">
        <is>
          <t>2026-02-27 20:47</t>
        </is>
      </c>
      <c r="M432" s="189" t="inlineStr">
        <is>
          <t>YES</t>
        </is>
      </c>
      <c r="N432" s="189" t="inlineStr">
        <is>
          <t>https://www.mozilla.org/security/advisories/mfsa2026-13/ | https://www.mozilla.org/security/advisories/mfsa2026-14/ | https://www.mozilla.org/security/advisories/mfsa2026-15/</t>
        </is>
      </c>
      <c r="O432" s="189" t="inlineStr">
        <is>
          <t>Apply vendor patches</t>
        </is>
      </c>
      <c r="P432" s="189" t="inlineStr">
        <is>
          <t>mozilla firefox *</t>
        </is>
      </c>
      <c r="Q432" s="189" t="inlineStr">
        <is>
          <t>P3</t>
        </is>
      </c>
      <c r="R432" s="189" t="inlineStr">
        <is>
          <t>🚨 URGENT: Apply vendor patches immediately | 🔒 Isolate affected systems if patch unavailable | 🛡️ Enable additional monitoring/IDS rules</t>
        </is>
      </c>
      <c r="S432" s="189" t="inlineStr">
        <is>
          <t>CVE - IP enrichment n/a</t>
        </is>
      </c>
      <c r="T432" s="189" t="n">
        <v>0.0004</v>
      </c>
      <c r="U432" s="189" t="n">
        <v>0.136</v>
      </c>
      <c r="V432" s="189" t="inlineStr">
        <is>
          <t>T1068:Exploitation for Privilege Escalation</t>
        </is>
      </c>
      <c r="W432" s="189" t="n">
        <v>1</v>
      </c>
      <c r="X432" s="189" t="inlineStr">
        <is>
          <t>LOW (40%)</t>
        </is>
      </c>
      <c r="Y432" s="189" t="inlineStr">
        <is>
          <t>UNLIKELY</t>
        </is>
      </c>
      <c r="Z432" s="189" t="inlineStr">
        <is>
          <t>PATCH_AVAILABLE</t>
        </is>
      </c>
      <c r="AA432" s="189" t="inlineStr">
        <is>
          <t>https://nvd.nist.gov/vuln/detail/CVE-2026-2777</t>
        </is>
      </c>
      <c r="AB432" s="189" t="inlineStr">
        <is>
          <t>NONE</t>
        </is>
      </c>
      <c r="AC432" s="189" t="n">
        <v>0</v>
      </c>
      <c r="AD432" s="189" t="inlineStr"/>
    </row>
    <row r="433">
      <c r="A433" s="189" t="inlineStr">
        <is>
          <t>CVE</t>
        </is>
      </c>
      <c r="B433" s="189" t="inlineStr">
        <is>
          <t>CVE-2026-2778</t>
        </is>
      </c>
      <c r="C433" s="189" t="inlineStr">
        <is>
          <t>Sandbox escape due to incorrect boundary conditions in the DOM: Core &amp; HTML component. This vulnerability affects Firefox &lt; 148, Firefox ESR &lt; 115.33, Firefox ESR &lt; 140.8, Thunderbird &lt; 148, and Thunderbird &lt; 140.8.</t>
        </is>
      </c>
      <c r="D433" s="189" t="n">
        <v>10</v>
      </c>
      <c r="E433" s="189" t="inlineStr">
        <is>
          <t>CRITICAL</t>
        </is>
      </c>
      <c r="F433" s="189" t="n">
        <v>2</v>
      </c>
      <c r="G433" s="189" t="n">
        <v>3</v>
      </c>
      <c r="H433" s="189" t="inlineStr">
        <is>
          <t>HIGH</t>
        </is>
      </c>
      <c r="I433" s="189" t="n">
        <v>16</v>
      </c>
      <c r="J433" s="189" t="inlineStr">
        <is>
          <t>NO</t>
        </is>
      </c>
      <c r="K433" s="189" t="inlineStr">
        <is>
          <t>https://nvd.nist.gov/vuln/detail/CVE-2026-2778</t>
        </is>
      </c>
      <c r="L433" s="189" t="inlineStr">
        <is>
          <t>2026-02-27 20:47</t>
        </is>
      </c>
      <c r="M433" s="189" t="inlineStr">
        <is>
          <t>YES</t>
        </is>
      </c>
      <c r="N433" s="189" t="inlineStr">
        <is>
          <t>https://www.mozilla.org/security/advisories/mfsa2026-13/ | https://www.mozilla.org/security/advisories/mfsa2026-14/ | https://www.mozilla.org/security/advisories/mfsa2026-15/</t>
        </is>
      </c>
      <c r="O433" s="189" t="inlineStr">
        <is>
          <t>Apply vendor patches</t>
        </is>
      </c>
      <c r="P433" s="189" t="inlineStr">
        <is>
          <t>mozilla firefox *</t>
        </is>
      </c>
      <c r="Q433" s="189" t="inlineStr">
        <is>
          <t>P3</t>
        </is>
      </c>
      <c r="R433" s="189" t="inlineStr">
        <is>
          <t>🚨 URGENT: Apply vendor patches immediately | 🔒 Isolate affected systems if patch unavailable | 🛡️ Enable additional monitoring/IDS rules</t>
        </is>
      </c>
      <c r="S433" s="189" t="inlineStr">
        <is>
          <t>CVE - IP enrichment n/a</t>
        </is>
      </c>
      <c r="T433" s="189" t="n">
        <v>0.0005</v>
      </c>
      <c r="U433" s="189" t="n">
        <v>0.1686</v>
      </c>
      <c r="V433" s="189" t="inlineStr">
        <is>
          <t>T1190:Exploit Public-Facing Application</t>
        </is>
      </c>
      <c r="W433" s="189" t="n">
        <v>1</v>
      </c>
      <c r="X433" s="189" t="inlineStr">
        <is>
          <t>LOW (40%)</t>
        </is>
      </c>
      <c r="Y433" s="189" t="inlineStr">
        <is>
          <t>UNLIKELY</t>
        </is>
      </c>
      <c r="Z433" s="189" t="inlineStr">
        <is>
          <t>PATCH_AVAILABLE</t>
        </is>
      </c>
      <c r="AA433" s="189" t="inlineStr">
        <is>
          <t>https://nvd.nist.gov/vuln/detail/CVE-2026-2778</t>
        </is>
      </c>
      <c r="AB433" s="189" t="inlineStr">
        <is>
          <t>NONE</t>
        </is>
      </c>
      <c r="AC433" s="189" t="n">
        <v>0</v>
      </c>
      <c r="AD433" s="189" t="inlineStr"/>
    </row>
    <row r="434">
      <c r="A434" s="189" t="inlineStr">
        <is>
          <t>CVE</t>
        </is>
      </c>
      <c r="B434" s="189" t="inlineStr">
        <is>
          <t>CVE-2026-2779</t>
        </is>
      </c>
      <c r="C434" s="189" t="inlineStr">
        <is>
          <t>Incorrect boundary conditions in the Networking: JAR component. This vulnerability affects Firefox &lt; 148, Firefox ESR &lt; 140.8, Thunderbird &lt; 148, and Thunderbird &lt; 140.8.</t>
        </is>
      </c>
      <c r="D434" s="189" t="n">
        <v>9.800000000000001</v>
      </c>
      <c r="E434" s="189" t="inlineStr">
        <is>
          <t>CRITICAL</t>
        </is>
      </c>
      <c r="F434" s="189" t="n">
        <v>2</v>
      </c>
      <c r="G434" s="189" t="n">
        <v>3</v>
      </c>
      <c r="H434" s="189" t="inlineStr">
        <is>
          <t>HIGH</t>
        </is>
      </c>
      <c r="I434" s="189" t="n">
        <v>15.8</v>
      </c>
      <c r="J434" s="189" t="inlineStr">
        <is>
          <t>NO</t>
        </is>
      </c>
      <c r="K434" s="189" t="inlineStr">
        <is>
          <t>https://nvd.nist.gov/vuln/detail/CVE-2026-2779</t>
        </is>
      </c>
      <c r="L434" s="189" t="inlineStr">
        <is>
          <t>2026-02-27 20:47</t>
        </is>
      </c>
      <c r="M434" s="189" t="inlineStr">
        <is>
          <t>YES</t>
        </is>
      </c>
      <c r="N434" s="189" t="inlineStr">
        <is>
          <t>https://www.mozilla.org/security/advisories/mfsa2026-13/ | https://www.mozilla.org/security/advisories/mfsa2026-15/ | https://www.mozilla.org/security/advisories/mfsa2026-16/</t>
        </is>
      </c>
      <c r="O434" s="189" t="inlineStr">
        <is>
          <t>Apply vendor patches</t>
        </is>
      </c>
      <c r="P434" s="189" t="inlineStr">
        <is>
          <t>mozilla firefox * | mozilla thunderbird *</t>
        </is>
      </c>
      <c r="Q434" s="189" t="inlineStr">
        <is>
          <t>P3</t>
        </is>
      </c>
      <c r="R434" s="189" t="inlineStr">
        <is>
          <t>🚨 URGENT: Apply vendor patches immediately | 🔒 Isolate affected systems if patch unavailable | 🛡️ Enable additional monitoring/IDS rules</t>
        </is>
      </c>
      <c r="S434" s="189" t="inlineStr">
        <is>
          <t>CVE - IP enrichment n/a</t>
        </is>
      </c>
      <c r="T434" s="189" t="n">
        <v>0.0004</v>
      </c>
      <c r="U434" s="189" t="n">
        <v>0.1377</v>
      </c>
      <c r="V434" s="189" t="inlineStr">
        <is>
          <t>T1190:Exploit Public-Facing Application</t>
        </is>
      </c>
      <c r="W434" s="189" t="n">
        <v>1</v>
      </c>
      <c r="X434" s="189" t="inlineStr">
        <is>
          <t>LOW (40%)</t>
        </is>
      </c>
      <c r="Y434" s="189" t="inlineStr">
        <is>
          <t>UNLIKELY</t>
        </is>
      </c>
      <c r="Z434" s="189" t="inlineStr">
        <is>
          <t>PATCH_AVAILABLE</t>
        </is>
      </c>
      <c r="AA434" s="189" t="inlineStr">
        <is>
          <t>https://nvd.nist.gov/vuln/detail/CVE-2026-2779</t>
        </is>
      </c>
      <c r="AB434" s="189" t="inlineStr">
        <is>
          <t>NONE</t>
        </is>
      </c>
      <c r="AC434" s="189" t="n">
        <v>0</v>
      </c>
      <c r="AD434" s="189" t="inlineStr"/>
    </row>
    <row r="435">
      <c r="A435" s="189" t="inlineStr">
        <is>
          <t>CVE</t>
        </is>
      </c>
      <c r="B435" s="189" t="inlineStr">
        <is>
          <t>CVE-2026-2780</t>
        </is>
      </c>
      <c r="C435" s="189" t="inlineStr">
        <is>
          <t>Privilege escalation in the Netmonitor component. This vulnerability affects Firefox &lt; 148, Firefox ESR &lt; 140.8, Thunderbird &lt; 148, and Thunderbird &lt; 140.8.</t>
        </is>
      </c>
      <c r="D435" s="189" t="n">
        <v>9.800000000000001</v>
      </c>
      <c r="E435" s="189" t="inlineStr">
        <is>
          <t>CRITICAL</t>
        </is>
      </c>
      <c r="F435" s="189" t="n">
        <v>2</v>
      </c>
      <c r="G435" s="189" t="n">
        <v>3</v>
      </c>
      <c r="H435" s="189" t="inlineStr">
        <is>
          <t>HIGH</t>
        </is>
      </c>
      <c r="I435" s="189" t="n">
        <v>15.8</v>
      </c>
      <c r="J435" s="189" t="inlineStr">
        <is>
          <t>NO</t>
        </is>
      </c>
      <c r="K435" s="189" t="inlineStr">
        <is>
          <t>https://nvd.nist.gov/vuln/detail/CVE-2026-2780</t>
        </is>
      </c>
      <c r="L435" s="189" t="inlineStr">
        <is>
          <t>2026-02-27 20:47</t>
        </is>
      </c>
      <c r="M435" s="189" t="inlineStr">
        <is>
          <t>YES</t>
        </is>
      </c>
      <c r="N435" s="189" t="inlineStr">
        <is>
          <t>https://www.mozilla.org/security/advisories/mfsa2026-13/ | https://www.mozilla.org/security/advisories/mfsa2026-15/ | https://www.mozilla.org/security/advisories/mfsa2026-16/</t>
        </is>
      </c>
      <c r="O435" s="189" t="inlineStr">
        <is>
          <t>Apply vendor patches</t>
        </is>
      </c>
      <c r="P435" s="189" t="inlineStr">
        <is>
          <t>mozilla firefox * | mozilla thunderbird *</t>
        </is>
      </c>
      <c r="Q435" s="189" t="inlineStr">
        <is>
          <t>P3</t>
        </is>
      </c>
      <c r="R435" s="189" t="inlineStr">
        <is>
          <t>🚨 URGENT: Apply vendor patches immediately | 🔒 Isolate affected systems if patch unavailable | 🛡️ Enable additional monitoring/IDS rules</t>
        </is>
      </c>
      <c r="S435" s="189" t="inlineStr">
        <is>
          <t>CVE - IP enrichment n/a</t>
        </is>
      </c>
      <c r="T435" s="189" t="n">
        <v>0.0004</v>
      </c>
      <c r="U435" s="189" t="n">
        <v>0.1204</v>
      </c>
      <c r="V435" s="189" t="inlineStr">
        <is>
          <t>T1068:Exploitation for Privilege Escalation</t>
        </is>
      </c>
      <c r="W435" s="189" t="n">
        <v>1</v>
      </c>
      <c r="X435" s="189" t="inlineStr">
        <is>
          <t>LOW (40%)</t>
        </is>
      </c>
      <c r="Y435" s="189" t="inlineStr">
        <is>
          <t>UNLIKELY</t>
        </is>
      </c>
      <c r="Z435" s="189" t="inlineStr">
        <is>
          <t>PATCH_AVAILABLE</t>
        </is>
      </c>
      <c r="AA435" s="189" t="inlineStr">
        <is>
          <t>https://nvd.nist.gov/vuln/detail/CVE-2026-2780</t>
        </is>
      </c>
      <c r="AB435" s="189" t="inlineStr">
        <is>
          <t>NONE</t>
        </is>
      </c>
      <c r="AC435" s="189" t="n">
        <v>0</v>
      </c>
      <c r="AD435" s="189" t="inlineStr"/>
    </row>
    <row r="436">
      <c r="A436" s="189" t="inlineStr">
        <is>
          <t>CVE</t>
        </is>
      </c>
      <c r="B436" s="189" t="inlineStr">
        <is>
          <t>CVE-2026-2781</t>
        </is>
      </c>
      <c r="C436" s="189" t="inlineStr">
        <is>
          <t>Integer overflow in the Libraries component in NSS. This vulnerability affects Firefox &lt; 148, Firefox ESR &lt; 140.8, Thunderbird &lt; 148, and Thunderbird &lt; 140.8.</t>
        </is>
      </c>
      <c r="D436" s="189" t="n">
        <v>9.800000000000001</v>
      </c>
      <c r="E436" s="189" t="inlineStr">
        <is>
          <t>CRITICAL</t>
        </is>
      </c>
      <c r="F436" s="189" t="n">
        <v>2</v>
      </c>
      <c r="G436" s="189" t="n">
        <v>3</v>
      </c>
      <c r="H436" s="189" t="inlineStr">
        <is>
          <t>HIGH</t>
        </is>
      </c>
      <c r="I436" s="189" t="n">
        <v>15.8</v>
      </c>
      <c r="J436" s="189" t="inlineStr">
        <is>
          <t>NO</t>
        </is>
      </c>
      <c r="K436" s="189" t="inlineStr">
        <is>
          <t>https://nvd.nist.gov/vuln/detail/CVE-2026-2781</t>
        </is>
      </c>
      <c r="L436" s="189" t="inlineStr">
        <is>
          <t>2026-02-27 20:47</t>
        </is>
      </c>
      <c r="M436" s="189" t="inlineStr">
        <is>
          <t>YES</t>
        </is>
      </c>
      <c r="N436" s="189" t="inlineStr">
        <is>
          <t>https://www.mozilla.org/security/advisories/mfsa2026-13/ | https://www.mozilla.org/security/advisories/mfsa2026-15/ | https://www.mozilla.org/security/advisories/mfsa2026-16/</t>
        </is>
      </c>
      <c r="O436" s="189" t="inlineStr">
        <is>
          <t>Apply vendor patches</t>
        </is>
      </c>
      <c r="P436" s="189" t="inlineStr">
        <is>
          <t>mozilla firefox * | mozilla thunderbird *</t>
        </is>
      </c>
      <c r="Q436" s="189" t="inlineStr">
        <is>
          <t>P3</t>
        </is>
      </c>
      <c r="R436" s="189" t="inlineStr">
        <is>
          <t>🚨 URGENT: Apply vendor patches immediately | 🔒 Isolate affected systems if patch unavailable | 🛡️ Enable additional monitoring/IDS rules</t>
        </is>
      </c>
      <c r="S436" s="189" t="inlineStr">
        <is>
          <t>CVE - IP enrichment n/a</t>
        </is>
      </c>
      <c r="T436" s="189" t="n">
        <v>0.0004</v>
      </c>
      <c r="U436" s="189" t="n">
        <v>0.1242</v>
      </c>
      <c r="V436" s="189" t="inlineStr">
        <is>
          <t>T1190:Exploit Public-Facing Application | T1203:Exploitation for Client Execution</t>
        </is>
      </c>
      <c r="W436" s="189" t="n">
        <v>1</v>
      </c>
      <c r="X436" s="189" t="inlineStr">
        <is>
          <t>LOW (40%)</t>
        </is>
      </c>
      <c r="Y436" s="189" t="inlineStr">
        <is>
          <t>UNLIKELY</t>
        </is>
      </c>
      <c r="Z436" s="189" t="inlineStr">
        <is>
          <t>PATCH_AVAILABLE</t>
        </is>
      </c>
      <c r="AA436" s="189" t="inlineStr">
        <is>
          <t>https://nvd.nist.gov/vuln/detail/CVE-2026-2781</t>
        </is>
      </c>
      <c r="AB436" s="189" t="inlineStr">
        <is>
          <t>NONE</t>
        </is>
      </c>
      <c r="AC436" s="189" t="n">
        <v>0</v>
      </c>
      <c r="AD436" s="189" t="inlineStr"/>
    </row>
    <row r="437">
      <c r="A437" s="189" t="inlineStr">
        <is>
          <t>CVE</t>
        </is>
      </c>
      <c r="B437" s="189" t="inlineStr">
        <is>
          <t>CVE-2026-2782</t>
        </is>
      </c>
      <c r="C437" s="189" t="inlineStr">
        <is>
          <t>Privilege escalation in the Netmonitor component. This vulnerability affects Firefox &lt; 148, Firefox ESR &lt; 140.8, Thunderbird &lt; 148, and Thunderbird &lt; 140.8.</t>
        </is>
      </c>
      <c r="D437" s="189" t="n">
        <v>9.800000000000001</v>
      </c>
      <c r="E437" s="189" t="inlineStr">
        <is>
          <t>CRITICAL</t>
        </is>
      </c>
      <c r="F437" s="189" t="n">
        <v>2</v>
      </c>
      <c r="G437" s="189" t="n">
        <v>3</v>
      </c>
      <c r="H437" s="189" t="inlineStr">
        <is>
          <t>HIGH</t>
        </is>
      </c>
      <c r="I437" s="189" t="n">
        <v>15.8</v>
      </c>
      <c r="J437" s="189" t="inlineStr">
        <is>
          <t>NO</t>
        </is>
      </c>
      <c r="K437" s="189" t="inlineStr">
        <is>
          <t>https://nvd.nist.gov/vuln/detail/CVE-2026-2782</t>
        </is>
      </c>
      <c r="L437" s="189" t="inlineStr">
        <is>
          <t>2026-02-27 20:47</t>
        </is>
      </c>
      <c r="M437" s="189" t="inlineStr">
        <is>
          <t>YES</t>
        </is>
      </c>
      <c r="N437" s="189" t="inlineStr">
        <is>
          <t>https://www.mozilla.org/security/advisories/mfsa2026-13/ | https://www.mozilla.org/security/advisories/mfsa2026-15/ | https://www.mozilla.org/security/advisories/mfsa2026-16/</t>
        </is>
      </c>
      <c r="O437" s="189" t="inlineStr">
        <is>
          <t>Apply vendor patches</t>
        </is>
      </c>
      <c r="P437" s="189" t="inlineStr">
        <is>
          <t>mozilla firefox * | mozilla thunderbird *</t>
        </is>
      </c>
      <c r="Q437" s="189" t="inlineStr">
        <is>
          <t>P3</t>
        </is>
      </c>
      <c r="R437" s="189" t="inlineStr">
        <is>
          <t>🚨 URGENT: Apply vendor patches immediately | 🔒 Isolate affected systems if patch unavailable | 🛡️ Enable additional monitoring/IDS rules</t>
        </is>
      </c>
      <c r="S437" s="189" t="inlineStr">
        <is>
          <t>CVE - IP enrichment n/a</t>
        </is>
      </c>
      <c r="T437" s="189" t="n">
        <v>0.0004</v>
      </c>
      <c r="U437" s="189" t="n">
        <v>0.1315</v>
      </c>
      <c r="V437" s="189" t="inlineStr">
        <is>
          <t>T1068:Exploitation for Privilege Escalation</t>
        </is>
      </c>
      <c r="W437" s="189" t="n">
        <v>1</v>
      </c>
      <c r="X437" s="189" t="inlineStr">
        <is>
          <t>LOW (40%)</t>
        </is>
      </c>
      <c r="Y437" s="189" t="inlineStr">
        <is>
          <t>UNLIKELY</t>
        </is>
      </c>
      <c r="Z437" s="189" t="inlineStr">
        <is>
          <t>PATCH_AVAILABLE</t>
        </is>
      </c>
      <c r="AA437" s="189" t="inlineStr">
        <is>
          <t>https://nvd.nist.gov/vuln/detail/CVE-2026-2782</t>
        </is>
      </c>
      <c r="AB437" s="189" t="inlineStr">
        <is>
          <t>NONE</t>
        </is>
      </c>
      <c r="AC437" s="189" t="n">
        <v>0</v>
      </c>
      <c r="AD437" s="189" t="inlineStr"/>
    </row>
    <row r="438">
      <c r="A438" s="187" t="inlineStr">
        <is>
          <t>CVE</t>
        </is>
      </c>
      <c r="B438" s="187" t="inlineStr">
        <is>
          <t>CVE-2026-2783</t>
        </is>
      </c>
      <c r="C438" s="187" t="inlineStr">
        <is>
          <t>Information disclosure due to JIT miscompilation in the JavaScript Engine: JIT component. This vulnerability affects Firefox &lt; 148, Firefox ESR &lt; 140.8, Thunderbird &lt; 148, and Thunderbird &lt; 140.8.</t>
        </is>
      </c>
      <c r="D438" s="187" t="n">
        <v>7.5</v>
      </c>
      <c r="E438" s="187" t="inlineStr">
        <is>
          <t>HIGH</t>
        </is>
      </c>
      <c r="F438" s="187" t="n">
        <v>2</v>
      </c>
      <c r="G438" s="187" t="n">
        <v>3</v>
      </c>
      <c r="H438" s="187" t="inlineStr">
        <is>
          <t>HIGH</t>
        </is>
      </c>
      <c r="I438" s="187" t="n">
        <v>13.5</v>
      </c>
      <c r="J438" s="187" t="inlineStr">
        <is>
          <t>NO</t>
        </is>
      </c>
      <c r="K438" s="187" t="inlineStr">
        <is>
          <t>https://nvd.nist.gov/vuln/detail/CVE-2026-2783</t>
        </is>
      </c>
      <c r="L438" s="187" t="inlineStr">
        <is>
          <t>2026-02-27 20:47</t>
        </is>
      </c>
      <c r="M438" s="187" t="inlineStr">
        <is>
          <t>YES</t>
        </is>
      </c>
      <c r="N438" s="187" t="inlineStr">
        <is>
          <t>https://www.mozilla.org/security/advisories/mfsa2026-13/ | https://www.mozilla.org/security/advisories/mfsa2026-15/ | https://www.mozilla.org/security/advisories/mfsa2026-16/</t>
        </is>
      </c>
      <c r="O438" s="187" t="inlineStr">
        <is>
          <t>Apply vendor patches</t>
        </is>
      </c>
      <c r="P438" s="187" t="inlineStr">
        <is>
          <t>mozilla firefox * | mozilla thunderbird *</t>
        </is>
      </c>
      <c r="Q438" s="187" t="inlineStr">
        <is>
          <t>P3</t>
        </is>
      </c>
      <c r="R438" s="187" t="inlineStr">
        <is>
          <t>🚨 URGENT: Apply vendor patches immediately | 🔒 Isolate affected systems if patch unavailable | 🛡️ Enable additional monitoring/IDS rules</t>
        </is>
      </c>
      <c r="S438" s="187" t="inlineStr">
        <is>
          <t>CVE - IP enrichment n/a</t>
        </is>
      </c>
      <c r="T438" s="187" t="n">
        <v>0.0003</v>
      </c>
      <c r="U438" s="187" t="n">
        <v>0.0964</v>
      </c>
      <c r="V438" s="187" t="inlineStr">
        <is>
          <t>T1213:Data from Information Repositories</t>
        </is>
      </c>
      <c r="W438" s="187" t="n">
        <v>1</v>
      </c>
      <c r="X438" s="187" t="inlineStr">
        <is>
          <t>LOW (40%)</t>
        </is>
      </c>
      <c r="Y438" s="187" t="inlineStr">
        <is>
          <t>UNLIKELY</t>
        </is>
      </c>
      <c r="Z438" s="187" t="inlineStr">
        <is>
          <t>PATCH_AVAILABLE</t>
        </is>
      </c>
      <c r="AA438" s="187" t="inlineStr">
        <is>
          <t>https://nvd.nist.gov/vuln/detail/CVE-2026-2783</t>
        </is>
      </c>
      <c r="AB438" s="187" t="inlineStr">
        <is>
          <t>NONE</t>
        </is>
      </c>
      <c r="AC438" s="187" t="n">
        <v>0</v>
      </c>
      <c r="AD438" s="187" t="inlineStr"/>
    </row>
    <row r="439">
      <c r="A439" s="189" t="inlineStr">
        <is>
          <t>CVE</t>
        </is>
      </c>
      <c r="B439" s="189" t="inlineStr">
        <is>
          <t>CVE-2026-2784</t>
        </is>
      </c>
      <c r="C439" s="189" t="inlineStr">
        <is>
          <t>Mitigation bypass in the DOM: Security component. This vulnerability affects Firefox &lt; 148, Firefox ESR &lt; 140.8, Thunderbird &lt; 148, and Thunderbird &lt; 140.8.</t>
        </is>
      </c>
      <c r="D439" s="189" t="n">
        <v>9.800000000000001</v>
      </c>
      <c r="E439" s="189" t="inlineStr">
        <is>
          <t>CRITICAL</t>
        </is>
      </c>
      <c r="F439" s="189" t="n">
        <v>2</v>
      </c>
      <c r="G439" s="189" t="n">
        <v>3</v>
      </c>
      <c r="H439" s="189" t="inlineStr">
        <is>
          <t>HIGH</t>
        </is>
      </c>
      <c r="I439" s="189" t="n">
        <v>15.8</v>
      </c>
      <c r="J439" s="189" t="inlineStr">
        <is>
          <t>NO</t>
        </is>
      </c>
      <c r="K439" s="189" t="inlineStr">
        <is>
          <t>https://nvd.nist.gov/vuln/detail/CVE-2026-2784</t>
        </is>
      </c>
      <c r="L439" s="189" t="inlineStr">
        <is>
          <t>2026-02-27 20:47</t>
        </is>
      </c>
      <c r="M439" s="189" t="inlineStr">
        <is>
          <t>YES</t>
        </is>
      </c>
      <c r="N439" s="189" t="inlineStr">
        <is>
          <t>https://www.mozilla.org/security/advisories/mfsa2026-13/ | https://www.mozilla.org/security/advisories/mfsa2026-15/ | https://www.mozilla.org/security/advisories/mfsa2026-16/</t>
        </is>
      </c>
      <c r="O439" s="189" t="inlineStr">
        <is>
          <t>Apply vendor patches</t>
        </is>
      </c>
      <c r="P439" s="189" t="inlineStr">
        <is>
          <t>mozilla firefox * | mozilla thunderbird *</t>
        </is>
      </c>
      <c r="Q439" s="189" t="inlineStr">
        <is>
          <t>P3</t>
        </is>
      </c>
      <c r="R439" s="189" t="inlineStr">
        <is>
          <t>🚨 URGENT: Apply vendor patches immediately | 🔒 Isolate affected systems if patch unavailable | 🛡️ Enable additional monitoring/IDS rules</t>
        </is>
      </c>
      <c r="S439" s="189" t="inlineStr">
        <is>
          <t>CVE - IP enrichment n/a</t>
        </is>
      </c>
      <c r="T439" s="189" t="n">
        <v>0.0004</v>
      </c>
      <c r="U439" s="189" t="n">
        <v>0.1377</v>
      </c>
      <c r="V439" s="189" t="inlineStr">
        <is>
          <t>T1190:Exploit Public-Facing Application</t>
        </is>
      </c>
      <c r="W439" s="189" t="n">
        <v>1</v>
      </c>
      <c r="X439" s="189" t="inlineStr">
        <is>
          <t>LOW (40%)</t>
        </is>
      </c>
      <c r="Y439" s="189" t="inlineStr">
        <is>
          <t>UNLIKELY</t>
        </is>
      </c>
      <c r="Z439" s="189" t="inlineStr">
        <is>
          <t>PATCH_AVAILABLE</t>
        </is>
      </c>
      <c r="AA439" s="189" t="inlineStr">
        <is>
          <t>https://nvd.nist.gov/vuln/detail/CVE-2026-2784</t>
        </is>
      </c>
      <c r="AB439" s="189" t="inlineStr">
        <is>
          <t>NONE</t>
        </is>
      </c>
      <c r="AC439" s="189" t="n">
        <v>0</v>
      </c>
      <c r="AD439" s="189" t="inlineStr"/>
    </row>
    <row r="440">
      <c r="A440" s="189" t="inlineStr">
        <is>
          <t>CVE</t>
        </is>
      </c>
      <c r="B440" s="189" t="inlineStr">
        <is>
          <t>CVE-2026-2785</t>
        </is>
      </c>
      <c r="C440" s="189" t="inlineStr">
        <is>
          <t>Invalid pointer in the JavaScript Engine component. This vulnerability affects Firefox &lt; 148, Firefox ESR &lt; 140.8, Thunderbird &lt; 148, and Thunderbird &lt; 140.8.</t>
        </is>
      </c>
      <c r="D440" s="189" t="n">
        <v>9.800000000000001</v>
      </c>
      <c r="E440" s="189" t="inlineStr">
        <is>
          <t>CRITICAL</t>
        </is>
      </c>
      <c r="F440" s="189" t="n">
        <v>2</v>
      </c>
      <c r="G440" s="189" t="n">
        <v>3</v>
      </c>
      <c r="H440" s="189" t="inlineStr">
        <is>
          <t>HIGH</t>
        </is>
      </c>
      <c r="I440" s="189" t="n">
        <v>15.8</v>
      </c>
      <c r="J440" s="189" t="inlineStr">
        <is>
          <t>NO</t>
        </is>
      </c>
      <c r="K440" s="189" t="inlineStr">
        <is>
          <t>https://nvd.nist.gov/vuln/detail/CVE-2026-2785</t>
        </is>
      </c>
      <c r="L440" s="189" t="inlineStr">
        <is>
          <t>2026-02-27 20:47</t>
        </is>
      </c>
      <c r="M440" s="189" t="inlineStr">
        <is>
          <t>YES</t>
        </is>
      </c>
      <c r="N440" s="189" t="inlineStr">
        <is>
          <t>https://www.mozilla.org/security/advisories/mfsa2026-13/ | https://www.mozilla.org/security/advisories/mfsa2026-15/ | https://www.mozilla.org/security/advisories/mfsa2026-16/</t>
        </is>
      </c>
      <c r="O440" s="189" t="inlineStr">
        <is>
          <t>Apply vendor patches</t>
        </is>
      </c>
      <c r="P440" s="189" t="inlineStr">
        <is>
          <t>mozilla firefox * | mozilla thunderbird *</t>
        </is>
      </c>
      <c r="Q440" s="189" t="inlineStr">
        <is>
          <t>P3</t>
        </is>
      </c>
      <c r="R440" s="189" t="inlineStr">
        <is>
          <t>🚨 URGENT: Apply vendor patches immediately | 🔒 Isolate affected systems if patch unavailable | 🛡️ Enable additional monitoring/IDS rules</t>
        </is>
      </c>
      <c r="S440" s="189" t="inlineStr">
        <is>
          <t>CVE - IP enrichment n/a</t>
        </is>
      </c>
      <c r="T440" s="189" t="n">
        <v>0.0004</v>
      </c>
      <c r="U440" s="189" t="n">
        <v>0.1242</v>
      </c>
      <c r="V440" s="189" t="inlineStr">
        <is>
          <t>T1203:Exploitation for Client Execution</t>
        </is>
      </c>
      <c r="W440" s="189" t="n">
        <v>1</v>
      </c>
      <c r="X440" s="189" t="inlineStr">
        <is>
          <t>LOW (40%)</t>
        </is>
      </c>
      <c r="Y440" s="189" t="inlineStr">
        <is>
          <t>UNLIKELY</t>
        </is>
      </c>
      <c r="Z440" s="189" t="inlineStr">
        <is>
          <t>PATCH_AVAILABLE</t>
        </is>
      </c>
      <c r="AA440" s="189" t="inlineStr">
        <is>
          <t>https://nvd.nist.gov/vuln/detail/CVE-2026-2785</t>
        </is>
      </c>
      <c r="AB440" s="189" t="inlineStr">
        <is>
          <t>NONE</t>
        </is>
      </c>
      <c r="AC440" s="189" t="n">
        <v>0</v>
      </c>
      <c r="AD440" s="189" t="inlineStr"/>
    </row>
    <row r="441">
      <c r="A441" s="189" t="inlineStr">
        <is>
          <t>CVE</t>
        </is>
      </c>
      <c r="B441" s="189" t="inlineStr">
        <is>
          <t>CVE-2026-2786</t>
        </is>
      </c>
      <c r="C441" s="189" t="inlineStr">
        <is>
          <t>Use-after-free in the JavaScript Engine component. This vulnerability affects Firefox &lt; 148, Firefox ESR &lt; 140.8, Thunderbird &lt; 148, and Thunderbird &lt; 140.8.</t>
        </is>
      </c>
      <c r="D441" s="189" t="n">
        <v>9.800000000000001</v>
      </c>
      <c r="E441" s="189" t="inlineStr">
        <is>
          <t>CRITICAL</t>
        </is>
      </c>
      <c r="F441" s="189" t="n">
        <v>2</v>
      </c>
      <c r="G441" s="189" t="n">
        <v>3</v>
      </c>
      <c r="H441" s="189" t="inlineStr">
        <is>
          <t>HIGH</t>
        </is>
      </c>
      <c r="I441" s="189" t="n">
        <v>15.8</v>
      </c>
      <c r="J441" s="189" t="inlineStr">
        <is>
          <t>NO</t>
        </is>
      </c>
      <c r="K441" s="189" t="inlineStr">
        <is>
          <t>https://nvd.nist.gov/vuln/detail/CVE-2026-2786</t>
        </is>
      </c>
      <c r="L441" s="189" t="inlineStr">
        <is>
          <t>2026-02-27 20:47</t>
        </is>
      </c>
      <c r="M441" s="189" t="inlineStr">
        <is>
          <t>YES</t>
        </is>
      </c>
      <c r="N441" s="189" t="inlineStr">
        <is>
          <t>https://www.mozilla.org/security/advisories/mfsa2026-13/ | https://www.mozilla.org/security/advisories/mfsa2026-15/ | https://www.mozilla.org/security/advisories/mfsa2026-16/</t>
        </is>
      </c>
      <c r="O441" s="189" t="inlineStr">
        <is>
          <t>Apply vendor patches</t>
        </is>
      </c>
      <c r="P441" s="189" t="inlineStr">
        <is>
          <t>mozilla firefox * | mozilla thunderbird *</t>
        </is>
      </c>
      <c r="Q441" s="189" t="inlineStr">
        <is>
          <t>P3</t>
        </is>
      </c>
      <c r="R441" s="189" t="inlineStr">
        <is>
          <t>🚨 URGENT: Apply vendor patches immediately | 🔒 Isolate affected systems if patch unavailable | 🛡️ Enable additional monitoring/IDS rules</t>
        </is>
      </c>
      <c r="S441" s="189" t="inlineStr">
        <is>
          <t>CVE - IP enrichment n/a</t>
        </is>
      </c>
      <c r="T441" s="189" t="n">
        <v>0.0004</v>
      </c>
      <c r="U441" s="189" t="n">
        <v>0.1242</v>
      </c>
      <c r="V441" s="189" t="inlineStr">
        <is>
          <t>T1203:Exploitation for Client Execution</t>
        </is>
      </c>
      <c r="W441" s="189" t="n">
        <v>1</v>
      </c>
      <c r="X441" s="189" t="inlineStr">
        <is>
          <t>LOW (40%)</t>
        </is>
      </c>
      <c r="Y441" s="189" t="inlineStr">
        <is>
          <t>UNLIKELY</t>
        </is>
      </c>
      <c r="Z441" s="189" t="inlineStr">
        <is>
          <t>PATCH_AVAILABLE</t>
        </is>
      </c>
      <c r="AA441" s="189" t="inlineStr">
        <is>
          <t>https://nvd.nist.gov/vuln/detail/CVE-2026-2786</t>
        </is>
      </c>
      <c r="AB441" s="189" t="inlineStr">
        <is>
          <t>NONE</t>
        </is>
      </c>
      <c r="AC441" s="189" t="n">
        <v>0</v>
      </c>
      <c r="AD441" s="189" t="inlineStr"/>
    </row>
    <row r="442">
      <c r="A442" s="189" t="inlineStr">
        <is>
          <t>CVE</t>
        </is>
      </c>
      <c r="B442" s="189" t="inlineStr">
        <is>
          <t>CVE-2026-2787</t>
        </is>
      </c>
      <c r="C442" s="189" t="inlineStr">
        <is>
          <t>Use-after-free in the DOM: Window and Location component. This vulnerability affects Firefox &lt; 148, Firefox ESR &lt; 115.33, Firefox ESR &lt; 140.8, Thunderbird &lt; 148, and Thunderbird &lt; 140.8.</t>
        </is>
      </c>
      <c r="D442" s="189" t="n">
        <v>9.800000000000001</v>
      </c>
      <c r="E442" s="189" t="inlineStr">
        <is>
          <t>CRITICAL</t>
        </is>
      </c>
      <c r="F442" s="189" t="n">
        <v>2</v>
      </c>
      <c r="G442" s="189" t="n">
        <v>3</v>
      </c>
      <c r="H442" s="189" t="inlineStr">
        <is>
          <t>HIGH</t>
        </is>
      </c>
      <c r="I442" s="189" t="n">
        <v>15.8</v>
      </c>
      <c r="J442" s="189" t="inlineStr">
        <is>
          <t>NO</t>
        </is>
      </c>
      <c r="K442" s="189" t="inlineStr">
        <is>
          <t>https://nvd.nist.gov/vuln/detail/CVE-2026-2787</t>
        </is>
      </c>
      <c r="L442" s="189" t="inlineStr">
        <is>
          <t>2026-02-27 20:47</t>
        </is>
      </c>
      <c r="M442" s="189" t="inlineStr">
        <is>
          <t>YES</t>
        </is>
      </c>
      <c r="N442" s="189" t="inlineStr">
        <is>
          <t>https://www.mozilla.org/security/advisories/mfsa2026-13/ | https://www.mozilla.org/security/advisories/mfsa2026-14/ | https://www.mozilla.org/security/advisories/mfsa2026-15/</t>
        </is>
      </c>
      <c r="O442" s="189" t="inlineStr">
        <is>
          <t>Apply vendor patches</t>
        </is>
      </c>
      <c r="P442" s="189" t="inlineStr">
        <is>
          <t>mozilla firefox *</t>
        </is>
      </c>
      <c r="Q442" s="189" t="inlineStr">
        <is>
          <t>P3</t>
        </is>
      </c>
      <c r="R442" s="189" t="inlineStr">
        <is>
          <t>🚨 URGENT: Apply vendor patches immediately | 🔒 Isolate affected systems if patch unavailable | 🛡️ Enable additional monitoring/IDS rules</t>
        </is>
      </c>
      <c r="S442" s="189" t="inlineStr">
        <is>
          <t>CVE - IP enrichment n/a</t>
        </is>
      </c>
      <c r="T442" s="189" t="n">
        <v>0.0004</v>
      </c>
      <c r="U442" s="189" t="n">
        <v>0.1273</v>
      </c>
      <c r="V442" s="189" t="inlineStr">
        <is>
          <t>T1203:Exploitation for Client Execution</t>
        </is>
      </c>
      <c r="W442" s="189" t="n">
        <v>1</v>
      </c>
      <c r="X442" s="189" t="inlineStr">
        <is>
          <t>LOW (40%)</t>
        </is>
      </c>
      <c r="Y442" s="189" t="inlineStr">
        <is>
          <t>UNLIKELY</t>
        </is>
      </c>
      <c r="Z442" s="189" t="inlineStr">
        <is>
          <t>PATCH_AVAILABLE</t>
        </is>
      </c>
      <c r="AA442" s="189" t="inlineStr">
        <is>
          <t>https://nvd.nist.gov/vuln/detail/CVE-2026-2787</t>
        </is>
      </c>
      <c r="AB442" s="189" t="inlineStr">
        <is>
          <t>NONE</t>
        </is>
      </c>
      <c r="AC442" s="189" t="n">
        <v>0</v>
      </c>
      <c r="AD442" s="189" t="inlineStr"/>
    </row>
    <row r="443">
      <c r="A443" s="189" t="inlineStr">
        <is>
          <t>CVE</t>
        </is>
      </c>
      <c r="B443" s="189" t="inlineStr">
        <is>
          <t>CVE-2026-2788</t>
        </is>
      </c>
      <c r="C443" s="189" t="inlineStr">
        <is>
          <t>Incorrect boundary conditions in the Audio/Video: GMP component. This vulnerability affects Firefox &lt; 148, Firefox ESR &lt; 115.33, Firefox ESR &lt; 140.8, Thunderbird &lt; 148, and Thunderbird &lt; 140.8.</t>
        </is>
      </c>
      <c r="D443" s="189" t="n">
        <v>9.800000000000001</v>
      </c>
      <c r="E443" s="189" t="inlineStr">
        <is>
          <t>CRITICAL</t>
        </is>
      </c>
      <c r="F443" s="189" t="n">
        <v>2</v>
      </c>
      <c r="G443" s="189" t="n">
        <v>3</v>
      </c>
      <c r="H443" s="189" t="inlineStr">
        <is>
          <t>HIGH</t>
        </is>
      </c>
      <c r="I443" s="189" t="n">
        <v>15.8</v>
      </c>
      <c r="J443" s="189" t="inlineStr">
        <is>
          <t>NO</t>
        </is>
      </c>
      <c r="K443" s="189" t="inlineStr">
        <is>
          <t>https://nvd.nist.gov/vuln/detail/CVE-2026-2788</t>
        </is>
      </c>
      <c r="L443" s="189" t="inlineStr">
        <is>
          <t>2026-02-27 20:47</t>
        </is>
      </c>
      <c r="M443" s="189" t="inlineStr">
        <is>
          <t>YES</t>
        </is>
      </c>
      <c r="N443" s="189" t="inlineStr">
        <is>
          <t>https://www.mozilla.org/security/advisories/mfsa2026-13/ | https://www.mozilla.org/security/advisories/mfsa2026-14/ | https://www.mozilla.org/security/advisories/mfsa2026-15/</t>
        </is>
      </c>
      <c r="O443" s="189" t="inlineStr">
        <is>
          <t>Apply vendor patches</t>
        </is>
      </c>
      <c r="P443" s="189" t="inlineStr">
        <is>
          <t>mozilla firefox *</t>
        </is>
      </c>
      <c r="Q443" s="189" t="inlineStr">
        <is>
          <t>P3</t>
        </is>
      </c>
      <c r="R443" s="189" t="inlineStr">
        <is>
          <t>🚨 URGENT: Apply vendor patches immediately | 🔒 Isolate affected systems if patch unavailable | 🛡️ Enable additional monitoring/IDS rules</t>
        </is>
      </c>
      <c r="S443" s="189" t="inlineStr">
        <is>
          <t>CVE - IP enrichment n/a</t>
        </is>
      </c>
      <c r="T443" s="189" t="n">
        <v>0.0005</v>
      </c>
      <c r="U443" s="189" t="n">
        <v>0.1409</v>
      </c>
      <c r="V443" s="189" t="inlineStr">
        <is>
          <t>T1190:Exploit Public-Facing Application</t>
        </is>
      </c>
      <c r="W443" s="189" t="n">
        <v>1</v>
      </c>
      <c r="X443" s="189" t="inlineStr">
        <is>
          <t>LOW (40%)</t>
        </is>
      </c>
      <c r="Y443" s="189" t="inlineStr">
        <is>
          <t>UNLIKELY</t>
        </is>
      </c>
      <c r="Z443" s="189" t="inlineStr">
        <is>
          <t>PATCH_AVAILABLE</t>
        </is>
      </c>
      <c r="AA443" s="189" t="inlineStr">
        <is>
          <t>https://nvd.nist.gov/vuln/detail/CVE-2026-2788</t>
        </is>
      </c>
      <c r="AB443" s="189" t="inlineStr">
        <is>
          <t>NONE</t>
        </is>
      </c>
      <c r="AC443" s="189" t="n">
        <v>0</v>
      </c>
      <c r="AD443" s="189" t="inlineStr"/>
    </row>
    <row r="444">
      <c r="A444" s="189" t="inlineStr">
        <is>
          <t>CVE</t>
        </is>
      </c>
      <c r="B444" s="189" t="inlineStr">
        <is>
          <t>CVE-2026-2789</t>
        </is>
      </c>
      <c r="C444" s="189" t="inlineStr">
        <is>
          <t>Use-after-free in the Graphics: ImageLib component. This vulnerability affects Firefox &lt; 148, Firefox ESR &lt; 115.33, Firefox ESR &lt; 140.8, Thunderbird &lt; 148, and Thunderbird &lt; 140.8.</t>
        </is>
      </c>
      <c r="D444" s="189" t="n">
        <v>9.800000000000001</v>
      </c>
      <c r="E444" s="189" t="inlineStr">
        <is>
          <t>CRITICAL</t>
        </is>
      </c>
      <c r="F444" s="189" t="n">
        <v>2</v>
      </c>
      <c r="G444" s="189" t="n">
        <v>3</v>
      </c>
      <c r="H444" s="189" t="inlineStr">
        <is>
          <t>HIGH</t>
        </is>
      </c>
      <c r="I444" s="189" t="n">
        <v>15.8</v>
      </c>
      <c r="J444" s="189" t="inlineStr">
        <is>
          <t>NO</t>
        </is>
      </c>
      <c r="K444" s="189" t="inlineStr">
        <is>
          <t>https://nvd.nist.gov/vuln/detail/CVE-2026-2789</t>
        </is>
      </c>
      <c r="L444" s="189" t="inlineStr">
        <is>
          <t>2026-02-27 20:47</t>
        </is>
      </c>
      <c r="M444" s="189" t="inlineStr">
        <is>
          <t>YES</t>
        </is>
      </c>
      <c r="N444" s="189" t="inlineStr">
        <is>
          <t>https://www.mozilla.org/security/advisories/mfsa2026-13/ | https://www.mozilla.org/security/advisories/mfsa2026-14/ | https://www.mozilla.org/security/advisories/mfsa2026-15/</t>
        </is>
      </c>
      <c r="O444" s="189" t="inlineStr">
        <is>
          <t>Apply vendor patches</t>
        </is>
      </c>
      <c r="P444" s="189" t="inlineStr">
        <is>
          <t>mozilla firefox *</t>
        </is>
      </c>
      <c r="Q444" s="189" t="inlineStr">
        <is>
          <t>P3</t>
        </is>
      </c>
      <c r="R444" s="189" t="inlineStr">
        <is>
          <t>🚨 URGENT: Apply vendor patches immediately | 🔒 Isolate affected systems if patch unavailable | 🛡️ Enable additional monitoring/IDS rules</t>
        </is>
      </c>
      <c r="S444" s="189" t="inlineStr">
        <is>
          <t>CVE - IP enrichment n/a</t>
        </is>
      </c>
      <c r="T444" s="189" t="n">
        <v>0.0004</v>
      </c>
      <c r="U444" s="189" t="n">
        <v>0.1273</v>
      </c>
      <c r="V444" s="189" t="inlineStr">
        <is>
          <t>T1203:Exploitation for Client Execution</t>
        </is>
      </c>
      <c r="W444" s="189" t="n">
        <v>1</v>
      </c>
      <c r="X444" s="189" t="inlineStr">
        <is>
          <t>LOW (40%)</t>
        </is>
      </c>
      <c r="Y444" s="189" t="inlineStr">
        <is>
          <t>UNLIKELY</t>
        </is>
      </c>
      <c r="Z444" s="189" t="inlineStr">
        <is>
          <t>PATCH_AVAILABLE</t>
        </is>
      </c>
      <c r="AA444" s="189" t="inlineStr">
        <is>
          <t>https://nvd.nist.gov/vuln/detail/CVE-2026-2789</t>
        </is>
      </c>
      <c r="AB444" s="189" t="inlineStr">
        <is>
          <t>NONE</t>
        </is>
      </c>
      <c r="AC444" s="189" t="n">
        <v>0</v>
      </c>
      <c r="AD444" s="189" t="inlineStr"/>
    </row>
    <row r="445">
      <c r="A445" s="189" t="inlineStr">
        <is>
          <t>CVE</t>
        </is>
      </c>
      <c r="B445" s="189" t="inlineStr">
        <is>
          <t>CVE-2026-2790</t>
        </is>
      </c>
      <c r="C445" s="189" t="inlineStr">
        <is>
          <t>Same-origin policy bypass in the Networking: JAR component. This vulnerability affects Firefox &lt; 148, Firefox ESR &lt; 140.8, Thunderbird &lt; 148, and Thunderbird &lt; 140.8.</t>
        </is>
      </c>
      <c r="D445" s="189" t="n">
        <v>9.800000000000001</v>
      </c>
      <c r="E445" s="189" t="inlineStr">
        <is>
          <t>CRITICAL</t>
        </is>
      </c>
      <c r="F445" s="189" t="n">
        <v>2</v>
      </c>
      <c r="G445" s="189" t="n">
        <v>3</v>
      </c>
      <c r="H445" s="189" t="inlineStr">
        <is>
          <t>HIGH</t>
        </is>
      </c>
      <c r="I445" s="189" t="n">
        <v>15.8</v>
      </c>
      <c r="J445" s="189" t="inlineStr">
        <is>
          <t>NO</t>
        </is>
      </c>
      <c r="K445" s="189" t="inlineStr">
        <is>
          <t>https://nvd.nist.gov/vuln/detail/CVE-2026-2790</t>
        </is>
      </c>
      <c r="L445" s="189" t="inlineStr">
        <is>
          <t>2026-02-27 20:47</t>
        </is>
      </c>
      <c r="M445" s="189" t="inlineStr">
        <is>
          <t>YES</t>
        </is>
      </c>
      <c r="N445" s="189" t="inlineStr">
        <is>
          <t>https://www.mozilla.org/security/advisories/mfsa2026-13/ | https://www.mozilla.org/security/advisories/mfsa2026-15/ | https://www.mozilla.org/security/advisories/mfsa2026-16/</t>
        </is>
      </c>
      <c r="O445" s="189" t="inlineStr">
        <is>
          <t>Apply vendor patches</t>
        </is>
      </c>
      <c r="P445" s="189" t="inlineStr">
        <is>
          <t>mozilla firefox * | mozilla thunderbird *</t>
        </is>
      </c>
      <c r="Q445" s="189" t="inlineStr">
        <is>
          <t>P3</t>
        </is>
      </c>
      <c r="R445" s="189" t="inlineStr">
        <is>
          <t>🚨 URGENT: Apply vendor patches immediately | 🔒 Isolate affected systems if patch unavailable | 🛡️ Enable additional monitoring/IDS rules</t>
        </is>
      </c>
      <c r="S445" s="189" t="inlineStr">
        <is>
          <t>CVE - IP enrichment n/a</t>
        </is>
      </c>
      <c r="T445" s="189" t="n">
        <v>0.0002</v>
      </c>
      <c r="U445" s="189" t="n">
        <v>0.0455</v>
      </c>
      <c r="V445" s="189" t="inlineStr">
        <is>
          <t>T1190:Exploit Public-Facing Application</t>
        </is>
      </c>
      <c r="W445" s="189" t="n">
        <v>1</v>
      </c>
      <c r="X445" s="189" t="inlineStr">
        <is>
          <t>LOW (40%)</t>
        </is>
      </c>
      <c r="Y445" s="189" t="inlineStr">
        <is>
          <t>UNLIKELY</t>
        </is>
      </c>
      <c r="Z445" s="189" t="inlineStr">
        <is>
          <t>PATCH_AVAILABLE</t>
        </is>
      </c>
      <c r="AA445" s="189" t="inlineStr">
        <is>
          <t>https://nvd.nist.gov/vuln/detail/CVE-2026-2790</t>
        </is>
      </c>
      <c r="AB445" s="189" t="inlineStr">
        <is>
          <t>NONE</t>
        </is>
      </c>
      <c r="AC445" s="189" t="n">
        <v>0</v>
      </c>
      <c r="AD445" s="189" t="inlineStr"/>
    </row>
    <row r="446">
      <c r="A446" s="189" t="inlineStr">
        <is>
          <t>CVE</t>
        </is>
      </c>
      <c r="B446" s="189" t="inlineStr">
        <is>
          <t>CVE-2026-2791</t>
        </is>
      </c>
      <c r="C446" s="189" t="inlineStr">
        <is>
          <t>Mitigation bypass in the Networking: Cache component. This vulnerability affects Firefox &lt; 148, Firefox ESR &lt; 140.8, Thunderbird &lt; 148, and Thunderbird &lt; 140.8.</t>
        </is>
      </c>
      <c r="D446" s="189" t="n">
        <v>9.800000000000001</v>
      </c>
      <c r="E446" s="189" t="inlineStr">
        <is>
          <t>CRITICAL</t>
        </is>
      </c>
      <c r="F446" s="189" t="n">
        <v>2</v>
      </c>
      <c r="G446" s="189" t="n">
        <v>3</v>
      </c>
      <c r="H446" s="189" t="inlineStr">
        <is>
          <t>HIGH</t>
        </is>
      </c>
      <c r="I446" s="189" t="n">
        <v>15.8</v>
      </c>
      <c r="J446" s="189" t="inlineStr">
        <is>
          <t>NO</t>
        </is>
      </c>
      <c r="K446" s="189" t="inlineStr">
        <is>
          <t>https://nvd.nist.gov/vuln/detail/CVE-2026-2791</t>
        </is>
      </c>
      <c r="L446" s="189" t="inlineStr">
        <is>
          <t>2026-02-27 20:47</t>
        </is>
      </c>
      <c r="M446" s="189" t="inlineStr">
        <is>
          <t>YES</t>
        </is>
      </c>
      <c r="N446" s="189" t="inlineStr">
        <is>
          <t>https://www.mozilla.org/security/advisories/mfsa2026-13/ | https://www.mozilla.org/security/advisories/mfsa2026-15/ | https://www.mozilla.org/security/advisories/mfsa2026-16/</t>
        </is>
      </c>
      <c r="O446" s="189" t="inlineStr">
        <is>
          <t>Apply vendor patches</t>
        </is>
      </c>
      <c r="P446" s="189" t="inlineStr">
        <is>
          <t>mozilla firefox * | mozilla thunderbird *</t>
        </is>
      </c>
      <c r="Q446" s="189" t="inlineStr">
        <is>
          <t>P3</t>
        </is>
      </c>
      <c r="R446" s="189" t="inlineStr">
        <is>
          <t>🚨 URGENT: Apply vendor patches immediately | 🔒 Isolate affected systems if patch unavailable | 🛡️ Enable additional monitoring/IDS rules</t>
        </is>
      </c>
      <c r="S446" s="189" t="inlineStr">
        <is>
          <t>CVE - IP enrichment n/a</t>
        </is>
      </c>
      <c r="T446" s="189" t="n">
        <v>0.0004</v>
      </c>
      <c r="U446" s="189" t="n">
        <v>0.1377</v>
      </c>
      <c r="V446" s="189" t="inlineStr">
        <is>
          <t>T1190:Exploit Public-Facing Application</t>
        </is>
      </c>
      <c r="W446" s="189" t="n">
        <v>1</v>
      </c>
      <c r="X446" s="189" t="inlineStr">
        <is>
          <t>LOW (40%)</t>
        </is>
      </c>
      <c r="Y446" s="189" t="inlineStr">
        <is>
          <t>UNLIKELY</t>
        </is>
      </c>
      <c r="Z446" s="189" t="inlineStr">
        <is>
          <t>PATCH_AVAILABLE</t>
        </is>
      </c>
      <c r="AA446" s="189" t="inlineStr">
        <is>
          <t>https://nvd.nist.gov/vuln/detail/CVE-2026-2791</t>
        </is>
      </c>
      <c r="AB446" s="189" t="inlineStr">
        <is>
          <t>NONE</t>
        </is>
      </c>
      <c r="AC446" s="189" t="n">
        <v>0</v>
      </c>
      <c r="AD446" s="189" t="inlineStr"/>
    </row>
    <row r="447">
      <c r="A447" s="189" t="inlineStr">
        <is>
          <t>CVE</t>
        </is>
      </c>
      <c r="B447" s="189" t="inlineStr">
        <is>
          <t>CVE-2026-2792</t>
        </is>
      </c>
      <c r="C447" s="189"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447" s="189" t="n">
        <v>9.800000000000001</v>
      </c>
      <c r="E447" s="189" t="inlineStr">
        <is>
          <t>CRITICAL</t>
        </is>
      </c>
      <c r="F447" s="189" t="n">
        <v>2</v>
      </c>
      <c r="G447" s="189" t="n">
        <v>3</v>
      </c>
      <c r="H447" s="189" t="inlineStr">
        <is>
          <t>HIGH</t>
        </is>
      </c>
      <c r="I447" s="189" t="n">
        <v>15.8</v>
      </c>
      <c r="J447" s="189" t="inlineStr">
        <is>
          <t>NO</t>
        </is>
      </c>
      <c r="K447" s="189" t="inlineStr">
        <is>
          <t>https://nvd.nist.gov/vuln/detail/CVE-2026-2792</t>
        </is>
      </c>
      <c r="L447" s="189" t="inlineStr">
        <is>
          <t>2026-02-27 20:47</t>
        </is>
      </c>
      <c r="M447" s="189" t="inlineStr">
        <is>
          <t>YES</t>
        </is>
      </c>
      <c r="N447" s="189" t="inlineStr">
        <is>
          <t>https://www.mozilla.org/security/advisories/mfsa2026-13/ | https://www.mozilla.org/security/advisories/mfsa2026-15/ | https://www.mozilla.org/security/advisories/mfsa2026-16/</t>
        </is>
      </c>
      <c r="O447" s="189" t="inlineStr">
        <is>
          <t>Apply vendor patches</t>
        </is>
      </c>
      <c r="P447" s="189" t="inlineStr">
        <is>
          <t>mozilla firefox * | mozilla thunderbird *</t>
        </is>
      </c>
      <c r="Q447" s="189" t="inlineStr">
        <is>
          <t>P3</t>
        </is>
      </c>
      <c r="R447" s="189" t="inlineStr">
        <is>
          <t>🚨 URGENT: Apply vendor patches immediately | 🔒 Isolate affected systems if patch unavailable | 🛡️ Enable additional monitoring/IDS rules</t>
        </is>
      </c>
      <c r="S447" s="189" t="inlineStr">
        <is>
          <t>CVE - IP enrichment n/a</t>
        </is>
      </c>
      <c r="T447" s="189" t="n">
        <v>0.0005</v>
      </c>
      <c r="U447" s="189" t="n">
        <v>0.1498</v>
      </c>
      <c r="V447" s="189" t="inlineStr">
        <is>
          <t>T1203:Exploitation for Client Execution</t>
        </is>
      </c>
      <c r="W447" s="189" t="n">
        <v>1</v>
      </c>
      <c r="X447" s="189" t="inlineStr">
        <is>
          <t>LOW (40%)</t>
        </is>
      </c>
      <c r="Y447" s="189" t="inlineStr">
        <is>
          <t>UNLIKELY</t>
        </is>
      </c>
      <c r="Z447" s="189" t="inlineStr">
        <is>
          <t>PATCH_AVAILABLE</t>
        </is>
      </c>
      <c r="AA447" s="189" t="inlineStr">
        <is>
          <t>https://nvd.nist.gov/vuln/detail/CVE-2026-2792</t>
        </is>
      </c>
      <c r="AB447" s="189" t="inlineStr">
        <is>
          <t>NONE</t>
        </is>
      </c>
      <c r="AC447" s="189" t="n">
        <v>0</v>
      </c>
      <c r="AD447" s="189" t="inlineStr"/>
    </row>
    <row r="448">
      <c r="A448" s="189" t="inlineStr">
        <is>
          <t>CVE</t>
        </is>
      </c>
      <c r="B448" s="189" t="inlineStr">
        <is>
          <t>CVE-2026-2793</t>
        </is>
      </c>
      <c r="C448" s="189"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448" s="189" t="n">
        <v>9.800000000000001</v>
      </c>
      <c r="E448" s="189" t="inlineStr">
        <is>
          <t>CRITICAL</t>
        </is>
      </c>
      <c r="F448" s="189" t="n">
        <v>2</v>
      </c>
      <c r="G448" s="189" t="n">
        <v>3</v>
      </c>
      <c r="H448" s="189" t="inlineStr">
        <is>
          <t>HIGH</t>
        </is>
      </c>
      <c r="I448" s="189" t="n">
        <v>15.8</v>
      </c>
      <c r="J448" s="189" t="inlineStr">
        <is>
          <t>NO</t>
        </is>
      </c>
      <c r="K448" s="189" t="inlineStr">
        <is>
          <t>https://nvd.nist.gov/vuln/detail/CVE-2026-2793</t>
        </is>
      </c>
      <c r="L448" s="189" t="inlineStr">
        <is>
          <t>2026-02-27 20:47</t>
        </is>
      </c>
      <c r="M448" s="189" t="inlineStr">
        <is>
          <t>YES</t>
        </is>
      </c>
      <c r="N448" s="189" t="inlineStr">
        <is>
          <t>https://www.mozilla.org/security/advisories/mfsa2026-13/ | https://www.mozilla.org/security/advisories/mfsa2026-14/ | https://www.mozilla.org/security/advisories/mfsa2026-15/</t>
        </is>
      </c>
      <c r="O448" s="189" t="inlineStr">
        <is>
          <t>Apply vendor patches</t>
        </is>
      </c>
      <c r="P448" s="189" t="inlineStr">
        <is>
          <t>mozilla firefox *</t>
        </is>
      </c>
      <c r="Q448" s="189" t="inlineStr">
        <is>
          <t>P3</t>
        </is>
      </c>
      <c r="R448" s="189" t="inlineStr">
        <is>
          <t>🚨 URGENT: Apply vendor patches immediately | 🔒 Isolate affected systems if patch unavailable | 🛡️ Enable additional monitoring/IDS rules</t>
        </is>
      </c>
      <c r="S448" s="189" t="inlineStr">
        <is>
          <t>CVE - IP enrichment n/a</t>
        </is>
      </c>
      <c r="T448" s="189" t="n">
        <v>0.0005</v>
      </c>
      <c r="U448" s="189" t="n">
        <v>0.1527</v>
      </c>
      <c r="V448" s="189" t="inlineStr">
        <is>
          <t>T1203:Exploitation for Client Execution</t>
        </is>
      </c>
      <c r="W448" s="189" t="n">
        <v>1</v>
      </c>
      <c r="X448" s="189" t="inlineStr">
        <is>
          <t>LOW (40%)</t>
        </is>
      </c>
      <c r="Y448" s="189" t="inlineStr">
        <is>
          <t>UNLIKELY</t>
        </is>
      </c>
      <c r="Z448" s="189" t="inlineStr">
        <is>
          <t>PATCH_AVAILABLE</t>
        </is>
      </c>
      <c r="AA448" s="189" t="inlineStr">
        <is>
          <t>https://nvd.nist.gov/vuln/detail/CVE-2026-2793</t>
        </is>
      </c>
      <c r="AB448" s="189" t="inlineStr">
        <is>
          <t>NONE</t>
        </is>
      </c>
      <c r="AC448" s="189" t="n">
        <v>0</v>
      </c>
      <c r="AD448" s="189" t="inlineStr"/>
    </row>
    <row r="449">
      <c r="A449" s="187" t="inlineStr">
        <is>
          <t>CVE</t>
        </is>
      </c>
      <c r="B449" s="187" t="inlineStr">
        <is>
          <t>CVE-2026-2794</t>
        </is>
      </c>
      <c r="C449" s="187" t="inlineStr">
        <is>
          <t>Information disclosure due to uninitialized memory in Firefox and Firefox Focus for Android. This vulnerability affects Firefox &lt; 148.</t>
        </is>
      </c>
      <c r="D449" s="187" t="n">
        <v>7.5</v>
      </c>
      <c r="E449" s="187" t="inlineStr">
        <is>
          <t>HIGH</t>
        </is>
      </c>
      <c r="F449" s="187" t="n">
        <v>2</v>
      </c>
      <c r="G449" s="187" t="n">
        <v>3</v>
      </c>
      <c r="H449" s="187" t="inlineStr">
        <is>
          <t>HIGH</t>
        </is>
      </c>
      <c r="I449" s="187" t="n">
        <v>13.5</v>
      </c>
      <c r="J449" s="187" t="inlineStr">
        <is>
          <t>NO</t>
        </is>
      </c>
      <c r="K449" s="187" t="inlineStr">
        <is>
          <t>https://nvd.nist.gov/vuln/detail/CVE-2026-2794</t>
        </is>
      </c>
      <c r="L449" s="187" t="inlineStr">
        <is>
          <t>2026-02-27 20:47</t>
        </is>
      </c>
      <c r="M449" s="187" t="inlineStr">
        <is>
          <t>YES</t>
        </is>
      </c>
      <c r="N449" s="187" t="inlineStr">
        <is>
          <t>https://www.mozilla.org/security/advisories/mfsa2026-13/</t>
        </is>
      </c>
      <c r="O449" s="187" t="inlineStr">
        <is>
          <t>Apply vendor patches</t>
        </is>
      </c>
      <c r="P449" s="187" t="inlineStr">
        <is>
          <t>mozilla firefox *</t>
        </is>
      </c>
      <c r="Q449" s="187" t="inlineStr">
        <is>
          <t>P3</t>
        </is>
      </c>
      <c r="R449" s="187" t="inlineStr">
        <is>
          <t>🚨 URGENT: Apply vendor patches immediately | 🔒 Isolate affected systems if patch unavailable | 🛡️ Enable additional monitoring/IDS rules</t>
        </is>
      </c>
      <c r="S449" s="187" t="inlineStr">
        <is>
          <t>CVE - IP enrichment n/a</t>
        </is>
      </c>
      <c r="T449" s="187" t="n">
        <v>0.0003</v>
      </c>
      <c r="U449" s="187" t="n">
        <v>0.0921</v>
      </c>
      <c r="V449" s="187" t="inlineStr">
        <is>
          <t>T1213:Data from Information Repositories</t>
        </is>
      </c>
      <c r="W449" s="187" t="n">
        <v>1</v>
      </c>
      <c r="X449" s="187" t="inlineStr">
        <is>
          <t>LOW (40%)</t>
        </is>
      </c>
      <c r="Y449" s="187" t="inlineStr">
        <is>
          <t>UNLIKELY</t>
        </is>
      </c>
      <c r="Z449" s="187" t="inlineStr">
        <is>
          <t>PATCH_AVAILABLE</t>
        </is>
      </c>
      <c r="AA449" s="187" t="inlineStr">
        <is>
          <t>https://nvd.nist.gov/vuln/detail/CVE-2026-2794</t>
        </is>
      </c>
      <c r="AB449" s="187" t="inlineStr">
        <is>
          <t>NONE</t>
        </is>
      </c>
      <c r="AC449" s="187" t="n">
        <v>0</v>
      </c>
      <c r="AD449" s="187" t="inlineStr"/>
    </row>
    <row r="450">
      <c r="A450" s="189" t="inlineStr">
        <is>
          <t>CVE</t>
        </is>
      </c>
      <c r="B450" s="189" t="inlineStr">
        <is>
          <t>CVE-2026-2795</t>
        </is>
      </c>
      <c r="C450" s="189" t="inlineStr">
        <is>
          <t>Use-after-free in the JavaScript: GC component. This vulnerability affects Firefox &lt; 148 and Thunderbird &lt; 148.</t>
        </is>
      </c>
      <c r="D450" s="189" t="n">
        <v>9.800000000000001</v>
      </c>
      <c r="E450" s="189" t="inlineStr">
        <is>
          <t>CRITICAL</t>
        </is>
      </c>
      <c r="F450" s="189" t="n">
        <v>2</v>
      </c>
      <c r="G450" s="189" t="n">
        <v>3</v>
      </c>
      <c r="H450" s="189" t="inlineStr">
        <is>
          <t>HIGH</t>
        </is>
      </c>
      <c r="I450" s="189" t="n">
        <v>15.8</v>
      </c>
      <c r="J450" s="189" t="inlineStr">
        <is>
          <t>NO</t>
        </is>
      </c>
      <c r="K450" s="189" t="inlineStr">
        <is>
          <t>https://nvd.nist.gov/vuln/detail/CVE-2026-2795</t>
        </is>
      </c>
      <c r="L450" s="189" t="inlineStr">
        <is>
          <t>2026-02-27 20:47</t>
        </is>
      </c>
      <c r="M450" s="189" t="inlineStr">
        <is>
          <t>YES</t>
        </is>
      </c>
      <c r="N450" s="189" t="inlineStr">
        <is>
          <t>https://www.mozilla.org/security/advisories/mfsa2026-13/ | https://www.mozilla.org/security/advisories/mfsa2026-16/</t>
        </is>
      </c>
      <c r="O450" s="189" t="inlineStr">
        <is>
          <t>Apply vendor patches</t>
        </is>
      </c>
      <c r="P450" s="189" t="inlineStr">
        <is>
          <t>mozilla firefox * | mozilla thunderbird *</t>
        </is>
      </c>
      <c r="Q450" s="189" t="inlineStr">
        <is>
          <t>P3</t>
        </is>
      </c>
      <c r="R450" s="189" t="inlineStr">
        <is>
          <t>🚨 URGENT: Apply vendor patches immediately | 🔒 Isolate affected systems if patch unavailable | 🛡️ Enable additional monitoring/IDS rules</t>
        </is>
      </c>
      <c r="S450" s="189" t="inlineStr">
        <is>
          <t>CVE - IP enrichment n/a</t>
        </is>
      </c>
      <c r="T450" s="189" t="n">
        <v>0.0004</v>
      </c>
      <c r="U450" s="189" t="n">
        <v>0.116</v>
      </c>
      <c r="V450" s="189" t="inlineStr">
        <is>
          <t>T1203:Exploitation for Client Execution</t>
        </is>
      </c>
      <c r="W450" s="189" t="n">
        <v>1</v>
      </c>
      <c r="X450" s="189" t="inlineStr">
        <is>
          <t>LOW (40%)</t>
        </is>
      </c>
      <c r="Y450" s="189" t="inlineStr">
        <is>
          <t>UNLIKELY</t>
        </is>
      </c>
      <c r="Z450" s="189" t="inlineStr">
        <is>
          <t>PATCH_AVAILABLE</t>
        </is>
      </c>
      <c r="AA450" s="189" t="inlineStr">
        <is>
          <t>https://nvd.nist.gov/vuln/detail/CVE-2026-2795</t>
        </is>
      </c>
      <c r="AB450" s="189" t="inlineStr">
        <is>
          <t>NONE</t>
        </is>
      </c>
      <c r="AC450" s="189" t="n">
        <v>0</v>
      </c>
      <c r="AD450" s="189" t="inlineStr"/>
    </row>
    <row r="451">
      <c r="A451" s="189" t="inlineStr">
        <is>
          <t>CVE</t>
        </is>
      </c>
      <c r="B451" s="189" t="inlineStr">
        <is>
          <t>CVE-2026-2796</t>
        </is>
      </c>
      <c r="C451" s="189" t="inlineStr">
        <is>
          <t>JIT miscompilation in the JavaScript: WebAssembly component. This vulnerability affects Firefox &lt; 148 and Thunderbird &lt; 148.</t>
        </is>
      </c>
      <c r="D451" s="189" t="n">
        <v>9.800000000000001</v>
      </c>
      <c r="E451" s="189" t="inlineStr">
        <is>
          <t>CRITICAL</t>
        </is>
      </c>
      <c r="F451" s="189" t="n">
        <v>2</v>
      </c>
      <c r="G451" s="189" t="n">
        <v>3</v>
      </c>
      <c r="H451" s="189" t="inlineStr">
        <is>
          <t>HIGH</t>
        </is>
      </c>
      <c r="I451" s="189" t="n">
        <v>15.8</v>
      </c>
      <c r="J451" s="189" t="inlineStr">
        <is>
          <t>NO</t>
        </is>
      </c>
      <c r="K451" s="189" t="inlineStr">
        <is>
          <t>https://nvd.nist.gov/vuln/detail/CVE-2026-2796</t>
        </is>
      </c>
      <c r="L451" s="189" t="inlineStr">
        <is>
          <t>2026-02-27 20:47</t>
        </is>
      </c>
      <c r="M451" s="189" t="inlineStr">
        <is>
          <t>YES</t>
        </is>
      </c>
      <c r="N451" s="189" t="inlineStr">
        <is>
          <t>https://www.mozilla.org/security/advisories/mfsa2026-13/ | https://www.mozilla.org/security/advisories/mfsa2026-16/</t>
        </is>
      </c>
      <c r="O451" s="189" t="inlineStr">
        <is>
          <t>Apply vendor patches</t>
        </is>
      </c>
      <c r="P451" s="189" t="inlineStr">
        <is>
          <t>mozilla firefox * | mozilla thunderbird *</t>
        </is>
      </c>
      <c r="Q451" s="189" t="inlineStr">
        <is>
          <t>P3</t>
        </is>
      </c>
      <c r="R451" s="189" t="inlineStr">
        <is>
          <t>🚨 URGENT: Apply vendor patches immediately | 🔒 Isolate affected systems if patch unavailable | 🛡️ Enable additional monitoring/IDS rules</t>
        </is>
      </c>
      <c r="S451" s="189" t="inlineStr">
        <is>
          <t>CVE - IP enrichment n/a</t>
        </is>
      </c>
      <c r="T451" s="189" t="n">
        <v>0.0004</v>
      </c>
      <c r="U451" s="189" t="n">
        <v>0.1292</v>
      </c>
      <c r="V451" s="189" t="inlineStr">
        <is>
          <t>T1190:Exploit Public-Facing Application</t>
        </is>
      </c>
      <c r="W451" s="189" t="n">
        <v>1</v>
      </c>
      <c r="X451" s="189" t="inlineStr">
        <is>
          <t>LOW (40%)</t>
        </is>
      </c>
      <c r="Y451" s="189" t="inlineStr">
        <is>
          <t>UNLIKELY</t>
        </is>
      </c>
      <c r="Z451" s="189" t="inlineStr">
        <is>
          <t>PATCH_AVAILABLE</t>
        </is>
      </c>
      <c r="AA451" s="189" t="inlineStr">
        <is>
          <t>https://nvd.nist.gov/vuln/detail/CVE-2026-2796</t>
        </is>
      </c>
      <c r="AB451" s="189" t="inlineStr">
        <is>
          <t>NONE</t>
        </is>
      </c>
      <c r="AC451" s="189" t="n">
        <v>0</v>
      </c>
      <c r="AD451" s="189" t="inlineStr"/>
    </row>
    <row r="452">
      <c r="A452" s="189" t="inlineStr">
        <is>
          <t>CVE</t>
        </is>
      </c>
      <c r="B452" s="189" t="inlineStr">
        <is>
          <t>CVE-2026-2797</t>
        </is>
      </c>
      <c r="C452" s="189" t="inlineStr">
        <is>
          <t>Use-after-free in the JavaScript: GC component. This vulnerability affects Firefox &lt; 148 and Thunderbird &lt; 148.</t>
        </is>
      </c>
      <c r="D452" s="189" t="n">
        <v>9.800000000000001</v>
      </c>
      <c r="E452" s="189" t="inlineStr">
        <is>
          <t>CRITICAL</t>
        </is>
      </c>
      <c r="F452" s="189" t="n">
        <v>2</v>
      </c>
      <c r="G452" s="189" t="n">
        <v>3</v>
      </c>
      <c r="H452" s="189" t="inlineStr">
        <is>
          <t>HIGH</t>
        </is>
      </c>
      <c r="I452" s="189" t="n">
        <v>15.8</v>
      </c>
      <c r="J452" s="189" t="inlineStr">
        <is>
          <t>NO</t>
        </is>
      </c>
      <c r="K452" s="189" t="inlineStr">
        <is>
          <t>https://nvd.nist.gov/vuln/detail/CVE-2026-2797</t>
        </is>
      </c>
      <c r="L452" s="189" t="inlineStr">
        <is>
          <t>2026-02-27 20:47</t>
        </is>
      </c>
      <c r="M452" s="189" t="inlineStr">
        <is>
          <t>YES</t>
        </is>
      </c>
      <c r="N452" s="189" t="inlineStr">
        <is>
          <t>https://www.mozilla.org/security/advisories/mfsa2026-13/ | https://www.mozilla.org/security/advisories/mfsa2026-16/</t>
        </is>
      </c>
      <c r="O452" s="189" t="inlineStr">
        <is>
          <t>Apply vendor patches</t>
        </is>
      </c>
      <c r="P452" s="189" t="inlineStr">
        <is>
          <t>mozilla firefox * | mozilla thunderbird *</t>
        </is>
      </c>
      <c r="Q452" s="189" t="inlineStr">
        <is>
          <t>P3</t>
        </is>
      </c>
      <c r="R452" s="189" t="inlineStr">
        <is>
          <t>🚨 URGENT: Apply vendor patches immediately | 🔒 Isolate affected systems if patch unavailable | 🛡️ Enable additional monitoring/IDS rules</t>
        </is>
      </c>
      <c r="S452" s="189" t="inlineStr">
        <is>
          <t>CVE - IP enrichment n/a</t>
        </is>
      </c>
      <c r="T452" s="189" t="n">
        <v>0.0004</v>
      </c>
      <c r="U452" s="189" t="n">
        <v>0.116</v>
      </c>
      <c r="V452" s="189" t="inlineStr">
        <is>
          <t>T1203:Exploitation for Client Execution</t>
        </is>
      </c>
      <c r="W452" s="189" t="n">
        <v>1</v>
      </c>
      <c r="X452" s="189" t="inlineStr">
        <is>
          <t>LOW (40%)</t>
        </is>
      </c>
      <c r="Y452" s="189" t="inlineStr">
        <is>
          <t>UNLIKELY</t>
        </is>
      </c>
      <c r="Z452" s="189" t="inlineStr">
        <is>
          <t>PATCH_AVAILABLE</t>
        </is>
      </c>
      <c r="AA452" s="189" t="inlineStr">
        <is>
          <t>https://nvd.nist.gov/vuln/detail/CVE-2026-2797</t>
        </is>
      </c>
      <c r="AB452" s="189" t="inlineStr">
        <is>
          <t>NONE</t>
        </is>
      </c>
      <c r="AC452" s="189" t="n">
        <v>0</v>
      </c>
      <c r="AD452" s="189" t="inlineStr"/>
    </row>
    <row r="453">
      <c r="A453" s="187" t="inlineStr">
        <is>
          <t>CVE</t>
        </is>
      </c>
      <c r="B453" s="187" t="inlineStr">
        <is>
          <t>CVE-2026-2798</t>
        </is>
      </c>
      <c r="C453" s="187" t="inlineStr">
        <is>
          <t>Use-after-free in the DOM: Core &amp; HTML component. This vulnerability affects Firefox &lt; 148 and Thunderbird &lt; 148.</t>
        </is>
      </c>
      <c r="D453" s="187" t="n">
        <v>8.800000000000001</v>
      </c>
      <c r="E453" s="187" t="inlineStr">
        <is>
          <t>HIGH</t>
        </is>
      </c>
      <c r="F453" s="187" t="n">
        <v>2</v>
      </c>
      <c r="G453" s="187" t="n">
        <v>3</v>
      </c>
      <c r="H453" s="187" t="inlineStr">
        <is>
          <t>HIGH</t>
        </is>
      </c>
      <c r="I453" s="187" t="n">
        <v>14.8</v>
      </c>
      <c r="J453" s="187" t="inlineStr">
        <is>
          <t>NO</t>
        </is>
      </c>
      <c r="K453" s="187" t="inlineStr">
        <is>
          <t>https://nvd.nist.gov/vuln/detail/CVE-2026-2798</t>
        </is>
      </c>
      <c r="L453" s="187" t="inlineStr">
        <is>
          <t>2026-02-27 20:47</t>
        </is>
      </c>
      <c r="M453" s="187" t="inlineStr">
        <is>
          <t>YES</t>
        </is>
      </c>
      <c r="N453" s="187" t="inlineStr">
        <is>
          <t>https://www.mozilla.org/security/advisories/mfsa2026-13/ | https://www.mozilla.org/security/advisories/mfsa2026-16/</t>
        </is>
      </c>
      <c r="O453" s="187" t="inlineStr">
        <is>
          <t>Apply vendor patches</t>
        </is>
      </c>
      <c r="P453" s="187" t="inlineStr">
        <is>
          <t>mozilla firefox * | mozilla thunderbird *</t>
        </is>
      </c>
      <c r="Q453" s="187" t="inlineStr">
        <is>
          <t>P3</t>
        </is>
      </c>
      <c r="R453" s="187" t="inlineStr">
        <is>
          <t>🚨 URGENT: Apply vendor patches immediately | 🔒 Isolate affected systems if patch unavailable | 🛡️ Enable additional monitoring/IDS rules</t>
        </is>
      </c>
      <c r="S453" s="187" t="inlineStr">
        <is>
          <t>CVE - IP enrichment n/a</t>
        </is>
      </c>
      <c r="T453" s="187" t="n">
        <v>0.0004</v>
      </c>
      <c r="U453" s="187" t="n">
        <v>0.116</v>
      </c>
      <c r="V453" s="187" t="inlineStr">
        <is>
          <t>T1203:Exploitation for Client Execution</t>
        </is>
      </c>
      <c r="W453" s="187" t="n">
        <v>1</v>
      </c>
      <c r="X453" s="187" t="inlineStr">
        <is>
          <t>LOW (40%)</t>
        </is>
      </c>
      <c r="Y453" s="187" t="inlineStr">
        <is>
          <t>UNLIKELY</t>
        </is>
      </c>
      <c r="Z453" s="187" t="inlineStr">
        <is>
          <t>PATCH_AVAILABLE</t>
        </is>
      </c>
      <c r="AA453" s="187" t="inlineStr">
        <is>
          <t>https://nvd.nist.gov/vuln/detail/CVE-2026-2798</t>
        </is>
      </c>
      <c r="AB453" s="187" t="inlineStr">
        <is>
          <t>NONE</t>
        </is>
      </c>
      <c r="AC453" s="187" t="n">
        <v>0</v>
      </c>
      <c r="AD453" s="187" t="inlineStr"/>
    </row>
    <row r="454">
      <c r="A454" s="189" t="inlineStr">
        <is>
          <t>CVE</t>
        </is>
      </c>
      <c r="B454" s="189" t="inlineStr">
        <is>
          <t>CVE-2026-2799</t>
        </is>
      </c>
      <c r="C454" s="189" t="inlineStr">
        <is>
          <t>Use-after-free in the DOM: Core &amp; HTML component. This vulnerability affects Firefox &lt; 148 and Thunderbird &lt; 148.</t>
        </is>
      </c>
      <c r="D454" s="189" t="n">
        <v>9.800000000000001</v>
      </c>
      <c r="E454" s="189" t="inlineStr">
        <is>
          <t>CRITICAL</t>
        </is>
      </c>
      <c r="F454" s="189" t="n">
        <v>2</v>
      </c>
      <c r="G454" s="189" t="n">
        <v>3</v>
      </c>
      <c r="H454" s="189" t="inlineStr">
        <is>
          <t>HIGH</t>
        </is>
      </c>
      <c r="I454" s="189" t="n">
        <v>15.8</v>
      </c>
      <c r="J454" s="189" t="inlineStr">
        <is>
          <t>NO</t>
        </is>
      </c>
      <c r="K454" s="189" t="inlineStr">
        <is>
          <t>https://nvd.nist.gov/vuln/detail/CVE-2026-2799</t>
        </is>
      </c>
      <c r="L454" s="189" t="inlineStr">
        <is>
          <t>2026-02-27 20:47</t>
        </is>
      </c>
      <c r="M454" s="189" t="inlineStr">
        <is>
          <t>YES</t>
        </is>
      </c>
      <c r="N454" s="189" t="inlineStr">
        <is>
          <t>https://www.mozilla.org/security/advisories/mfsa2026-13/ | https://www.mozilla.org/security/advisories/mfsa2026-16/</t>
        </is>
      </c>
      <c r="O454" s="189" t="inlineStr">
        <is>
          <t>Apply vendor patches</t>
        </is>
      </c>
      <c r="P454" s="189" t="inlineStr">
        <is>
          <t>mozilla firefox * | mozilla thunderbird *</t>
        </is>
      </c>
      <c r="Q454" s="189" t="inlineStr">
        <is>
          <t>P3</t>
        </is>
      </c>
      <c r="R454" s="189" t="inlineStr">
        <is>
          <t>🚨 URGENT: Apply vendor patches immediately | 🔒 Isolate affected systems if patch unavailable | 🛡️ Enable additional monitoring/IDS rules</t>
        </is>
      </c>
      <c r="S454" s="189" t="inlineStr">
        <is>
          <t>CVE - IP enrichment n/a</t>
        </is>
      </c>
      <c r="T454" s="189" t="n">
        <v>0.0004</v>
      </c>
      <c r="U454" s="189" t="n">
        <v>0.116</v>
      </c>
      <c r="V454" s="189" t="inlineStr">
        <is>
          <t>T1203:Exploitation for Client Execution</t>
        </is>
      </c>
      <c r="W454" s="189" t="n">
        <v>1</v>
      </c>
      <c r="X454" s="189" t="inlineStr">
        <is>
          <t>LOW (40%)</t>
        </is>
      </c>
      <c r="Y454" s="189" t="inlineStr">
        <is>
          <t>UNLIKELY</t>
        </is>
      </c>
      <c r="Z454" s="189" t="inlineStr">
        <is>
          <t>PATCH_AVAILABLE</t>
        </is>
      </c>
      <c r="AA454" s="189" t="inlineStr">
        <is>
          <t>https://nvd.nist.gov/vuln/detail/CVE-2026-2799</t>
        </is>
      </c>
      <c r="AB454" s="189" t="inlineStr">
        <is>
          <t>NONE</t>
        </is>
      </c>
      <c r="AC454" s="189" t="n">
        <v>0</v>
      </c>
      <c r="AD454" s="189" t="inlineStr"/>
    </row>
    <row r="455">
      <c r="A455" s="189" t="inlineStr">
        <is>
          <t>CVE</t>
        </is>
      </c>
      <c r="B455" s="189" t="inlineStr">
        <is>
          <t>CVE-2026-2800</t>
        </is>
      </c>
      <c r="C455" s="189" t="inlineStr">
        <is>
          <t>Spoofing issue in the WebAuthn component in Firefox for Android. This vulnerability affects Firefox &lt; 148 and Thunderbird &lt; 148.</t>
        </is>
      </c>
      <c r="D455" s="189" t="n">
        <v>9.800000000000001</v>
      </c>
      <c r="E455" s="189" t="inlineStr">
        <is>
          <t>CRITICAL</t>
        </is>
      </c>
      <c r="F455" s="189" t="n">
        <v>2</v>
      </c>
      <c r="G455" s="189" t="n">
        <v>3</v>
      </c>
      <c r="H455" s="189" t="inlineStr">
        <is>
          <t>HIGH</t>
        </is>
      </c>
      <c r="I455" s="189" t="n">
        <v>15.8</v>
      </c>
      <c r="J455" s="189" t="inlineStr">
        <is>
          <t>NO</t>
        </is>
      </c>
      <c r="K455" s="189" t="inlineStr">
        <is>
          <t>https://nvd.nist.gov/vuln/detail/CVE-2026-2800</t>
        </is>
      </c>
      <c r="L455" s="189" t="inlineStr">
        <is>
          <t>2026-02-27 20:47</t>
        </is>
      </c>
      <c r="M455" s="189" t="inlineStr">
        <is>
          <t>YES</t>
        </is>
      </c>
      <c r="N455" s="189" t="inlineStr">
        <is>
          <t>https://www.mozilla.org/security/advisories/mfsa2026-13/ | https://www.mozilla.org/security/advisories/mfsa2026-16/</t>
        </is>
      </c>
      <c r="O455" s="189" t="inlineStr">
        <is>
          <t>Apply vendor patches</t>
        </is>
      </c>
      <c r="P455" s="189" t="inlineStr">
        <is>
          <t>mozilla firefox * | mozilla thunderbird *</t>
        </is>
      </c>
      <c r="Q455" s="189" t="inlineStr">
        <is>
          <t>P3</t>
        </is>
      </c>
      <c r="R455" s="189" t="inlineStr">
        <is>
          <t>🚨 URGENT: Apply vendor patches immediately | 🔒 Isolate affected systems if patch unavailable | 🛡️ Enable additional monitoring/IDS rules</t>
        </is>
      </c>
      <c r="S455" s="189" t="inlineStr">
        <is>
          <t>CVE - IP enrichment n/a</t>
        </is>
      </c>
      <c r="T455" s="189" t="n">
        <v>0.0004</v>
      </c>
      <c r="U455" s="189" t="n">
        <v>0.1242</v>
      </c>
      <c r="V455" s="189" t="inlineStr">
        <is>
          <t>T1190:Exploit Public-Facing Application</t>
        </is>
      </c>
      <c r="W455" s="189" t="n">
        <v>1</v>
      </c>
      <c r="X455" s="189" t="inlineStr">
        <is>
          <t>LOW (40%)</t>
        </is>
      </c>
      <c r="Y455" s="189" t="inlineStr">
        <is>
          <t>UNLIKELY</t>
        </is>
      </c>
      <c r="Z455" s="189" t="inlineStr">
        <is>
          <t>PATCH_AVAILABLE</t>
        </is>
      </c>
      <c r="AA455" s="189" t="inlineStr">
        <is>
          <t>https://nvd.nist.gov/vuln/detail/CVE-2026-2800</t>
        </is>
      </c>
      <c r="AB455" s="189" t="inlineStr">
        <is>
          <t>NONE</t>
        </is>
      </c>
      <c r="AC455" s="189" t="n">
        <v>0</v>
      </c>
      <c r="AD455" s="189" t="inlineStr"/>
    </row>
    <row r="456">
      <c r="A456" s="187" t="inlineStr">
        <is>
          <t>CVE</t>
        </is>
      </c>
      <c r="B456" s="187" t="inlineStr">
        <is>
          <t>CVE-2026-2801</t>
        </is>
      </c>
      <c r="C456" s="187" t="inlineStr">
        <is>
          <t>Incorrect boundary conditions in the JavaScript: WebAssembly component. This vulnerability affects Firefox &lt; 148 and Thunderbird &lt; 148.</t>
        </is>
      </c>
      <c r="D456" s="187" t="n">
        <v>7.5</v>
      </c>
      <c r="E456" s="187" t="inlineStr">
        <is>
          <t>HIGH</t>
        </is>
      </c>
      <c r="F456" s="187" t="n">
        <v>2</v>
      </c>
      <c r="G456" s="187" t="n">
        <v>3</v>
      </c>
      <c r="H456" s="187" t="inlineStr">
        <is>
          <t>HIGH</t>
        </is>
      </c>
      <c r="I456" s="187" t="n">
        <v>13.5</v>
      </c>
      <c r="J456" s="187" t="inlineStr">
        <is>
          <t>NO</t>
        </is>
      </c>
      <c r="K456" s="187" t="inlineStr">
        <is>
          <t>https://nvd.nist.gov/vuln/detail/CVE-2026-2801</t>
        </is>
      </c>
      <c r="L456" s="187" t="inlineStr">
        <is>
          <t>2026-02-27 20:47</t>
        </is>
      </c>
      <c r="M456" s="187" t="inlineStr">
        <is>
          <t>YES</t>
        </is>
      </c>
      <c r="N456" s="187" t="inlineStr">
        <is>
          <t>https://www.mozilla.org/security/advisories/mfsa2026-13/ | https://www.mozilla.org/security/advisories/mfsa2026-16/</t>
        </is>
      </c>
      <c r="O456" s="187" t="inlineStr">
        <is>
          <t>Apply vendor patches</t>
        </is>
      </c>
      <c r="P456" s="187" t="inlineStr">
        <is>
          <t>mozilla firefox * | mozilla thunderbird *</t>
        </is>
      </c>
      <c r="Q456" s="187" t="inlineStr">
        <is>
          <t>P3</t>
        </is>
      </c>
      <c r="R456" s="187" t="inlineStr">
        <is>
          <t>🚨 URGENT: Apply vendor patches immediately | 🔒 Isolate affected systems if patch unavailable | 🛡️ Enable additional monitoring/IDS rules</t>
        </is>
      </c>
      <c r="S456" s="187" t="inlineStr">
        <is>
          <t>CVE - IP enrichment n/a</t>
        </is>
      </c>
      <c r="T456" s="187" t="n">
        <v>0.0004</v>
      </c>
      <c r="U456" s="187" t="n">
        <v>0.1195</v>
      </c>
      <c r="V456" s="187" t="inlineStr">
        <is>
          <t>T1190:Exploit Public-Facing Application</t>
        </is>
      </c>
      <c r="W456" s="187" t="n">
        <v>1</v>
      </c>
      <c r="X456" s="187" t="inlineStr">
        <is>
          <t>LOW (40%)</t>
        </is>
      </c>
      <c r="Y456" s="187" t="inlineStr">
        <is>
          <t>UNLIKELY</t>
        </is>
      </c>
      <c r="Z456" s="187" t="inlineStr">
        <is>
          <t>PATCH_AVAILABLE</t>
        </is>
      </c>
      <c r="AA456" s="187" t="inlineStr">
        <is>
          <t>https://nvd.nist.gov/vuln/detail/CVE-2026-2801</t>
        </is>
      </c>
      <c r="AB456" s="187" t="inlineStr">
        <is>
          <t>NONE</t>
        </is>
      </c>
      <c r="AC456" s="187" t="n">
        <v>0</v>
      </c>
      <c r="AD456" s="187" t="inlineStr"/>
    </row>
    <row r="457">
      <c r="A457" s="188" t="inlineStr">
        <is>
          <t>CVE</t>
        </is>
      </c>
      <c r="B457" s="188" t="inlineStr">
        <is>
          <t>CVE-2026-2802</t>
        </is>
      </c>
      <c r="C457" s="188" t="inlineStr">
        <is>
          <t>Race condition in the JavaScript: GC component. This vulnerability affects Firefox &lt; 148 and Thunderbird &lt; 148.</t>
        </is>
      </c>
      <c r="D457" s="188" t="n">
        <v>4.2</v>
      </c>
      <c r="E457" s="188" t="inlineStr">
        <is>
          <t>MEDIUM</t>
        </is>
      </c>
      <c r="F457" s="188" t="n">
        <v>2</v>
      </c>
      <c r="G457" s="188" t="n">
        <v>2</v>
      </c>
      <c r="H457" s="188" t="inlineStr">
        <is>
          <t>MEDIUM</t>
        </is>
      </c>
      <c r="I457" s="188" t="n">
        <v>8.199999999999999</v>
      </c>
      <c r="J457" s="188" t="inlineStr">
        <is>
          <t>NO</t>
        </is>
      </c>
      <c r="K457" s="188" t="inlineStr">
        <is>
          <t>https://nvd.nist.gov/vuln/detail/CVE-2026-2802</t>
        </is>
      </c>
      <c r="L457" s="188" t="inlineStr">
        <is>
          <t>2026-02-27 20:47</t>
        </is>
      </c>
      <c r="M457" s="188" t="inlineStr">
        <is>
          <t>YES</t>
        </is>
      </c>
      <c r="N457" s="188" t="inlineStr">
        <is>
          <t>https://www.mozilla.org/security/advisories/mfsa2026-13/ | https://www.mozilla.org/security/advisories/mfsa2026-16/</t>
        </is>
      </c>
      <c r="O457" s="188" t="inlineStr">
        <is>
          <t>Apply vendor patches</t>
        </is>
      </c>
      <c r="P457" s="188" t="inlineStr">
        <is>
          <t>mozilla firefox * | mozilla thunderbird *</t>
        </is>
      </c>
      <c r="Q457" s="188" t="inlineStr">
        <is>
          <t>P4</t>
        </is>
      </c>
      <c r="R457" s="188" t="inlineStr">
        <is>
          <t>📅 Schedule patch deployment within 30 days | 🔍 Monitor for exploitation attempts</t>
        </is>
      </c>
      <c r="S457" s="188" t="inlineStr">
        <is>
          <t>CVE - IP enrichment n/a</t>
        </is>
      </c>
      <c r="T457" s="188" t="n">
        <v>0.0003</v>
      </c>
      <c r="U457" s="188" t="n">
        <v>0.0696</v>
      </c>
      <c r="V457" s="188" t="inlineStr">
        <is>
          <t>T1068:Exploitation for Privilege Escalation</t>
        </is>
      </c>
      <c r="W457" s="188" t="n">
        <v>1</v>
      </c>
      <c r="X457" s="188" t="inlineStr">
        <is>
          <t>LOW (40%)</t>
        </is>
      </c>
      <c r="Y457" s="188" t="inlineStr">
        <is>
          <t>UNLIKELY</t>
        </is>
      </c>
      <c r="Z457" s="188" t="inlineStr">
        <is>
          <t>PATCH_AVAILABLE</t>
        </is>
      </c>
      <c r="AA457" s="188" t="inlineStr">
        <is>
          <t>https://nvd.nist.gov/vuln/detail/CVE-2026-2802</t>
        </is>
      </c>
      <c r="AB457" s="188" t="inlineStr">
        <is>
          <t>NONE</t>
        </is>
      </c>
      <c r="AC457" s="188" t="n">
        <v>0</v>
      </c>
      <c r="AD457" s="188" t="inlineStr"/>
    </row>
    <row r="458">
      <c r="A458" s="187" t="inlineStr">
        <is>
          <t>CVE</t>
        </is>
      </c>
      <c r="B458" s="187" t="inlineStr">
        <is>
          <t>CVE-2026-2803</t>
        </is>
      </c>
      <c r="C458" s="187" t="inlineStr">
        <is>
          <t>Information disclosure, mitigation bypass in the Settings UI component. This vulnerability affects Firefox &lt; 148 and Thunderbird &lt; 148.</t>
        </is>
      </c>
      <c r="D458" s="187" t="n">
        <v>7.5</v>
      </c>
      <c r="E458" s="187" t="inlineStr">
        <is>
          <t>HIGH</t>
        </is>
      </c>
      <c r="F458" s="187" t="n">
        <v>2</v>
      </c>
      <c r="G458" s="187" t="n">
        <v>3</v>
      </c>
      <c r="H458" s="187" t="inlineStr">
        <is>
          <t>HIGH</t>
        </is>
      </c>
      <c r="I458" s="187" t="n">
        <v>13.5</v>
      </c>
      <c r="J458" s="187" t="inlineStr">
        <is>
          <t>NO</t>
        </is>
      </c>
      <c r="K458" s="187" t="inlineStr">
        <is>
          <t>https://nvd.nist.gov/vuln/detail/CVE-2026-2803</t>
        </is>
      </c>
      <c r="L458" s="187" t="inlineStr">
        <is>
          <t>2026-02-27 20:47</t>
        </is>
      </c>
      <c r="M458" s="187" t="inlineStr">
        <is>
          <t>YES</t>
        </is>
      </c>
      <c r="N458" s="187" t="inlineStr">
        <is>
          <t>https://www.mozilla.org/security/advisories/mfsa2026-13/ | https://www.mozilla.org/security/advisories/mfsa2026-16/</t>
        </is>
      </c>
      <c r="O458" s="187" t="inlineStr">
        <is>
          <t>Apply vendor patches</t>
        </is>
      </c>
      <c r="P458" s="187" t="inlineStr">
        <is>
          <t>mozilla firefox * | mozilla thunderbird *</t>
        </is>
      </c>
      <c r="Q458" s="187" t="inlineStr">
        <is>
          <t>P3</t>
        </is>
      </c>
      <c r="R458" s="187" t="inlineStr">
        <is>
          <t>🚨 URGENT: Apply vendor patches immediately | 🔒 Isolate affected systems if patch unavailable | 🛡️ Enable additional monitoring/IDS rules</t>
        </is>
      </c>
      <c r="S458" s="187" t="inlineStr">
        <is>
          <t>CVE - IP enrichment n/a</t>
        </is>
      </c>
      <c r="T458" s="187" t="n">
        <v>0.0004</v>
      </c>
      <c r="U458" s="187" t="n">
        <v>0.1197</v>
      </c>
      <c r="V458" s="187" t="inlineStr">
        <is>
          <t>T1213:Data from Information Repositories</t>
        </is>
      </c>
      <c r="W458" s="187" t="n">
        <v>1</v>
      </c>
      <c r="X458" s="187" t="inlineStr">
        <is>
          <t>LOW (40%)</t>
        </is>
      </c>
      <c r="Y458" s="187" t="inlineStr">
        <is>
          <t>UNLIKELY</t>
        </is>
      </c>
      <c r="Z458" s="187" t="inlineStr">
        <is>
          <t>PATCH_AVAILABLE</t>
        </is>
      </c>
      <c r="AA458" s="187" t="inlineStr">
        <is>
          <t>https://nvd.nist.gov/vuln/detail/CVE-2026-2803</t>
        </is>
      </c>
      <c r="AB458" s="187" t="inlineStr">
        <is>
          <t>NONE</t>
        </is>
      </c>
      <c r="AC458" s="187" t="n">
        <v>0</v>
      </c>
      <c r="AD458" s="187" t="inlineStr"/>
    </row>
    <row r="459">
      <c r="A459" s="188" t="inlineStr">
        <is>
          <t>CVE</t>
        </is>
      </c>
      <c r="B459" s="188" t="inlineStr">
        <is>
          <t>CVE-2026-2804</t>
        </is>
      </c>
      <c r="C459" s="188" t="inlineStr">
        <is>
          <t>Use-after-free in the JavaScript: WebAssembly component. This vulnerability affects Firefox &lt; 148 and Thunderbird &lt; 148.</t>
        </is>
      </c>
      <c r="D459" s="188" t="n">
        <v>5.4</v>
      </c>
      <c r="E459" s="188" t="inlineStr">
        <is>
          <t>MEDIUM</t>
        </is>
      </c>
      <c r="F459" s="188" t="n">
        <v>2</v>
      </c>
      <c r="G459" s="188" t="n">
        <v>2</v>
      </c>
      <c r="H459" s="188" t="inlineStr">
        <is>
          <t>MEDIUM</t>
        </is>
      </c>
      <c r="I459" s="188" t="n">
        <v>9.4</v>
      </c>
      <c r="J459" s="188" t="inlineStr">
        <is>
          <t>NO</t>
        </is>
      </c>
      <c r="K459" s="188" t="inlineStr">
        <is>
          <t>https://nvd.nist.gov/vuln/detail/CVE-2026-2804</t>
        </is>
      </c>
      <c r="L459" s="188" t="inlineStr">
        <is>
          <t>2026-02-27 20:47</t>
        </is>
      </c>
      <c r="M459" s="188" t="inlineStr">
        <is>
          <t>YES</t>
        </is>
      </c>
      <c r="N459" s="188" t="inlineStr">
        <is>
          <t>https://www.mozilla.org/security/advisories/mfsa2026-13/ | https://www.mozilla.org/security/advisories/mfsa2026-16/</t>
        </is>
      </c>
      <c r="O459" s="188" t="inlineStr">
        <is>
          <t>Apply vendor patches</t>
        </is>
      </c>
      <c r="P459" s="188" t="inlineStr">
        <is>
          <t>mozilla firefox * | mozilla thunderbird *</t>
        </is>
      </c>
      <c r="Q459" s="188" t="inlineStr">
        <is>
          <t>P4</t>
        </is>
      </c>
      <c r="R459" s="188" t="inlineStr">
        <is>
          <t>📅 Schedule patch deployment within 30 days | 🔍 Monitor for exploitation attempts</t>
        </is>
      </c>
      <c r="S459" s="188" t="inlineStr">
        <is>
          <t>CVE - IP enrichment n/a</t>
        </is>
      </c>
      <c r="T459" s="188" t="n">
        <v>0.0003</v>
      </c>
      <c r="U459" s="188" t="n">
        <v>0.0788</v>
      </c>
      <c r="V459" s="188" t="inlineStr">
        <is>
          <t>T1203:Exploitation for Client Execution</t>
        </is>
      </c>
      <c r="W459" s="188" t="n">
        <v>1</v>
      </c>
      <c r="X459" s="188" t="inlineStr">
        <is>
          <t>LOW (40%)</t>
        </is>
      </c>
      <c r="Y459" s="188" t="inlineStr">
        <is>
          <t>UNLIKELY</t>
        </is>
      </c>
      <c r="Z459" s="188" t="inlineStr">
        <is>
          <t>PATCH_AVAILABLE</t>
        </is>
      </c>
      <c r="AA459" s="188" t="inlineStr">
        <is>
          <t>https://nvd.nist.gov/vuln/detail/CVE-2026-2804</t>
        </is>
      </c>
      <c r="AB459" s="188" t="inlineStr">
        <is>
          <t>NONE</t>
        </is>
      </c>
      <c r="AC459" s="188" t="n">
        <v>0</v>
      </c>
      <c r="AD459" s="188" t="inlineStr"/>
    </row>
    <row r="460">
      <c r="A460" s="189" t="inlineStr">
        <is>
          <t>CVE</t>
        </is>
      </c>
      <c r="B460" s="189" t="inlineStr">
        <is>
          <t>CVE-2026-2805</t>
        </is>
      </c>
      <c r="C460" s="189" t="inlineStr">
        <is>
          <t>Invalid pointer in the DOM: Core &amp; HTML component. This vulnerability affects Firefox &lt; 148 and Thunderbird &lt; 148.</t>
        </is>
      </c>
      <c r="D460" s="189" t="n">
        <v>9.800000000000001</v>
      </c>
      <c r="E460" s="189" t="inlineStr">
        <is>
          <t>CRITICAL</t>
        </is>
      </c>
      <c r="F460" s="189" t="n">
        <v>2</v>
      </c>
      <c r="G460" s="189" t="n">
        <v>3</v>
      </c>
      <c r="H460" s="189" t="inlineStr">
        <is>
          <t>HIGH</t>
        </is>
      </c>
      <c r="I460" s="189" t="n">
        <v>15.8</v>
      </c>
      <c r="J460" s="189" t="inlineStr">
        <is>
          <t>NO</t>
        </is>
      </c>
      <c r="K460" s="189" t="inlineStr">
        <is>
          <t>https://nvd.nist.gov/vuln/detail/CVE-2026-2805</t>
        </is>
      </c>
      <c r="L460" s="189" t="inlineStr">
        <is>
          <t>2026-02-27 20:47</t>
        </is>
      </c>
      <c r="M460" s="189" t="inlineStr">
        <is>
          <t>YES</t>
        </is>
      </c>
      <c r="N460" s="189" t="inlineStr">
        <is>
          <t>https://www.mozilla.org/security/advisories/mfsa2026-13/ | https://www.mozilla.org/security/advisories/mfsa2026-16/</t>
        </is>
      </c>
      <c r="O460" s="189" t="inlineStr">
        <is>
          <t>Apply vendor patches</t>
        </is>
      </c>
      <c r="P460" s="189" t="inlineStr">
        <is>
          <t>mozilla firefox * | mozilla thunderbird *</t>
        </is>
      </c>
      <c r="Q460" s="189" t="inlineStr">
        <is>
          <t>P3</t>
        </is>
      </c>
      <c r="R460" s="189" t="inlineStr">
        <is>
          <t>🚨 URGENT: Apply vendor patches immediately | 🔒 Isolate affected systems if patch unavailable | 🛡️ Enable additional monitoring/IDS rules</t>
        </is>
      </c>
      <c r="S460" s="189" t="inlineStr">
        <is>
          <t>CVE - IP enrichment n/a</t>
        </is>
      </c>
      <c r="T460" s="189" t="n">
        <v>0.0004</v>
      </c>
      <c r="U460" s="189" t="n">
        <v>0.1292</v>
      </c>
      <c r="V460" s="189" t="inlineStr">
        <is>
          <t>T1203:Exploitation for Client Execution</t>
        </is>
      </c>
      <c r="W460" s="189" t="n">
        <v>1</v>
      </c>
      <c r="X460" s="189" t="inlineStr">
        <is>
          <t>LOW (40%)</t>
        </is>
      </c>
      <c r="Y460" s="189" t="inlineStr">
        <is>
          <t>UNLIKELY</t>
        </is>
      </c>
      <c r="Z460" s="189" t="inlineStr">
        <is>
          <t>PATCH_AVAILABLE</t>
        </is>
      </c>
      <c r="AA460" s="189" t="inlineStr">
        <is>
          <t>https://nvd.nist.gov/vuln/detail/CVE-2026-2805</t>
        </is>
      </c>
      <c r="AB460" s="189" t="inlineStr">
        <is>
          <t>NONE</t>
        </is>
      </c>
      <c r="AC460" s="189" t="n">
        <v>0</v>
      </c>
      <c r="AD460" s="189" t="inlineStr"/>
    </row>
    <row r="461">
      <c r="A461" s="189" t="inlineStr">
        <is>
          <t>CVE</t>
        </is>
      </c>
      <c r="B461" s="189" t="inlineStr">
        <is>
          <t>CVE-2026-2806</t>
        </is>
      </c>
      <c r="C461" s="189" t="inlineStr">
        <is>
          <t>Uninitialized memory in the Graphics: Text component. This vulnerability affects Firefox &lt; 148 and Thunderbird &lt; 148.</t>
        </is>
      </c>
      <c r="D461" s="189" t="n">
        <v>9.1</v>
      </c>
      <c r="E461" s="189" t="inlineStr">
        <is>
          <t>CRITICAL</t>
        </is>
      </c>
      <c r="F461" s="189" t="n">
        <v>2</v>
      </c>
      <c r="G461" s="189" t="n">
        <v>3</v>
      </c>
      <c r="H461" s="189" t="inlineStr">
        <is>
          <t>HIGH</t>
        </is>
      </c>
      <c r="I461" s="189" t="n">
        <v>15.1</v>
      </c>
      <c r="J461" s="189" t="inlineStr">
        <is>
          <t>NO</t>
        </is>
      </c>
      <c r="K461" s="189" t="inlineStr">
        <is>
          <t>https://nvd.nist.gov/vuln/detail/CVE-2026-2806</t>
        </is>
      </c>
      <c r="L461" s="189" t="inlineStr">
        <is>
          <t>2026-02-27 20:47</t>
        </is>
      </c>
      <c r="M461" s="189" t="inlineStr">
        <is>
          <t>YES</t>
        </is>
      </c>
      <c r="N461" s="189" t="inlineStr">
        <is>
          <t>https://www.mozilla.org/security/advisories/mfsa2026-13/ | https://www.mozilla.org/security/advisories/mfsa2026-16/</t>
        </is>
      </c>
      <c r="O461" s="189" t="inlineStr">
        <is>
          <t>Apply vendor patches</t>
        </is>
      </c>
      <c r="P461" s="189" t="inlineStr">
        <is>
          <t>mozilla firefox * | mozilla thunderbird *</t>
        </is>
      </c>
      <c r="Q461" s="189" t="inlineStr">
        <is>
          <t>P3</t>
        </is>
      </c>
      <c r="R461" s="189" t="inlineStr">
        <is>
          <t>🚨 URGENT: Apply vendor patches immediately | 🔒 Isolate affected systems if patch unavailable | 🛡️ Enable additional monitoring/IDS rules</t>
        </is>
      </c>
      <c r="S461" s="189" t="inlineStr">
        <is>
          <t>CVE - IP enrichment n/a</t>
        </is>
      </c>
      <c r="T461" s="189" t="n">
        <v>0.0004</v>
      </c>
      <c r="U461" s="189" t="n">
        <v>0.1292</v>
      </c>
      <c r="V461" s="189" t="inlineStr">
        <is>
          <t>T1190:Exploit Public-Facing Application</t>
        </is>
      </c>
      <c r="W461" s="189" t="n">
        <v>1</v>
      </c>
      <c r="X461" s="189" t="inlineStr">
        <is>
          <t>LOW (40%)</t>
        </is>
      </c>
      <c r="Y461" s="189" t="inlineStr">
        <is>
          <t>UNLIKELY</t>
        </is>
      </c>
      <c r="Z461" s="189" t="inlineStr">
        <is>
          <t>PATCH_AVAILABLE</t>
        </is>
      </c>
      <c r="AA461" s="189" t="inlineStr">
        <is>
          <t>https://nvd.nist.gov/vuln/detail/CVE-2026-2806</t>
        </is>
      </c>
      <c r="AB461" s="189" t="inlineStr">
        <is>
          <t>NONE</t>
        </is>
      </c>
      <c r="AC461" s="189" t="n">
        <v>0</v>
      </c>
      <c r="AD461" s="189" t="inlineStr"/>
    </row>
    <row r="462">
      <c r="A462" s="189" t="inlineStr">
        <is>
          <t>CVE</t>
        </is>
      </c>
      <c r="B462" s="189" t="inlineStr">
        <is>
          <t>CVE-2026-2807</t>
        </is>
      </c>
      <c r="C462" s="189"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462" s="189" t="n">
        <v>9.800000000000001</v>
      </c>
      <c r="E462" s="189" t="inlineStr">
        <is>
          <t>CRITICAL</t>
        </is>
      </c>
      <c r="F462" s="189" t="n">
        <v>2</v>
      </c>
      <c r="G462" s="189" t="n">
        <v>3</v>
      </c>
      <c r="H462" s="189" t="inlineStr">
        <is>
          <t>HIGH</t>
        </is>
      </c>
      <c r="I462" s="189" t="n">
        <v>15.8</v>
      </c>
      <c r="J462" s="189" t="inlineStr">
        <is>
          <t>NO</t>
        </is>
      </c>
      <c r="K462" s="189" t="inlineStr">
        <is>
          <t>https://nvd.nist.gov/vuln/detail/CVE-2026-2807</t>
        </is>
      </c>
      <c r="L462" s="189" t="inlineStr">
        <is>
          <t>2026-02-27 20:47</t>
        </is>
      </c>
      <c r="M462" s="189" t="inlineStr">
        <is>
          <t>YES</t>
        </is>
      </c>
      <c r="N462" s="189" t="inlineStr">
        <is>
          <t>https://www.mozilla.org/security/advisories/mfsa2026-13/ | https://www.mozilla.org/security/advisories/mfsa2026-16/</t>
        </is>
      </c>
      <c r="O462" s="189" t="inlineStr">
        <is>
          <t>Apply vendor patches</t>
        </is>
      </c>
      <c r="P462" s="189" t="inlineStr">
        <is>
          <t>mozilla firefox * | mozilla thunderbird *</t>
        </is>
      </c>
      <c r="Q462" s="189" t="inlineStr">
        <is>
          <t>P3</t>
        </is>
      </c>
      <c r="R462" s="189" t="inlineStr">
        <is>
          <t>🚨 URGENT: Apply vendor patches immediately | 🔒 Isolate affected systems if patch unavailable | 🛡️ Enable additional monitoring/IDS rules</t>
        </is>
      </c>
      <c r="S462" s="189" t="inlineStr">
        <is>
          <t>CVE - IP enrichment n/a</t>
        </is>
      </c>
      <c r="T462" s="189" t="n">
        <v>0.0004</v>
      </c>
      <c r="U462" s="189" t="n">
        <v>0.1292</v>
      </c>
      <c r="V462" s="189" t="inlineStr">
        <is>
          <t>T1203:Exploitation for Client Execution</t>
        </is>
      </c>
      <c r="W462" s="189" t="n">
        <v>1</v>
      </c>
      <c r="X462" s="189" t="inlineStr">
        <is>
          <t>LOW (40%)</t>
        </is>
      </c>
      <c r="Y462" s="189" t="inlineStr">
        <is>
          <t>UNLIKELY</t>
        </is>
      </c>
      <c r="Z462" s="189" t="inlineStr">
        <is>
          <t>PATCH_AVAILABLE</t>
        </is>
      </c>
      <c r="AA462" s="189" t="inlineStr">
        <is>
          <t>https://nvd.nist.gov/vuln/detail/CVE-2026-2807</t>
        </is>
      </c>
      <c r="AB462" s="189" t="inlineStr">
        <is>
          <t>NONE</t>
        </is>
      </c>
      <c r="AC462" s="189" t="n">
        <v>0</v>
      </c>
      <c r="AD462" s="189" t="inlineStr"/>
    </row>
    <row r="463">
      <c r="A463" s="188" t="inlineStr">
        <is>
          <t>CVE</t>
        </is>
      </c>
      <c r="B463" s="188" t="inlineStr">
        <is>
          <t>CVE-2025-10010</t>
        </is>
      </c>
      <c r="C463" s="188"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463" s="188" t="n">
        <v>6.8</v>
      </c>
      <c r="E463" s="188" t="inlineStr">
        <is>
          <t>MEDIUM</t>
        </is>
      </c>
      <c r="F463" s="188" t="n">
        <v>2</v>
      </c>
      <c r="G463" s="188" t="n">
        <v>2</v>
      </c>
      <c r="H463" s="188" t="inlineStr">
        <is>
          <t>MEDIUM</t>
        </is>
      </c>
      <c r="I463" s="188" t="n">
        <v>10.8</v>
      </c>
      <c r="J463" s="188" t="inlineStr">
        <is>
          <t>NO</t>
        </is>
      </c>
      <c r="K463" s="188" t="inlineStr">
        <is>
          <t>https://nvd.nist.gov/vuln/detail/CVE-2025-10010</t>
        </is>
      </c>
      <c r="L463" s="188" t="inlineStr">
        <is>
          <t>2026-02-27 20:47</t>
        </is>
      </c>
      <c r="M463" s="188" t="inlineStr">
        <is>
          <t>CHECK_VENDOR</t>
        </is>
      </c>
      <c r="N463" s="188" t="inlineStr">
        <is>
          <t>See NVD references</t>
        </is>
      </c>
      <c r="O463" s="188" t="inlineStr">
        <is>
          <t>Apply vendor patches</t>
        </is>
      </c>
      <c r="P463" s="188" t="inlineStr">
        <is>
          <t>cpsd cryptopro_secure_disk *</t>
        </is>
      </c>
      <c r="Q463" s="188" t="inlineStr">
        <is>
          <t>P4</t>
        </is>
      </c>
      <c r="R463" s="188" t="inlineStr">
        <is>
          <t>📅 Schedule patch deployment within 30 days | 🔍 Monitor for exploitation attempts</t>
        </is>
      </c>
      <c r="S463" s="188" t="inlineStr">
        <is>
          <t>CVE - IP enrichment n/a</t>
        </is>
      </c>
      <c r="T463" s="188" t="n">
        <v>0.0001</v>
      </c>
      <c r="U463" s="188" t="n">
        <v>0.0108</v>
      </c>
      <c r="V463" s="188" t="inlineStr">
        <is>
          <t>T1543:Create or Modify System Process | T1203:Exploitation for Client Execution</t>
        </is>
      </c>
      <c r="W463" s="188" t="n">
        <v>1</v>
      </c>
      <c r="X463" s="188" t="inlineStr">
        <is>
          <t>LOW (40%)</t>
        </is>
      </c>
      <c r="Y463" s="188" t="inlineStr">
        <is>
          <t>UNLIKELY</t>
        </is>
      </c>
      <c r="Z463" s="188" t="inlineStr">
        <is>
          <t>CHECK_VENDOR</t>
        </is>
      </c>
      <c r="AA463" s="188" t="inlineStr">
        <is>
          <t>https://nvd.nist.gov/vuln/detail/CVE-2025-10010</t>
        </is>
      </c>
      <c r="AB463" s="188" t="inlineStr">
        <is>
          <t>NONE</t>
        </is>
      </c>
      <c r="AC463" s="188" t="n">
        <v>0</v>
      </c>
      <c r="AD463" s="188" t="inlineStr"/>
    </row>
    <row r="464">
      <c r="A464" s="187" t="inlineStr">
        <is>
          <t>CVE</t>
        </is>
      </c>
      <c r="B464" s="187" t="inlineStr">
        <is>
          <t>CVE-2025-67445</t>
        </is>
      </c>
      <c r="C464" s="187"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464" s="187" t="n">
        <v>7.5</v>
      </c>
      <c r="E464" s="187" t="inlineStr">
        <is>
          <t>HIGH</t>
        </is>
      </c>
      <c r="F464" s="187" t="n">
        <v>2</v>
      </c>
      <c r="G464" s="187" t="n">
        <v>3</v>
      </c>
      <c r="H464" s="187" t="inlineStr">
        <is>
          <t>HIGH</t>
        </is>
      </c>
      <c r="I464" s="187" t="n">
        <v>13.5</v>
      </c>
      <c r="J464" s="187" t="inlineStr">
        <is>
          <t>NO</t>
        </is>
      </c>
      <c r="K464" s="187" t="inlineStr">
        <is>
          <t>https://nvd.nist.gov/vuln/detail/CVE-2025-67445</t>
        </is>
      </c>
      <c r="L464" s="187" t="inlineStr">
        <is>
          <t>2026-02-27 20:47</t>
        </is>
      </c>
      <c r="M464" s="187" t="inlineStr">
        <is>
          <t>CHECK_VENDOR</t>
        </is>
      </c>
      <c r="N464" s="187" t="inlineStr">
        <is>
          <t>See NVD references</t>
        </is>
      </c>
      <c r="O464" s="187" t="inlineStr">
        <is>
          <t>Apply vendor patches</t>
        </is>
      </c>
      <c r="P464" s="187" t="inlineStr">
        <is>
          <t>totolink x5000r - | totolink x5000r_firmware 9.1.0cu.2415_b20250515</t>
        </is>
      </c>
      <c r="Q464" s="187" t="inlineStr">
        <is>
          <t>P3</t>
        </is>
      </c>
      <c r="R464" s="187" t="inlineStr">
        <is>
          <t>🚨 URGENT: Apply vendor patches immediately | 🔒 Isolate affected systems if patch unavailable | 🛡️ Enable additional monitoring/IDS rules</t>
        </is>
      </c>
      <c r="S464" s="187" t="inlineStr">
        <is>
          <t>CVE - IP enrichment n/a</t>
        </is>
      </c>
      <c r="T464" s="187" t="n">
        <v>0.0008</v>
      </c>
      <c r="U464" s="187" t="n">
        <v>0.2464</v>
      </c>
      <c r="V464" s="187" t="inlineStr">
        <is>
          <t>T1190:Exploit Public-Facing Application</t>
        </is>
      </c>
      <c r="W464" s="187" t="n">
        <v>1</v>
      </c>
      <c r="X464" s="187" t="inlineStr">
        <is>
          <t>LOW (40%)</t>
        </is>
      </c>
      <c r="Y464" s="187" t="inlineStr">
        <is>
          <t>UNLIKELY</t>
        </is>
      </c>
      <c r="Z464" s="187" t="inlineStr">
        <is>
          <t>CHECK_VENDOR</t>
        </is>
      </c>
      <c r="AA464" s="187" t="inlineStr">
        <is>
          <t>https://nvd.nist.gov/vuln/detail/CVE-2025-67445</t>
        </is>
      </c>
      <c r="AB464" s="187" t="inlineStr">
        <is>
          <t>NONE</t>
        </is>
      </c>
      <c r="AC464" s="187" t="n">
        <v>0</v>
      </c>
      <c r="AD464" s="187" t="inlineStr"/>
    </row>
    <row r="465">
      <c r="A465" s="188" t="inlineStr">
        <is>
          <t>CVE</t>
        </is>
      </c>
      <c r="B465" s="188" t="inlineStr">
        <is>
          <t>CVE-2026-0399</t>
        </is>
      </c>
      <c r="C465" s="188" t="inlineStr">
        <is>
          <t>Multiple post-authentication stack-based buffer overflow vulnerabilities in the SonicOS management interface due to improper bounds checking in a API endpoint.</t>
        </is>
      </c>
      <c r="D465" s="188" t="n">
        <v>4.9</v>
      </c>
      <c r="E465" s="188" t="inlineStr">
        <is>
          <t>MEDIUM</t>
        </is>
      </c>
      <c r="F465" s="188" t="n">
        <v>2</v>
      </c>
      <c r="G465" s="188" t="n">
        <v>2</v>
      </c>
      <c r="H465" s="188" t="inlineStr">
        <is>
          <t>MEDIUM</t>
        </is>
      </c>
      <c r="I465" s="188" t="n">
        <v>8.9</v>
      </c>
      <c r="J465" s="188" t="inlineStr">
        <is>
          <t>NO</t>
        </is>
      </c>
      <c r="K465" s="188" t="inlineStr">
        <is>
          <t>https://nvd.nist.gov/vuln/detail/CVE-2026-0399</t>
        </is>
      </c>
      <c r="L465" s="188" t="inlineStr">
        <is>
          <t>2026-02-27 20:47</t>
        </is>
      </c>
      <c r="M465" s="188" t="inlineStr">
        <is>
          <t>YES</t>
        </is>
      </c>
      <c r="N465" s="188" t="inlineStr">
        <is>
          <t>https://psirt.global.sonicwall.com/vuln-detail/SNWLID-2026-0001</t>
        </is>
      </c>
      <c r="O465" s="188" t="inlineStr">
        <is>
          <t>Apply vendor patches</t>
        </is>
      </c>
      <c r="P465" s="188" t="inlineStr">
        <is>
          <t>sonicwall sonicos * | sonicwall nsa_3700 - | sonicwall nsa_4800 -</t>
        </is>
      </c>
      <c r="Q465" s="188" t="inlineStr">
        <is>
          <t>P4</t>
        </is>
      </c>
      <c r="R465" s="188" t="inlineStr">
        <is>
          <t>📅 Schedule patch deployment within 30 days | 🔍 Monitor for exploitation attempts</t>
        </is>
      </c>
      <c r="S465" s="188" t="inlineStr">
        <is>
          <t>CVE - IP enrichment n/a</t>
        </is>
      </c>
      <c r="T465" s="188" t="n">
        <v>0.0005</v>
      </c>
      <c r="U465" s="188" t="n">
        <v>0.1689</v>
      </c>
      <c r="V465" s="188" t="inlineStr">
        <is>
          <t>T1190:Exploit Public-Facing Application | T1203:Exploitation for Client Execution</t>
        </is>
      </c>
      <c r="W465" s="188" t="n">
        <v>1</v>
      </c>
      <c r="X465" s="188" t="inlineStr">
        <is>
          <t>LOW (40%)</t>
        </is>
      </c>
      <c r="Y465" s="188" t="inlineStr">
        <is>
          <t>UNLIKELY</t>
        </is>
      </c>
      <c r="Z465" s="188" t="inlineStr">
        <is>
          <t>PATCH_AVAILABLE</t>
        </is>
      </c>
      <c r="AA465" s="188" t="inlineStr">
        <is>
          <t>https://nvd.nist.gov/vuln/detail/CVE-2026-0399</t>
        </is>
      </c>
      <c r="AB465" s="188" t="inlineStr">
        <is>
          <t>NONE</t>
        </is>
      </c>
      <c r="AC465" s="188" t="n">
        <v>0</v>
      </c>
      <c r="AD465" s="188" t="inlineStr"/>
    </row>
    <row r="466">
      <c r="A466" s="188" t="inlineStr">
        <is>
          <t>CVE</t>
        </is>
      </c>
      <c r="B466" s="188" t="inlineStr">
        <is>
          <t>CVE-2026-0400</t>
        </is>
      </c>
      <c r="C466" s="188" t="inlineStr">
        <is>
          <t>A post-authentication Format String vulnerability in SonicOS allows a remote attacker to crash a firewall.</t>
        </is>
      </c>
      <c r="D466" s="188" t="n">
        <v>4.9</v>
      </c>
      <c r="E466" s="188" t="inlineStr">
        <is>
          <t>MEDIUM</t>
        </is>
      </c>
      <c r="F466" s="188" t="n">
        <v>2</v>
      </c>
      <c r="G466" s="188" t="n">
        <v>2</v>
      </c>
      <c r="H466" s="188" t="inlineStr">
        <is>
          <t>MEDIUM</t>
        </is>
      </c>
      <c r="I466" s="188" t="n">
        <v>8.9</v>
      </c>
      <c r="J466" s="188" t="inlineStr">
        <is>
          <t>NO</t>
        </is>
      </c>
      <c r="K466" s="188" t="inlineStr">
        <is>
          <t>https://nvd.nist.gov/vuln/detail/CVE-2026-0400</t>
        </is>
      </c>
      <c r="L466" s="188" t="inlineStr">
        <is>
          <t>2026-02-27 20:47</t>
        </is>
      </c>
      <c r="M466" s="188" t="inlineStr">
        <is>
          <t>YES</t>
        </is>
      </c>
      <c r="N466" s="188" t="inlineStr">
        <is>
          <t>https://psirt.global.sonicwall.com/vuln-detail/SNWLID-2026-0001</t>
        </is>
      </c>
      <c r="O466" s="188" t="inlineStr">
        <is>
          <t>Apply vendor patches</t>
        </is>
      </c>
      <c r="P466" s="188" t="inlineStr">
        <is>
          <t>sonicwall sonicos * | sonicwall nsa_3700 - | sonicwall nsa_4800 -</t>
        </is>
      </c>
      <c r="Q466" s="188" t="inlineStr">
        <is>
          <t>P4</t>
        </is>
      </c>
      <c r="R466" s="188" t="inlineStr">
        <is>
          <t>📅 Schedule patch deployment within 30 days | 🔍 Monitor for exploitation attempts</t>
        </is>
      </c>
      <c r="S466" s="188" t="inlineStr">
        <is>
          <t>CVE - IP enrichment n/a</t>
        </is>
      </c>
      <c r="T466" s="188" t="n">
        <v>0.0016</v>
      </c>
      <c r="U466" s="188" t="n">
        <v>0.3658</v>
      </c>
      <c r="V466" s="188" t="inlineStr">
        <is>
          <t>T1562:Impair Defenses</t>
        </is>
      </c>
      <c r="W466" s="188" t="n">
        <v>1</v>
      </c>
      <c r="X466" s="188" t="inlineStr">
        <is>
          <t>LOW (40%)</t>
        </is>
      </c>
      <c r="Y466" s="188" t="inlineStr">
        <is>
          <t>UNLIKELY</t>
        </is>
      </c>
      <c r="Z466" s="188" t="inlineStr">
        <is>
          <t>PATCH_AVAILABLE</t>
        </is>
      </c>
      <c r="AA466" s="188" t="inlineStr">
        <is>
          <t>https://nvd.nist.gov/vuln/detail/CVE-2026-0400</t>
        </is>
      </c>
      <c r="AB466" s="188" t="inlineStr">
        <is>
          <t>NONE</t>
        </is>
      </c>
      <c r="AC466" s="188" t="n">
        <v>0</v>
      </c>
      <c r="AD466" s="188" t="inlineStr"/>
    </row>
    <row r="467">
      <c r="A467" s="188" t="inlineStr">
        <is>
          <t>CVE</t>
        </is>
      </c>
      <c r="B467" s="188" t="inlineStr">
        <is>
          <t>CVE-2026-0401</t>
        </is>
      </c>
      <c r="C467" s="188" t="inlineStr">
        <is>
          <t>A post-authentication NULL Pointer Dereference vulnerability in SonicOS allows a remote attacker to crash a firewall.</t>
        </is>
      </c>
      <c r="D467" s="188" t="n">
        <v>4.9</v>
      </c>
      <c r="E467" s="188" t="inlineStr">
        <is>
          <t>MEDIUM</t>
        </is>
      </c>
      <c r="F467" s="188" t="n">
        <v>2</v>
      </c>
      <c r="G467" s="188" t="n">
        <v>2</v>
      </c>
      <c r="H467" s="188" t="inlineStr">
        <is>
          <t>MEDIUM</t>
        </is>
      </c>
      <c r="I467" s="188" t="n">
        <v>8.9</v>
      </c>
      <c r="J467" s="188" t="inlineStr">
        <is>
          <t>NO</t>
        </is>
      </c>
      <c r="K467" s="188" t="inlineStr">
        <is>
          <t>https://nvd.nist.gov/vuln/detail/CVE-2026-0401</t>
        </is>
      </c>
      <c r="L467" s="188" t="inlineStr">
        <is>
          <t>2026-02-27 20:47</t>
        </is>
      </c>
      <c r="M467" s="188" t="inlineStr">
        <is>
          <t>YES</t>
        </is>
      </c>
      <c r="N467" s="188" t="inlineStr">
        <is>
          <t>https://psirt.global.sonicwall.com/vuln-detail/SNWLID-2026-0001</t>
        </is>
      </c>
      <c r="O467" s="188" t="inlineStr">
        <is>
          <t>Apply vendor patches</t>
        </is>
      </c>
      <c r="P467" s="188" t="inlineStr">
        <is>
          <t>sonicwall sonicos * | sonicwall nsa_3700 - | sonicwall nsa_4800 -</t>
        </is>
      </c>
      <c r="Q467" s="188" t="inlineStr">
        <is>
          <t>P4</t>
        </is>
      </c>
      <c r="R467" s="188" t="inlineStr">
        <is>
          <t>📅 Schedule patch deployment within 30 days | 🔍 Monitor for exploitation attempts</t>
        </is>
      </c>
      <c r="S467" s="188" t="inlineStr">
        <is>
          <t>CVE - IP enrichment n/a</t>
        </is>
      </c>
      <c r="T467" s="188" t="n">
        <v>0.0016</v>
      </c>
      <c r="U467" s="188" t="n">
        <v>0.3665</v>
      </c>
      <c r="V467" s="188" t="inlineStr">
        <is>
          <t>T1499:Endpoint Denial of Service | T1562:Impair Defenses</t>
        </is>
      </c>
      <c r="W467" s="188" t="n">
        <v>1</v>
      </c>
      <c r="X467" s="188" t="inlineStr">
        <is>
          <t>LOW (40%)</t>
        </is>
      </c>
      <c r="Y467" s="188" t="inlineStr">
        <is>
          <t>UNLIKELY</t>
        </is>
      </c>
      <c r="Z467" s="188" t="inlineStr">
        <is>
          <t>PATCH_AVAILABLE</t>
        </is>
      </c>
      <c r="AA467" s="188" t="inlineStr">
        <is>
          <t>https://nvd.nist.gov/vuln/detail/CVE-2026-0401</t>
        </is>
      </c>
      <c r="AB467" s="188" t="inlineStr">
        <is>
          <t>NONE</t>
        </is>
      </c>
      <c r="AC467" s="188" t="n">
        <v>0</v>
      </c>
      <c r="AD467" s="188" t="inlineStr"/>
    </row>
    <row r="468">
      <c r="A468" s="188" t="inlineStr">
        <is>
          <t>CVE</t>
        </is>
      </c>
      <c r="B468" s="188" t="inlineStr">
        <is>
          <t>CVE-2026-0402</t>
        </is>
      </c>
      <c r="C468" s="188" t="inlineStr">
        <is>
          <t>A post-authentication Out-of-bounds Read vulnerability in SonicOS allows a remote attacker to crash a firewall.</t>
        </is>
      </c>
      <c r="D468" s="188" t="n">
        <v>4.9</v>
      </c>
      <c r="E468" s="188" t="inlineStr">
        <is>
          <t>MEDIUM</t>
        </is>
      </c>
      <c r="F468" s="188" t="n">
        <v>2</v>
      </c>
      <c r="G468" s="188" t="n">
        <v>2</v>
      </c>
      <c r="H468" s="188" t="inlineStr">
        <is>
          <t>MEDIUM</t>
        </is>
      </c>
      <c r="I468" s="188" t="n">
        <v>8.9</v>
      </c>
      <c r="J468" s="188" t="inlineStr">
        <is>
          <t>NO</t>
        </is>
      </c>
      <c r="K468" s="188" t="inlineStr">
        <is>
          <t>https://nvd.nist.gov/vuln/detail/CVE-2026-0402</t>
        </is>
      </c>
      <c r="L468" s="188" t="inlineStr">
        <is>
          <t>2026-02-27 20:47</t>
        </is>
      </c>
      <c r="M468" s="188" t="inlineStr">
        <is>
          <t>YES</t>
        </is>
      </c>
      <c r="N468" s="188" t="inlineStr">
        <is>
          <t>https://psirt.global.sonicwall.com/vuln-detail/SNWLID-2026-0001</t>
        </is>
      </c>
      <c r="O468" s="188" t="inlineStr">
        <is>
          <t>Apply vendor patches</t>
        </is>
      </c>
      <c r="P468" s="188" t="inlineStr">
        <is>
          <t>sonicwall sonicos * | sonicwall nsa_3700 - | sonicwall nsa_4800 -</t>
        </is>
      </c>
      <c r="Q468" s="188" t="inlineStr">
        <is>
          <t>P4</t>
        </is>
      </c>
      <c r="R468" s="188" t="inlineStr">
        <is>
          <t>📅 Schedule patch deployment within 30 days | 🔍 Monitor for exploitation attempts</t>
        </is>
      </c>
      <c r="S468" s="188" t="inlineStr">
        <is>
          <t>CVE - IP enrichment n/a</t>
        </is>
      </c>
      <c r="T468" s="188" t="n">
        <v>0.0016</v>
      </c>
      <c r="U468" s="188" t="n">
        <v>0.3658</v>
      </c>
      <c r="V468" s="188" t="inlineStr">
        <is>
          <t>T1203:Exploitation for Client Execution | T1562:Impair Defenses</t>
        </is>
      </c>
      <c r="W468" s="188" t="n">
        <v>1</v>
      </c>
      <c r="X468" s="188" t="inlineStr">
        <is>
          <t>LOW (40%)</t>
        </is>
      </c>
      <c r="Y468" s="188" t="inlineStr">
        <is>
          <t>UNLIKELY</t>
        </is>
      </c>
      <c r="Z468" s="188" t="inlineStr">
        <is>
          <t>PATCH_AVAILABLE</t>
        </is>
      </c>
      <c r="AA468" s="188" t="inlineStr">
        <is>
          <t>https://nvd.nist.gov/vuln/detail/CVE-2026-0402</t>
        </is>
      </c>
      <c r="AB468" s="188" t="inlineStr">
        <is>
          <t>NONE</t>
        </is>
      </c>
      <c r="AC468" s="188" t="n">
        <v>0</v>
      </c>
      <c r="AD468" s="188" t="inlineStr"/>
    </row>
    <row r="469">
      <c r="A469" s="189" t="inlineStr">
        <is>
          <t>CVE</t>
        </is>
      </c>
      <c r="B469" s="189" t="inlineStr">
        <is>
          <t>CVE-2026-27208</t>
        </is>
      </c>
      <c r="C469" s="189"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469" s="189" t="n">
        <v>9.199999999999999</v>
      </c>
      <c r="E469" s="189" t="inlineStr">
        <is>
          <t>CRITICAL</t>
        </is>
      </c>
      <c r="F469" s="189" t="n">
        <v>2</v>
      </c>
      <c r="G469" s="189" t="n">
        <v>3</v>
      </c>
      <c r="H469" s="189" t="inlineStr">
        <is>
          <t>HIGH</t>
        </is>
      </c>
      <c r="I469" s="189" t="n">
        <v>15.2</v>
      </c>
      <c r="J469" s="189" t="inlineStr">
        <is>
          <t>NO</t>
        </is>
      </c>
      <c r="K469" s="189" t="inlineStr">
        <is>
          <t>https://nvd.nist.gov/vuln/detail/CVE-2026-27208</t>
        </is>
      </c>
      <c r="L469" s="189" t="inlineStr">
        <is>
          <t>2026-02-27 20:47</t>
        </is>
      </c>
      <c r="M469" s="189" t="inlineStr">
        <is>
          <t>YES</t>
        </is>
      </c>
      <c r="N469" s="189" t="inlineStr">
        <is>
          <t>https://github.com/bleon-ethical/api-gateway-deploy/security/advisories/GHSA-chh5-w73q-4gmm</t>
        </is>
      </c>
      <c r="O469" s="189" t="inlineStr">
        <is>
          <t>Apply vendor patches</t>
        </is>
      </c>
      <c r="P469" s="189" t="inlineStr">
        <is>
          <t>bleon-ethical api-gateway-deploy 1.0.0</t>
        </is>
      </c>
      <c r="Q469" s="189" t="inlineStr">
        <is>
          <t>P3</t>
        </is>
      </c>
      <c r="R469" s="189" t="inlineStr">
        <is>
          <t>🚨 URGENT: Apply vendor patches immediately | 🔒 Isolate affected systems if patch unavailable | 🛡️ Enable additional monitoring/IDS rules</t>
        </is>
      </c>
      <c r="S469" s="189" t="inlineStr">
        <is>
          <t>CVE - IP enrichment n/a</t>
        </is>
      </c>
      <c r="T469" s="189" t="n">
        <v>0.0013</v>
      </c>
      <c r="U469" s="189" t="n">
        <v>0.3273</v>
      </c>
      <c r="V469" s="189" t="inlineStr">
        <is>
          <t>T1059:Command and Scripting Interpreter | T1068:Exploitation for Privilege Escalation</t>
        </is>
      </c>
      <c r="W469" s="189" t="n">
        <v>1</v>
      </c>
      <c r="X469" s="189" t="inlineStr">
        <is>
          <t>LOW (40%)</t>
        </is>
      </c>
      <c r="Y469" s="189" t="inlineStr">
        <is>
          <t>UNLIKELY</t>
        </is>
      </c>
      <c r="Z469" s="189" t="inlineStr">
        <is>
          <t>PATCH_AVAILABLE</t>
        </is>
      </c>
      <c r="AA469" s="189" t="inlineStr">
        <is>
          <t>https://nvd.nist.gov/vuln/detail/CVE-2026-27208</t>
        </is>
      </c>
      <c r="AB469" s="189" t="inlineStr">
        <is>
          <t>NONE</t>
        </is>
      </c>
      <c r="AC469" s="189" t="n">
        <v>0</v>
      </c>
      <c r="AD469" s="189" t="inlineStr"/>
    </row>
    <row r="470">
      <c r="A470" s="187" t="inlineStr">
        <is>
          <t>CVE</t>
        </is>
      </c>
      <c r="B470" s="187" t="inlineStr">
        <is>
          <t>CVE-2026-27483</t>
        </is>
      </c>
      <c r="C470" s="187"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470" s="187" t="n">
        <v>8.800000000000001</v>
      </c>
      <c r="E470" s="187" t="inlineStr">
        <is>
          <t>HIGH</t>
        </is>
      </c>
      <c r="F470" s="187" t="n">
        <v>2</v>
      </c>
      <c r="G470" s="187" t="n">
        <v>3</v>
      </c>
      <c r="H470" s="187" t="inlineStr">
        <is>
          <t>HIGH</t>
        </is>
      </c>
      <c r="I470" s="187" t="n">
        <v>14.8</v>
      </c>
      <c r="J470" s="187" t="inlineStr">
        <is>
          <t>NO</t>
        </is>
      </c>
      <c r="K470" s="187" t="inlineStr">
        <is>
          <t>https://nvd.nist.gov/vuln/detail/CVE-2026-27483</t>
        </is>
      </c>
      <c r="L470" s="187" t="inlineStr">
        <is>
          <t>2026-02-27 20:47</t>
        </is>
      </c>
      <c r="M470" s="187" t="inlineStr">
        <is>
          <t>YES</t>
        </is>
      </c>
      <c r="N470" s="187" t="inlineStr">
        <is>
          <t>https://github.com/mindsdb/mindsdb/commit/87a44bdb2b97f963e18f10a068e1a1e2690505ef | https://github.com/mindsdb/mindsdb/security/advisories/GHSA-4894-xqv6-vrfq</t>
        </is>
      </c>
      <c r="O470" s="187" t="inlineStr">
        <is>
          <t>Apply vendor patches</t>
        </is>
      </c>
      <c r="P470" s="187" t="inlineStr">
        <is>
          <t>mindsdb mindsdb *</t>
        </is>
      </c>
      <c r="Q470" s="187" t="inlineStr">
        <is>
          <t>P3</t>
        </is>
      </c>
      <c r="R470" s="187" t="inlineStr">
        <is>
          <t>🚨 URGENT: Apply vendor patches immediately | 🔒 Isolate affected systems if patch unavailable | 🛡️ Enable additional monitoring/IDS rules</t>
        </is>
      </c>
      <c r="S470" s="187" t="inlineStr">
        <is>
          <t>CVE - IP enrichment n/a</t>
        </is>
      </c>
      <c r="T470" s="187" t="n">
        <v>0.0027</v>
      </c>
      <c r="U470" s="187" t="n">
        <v>0.5011</v>
      </c>
      <c r="V470" s="187" t="inlineStr">
        <is>
          <t>T1083:File and Directory Discovery</t>
        </is>
      </c>
      <c r="W470" s="187" t="n">
        <v>1</v>
      </c>
      <c r="X470" s="187" t="inlineStr">
        <is>
          <t>LOW (40%)</t>
        </is>
      </c>
      <c r="Y470" s="187" t="inlineStr">
        <is>
          <t>UNLIKELY</t>
        </is>
      </c>
      <c r="Z470" s="187" t="inlineStr">
        <is>
          <t>PATCH_AVAILABLE</t>
        </is>
      </c>
      <c r="AA470" s="187" t="inlineStr">
        <is>
          <t>https://nvd.nist.gov/vuln/detail/CVE-2026-27483</t>
        </is>
      </c>
      <c r="AB470" s="187" t="inlineStr">
        <is>
          <t>NONE</t>
        </is>
      </c>
      <c r="AC470" s="187" t="n">
        <v>0</v>
      </c>
      <c r="AD470" s="187" t="inlineStr"/>
    </row>
    <row r="471">
      <c r="A471" s="188" t="inlineStr">
        <is>
          <t>CVE</t>
        </is>
      </c>
      <c r="B471" s="188" t="inlineStr">
        <is>
          <t>CVE-2026-27567</t>
        </is>
      </c>
      <c r="C471" s="188"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471" s="188" t="n">
        <v>6.5</v>
      </c>
      <c r="E471" s="188" t="inlineStr">
        <is>
          <t>MEDIUM</t>
        </is>
      </c>
      <c r="F471" s="188" t="n">
        <v>2</v>
      </c>
      <c r="G471" s="188" t="n">
        <v>2</v>
      </c>
      <c r="H471" s="188" t="inlineStr">
        <is>
          <t>MEDIUM</t>
        </is>
      </c>
      <c r="I471" s="188" t="n">
        <v>10.5</v>
      </c>
      <c r="J471" s="188" t="inlineStr">
        <is>
          <t>NO</t>
        </is>
      </c>
      <c r="K471" s="188" t="inlineStr">
        <is>
          <t>https://nvd.nist.gov/vuln/detail/CVE-2026-27567</t>
        </is>
      </c>
      <c r="L471" s="188" t="inlineStr">
        <is>
          <t>2026-02-27 20:47</t>
        </is>
      </c>
      <c r="M471" s="188" t="inlineStr">
        <is>
          <t>YES</t>
        </is>
      </c>
      <c r="N471" s="188" t="inlineStr">
        <is>
          <t>https://github.com/payloadcms/payload/commit/1041bb6 | https://github.com/payloadcms/payload/security/advisories/GHSA-hhfx-5x8j-f5f6</t>
        </is>
      </c>
      <c r="O471" s="188" t="inlineStr">
        <is>
          <t>https://github.com/payloadcms/payload/security/advisories/GHSA-hhfx-5x8j-f5f6</t>
        </is>
      </c>
      <c r="P471" s="188" t="inlineStr">
        <is>
          <t>payloadcms payload *</t>
        </is>
      </c>
      <c r="Q471" s="188" t="inlineStr">
        <is>
          <t>P4</t>
        </is>
      </c>
      <c r="R471" s="188" t="inlineStr">
        <is>
          <t>📅 Schedule patch deployment within 30 days | 🔍 Monitor for exploitation attempts</t>
        </is>
      </c>
      <c r="S471" s="188" t="inlineStr">
        <is>
          <t>CVE - IP enrichment n/a</t>
        </is>
      </c>
      <c r="T471" s="188" t="n">
        <v>0.0003</v>
      </c>
      <c r="U471" s="188" t="n">
        <v>0.08459999999999999</v>
      </c>
      <c r="V471" s="188" t="inlineStr">
        <is>
          <t>T1090:Proxy | T1190:Exploit Public-Facing Application</t>
        </is>
      </c>
      <c r="W471" s="188" t="n">
        <v>1</v>
      </c>
      <c r="X471" s="188" t="inlineStr">
        <is>
          <t>LOW (40%)</t>
        </is>
      </c>
      <c r="Y471" s="188" t="inlineStr">
        <is>
          <t>UNLIKELY</t>
        </is>
      </c>
      <c r="Z471" s="188" t="inlineStr">
        <is>
          <t>PATCH_AVAILABLE</t>
        </is>
      </c>
      <c r="AA471" s="188" t="inlineStr">
        <is>
          <t>https://nvd.nist.gov/vuln/detail/CVE-2026-27567</t>
        </is>
      </c>
      <c r="AB471" s="188" t="inlineStr">
        <is>
          <t>NONE</t>
        </is>
      </c>
      <c r="AC471" s="188" t="n">
        <v>0</v>
      </c>
      <c r="AD471" s="188" t="inlineStr"/>
    </row>
    <row r="472">
      <c r="A472" s="188" t="inlineStr">
        <is>
          <t>CVE</t>
        </is>
      </c>
      <c r="B472" s="188" t="inlineStr">
        <is>
          <t>CVE-2026-27568</t>
        </is>
      </c>
      <c r="C472" s="188"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472" s="188" t="n">
        <v>6.1</v>
      </c>
      <c r="E472" s="188" t="inlineStr">
        <is>
          <t>MEDIUM</t>
        </is>
      </c>
      <c r="F472" s="188" t="n">
        <v>2</v>
      </c>
      <c r="G472" s="188" t="n">
        <v>2</v>
      </c>
      <c r="H472" s="188" t="inlineStr">
        <is>
          <t>MEDIUM</t>
        </is>
      </c>
      <c r="I472" s="188" t="n">
        <v>10.1</v>
      </c>
      <c r="J472" s="188" t="inlineStr">
        <is>
          <t>NO</t>
        </is>
      </c>
      <c r="K472" s="188" t="inlineStr">
        <is>
          <t>https://nvd.nist.gov/vuln/detail/CVE-2026-27568</t>
        </is>
      </c>
      <c r="L472" s="188" t="inlineStr">
        <is>
          <t>2026-02-27 20:47</t>
        </is>
      </c>
      <c r="M472" s="188" t="inlineStr">
        <is>
          <t>YES</t>
        </is>
      </c>
      <c r="N472" s="188" t="inlineStr">
        <is>
          <t>https://github.com/WWBN/AVideo/commit/ade348ed6d28b3797162c3d9e98054fb09ec51d7 | https://github.com/WWBN/AVideo/security/advisories/GHSA-rcqw-6466-3mv7</t>
        </is>
      </c>
      <c r="O472" s="188" t="inlineStr">
        <is>
          <t>Apply vendor patches</t>
        </is>
      </c>
      <c r="P472" s="188" t="inlineStr">
        <is>
          <t>wwbn avideo *</t>
        </is>
      </c>
      <c r="Q472" s="188" t="inlineStr">
        <is>
          <t>P4</t>
        </is>
      </c>
      <c r="R472" s="188" t="inlineStr">
        <is>
          <t>📅 Schedule patch deployment within 30 days | 🔍 Monitor for exploitation attempts</t>
        </is>
      </c>
      <c r="S472" s="188" t="inlineStr">
        <is>
          <t>CVE - IP enrichment n/a</t>
        </is>
      </c>
      <c r="T472" s="188" t="n">
        <v>0.0003</v>
      </c>
      <c r="U472" s="188" t="n">
        <v>0.0823</v>
      </c>
      <c r="V472" s="188" t="inlineStr">
        <is>
          <t>T1189:Drive-by Compromise | T1190:Exploit Public-Facing Application | T1068:Exploitation for Privilege Escalation</t>
        </is>
      </c>
      <c r="W472" s="188" t="n">
        <v>1</v>
      </c>
      <c r="X472" s="188" t="inlineStr">
        <is>
          <t>LOW (40%)</t>
        </is>
      </c>
      <c r="Y472" s="188" t="inlineStr">
        <is>
          <t>UNLIKELY</t>
        </is>
      </c>
      <c r="Z472" s="188" t="inlineStr">
        <is>
          <t>PATCH_AVAILABLE</t>
        </is>
      </c>
      <c r="AA472" s="188" t="inlineStr">
        <is>
          <t>https://nvd.nist.gov/vuln/detail/CVE-2026-27568</t>
        </is>
      </c>
      <c r="AB472" s="188" t="inlineStr">
        <is>
          <t>NONE</t>
        </is>
      </c>
      <c r="AC472" s="188" t="n">
        <v>0</v>
      </c>
      <c r="AD472" s="188" t="inlineStr"/>
    </row>
    <row r="473">
      <c r="A473" s="187" t="inlineStr">
        <is>
          <t>CVE</t>
        </is>
      </c>
      <c r="B473" s="187" t="inlineStr">
        <is>
          <t>CVE-2026-27584</t>
        </is>
      </c>
      <c r="C473" s="187"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473" s="187" t="n">
        <v>7.5</v>
      </c>
      <c r="E473" s="187" t="inlineStr">
        <is>
          <t>HIGH</t>
        </is>
      </c>
      <c r="F473" s="187" t="n">
        <v>2</v>
      </c>
      <c r="G473" s="187" t="n">
        <v>3</v>
      </c>
      <c r="H473" s="187" t="inlineStr">
        <is>
          <t>HIGH</t>
        </is>
      </c>
      <c r="I473" s="187" t="n">
        <v>13.5</v>
      </c>
      <c r="J473" s="187" t="inlineStr">
        <is>
          <t>NO</t>
        </is>
      </c>
      <c r="K473" s="187" t="inlineStr">
        <is>
          <t>https://nvd.nist.gov/vuln/detail/CVE-2026-27584</t>
        </is>
      </c>
      <c r="L473" s="187" t="inlineStr">
        <is>
          <t>2026-02-27 20:47</t>
        </is>
      </c>
      <c r="M473" s="187" t="inlineStr">
        <is>
          <t>YES</t>
        </is>
      </c>
      <c r="N473" s="187" t="inlineStr">
        <is>
          <t>https://github.com/actualbudget/actual/commit/ea937d100956ca56689ff852d99c28589e2a7d88 | https://github.com/actualbudget/actual/security/advisories/GHSA-m2cq-xjgm-f668</t>
        </is>
      </c>
      <c r="O473" s="187" t="inlineStr">
        <is>
          <t>Apply vendor patches</t>
        </is>
      </c>
      <c r="P473" s="187" t="inlineStr">
        <is>
          <t>actualbudget actual *</t>
        </is>
      </c>
      <c r="Q473" s="187" t="inlineStr">
        <is>
          <t>P3</t>
        </is>
      </c>
      <c r="R473" s="187" t="inlineStr">
        <is>
          <t>🚨 URGENT: Apply vendor patches immediately | 🔒 Isolate affected systems if patch unavailable | 🛡️ Enable additional monitoring/IDS rules</t>
        </is>
      </c>
      <c r="S473" s="187" t="inlineStr">
        <is>
          <t>CVE - IP enrichment n/a</t>
        </is>
      </c>
      <c r="T473" s="187" t="n">
        <v>0.0009</v>
      </c>
      <c r="U473" s="187" t="n">
        <v>0.2596</v>
      </c>
      <c r="V473" s="187" t="inlineStr">
        <is>
          <t>T1078:Valid Accounts</t>
        </is>
      </c>
      <c r="W473" s="187" t="n">
        <v>1</v>
      </c>
      <c r="X473" s="187" t="inlineStr">
        <is>
          <t>LOW (40%)</t>
        </is>
      </c>
      <c r="Y473" s="187" t="inlineStr">
        <is>
          <t>UNLIKELY</t>
        </is>
      </c>
      <c r="Z473" s="187" t="inlineStr">
        <is>
          <t>PATCH_AVAILABLE</t>
        </is>
      </c>
      <c r="AA473" s="187" t="inlineStr">
        <is>
          <t>https://nvd.nist.gov/vuln/detail/CVE-2026-27584</t>
        </is>
      </c>
      <c r="AB473" s="187" t="inlineStr">
        <is>
          <t>NONE</t>
        </is>
      </c>
      <c r="AC473" s="187" t="n">
        <v>0</v>
      </c>
      <c r="AD473" s="187" t="inlineStr"/>
    </row>
    <row r="474">
      <c r="A474" s="187" t="inlineStr">
        <is>
          <t>CVE</t>
        </is>
      </c>
      <c r="B474" s="187" t="inlineStr">
        <is>
          <t>CVE-2026-27732</t>
        </is>
      </c>
      <c r="C474" s="187"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474" s="187" t="n">
        <v>8.1</v>
      </c>
      <c r="E474" s="187" t="inlineStr">
        <is>
          <t>HIGH</t>
        </is>
      </c>
      <c r="F474" s="187" t="n">
        <v>2</v>
      </c>
      <c r="G474" s="187" t="n">
        <v>3</v>
      </c>
      <c r="H474" s="187" t="inlineStr">
        <is>
          <t>HIGH</t>
        </is>
      </c>
      <c r="I474" s="187" t="n">
        <v>14.1</v>
      </c>
      <c r="J474" s="187" t="inlineStr">
        <is>
          <t>NO</t>
        </is>
      </c>
      <c r="K474" s="187" t="inlineStr">
        <is>
          <t>https://nvd.nist.gov/vuln/detail/CVE-2026-27732</t>
        </is>
      </c>
      <c r="L474" s="187" t="inlineStr">
        <is>
          <t>2026-02-27 20:47</t>
        </is>
      </c>
      <c r="M474" s="187" t="inlineStr">
        <is>
          <t>YES</t>
        </is>
      </c>
      <c r="N474" s="187" t="inlineStr">
        <is>
          <t>https://github.com/WWBN/AVideo/commit/384ef2548093f4cbb1bfac00f1f429fe57fab853 | https://github.com/WWBN/AVideo/security/advisories/GHSA-h39h-7cvg-q7j6</t>
        </is>
      </c>
      <c r="O474" s="187" t="inlineStr">
        <is>
          <t>Apply vendor patches</t>
        </is>
      </c>
      <c r="P474" s="187" t="inlineStr">
        <is>
          <t>wwbn avideo *</t>
        </is>
      </c>
      <c r="Q474" s="187" t="inlineStr">
        <is>
          <t>P3</t>
        </is>
      </c>
      <c r="R474" s="187" t="inlineStr">
        <is>
          <t>🚨 URGENT: Apply vendor patches immediately | 🔒 Isolate affected systems if patch unavailable | 🛡️ Enable additional monitoring/IDS rules</t>
        </is>
      </c>
      <c r="S474" s="187" t="inlineStr">
        <is>
          <t>CVE - IP enrichment n/a</t>
        </is>
      </c>
      <c r="T474" s="187" t="n">
        <v>0.0003</v>
      </c>
      <c r="U474" s="187" t="n">
        <v>0.0771</v>
      </c>
      <c r="V474" s="187" t="inlineStr">
        <is>
          <t>T1090:Proxy | T1190:Exploit Public-Facing Application</t>
        </is>
      </c>
      <c r="W474" s="187" t="n">
        <v>1</v>
      </c>
      <c r="X474" s="187" t="inlineStr">
        <is>
          <t>LOW (40%)</t>
        </is>
      </c>
      <c r="Y474" s="187" t="inlineStr">
        <is>
          <t>UNLIKELY</t>
        </is>
      </c>
      <c r="Z474" s="187" t="inlineStr">
        <is>
          <t>PATCH_AVAILABLE</t>
        </is>
      </c>
      <c r="AA474" s="187" t="inlineStr">
        <is>
          <t>https://nvd.nist.gov/vuln/detail/CVE-2026-27732</t>
        </is>
      </c>
      <c r="AB474" s="187" t="inlineStr">
        <is>
          <t>NONE</t>
        </is>
      </c>
      <c r="AC474" s="187" t="n">
        <v>0</v>
      </c>
      <c r="AD474" s="187" t="inlineStr"/>
    </row>
    <row r="475">
      <c r="A475" s="188" t="inlineStr">
        <is>
          <t>CVE</t>
        </is>
      </c>
      <c r="B475" s="188" t="inlineStr">
        <is>
          <t>CVE-2026-3101</t>
        </is>
      </c>
      <c r="C475" s="188"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475" s="188" t="n">
        <v>6.3</v>
      </c>
      <c r="E475" s="188" t="inlineStr">
        <is>
          <t>MEDIUM</t>
        </is>
      </c>
      <c r="F475" s="188" t="n">
        <v>2</v>
      </c>
      <c r="G475" s="188" t="n">
        <v>2</v>
      </c>
      <c r="H475" s="188" t="inlineStr">
        <is>
          <t>MEDIUM</t>
        </is>
      </c>
      <c r="I475" s="188" t="n">
        <v>10.3</v>
      </c>
      <c r="J475" s="188" t="inlineStr">
        <is>
          <t>NO</t>
        </is>
      </c>
      <c r="K475" s="188" t="inlineStr">
        <is>
          <t>https://nvd.nist.gov/vuln/detail/CVE-2026-3101</t>
        </is>
      </c>
      <c r="L475" s="188" t="inlineStr">
        <is>
          <t>2026-02-27 20:47</t>
        </is>
      </c>
      <c r="M475" s="188" t="inlineStr">
        <is>
          <t>CHECK_VENDOR</t>
        </is>
      </c>
      <c r="N475" s="188" t="inlineStr">
        <is>
          <t>See NVD references</t>
        </is>
      </c>
      <c r="O475" s="188" t="inlineStr">
        <is>
          <t>Apply vendor patches</t>
        </is>
      </c>
      <c r="P475" s="188" t="inlineStr">
        <is>
          <t>intelbras tip_635g - | intelbras tip_635g_firmware 1.12.3.5</t>
        </is>
      </c>
      <c r="Q475" s="188" t="inlineStr">
        <is>
          <t>P4</t>
        </is>
      </c>
      <c r="R475" s="188" t="inlineStr">
        <is>
          <t>📅 Schedule patch deployment within 30 days | 🔍 Monitor for exploitation attempts</t>
        </is>
      </c>
      <c r="S475" s="188" t="inlineStr">
        <is>
          <t>CVE - IP enrichment n/a</t>
        </is>
      </c>
      <c r="T475" s="188" t="n">
        <v>0.0036</v>
      </c>
      <c r="U475" s="188" t="n">
        <v>0.5749</v>
      </c>
      <c r="V475" s="188" t="inlineStr">
        <is>
          <t>T1059:Command and Scripting Interpreter</t>
        </is>
      </c>
      <c r="W475" s="188" t="n">
        <v>1</v>
      </c>
      <c r="X475" s="188" t="inlineStr">
        <is>
          <t>LOW (40%)</t>
        </is>
      </c>
      <c r="Y475" s="188" t="inlineStr">
        <is>
          <t>UNLIKELY</t>
        </is>
      </c>
      <c r="Z475" s="188" t="inlineStr">
        <is>
          <t>CHECK_VENDOR</t>
        </is>
      </c>
      <c r="AA475" s="188" t="inlineStr">
        <is>
          <t>https://nvd.nist.gov/vuln/detail/CVE-2026-3101</t>
        </is>
      </c>
      <c r="AB475" s="188" t="inlineStr">
        <is>
          <t>NONE</t>
        </is>
      </c>
      <c r="AC475" s="188" t="n">
        <v>0</v>
      </c>
      <c r="AD475" s="188" t="inlineStr"/>
    </row>
    <row r="476">
      <c r="A476" s="188" t="inlineStr">
        <is>
          <t>CVE</t>
        </is>
      </c>
      <c r="B476" s="188" t="inlineStr">
        <is>
          <t>CVE-2026-3102</t>
        </is>
      </c>
      <c r="C476" s="188"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476" s="188" t="n">
        <v>6.3</v>
      </c>
      <c r="E476" s="188" t="inlineStr">
        <is>
          <t>MEDIUM</t>
        </is>
      </c>
      <c r="F476" s="188" t="n">
        <v>2</v>
      </c>
      <c r="G476" s="188" t="n">
        <v>2</v>
      </c>
      <c r="H476" s="188" t="inlineStr">
        <is>
          <t>MEDIUM</t>
        </is>
      </c>
      <c r="I476" s="188" t="n">
        <v>10.3</v>
      </c>
      <c r="J476" s="188" t="inlineStr">
        <is>
          <t>NO</t>
        </is>
      </c>
      <c r="K476" s="188" t="inlineStr">
        <is>
          <t>https://nvd.nist.gov/vuln/detail/CVE-2026-3102</t>
        </is>
      </c>
      <c r="L476" s="188" t="inlineStr">
        <is>
          <t>2026-02-27 20:47</t>
        </is>
      </c>
      <c r="M476" s="188" t="inlineStr">
        <is>
          <t>YES</t>
        </is>
      </c>
      <c r="N476" s="188" t="inlineStr">
        <is>
          <t>https://github.com/exiftool/exiftool/commit/e9609a9bcc0d32bd252a709a562fb822d6dd86f7</t>
        </is>
      </c>
      <c r="O476" s="188" t="inlineStr">
        <is>
          <t>Apply vendor patches</t>
        </is>
      </c>
      <c r="P476" s="188" t="inlineStr">
        <is>
          <t>exiftool_project exiftool * | apple macos -</t>
        </is>
      </c>
      <c r="Q476" s="188" t="inlineStr">
        <is>
          <t>P4</t>
        </is>
      </c>
      <c r="R476" s="188" t="inlineStr">
        <is>
          <t>📅 Schedule patch deployment within 30 days | 🔍 Monitor for exploitation attempts</t>
        </is>
      </c>
      <c r="S476" s="188" t="inlineStr">
        <is>
          <t>CVE - IP enrichment n/a</t>
        </is>
      </c>
      <c r="T476" s="188" t="n">
        <v>0.002</v>
      </c>
      <c r="U476" s="188" t="n">
        <v>0.4188</v>
      </c>
      <c r="V476" s="188" t="inlineStr">
        <is>
          <t>T1059:Command and Scripting Interpreter</t>
        </is>
      </c>
      <c r="W476" s="188" t="n">
        <v>1</v>
      </c>
      <c r="X476" s="188" t="inlineStr">
        <is>
          <t>LOW (40%)</t>
        </is>
      </c>
      <c r="Y476" s="188" t="inlineStr">
        <is>
          <t>UNLIKELY</t>
        </is>
      </c>
      <c r="Z476" s="188" t="inlineStr">
        <is>
          <t>PATCH_AVAILABLE</t>
        </is>
      </c>
      <c r="AA476" s="188" t="inlineStr">
        <is>
          <t>https://nvd.nist.gov/vuln/detail/CVE-2026-3102</t>
        </is>
      </c>
      <c r="AB476" s="188" t="inlineStr">
        <is>
          <t>NONE</t>
        </is>
      </c>
      <c r="AC476" s="188" t="n">
        <v>0</v>
      </c>
      <c r="AD476" s="188" t="inlineStr"/>
    </row>
    <row r="477">
      <c r="A477" s="188" t="inlineStr">
        <is>
          <t>CVE</t>
        </is>
      </c>
      <c r="B477" s="188" t="inlineStr">
        <is>
          <t>CVE-2025-47904</t>
        </is>
      </c>
      <c r="C477" s="188" t="inlineStr">
        <is>
          <t>Download of Code Without Integrity Check vulnerability in Microchip Time Provider 4100 allows Malicious Manual Software Update.This issue affects Time Provider 4100: before 2.5.</t>
        </is>
      </c>
      <c r="D477" s="188" t="n">
        <v>5</v>
      </c>
      <c r="E477" s="188" t="inlineStr">
        <is>
          <t>MEDIUM</t>
        </is>
      </c>
      <c r="F477" s="188" t="n">
        <v>2</v>
      </c>
      <c r="G477" s="188" t="n">
        <v>2</v>
      </c>
      <c r="H477" s="188" t="inlineStr">
        <is>
          <t>MEDIUM</t>
        </is>
      </c>
      <c r="I477" s="188" t="n">
        <v>9</v>
      </c>
      <c r="J477" s="188" t="inlineStr">
        <is>
          <t>NO</t>
        </is>
      </c>
      <c r="K477" s="188" t="inlineStr">
        <is>
          <t>https://nvd.nist.gov/vuln/detail/CVE-2025-47904</t>
        </is>
      </c>
      <c r="L477" s="188" t="inlineStr">
        <is>
          <t>2026-02-27 20:47</t>
        </is>
      </c>
      <c r="M477" s="188" t="inlineStr">
        <is>
          <t>CHECK_VENDOR</t>
        </is>
      </c>
      <c r="N477" s="188" t="inlineStr">
        <is>
          <t>See NVD references</t>
        </is>
      </c>
      <c r="O477" s="188" t="inlineStr">
        <is>
          <t>Apply vendor patches</t>
        </is>
      </c>
      <c r="P477" s="188" t="inlineStr">
        <is>
          <t>See CVE details</t>
        </is>
      </c>
      <c r="Q477" s="188" t="inlineStr">
        <is>
          <t>P4</t>
        </is>
      </c>
      <c r="R477" s="188" t="inlineStr">
        <is>
          <t>📅 Schedule patch deployment within 30 days | 🔍 Monitor for exploitation attempts</t>
        </is>
      </c>
      <c r="S477" s="188" t="inlineStr">
        <is>
          <t>CVE - IP enrichment n/a</t>
        </is>
      </c>
      <c r="T477" s="188" t="n">
        <v>0</v>
      </c>
      <c r="U477" s="188" t="n">
        <v>0.0015</v>
      </c>
      <c r="V477" s="188" t="inlineStr">
        <is>
          <t>T1190:Exploit Public-Facing Application</t>
        </is>
      </c>
      <c r="W477" s="188" t="n">
        <v>1</v>
      </c>
      <c r="X477" s="188" t="inlineStr">
        <is>
          <t>LOW (40%)</t>
        </is>
      </c>
      <c r="Y477" s="188" t="inlineStr">
        <is>
          <t>UNLIKELY</t>
        </is>
      </c>
      <c r="Z477" s="188" t="inlineStr">
        <is>
          <t>CHECK_VENDOR</t>
        </is>
      </c>
      <c r="AA477" s="188" t="inlineStr">
        <is>
          <t>https://nvd.nist.gov/vuln/detail/CVE-2025-47904</t>
        </is>
      </c>
      <c r="AB477" s="188" t="inlineStr">
        <is>
          <t>NONE</t>
        </is>
      </c>
      <c r="AC477" s="188" t="n">
        <v>0</v>
      </c>
      <c r="AD477" s="188" t="inlineStr"/>
    </row>
    <row r="478">
      <c r="A478" s="187" t="inlineStr">
        <is>
          <t>CVE</t>
        </is>
      </c>
      <c r="B478" s="187" t="inlineStr">
        <is>
          <t>CVE-2025-63409</t>
        </is>
      </c>
      <c r="C478" s="187" t="inlineStr">
        <is>
          <t>Privilege escalation and improper access control in GCOM EPON 1GE C00R371V00B01 allows remote authenticated users to modify administrator only settings and extract administrator credentials.</t>
        </is>
      </c>
      <c r="D478" s="187" t="n">
        <v>8.800000000000001</v>
      </c>
      <c r="E478" s="187" t="inlineStr">
        <is>
          <t>HIGH</t>
        </is>
      </c>
      <c r="F478" s="187" t="n">
        <v>2</v>
      </c>
      <c r="G478" s="187" t="n">
        <v>3</v>
      </c>
      <c r="H478" s="187" t="inlineStr">
        <is>
          <t>HIGH</t>
        </is>
      </c>
      <c r="I478" s="187" t="n">
        <v>14.8</v>
      </c>
      <c r="J478" s="187" t="inlineStr">
        <is>
          <t>NO</t>
        </is>
      </c>
      <c r="K478" s="187" t="inlineStr">
        <is>
          <t>https://nvd.nist.gov/vuln/detail/CVE-2025-63409</t>
        </is>
      </c>
      <c r="L478" s="187" t="inlineStr">
        <is>
          <t>2026-02-27 20:47</t>
        </is>
      </c>
      <c r="M478" s="187" t="inlineStr">
        <is>
          <t>CHECK_VENDOR</t>
        </is>
      </c>
      <c r="N478" s="187" t="inlineStr">
        <is>
          <t>See NVD references</t>
        </is>
      </c>
      <c r="O478" s="187" t="inlineStr">
        <is>
          <t>Apply vendor patches</t>
        </is>
      </c>
      <c r="P478" s="187" t="inlineStr">
        <is>
          <t>gcomtw gcom_epon_1ge_firmware c00r371v00b01 | gcomtw gcom_epon_1ge -</t>
        </is>
      </c>
      <c r="Q478" s="187" t="inlineStr">
        <is>
          <t>P3</t>
        </is>
      </c>
      <c r="R478" s="187" t="inlineStr">
        <is>
          <t>🚨 URGENT: Apply vendor patches immediately | 🔒 Isolate affected systems if patch unavailable | 🛡️ Enable additional monitoring/IDS rules</t>
        </is>
      </c>
      <c r="S478" s="187" t="inlineStr">
        <is>
          <t>CVE - IP enrichment n/a</t>
        </is>
      </c>
      <c r="T478" s="187" t="n">
        <v>0.001</v>
      </c>
      <c r="U478" s="187" t="n">
        <v>0.2833</v>
      </c>
      <c r="V478" s="187" t="inlineStr">
        <is>
          <t>T1068:Exploitation for Privilege Escalation | T1552:Unsecured Credentials</t>
        </is>
      </c>
      <c r="W478" s="187" t="n">
        <v>1</v>
      </c>
      <c r="X478" s="187" t="inlineStr">
        <is>
          <t>LOW (40%)</t>
        </is>
      </c>
      <c r="Y478" s="187" t="inlineStr">
        <is>
          <t>UNLIKELY</t>
        </is>
      </c>
      <c r="Z478" s="187" t="inlineStr">
        <is>
          <t>CHECK_VENDOR</t>
        </is>
      </c>
      <c r="AA478" s="187" t="inlineStr">
        <is>
          <t>https://nvd.nist.gov/vuln/detail/CVE-2025-63409</t>
        </is>
      </c>
      <c r="AB478" s="187" t="inlineStr">
        <is>
          <t>NONE</t>
        </is>
      </c>
      <c r="AC478" s="187" t="n">
        <v>0</v>
      </c>
      <c r="AD478" s="187" t="inlineStr"/>
    </row>
    <row r="479">
      <c r="A479" s="189" t="inlineStr">
        <is>
          <t>CVE</t>
        </is>
      </c>
      <c r="B479" s="189" t="inlineStr">
        <is>
          <t>CVE-2025-69985</t>
        </is>
      </c>
      <c r="C479" s="189"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479" s="189" t="n">
        <v>9.800000000000001</v>
      </c>
      <c r="E479" s="189" t="inlineStr">
        <is>
          <t>CRITICAL</t>
        </is>
      </c>
      <c r="F479" s="189" t="n">
        <v>2</v>
      </c>
      <c r="G479" s="189" t="n">
        <v>3</v>
      </c>
      <c r="H479" s="189" t="inlineStr">
        <is>
          <t>HIGH</t>
        </is>
      </c>
      <c r="I479" s="189" t="n">
        <v>15.8</v>
      </c>
      <c r="J479" s="189" t="inlineStr">
        <is>
          <t>NO</t>
        </is>
      </c>
      <c r="K479" s="189" t="inlineStr">
        <is>
          <t>https://nvd.nist.gov/vuln/detail/CVE-2025-69985</t>
        </is>
      </c>
      <c r="L479" s="189" t="inlineStr">
        <is>
          <t>2026-02-27 20:47</t>
        </is>
      </c>
      <c r="M479" s="189" t="inlineStr">
        <is>
          <t>CHECK_VENDOR</t>
        </is>
      </c>
      <c r="N479" s="189" t="inlineStr">
        <is>
          <t>See NVD references</t>
        </is>
      </c>
      <c r="O479" s="189" t="inlineStr">
        <is>
          <t>Apply vendor patches</t>
        </is>
      </c>
      <c r="P479" s="189" t="inlineStr">
        <is>
          <t>frangoteam fuxa *</t>
        </is>
      </c>
      <c r="Q479" s="189" t="inlineStr">
        <is>
          <t>P3</t>
        </is>
      </c>
      <c r="R479" s="189" t="inlineStr">
        <is>
          <t>🚨 URGENT: Apply vendor patches immediately | 🔒 Isolate affected systems if patch unavailable | 🛡️ Enable additional monitoring/IDS rules</t>
        </is>
      </c>
      <c r="S479" s="189" t="inlineStr">
        <is>
          <t>CVE - IP enrichment n/a</t>
        </is>
      </c>
      <c r="T479" s="189" t="n">
        <v>0.0054</v>
      </c>
      <c r="U479" s="189" t="n">
        <v>0.6716</v>
      </c>
      <c r="V479" s="189" t="inlineStr">
        <is>
          <t>T1190:Exploit Public-Facing Application | T1210:Exploitation of Remote Services | T1078:Valid Accounts</t>
        </is>
      </c>
      <c r="W479" s="189" t="n">
        <v>1</v>
      </c>
      <c r="X479" s="189" t="inlineStr">
        <is>
          <t>LOW (40%)</t>
        </is>
      </c>
      <c r="Y479" s="189" t="inlineStr">
        <is>
          <t>UNLIKELY</t>
        </is>
      </c>
      <c r="Z479" s="189" t="inlineStr">
        <is>
          <t>CHECK_VENDOR</t>
        </is>
      </c>
      <c r="AA479" s="189" t="inlineStr">
        <is>
          <t>https://nvd.nist.gov/vuln/detail/CVE-2025-69985</t>
        </is>
      </c>
      <c r="AB479" s="189" t="inlineStr">
        <is>
          <t>NONE</t>
        </is>
      </c>
      <c r="AC479" s="189" t="n">
        <v>0</v>
      </c>
      <c r="AD479" s="189" t="inlineStr"/>
    </row>
    <row r="480">
      <c r="A480" s="187" t="inlineStr">
        <is>
          <t>CVE</t>
        </is>
      </c>
      <c r="B480" s="187" t="inlineStr">
        <is>
          <t>CVE-2026-23678</t>
        </is>
      </c>
      <c r="C480" s="187"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480" s="187" t="n">
        <v>8.800000000000001</v>
      </c>
      <c r="E480" s="187" t="inlineStr">
        <is>
          <t>HIGH</t>
        </is>
      </c>
      <c r="F480" s="187" t="n">
        <v>2</v>
      </c>
      <c r="G480" s="187" t="n">
        <v>3</v>
      </c>
      <c r="H480" s="187" t="inlineStr">
        <is>
          <t>HIGH</t>
        </is>
      </c>
      <c r="I480" s="187" t="n">
        <v>14.8</v>
      </c>
      <c r="J480" s="187" t="inlineStr">
        <is>
          <t>NO</t>
        </is>
      </c>
      <c r="K480" s="187" t="inlineStr">
        <is>
          <t>https://nvd.nist.gov/vuln/detail/CVE-2026-23678</t>
        </is>
      </c>
      <c r="L480" s="187" t="inlineStr">
        <is>
          <t>2026-02-27 20:47</t>
        </is>
      </c>
      <c r="M480" s="187" t="inlineStr">
        <is>
          <t>CHECK_VENDOR</t>
        </is>
      </c>
      <c r="N480" s="187" t="inlineStr">
        <is>
          <t>See NVD references</t>
        </is>
      </c>
      <c r="O480" s="187" t="inlineStr">
        <is>
          <t>Apply vendor patches</t>
        </is>
      </c>
      <c r="P480" s="187" t="inlineStr">
        <is>
          <t>binardat 10g08-0800gsm - | binardat 10g08-0800gsm_firmware *</t>
        </is>
      </c>
      <c r="Q480" s="187" t="inlineStr">
        <is>
          <t>P3</t>
        </is>
      </c>
      <c r="R480" s="187" t="inlineStr">
        <is>
          <t>🚨 URGENT: Apply vendor patches immediately | 🔒 Isolate affected systems if patch unavailable | 🛡️ Enable additional monitoring/IDS rules</t>
        </is>
      </c>
      <c r="S480" s="187" t="inlineStr">
        <is>
          <t>CVE - IP enrichment n/a</t>
        </is>
      </c>
      <c r="T480" s="187" t="n">
        <v>0.0024</v>
      </c>
      <c r="U480" s="187" t="n">
        <v>0.4755</v>
      </c>
      <c r="V480" s="187" t="inlineStr">
        <is>
          <t>T1059:Command and Scripting Interpreter</t>
        </is>
      </c>
      <c r="W480" s="187" t="n">
        <v>1</v>
      </c>
      <c r="X480" s="187" t="inlineStr">
        <is>
          <t>LOW (40%)</t>
        </is>
      </c>
      <c r="Y480" s="187" t="inlineStr">
        <is>
          <t>UNLIKELY</t>
        </is>
      </c>
      <c r="Z480" s="187" t="inlineStr">
        <is>
          <t>CHECK_VENDOR</t>
        </is>
      </c>
      <c r="AA480" s="187" t="inlineStr">
        <is>
          <t>https://nvd.nist.gov/vuln/detail/CVE-2026-23678</t>
        </is>
      </c>
      <c r="AB480" s="187" t="inlineStr">
        <is>
          <t>NONE</t>
        </is>
      </c>
      <c r="AC480" s="187" t="n">
        <v>0</v>
      </c>
      <c r="AD480" s="187" t="inlineStr"/>
    </row>
    <row r="481">
      <c r="A481" s="189" t="inlineStr">
        <is>
          <t>CVE</t>
        </is>
      </c>
      <c r="B481" s="189" t="inlineStr">
        <is>
          <t>CVE-2026-27507</t>
        </is>
      </c>
      <c r="C481" s="189" t="inlineStr">
        <is>
          <t>Binardat 10G08-0800GSM network switch firmware version V300SP10260209 and prior contain hard-coded administrative credentials that cannot be changed by users. Knowledge of these credentials allows full administrative access to the device.</t>
        </is>
      </c>
      <c r="D481" s="189" t="n">
        <v>9.800000000000001</v>
      </c>
      <c r="E481" s="189" t="inlineStr">
        <is>
          <t>CRITICAL</t>
        </is>
      </c>
      <c r="F481" s="189" t="n">
        <v>2</v>
      </c>
      <c r="G481" s="189" t="n">
        <v>3</v>
      </c>
      <c r="H481" s="189" t="inlineStr">
        <is>
          <t>HIGH</t>
        </is>
      </c>
      <c r="I481" s="189" t="n">
        <v>15.8</v>
      </c>
      <c r="J481" s="189" t="inlineStr">
        <is>
          <t>NO</t>
        </is>
      </c>
      <c r="K481" s="189" t="inlineStr">
        <is>
          <t>https://nvd.nist.gov/vuln/detail/CVE-2026-27507</t>
        </is>
      </c>
      <c r="L481" s="189" t="inlineStr">
        <is>
          <t>2026-02-27 20:47</t>
        </is>
      </c>
      <c r="M481" s="189" t="inlineStr">
        <is>
          <t>CHECK_VENDOR</t>
        </is>
      </c>
      <c r="N481" s="189" t="inlineStr">
        <is>
          <t>See NVD references</t>
        </is>
      </c>
      <c r="O481" s="189" t="inlineStr">
        <is>
          <t>Apply vendor patches</t>
        </is>
      </c>
      <c r="P481" s="189" t="inlineStr">
        <is>
          <t>binardat 10g08-0800gsm - | binardat 10g08-0800gsm_firmware *</t>
        </is>
      </c>
      <c r="Q481" s="189" t="inlineStr">
        <is>
          <t>P3</t>
        </is>
      </c>
      <c r="R481" s="189" t="inlineStr">
        <is>
          <t>🚨 URGENT: Apply vendor patches immediately | 🔒 Isolate affected systems if patch unavailable | 🛡️ Enable additional monitoring/IDS rules</t>
        </is>
      </c>
      <c r="S481" s="189" t="inlineStr">
        <is>
          <t>CVE - IP enrichment n/a</t>
        </is>
      </c>
      <c r="T481" s="189" t="n">
        <v>0.0004</v>
      </c>
      <c r="U481" s="189" t="n">
        <v>0.1245</v>
      </c>
      <c r="V481" s="189" t="inlineStr">
        <is>
          <t>T1552:Unsecured Credentials</t>
        </is>
      </c>
      <c r="W481" s="189" t="n">
        <v>1</v>
      </c>
      <c r="X481" s="189" t="inlineStr">
        <is>
          <t>LOW (40%)</t>
        </is>
      </c>
      <c r="Y481" s="189" t="inlineStr">
        <is>
          <t>UNLIKELY</t>
        </is>
      </c>
      <c r="Z481" s="189" t="inlineStr">
        <is>
          <t>CHECK_VENDOR</t>
        </is>
      </c>
      <c r="AA481" s="189" t="inlineStr">
        <is>
          <t>https://nvd.nist.gov/vuln/detail/CVE-2026-27507</t>
        </is>
      </c>
      <c r="AB481" s="189" t="inlineStr">
        <is>
          <t>NONE</t>
        </is>
      </c>
      <c r="AC481" s="189" t="n">
        <v>0</v>
      </c>
      <c r="AD481" s="189" t="inlineStr"/>
    </row>
    <row r="482">
      <c r="A482" s="189" t="inlineStr">
        <is>
          <t>CVE</t>
        </is>
      </c>
      <c r="B482" s="189" t="inlineStr">
        <is>
          <t>CVE-2026-27515</t>
        </is>
      </c>
      <c r="C482" s="189" t="inlineStr">
        <is>
          <t>Binardat 10G08-0800GSM network switch firmware versions prior to V300SP10260209 generate predictable numeric session identifiers in the web management interface. An attacker can guess valid session IDs and hijack authenticated sessions.</t>
        </is>
      </c>
      <c r="D482" s="189" t="n">
        <v>9.1</v>
      </c>
      <c r="E482" s="189" t="inlineStr">
        <is>
          <t>CRITICAL</t>
        </is>
      </c>
      <c r="F482" s="189" t="n">
        <v>2</v>
      </c>
      <c r="G482" s="189" t="n">
        <v>3</v>
      </c>
      <c r="H482" s="189" t="inlineStr">
        <is>
          <t>HIGH</t>
        </is>
      </c>
      <c r="I482" s="189" t="n">
        <v>15.1</v>
      </c>
      <c r="J482" s="189" t="inlineStr">
        <is>
          <t>NO</t>
        </is>
      </c>
      <c r="K482" s="189" t="inlineStr">
        <is>
          <t>https://nvd.nist.gov/vuln/detail/CVE-2026-27515</t>
        </is>
      </c>
      <c r="L482" s="189" t="inlineStr">
        <is>
          <t>2026-02-27 20:47</t>
        </is>
      </c>
      <c r="M482" s="189" t="inlineStr">
        <is>
          <t>CHECK_VENDOR</t>
        </is>
      </c>
      <c r="N482" s="189" t="inlineStr">
        <is>
          <t>See NVD references</t>
        </is>
      </c>
      <c r="O482" s="189" t="inlineStr">
        <is>
          <t>Apply vendor patches</t>
        </is>
      </c>
      <c r="P482" s="189" t="inlineStr">
        <is>
          <t>binardat 10g08-0800gsm - | binardat 10g08-0800gsm_firmware *</t>
        </is>
      </c>
      <c r="Q482" s="189" t="inlineStr">
        <is>
          <t>P3</t>
        </is>
      </c>
      <c r="R482" s="189" t="inlineStr">
        <is>
          <t>🚨 URGENT: Apply vendor patches immediately | 🔒 Isolate affected systems if patch unavailable | 🛡️ Enable additional monitoring/IDS rules</t>
        </is>
      </c>
      <c r="S482" s="189" t="inlineStr">
        <is>
          <t>CVE - IP enrichment n/a</t>
        </is>
      </c>
      <c r="T482" s="189" t="n">
        <v>0.0003</v>
      </c>
      <c r="U482" s="189" t="n">
        <v>0.0861</v>
      </c>
      <c r="V482" s="189" t="inlineStr">
        <is>
          <t>T1600:Weaken Encryption</t>
        </is>
      </c>
      <c r="W482" s="189" t="n">
        <v>1</v>
      </c>
      <c r="X482" s="189" t="inlineStr">
        <is>
          <t>LOW (40%)</t>
        </is>
      </c>
      <c r="Y482" s="189" t="inlineStr">
        <is>
          <t>UNLIKELY</t>
        </is>
      </c>
      <c r="Z482" s="189" t="inlineStr">
        <is>
          <t>CHECK_VENDOR</t>
        </is>
      </c>
      <c r="AA482" s="189" t="inlineStr">
        <is>
          <t>https://nvd.nist.gov/vuln/detail/CVE-2026-27515</t>
        </is>
      </c>
      <c r="AB482" s="189" t="inlineStr">
        <is>
          <t>NONE</t>
        </is>
      </c>
      <c r="AC482" s="189" t="n">
        <v>0</v>
      </c>
      <c r="AD482" s="189" t="inlineStr"/>
    </row>
    <row r="483">
      <c r="A483" s="187" t="inlineStr">
        <is>
          <t>CVE</t>
        </is>
      </c>
      <c r="B483" s="187" t="inlineStr">
        <is>
          <t>CVE-2026-27516</t>
        </is>
      </c>
      <c r="C483" s="187" t="inlineStr">
        <is>
          <t>Binardat 10G08-0800GSM network switch firmware version V300SP10260209 and prior expose user passwords in plaintext within the administrative interface and HTTP responses, allowing recovery of valid credentials.</t>
        </is>
      </c>
      <c r="D483" s="187" t="n">
        <v>8.1</v>
      </c>
      <c r="E483" s="187" t="inlineStr">
        <is>
          <t>HIGH</t>
        </is>
      </c>
      <c r="F483" s="187" t="n">
        <v>2</v>
      </c>
      <c r="G483" s="187" t="n">
        <v>3</v>
      </c>
      <c r="H483" s="187" t="inlineStr">
        <is>
          <t>HIGH</t>
        </is>
      </c>
      <c r="I483" s="187" t="n">
        <v>14.1</v>
      </c>
      <c r="J483" s="187" t="inlineStr">
        <is>
          <t>NO</t>
        </is>
      </c>
      <c r="K483" s="187" t="inlineStr">
        <is>
          <t>https://nvd.nist.gov/vuln/detail/CVE-2026-27516</t>
        </is>
      </c>
      <c r="L483" s="187" t="inlineStr">
        <is>
          <t>2026-02-27 20:47</t>
        </is>
      </c>
      <c r="M483" s="187" t="inlineStr">
        <is>
          <t>CHECK_VENDOR</t>
        </is>
      </c>
      <c r="N483" s="187" t="inlineStr">
        <is>
          <t>See NVD references</t>
        </is>
      </c>
      <c r="O483" s="187" t="inlineStr">
        <is>
          <t>Apply vendor patches</t>
        </is>
      </c>
      <c r="P483" s="187" t="inlineStr">
        <is>
          <t>binardat 10g08-0800gsm - | binardat 10g08-0800gsm_firmware *</t>
        </is>
      </c>
      <c r="Q483" s="187" t="inlineStr">
        <is>
          <t>P3</t>
        </is>
      </c>
      <c r="R483" s="187" t="inlineStr">
        <is>
          <t>🚨 URGENT: Apply vendor patches immediately | 🔒 Isolate affected systems if patch unavailable | 🛡️ Enable additional monitoring/IDS rules</t>
        </is>
      </c>
      <c r="S483" s="187" t="inlineStr">
        <is>
          <t>CVE - IP enrichment n/a</t>
        </is>
      </c>
      <c r="T483" s="187" t="n">
        <v>0.0002</v>
      </c>
      <c r="U483" s="187" t="n">
        <v>0.0536</v>
      </c>
      <c r="V483" s="187" t="inlineStr">
        <is>
          <t>T1552:Unsecured Credentials</t>
        </is>
      </c>
      <c r="W483" s="187" t="n">
        <v>1</v>
      </c>
      <c r="X483" s="187" t="inlineStr">
        <is>
          <t>LOW (40%)</t>
        </is>
      </c>
      <c r="Y483" s="187" t="inlineStr">
        <is>
          <t>UNLIKELY</t>
        </is>
      </c>
      <c r="Z483" s="187" t="inlineStr">
        <is>
          <t>CHECK_VENDOR</t>
        </is>
      </c>
      <c r="AA483" s="187" t="inlineStr">
        <is>
          <t>https://nvd.nist.gov/vuln/detail/CVE-2026-27516</t>
        </is>
      </c>
      <c r="AB483" s="187" t="inlineStr">
        <is>
          <t>NONE</t>
        </is>
      </c>
      <c r="AC483" s="187" t="n">
        <v>0</v>
      </c>
      <c r="AD483" s="187" t="inlineStr"/>
    </row>
    <row r="484">
      <c r="A484" s="188" t="inlineStr">
        <is>
          <t>CVE</t>
        </is>
      </c>
      <c r="B484" s="188" t="inlineStr">
        <is>
          <t>CVE-2026-27517</t>
        </is>
      </c>
      <c r="C484" s="188" t="inlineStr">
        <is>
          <t>Binardat 10G08-0800GSM network switch firmware version V300SP10260209 and prior reflect unsanitized user input in the web interface, allowing an attacker to inject and execute arbitrary JavaScript in the context of an authenticated user.</t>
        </is>
      </c>
      <c r="D484" s="188" t="n">
        <v>5.4</v>
      </c>
      <c r="E484" s="188" t="inlineStr">
        <is>
          <t>MEDIUM</t>
        </is>
      </c>
      <c r="F484" s="188" t="n">
        <v>2</v>
      </c>
      <c r="G484" s="188" t="n">
        <v>2</v>
      </c>
      <c r="H484" s="188" t="inlineStr">
        <is>
          <t>MEDIUM</t>
        </is>
      </c>
      <c r="I484" s="188" t="n">
        <v>9.4</v>
      </c>
      <c r="J484" s="188" t="inlineStr">
        <is>
          <t>NO</t>
        </is>
      </c>
      <c r="K484" s="188" t="inlineStr">
        <is>
          <t>https://nvd.nist.gov/vuln/detail/CVE-2026-27517</t>
        </is>
      </c>
      <c r="L484" s="188" t="inlineStr">
        <is>
          <t>2026-02-27 20:47</t>
        </is>
      </c>
      <c r="M484" s="188" t="inlineStr">
        <is>
          <t>CHECK_VENDOR</t>
        </is>
      </c>
      <c r="N484" s="188" t="inlineStr">
        <is>
          <t>See NVD references</t>
        </is>
      </c>
      <c r="O484" s="188" t="inlineStr">
        <is>
          <t>Apply vendor patches</t>
        </is>
      </c>
      <c r="P484" s="188" t="inlineStr">
        <is>
          <t>binardat 10g08-0800gsm - | binardat 10g08-0800gsm_firmware *</t>
        </is>
      </c>
      <c r="Q484" s="188" t="inlineStr">
        <is>
          <t>P4</t>
        </is>
      </c>
      <c r="R484" s="188" t="inlineStr">
        <is>
          <t>📅 Schedule patch deployment within 30 days | 🔍 Monitor for exploitation attempts</t>
        </is>
      </c>
      <c r="S484" s="188" t="inlineStr">
        <is>
          <t>CVE - IP enrichment n/a</t>
        </is>
      </c>
      <c r="T484" s="188" t="n">
        <v>0.0003</v>
      </c>
      <c r="U484" s="188" t="n">
        <v>0.0788</v>
      </c>
      <c r="V484" s="188" t="inlineStr">
        <is>
          <t>T1189:Drive-by Compromise</t>
        </is>
      </c>
      <c r="W484" s="188" t="n">
        <v>1</v>
      </c>
      <c r="X484" s="188" t="inlineStr">
        <is>
          <t>LOW (40%)</t>
        </is>
      </c>
      <c r="Y484" s="188" t="inlineStr">
        <is>
          <t>UNLIKELY</t>
        </is>
      </c>
      <c r="Z484" s="188" t="inlineStr">
        <is>
          <t>CHECK_VENDOR</t>
        </is>
      </c>
      <c r="AA484" s="188" t="inlineStr">
        <is>
          <t>https://nvd.nist.gov/vuln/detail/CVE-2026-27517</t>
        </is>
      </c>
      <c r="AB484" s="188" t="inlineStr">
        <is>
          <t>NONE</t>
        </is>
      </c>
      <c r="AC484" s="188" t="n">
        <v>0</v>
      </c>
      <c r="AD484" s="188" t="inlineStr"/>
    </row>
    <row r="485">
      <c r="A485" s="188" t="inlineStr">
        <is>
          <t>CVE</t>
        </is>
      </c>
      <c r="B485" s="188" t="inlineStr">
        <is>
          <t>CVE-2026-27518</t>
        </is>
      </c>
      <c r="C485" s="188"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485" s="188" t="n">
        <v>4.3</v>
      </c>
      <c r="E485" s="188" t="inlineStr">
        <is>
          <t>MEDIUM</t>
        </is>
      </c>
      <c r="F485" s="188" t="n">
        <v>2</v>
      </c>
      <c r="G485" s="188" t="n">
        <v>2</v>
      </c>
      <c r="H485" s="188" t="inlineStr">
        <is>
          <t>MEDIUM</t>
        </is>
      </c>
      <c r="I485" s="188" t="n">
        <v>8.300000000000001</v>
      </c>
      <c r="J485" s="188" t="inlineStr">
        <is>
          <t>NO</t>
        </is>
      </c>
      <c r="K485" s="188" t="inlineStr">
        <is>
          <t>https://nvd.nist.gov/vuln/detail/CVE-2026-27518</t>
        </is>
      </c>
      <c r="L485" s="188" t="inlineStr">
        <is>
          <t>2026-02-27 20:47</t>
        </is>
      </c>
      <c r="M485" s="188" t="inlineStr">
        <is>
          <t>CHECK_VENDOR</t>
        </is>
      </c>
      <c r="N485" s="188" t="inlineStr">
        <is>
          <t>See NVD references</t>
        </is>
      </c>
      <c r="O485" s="188" t="inlineStr">
        <is>
          <t>Apply vendor patches</t>
        </is>
      </c>
      <c r="P485" s="188" t="inlineStr">
        <is>
          <t>binardat 10g08-0800gsm - | binardat 10g08-0800gsm_firmware *</t>
        </is>
      </c>
      <c r="Q485" s="188" t="inlineStr">
        <is>
          <t>P4</t>
        </is>
      </c>
      <c r="R485" s="188" t="inlineStr">
        <is>
          <t>📅 Schedule patch deployment within 30 days | 🔍 Monitor for exploitation attempts</t>
        </is>
      </c>
      <c r="S485" s="188" t="inlineStr">
        <is>
          <t>CVE - IP enrichment n/a</t>
        </is>
      </c>
      <c r="T485" s="188" t="n">
        <v>0.0001</v>
      </c>
      <c r="U485" s="188" t="n">
        <v>0.0261</v>
      </c>
      <c r="V485" s="188" t="inlineStr">
        <is>
          <t>T1185:Browser Session Hijacking</t>
        </is>
      </c>
      <c r="W485" s="188" t="n">
        <v>1</v>
      </c>
      <c r="X485" s="188" t="inlineStr">
        <is>
          <t>LOW (40%)</t>
        </is>
      </c>
      <c r="Y485" s="188" t="inlineStr">
        <is>
          <t>UNLIKELY</t>
        </is>
      </c>
      <c r="Z485" s="188" t="inlineStr">
        <is>
          <t>CHECK_VENDOR</t>
        </is>
      </c>
      <c r="AA485" s="188" t="inlineStr">
        <is>
          <t>https://nvd.nist.gov/vuln/detail/CVE-2026-27518</t>
        </is>
      </c>
      <c r="AB485" s="188" t="inlineStr">
        <is>
          <t>NONE</t>
        </is>
      </c>
      <c r="AC485" s="188" t="n">
        <v>0</v>
      </c>
      <c r="AD485" s="188" t="inlineStr"/>
    </row>
    <row r="486">
      <c r="A486" s="187" t="inlineStr">
        <is>
          <t>CVE</t>
        </is>
      </c>
      <c r="B486" s="187" t="inlineStr">
        <is>
          <t>CVE-2026-27519</t>
        </is>
      </c>
      <c r="C486" s="187"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486" s="187" t="n">
        <v>7.5</v>
      </c>
      <c r="E486" s="187" t="inlineStr">
        <is>
          <t>HIGH</t>
        </is>
      </c>
      <c r="F486" s="187" t="n">
        <v>2</v>
      </c>
      <c r="G486" s="187" t="n">
        <v>3</v>
      </c>
      <c r="H486" s="187" t="inlineStr">
        <is>
          <t>HIGH</t>
        </is>
      </c>
      <c r="I486" s="187" t="n">
        <v>13.5</v>
      </c>
      <c r="J486" s="187" t="inlineStr">
        <is>
          <t>NO</t>
        </is>
      </c>
      <c r="K486" s="187" t="inlineStr">
        <is>
          <t>https://nvd.nist.gov/vuln/detail/CVE-2026-27519</t>
        </is>
      </c>
      <c r="L486" s="187" t="inlineStr">
        <is>
          <t>2026-02-27 20:47</t>
        </is>
      </c>
      <c r="M486" s="187" t="inlineStr">
        <is>
          <t>CHECK_VENDOR</t>
        </is>
      </c>
      <c r="N486" s="187" t="inlineStr">
        <is>
          <t>See NVD references</t>
        </is>
      </c>
      <c r="O486" s="187" t="inlineStr">
        <is>
          <t>Apply vendor patches</t>
        </is>
      </c>
      <c r="P486" s="187" t="inlineStr">
        <is>
          <t>binardat 10g08-0800gsm - | binardat 10g08-0800gsm_firmware *</t>
        </is>
      </c>
      <c r="Q486" s="187" t="inlineStr">
        <is>
          <t>P3</t>
        </is>
      </c>
      <c r="R486" s="187" t="inlineStr">
        <is>
          <t>🚨 URGENT: Apply vendor patches immediately | 🔒 Isolate affected systems if patch unavailable | 🛡️ Enable additional monitoring/IDS rules</t>
        </is>
      </c>
      <c r="S486" s="187" t="inlineStr">
        <is>
          <t>CVE - IP enrichment n/a</t>
        </is>
      </c>
      <c r="T486" s="187" t="n">
        <v>0.0002</v>
      </c>
      <c r="U486" s="187" t="n">
        <v>0.0557</v>
      </c>
      <c r="V486" s="187" t="inlineStr">
        <is>
          <t>T1190:Exploit Public-Facing Application</t>
        </is>
      </c>
      <c r="W486" s="187" t="n">
        <v>1</v>
      </c>
      <c r="X486" s="187" t="inlineStr">
        <is>
          <t>LOW (40%)</t>
        </is>
      </c>
      <c r="Y486" s="187" t="inlineStr">
        <is>
          <t>UNLIKELY</t>
        </is>
      </c>
      <c r="Z486" s="187" t="inlineStr">
        <is>
          <t>CHECK_VENDOR</t>
        </is>
      </c>
      <c r="AA486" s="187" t="inlineStr">
        <is>
          <t>https://nvd.nist.gov/vuln/detail/CVE-2026-27519</t>
        </is>
      </c>
      <c r="AB486" s="187" t="inlineStr">
        <is>
          <t>NONE</t>
        </is>
      </c>
      <c r="AC486" s="187" t="n">
        <v>0</v>
      </c>
      <c r="AD486" s="187" t="inlineStr"/>
    </row>
    <row r="487">
      <c r="A487" s="187" t="inlineStr">
        <is>
          <t>CVE</t>
        </is>
      </c>
      <c r="B487" s="187" t="inlineStr">
        <is>
          <t>CVE-2026-27520</t>
        </is>
      </c>
      <c r="C487" s="187"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487" s="187" t="n">
        <v>7.5</v>
      </c>
      <c r="E487" s="187" t="inlineStr">
        <is>
          <t>HIGH</t>
        </is>
      </c>
      <c r="F487" s="187" t="n">
        <v>2</v>
      </c>
      <c r="G487" s="187" t="n">
        <v>3</v>
      </c>
      <c r="H487" s="187" t="inlineStr">
        <is>
          <t>HIGH</t>
        </is>
      </c>
      <c r="I487" s="187" t="n">
        <v>13.5</v>
      </c>
      <c r="J487" s="187" t="inlineStr">
        <is>
          <t>NO</t>
        </is>
      </c>
      <c r="K487" s="187" t="inlineStr">
        <is>
          <t>https://nvd.nist.gov/vuln/detail/CVE-2026-27520</t>
        </is>
      </c>
      <c r="L487" s="187" t="inlineStr">
        <is>
          <t>2026-02-27 20:47</t>
        </is>
      </c>
      <c r="M487" s="187" t="inlineStr">
        <is>
          <t>CHECK_VENDOR</t>
        </is>
      </c>
      <c r="N487" s="187" t="inlineStr">
        <is>
          <t>See NVD references</t>
        </is>
      </c>
      <c r="O487" s="187" t="inlineStr">
        <is>
          <t>Apply vendor patches</t>
        </is>
      </c>
      <c r="P487" s="187" t="inlineStr">
        <is>
          <t>binardat 10g08-0800gsm - | binardat 10g08-0800gsm_firmware *</t>
        </is>
      </c>
      <c r="Q487" s="187" t="inlineStr">
        <is>
          <t>P3</t>
        </is>
      </c>
      <c r="R487" s="187" t="inlineStr">
        <is>
          <t>🚨 URGENT: Apply vendor patches immediately | 🔒 Isolate affected systems if patch unavailable | 🛡️ Enable additional monitoring/IDS rules</t>
        </is>
      </c>
      <c r="S487" s="187" t="inlineStr">
        <is>
          <t>CVE - IP enrichment n/a</t>
        </is>
      </c>
      <c r="T487" s="187" t="n">
        <v>0.0002</v>
      </c>
      <c r="U487" s="187" t="n">
        <v>0.0541</v>
      </c>
      <c r="V487" s="187" t="inlineStr">
        <is>
          <t>T1190:Exploit Public-Facing Application</t>
        </is>
      </c>
      <c r="W487" s="187" t="n">
        <v>1</v>
      </c>
      <c r="X487" s="187" t="inlineStr">
        <is>
          <t>LOW (40%)</t>
        </is>
      </c>
      <c r="Y487" s="187" t="inlineStr">
        <is>
          <t>UNLIKELY</t>
        </is>
      </c>
      <c r="Z487" s="187" t="inlineStr">
        <is>
          <t>CHECK_VENDOR</t>
        </is>
      </c>
      <c r="AA487" s="187" t="inlineStr">
        <is>
          <t>https://nvd.nist.gov/vuln/detail/CVE-2026-27520</t>
        </is>
      </c>
      <c r="AB487" s="187" t="inlineStr">
        <is>
          <t>NONE</t>
        </is>
      </c>
      <c r="AC487" s="187" t="n">
        <v>0</v>
      </c>
      <c r="AD487" s="187" t="inlineStr"/>
    </row>
    <row r="488">
      <c r="A488" s="188" t="inlineStr">
        <is>
          <t>CVE</t>
        </is>
      </c>
      <c r="B488" s="188" t="inlineStr">
        <is>
          <t>CVE-2026-27521</t>
        </is>
      </c>
      <c r="C488" s="188" t="inlineStr">
        <is>
          <t>Binardat 10G08-0800GSM network switch firmware version V300SP10260209 and prior do not implement rate limiting or account lockout on failed login attempts, enabling brute-force attacks against user credentials.</t>
        </is>
      </c>
      <c r="D488" s="188" t="n">
        <v>6.5</v>
      </c>
      <c r="E488" s="188" t="inlineStr">
        <is>
          <t>MEDIUM</t>
        </is>
      </c>
      <c r="F488" s="188" t="n">
        <v>2</v>
      </c>
      <c r="G488" s="188" t="n">
        <v>2</v>
      </c>
      <c r="H488" s="188" t="inlineStr">
        <is>
          <t>MEDIUM</t>
        </is>
      </c>
      <c r="I488" s="188" t="n">
        <v>10.5</v>
      </c>
      <c r="J488" s="188" t="inlineStr">
        <is>
          <t>NO</t>
        </is>
      </c>
      <c r="K488" s="188" t="inlineStr">
        <is>
          <t>https://nvd.nist.gov/vuln/detail/CVE-2026-27521</t>
        </is>
      </c>
      <c r="L488" s="188" t="inlineStr">
        <is>
          <t>2026-02-27 20:47</t>
        </is>
      </c>
      <c r="M488" s="188" t="inlineStr">
        <is>
          <t>CHECK_VENDOR</t>
        </is>
      </c>
      <c r="N488" s="188" t="inlineStr">
        <is>
          <t>See NVD references</t>
        </is>
      </c>
      <c r="O488" s="188" t="inlineStr">
        <is>
          <t>Apply vendor patches</t>
        </is>
      </c>
      <c r="P488" s="188" t="inlineStr">
        <is>
          <t>binardat 10g08-0800gsm - | binardat 10g08-0800gsm_firmware *</t>
        </is>
      </c>
      <c r="Q488" s="188" t="inlineStr">
        <is>
          <t>P4</t>
        </is>
      </c>
      <c r="R488" s="188" t="inlineStr">
        <is>
          <t>📅 Schedule patch deployment within 30 days | 🔍 Monitor for exploitation attempts</t>
        </is>
      </c>
      <c r="S488" s="188" t="inlineStr">
        <is>
          <t>CVE - IP enrichment n/a</t>
        </is>
      </c>
      <c r="T488" s="188" t="n">
        <v>0.0003</v>
      </c>
      <c r="U488" s="188" t="n">
        <v>0.0842</v>
      </c>
      <c r="V488" s="188" t="inlineStr">
        <is>
          <t>T1190:Exploit Public-Facing Application | T1552:Unsecured Credentials</t>
        </is>
      </c>
      <c r="W488" s="188" t="n">
        <v>1</v>
      </c>
      <c r="X488" s="188" t="inlineStr">
        <is>
          <t>LOW (40%)</t>
        </is>
      </c>
      <c r="Y488" s="188" t="inlineStr">
        <is>
          <t>UNLIKELY</t>
        </is>
      </c>
      <c r="Z488" s="188" t="inlineStr">
        <is>
          <t>CHECK_VENDOR</t>
        </is>
      </c>
      <c r="AA488" s="188" t="inlineStr">
        <is>
          <t>https://nvd.nist.gov/vuln/detail/CVE-2026-27521</t>
        </is>
      </c>
      <c r="AB488" s="188" t="inlineStr">
        <is>
          <t>NONE</t>
        </is>
      </c>
      <c r="AC488" s="188" t="n">
        <v>0</v>
      </c>
      <c r="AD488" s="188" t="inlineStr"/>
    </row>
    <row r="489">
      <c r="A489" s="187" t="inlineStr">
        <is>
          <t>CVE</t>
        </is>
      </c>
      <c r="B489" s="187" t="inlineStr">
        <is>
          <t>CVE-2024-48928</t>
        </is>
      </c>
      <c r="C489" s="187"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489" s="187" t="n">
        <v>7.5</v>
      </c>
      <c r="E489" s="187" t="inlineStr">
        <is>
          <t>HIGH</t>
        </is>
      </c>
      <c r="F489" s="187" t="n">
        <v>2</v>
      </c>
      <c r="G489" s="187" t="n">
        <v>3</v>
      </c>
      <c r="H489" s="187" t="inlineStr">
        <is>
          <t>HIGH</t>
        </is>
      </c>
      <c r="I489" s="187" t="n">
        <v>13.5</v>
      </c>
      <c r="J489" s="187" t="inlineStr">
        <is>
          <t>NO</t>
        </is>
      </c>
      <c r="K489" s="187" t="inlineStr">
        <is>
          <t>https://nvd.nist.gov/vuln/detail/CVE-2024-48928</t>
        </is>
      </c>
      <c r="L489" s="187" t="inlineStr">
        <is>
          <t>2026-02-27 20:47</t>
        </is>
      </c>
      <c r="M489" s="187" t="inlineStr">
        <is>
          <t>YES</t>
        </is>
      </c>
      <c r="N489" s="187" t="inlineStr">
        <is>
          <t>https://github.com/Piwigo/Piwigo/commit/552499e0533ce54b55f4304b41ca6cd7ccce51f8 | https://github.com/Piwigo/Piwigo/security/advisories/GHSA-hghg-37rg-7r42</t>
        </is>
      </c>
      <c r="O489" s="187" t="inlineStr">
        <is>
          <t>Apply vendor patches</t>
        </is>
      </c>
      <c r="P489" s="187" t="inlineStr">
        <is>
          <t>piwigo piwigo *</t>
        </is>
      </c>
      <c r="Q489" s="187" t="inlineStr">
        <is>
          <t>P1</t>
        </is>
      </c>
      <c r="R489" s="187" t="inlineStr">
        <is>
          <t>🚨 URGENT: Apply vendor patches immediately | 🔒 Isolate affected systems if patch unavailable | 🛡️ Enable additional monitoring/IDS rules</t>
        </is>
      </c>
      <c r="S489" s="187" t="inlineStr">
        <is>
          <t>CVE - IP enrichment n/a</t>
        </is>
      </c>
      <c r="T489" s="187" t="n">
        <v>0.0003</v>
      </c>
      <c r="U489" s="187" t="n">
        <v>0.0921</v>
      </c>
      <c r="V489" s="187" t="inlineStr">
        <is>
          <t>T1600:Weaken Encryption | T1190:Exploit Public-Facing Application | T1110:Brute Force</t>
        </is>
      </c>
      <c r="W489" s="187" t="n">
        <v>2</v>
      </c>
      <c r="X489" s="187" t="inlineStr">
        <is>
          <t>HIGH (72%)</t>
        </is>
      </c>
      <c r="Y489" s="187" t="inlineStr">
        <is>
          <t>HIGH</t>
        </is>
      </c>
      <c r="Z489" s="187" t="inlineStr">
        <is>
          <t>PATCH_AVAILABLE</t>
        </is>
      </c>
      <c r="AA489" s="187" t="inlineStr">
        <is>
          <t>https://nvd.nist.gov/vuln/detail/CVE-2024-48928</t>
        </is>
      </c>
      <c r="AB489" s="187" t="inlineStr">
        <is>
          <t>http://www.zerodayinitiative.com/advisories/ZDI-26-123/</t>
        </is>
      </c>
      <c r="AC489" s="187" t="n">
        <v>0</v>
      </c>
      <c r="AD489" s="187" t="inlineStr"/>
    </row>
    <row r="490">
      <c r="A490" s="187" t="inlineStr">
        <is>
          <t>CVE</t>
        </is>
      </c>
      <c r="B490" s="187" t="inlineStr">
        <is>
          <t>CVE-2025-13776</t>
        </is>
      </c>
      <c r="C490" s="187"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490" s="187" t="n">
        <v>7.1</v>
      </c>
      <c r="E490" s="187" t="inlineStr">
        <is>
          <t>HIGH</t>
        </is>
      </c>
      <c r="F490" s="187" t="n">
        <v>2</v>
      </c>
      <c r="G490" s="187" t="n">
        <v>3</v>
      </c>
      <c r="H490" s="187" t="inlineStr">
        <is>
          <t>HIGH</t>
        </is>
      </c>
      <c r="I490" s="187" t="n">
        <v>13.1</v>
      </c>
      <c r="J490" s="187" t="inlineStr">
        <is>
          <t>NO</t>
        </is>
      </c>
      <c r="K490" s="187" t="inlineStr">
        <is>
          <t>https://nvd.nist.gov/vuln/detail/CVE-2025-13776</t>
        </is>
      </c>
      <c r="L490" s="187" t="inlineStr">
        <is>
          <t>2026-02-27 20:47</t>
        </is>
      </c>
      <c r="M490" s="187" t="inlineStr">
        <is>
          <t>CHECK_VENDOR</t>
        </is>
      </c>
      <c r="N490" s="187" t="inlineStr">
        <is>
          <t>See NVD references</t>
        </is>
      </c>
      <c r="O490" s="187" t="inlineStr">
        <is>
          <t>Apply vendor patches</t>
        </is>
      </c>
      <c r="P490" s="187" t="inlineStr">
        <is>
          <t>finka finka-faktura * | finka finka-fk * | finka finka-kpr *</t>
        </is>
      </c>
      <c r="Q490" s="187" t="inlineStr">
        <is>
          <t>P3</t>
        </is>
      </c>
      <c r="R490" s="187" t="inlineStr">
        <is>
          <t>🚨 URGENT: Apply vendor patches immediately | 🔒 Isolate affected systems if patch unavailable | 🛡️ Enable additional monitoring/IDS rules</t>
        </is>
      </c>
      <c r="S490" s="187" t="inlineStr">
        <is>
          <t>CVE - IP enrichment n/a</t>
        </is>
      </c>
      <c r="T490" s="187" t="n">
        <v>0.0001</v>
      </c>
      <c r="U490" s="187" t="n">
        <v>0.0258</v>
      </c>
      <c r="V490" s="187" t="inlineStr">
        <is>
          <t>T1552:Unsecured Credentials</t>
        </is>
      </c>
      <c r="W490" s="187" t="n">
        <v>1</v>
      </c>
      <c r="X490" s="187" t="inlineStr">
        <is>
          <t>LOW (40%)</t>
        </is>
      </c>
      <c r="Y490" s="187" t="inlineStr">
        <is>
          <t>UNLIKELY</t>
        </is>
      </c>
      <c r="Z490" s="187" t="inlineStr">
        <is>
          <t>CHECK_VENDOR</t>
        </is>
      </c>
      <c r="AA490" s="187" t="inlineStr">
        <is>
          <t>https://nvd.nist.gov/vuln/detail/CVE-2025-13776</t>
        </is>
      </c>
      <c r="AB490" s="187" t="inlineStr">
        <is>
          <t>NONE</t>
        </is>
      </c>
      <c r="AC490" s="187" t="n">
        <v>0</v>
      </c>
      <c r="AD490" s="187" t="inlineStr"/>
    </row>
    <row r="491">
      <c r="A491" s="188" t="inlineStr">
        <is>
          <t>CVE</t>
        </is>
      </c>
      <c r="B491" s="188" t="inlineStr">
        <is>
          <t>CVE-2026-27571</t>
        </is>
      </c>
      <c r="C491" s="188"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491" s="188" t="n">
        <v>5.9</v>
      </c>
      <c r="E491" s="188" t="inlineStr">
        <is>
          <t>MEDIUM</t>
        </is>
      </c>
      <c r="F491" s="188" t="n">
        <v>2</v>
      </c>
      <c r="G491" s="188" t="n">
        <v>2</v>
      </c>
      <c r="H491" s="188" t="inlineStr">
        <is>
          <t>MEDIUM</t>
        </is>
      </c>
      <c r="I491" s="188" t="n">
        <v>9.9</v>
      </c>
      <c r="J491" s="188" t="inlineStr">
        <is>
          <t>NO</t>
        </is>
      </c>
      <c r="K491" s="188" t="inlineStr">
        <is>
          <t>https://nvd.nist.gov/vuln/detail/CVE-2026-27571</t>
        </is>
      </c>
      <c r="L491" s="188" t="inlineStr">
        <is>
          <t>2026-02-27 20:47</t>
        </is>
      </c>
      <c r="M491" s="188" t="inlineStr">
        <is>
          <t>YES</t>
        </is>
      </c>
      <c r="N491" s="188" t="inlineStr">
        <is>
          <t>https://github.com/nats-io/nats-server/commit/f77fb7c4535e6727cc1a2899cd8e6bbdd8ba2017 | https://github.com/nats-io/nats-server/security/advisories/GHSA-qrvq-68c2-7grw</t>
        </is>
      </c>
      <c r="O491" s="188" t="inlineStr">
        <is>
          <t>Apply vendor patches</t>
        </is>
      </c>
      <c r="P491" s="188" t="inlineStr">
        <is>
          <t>linuxfoundation nats-server *</t>
        </is>
      </c>
      <c r="Q491" s="188" t="inlineStr">
        <is>
          <t>P4</t>
        </is>
      </c>
      <c r="R491" s="188" t="inlineStr">
        <is>
          <t>📅 Schedule patch deployment within 30 days | 🔍 Monitor for exploitation attempts</t>
        </is>
      </c>
      <c r="S491" s="188" t="inlineStr">
        <is>
          <t>CVE - IP enrichment n/a</t>
        </is>
      </c>
      <c r="T491" s="188" t="n">
        <v>0.0005999999999999999</v>
      </c>
      <c r="U491" s="188" t="n">
        <v>0.1818</v>
      </c>
      <c r="V491" s="188" t="inlineStr">
        <is>
          <t>T1552:Unsecured Credentials</t>
        </is>
      </c>
      <c r="W491" s="188" t="n">
        <v>1</v>
      </c>
      <c r="X491" s="188" t="inlineStr">
        <is>
          <t>LOW (40%)</t>
        </is>
      </c>
      <c r="Y491" s="188" t="inlineStr">
        <is>
          <t>UNLIKELY</t>
        </is>
      </c>
      <c r="Z491" s="188" t="inlineStr">
        <is>
          <t>PATCH_AVAILABLE</t>
        </is>
      </c>
      <c r="AA491" s="188" t="inlineStr">
        <is>
          <t>https://nvd.nist.gov/vuln/detail/CVE-2026-27571</t>
        </is>
      </c>
      <c r="AB491" s="188" t="inlineStr">
        <is>
          <t>NONE</t>
        </is>
      </c>
      <c r="AC491" s="188" t="n">
        <v>0</v>
      </c>
      <c r="AD491" s="188" t="inlineStr"/>
    </row>
    <row r="492">
      <c r="A492" s="188" t="inlineStr">
        <is>
          <t>CVE</t>
        </is>
      </c>
      <c r="B492" s="188" t="inlineStr">
        <is>
          <t>CVE-2026-27585</t>
        </is>
      </c>
      <c r="C492" s="188"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492" s="188" t="n">
        <v>6.5</v>
      </c>
      <c r="E492" s="188" t="inlineStr">
        <is>
          <t>MEDIUM</t>
        </is>
      </c>
      <c r="F492" s="188" t="n">
        <v>2</v>
      </c>
      <c r="G492" s="188" t="n">
        <v>2</v>
      </c>
      <c r="H492" s="188" t="inlineStr">
        <is>
          <t>MEDIUM</t>
        </is>
      </c>
      <c r="I492" s="188" t="n">
        <v>10.5</v>
      </c>
      <c r="J492" s="188" t="inlineStr">
        <is>
          <t>NO</t>
        </is>
      </c>
      <c r="K492" s="188" t="inlineStr">
        <is>
          <t>https://nvd.nist.gov/vuln/detail/CVE-2026-27585</t>
        </is>
      </c>
      <c r="L492" s="188" t="inlineStr">
        <is>
          <t>2026-02-27 20:47</t>
        </is>
      </c>
      <c r="M492" s="188" t="inlineStr">
        <is>
          <t>YES</t>
        </is>
      </c>
      <c r="N492" s="188" t="inlineStr">
        <is>
          <t>https://github.com/caddyserver/caddy/security/advisories/GHSA-4xrr-hq4w-6vf4</t>
        </is>
      </c>
      <c r="O492" s="188" t="inlineStr">
        <is>
          <t>Apply vendor patches</t>
        </is>
      </c>
      <c r="P492" s="188" t="inlineStr">
        <is>
          <t>caddyserver caddy *</t>
        </is>
      </c>
      <c r="Q492" s="188" t="inlineStr">
        <is>
          <t>P4</t>
        </is>
      </c>
      <c r="R492" s="188" t="inlineStr">
        <is>
          <t>📅 Schedule patch deployment within 30 days | 🔍 Monitor for exploitation attempts</t>
        </is>
      </c>
      <c r="S492" s="188" t="inlineStr">
        <is>
          <t>CVE - IP enrichment n/a</t>
        </is>
      </c>
      <c r="T492" s="188" t="n">
        <v>0.0005999999999999999</v>
      </c>
      <c r="U492" s="188" t="n">
        <v>0.187</v>
      </c>
      <c r="V492" s="188" t="inlineStr">
        <is>
          <t>T1190:Exploit Public-Facing Application</t>
        </is>
      </c>
      <c r="W492" s="188" t="n">
        <v>1</v>
      </c>
      <c r="X492" s="188" t="inlineStr">
        <is>
          <t>LOW (40%)</t>
        </is>
      </c>
      <c r="Y492" s="188" t="inlineStr">
        <is>
          <t>UNLIKELY</t>
        </is>
      </c>
      <c r="Z492" s="188" t="inlineStr">
        <is>
          <t>PATCH_AVAILABLE</t>
        </is>
      </c>
      <c r="AA492" s="188" t="inlineStr">
        <is>
          <t>https://nvd.nist.gov/vuln/detail/CVE-2026-27585</t>
        </is>
      </c>
      <c r="AB492" s="188" t="inlineStr">
        <is>
          <t>NONE</t>
        </is>
      </c>
      <c r="AC492" s="188" t="n">
        <v>0</v>
      </c>
      <c r="AD492" s="188" t="inlineStr"/>
    </row>
    <row r="493">
      <c r="A493" s="189" t="inlineStr">
        <is>
          <t>CVE</t>
        </is>
      </c>
      <c r="B493" s="189" t="inlineStr">
        <is>
          <t>CVE-2026-27586</t>
        </is>
      </c>
      <c r="C493" s="189"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493" s="189" t="n">
        <v>9.1</v>
      </c>
      <c r="E493" s="189" t="inlineStr">
        <is>
          <t>CRITICAL</t>
        </is>
      </c>
      <c r="F493" s="189" t="n">
        <v>2</v>
      </c>
      <c r="G493" s="189" t="n">
        <v>3</v>
      </c>
      <c r="H493" s="189" t="inlineStr">
        <is>
          <t>HIGH</t>
        </is>
      </c>
      <c r="I493" s="189" t="n">
        <v>15.1</v>
      </c>
      <c r="J493" s="189" t="inlineStr">
        <is>
          <t>NO</t>
        </is>
      </c>
      <c r="K493" s="189" t="inlineStr">
        <is>
          <t>https://nvd.nist.gov/vuln/detail/CVE-2026-27586</t>
        </is>
      </c>
      <c r="L493" s="189" t="inlineStr">
        <is>
          <t>2026-02-27 20:47</t>
        </is>
      </c>
      <c r="M493" s="189" t="inlineStr">
        <is>
          <t>YES</t>
        </is>
      </c>
      <c r="N493" s="189" t="inlineStr">
        <is>
          <t>https://github.com/caddyserver/caddy/security/advisories/GHSA-hffm-g8v7-wrv7</t>
        </is>
      </c>
      <c r="O493" s="189" t="inlineStr">
        <is>
          <t>Apply vendor patches</t>
        </is>
      </c>
      <c r="P493" s="189" t="inlineStr">
        <is>
          <t>caddyserver caddy *</t>
        </is>
      </c>
      <c r="Q493" s="189" t="inlineStr">
        <is>
          <t>P3</t>
        </is>
      </c>
      <c r="R493" s="189" t="inlineStr">
        <is>
          <t>🚨 URGENT: Apply vendor patches immediately | 🔒 Isolate affected systems if patch unavailable | 🛡️ Enable additional monitoring/IDS rules</t>
        </is>
      </c>
      <c r="S493" s="189" t="inlineStr">
        <is>
          <t>CVE - IP enrichment n/a</t>
        </is>
      </c>
      <c r="T493" s="189" t="n">
        <v>0.0008</v>
      </c>
      <c r="U493" s="189" t="n">
        <v>0.2297</v>
      </c>
      <c r="V493" s="189" t="inlineStr">
        <is>
          <t>T1190:Exploit Public-Facing Application</t>
        </is>
      </c>
      <c r="W493" s="189" t="n">
        <v>1</v>
      </c>
      <c r="X493" s="189" t="inlineStr">
        <is>
          <t>LOW (40%)</t>
        </is>
      </c>
      <c r="Y493" s="189" t="inlineStr">
        <is>
          <t>UNLIKELY</t>
        </is>
      </c>
      <c r="Z493" s="189" t="inlineStr">
        <is>
          <t>PATCH_AVAILABLE</t>
        </is>
      </c>
      <c r="AA493" s="189" t="inlineStr">
        <is>
          <t>https://nvd.nist.gov/vuln/detail/CVE-2026-27586</t>
        </is>
      </c>
      <c r="AB493" s="189" t="inlineStr">
        <is>
          <t>NONE</t>
        </is>
      </c>
      <c r="AC493" s="189" t="n">
        <v>0</v>
      </c>
      <c r="AD493" s="189" t="inlineStr"/>
    </row>
    <row r="494">
      <c r="A494" s="189" t="inlineStr">
        <is>
          <t>CVE</t>
        </is>
      </c>
      <c r="B494" s="189" t="inlineStr">
        <is>
          <t>CVE-2026-27587</t>
        </is>
      </c>
      <c r="C494" s="189"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494" s="189" t="n">
        <v>9.1</v>
      </c>
      <c r="E494" s="189" t="inlineStr">
        <is>
          <t>CRITICAL</t>
        </is>
      </c>
      <c r="F494" s="189" t="n">
        <v>2</v>
      </c>
      <c r="G494" s="189" t="n">
        <v>3</v>
      </c>
      <c r="H494" s="189" t="inlineStr">
        <is>
          <t>HIGH</t>
        </is>
      </c>
      <c r="I494" s="189" t="n">
        <v>15.1</v>
      </c>
      <c r="J494" s="189" t="inlineStr">
        <is>
          <t>NO</t>
        </is>
      </c>
      <c r="K494" s="189" t="inlineStr">
        <is>
          <t>https://nvd.nist.gov/vuln/detail/CVE-2026-27587</t>
        </is>
      </c>
      <c r="L494" s="189" t="inlineStr">
        <is>
          <t>2026-02-27 20:47</t>
        </is>
      </c>
      <c r="M494" s="189" t="inlineStr">
        <is>
          <t>YES</t>
        </is>
      </c>
      <c r="N494" s="189" t="inlineStr">
        <is>
          <t>https://github.com/caddyserver/caddy/security/advisories/GHSA-g7pc-pc7g-h8jh</t>
        </is>
      </c>
      <c r="O494" s="189" t="inlineStr">
        <is>
          <t>Apply vendor patches</t>
        </is>
      </c>
      <c r="P494" s="189" t="inlineStr">
        <is>
          <t>caddyserver caddy *</t>
        </is>
      </c>
      <c r="Q494" s="189" t="inlineStr">
        <is>
          <t>P3</t>
        </is>
      </c>
      <c r="R494" s="189" t="inlineStr">
        <is>
          <t>🚨 URGENT: Apply vendor patches immediately | 🔒 Isolate affected systems if patch unavailable | 🛡️ Enable additional monitoring/IDS rules</t>
        </is>
      </c>
      <c r="S494" s="189" t="inlineStr">
        <is>
          <t>CVE - IP enrichment n/a</t>
        </is>
      </c>
      <c r="T494" s="189" t="n">
        <v>0.0003</v>
      </c>
      <c r="U494" s="189" t="n">
        <v>0.0859</v>
      </c>
      <c r="V494" s="189" t="inlineStr">
        <is>
          <t>T1190:Exploit Public-Facing Application</t>
        </is>
      </c>
      <c r="W494" s="189" t="n">
        <v>1</v>
      </c>
      <c r="X494" s="189" t="inlineStr">
        <is>
          <t>LOW (40%)</t>
        </is>
      </c>
      <c r="Y494" s="189" t="inlineStr">
        <is>
          <t>UNLIKELY</t>
        </is>
      </c>
      <c r="Z494" s="189" t="inlineStr">
        <is>
          <t>PATCH_AVAILABLE</t>
        </is>
      </c>
      <c r="AA494" s="189" t="inlineStr">
        <is>
          <t>https://nvd.nist.gov/vuln/detail/CVE-2026-27587</t>
        </is>
      </c>
      <c r="AB494" s="189" t="inlineStr">
        <is>
          <t>NONE</t>
        </is>
      </c>
      <c r="AC494" s="189" t="n">
        <v>0</v>
      </c>
      <c r="AD494" s="189" t="inlineStr"/>
    </row>
    <row r="495">
      <c r="A495" s="189" t="inlineStr">
        <is>
          <t>CVE</t>
        </is>
      </c>
      <c r="B495" s="189" t="inlineStr">
        <is>
          <t>CVE-2026-27588</t>
        </is>
      </c>
      <c r="C495" s="189"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495" s="189" t="n">
        <v>9.1</v>
      </c>
      <c r="E495" s="189" t="inlineStr">
        <is>
          <t>CRITICAL</t>
        </is>
      </c>
      <c r="F495" s="189" t="n">
        <v>2</v>
      </c>
      <c r="G495" s="189" t="n">
        <v>3</v>
      </c>
      <c r="H495" s="189" t="inlineStr">
        <is>
          <t>HIGH</t>
        </is>
      </c>
      <c r="I495" s="189" t="n">
        <v>15.1</v>
      </c>
      <c r="J495" s="189" t="inlineStr">
        <is>
          <t>NO</t>
        </is>
      </c>
      <c r="K495" s="189" t="inlineStr">
        <is>
          <t>https://nvd.nist.gov/vuln/detail/CVE-2026-27588</t>
        </is>
      </c>
      <c r="L495" s="189" t="inlineStr">
        <is>
          <t>2026-02-27 20:47</t>
        </is>
      </c>
      <c r="M495" s="189" t="inlineStr">
        <is>
          <t>YES</t>
        </is>
      </c>
      <c r="N495" s="189" t="inlineStr">
        <is>
          <t>https://github.com/caddyserver/caddy/security/advisories/GHSA-x76f-jf84-rqj8</t>
        </is>
      </c>
      <c r="O495" s="189" t="inlineStr">
        <is>
          <t>Apply vendor patches</t>
        </is>
      </c>
      <c r="P495" s="189" t="inlineStr">
        <is>
          <t>caddyserver caddy *</t>
        </is>
      </c>
      <c r="Q495" s="189" t="inlineStr">
        <is>
          <t>P3</t>
        </is>
      </c>
      <c r="R495" s="189" t="inlineStr">
        <is>
          <t>🚨 URGENT: Apply vendor patches immediately | 🔒 Isolate affected systems if patch unavailable | 🛡️ Enable additional monitoring/IDS rules</t>
        </is>
      </c>
      <c r="S495" s="189" t="inlineStr">
        <is>
          <t>CVE - IP enrichment n/a</t>
        </is>
      </c>
      <c r="T495" s="189" t="n">
        <v>0.0003</v>
      </c>
      <c r="U495" s="189" t="n">
        <v>0.0859</v>
      </c>
      <c r="V495" s="189" t="inlineStr">
        <is>
          <t>T1190:Exploit Public-Facing Application</t>
        </is>
      </c>
      <c r="W495" s="189" t="n">
        <v>1</v>
      </c>
      <c r="X495" s="189" t="inlineStr">
        <is>
          <t>LOW (40%)</t>
        </is>
      </c>
      <c r="Y495" s="189" t="inlineStr">
        <is>
          <t>UNLIKELY</t>
        </is>
      </c>
      <c r="Z495" s="189" t="inlineStr">
        <is>
          <t>PATCH_AVAILABLE</t>
        </is>
      </c>
      <c r="AA495" s="189" t="inlineStr">
        <is>
          <t>https://nvd.nist.gov/vuln/detail/CVE-2026-27588</t>
        </is>
      </c>
      <c r="AB495" s="189" t="inlineStr">
        <is>
          <t>NONE</t>
        </is>
      </c>
      <c r="AC495" s="189" t="n">
        <v>0</v>
      </c>
      <c r="AD495" s="189" t="inlineStr"/>
    </row>
    <row r="496">
      <c r="A496" s="188" t="inlineStr">
        <is>
          <t>CVE</t>
        </is>
      </c>
      <c r="B496" s="188" t="inlineStr">
        <is>
          <t>CVE-2026-27589</t>
        </is>
      </c>
      <c r="C496" s="188"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496" s="188" t="n">
        <v>6.5</v>
      </c>
      <c r="E496" s="188" t="inlineStr">
        <is>
          <t>MEDIUM</t>
        </is>
      </c>
      <c r="F496" s="188" t="n">
        <v>2</v>
      </c>
      <c r="G496" s="188" t="n">
        <v>2</v>
      </c>
      <c r="H496" s="188" t="inlineStr">
        <is>
          <t>MEDIUM</t>
        </is>
      </c>
      <c r="I496" s="188" t="n">
        <v>10.5</v>
      </c>
      <c r="J496" s="188" t="inlineStr">
        <is>
          <t>NO</t>
        </is>
      </c>
      <c r="K496" s="188" t="inlineStr">
        <is>
          <t>https://nvd.nist.gov/vuln/detail/CVE-2026-27589</t>
        </is>
      </c>
      <c r="L496" s="188" t="inlineStr">
        <is>
          <t>2026-02-27 20:47</t>
        </is>
      </c>
      <c r="M496" s="188" t="inlineStr">
        <is>
          <t>YES</t>
        </is>
      </c>
      <c r="N496" s="188" t="inlineStr">
        <is>
          <t>https://github.com/caddyserver/caddy/security/advisories/GHSA-879p-475x-rqh2</t>
        </is>
      </c>
      <c r="O496" s="188" t="inlineStr">
        <is>
          <t>https://github.com/caddyserver/caddy/security/advisories/GHSA-879p-475x-rqh2</t>
        </is>
      </c>
      <c r="P496" s="188" t="inlineStr">
        <is>
          <t>caddyserver caddy *</t>
        </is>
      </c>
      <c r="Q496" s="188" t="inlineStr">
        <is>
          <t>P4</t>
        </is>
      </c>
      <c r="R496" s="188" t="inlineStr">
        <is>
          <t>📅 Schedule patch deployment within 30 days | 🔍 Monitor for exploitation attempts</t>
        </is>
      </c>
      <c r="S496" s="188" t="inlineStr">
        <is>
          <t>CVE - IP enrichment n/a</t>
        </is>
      </c>
      <c r="T496" s="188" t="n">
        <v>0.0002</v>
      </c>
      <c r="U496" s="188" t="n">
        <v>0.0402</v>
      </c>
      <c r="V496" s="188" t="inlineStr">
        <is>
          <t>T1185:Browser Session Hijacking | T1190:Exploit Public-Facing Application</t>
        </is>
      </c>
      <c r="W496" s="188" t="n">
        <v>1</v>
      </c>
      <c r="X496" s="188" t="inlineStr">
        <is>
          <t>LOW (40%)</t>
        </is>
      </c>
      <c r="Y496" s="188" t="inlineStr">
        <is>
          <t>UNLIKELY</t>
        </is>
      </c>
      <c r="Z496" s="188" t="inlineStr">
        <is>
          <t>PATCH_AVAILABLE</t>
        </is>
      </c>
      <c r="AA496" s="188" t="inlineStr">
        <is>
          <t>https://nvd.nist.gov/vuln/detail/CVE-2026-27589</t>
        </is>
      </c>
      <c r="AB496" s="188" t="inlineStr">
        <is>
          <t>NONE</t>
        </is>
      </c>
      <c r="AC496" s="188" t="n">
        <v>0</v>
      </c>
      <c r="AD496" s="188" t="inlineStr"/>
    </row>
    <row r="497">
      <c r="A497" s="189" t="inlineStr">
        <is>
          <t>CVE</t>
        </is>
      </c>
      <c r="B497" s="189" t="inlineStr">
        <is>
          <t>CVE-2026-27590</t>
        </is>
      </c>
      <c r="C497" s="189"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497" s="189" t="n">
        <v>9.800000000000001</v>
      </c>
      <c r="E497" s="189" t="inlineStr">
        <is>
          <t>CRITICAL</t>
        </is>
      </c>
      <c r="F497" s="189" t="n">
        <v>2</v>
      </c>
      <c r="G497" s="189" t="n">
        <v>3</v>
      </c>
      <c r="H497" s="189" t="inlineStr">
        <is>
          <t>HIGH</t>
        </is>
      </c>
      <c r="I497" s="189" t="n">
        <v>15.8</v>
      </c>
      <c r="J497" s="189" t="inlineStr">
        <is>
          <t>NO</t>
        </is>
      </c>
      <c r="K497" s="189" t="inlineStr">
        <is>
          <t>https://nvd.nist.gov/vuln/detail/CVE-2026-27590</t>
        </is>
      </c>
      <c r="L497" s="189" t="inlineStr">
        <is>
          <t>2026-02-27 20:47</t>
        </is>
      </c>
      <c r="M497" s="189" t="inlineStr">
        <is>
          <t>YES</t>
        </is>
      </c>
      <c r="N497" s="189" t="inlineStr">
        <is>
          <t>https://github.com/caddyserver/caddy/security/advisories/GHSA-5r3v-vc8m-m96g</t>
        </is>
      </c>
      <c r="O497" s="189" t="inlineStr">
        <is>
          <t>Apply vendor patches</t>
        </is>
      </c>
      <c r="P497" s="189" t="inlineStr">
        <is>
          <t>caddyserver caddy *</t>
        </is>
      </c>
      <c r="Q497" s="189" t="inlineStr">
        <is>
          <t>P3</t>
        </is>
      </c>
      <c r="R497" s="189" t="inlineStr">
        <is>
          <t>🚨 URGENT: Apply vendor patches immediately | 🔒 Isolate affected systems if patch unavailable | 🛡️ Enable additional monitoring/IDS rules</t>
        </is>
      </c>
      <c r="S497" s="189" t="inlineStr">
        <is>
          <t>CVE - IP enrichment n/a</t>
        </is>
      </c>
      <c r="T497" s="189" t="n">
        <v>0.0012</v>
      </c>
      <c r="U497" s="189" t="n">
        <v>0.3108</v>
      </c>
      <c r="V497" s="189" t="inlineStr">
        <is>
          <t>T1190:Exploit Public-Facing Application</t>
        </is>
      </c>
      <c r="W497" s="189" t="n">
        <v>1</v>
      </c>
      <c r="X497" s="189" t="inlineStr">
        <is>
          <t>LOW (40%)</t>
        </is>
      </c>
      <c r="Y497" s="189" t="inlineStr">
        <is>
          <t>UNLIKELY</t>
        </is>
      </c>
      <c r="Z497" s="189" t="inlineStr">
        <is>
          <t>PATCH_AVAILABLE</t>
        </is>
      </c>
      <c r="AA497" s="189" t="inlineStr">
        <is>
          <t>https://nvd.nist.gov/vuln/detail/CVE-2026-27590</t>
        </is>
      </c>
      <c r="AB497" s="189" t="inlineStr">
        <is>
          <t>NONE</t>
        </is>
      </c>
      <c r="AC497" s="189" t="n">
        <v>0</v>
      </c>
      <c r="AD497" s="189" t="inlineStr"/>
    </row>
    <row r="498">
      <c r="A498" s="187" t="inlineStr">
        <is>
          <t>CVE</t>
        </is>
      </c>
      <c r="B498" s="187" t="inlineStr">
        <is>
          <t>CVE-2025-14963</t>
        </is>
      </c>
      <c r="C498" s="187"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498" s="187" t="n">
        <v>7.8</v>
      </c>
      <c r="E498" s="187" t="inlineStr">
        <is>
          <t>HIGH</t>
        </is>
      </c>
      <c r="F498" s="187" t="n">
        <v>2</v>
      </c>
      <c r="G498" s="187" t="n">
        <v>3</v>
      </c>
      <c r="H498" s="187" t="inlineStr">
        <is>
          <t>HIGH</t>
        </is>
      </c>
      <c r="I498" s="187" t="n">
        <v>13.8</v>
      </c>
      <c r="J498" s="187" t="inlineStr">
        <is>
          <t>NO</t>
        </is>
      </c>
      <c r="K498" s="187" t="inlineStr">
        <is>
          <t>https://nvd.nist.gov/vuln/detail/CVE-2025-14963</t>
        </is>
      </c>
      <c r="L498" s="187" t="inlineStr">
        <is>
          <t>2026-02-27 20:47</t>
        </is>
      </c>
      <c r="M498" s="187" t="inlineStr">
        <is>
          <t>CHECK_VENDOR</t>
        </is>
      </c>
      <c r="N498" s="187" t="inlineStr">
        <is>
          <t>See NVD references</t>
        </is>
      </c>
      <c r="O498" s="187" t="inlineStr">
        <is>
          <t>Apply vendor patches</t>
        </is>
      </c>
      <c r="P498" s="187" t="inlineStr">
        <is>
          <t>trellix endpoint_security 36.30.0-17 | trellix endpoint_security 35.31.0-37 | trellix endpoint_security *</t>
        </is>
      </c>
      <c r="Q498" s="187" t="inlineStr">
        <is>
          <t>P3</t>
        </is>
      </c>
      <c r="R498" s="187" t="inlineStr">
        <is>
          <t>🚨 URGENT: Apply vendor patches immediately | 🔒 Isolate affected systems if patch unavailable | 🛡️ Enable additional monitoring/IDS rules</t>
        </is>
      </c>
      <c r="S498" s="187" t="inlineStr">
        <is>
          <t>CVE - IP enrichment n/a</t>
        </is>
      </c>
      <c r="T498" s="187" t="n">
        <v>0.0002</v>
      </c>
      <c r="U498" s="187" t="n">
        <v>0.0405</v>
      </c>
      <c r="V498" s="187" t="inlineStr">
        <is>
          <t>T1190:Exploit Public-Facing Application</t>
        </is>
      </c>
      <c r="W498" s="187" t="n">
        <v>1</v>
      </c>
      <c r="X498" s="187" t="inlineStr">
        <is>
          <t>LOW (40%)</t>
        </is>
      </c>
      <c r="Y498" s="187" t="inlineStr">
        <is>
          <t>UNLIKELY</t>
        </is>
      </c>
      <c r="Z498" s="187" t="inlineStr">
        <is>
          <t>CHECK_VENDOR</t>
        </is>
      </c>
      <c r="AA498" s="187" t="inlineStr">
        <is>
          <t>https://nvd.nist.gov/vuln/detail/CVE-2025-14963</t>
        </is>
      </c>
      <c r="AB498" s="187" t="inlineStr">
        <is>
          <t>NONE</t>
        </is>
      </c>
      <c r="AC498" s="187" t="n">
        <v>0</v>
      </c>
      <c r="AD498" s="187" t="inlineStr"/>
    </row>
    <row r="499">
      <c r="A499" s="188" t="inlineStr">
        <is>
          <t>CVE</t>
        </is>
      </c>
      <c r="B499" s="188" t="inlineStr">
        <is>
          <t>CVE-2025-62512</t>
        </is>
      </c>
      <c r="C499" s="188"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499" s="188" t="n">
        <v>5.3</v>
      </c>
      <c r="E499" s="188" t="inlineStr">
        <is>
          <t>MEDIUM</t>
        </is>
      </c>
      <c r="F499" s="188" t="n">
        <v>2</v>
      </c>
      <c r="G499" s="188" t="n">
        <v>2</v>
      </c>
      <c r="H499" s="188" t="inlineStr">
        <is>
          <t>MEDIUM</t>
        </is>
      </c>
      <c r="I499" s="188" t="n">
        <v>9.300000000000001</v>
      </c>
      <c r="J499" s="188" t="inlineStr">
        <is>
          <t>NO</t>
        </is>
      </c>
      <c r="K499" s="188" t="inlineStr">
        <is>
          <t>https://nvd.nist.gov/vuln/detail/CVE-2025-62512</t>
        </is>
      </c>
      <c r="L499" s="188" t="inlineStr">
        <is>
          <t>2026-02-27 20:47</t>
        </is>
      </c>
      <c r="M499" s="188" t="inlineStr">
        <is>
          <t>YES</t>
        </is>
      </c>
      <c r="N499" s="188" t="inlineStr">
        <is>
          <t>https://github.com/Piwigo/Piwigo/security/advisories/GHSA-h4wx-7m83-xfxc</t>
        </is>
      </c>
      <c r="O499" s="188" t="inlineStr">
        <is>
          <t>https://github.com/Piwigo/Piwigo/security/advisories/GHSA-h4wx-7m83-xfxc</t>
        </is>
      </c>
      <c r="P499" s="188" t="inlineStr">
        <is>
          <t>piwigo piwigo *</t>
        </is>
      </c>
      <c r="Q499" s="188" t="inlineStr">
        <is>
          <t>P4</t>
        </is>
      </c>
      <c r="R499" s="188" t="inlineStr">
        <is>
          <t>📅 Schedule patch deployment within 30 days | 🔍 Monitor for exploitation attempts</t>
        </is>
      </c>
      <c r="S499" s="188" t="inlineStr">
        <is>
          <t>CVE - IP enrichment n/a</t>
        </is>
      </c>
      <c r="T499" s="188" t="n">
        <v>0.0005</v>
      </c>
      <c r="U499" s="188" t="n">
        <v>0.1473</v>
      </c>
      <c r="V499" s="188" t="inlineStr">
        <is>
          <t>T1190:Exploit Public-Facing Application</t>
        </is>
      </c>
      <c r="W499" s="188" t="n">
        <v>1</v>
      </c>
      <c r="X499" s="188" t="inlineStr">
        <is>
          <t>LOW (40%)</t>
        </is>
      </c>
      <c r="Y499" s="188" t="inlineStr">
        <is>
          <t>UNLIKELY</t>
        </is>
      </c>
      <c r="Z499" s="188" t="inlineStr">
        <is>
          <t>PATCH_AVAILABLE</t>
        </is>
      </c>
      <c r="AA499" s="188" t="inlineStr">
        <is>
          <t>https://nvd.nist.gov/vuln/detail/CVE-2025-62512</t>
        </is>
      </c>
      <c r="AB499" s="188" t="inlineStr">
        <is>
          <t>NONE</t>
        </is>
      </c>
      <c r="AC499" s="188" t="n">
        <v>0</v>
      </c>
      <c r="AD499" s="188" t="inlineStr"/>
    </row>
    <row r="500">
      <c r="A500" s="188" t="inlineStr">
        <is>
          <t>CVE</t>
        </is>
      </c>
      <c r="B500" s="188" t="inlineStr">
        <is>
          <t>CVE-2026-25603</t>
        </is>
      </c>
      <c r="C500" s="188"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500" s="188" t="n">
        <v>6.6</v>
      </c>
      <c r="E500" s="188" t="inlineStr">
        <is>
          <t>MEDIUM</t>
        </is>
      </c>
      <c r="F500" s="188" t="n">
        <v>2</v>
      </c>
      <c r="G500" s="188" t="n">
        <v>2</v>
      </c>
      <c r="H500" s="188" t="inlineStr">
        <is>
          <t>MEDIUM</t>
        </is>
      </c>
      <c r="I500" s="188" t="n">
        <v>10.6</v>
      </c>
      <c r="J500" s="188" t="inlineStr">
        <is>
          <t>NO</t>
        </is>
      </c>
      <c r="K500" s="188" t="inlineStr">
        <is>
          <t>https://nvd.nist.gov/vuln/detail/CVE-2026-25603</t>
        </is>
      </c>
      <c r="L500" s="188" t="inlineStr">
        <is>
          <t>2026-02-27 20:47</t>
        </is>
      </c>
      <c r="M500" s="188" t="inlineStr">
        <is>
          <t>CHECK_VENDOR</t>
        </is>
      </c>
      <c r="N500" s="188" t="inlineStr">
        <is>
          <t>See NVD references</t>
        </is>
      </c>
      <c r="O500" s="188" t="inlineStr">
        <is>
          <t>Apply vendor patches</t>
        </is>
      </c>
      <c r="P500" s="188" t="inlineStr">
        <is>
          <t>linksys mx4200 - | linksys mr9600 - | linksys mr9600_firmware 1.0.4.205530</t>
        </is>
      </c>
      <c r="Q500" s="188" t="inlineStr">
        <is>
          <t>P4</t>
        </is>
      </c>
      <c r="R500" s="188" t="inlineStr">
        <is>
          <t>📅 Schedule patch deployment within 30 days | 🔍 Monitor for exploitation attempts</t>
        </is>
      </c>
      <c r="S500" s="188" t="inlineStr">
        <is>
          <t>CVE - IP enrichment n/a</t>
        </is>
      </c>
      <c r="T500" s="188" t="n">
        <v>0.0002</v>
      </c>
      <c r="U500" s="188" t="n">
        <v>0.0454</v>
      </c>
      <c r="V500" s="188" t="inlineStr">
        <is>
          <t>T1083:File and Directory Discovery</t>
        </is>
      </c>
      <c r="W500" s="188" t="n">
        <v>1</v>
      </c>
      <c r="X500" s="188" t="inlineStr">
        <is>
          <t>LOW (40%)</t>
        </is>
      </c>
      <c r="Y500" s="188" t="inlineStr">
        <is>
          <t>UNLIKELY</t>
        </is>
      </c>
      <c r="Z500" s="188" t="inlineStr">
        <is>
          <t>CHECK_VENDOR</t>
        </is>
      </c>
      <c r="AA500" s="188" t="inlineStr">
        <is>
          <t>https://nvd.nist.gov/vuln/detail/CVE-2026-25603</t>
        </is>
      </c>
      <c r="AB500" s="188" t="inlineStr">
        <is>
          <t>NONE</t>
        </is>
      </c>
      <c r="AC500" s="188" t="n">
        <v>0</v>
      </c>
      <c r="AD500" s="188" t="inlineStr"/>
    </row>
    <row r="501">
      <c r="A501" s="187" t="inlineStr">
        <is>
          <t>CVE</t>
        </is>
      </c>
      <c r="B501" s="187" t="inlineStr">
        <is>
          <t>CVE-2026-26222</t>
        </is>
      </c>
      <c r="C501" s="187"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501" s="187" t="n">
        <v>8.5</v>
      </c>
      <c r="E501" s="187" t="inlineStr">
        <is>
          <t>HIGH</t>
        </is>
      </c>
      <c r="F501" s="187" t="n">
        <v>2</v>
      </c>
      <c r="G501" s="187" t="n">
        <v>3</v>
      </c>
      <c r="H501" s="187" t="inlineStr">
        <is>
          <t>HIGH</t>
        </is>
      </c>
      <c r="I501" s="187" t="n">
        <v>14.5</v>
      </c>
      <c r="J501" s="187" t="inlineStr">
        <is>
          <t>NO</t>
        </is>
      </c>
      <c r="K501" s="187" t="inlineStr">
        <is>
          <t>https://nvd.nist.gov/vuln/detail/CVE-2026-26222</t>
        </is>
      </c>
      <c r="L501" s="187" t="inlineStr">
        <is>
          <t>2026-02-27 20:47</t>
        </is>
      </c>
      <c r="M501" s="187" t="inlineStr">
        <is>
          <t>CHECK_VENDOR</t>
        </is>
      </c>
      <c r="N501" s="187" t="inlineStr">
        <is>
          <t>See NVD references</t>
        </is>
      </c>
      <c r="O501" s="187" t="inlineStr">
        <is>
          <t>Apply vendor patches</t>
        </is>
      </c>
      <c r="P501" s="187" t="inlineStr">
        <is>
          <t>See CVE details</t>
        </is>
      </c>
      <c r="Q501" s="187" t="inlineStr">
        <is>
          <t>P3</t>
        </is>
      </c>
      <c r="R501" s="187" t="inlineStr">
        <is>
          <t>🚨 URGENT: Apply vendor patches immediately | 🔒 Isolate affected systems if patch unavailable | 🛡️ Enable additional monitoring/IDS rules</t>
        </is>
      </c>
      <c r="S501" s="187" t="inlineStr">
        <is>
          <t>CVE - IP enrichment n/a</t>
        </is>
      </c>
      <c r="T501" s="187" t="n">
        <v>0.0064</v>
      </c>
      <c r="U501" s="187" t="n">
        <v>0.7028</v>
      </c>
      <c r="V501" s="187" t="inlineStr">
        <is>
          <t>T1059:Command and Scripting Interpreter | T1190:Exploit Public-Facing Application | T1210:Exploitation of Remote Services</t>
        </is>
      </c>
      <c r="W501" s="187" t="n">
        <v>1</v>
      </c>
      <c r="X501" s="187" t="inlineStr">
        <is>
          <t>LOW (40%)</t>
        </is>
      </c>
      <c r="Y501" s="187" t="inlineStr">
        <is>
          <t>UNLIKELY</t>
        </is>
      </c>
      <c r="Z501" s="187" t="inlineStr">
        <is>
          <t>CHECK_VENDOR</t>
        </is>
      </c>
      <c r="AA501" s="187" t="inlineStr">
        <is>
          <t>https://nvd.nist.gov/vuln/detail/CVE-2026-26222</t>
        </is>
      </c>
      <c r="AB501" s="187" t="inlineStr">
        <is>
          <t>NONE</t>
        </is>
      </c>
      <c r="AC501" s="187" t="n">
        <v>0</v>
      </c>
      <c r="AD501" s="187" t="inlineStr"/>
    </row>
    <row r="502">
      <c r="A502" s="188" t="inlineStr">
        <is>
          <t>CVE</t>
        </is>
      </c>
      <c r="B502" s="188" t="inlineStr">
        <is>
          <t>CVE-2026-27156</t>
        </is>
      </c>
      <c r="C502" s="188"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502" s="188" t="n">
        <v>6.1</v>
      </c>
      <c r="E502" s="188" t="inlineStr">
        <is>
          <t>MEDIUM</t>
        </is>
      </c>
      <c r="F502" s="188" t="n">
        <v>2</v>
      </c>
      <c r="G502" s="188" t="n">
        <v>2</v>
      </c>
      <c r="H502" s="188" t="inlineStr">
        <is>
          <t>MEDIUM</t>
        </is>
      </c>
      <c r="I502" s="188" t="n">
        <v>10.1</v>
      </c>
      <c r="J502" s="188" t="inlineStr">
        <is>
          <t>NO</t>
        </is>
      </c>
      <c r="K502" s="188" t="inlineStr">
        <is>
          <t>https://nvd.nist.gov/vuln/detail/CVE-2026-27156</t>
        </is>
      </c>
      <c r="L502" s="188" t="inlineStr">
        <is>
          <t>2026-02-27 20:47</t>
        </is>
      </c>
      <c r="M502" s="188" t="inlineStr">
        <is>
          <t>YES</t>
        </is>
      </c>
      <c r="N502" s="188" t="inlineStr">
        <is>
          <t>https://github.com/zauberzeug/nicegui/commit/1861f59cc374ca0dc9d970b157ef3774720f8dbf | https://github.com/zauberzeug/nicegui/security/advisories/GHSA-78qv-3mpx-9cqq</t>
        </is>
      </c>
      <c r="O502" s="188" t="inlineStr">
        <is>
          <t>https://github.com/zauberzeug/nicegui/security/advisories/GHSA-78qv-3mpx-9cqq</t>
        </is>
      </c>
      <c r="P502" s="188" t="inlineStr">
        <is>
          <t>zauberzeug nicegui *</t>
        </is>
      </c>
      <c r="Q502" s="188" t="inlineStr">
        <is>
          <t>P4</t>
        </is>
      </c>
      <c r="R502" s="188" t="inlineStr">
        <is>
          <t>📅 Schedule patch deployment within 30 days | 🔍 Monitor for exploitation attempts</t>
        </is>
      </c>
      <c r="S502" s="188" t="inlineStr">
        <is>
          <t>CVE - IP enrichment n/a</t>
        </is>
      </c>
      <c r="T502" s="188" t="n">
        <v>0.0003</v>
      </c>
      <c r="U502" s="188" t="n">
        <v>0.0989</v>
      </c>
      <c r="V502" s="188" t="inlineStr">
        <is>
          <t>T1189:Drive-by Compromise</t>
        </is>
      </c>
      <c r="W502" s="188" t="n">
        <v>1</v>
      </c>
      <c r="X502" s="188" t="inlineStr">
        <is>
          <t>LOW (40%)</t>
        </is>
      </c>
      <c r="Y502" s="188" t="inlineStr">
        <is>
          <t>UNLIKELY</t>
        </is>
      </c>
      <c r="Z502" s="188" t="inlineStr">
        <is>
          <t>PATCH_AVAILABLE</t>
        </is>
      </c>
      <c r="AA502" s="188" t="inlineStr">
        <is>
          <t>https://nvd.nist.gov/vuln/detail/CVE-2026-27156</t>
        </is>
      </c>
      <c r="AB502" s="188" t="inlineStr">
        <is>
          <t>NONE</t>
        </is>
      </c>
      <c r="AC502" s="188" t="n">
        <v>0</v>
      </c>
      <c r="AD502" s="188" t="inlineStr"/>
    </row>
    <row r="503">
      <c r="A503" s="187" t="inlineStr">
        <is>
          <t>CVE</t>
        </is>
      </c>
      <c r="B503" s="187" t="inlineStr">
        <is>
          <t>CVE-2026-27468</t>
        </is>
      </c>
      <c r="C503" s="187"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503" s="187" t="n">
        <v>8.199999999999999</v>
      </c>
      <c r="E503" s="187" t="inlineStr">
        <is>
          <t>HIGH</t>
        </is>
      </c>
      <c r="F503" s="187" t="n">
        <v>2</v>
      </c>
      <c r="G503" s="187" t="n">
        <v>3</v>
      </c>
      <c r="H503" s="187" t="inlineStr">
        <is>
          <t>HIGH</t>
        </is>
      </c>
      <c r="I503" s="187" t="n">
        <v>14.2</v>
      </c>
      <c r="J503" s="187" t="inlineStr">
        <is>
          <t>NO</t>
        </is>
      </c>
      <c r="K503" s="187" t="inlineStr">
        <is>
          <t>https://nvd.nist.gov/vuln/detail/CVE-2026-27468</t>
        </is>
      </c>
      <c r="L503" s="187" t="inlineStr">
        <is>
          <t>2026-02-27 20:47</t>
        </is>
      </c>
      <c r="M503" s="187" t="inlineStr">
        <is>
          <t>YES</t>
        </is>
      </c>
      <c r="N503" s="187" t="inlineStr">
        <is>
          <t>https://github.com/mastodon/mastodon/commit/6ba6285a73c3a8b281123814d45f534e3bcebb96 | https://github.com/mastodon/mastodon/security/advisories/GHSA-qgmm-vr4c-ggjg</t>
        </is>
      </c>
      <c r="O503" s="187" t="inlineStr">
        <is>
          <t>Apply vendor patches</t>
        </is>
      </c>
      <c r="P503" s="187" t="inlineStr">
        <is>
          <t>joinmastodon mastodon *</t>
        </is>
      </c>
      <c r="Q503" s="187" t="inlineStr">
        <is>
          <t>P3</t>
        </is>
      </c>
      <c r="R503" s="187" t="inlineStr">
        <is>
          <t>🚨 URGENT: Apply vendor patches immediately | 🔒 Isolate affected systems if patch unavailable | 🛡️ Enable additional monitoring/IDS rules</t>
        </is>
      </c>
      <c r="S503" s="187" t="inlineStr">
        <is>
          <t>CVE - IP enrichment n/a</t>
        </is>
      </c>
      <c r="T503" s="187" t="n">
        <v>0.0004</v>
      </c>
      <c r="U503" s="187" t="n">
        <v>0.1236</v>
      </c>
      <c r="V503" s="187" t="inlineStr">
        <is>
          <t>T1190:Exploit Public-Facing Application</t>
        </is>
      </c>
      <c r="W503" s="187" t="n">
        <v>1</v>
      </c>
      <c r="X503" s="187" t="inlineStr">
        <is>
          <t>LOW (40%)</t>
        </is>
      </c>
      <c r="Y503" s="187" t="inlineStr">
        <is>
          <t>UNLIKELY</t>
        </is>
      </c>
      <c r="Z503" s="187" t="inlineStr">
        <is>
          <t>PATCH_AVAILABLE</t>
        </is>
      </c>
      <c r="AA503" s="187" t="inlineStr">
        <is>
          <t>https://nvd.nist.gov/vuln/detail/CVE-2026-27468</t>
        </is>
      </c>
      <c r="AB503" s="187" t="inlineStr">
        <is>
          <t>NONE</t>
        </is>
      </c>
      <c r="AC503" s="187" t="n">
        <v>0</v>
      </c>
      <c r="AD503" s="187" t="inlineStr"/>
    </row>
    <row r="504">
      <c r="A504" s="188" t="inlineStr">
        <is>
          <t>CVE</t>
        </is>
      </c>
      <c r="B504" s="188" t="inlineStr">
        <is>
          <t>CVE-2025-1787</t>
        </is>
      </c>
      <c r="C504" s="188"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504" s="188" t="n">
        <v>4.2</v>
      </c>
      <c r="E504" s="188" t="inlineStr">
        <is>
          <t>MEDIUM</t>
        </is>
      </c>
      <c r="F504" s="188" t="n">
        <v>2</v>
      </c>
      <c r="G504" s="188" t="n">
        <v>2</v>
      </c>
      <c r="H504" s="188" t="inlineStr">
        <is>
          <t>MEDIUM</t>
        </is>
      </c>
      <c r="I504" s="188" t="n">
        <v>8.199999999999999</v>
      </c>
      <c r="J504" s="188" t="inlineStr">
        <is>
          <t>NO</t>
        </is>
      </c>
      <c r="K504" s="188" t="inlineStr">
        <is>
          <t>https://nvd.nist.gov/vuln/detail/CVE-2025-1787</t>
        </is>
      </c>
      <c r="L504" s="188" t="inlineStr">
        <is>
          <t>2026-02-27 20:47</t>
        </is>
      </c>
      <c r="M504" s="188" t="inlineStr">
        <is>
          <t>YES</t>
        </is>
      </c>
      <c r="N504" s="188" t="inlineStr">
        <is>
          <t>https://techdocs.genetec.com/r/en-US/Security-Updates-for-GenetecTM-Update-Service-2.10/Resolved-vulnerabilities-in-Genetec-Update-Service-2.10</t>
        </is>
      </c>
      <c r="O504" s="188" t="inlineStr">
        <is>
          <t>Apply vendor patches</t>
        </is>
      </c>
      <c r="P504" s="188" t="inlineStr">
        <is>
          <t>genetec genetec_update_service *</t>
        </is>
      </c>
      <c r="Q504" s="188" t="inlineStr">
        <is>
          <t>P4</t>
        </is>
      </c>
      <c r="R504" s="188" t="inlineStr">
        <is>
          <t>📅 Schedule patch deployment within 30 days | 🔍 Monitor for exploitation attempts</t>
        </is>
      </c>
      <c r="S504" s="188" t="inlineStr">
        <is>
          <t>CVE - IP enrichment n/a</t>
        </is>
      </c>
      <c r="T504" s="188" t="n">
        <v>0.0001</v>
      </c>
      <c r="U504" s="188" t="n">
        <v>0.0053</v>
      </c>
      <c r="V504" s="188" t="inlineStr">
        <is>
          <t>T1068:Exploitation for Privilege Escalation</t>
        </is>
      </c>
      <c r="W504" s="188" t="n">
        <v>1</v>
      </c>
      <c r="X504" s="188" t="inlineStr">
        <is>
          <t>LOW (40%)</t>
        </is>
      </c>
      <c r="Y504" s="188" t="inlineStr">
        <is>
          <t>UNLIKELY</t>
        </is>
      </c>
      <c r="Z504" s="188" t="inlineStr">
        <is>
          <t>PATCH_AVAILABLE</t>
        </is>
      </c>
      <c r="AA504" s="188" t="inlineStr">
        <is>
          <t>https://nvd.nist.gov/vuln/detail/CVE-2025-1787</t>
        </is>
      </c>
      <c r="AB504" s="188" t="inlineStr">
        <is>
          <t>NONE</t>
        </is>
      </c>
      <c r="AC504" s="188" t="n">
        <v>0</v>
      </c>
      <c r="AD504" s="188" t="inlineStr"/>
    </row>
    <row r="505">
      <c r="A505" s="187" t="inlineStr">
        <is>
          <t>CVE</t>
        </is>
      </c>
      <c r="B505" s="187" t="inlineStr">
        <is>
          <t>CVE-2025-1789</t>
        </is>
      </c>
      <c r="C505" s="187" t="inlineStr">
        <is>
          <t>Local privilege escalation in Genetec Update Service. An authenticated, low-privileged, Windows user could exploit this vulnerability to gain elevated privileges on the affected system.</t>
        </is>
      </c>
      <c r="D505" s="187" t="n">
        <v>7.8</v>
      </c>
      <c r="E505" s="187" t="inlineStr">
        <is>
          <t>HIGH</t>
        </is>
      </c>
      <c r="F505" s="187" t="n">
        <v>2</v>
      </c>
      <c r="G505" s="187" t="n">
        <v>3</v>
      </c>
      <c r="H505" s="187" t="inlineStr">
        <is>
          <t>HIGH</t>
        </is>
      </c>
      <c r="I505" s="187" t="n">
        <v>13.8</v>
      </c>
      <c r="J505" s="187" t="inlineStr">
        <is>
          <t>NO</t>
        </is>
      </c>
      <c r="K505" s="187" t="inlineStr">
        <is>
          <t>https://nvd.nist.gov/vuln/detail/CVE-2025-1789</t>
        </is>
      </c>
      <c r="L505" s="187" t="inlineStr">
        <is>
          <t>2026-02-27 20:47</t>
        </is>
      </c>
      <c r="M505" s="187" t="inlineStr">
        <is>
          <t>YES</t>
        </is>
      </c>
      <c r="N505" s="187" t="inlineStr">
        <is>
          <t>https://techdocs.genetec.com/r/en-US/Security-Updates-for-GenetecTM-Update-Service-2.10/Resolved-vulnerabilities-in-Genetec-Update-Service-2.10</t>
        </is>
      </c>
      <c r="O505" s="187" t="inlineStr">
        <is>
          <t>Apply vendor patches</t>
        </is>
      </c>
      <c r="P505" s="187" t="inlineStr">
        <is>
          <t>genetec genetec_update_service *</t>
        </is>
      </c>
      <c r="Q505" s="187" t="inlineStr">
        <is>
          <t>P3</t>
        </is>
      </c>
      <c r="R505" s="187" t="inlineStr">
        <is>
          <t>🚨 URGENT: Apply vendor patches immediately | 🔒 Isolate affected systems if patch unavailable | 🛡️ Enable additional monitoring/IDS rules</t>
        </is>
      </c>
      <c r="S505" s="187" t="inlineStr">
        <is>
          <t>CVE - IP enrichment n/a</t>
        </is>
      </c>
      <c r="T505" s="187" t="n">
        <v>0.0001</v>
      </c>
      <c r="U505" s="187" t="n">
        <v>0.0134</v>
      </c>
      <c r="V505" s="187" t="inlineStr">
        <is>
          <t>T1222:File and Directory Permissions Modification | T1068:Exploitation for Privilege Escalation</t>
        </is>
      </c>
      <c r="W505" s="187" t="n">
        <v>1</v>
      </c>
      <c r="X505" s="187" t="inlineStr">
        <is>
          <t>LOW (40%)</t>
        </is>
      </c>
      <c r="Y505" s="187" t="inlineStr">
        <is>
          <t>UNLIKELY</t>
        </is>
      </c>
      <c r="Z505" s="187" t="inlineStr">
        <is>
          <t>PATCH_AVAILABLE</t>
        </is>
      </c>
      <c r="AA505" s="187" t="inlineStr">
        <is>
          <t>https://nvd.nist.gov/vuln/detail/CVE-2025-1789</t>
        </is>
      </c>
      <c r="AB505" s="187" t="inlineStr">
        <is>
          <t>NONE</t>
        </is>
      </c>
      <c r="AC505" s="187" t="n">
        <v>0</v>
      </c>
      <c r="AD505" s="187" t="inlineStr"/>
    </row>
    <row r="506">
      <c r="A506" s="187" t="inlineStr">
        <is>
          <t>CVE</t>
        </is>
      </c>
      <c r="B506" s="187" t="inlineStr">
        <is>
          <t>CVE-2025-33179</t>
        </is>
      </c>
      <c r="C506" s="187" t="inlineStr">
        <is>
          <t>NVIDIA Cumulus Linux and NVOS products contain a vulnerability in the NVUE interface, where a low-privileged user could run an unauthorized command. A successful exploit of this vulnerability might lead to escalation of privileges.</t>
        </is>
      </c>
      <c r="D506" s="187" t="n">
        <v>8</v>
      </c>
      <c r="E506" s="187" t="inlineStr">
        <is>
          <t>HIGH</t>
        </is>
      </c>
      <c r="F506" s="187" t="n">
        <v>2</v>
      </c>
      <c r="G506" s="187" t="n">
        <v>3</v>
      </c>
      <c r="H506" s="187" t="inlineStr">
        <is>
          <t>HIGH</t>
        </is>
      </c>
      <c r="I506" s="187" t="n">
        <v>14</v>
      </c>
      <c r="J506" s="187" t="inlineStr">
        <is>
          <t>NO</t>
        </is>
      </c>
      <c r="K506" s="187" t="inlineStr">
        <is>
          <t>https://nvd.nist.gov/vuln/detail/CVE-2025-33179</t>
        </is>
      </c>
      <c r="L506" s="187" t="inlineStr">
        <is>
          <t>2026-02-27 20:47</t>
        </is>
      </c>
      <c r="M506" s="187" t="inlineStr">
        <is>
          <t>CHECK_VENDOR</t>
        </is>
      </c>
      <c r="N506" s="187" t="inlineStr">
        <is>
          <t>See NVD references</t>
        </is>
      </c>
      <c r="O506" s="187" t="inlineStr">
        <is>
          <t>Apply vendor patches</t>
        </is>
      </c>
      <c r="P506" s="187" t="inlineStr">
        <is>
          <t>See CVE details</t>
        </is>
      </c>
      <c r="Q506" s="187" t="inlineStr">
        <is>
          <t>P3</t>
        </is>
      </c>
      <c r="R506" s="187" t="inlineStr">
        <is>
          <t>🚨 URGENT: Apply vendor patches immediately | 🔒 Isolate affected systems if patch unavailable | 🛡️ Enable additional monitoring/IDS rules</t>
        </is>
      </c>
      <c r="S506" s="187" t="inlineStr">
        <is>
          <t>CVE - IP enrichment n/a</t>
        </is>
      </c>
      <c r="T506" s="187" t="n">
        <v>0.0002</v>
      </c>
      <c r="U506" s="187" t="n">
        <v>0.0452</v>
      </c>
      <c r="V506" s="187" t="inlineStr">
        <is>
          <t>T1190:Exploit Public-Facing Application</t>
        </is>
      </c>
      <c r="W506" s="187" t="n">
        <v>1</v>
      </c>
      <c r="X506" s="187" t="inlineStr">
        <is>
          <t>LOW (40%)</t>
        </is>
      </c>
      <c r="Y506" s="187" t="inlineStr">
        <is>
          <t>UNLIKELY</t>
        </is>
      </c>
      <c r="Z506" s="187" t="inlineStr">
        <is>
          <t>CHECK_VENDOR</t>
        </is>
      </c>
      <c r="AA506" s="187" t="inlineStr">
        <is>
          <t>https://nvd.nist.gov/vuln/detail/CVE-2025-33179</t>
        </is>
      </c>
      <c r="AB506" s="187" t="inlineStr">
        <is>
          <t>NONE</t>
        </is>
      </c>
      <c r="AC506" s="187" t="n">
        <v>0</v>
      </c>
      <c r="AD506" s="187" t="inlineStr"/>
    </row>
    <row r="507">
      <c r="A507" s="187" t="inlineStr">
        <is>
          <t>CVE</t>
        </is>
      </c>
      <c r="B507" s="187" t="inlineStr">
        <is>
          <t>CVE-2025-33180</t>
        </is>
      </c>
      <c r="C507" s="187" t="inlineStr">
        <is>
          <t>NVIDIA Cumulus Linux and NVOS products contain a vulnerability in the NVUE interface, where a low-privileged user could inject a command. A successful exploit of this vulnerability might lead to escalation of privileges.</t>
        </is>
      </c>
      <c r="D507" s="187" t="n">
        <v>8</v>
      </c>
      <c r="E507" s="187" t="inlineStr">
        <is>
          <t>HIGH</t>
        </is>
      </c>
      <c r="F507" s="187" t="n">
        <v>2</v>
      </c>
      <c r="G507" s="187" t="n">
        <v>3</v>
      </c>
      <c r="H507" s="187" t="inlineStr">
        <is>
          <t>HIGH</t>
        </is>
      </c>
      <c r="I507" s="187" t="n">
        <v>14</v>
      </c>
      <c r="J507" s="187" t="inlineStr">
        <is>
          <t>NO</t>
        </is>
      </c>
      <c r="K507" s="187" t="inlineStr">
        <is>
          <t>https://nvd.nist.gov/vuln/detail/CVE-2025-33180</t>
        </is>
      </c>
      <c r="L507" s="187" t="inlineStr">
        <is>
          <t>2026-02-27 20:47</t>
        </is>
      </c>
      <c r="M507" s="187" t="inlineStr">
        <is>
          <t>CHECK_VENDOR</t>
        </is>
      </c>
      <c r="N507" s="187" t="inlineStr">
        <is>
          <t>See NVD references</t>
        </is>
      </c>
      <c r="O507" s="187" t="inlineStr">
        <is>
          <t>Apply vendor patches</t>
        </is>
      </c>
      <c r="P507" s="187" t="inlineStr">
        <is>
          <t>See CVE details</t>
        </is>
      </c>
      <c r="Q507" s="187" t="inlineStr">
        <is>
          <t>P3</t>
        </is>
      </c>
      <c r="R507" s="187" t="inlineStr">
        <is>
          <t>🚨 URGENT: Apply vendor patches immediately | 🔒 Isolate affected systems if patch unavailable | 🛡️ Enable additional monitoring/IDS rules</t>
        </is>
      </c>
      <c r="S507" s="187" t="inlineStr">
        <is>
          <t>CVE - IP enrichment n/a</t>
        </is>
      </c>
      <c r="T507" s="187" t="n">
        <v>0.0003</v>
      </c>
      <c r="U507" s="187" t="n">
        <v>0.08749999999999999</v>
      </c>
      <c r="V507" s="187" t="inlineStr">
        <is>
          <t>T1059:Command and Scripting Interpreter</t>
        </is>
      </c>
      <c r="W507" s="187" t="n">
        <v>1</v>
      </c>
      <c r="X507" s="187" t="inlineStr">
        <is>
          <t>LOW (40%)</t>
        </is>
      </c>
      <c r="Y507" s="187" t="inlineStr">
        <is>
          <t>UNLIKELY</t>
        </is>
      </c>
      <c r="Z507" s="187" t="inlineStr">
        <is>
          <t>CHECK_VENDOR</t>
        </is>
      </c>
      <c r="AA507" s="187" t="inlineStr">
        <is>
          <t>https://nvd.nist.gov/vuln/detail/CVE-2025-33180</t>
        </is>
      </c>
      <c r="AB507" s="187" t="inlineStr">
        <is>
          <t>NONE</t>
        </is>
      </c>
      <c r="AC507" s="187" t="n">
        <v>0</v>
      </c>
      <c r="AD507" s="187" t="inlineStr"/>
    </row>
    <row r="508">
      <c r="A508" s="187" t="inlineStr">
        <is>
          <t>CVE</t>
        </is>
      </c>
      <c r="B508" s="187" t="inlineStr">
        <is>
          <t>CVE-2025-33181</t>
        </is>
      </c>
      <c r="C508" s="187" t="inlineStr">
        <is>
          <t>NVIDIA Cumulus Linux and NVOS products contain a vulnerability in the NVUE interface, where a low-privileged user could inject a command. A successful exploit of this vulnerability might lead to escalation of privileges.</t>
        </is>
      </c>
      <c r="D508" s="187" t="n">
        <v>7.3</v>
      </c>
      <c r="E508" s="187" t="inlineStr">
        <is>
          <t>HIGH</t>
        </is>
      </c>
      <c r="F508" s="187" t="n">
        <v>2</v>
      </c>
      <c r="G508" s="187" t="n">
        <v>3</v>
      </c>
      <c r="H508" s="187" t="inlineStr">
        <is>
          <t>HIGH</t>
        </is>
      </c>
      <c r="I508" s="187" t="n">
        <v>13.3</v>
      </c>
      <c r="J508" s="187" t="inlineStr">
        <is>
          <t>NO</t>
        </is>
      </c>
      <c r="K508" s="187" t="inlineStr">
        <is>
          <t>https://nvd.nist.gov/vuln/detail/CVE-2025-33181</t>
        </is>
      </c>
      <c r="L508" s="187" t="inlineStr">
        <is>
          <t>2026-02-27 20:47</t>
        </is>
      </c>
      <c r="M508" s="187" t="inlineStr">
        <is>
          <t>CHECK_VENDOR</t>
        </is>
      </c>
      <c r="N508" s="187" t="inlineStr">
        <is>
          <t>See NVD references</t>
        </is>
      </c>
      <c r="O508" s="187" t="inlineStr">
        <is>
          <t>Apply vendor patches</t>
        </is>
      </c>
      <c r="P508" s="187" t="inlineStr">
        <is>
          <t>See CVE details</t>
        </is>
      </c>
      <c r="Q508" s="187" t="inlineStr">
        <is>
          <t>P3</t>
        </is>
      </c>
      <c r="R508" s="187" t="inlineStr">
        <is>
          <t>🚨 URGENT: Apply vendor patches immediately | 🔒 Isolate affected systems if patch unavailable | 🛡️ Enable additional monitoring/IDS rules</t>
        </is>
      </c>
      <c r="S508" s="187" t="inlineStr">
        <is>
          <t>CVE - IP enrichment n/a</t>
        </is>
      </c>
      <c r="T508" s="187" t="n">
        <v>0.0001</v>
      </c>
      <c r="U508" s="187" t="n">
        <v>0.008</v>
      </c>
      <c r="V508" s="187" t="inlineStr">
        <is>
          <t>T1059:Command and Scripting Interpreter</t>
        </is>
      </c>
      <c r="W508" s="187" t="n">
        <v>1</v>
      </c>
      <c r="X508" s="187" t="inlineStr">
        <is>
          <t>LOW (40%)</t>
        </is>
      </c>
      <c r="Y508" s="187" t="inlineStr">
        <is>
          <t>UNLIKELY</t>
        </is>
      </c>
      <c r="Z508" s="187" t="inlineStr">
        <is>
          <t>CHECK_VENDOR</t>
        </is>
      </c>
      <c r="AA508" s="187" t="inlineStr">
        <is>
          <t>https://nvd.nist.gov/vuln/detail/CVE-2025-33181</t>
        </is>
      </c>
      <c r="AB508" s="187" t="inlineStr">
        <is>
          <t>NONE</t>
        </is>
      </c>
      <c r="AC508" s="187" t="n">
        <v>0</v>
      </c>
      <c r="AD508" s="187" t="inlineStr"/>
    </row>
    <row r="509">
      <c r="A509" s="188" t="inlineStr">
        <is>
          <t>CVE</t>
        </is>
      </c>
      <c r="B509" s="188" t="inlineStr">
        <is>
          <t>CVE-2026-1768</t>
        </is>
      </c>
      <c r="C509" s="188" t="inlineStr">
        <is>
          <t>A permission cache poisoning vulnerability in Devolutions Server allows authenticated users to bypass permissions to access entries.This issue affects Devolutions Server: before 2025.3.15.</t>
        </is>
      </c>
      <c r="D509" s="188" t="n">
        <v>4.3</v>
      </c>
      <c r="E509" s="188" t="inlineStr">
        <is>
          <t>MEDIUM</t>
        </is>
      </c>
      <c r="F509" s="188" t="n">
        <v>2</v>
      </c>
      <c r="G509" s="188" t="n">
        <v>2</v>
      </c>
      <c r="H509" s="188" t="inlineStr">
        <is>
          <t>MEDIUM</t>
        </is>
      </c>
      <c r="I509" s="188" t="n">
        <v>8.300000000000001</v>
      </c>
      <c r="J509" s="188" t="inlineStr">
        <is>
          <t>NO</t>
        </is>
      </c>
      <c r="K509" s="188" t="inlineStr">
        <is>
          <t>https://nvd.nist.gov/vuln/detail/CVE-2026-1768</t>
        </is>
      </c>
      <c r="L509" s="188" t="inlineStr">
        <is>
          <t>2026-02-27 20:47</t>
        </is>
      </c>
      <c r="M509" s="188" t="inlineStr">
        <is>
          <t>YES</t>
        </is>
      </c>
      <c r="N509" s="188" t="inlineStr">
        <is>
          <t>https://devolutions.net/security/advisories/DEVO-2026-0004/</t>
        </is>
      </c>
      <c r="O509" s="188" t="inlineStr">
        <is>
          <t>Apply vendor patches</t>
        </is>
      </c>
      <c r="P509" s="188" t="inlineStr">
        <is>
          <t>devolutions devolutions_server *</t>
        </is>
      </c>
      <c r="Q509" s="188" t="inlineStr">
        <is>
          <t>P4</t>
        </is>
      </c>
      <c r="R509" s="188" t="inlineStr">
        <is>
          <t>📅 Schedule patch deployment within 30 days | 🔍 Monitor for exploitation attempts</t>
        </is>
      </c>
      <c r="S509" s="188" t="inlineStr">
        <is>
          <t>CVE - IP enrichment n/a</t>
        </is>
      </c>
      <c r="T509" s="188" t="n">
        <v>0.0002</v>
      </c>
      <c r="U509" s="188" t="n">
        <v>0.0549</v>
      </c>
      <c r="V509" s="188" t="inlineStr">
        <is>
          <t>T1190:Exploit Public-Facing Application</t>
        </is>
      </c>
      <c r="W509" s="188" t="n">
        <v>1</v>
      </c>
      <c r="X509" s="188" t="inlineStr">
        <is>
          <t>LOW (40%)</t>
        </is>
      </c>
      <c r="Y509" s="188" t="inlineStr">
        <is>
          <t>UNLIKELY</t>
        </is>
      </c>
      <c r="Z509" s="188" t="inlineStr">
        <is>
          <t>PATCH_AVAILABLE</t>
        </is>
      </c>
      <c r="AA509" s="188" t="inlineStr">
        <is>
          <t>https://nvd.nist.gov/vuln/detail/CVE-2026-1768</t>
        </is>
      </c>
      <c r="AB509" s="188" t="inlineStr">
        <is>
          <t>NONE</t>
        </is>
      </c>
      <c r="AC509" s="188" t="n">
        <v>0</v>
      </c>
      <c r="AD509" s="188" t="inlineStr"/>
    </row>
    <row r="510">
      <c r="A510" s="187" t="inlineStr">
        <is>
          <t>CVE</t>
        </is>
      </c>
      <c r="B510" s="187" t="inlineStr">
        <is>
          <t>CVE-2026-22765</t>
        </is>
      </c>
      <c r="C510" s="187" t="inlineStr">
        <is>
          <t>Dell Wyse Management Suite, versions prior to WMS 5.5, contain a Missing Authorization vulnerability. A low privileged attacker with remote access could potentially exploit this vulnerability, leading to Elevation of Privileges.</t>
        </is>
      </c>
      <c r="D510" s="187" t="n">
        <v>8.800000000000001</v>
      </c>
      <c r="E510" s="187" t="inlineStr">
        <is>
          <t>HIGH</t>
        </is>
      </c>
      <c r="F510" s="187" t="n">
        <v>2</v>
      </c>
      <c r="G510" s="187" t="n">
        <v>3</v>
      </c>
      <c r="H510" s="187" t="inlineStr">
        <is>
          <t>HIGH</t>
        </is>
      </c>
      <c r="I510" s="187" t="n">
        <v>14.8</v>
      </c>
      <c r="J510" s="187" t="inlineStr">
        <is>
          <t>NO</t>
        </is>
      </c>
      <c r="K510" s="187" t="inlineStr">
        <is>
          <t>https://nvd.nist.gov/vuln/detail/CVE-2026-22765</t>
        </is>
      </c>
      <c r="L510" s="187" t="inlineStr">
        <is>
          <t>2026-02-27 20:47</t>
        </is>
      </c>
      <c r="M510" s="187" t="inlineStr">
        <is>
          <t>YES</t>
        </is>
      </c>
      <c r="N510" s="187" t="inlineStr">
        <is>
          <t>https://www.dell.com/support/kbdoc/en-us/000429141/dsa-2026-103</t>
        </is>
      </c>
      <c r="O510" s="187" t="inlineStr">
        <is>
          <t>Apply vendor patches</t>
        </is>
      </c>
      <c r="P510" s="187" t="inlineStr">
        <is>
          <t>dell wyse_management_suite *</t>
        </is>
      </c>
      <c r="Q510" s="187" t="inlineStr">
        <is>
          <t>P3</t>
        </is>
      </c>
      <c r="R510" s="187" t="inlineStr">
        <is>
          <t>🚨 URGENT: Apply vendor patches immediately | 🔒 Isolate affected systems if patch unavailable | 🛡️ Enable additional monitoring/IDS rules</t>
        </is>
      </c>
      <c r="S510" s="187" t="inlineStr">
        <is>
          <t>CVE - IP enrichment n/a</t>
        </is>
      </c>
      <c r="T510" s="187" t="n">
        <v>0.0004</v>
      </c>
      <c r="U510" s="187" t="n">
        <v>0.1235</v>
      </c>
      <c r="V510" s="187" t="inlineStr">
        <is>
          <t>T1190:Exploit Public-Facing Application</t>
        </is>
      </c>
      <c r="W510" s="187" t="n">
        <v>1</v>
      </c>
      <c r="X510" s="187" t="inlineStr">
        <is>
          <t>LOW (40%)</t>
        </is>
      </c>
      <c r="Y510" s="187" t="inlineStr">
        <is>
          <t>UNLIKELY</t>
        </is>
      </c>
      <c r="Z510" s="187" t="inlineStr">
        <is>
          <t>PATCH_AVAILABLE</t>
        </is>
      </c>
      <c r="AA510" s="187" t="inlineStr">
        <is>
          <t>https://nvd.nist.gov/vuln/detail/CVE-2026-22765</t>
        </is>
      </c>
      <c r="AB510" s="187" t="inlineStr">
        <is>
          <t>NONE</t>
        </is>
      </c>
      <c r="AC510" s="187" t="n">
        <v>0</v>
      </c>
      <c r="AD510" s="187" t="inlineStr"/>
    </row>
    <row r="511">
      <c r="A511" s="187" t="inlineStr">
        <is>
          <t>CVE</t>
        </is>
      </c>
      <c r="B511" s="187" t="inlineStr">
        <is>
          <t>CVE-2026-22766</t>
        </is>
      </c>
      <c r="C511" s="187" t="inlineStr">
        <is>
          <t>Dell Wyse Management Suite, versions prior to WMS 5.5, contain an Unrestricted Upload of File with Dangerous Type vulnerability. A high privileged attacker with remote access could potentially exploit this vulnerability, leading to Remote execution.</t>
        </is>
      </c>
      <c r="D511" s="187" t="n">
        <v>7.2</v>
      </c>
      <c r="E511" s="187" t="inlineStr">
        <is>
          <t>HIGH</t>
        </is>
      </c>
      <c r="F511" s="187" t="n">
        <v>2</v>
      </c>
      <c r="G511" s="187" t="n">
        <v>3</v>
      </c>
      <c r="H511" s="187" t="inlineStr">
        <is>
          <t>HIGH</t>
        </is>
      </c>
      <c r="I511" s="187" t="n">
        <v>13.2</v>
      </c>
      <c r="J511" s="187" t="inlineStr">
        <is>
          <t>NO</t>
        </is>
      </c>
      <c r="K511" s="187" t="inlineStr">
        <is>
          <t>https://nvd.nist.gov/vuln/detail/CVE-2026-22766</t>
        </is>
      </c>
      <c r="L511" s="187" t="inlineStr">
        <is>
          <t>2026-02-27 20:47</t>
        </is>
      </c>
      <c r="M511" s="187" t="inlineStr">
        <is>
          <t>YES</t>
        </is>
      </c>
      <c r="N511" s="187" t="inlineStr">
        <is>
          <t>https://www.dell.com/support/kbdoc/en-us/000429141/dsa-2026-103</t>
        </is>
      </c>
      <c r="O511" s="187" t="inlineStr">
        <is>
          <t>Apply vendor patches</t>
        </is>
      </c>
      <c r="P511" s="187" t="inlineStr">
        <is>
          <t>dell wyse_management_suite *</t>
        </is>
      </c>
      <c r="Q511" s="187" t="inlineStr">
        <is>
          <t>P3</t>
        </is>
      </c>
      <c r="R511" s="187" t="inlineStr">
        <is>
          <t>🚨 URGENT: Apply vendor patches immediately | 🔒 Isolate affected systems if patch unavailable | 🛡️ Enable additional monitoring/IDS rules</t>
        </is>
      </c>
      <c r="S511" s="187" t="inlineStr">
        <is>
          <t>CVE - IP enrichment n/a</t>
        </is>
      </c>
      <c r="T511" s="187" t="n">
        <v>0.0021</v>
      </c>
      <c r="U511" s="187" t="n">
        <v>0.434</v>
      </c>
      <c r="V511" s="187" t="inlineStr">
        <is>
          <t>T1190:Exploit Public-Facing Application</t>
        </is>
      </c>
      <c r="W511" s="187" t="n">
        <v>1</v>
      </c>
      <c r="X511" s="187" t="inlineStr">
        <is>
          <t>LOW (40%)</t>
        </is>
      </c>
      <c r="Y511" s="187" t="inlineStr">
        <is>
          <t>UNLIKELY</t>
        </is>
      </c>
      <c r="Z511" s="187" t="inlineStr">
        <is>
          <t>PATCH_AVAILABLE</t>
        </is>
      </c>
      <c r="AA511" s="187" t="inlineStr">
        <is>
          <t>https://nvd.nist.gov/vuln/detail/CVE-2026-22766</t>
        </is>
      </c>
      <c r="AB511" s="187" t="inlineStr">
        <is>
          <t>NONE</t>
        </is>
      </c>
      <c r="AC511" s="187" t="n">
        <v>0</v>
      </c>
      <c r="AD511" s="187" t="inlineStr"/>
    </row>
    <row r="512">
      <c r="A512" s="188" t="inlineStr">
        <is>
          <t>CVE</t>
        </is>
      </c>
      <c r="B512" s="188" t="inlineStr">
        <is>
          <t>CVE-2026-23858</t>
        </is>
      </c>
      <c r="C512" s="188"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512" s="188" t="n">
        <v>5.4</v>
      </c>
      <c r="E512" s="188" t="inlineStr">
        <is>
          <t>MEDIUM</t>
        </is>
      </c>
      <c r="F512" s="188" t="n">
        <v>2</v>
      </c>
      <c r="G512" s="188" t="n">
        <v>2</v>
      </c>
      <c r="H512" s="188" t="inlineStr">
        <is>
          <t>MEDIUM</t>
        </is>
      </c>
      <c r="I512" s="188" t="n">
        <v>9.4</v>
      </c>
      <c r="J512" s="188" t="inlineStr">
        <is>
          <t>NO</t>
        </is>
      </c>
      <c r="K512" s="188" t="inlineStr">
        <is>
          <t>https://nvd.nist.gov/vuln/detail/CVE-2026-23858</t>
        </is>
      </c>
      <c r="L512" s="188" t="inlineStr">
        <is>
          <t>2026-02-27 20:47</t>
        </is>
      </c>
      <c r="M512" s="188" t="inlineStr">
        <is>
          <t>YES</t>
        </is>
      </c>
      <c r="N512" s="188" t="inlineStr">
        <is>
          <t>https://www.dell.com/support/kbdoc/en-us/000429141/dsa-2026-103</t>
        </is>
      </c>
      <c r="O512" s="188" t="inlineStr">
        <is>
          <t>Apply vendor patches</t>
        </is>
      </c>
      <c r="P512" s="188" t="inlineStr">
        <is>
          <t>dell wyse_management_suite *</t>
        </is>
      </c>
      <c r="Q512" s="188" t="inlineStr">
        <is>
          <t>P4</t>
        </is>
      </c>
      <c r="R512" s="188" t="inlineStr">
        <is>
          <t>📅 Schedule patch deployment within 30 days | 🔍 Monitor for exploitation attempts</t>
        </is>
      </c>
      <c r="S512" s="188" t="inlineStr">
        <is>
          <t>CVE - IP enrichment n/a</t>
        </is>
      </c>
      <c r="T512" s="188" t="n">
        <v>0.0003</v>
      </c>
      <c r="U512" s="188" t="n">
        <v>0.08169999999999999</v>
      </c>
      <c r="V512" s="188" t="inlineStr">
        <is>
          <t>T1189:Drive-by Compromise</t>
        </is>
      </c>
      <c r="W512" s="188" t="n">
        <v>1</v>
      </c>
      <c r="X512" s="188" t="inlineStr">
        <is>
          <t>LOW (40%)</t>
        </is>
      </c>
      <c r="Y512" s="188" t="inlineStr">
        <is>
          <t>UNLIKELY</t>
        </is>
      </c>
      <c r="Z512" s="188" t="inlineStr">
        <is>
          <t>PATCH_AVAILABLE</t>
        </is>
      </c>
      <c r="AA512" s="188" t="inlineStr">
        <is>
          <t>https://nvd.nist.gov/vuln/detail/CVE-2026-23858</t>
        </is>
      </c>
      <c r="AB512" s="188" t="inlineStr">
        <is>
          <t>NONE</t>
        </is>
      </c>
      <c r="AC512" s="188" t="n">
        <v>0</v>
      </c>
      <c r="AD512" s="188" t="inlineStr"/>
    </row>
    <row r="513">
      <c r="A513" s="190" t="inlineStr">
        <is>
          <t>CVE</t>
        </is>
      </c>
      <c r="B513" s="190" t="inlineStr">
        <is>
          <t>CVE-2026-23859</t>
        </is>
      </c>
      <c r="C513" s="190" t="inlineStr">
        <is>
          <t>Dell Wyse Management Suite, versions prior to WMS 5.5, contain a Client-Side Enforcement of Server-Side Security vulnerability. A high privileged attacker with remote access could potentially exploit this vulnerability to Protection mechanism bypass.</t>
        </is>
      </c>
      <c r="D513" s="190" t="n">
        <v>2.7</v>
      </c>
      <c r="E513" s="190" t="inlineStr">
        <is>
          <t>LOW</t>
        </is>
      </c>
      <c r="F513" s="190" t="n">
        <v>2</v>
      </c>
      <c r="G513" s="190" t="n">
        <v>1</v>
      </c>
      <c r="H513" s="190" t="inlineStr">
        <is>
          <t>LOW</t>
        </is>
      </c>
      <c r="I513" s="190" t="n">
        <v>4.7</v>
      </c>
      <c r="J513" s="190" t="inlineStr">
        <is>
          <t>NO</t>
        </is>
      </c>
      <c r="K513" s="190" t="inlineStr">
        <is>
          <t>https://nvd.nist.gov/vuln/detail/CVE-2026-23859</t>
        </is>
      </c>
      <c r="L513" s="190" t="inlineStr">
        <is>
          <t>2026-02-27 20:47</t>
        </is>
      </c>
      <c r="M513" s="190" t="inlineStr">
        <is>
          <t>YES</t>
        </is>
      </c>
      <c r="N513" s="190" t="inlineStr">
        <is>
          <t>https://www.dell.com/support/kbdoc/en-us/000429141/dsa-2026-103</t>
        </is>
      </c>
      <c r="O513" s="190" t="inlineStr">
        <is>
          <t>Apply vendor patches</t>
        </is>
      </c>
      <c r="P513" s="190" t="inlineStr">
        <is>
          <t>dell wyse_management_suite *</t>
        </is>
      </c>
      <c r="Q513" s="190" t="inlineStr">
        <is>
          <t>P4</t>
        </is>
      </c>
      <c r="R513" s="190" t="inlineStr">
        <is>
          <t>📅 Schedule patch deployment within 30 days | 🔍 Monitor for exploitation attempts</t>
        </is>
      </c>
      <c r="S513" s="190" t="inlineStr">
        <is>
          <t>CVE - IP enrichment n/a</t>
        </is>
      </c>
      <c r="T513" s="190" t="n">
        <v>0.0004</v>
      </c>
      <c r="U513" s="190" t="n">
        <v>0.1052</v>
      </c>
      <c r="V513" s="190" t="inlineStr">
        <is>
          <t>T1190:Exploit Public-Facing Application</t>
        </is>
      </c>
      <c r="W513" s="190" t="n">
        <v>1</v>
      </c>
      <c r="X513" s="190" t="inlineStr">
        <is>
          <t>LOW (40%)</t>
        </is>
      </c>
      <c r="Y513" s="190" t="inlineStr">
        <is>
          <t>UNLIKELY</t>
        </is>
      </c>
      <c r="Z513" s="190" t="inlineStr">
        <is>
          <t>PATCH_AVAILABLE</t>
        </is>
      </c>
      <c r="AA513" s="190" t="inlineStr">
        <is>
          <t>https://nvd.nist.gov/vuln/detail/CVE-2026-23859</t>
        </is>
      </c>
      <c r="AB513" s="190" t="inlineStr">
        <is>
          <t>NONE</t>
        </is>
      </c>
      <c r="AC513" s="190" t="n">
        <v>0</v>
      </c>
      <c r="AD513" s="190" t="inlineStr"/>
    </row>
    <row r="514">
      <c r="A514" s="188" t="inlineStr">
        <is>
          <t>CVE</t>
        </is>
      </c>
      <c r="B514" s="188" t="inlineStr">
        <is>
          <t>CVE-2026-24241</t>
        </is>
      </c>
      <c r="C514" s="188" t="inlineStr">
        <is>
          <t>NVIDIA Delegated Licensing Service for all appliance platforms contains a vulnerability where an attacker could exploit an improper authentication issue. A successful exploit of this vulnerability might lead to information disclosure.</t>
        </is>
      </c>
      <c r="D514" s="188" t="n">
        <v>4.3</v>
      </c>
      <c r="E514" s="188" t="inlineStr">
        <is>
          <t>MEDIUM</t>
        </is>
      </c>
      <c r="F514" s="188" t="n">
        <v>2</v>
      </c>
      <c r="G514" s="188" t="n">
        <v>2</v>
      </c>
      <c r="H514" s="188" t="inlineStr">
        <is>
          <t>MEDIUM</t>
        </is>
      </c>
      <c r="I514" s="188" t="n">
        <v>8.300000000000001</v>
      </c>
      <c r="J514" s="188" t="inlineStr">
        <is>
          <t>NO</t>
        </is>
      </c>
      <c r="K514" s="188" t="inlineStr">
        <is>
          <t>https://nvd.nist.gov/vuln/detail/CVE-2026-24241</t>
        </is>
      </c>
      <c r="L514" s="188" t="inlineStr">
        <is>
          <t>2026-02-27 20:47</t>
        </is>
      </c>
      <c r="M514" s="188" t="inlineStr">
        <is>
          <t>CHECK_VENDOR</t>
        </is>
      </c>
      <c r="N514" s="188" t="inlineStr">
        <is>
          <t>See NVD references</t>
        </is>
      </c>
      <c r="O514" s="188" t="inlineStr">
        <is>
          <t>Apply vendor patches</t>
        </is>
      </c>
      <c r="P514" s="188" t="inlineStr">
        <is>
          <t>See CVE details</t>
        </is>
      </c>
      <c r="Q514" s="188" t="inlineStr">
        <is>
          <t>P4</t>
        </is>
      </c>
      <c r="R514" s="188" t="inlineStr">
        <is>
          <t>📅 Schedule patch deployment within 30 days | 🔍 Monitor for exploitation attempts</t>
        </is>
      </c>
      <c r="S514" s="188" t="inlineStr">
        <is>
          <t>CVE - IP enrichment n/a</t>
        </is>
      </c>
      <c r="T514" s="188" t="n">
        <v>0.0003</v>
      </c>
      <c r="U514" s="188" t="n">
        <v>0.07140000000000001</v>
      </c>
      <c r="V514" s="188" t="inlineStr">
        <is>
          <t>T1078:Valid Accounts | T1110:Brute Force | T1213:Data from Information Repositories</t>
        </is>
      </c>
      <c r="W514" s="188" t="n">
        <v>1</v>
      </c>
      <c r="X514" s="188" t="inlineStr">
        <is>
          <t>LOW (40%)</t>
        </is>
      </c>
      <c r="Y514" s="188" t="inlineStr">
        <is>
          <t>UNLIKELY</t>
        </is>
      </c>
      <c r="Z514" s="188" t="inlineStr">
        <is>
          <t>CHECK_VENDOR</t>
        </is>
      </c>
      <c r="AA514" s="188" t="inlineStr">
        <is>
          <t>https://nvd.nist.gov/vuln/detail/CVE-2026-24241</t>
        </is>
      </c>
      <c r="AB514" s="188" t="inlineStr">
        <is>
          <t>NONE</t>
        </is>
      </c>
      <c r="AC514" s="188" t="n">
        <v>0</v>
      </c>
      <c r="AD514" s="188" t="inlineStr"/>
    </row>
    <row r="515">
      <c r="A515" s="187" t="inlineStr">
        <is>
          <t>CVE</t>
        </is>
      </c>
      <c r="B515" s="187" t="inlineStr">
        <is>
          <t>CVE-2026-26340</t>
        </is>
      </c>
      <c r="C515" s="187"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515" s="187" t="n">
        <v>7.5</v>
      </c>
      <c r="E515" s="187" t="inlineStr">
        <is>
          <t>HIGH</t>
        </is>
      </c>
      <c r="F515" s="187" t="n">
        <v>2</v>
      </c>
      <c r="G515" s="187" t="n">
        <v>3</v>
      </c>
      <c r="H515" s="187" t="inlineStr">
        <is>
          <t>HIGH</t>
        </is>
      </c>
      <c r="I515" s="187" t="n">
        <v>13.5</v>
      </c>
      <c r="J515" s="187" t="inlineStr">
        <is>
          <t>NO</t>
        </is>
      </c>
      <c r="K515" s="187" t="inlineStr">
        <is>
          <t>https://nvd.nist.gov/vuln/detail/CVE-2026-26340</t>
        </is>
      </c>
      <c r="L515" s="187" t="inlineStr">
        <is>
          <t>2026-02-27 20:47</t>
        </is>
      </c>
      <c r="M515" s="187" t="inlineStr">
        <is>
          <t>CHECK_VENDOR</t>
        </is>
      </c>
      <c r="N515" s="187" t="inlineStr">
        <is>
          <t>See NVD references</t>
        </is>
      </c>
      <c r="O515" s="187" t="inlineStr">
        <is>
          <t>Apply vendor patches</t>
        </is>
      </c>
      <c r="P515" s="187" t="inlineStr">
        <is>
          <t>tattile vega11_firmware * | tattile smart\+_speed_firmware * | tattile smart\+_speed -</t>
        </is>
      </c>
      <c r="Q515" s="187" t="inlineStr">
        <is>
          <t>P3</t>
        </is>
      </c>
      <c r="R515" s="187" t="inlineStr">
        <is>
          <t>🚨 URGENT: Apply vendor patches immediately | 🔒 Isolate affected systems if patch unavailable | 🛡️ Enable additional monitoring/IDS rules</t>
        </is>
      </c>
      <c r="S515" s="187" t="inlineStr">
        <is>
          <t>CVE - IP enrichment n/a</t>
        </is>
      </c>
      <c r="T515" s="187" t="n">
        <v>0.0045</v>
      </c>
      <c r="U515" s="187" t="n">
        <v>0.6342</v>
      </c>
      <c r="V515" s="187" t="inlineStr">
        <is>
          <t>T1078:Valid Accounts | T1552:Unsecured Credentials</t>
        </is>
      </c>
      <c r="W515" s="187" t="n">
        <v>1</v>
      </c>
      <c r="X515" s="187" t="inlineStr">
        <is>
          <t>LOW (40%)</t>
        </is>
      </c>
      <c r="Y515" s="187" t="inlineStr">
        <is>
          <t>UNLIKELY</t>
        </is>
      </c>
      <c r="Z515" s="187" t="inlineStr">
        <is>
          <t>CHECK_VENDOR</t>
        </is>
      </c>
      <c r="AA515" s="187" t="inlineStr">
        <is>
          <t>https://nvd.nist.gov/vuln/detail/CVE-2026-26340</t>
        </is>
      </c>
      <c r="AB515" s="187" t="inlineStr">
        <is>
          <t>NONE</t>
        </is>
      </c>
      <c r="AC515" s="187" t="n">
        <v>0</v>
      </c>
      <c r="AD515" s="187" t="inlineStr"/>
    </row>
    <row r="516">
      <c r="A516" s="189" t="inlineStr">
        <is>
          <t>CVE</t>
        </is>
      </c>
      <c r="B516" s="189" t="inlineStr">
        <is>
          <t>CVE-2026-26341</t>
        </is>
      </c>
      <c r="C516" s="189"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516" s="189" t="n">
        <v>9.800000000000001</v>
      </c>
      <c r="E516" s="189" t="inlineStr">
        <is>
          <t>CRITICAL</t>
        </is>
      </c>
      <c r="F516" s="189" t="n">
        <v>2</v>
      </c>
      <c r="G516" s="189" t="n">
        <v>3</v>
      </c>
      <c r="H516" s="189" t="inlineStr">
        <is>
          <t>HIGH</t>
        </is>
      </c>
      <c r="I516" s="189" t="n">
        <v>15.8</v>
      </c>
      <c r="J516" s="189" t="inlineStr">
        <is>
          <t>NO</t>
        </is>
      </c>
      <c r="K516" s="189" t="inlineStr">
        <is>
          <t>https://nvd.nist.gov/vuln/detail/CVE-2026-26341</t>
        </is>
      </c>
      <c r="L516" s="189" t="inlineStr">
        <is>
          <t>2026-02-27 20:47</t>
        </is>
      </c>
      <c r="M516" s="189" t="inlineStr">
        <is>
          <t>CHECK_VENDOR</t>
        </is>
      </c>
      <c r="N516" s="189" t="inlineStr">
        <is>
          <t>See NVD references</t>
        </is>
      </c>
      <c r="O516" s="189" t="inlineStr">
        <is>
          <t>Apply vendor patches</t>
        </is>
      </c>
      <c r="P516" s="189" t="inlineStr">
        <is>
          <t>tattile vega11_firmware * | tattile smart\+_speed_firmware * | tattile smart\+_speed -</t>
        </is>
      </c>
      <c r="Q516" s="189" t="inlineStr">
        <is>
          <t>P3</t>
        </is>
      </c>
      <c r="R516" s="189" t="inlineStr">
        <is>
          <t>🚨 URGENT: Apply vendor patches immediately | 🔒 Isolate affected systems if patch unavailable | 🛡️ Enable additional monitoring/IDS rules</t>
        </is>
      </c>
      <c r="S516" s="189" t="inlineStr">
        <is>
          <t>CVE - IP enrichment n/a</t>
        </is>
      </c>
      <c r="T516" s="189" t="n">
        <v>0.001</v>
      </c>
      <c r="U516" s="189" t="n">
        <v>0.2696</v>
      </c>
      <c r="V516" s="189" t="inlineStr">
        <is>
          <t>T1190:Exploit Public-Facing Application | T1552:Unsecured Credentials</t>
        </is>
      </c>
      <c r="W516" s="189" t="n">
        <v>1</v>
      </c>
      <c r="X516" s="189" t="inlineStr">
        <is>
          <t>LOW (40%)</t>
        </is>
      </c>
      <c r="Y516" s="189" t="inlineStr">
        <is>
          <t>UNLIKELY</t>
        </is>
      </c>
      <c r="Z516" s="189" t="inlineStr">
        <is>
          <t>CHECK_VENDOR</t>
        </is>
      </c>
      <c r="AA516" s="189" t="inlineStr">
        <is>
          <t>https://nvd.nist.gov/vuln/detail/CVE-2026-26341</t>
        </is>
      </c>
      <c r="AB516" s="189" t="inlineStr">
        <is>
          <t>NONE</t>
        </is>
      </c>
      <c r="AC516" s="189" t="n">
        <v>0</v>
      </c>
      <c r="AD516" s="189" t="inlineStr"/>
    </row>
    <row r="517">
      <c r="A517" s="189" t="inlineStr">
        <is>
          <t>CVE</t>
        </is>
      </c>
      <c r="B517" s="189" t="inlineStr">
        <is>
          <t>CVE-2026-26342</t>
        </is>
      </c>
      <c r="C517" s="189"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517" s="189" t="n">
        <v>9.800000000000001</v>
      </c>
      <c r="E517" s="189" t="inlineStr">
        <is>
          <t>CRITICAL</t>
        </is>
      </c>
      <c r="F517" s="189" t="n">
        <v>2</v>
      </c>
      <c r="G517" s="189" t="n">
        <v>3</v>
      </c>
      <c r="H517" s="189" t="inlineStr">
        <is>
          <t>HIGH</t>
        </is>
      </c>
      <c r="I517" s="189" t="n">
        <v>15.8</v>
      </c>
      <c r="J517" s="189" t="inlineStr">
        <is>
          <t>NO</t>
        </is>
      </c>
      <c r="K517" s="189" t="inlineStr">
        <is>
          <t>https://nvd.nist.gov/vuln/detail/CVE-2026-26342</t>
        </is>
      </c>
      <c r="L517" s="189" t="inlineStr">
        <is>
          <t>2026-02-27 20:47</t>
        </is>
      </c>
      <c r="M517" s="189" t="inlineStr">
        <is>
          <t>YES</t>
        </is>
      </c>
      <c r="N517" s="189" t="inlineStr">
        <is>
          <t>https://www.vulncheck.com/advisories/tattile-smart-vega-basic-insufficient-session-token-expiration | https://www.zeroscience.mk/en/vulnerabilities/ZSL-2026-5976.php</t>
        </is>
      </c>
      <c r="O517" s="189" t="inlineStr">
        <is>
          <t>Apply vendor patches</t>
        </is>
      </c>
      <c r="P517" s="189" t="inlineStr">
        <is>
          <t>tattile vega11_firmware * | tattile smart\+_speed_firmware * | tattile smart\+_speed -</t>
        </is>
      </c>
      <c r="Q517" s="189" t="inlineStr">
        <is>
          <t>P3</t>
        </is>
      </c>
      <c r="R517" s="189" t="inlineStr">
        <is>
          <t>🚨 URGENT: Apply vendor patches immediately | 🔒 Isolate affected systems if patch unavailable | 🛡️ Enable additional monitoring/IDS rules</t>
        </is>
      </c>
      <c r="S517" s="189" t="inlineStr">
        <is>
          <t>CVE - IP enrichment n/a</t>
        </is>
      </c>
      <c r="T517" s="189" t="n">
        <v>0.0031</v>
      </c>
      <c r="U517" s="189" t="n">
        <v>0.5337</v>
      </c>
      <c r="V517" s="189" t="inlineStr">
        <is>
          <t>T1190:Exploit Public-Facing Application</t>
        </is>
      </c>
      <c r="W517" s="189" t="n">
        <v>1</v>
      </c>
      <c r="X517" s="189" t="inlineStr">
        <is>
          <t>LOW (40%)</t>
        </is>
      </c>
      <c r="Y517" s="189" t="inlineStr">
        <is>
          <t>UNLIKELY</t>
        </is>
      </c>
      <c r="Z517" s="189" t="inlineStr">
        <is>
          <t>PATCH_AVAILABLE</t>
        </is>
      </c>
      <c r="AA517" s="189" t="inlineStr">
        <is>
          <t>https://nvd.nist.gov/vuln/detail/CVE-2026-26342</t>
        </is>
      </c>
      <c r="AB517" s="189" t="inlineStr">
        <is>
          <t>NONE</t>
        </is>
      </c>
      <c r="AC517" s="189" t="n">
        <v>0</v>
      </c>
      <c r="AD517" s="189" t="inlineStr"/>
    </row>
    <row r="518">
      <c r="A518" s="188" t="inlineStr">
        <is>
          <t>CVE</t>
        </is>
      </c>
      <c r="B518" s="188" t="inlineStr">
        <is>
          <t>CVE-2026-27477</t>
        </is>
      </c>
      <c r="C518" s="188"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518" s="188" t="n">
        <v>5.9</v>
      </c>
      <c r="E518" s="188" t="inlineStr">
        <is>
          <t>MEDIUM</t>
        </is>
      </c>
      <c r="F518" s="188" t="n">
        <v>2</v>
      </c>
      <c r="G518" s="188" t="n">
        <v>2</v>
      </c>
      <c r="H518" s="188" t="inlineStr">
        <is>
          <t>MEDIUM</t>
        </is>
      </c>
      <c r="I518" s="188" t="n">
        <v>9.9</v>
      </c>
      <c r="J518" s="188" t="inlineStr">
        <is>
          <t>NO</t>
        </is>
      </c>
      <c r="K518" s="188" t="inlineStr">
        <is>
          <t>https://nvd.nist.gov/vuln/detail/CVE-2026-27477</t>
        </is>
      </c>
      <c r="L518" s="188" t="inlineStr">
        <is>
          <t>2026-02-27 20:47</t>
        </is>
      </c>
      <c r="M518" s="188" t="inlineStr">
        <is>
          <t>YES</t>
        </is>
      </c>
      <c r="N518" s="188" t="inlineStr">
        <is>
          <t>https://github.com/mastodon/mastodon/commit/7b85d2182361e68d51d9a02f94fb1070b5f503b1 | https://github.com/mastodon/mastodon/security/advisories/GHSA-46w6-g98f-wxqm</t>
        </is>
      </c>
      <c r="O518" s="188" t="inlineStr">
        <is>
          <t>Apply vendor patches</t>
        </is>
      </c>
      <c r="P518" s="188" t="inlineStr">
        <is>
          <t>joinmastodon mastodon *</t>
        </is>
      </c>
      <c r="Q518" s="188" t="inlineStr">
        <is>
          <t>P1</t>
        </is>
      </c>
      <c r="R518" s="188" t="inlineStr">
        <is>
          <t>📅 Schedule patch deployment within 30 days | 🔍 Monitor for exploitation attempts</t>
        </is>
      </c>
      <c r="S518" s="188" t="inlineStr">
        <is>
          <t>CVE - IP enrichment n/a</t>
        </is>
      </c>
      <c r="T518" s="188" t="n">
        <v>0.0004</v>
      </c>
      <c r="U518" s="188" t="n">
        <v>0.1053</v>
      </c>
      <c r="V518" s="188" t="inlineStr">
        <is>
          <t>T1090:Proxy | T1190:Exploit Public-Facing Application</t>
        </is>
      </c>
      <c r="W518" s="188" t="n">
        <v>2</v>
      </c>
      <c r="X518" s="188" t="inlineStr">
        <is>
          <t>HIGH (72%)</t>
        </is>
      </c>
      <c r="Y518" s="188" t="inlineStr">
        <is>
          <t>HIGH</t>
        </is>
      </c>
      <c r="Z518" s="188" t="inlineStr">
        <is>
          <t>PATCH_AVAILABLE</t>
        </is>
      </c>
      <c r="AA518" s="188" t="inlineStr">
        <is>
          <t>https://nvd.nist.gov/vuln/detail/CVE-2026-27477</t>
        </is>
      </c>
      <c r="AB518" s="188" t="inlineStr">
        <is>
          <t>http://www.zerodayinitiative.com/advisories/ZDI-26-123/</t>
        </is>
      </c>
      <c r="AC518" s="188" t="n">
        <v>0</v>
      </c>
      <c r="AD518" s="188" t="inlineStr"/>
    </row>
    <row r="519">
      <c r="A519" s="187" t="inlineStr">
        <is>
          <t>CVE</t>
        </is>
      </c>
      <c r="B519" s="187" t="inlineStr">
        <is>
          <t>CVE-2026-3105</t>
        </is>
      </c>
      <c r="C519" s="187"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519" s="187" t="n">
        <v>7.6</v>
      </c>
      <c r="E519" s="187" t="inlineStr">
        <is>
          <t>HIGH</t>
        </is>
      </c>
      <c r="F519" s="187" t="n">
        <v>2</v>
      </c>
      <c r="G519" s="187" t="n">
        <v>3</v>
      </c>
      <c r="H519" s="187" t="inlineStr">
        <is>
          <t>HIGH</t>
        </is>
      </c>
      <c r="I519" s="187" t="n">
        <v>13.6</v>
      </c>
      <c r="J519" s="187" t="inlineStr">
        <is>
          <t>NO</t>
        </is>
      </c>
      <c r="K519" s="187" t="inlineStr">
        <is>
          <t>https://nvd.nist.gov/vuln/detail/CVE-2026-3105</t>
        </is>
      </c>
      <c r="L519" s="187" t="inlineStr">
        <is>
          <t>2026-02-27 20:47</t>
        </is>
      </c>
      <c r="M519" s="187" t="inlineStr">
        <is>
          <t>YES</t>
        </is>
      </c>
      <c r="N519" s="187" t="inlineStr">
        <is>
          <t>https://github.com/mautic/mautic/security/advisories/GHSA-r5j5-q42h-fc93</t>
        </is>
      </c>
      <c r="O519" s="187" t="inlineStr">
        <is>
          <t>https://github.com/mautic/mautic/security/advisories/GHSA-r5j5-q42h-fc93</t>
        </is>
      </c>
      <c r="P519" s="187" t="inlineStr">
        <is>
          <t>acquia mautic *</t>
        </is>
      </c>
      <c r="Q519" s="187" t="inlineStr">
        <is>
          <t>P1</t>
        </is>
      </c>
      <c r="R519" s="187" t="inlineStr">
        <is>
          <t>🚨 URGENT: Apply vendor patches immediately | 🔒 Isolate affected systems if patch unavailable | 🛡️ Enable additional monitoring/IDS rules</t>
        </is>
      </c>
      <c r="S519" s="187" t="inlineStr">
        <is>
          <t>CVE - IP enrichment n/a</t>
        </is>
      </c>
      <c r="T519" s="187" t="n">
        <v>0.0003</v>
      </c>
      <c r="U519" s="187" t="n">
        <v>0.095</v>
      </c>
      <c r="V519" s="187" t="inlineStr">
        <is>
          <t>T1190:Exploit Public-Facing Application</t>
        </is>
      </c>
      <c r="W519" s="187" t="n">
        <v>2</v>
      </c>
      <c r="X519" s="187" t="inlineStr">
        <is>
          <t>HIGH (72%)</t>
        </is>
      </c>
      <c r="Y519" s="187" t="inlineStr">
        <is>
          <t>HIGH</t>
        </is>
      </c>
      <c r="Z519" s="187" t="inlineStr">
        <is>
          <t>PATCH_AVAILABLE</t>
        </is>
      </c>
      <c r="AA519" s="187" t="inlineStr">
        <is>
          <t>https://nvd.nist.gov/vuln/detail/CVE-2026-3105</t>
        </is>
      </c>
      <c r="AB519" s="187" t="inlineStr">
        <is>
          <t>http://www.zerodayinitiative.com/advisories/ZDI-26-123/</t>
        </is>
      </c>
      <c r="AC519" s="187" t="n">
        <v>0</v>
      </c>
      <c r="AD519" s="187" t="inlineStr"/>
    </row>
    <row r="520">
      <c r="A520" s="188" t="inlineStr">
        <is>
          <t>CVE</t>
        </is>
      </c>
      <c r="B520" s="188" t="inlineStr">
        <is>
          <t>CVE-2026-3131</t>
        </is>
      </c>
      <c r="C520" s="188" t="inlineStr">
        <is>
          <t>Improper
 access control in multiple DVLS REST API endpoints in Devolutions 
Server 2025.3.14.0 and earlier allows an authenticated user with view-only permission to access sensitive connection data.</t>
        </is>
      </c>
      <c r="D520" s="188" t="n">
        <v>6.5</v>
      </c>
      <c r="E520" s="188" t="inlineStr">
        <is>
          <t>MEDIUM</t>
        </is>
      </c>
      <c r="F520" s="188" t="n">
        <v>2</v>
      </c>
      <c r="G520" s="188" t="n">
        <v>2</v>
      </c>
      <c r="H520" s="188" t="inlineStr">
        <is>
          <t>MEDIUM</t>
        </is>
      </c>
      <c r="I520" s="188" t="n">
        <v>10.5</v>
      </c>
      <c r="J520" s="188" t="inlineStr">
        <is>
          <t>NO</t>
        </is>
      </c>
      <c r="K520" s="188" t="inlineStr">
        <is>
          <t>https://nvd.nist.gov/vuln/detail/CVE-2026-3131</t>
        </is>
      </c>
      <c r="L520" s="188" t="inlineStr">
        <is>
          <t>2026-02-27 20:47</t>
        </is>
      </c>
      <c r="M520" s="188" t="inlineStr">
        <is>
          <t>YES</t>
        </is>
      </c>
      <c r="N520" s="188" t="inlineStr">
        <is>
          <t>https://devolutions.net/security/advisories/DEVO-2026-0004/</t>
        </is>
      </c>
      <c r="O520" s="188" t="inlineStr">
        <is>
          <t>Apply vendor patches</t>
        </is>
      </c>
      <c r="P520" s="188" t="inlineStr">
        <is>
          <t>devolutions devolutions_server *</t>
        </is>
      </c>
      <c r="Q520" s="188" t="inlineStr">
        <is>
          <t>P4</t>
        </is>
      </c>
      <c r="R520" s="188" t="inlineStr">
        <is>
          <t>📅 Schedule patch deployment within 30 days | 🔍 Monitor for exploitation attempts</t>
        </is>
      </c>
      <c r="S520" s="188" t="inlineStr">
        <is>
          <t>CVE - IP enrichment n/a</t>
        </is>
      </c>
      <c r="T520" s="188" t="n">
        <v>0.0003</v>
      </c>
      <c r="U520" s="188" t="n">
        <v>0.0911</v>
      </c>
      <c r="V520" s="188" t="inlineStr">
        <is>
          <t>T1213:Data from Information Repositories</t>
        </is>
      </c>
      <c r="W520" s="188" t="n">
        <v>1</v>
      </c>
      <c r="X520" s="188" t="inlineStr">
        <is>
          <t>LOW (40%)</t>
        </is>
      </c>
      <c r="Y520" s="188" t="inlineStr">
        <is>
          <t>UNLIKELY</t>
        </is>
      </c>
      <c r="Z520" s="188" t="inlineStr">
        <is>
          <t>PATCH_AVAILABLE</t>
        </is>
      </c>
      <c r="AA520" s="188" t="inlineStr">
        <is>
          <t>https://nvd.nist.gov/vuln/detail/CVE-2026-3131</t>
        </is>
      </c>
      <c r="AB520" s="188" t="inlineStr">
        <is>
          <t>NONE</t>
        </is>
      </c>
      <c r="AC520" s="188" t="n">
        <v>0</v>
      </c>
      <c r="AD520" s="188" t="inlineStr"/>
    </row>
    <row r="521">
      <c r="A521" s="188" t="inlineStr">
        <is>
          <t>CVE</t>
        </is>
      </c>
      <c r="B521" s="188" t="inlineStr">
        <is>
          <t>CVE-2025-46320</t>
        </is>
      </c>
      <c r="C521" s="188" t="inlineStr">
        <is>
          <t>A cross-site scripting (XSS) vulnerability in a FileMaker WebDirect custom homepage could lead to unauthorized access and remote code execution. This vulnerability has been fully addressed in FileMaker Server 22.0.4 and FileMaker Server 21.1.7.</t>
        </is>
      </c>
      <c r="D521" s="188" t="n">
        <v>6.1</v>
      </c>
      <c r="E521" s="188" t="inlineStr">
        <is>
          <t>MEDIUM</t>
        </is>
      </c>
      <c r="F521" s="188" t="n">
        <v>2</v>
      </c>
      <c r="G521" s="188" t="n">
        <v>2</v>
      </c>
      <c r="H521" s="188" t="inlineStr">
        <is>
          <t>MEDIUM</t>
        </is>
      </c>
      <c r="I521" s="188" t="n">
        <v>10.1</v>
      </c>
      <c r="J521" s="188" t="inlineStr">
        <is>
          <t>NO</t>
        </is>
      </c>
      <c r="K521" s="188" t="inlineStr">
        <is>
          <t>https://nvd.nist.gov/vuln/detail/CVE-2025-46320</t>
        </is>
      </c>
      <c r="L521" s="188" t="inlineStr">
        <is>
          <t>2026-02-27 20:47</t>
        </is>
      </c>
      <c r="M521" s="188" t="inlineStr">
        <is>
          <t>YES</t>
        </is>
      </c>
      <c r="N521" s="188" t="inlineStr">
        <is>
          <t>https://support.claris.com/s/answerview?anum=000049123&amp;language=en_US</t>
        </is>
      </c>
      <c r="O521" s="188" t="inlineStr">
        <is>
          <t>Apply vendor patches</t>
        </is>
      </c>
      <c r="P521" s="188" t="inlineStr">
        <is>
          <t>claris filemaker_server *</t>
        </is>
      </c>
      <c r="Q521" s="188" t="inlineStr">
        <is>
          <t>P4</t>
        </is>
      </c>
      <c r="R521" s="188" t="inlineStr">
        <is>
          <t>📅 Schedule patch deployment within 30 days | 🔍 Monitor for exploitation attempts</t>
        </is>
      </c>
      <c r="S521" s="188" t="inlineStr">
        <is>
          <t>CVE - IP enrichment n/a</t>
        </is>
      </c>
      <c r="T521" s="188" t="n">
        <v>0.0005999999999999999</v>
      </c>
      <c r="U521" s="188" t="n">
        <v>0.1822</v>
      </c>
      <c r="V521" s="188" t="inlineStr">
        <is>
          <t>T1189:Drive-by Compromise | T1190:Exploit Public-Facing Application | T1210:Exploitation of Remote Services</t>
        </is>
      </c>
      <c r="W521" s="188" t="n">
        <v>1</v>
      </c>
      <c r="X521" s="188" t="inlineStr">
        <is>
          <t>LOW (40%)</t>
        </is>
      </c>
      <c r="Y521" s="188" t="inlineStr">
        <is>
          <t>UNLIKELY</t>
        </is>
      </c>
      <c r="Z521" s="188" t="inlineStr">
        <is>
          <t>PATCH_AVAILABLE</t>
        </is>
      </c>
      <c r="AA521" s="188" t="inlineStr">
        <is>
          <t>https://nvd.nist.gov/vuln/detail/CVE-2025-46320</t>
        </is>
      </c>
      <c r="AB521" s="188" t="inlineStr">
        <is>
          <t>NONE</t>
        </is>
      </c>
      <c r="AC521" s="188" t="n">
        <v>0</v>
      </c>
      <c r="AD521" s="188" t="inlineStr"/>
    </row>
    <row r="522">
      <c r="A522" s="189" t="inlineStr">
        <is>
          <t>CVE</t>
        </is>
      </c>
      <c r="B522" s="189" t="inlineStr">
        <is>
          <t>CVE-2026-21410</t>
        </is>
      </c>
      <c r="C522" s="189" t="inlineStr">
        <is>
          <t>InSAT MasterSCADA BUK-TS is susceptible to SQL Injection through its main web interface. Malicious users that use the vulnerable endpoint are potentially able to cause remote code execution.</t>
        </is>
      </c>
      <c r="D522" s="189" t="n">
        <v>9.800000000000001</v>
      </c>
      <c r="E522" s="189" t="inlineStr">
        <is>
          <t>CRITICAL</t>
        </is>
      </c>
      <c r="F522" s="189" t="n">
        <v>2</v>
      </c>
      <c r="G522" s="189" t="n">
        <v>3</v>
      </c>
      <c r="H522" s="189" t="inlineStr">
        <is>
          <t>HIGH</t>
        </is>
      </c>
      <c r="I522" s="189" t="n">
        <v>15.8</v>
      </c>
      <c r="J522" s="189" t="inlineStr">
        <is>
          <t>NO</t>
        </is>
      </c>
      <c r="K522" s="189" t="inlineStr">
        <is>
          <t>https://nvd.nist.gov/vuln/detail/CVE-2026-21410</t>
        </is>
      </c>
      <c r="L522" s="189" t="inlineStr">
        <is>
          <t>2026-02-27 20:47</t>
        </is>
      </c>
      <c r="M522" s="189" t="inlineStr">
        <is>
          <t>CHECK_VENDOR</t>
        </is>
      </c>
      <c r="N522" s="189" t="inlineStr">
        <is>
          <t>See NVD references</t>
        </is>
      </c>
      <c r="O522" s="189" t="inlineStr">
        <is>
          <t>Apply vendor patches</t>
        </is>
      </c>
      <c r="P522" s="189" t="inlineStr">
        <is>
          <t>insat masterscada *</t>
        </is>
      </c>
      <c r="Q522" s="189" t="inlineStr">
        <is>
          <t>P3</t>
        </is>
      </c>
      <c r="R522" s="189" t="inlineStr">
        <is>
          <t>🚨 URGENT: Apply vendor patches immediately | 🔒 Isolate affected systems if patch unavailable | 🛡️ Enable additional monitoring/IDS rules</t>
        </is>
      </c>
      <c r="S522" s="189" t="inlineStr">
        <is>
          <t>CVE - IP enrichment n/a</t>
        </is>
      </c>
      <c r="T522" s="189" t="n">
        <v>0.0038</v>
      </c>
      <c r="U522" s="189" t="n">
        <v>0.5923</v>
      </c>
      <c r="V522" s="189" t="inlineStr">
        <is>
          <t>T1190:Exploit Public-Facing Application | T1210:Exploitation of Remote Services</t>
        </is>
      </c>
      <c r="W522" s="189" t="n">
        <v>1</v>
      </c>
      <c r="X522" s="189" t="inlineStr">
        <is>
          <t>LOW (40%)</t>
        </is>
      </c>
      <c r="Y522" s="189" t="inlineStr">
        <is>
          <t>UNLIKELY</t>
        </is>
      </c>
      <c r="Z522" s="189" t="inlineStr">
        <is>
          <t>CHECK_VENDOR</t>
        </is>
      </c>
      <c r="AA522" s="189" t="inlineStr">
        <is>
          <t>https://nvd.nist.gov/vuln/detail/CVE-2026-21410</t>
        </is>
      </c>
      <c r="AB522" s="189" t="inlineStr">
        <is>
          <t>NONE</t>
        </is>
      </c>
      <c r="AC522" s="189" t="n">
        <v>0</v>
      </c>
      <c r="AD522" s="189" t="inlineStr"/>
    </row>
    <row r="523">
      <c r="A523" s="189" t="inlineStr">
        <is>
          <t>CVE</t>
        </is>
      </c>
      <c r="B523" s="189" t="inlineStr">
        <is>
          <t>CVE-2026-22553</t>
        </is>
      </c>
      <c r="C523" s="189" t="inlineStr">
        <is>
          <t>All versions of InSAT MasterSCADA BUK-TS are susceptible to OS command injection through a field in its MMadmServ web interface. Malicious users that use the vulnerable endpoint are potentially able to cause remote code execution.</t>
        </is>
      </c>
      <c r="D523" s="189" t="n">
        <v>9.800000000000001</v>
      </c>
      <c r="E523" s="189" t="inlineStr">
        <is>
          <t>CRITICAL</t>
        </is>
      </c>
      <c r="F523" s="189" t="n">
        <v>2</v>
      </c>
      <c r="G523" s="189" t="n">
        <v>3</v>
      </c>
      <c r="H523" s="189" t="inlineStr">
        <is>
          <t>HIGH</t>
        </is>
      </c>
      <c r="I523" s="189" t="n">
        <v>15.8</v>
      </c>
      <c r="J523" s="189" t="inlineStr">
        <is>
          <t>NO</t>
        </is>
      </c>
      <c r="K523" s="189" t="inlineStr">
        <is>
          <t>https://nvd.nist.gov/vuln/detail/CVE-2026-22553</t>
        </is>
      </c>
      <c r="L523" s="189" t="inlineStr">
        <is>
          <t>2026-02-27 20:47</t>
        </is>
      </c>
      <c r="M523" s="189" t="inlineStr">
        <is>
          <t>CHECK_VENDOR</t>
        </is>
      </c>
      <c r="N523" s="189" t="inlineStr">
        <is>
          <t>See NVD references</t>
        </is>
      </c>
      <c r="O523" s="189" t="inlineStr">
        <is>
          <t>Apply vendor patches</t>
        </is>
      </c>
      <c r="P523" s="189" t="inlineStr">
        <is>
          <t>insat masterscada *</t>
        </is>
      </c>
      <c r="Q523" s="189" t="inlineStr">
        <is>
          <t>P2</t>
        </is>
      </c>
      <c r="R523" s="189" t="inlineStr">
        <is>
          <t>🚨 URGENT: Apply vendor patches immediately | 🔒 Isolate affected systems if patch unavailable | 🛡️ Enable additional monitoring/IDS rules</t>
        </is>
      </c>
      <c r="S523" s="189" t="inlineStr">
        <is>
          <t>CVE - IP enrichment n/a</t>
        </is>
      </c>
      <c r="T523" s="189" t="n">
        <v>0.0089</v>
      </c>
      <c r="U523" s="189" t="n">
        <v>0.7526</v>
      </c>
      <c r="V523" s="189" t="inlineStr">
        <is>
          <t>T1059:Command and Scripting Interpreter | T1190:Exploit Public-Facing Application | T1210:Exploitation of Remote Services</t>
        </is>
      </c>
      <c r="W523" s="189" t="n">
        <v>1</v>
      </c>
      <c r="X523" s="189" t="inlineStr">
        <is>
          <t>LOW (40%)</t>
        </is>
      </c>
      <c r="Y523" s="189" t="inlineStr">
        <is>
          <t>UNLIKELY</t>
        </is>
      </c>
      <c r="Z523" s="189" t="inlineStr">
        <is>
          <t>CHECK_VENDOR</t>
        </is>
      </c>
      <c r="AA523" s="189" t="inlineStr">
        <is>
          <t>https://nvd.nist.gov/vuln/detail/CVE-2026-22553</t>
        </is>
      </c>
      <c r="AB523" s="189" t="inlineStr">
        <is>
          <t>NONE</t>
        </is>
      </c>
      <c r="AC523" s="189" t="n">
        <v>0</v>
      </c>
      <c r="AD523" s="189" t="inlineStr"/>
    </row>
    <row r="524">
      <c r="A524" s="187" t="inlineStr">
        <is>
          <t>CVE</t>
        </is>
      </c>
      <c r="B524" s="187" t="inlineStr">
        <is>
          <t>CVE-2026-24443</t>
        </is>
      </c>
      <c r="C524" s="187"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524" s="187" t="n">
        <v>8.800000000000001</v>
      </c>
      <c r="E524" s="187" t="inlineStr">
        <is>
          <t>HIGH</t>
        </is>
      </c>
      <c r="F524" s="187" t="n">
        <v>2</v>
      </c>
      <c r="G524" s="187" t="n">
        <v>3</v>
      </c>
      <c r="H524" s="187" t="inlineStr">
        <is>
          <t>HIGH</t>
        </is>
      </c>
      <c r="I524" s="187" t="n">
        <v>14.8</v>
      </c>
      <c r="J524" s="187" t="inlineStr">
        <is>
          <t>NO</t>
        </is>
      </c>
      <c r="K524" s="187" t="inlineStr">
        <is>
          <t>https://nvd.nist.gov/vuln/detail/CVE-2026-24443</t>
        </is>
      </c>
      <c r="L524" s="187" t="inlineStr">
        <is>
          <t>2026-02-27 20:47</t>
        </is>
      </c>
      <c r="M524" s="187" t="inlineStr">
        <is>
          <t>YES</t>
        </is>
      </c>
      <c r="N524" s="187" t="inlineStr">
        <is>
          <t>https://www.vulncheck.com/advisories/eventsentry-web-reports-unverified-password-change</t>
        </is>
      </c>
      <c r="O524" s="187" t="inlineStr">
        <is>
          <t>Apply vendor patches</t>
        </is>
      </c>
      <c r="P524" s="187" t="inlineStr">
        <is>
          <t>netikus eventsentry *</t>
        </is>
      </c>
      <c r="Q524" s="187" t="inlineStr">
        <is>
          <t>P3</t>
        </is>
      </c>
      <c r="R524" s="187" t="inlineStr">
        <is>
          <t>🚨 URGENT: Apply vendor patches immediately | 🔒 Isolate affected systems if patch unavailable | 🛡️ Enable additional monitoring/IDS rules</t>
        </is>
      </c>
      <c r="S524" s="187" t="inlineStr">
        <is>
          <t>CVE - IP enrichment n/a</t>
        </is>
      </c>
      <c r="T524" s="187" t="n">
        <v>0.0001</v>
      </c>
      <c r="U524" s="187" t="n">
        <v>0.0193</v>
      </c>
      <c r="V524" s="187" t="inlineStr">
        <is>
          <t>T1068:Exploitation for Privilege Escalation | T1552:Unsecured Credentials</t>
        </is>
      </c>
      <c r="W524" s="187" t="n">
        <v>1</v>
      </c>
      <c r="X524" s="187" t="inlineStr">
        <is>
          <t>LOW (40%)</t>
        </is>
      </c>
      <c r="Y524" s="187" t="inlineStr">
        <is>
          <t>UNLIKELY</t>
        </is>
      </c>
      <c r="Z524" s="187" t="inlineStr">
        <is>
          <t>PATCH_AVAILABLE</t>
        </is>
      </c>
      <c r="AA524" s="187" t="inlineStr">
        <is>
          <t>https://nvd.nist.gov/vuln/detail/CVE-2026-24443</t>
        </is>
      </c>
      <c r="AB524" s="187" t="inlineStr">
        <is>
          <t>NONE</t>
        </is>
      </c>
      <c r="AC524" s="187" t="n">
        <v>0</v>
      </c>
      <c r="AD524" s="187" t="inlineStr"/>
    </row>
    <row r="525">
      <c r="A525" s="187" t="inlineStr">
        <is>
          <t>CVE</t>
        </is>
      </c>
      <c r="B525" s="187" t="inlineStr">
        <is>
          <t>CVE-2026-25882</t>
        </is>
      </c>
      <c r="C525" s="187"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525" s="187" t="n">
        <v>7.5</v>
      </c>
      <c r="E525" s="187" t="inlineStr">
        <is>
          <t>HIGH</t>
        </is>
      </c>
      <c r="F525" s="187" t="n">
        <v>2</v>
      </c>
      <c r="G525" s="187" t="n">
        <v>3</v>
      </c>
      <c r="H525" s="187" t="inlineStr">
        <is>
          <t>HIGH</t>
        </is>
      </c>
      <c r="I525" s="187" t="n">
        <v>13.5</v>
      </c>
      <c r="J525" s="187" t="inlineStr">
        <is>
          <t>NO</t>
        </is>
      </c>
      <c r="K525" s="187" t="inlineStr">
        <is>
          <t>https://nvd.nist.gov/vuln/detail/CVE-2026-25882</t>
        </is>
      </c>
      <c r="L525" s="187" t="inlineStr">
        <is>
          <t>2026-02-27 20:47</t>
        </is>
      </c>
      <c r="M525" s="187" t="inlineStr">
        <is>
          <t>YES</t>
        </is>
      </c>
      <c r="N525" s="187" t="inlineStr">
        <is>
          <t>https://github.com/gofiber/fiber/pull/3962 | https://github.com/gofiber/fiber/security/advisories/GHSA-mrq8-rjmw-wpq3</t>
        </is>
      </c>
      <c r="O525" s="187" t="inlineStr">
        <is>
          <t>Apply vendor patches</t>
        </is>
      </c>
      <c r="P525" s="187" t="inlineStr">
        <is>
          <t>gofiber fiber *</t>
        </is>
      </c>
      <c r="Q525" s="187" t="inlineStr">
        <is>
          <t>P3</t>
        </is>
      </c>
      <c r="R525" s="187" t="inlineStr">
        <is>
          <t>🚨 URGENT: Apply vendor patches immediately | 🔒 Isolate affected systems if patch unavailable | 🛡️ Enable additional monitoring/IDS rules</t>
        </is>
      </c>
      <c r="S525" s="187" t="inlineStr">
        <is>
          <t>CVE - IP enrichment n/a</t>
        </is>
      </c>
      <c r="T525" s="187" t="n">
        <v>0.0004</v>
      </c>
      <c r="U525" s="187" t="n">
        <v>0.1129</v>
      </c>
      <c r="V525" s="187" t="inlineStr">
        <is>
          <t>T1499:Endpoint Denial of Service</t>
        </is>
      </c>
      <c r="W525" s="187" t="n">
        <v>1</v>
      </c>
      <c r="X525" s="187" t="inlineStr">
        <is>
          <t>LOW (40%)</t>
        </is>
      </c>
      <c r="Y525" s="187" t="inlineStr">
        <is>
          <t>UNLIKELY</t>
        </is>
      </c>
      <c r="Z525" s="187" t="inlineStr">
        <is>
          <t>PATCH_AVAILABLE</t>
        </is>
      </c>
      <c r="AA525" s="187" t="inlineStr">
        <is>
          <t>https://nvd.nist.gov/vuln/detail/CVE-2026-25882</t>
        </is>
      </c>
      <c r="AB525" s="187" t="inlineStr">
        <is>
          <t>NONE</t>
        </is>
      </c>
      <c r="AC525" s="187" t="n">
        <v>0</v>
      </c>
      <c r="AD525" s="187" t="inlineStr"/>
    </row>
    <row r="526">
      <c r="A526" s="187" t="inlineStr">
        <is>
          <t>CVE</t>
        </is>
      </c>
      <c r="B526" s="187" t="inlineStr">
        <is>
          <t>CVE-2026-25891</t>
        </is>
      </c>
      <c r="C526" s="187"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526" s="187" t="n">
        <v>7.5</v>
      </c>
      <c r="E526" s="187" t="inlineStr">
        <is>
          <t>HIGH</t>
        </is>
      </c>
      <c r="F526" s="187" t="n">
        <v>2</v>
      </c>
      <c r="G526" s="187" t="n">
        <v>3</v>
      </c>
      <c r="H526" s="187" t="inlineStr">
        <is>
          <t>HIGH</t>
        </is>
      </c>
      <c r="I526" s="187" t="n">
        <v>13.5</v>
      </c>
      <c r="J526" s="187" t="inlineStr">
        <is>
          <t>NO</t>
        </is>
      </c>
      <c r="K526" s="187" t="inlineStr">
        <is>
          <t>https://nvd.nist.gov/vuln/detail/CVE-2026-25891</t>
        </is>
      </c>
      <c r="L526" s="187" t="inlineStr">
        <is>
          <t>2026-02-27 20:47</t>
        </is>
      </c>
      <c r="M526" s="187" t="inlineStr">
        <is>
          <t>YES</t>
        </is>
      </c>
      <c r="N526" s="187" t="inlineStr">
        <is>
          <t>https://github.com/gofiber/fiber/commit/59133702301c2ab7b776dd123b474cbd995f2c86 | https://github.com/gofiber/fiber/security/advisories/GHSA-m3c2-496v-cw3v</t>
        </is>
      </c>
      <c r="O526" s="187" t="inlineStr">
        <is>
          <t>Apply vendor patches</t>
        </is>
      </c>
      <c r="P526" s="187" t="inlineStr">
        <is>
          <t>gofiber fiber *</t>
        </is>
      </c>
      <c r="Q526" s="187" t="inlineStr">
        <is>
          <t>P3</t>
        </is>
      </c>
      <c r="R526" s="187" t="inlineStr">
        <is>
          <t>🚨 URGENT: Apply vendor patches immediately | 🔒 Isolate affected systems if patch unavailable | 🛡️ Enable additional monitoring/IDS rules</t>
        </is>
      </c>
      <c r="S526" s="187" t="inlineStr">
        <is>
          <t>CVE - IP enrichment n/a</t>
        </is>
      </c>
      <c r="T526" s="187" t="n">
        <v>0.0002</v>
      </c>
      <c r="U526" s="187" t="n">
        <v>0.0515</v>
      </c>
      <c r="V526" s="187" t="inlineStr">
        <is>
          <t>T1083:File and Directory Discovery</t>
        </is>
      </c>
      <c r="W526" s="187" t="n">
        <v>1</v>
      </c>
      <c r="X526" s="187" t="inlineStr">
        <is>
          <t>LOW (40%)</t>
        </is>
      </c>
      <c r="Y526" s="187" t="inlineStr">
        <is>
          <t>UNLIKELY</t>
        </is>
      </c>
      <c r="Z526" s="187" t="inlineStr">
        <is>
          <t>PATCH_AVAILABLE</t>
        </is>
      </c>
      <c r="AA526" s="187" t="inlineStr">
        <is>
          <t>https://nvd.nist.gov/vuln/detail/CVE-2026-25891</t>
        </is>
      </c>
      <c r="AB526" s="187" t="inlineStr">
        <is>
          <t>NONE</t>
        </is>
      </c>
      <c r="AC526" s="187" t="n">
        <v>0</v>
      </c>
      <c r="AD526" s="187" t="inlineStr"/>
    </row>
    <row r="527">
      <c r="A527" s="187" t="inlineStr">
        <is>
          <t>CVE</t>
        </is>
      </c>
      <c r="B527" s="187" t="inlineStr">
        <is>
          <t>CVE-2026-25899</t>
        </is>
      </c>
      <c r="C527" s="187"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527" s="187" t="n">
        <v>7.5</v>
      </c>
      <c r="E527" s="187" t="inlineStr">
        <is>
          <t>HIGH</t>
        </is>
      </c>
      <c r="F527" s="187" t="n">
        <v>2</v>
      </c>
      <c r="G527" s="187" t="n">
        <v>3</v>
      </c>
      <c r="H527" s="187" t="inlineStr">
        <is>
          <t>HIGH</t>
        </is>
      </c>
      <c r="I527" s="187" t="n">
        <v>13.5</v>
      </c>
      <c r="J527" s="187" t="inlineStr">
        <is>
          <t>NO</t>
        </is>
      </c>
      <c r="K527" s="187" t="inlineStr">
        <is>
          <t>https://nvd.nist.gov/vuln/detail/CVE-2026-25899</t>
        </is>
      </c>
      <c r="L527" s="187" t="inlineStr">
        <is>
          <t>2026-02-27 20:47</t>
        </is>
      </c>
      <c r="M527" s="187" t="inlineStr">
        <is>
          <t>YES</t>
        </is>
      </c>
      <c r="N527" s="187" t="inlineStr">
        <is>
          <t>https://github.com/gofiber/fiber/security/advisories/GHSA-2mr3-m5q5-wgp6</t>
        </is>
      </c>
      <c r="O527" s="187" t="inlineStr">
        <is>
          <t>Apply vendor patches</t>
        </is>
      </c>
      <c r="P527" s="187" t="inlineStr">
        <is>
          <t>gofiber fiber *</t>
        </is>
      </c>
      <c r="Q527" s="187" t="inlineStr">
        <is>
          <t>P3</t>
        </is>
      </c>
      <c r="R527" s="187" t="inlineStr">
        <is>
          <t>🚨 URGENT: Apply vendor patches immediately | 🔒 Isolate affected systems if patch unavailable | 🛡️ Enable additional monitoring/IDS rules</t>
        </is>
      </c>
      <c r="S527" s="187" t="inlineStr">
        <is>
          <t>CVE - IP enrichment n/a</t>
        </is>
      </c>
      <c r="T527" s="187" t="n">
        <v>0.001</v>
      </c>
      <c r="U527" s="187" t="n">
        <v>0.2717</v>
      </c>
      <c r="V527" s="187" t="inlineStr">
        <is>
          <t>T1190:Exploit Public-Facing Application | T1059:Command and Scripting Interpreter</t>
        </is>
      </c>
      <c r="W527" s="187" t="n">
        <v>1</v>
      </c>
      <c r="X527" s="187" t="inlineStr">
        <is>
          <t>LOW (40%)</t>
        </is>
      </c>
      <c r="Y527" s="187" t="inlineStr">
        <is>
          <t>UNLIKELY</t>
        </is>
      </c>
      <c r="Z527" s="187" t="inlineStr">
        <is>
          <t>PATCH_AVAILABLE</t>
        </is>
      </c>
      <c r="AA527" s="187" t="inlineStr">
        <is>
          <t>https://nvd.nist.gov/vuln/detail/CVE-2026-25899</t>
        </is>
      </c>
      <c r="AB527" s="187" t="inlineStr">
        <is>
          <t>NONE</t>
        </is>
      </c>
      <c r="AC527" s="187" t="n">
        <v>0</v>
      </c>
      <c r="AD527" s="187" t="inlineStr"/>
    </row>
    <row r="528">
      <c r="A528" s="188" t="inlineStr">
        <is>
          <t>CVE</t>
        </is>
      </c>
      <c r="B528" s="188" t="inlineStr">
        <is>
          <t>CVE-2026-27117</t>
        </is>
      </c>
      <c r="C528" s="188"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528" s="188" t="n">
        <v>5.5</v>
      </c>
      <c r="E528" s="188" t="inlineStr">
        <is>
          <t>MEDIUM</t>
        </is>
      </c>
      <c r="F528" s="188" t="n">
        <v>2</v>
      </c>
      <c r="G528" s="188" t="n">
        <v>2</v>
      </c>
      <c r="H528" s="188" t="inlineStr">
        <is>
          <t>MEDIUM</t>
        </is>
      </c>
      <c r="I528" s="188" t="n">
        <v>9.5</v>
      </c>
      <c r="J528" s="188" t="inlineStr">
        <is>
          <t>NO</t>
        </is>
      </c>
      <c r="K528" s="188" t="inlineStr">
        <is>
          <t>https://nvd.nist.gov/vuln/detail/CVE-2026-27117</t>
        </is>
      </c>
      <c r="L528" s="188" t="inlineStr">
        <is>
          <t>2026-02-27 20:47</t>
        </is>
      </c>
      <c r="M528" s="188" t="inlineStr">
        <is>
          <t>YES</t>
        </is>
      </c>
      <c r="N528" s="188" t="inlineStr">
        <is>
          <t>https://github.com/rikyoz/bit7z/commit/31763da9a3e41a199c141c8d71f6c11de24b45cf | https://github.com/rikyoz/bit7z/commit/9e020483eefa5825ec9310b1d869933d4f77f969 | https://github.com/rikyoz/bit7z/security/advisories/GHSA-qvjh-hhw4-3gx9</t>
        </is>
      </c>
      <c r="O528" s="188" t="inlineStr">
        <is>
          <t>Apply vendor patches</t>
        </is>
      </c>
      <c r="P528" s="188" t="inlineStr">
        <is>
          <t>rikyoz bit7z *</t>
        </is>
      </c>
      <c r="Q528" s="188" t="inlineStr">
        <is>
          <t>P4</t>
        </is>
      </c>
      <c r="R528" s="188" t="inlineStr">
        <is>
          <t>📅 Schedule patch deployment within 30 days | 🔍 Monitor for exploitation attempts</t>
        </is>
      </c>
      <c r="S528" s="188" t="inlineStr">
        <is>
          <t>CVE - IP enrichment n/a</t>
        </is>
      </c>
      <c r="T528" s="188" t="n">
        <v>0.0004</v>
      </c>
      <c r="U528" s="188" t="n">
        <v>0.1219</v>
      </c>
      <c r="V528" s="188" t="inlineStr">
        <is>
          <t>T1083:File and Directory Discovery</t>
        </is>
      </c>
      <c r="W528" s="188" t="n">
        <v>1</v>
      </c>
      <c r="X528" s="188" t="inlineStr">
        <is>
          <t>LOW (40%)</t>
        </is>
      </c>
      <c r="Y528" s="188" t="inlineStr">
        <is>
          <t>UNLIKELY</t>
        </is>
      </c>
      <c r="Z528" s="188" t="inlineStr">
        <is>
          <t>PATCH_AVAILABLE</t>
        </is>
      </c>
      <c r="AA528" s="188" t="inlineStr">
        <is>
          <t>https://nvd.nist.gov/vuln/detail/CVE-2026-27117</t>
        </is>
      </c>
      <c r="AB528" s="188" t="inlineStr">
        <is>
          <t>NONE</t>
        </is>
      </c>
      <c r="AC528" s="188" t="n">
        <v>0</v>
      </c>
      <c r="AD528" s="188" t="inlineStr"/>
    </row>
    <row r="529">
      <c r="A529" s="187" t="inlineStr">
        <is>
          <t>CVE</t>
        </is>
      </c>
      <c r="B529" s="187" t="inlineStr">
        <is>
          <t>CVE-2026-27195</t>
        </is>
      </c>
      <c r="C529" s="187"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529" s="187" t="n">
        <v>7.5</v>
      </c>
      <c r="E529" s="187" t="inlineStr">
        <is>
          <t>HIGH</t>
        </is>
      </c>
      <c r="F529" s="187" t="n">
        <v>2</v>
      </c>
      <c r="G529" s="187" t="n">
        <v>3</v>
      </c>
      <c r="H529" s="187" t="inlineStr">
        <is>
          <t>HIGH</t>
        </is>
      </c>
      <c r="I529" s="187" t="n">
        <v>13.5</v>
      </c>
      <c r="J529" s="187" t="inlineStr">
        <is>
          <t>NO</t>
        </is>
      </c>
      <c r="K529" s="187" t="inlineStr">
        <is>
          <t>https://nvd.nist.gov/vuln/detail/CVE-2026-27195</t>
        </is>
      </c>
      <c r="L529" s="187" t="inlineStr">
        <is>
          <t>2026-02-27 20:47</t>
        </is>
      </c>
      <c r="M529" s="187" t="inlineStr">
        <is>
          <t>YES</t>
        </is>
      </c>
      <c r="N529" s="187" t="inlineStr">
        <is>
          <t>https://github.com/bytecodealliance/wasmtime/commit/9e51c0d9a240a9613d279c061f82286bd11383fd | https://github.com/bytecodealliance/wasmtime/commit/d86b00736b9ece60b3c81e52f7a7e4cdd9f7d895</t>
        </is>
      </c>
      <c r="O529" s="187" t="inlineStr">
        <is>
          <t>Apply vendor patches</t>
        </is>
      </c>
      <c r="P529" s="187" t="inlineStr">
        <is>
          <t>bytecodealliance wasmtime *</t>
        </is>
      </c>
      <c r="Q529" s="187" t="inlineStr">
        <is>
          <t>P3</t>
        </is>
      </c>
      <c r="R529" s="187" t="inlineStr">
        <is>
          <t>🚨 URGENT: Apply vendor patches immediately | 🔒 Isolate affected systems if patch unavailable | 🛡️ Enable additional monitoring/IDS rules</t>
        </is>
      </c>
      <c r="S529" s="187" t="inlineStr">
        <is>
          <t>CVE - IP enrichment n/a</t>
        </is>
      </c>
      <c r="T529" s="187" t="n">
        <v>0.0005</v>
      </c>
      <c r="U529" s="187" t="n">
        <v>0.1691</v>
      </c>
      <c r="V529" s="187" t="inlineStr">
        <is>
          <t>T1190:Exploit Public-Facing Application</t>
        </is>
      </c>
      <c r="W529" s="187" t="n">
        <v>1</v>
      </c>
      <c r="X529" s="187" t="inlineStr">
        <is>
          <t>LOW (40%)</t>
        </is>
      </c>
      <c r="Y529" s="187" t="inlineStr">
        <is>
          <t>UNLIKELY</t>
        </is>
      </c>
      <c r="Z529" s="187" t="inlineStr">
        <is>
          <t>PATCH_AVAILABLE</t>
        </is>
      </c>
      <c r="AA529" s="187" t="inlineStr">
        <is>
          <t>https://nvd.nist.gov/vuln/detail/CVE-2026-27195</t>
        </is>
      </c>
      <c r="AB529" s="187" t="inlineStr">
        <is>
          <t>NONE</t>
        </is>
      </c>
      <c r="AC529" s="187" t="n">
        <v>0</v>
      </c>
      <c r="AD529" s="187" t="inlineStr"/>
    </row>
    <row r="530">
      <c r="A530" s="188" t="inlineStr">
        <is>
          <t>CVE</t>
        </is>
      </c>
      <c r="B530" s="188" t="inlineStr">
        <is>
          <t>CVE-2026-27204</t>
        </is>
      </c>
      <c r="C530" s="188"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530" s="188" t="n">
        <v>6.5</v>
      </c>
      <c r="E530" s="188" t="inlineStr">
        <is>
          <t>MEDIUM</t>
        </is>
      </c>
      <c r="F530" s="188" t="n">
        <v>2</v>
      </c>
      <c r="G530" s="188" t="n">
        <v>2</v>
      </c>
      <c r="H530" s="188" t="inlineStr">
        <is>
          <t>MEDIUM</t>
        </is>
      </c>
      <c r="I530" s="188" t="n">
        <v>10.5</v>
      </c>
      <c r="J530" s="188" t="inlineStr">
        <is>
          <t>NO</t>
        </is>
      </c>
      <c r="K530" s="188" t="inlineStr">
        <is>
          <t>https://nvd.nist.gov/vuln/detail/CVE-2026-27204</t>
        </is>
      </c>
      <c r="L530" s="188" t="inlineStr">
        <is>
          <t>2026-02-27 20:47</t>
        </is>
      </c>
      <c r="M530" s="188" t="inlineStr">
        <is>
          <t>CHECK_VENDOR</t>
        </is>
      </c>
      <c r="N530" s="188" t="inlineStr">
        <is>
          <t>See NVD references</t>
        </is>
      </c>
      <c r="O530" s="188" t="inlineStr">
        <is>
          <t>Apply vendor patches</t>
        </is>
      </c>
      <c r="P530" s="188" t="inlineStr">
        <is>
          <t>bytecodealliance wasmtime *</t>
        </is>
      </c>
      <c r="Q530" s="188" t="inlineStr">
        <is>
          <t>P4</t>
        </is>
      </c>
      <c r="R530" s="188" t="inlineStr">
        <is>
          <t>📅 Schedule patch deployment within 30 days | 🔍 Monitor for exploitation attempts</t>
        </is>
      </c>
      <c r="S530" s="188" t="inlineStr">
        <is>
          <t>CVE - IP enrichment n/a</t>
        </is>
      </c>
      <c r="T530" s="188" t="n">
        <v>0.0005999999999999999</v>
      </c>
      <c r="U530" s="188" t="n">
        <v>0.1936</v>
      </c>
      <c r="V530" s="188" t="inlineStr">
        <is>
          <t>T1190:Exploit Public-Facing Application | T1499:Endpoint Denial of Service</t>
        </is>
      </c>
      <c r="W530" s="188" t="n">
        <v>1</v>
      </c>
      <c r="X530" s="188" t="inlineStr">
        <is>
          <t>LOW (40%)</t>
        </is>
      </c>
      <c r="Y530" s="188" t="inlineStr">
        <is>
          <t>UNLIKELY</t>
        </is>
      </c>
      <c r="Z530" s="188" t="inlineStr">
        <is>
          <t>CHECK_VENDOR</t>
        </is>
      </c>
      <c r="AA530" s="188" t="inlineStr">
        <is>
          <t>https://nvd.nist.gov/vuln/detail/CVE-2026-27204</t>
        </is>
      </c>
      <c r="AB530" s="188" t="inlineStr">
        <is>
          <t>NONE</t>
        </is>
      </c>
      <c r="AC530" s="188" t="n">
        <v>0</v>
      </c>
      <c r="AD530" s="188" t="inlineStr"/>
    </row>
    <row r="531">
      <c r="A531" s="187" t="inlineStr">
        <is>
          <t>CVE</t>
        </is>
      </c>
      <c r="B531" s="187" t="inlineStr">
        <is>
          <t>CVE-2026-27572</t>
        </is>
      </c>
      <c r="C531" s="187"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531" s="187" t="n">
        <v>7.5</v>
      </c>
      <c r="E531" s="187" t="inlineStr">
        <is>
          <t>HIGH</t>
        </is>
      </c>
      <c r="F531" s="187" t="n">
        <v>2</v>
      </c>
      <c r="G531" s="187" t="n">
        <v>3</v>
      </c>
      <c r="H531" s="187" t="inlineStr">
        <is>
          <t>HIGH</t>
        </is>
      </c>
      <c r="I531" s="187" t="n">
        <v>13.5</v>
      </c>
      <c r="J531" s="187" t="inlineStr">
        <is>
          <t>NO</t>
        </is>
      </c>
      <c r="K531" s="187" t="inlineStr">
        <is>
          <t>https://nvd.nist.gov/vuln/detail/CVE-2026-27572</t>
        </is>
      </c>
      <c r="L531" s="187" t="inlineStr">
        <is>
          <t>2026-02-27 20:47</t>
        </is>
      </c>
      <c r="M531" s="187" t="inlineStr">
        <is>
          <t>YES</t>
        </is>
      </c>
      <c r="N531" s="187" t="inlineStr">
        <is>
          <t>https://github.com/bytecodealliance/wasmtime/commit/301dc7162cca51def19131019af1187f45901c0a</t>
        </is>
      </c>
      <c r="O531" s="187" t="inlineStr">
        <is>
          <t>Apply vendor patches</t>
        </is>
      </c>
      <c r="P531" s="187" t="inlineStr">
        <is>
          <t>bytecodealliance wasmtime *</t>
        </is>
      </c>
      <c r="Q531" s="187" t="inlineStr">
        <is>
          <t>P3</t>
        </is>
      </c>
      <c r="R531" s="187" t="inlineStr">
        <is>
          <t>🚨 URGENT: Apply vendor patches immediately | 🔒 Isolate affected systems if patch unavailable | 🛡️ Enable additional monitoring/IDS rules</t>
        </is>
      </c>
      <c r="S531" s="187" t="inlineStr">
        <is>
          <t>CVE - IP enrichment n/a</t>
        </is>
      </c>
      <c r="T531" s="187" t="n">
        <v>0.0007</v>
      </c>
      <c r="U531" s="187" t="n">
        <v>0.2068</v>
      </c>
      <c r="V531" s="187" t="inlineStr">
        <is>
          <t>T1190:Exploit Public-Facing Application | T1499:Endpoint Denial of Service</t>
        </is>
      </c>
      <c r="W531" s="187" t="n">
        <v>1</v>
      </c>
      <c r="X531" s="187" t="inlineStr">
        <is>
          <t>LOW (40%)</t>
        </is>
      </c>
      <c r="Y531" s="187" t="inlineStr">
        <is>
          <t>UNLIKELY</t>
        </is>
      </c>
      <c r="Z531" s="187" t="inlineStr">
        <is>
          <t>PATCH_AVAILABLE</t>
        </is>
      </c>
      <c r="AA531" s="187" t="inlineStr">
        <is>
          <t>https://nvd.nist.gov/vuln/detail/CVE-2026-27572</t>
        </is>
      </c>
      <c r="AB531" s="187" t="inlineStr">
        <is>
          <t>NONE</t>
        </is>
      </c>
      <c r="AC531" s="187" t="n">
        <v>0</v>
      </c>
      <c r="AD531" s="187" t="inlineStr"/>
    </row>
    <row r="532">
      <c r="A532" s="189" t="inlineStr">
        <is>
          <t>CVE</t>
        </is>
      </c>
      <c r="B532" s="189" t="inlineStr">
        <is>
          <t>CVE-2026-27593</t>
        </is>
      </c>
      <c r="C532" s="189"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532" s="189" t="n">
        <v>9.300000000000001</v>
      </c>
      <c r="E532" s="189" t="inlineStr">
        <is>
          <t>CRITICAL</t>
        </is>
      </c>
      <c r="F532" s="189" t="n">
        <v>2</v>
      </c>
      <c r="G532" s="189" t="n">
        <v>3</v>
      </c>
      <c r="H532" s="189" t="inlineStr">
        <is>
          <t>HIGH</t>
        </is>
      </c>
      <c r="I532" s="189" t="n">
        <v>15.3</v>
      </c>
      <c r="J532" s="189" t="inlineStr">
        <is>
          <t>NO</t>
        </is>
      </c>
      <c r="K532" s="189" t="inlineStr">
        <is>
          <t>https://nvd.nist.gov/vuln/detail/CVE-2026-27593</t>
        </is>
      </c>
      <c r="L532" s="189" t="inlineStr">
        <is>
          <t>2026-02-27 20:47</t>
        </is>
      </c>
      <c r="M532" s="189" t="inlineStr">
        <is>
          <t>YES</t>
        </is>
      </c>
      <c r="N532" s="189" t="inlineStr">
        <is>
          <t>https://github.com/statamic/cms/commit/6fdd03324982848e8754f2edd2265262d361714e | https://github.com/statamic/cms/commit/78e63dfcf705b116d5ac0f7f7f5a1a69be63d1be | https://github.com/statamic/cms/commit/b2be592ddfb588bcb88c9be454f3590e14b145b0</t>
        </is>
      </c>
      <c r="O532" s="189" t="inlineStr">
        <is>
          <t>Apply vendor patches</t>
        </is>
      </c>
      <c r="P532" s="189" t="inlineStr">
        <is>
          <t>statamic statamic *</t>
        </is>
      </c>
      <c r="Q532" s="189" t="inlineStr">
        <is>
          <t>P3</t>
        </is>
      </c>
      <c r="R532" s="189" t="inlineStr">
        <is>
          <t>🚨 URGENT: Apply vendor patches immediately | 🔒 Isolate affected systems if patch unavailable | 🛡️ Enable additional monitoring/IDS rules</t>
        </is>
      </c>
      <c r="S532" s="189" t="inlineStr">
        <is>
          <t>CVE - IP enrichment n/a</t>
        </is>
      </c>
      <c r="T532" s="189" t="n">
        <v>0.0001</v>
      </c>
      <c r="U532" s="189" t="n">
        <v>0.0183</v>
      </c>
      <c r="V532" s="189" t="inlineStr">
        <is>
          <t>T1190:Exploit Public-Facing Application</t>
        </is>
      </c>
      <c r="W532" s="189" t="n">
        <v>1</v>
      </c>
      <c r="X532" s="189" t="inlineStr">
        <is>
          <t>LOW (40%)</t>
        </is>
      </c>
      <c r="Y532" s="189" t="inlineStr">
        <is>
          <t>UNLIKELY</t>
        </is>
      </c>
      <c r="Z532" s="189" t="inlineStr">
        <is>
          <t>PATCH_AVAILABLE</t>
        </is>
      </c>
      <c r="AA532" s="189" t="inlineStr">
        <is>
          <t>https://nvd.nist.gov/vuln/detail/CVE-2026-27593</t>
        </is>
      </c>
      <c r="AB532" s="189" t="inlineStr">
        <is>
          <t>NONE</t>
        </is>
      </c>
      <c r="AC532" s="189" t="n">
        <v>0</v>
      </c>
      <c r="AD532" s="189" t="inlineStr"/>
    </row>
    <row r="533">
      <c r="A533" s="188" t="inlineStr">
        <is>
          <t>CVE</t>
        </is>
      </c>
      <c r="B533" s="188" t="inlineStr">
        <is>
          <t>CVE-2026-26351</t>
        </is>
      </c>
      <c r="C533" s="188"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533" s="188" t="n">
        <v>4.8</v>
      </c>
      <c r="E533" s="188" t="inlineStr">
        <is>
          <t>MEDIUM</t>
        </is>
      </c>
      <c r="F533" s="188" t="n">
        <v>2</v>
      </c>
      <c r="G533" s="188" t="n">
        <v>2</v>
      </c>
      <c r="H533" s="188" t="inlineStr">
        <is>
          <t>MEDIUM</t>
        </is>
      </c>
      <c r="I533" s="188" t="n">
        <v>8.800000000000001</v>
      </c>
      <c r="J533" s="188" t="inlineStr">
        <is>
          <t>NO</t>
        </is>
      </c>
      <c r="K533" s="188" t="inlineStr">
        <is>
          <t>https://nvd.nist.gov/vuln/detail/CVE-2026-26351</t>
        </is>
      </c>
      <c r="L533" s="188" t="inlineStr">
        <is>
          <t>2026-02-27 20:47</t>
        </is>
      </c>
      <c r="M533" s="188" t="inlineStr">
        <is>
          <t>CHECK_VENDOR</t>
        </is>
      </c>
      <c r="N533" s="188" t="inlineStr">
        <is>
          <t>See NVD references</t>
        </is>
      </c>
      <c r="O533" s="188" t="inlineStr">
        <is>
          <t>Apply vendor patches</t>
        </is>
      </c>
      <c r="P533" s="188" t="inlineStr">
        <is>
          <t>getsimple-ce getsimple_cms *</t>
        </is>
      </c>
      <c r="Q533" s="188" t="inlineStr">
        <is>
          <t>P4</t>
        </is>
      </c>
      <c r="R533" s="188" t="inlineStr">
        <is>
          <t>📅 Schedule patch deployment within 30 days | 🔍 Monitor for exploitation attempts</t>
        </is>
      </c>
      <c r="S533" s="188" t="inlineStr">
        <is>
          <t>CVE - IP enrichment n/a</t>
        </is>
      </c>
      <c r="T533" s="188" t="n">
        <v>0.0002</v>
      </c>
      <c r="U533" s="188" t="n">
        <v>0.0391</v>
      </c>
      <c r="V533" s="188" t="inlineStr">
        <is>
          <t>T1189:Drive-by Compromise</t>
        </is>
      </c>
      <c r="W533" s="188" t="n">
        <v>1</v>
      </c>
      <c r="X533" s="188" t="inlineStr">
        <is>
          <t>LOW (40%)</t>
        </is>
      </c>
      <c r="Y533" s="188" t="inlineStr">
        <is>
          <t>UNLIKELY</t>
        </is>
      </c>
      <c r="Z533" s="188" t="inlineStr">
        <is>
          <t>CHECK_VENDOR</t>
        </is>
      </c>
      <c r="AA533" s="188" t="inlineStr">
        <is>
          <t>https://nvd.nist.gov/vuln/detail/CVE-2026-26351</t>
        </is>
      </c>
      <c r="AB533" s="188" t="inlineStr">
        <is>
          <t>NONE</t>
        </is>
      </c>
      <c r="AC533" s="188" t="n">
        <v>0</v>
      </c>
      <c r="AD533" s="188" t="inlineStr"/>
    </row>
    <row r="534">
      <c r="A534" s="187" t="inlineStr">
        <is>
          <t>CVE</t>
        </is>
      </c>
      <c r="B534" s="187" t="inlineStr">
        <is>
          <t>CVE-2026-3133</t>
        </is>
      </c>
      <c r="C534" s="187"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534" s="187" t="n">
        <v>7.3</v>
      </c>
      <c r="E534" s="187" t="inlineStr">
        <is>
          <t>HIGH</t>
        </is>
      </c>
      <c r="F534" s="187" t="n">
        <v>2</v>
      </c>
      <c r="G534" s="187" t="n">
        <v>3</v>
      </c>
      <c r="H534" s="187" t="inlineStr">
        <is>
          <t>HIGH</t>
        </is>
      </c>
      <c r="I534" s="187" t="n">
        <v>13.3</v>
      </c>
      <c r="J534" s="187" t="inlineStr">
        <is>
          <t>NO</t>
        </is>
      </c>
      <c r="K534" s="187" t="inlineStr">
        <is>
          <t>https://nvd.nist.gov/vuln/detail/CVE-2026-3133</t>
        </is>
      </c>
      <c r="L534" s="187" t="inlineStr">
        <is>
          <t>2026-02-27 20:47</t>
        </is>
      </c>
      <c r="M534" s="187" t="inlineStr">
        <is>
          <t>YES</t>
        </is>
      </c>
      <c r="N534" s="187" t="inlineStr">
        <is>
          <t>https://github.com/ltranquility/CVE/issues/41</t>
        </is>
      </c>
      <c r="O534" s="187" t="inlineStr">
        <is>
          <t>https://github.com/ltranquility/CVE/issues/41</t>
        </is>
      </c>
      <c r="P534" s="187" t="inlineStr">
        <is>
          <t>admerc document_management_system 1.0</t>
        </is>
      </c>
      <c r="Q534" s="187" t="inlineStr">
        <is>
          <t>P3</t>
        </is>
      </c>
      <c r="R534" s="187" t="inlineStr">
        <is>
          <t>🚨 URGENT: Apply vendor patches immediately | 🔒 Isolate affected systems if patch unavailable | 🛡️ Enable additional monitoring/IDS rules</t>
        </is>
      </c>
      <c r="S534" s="187" t="inlineStr">
        <is>
          <t>CVE - IP enrichment n/a</t>
        </is>
      </c>
      <c r="T534" s="187" t="n">
        <v>0.0003</v>
      </c>
      <c r="U534" s="187" t="n">
        <v>0.0711</v>
      </c>
      <c r="V534" s="187" t="inlineStr">
        <is>
          <t>T1190:Exploit Public-Facing Application</t>
        </is>
      </c>
      <c r="W534" s="187" t="n">
        <v>1</v>
      </c>
      <c r="X534" s="187" t="inlineStr">
        <is>
          <t>LOW (40%)</t>
        </is>
      </c>
      <c r="Y534" s="187" t="inlineStr">
        <is>
          <t>UNLIKELY</t>
        </is>
      </c>
      <c r="Z534" s="187" t="inlineStr">
        <is>
          <t>PATCH_AVAILABLE</t>
        </is>
      </c>
      <c r="AA534" s="187" t="inlineStr">
        <is>
          <t>https://nvd.nist.gov/vuln/detail/CVE-2026-3133</t>
        </is>
      </c>
      <c r="AB534" s="187" t="inlineStr">
        <is>
          <t>NONE</t>
        </is>
      </c>
      <c r="AC534" s="187" t="n">
        <v>0</v>
      </c>
      <c r="AD534" s="187" t="inlineStr"/>
    </row>
    <row r="535">
      <c r="A535" s="187" t="inlineStr">
        <is>
          <t>CVE</t>
        </is>
      </c>
      <c r="B535" s="187" t="inlineStr">
        <is>
          <t>CVE-2026-3134</t>
        </is>
      </c>
      <c r="C535" s="187"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535" s="187" t="n">
        <v>7.3</v>
      </c>
      <c r="E535" s="187" t="inlineStr">
        <is>
          <t>HIGH</t>
        </is>
      </c>
      <c r="F535" s="187" t="n">
        <v>2</v>
      </c>
      <c r="G535" s="187" t="n">
        <v>3</v>
      </c>
      <c r="H535" s="187" t="inlineStr">
        <is>
          <t>HIGH</t>
        </is>
      </c>
      <c r="I535" s="187" t="n">
        <v>13.3</v>
      </c>
      <c r="J535" s="187" t="inlineStr">
        <is>
          <t>NO</t>
        </is>
      </c>
      <c r="K535" s="187" t="inlineStr">
        <is>
          <t>https://nvd.nist.gov/vuln/detail/CVE-2026-3134</t>
        </is>
      </c>
      <c r="L535" s="187" t="inlineStr">
        <is>
          <t>2026-02-27 20:47</t>
        </is>
      </c>
      <c r="M535" s="187" t="inlineStr">
        <is>
          <t>YES</t>
        </is>
      </c>
      <c r="N535" s="187" t="inlineStr">
        <is>
          <t>https://github.com/910biter/cve/issues/1</t>
        </is>
      </c>
      <c r="O535" s="187" t="inlineStr">
        <is>
          <t>https://github.com/910biter/cve/issues/1</t>
        </is>
      </c>
      <c r="P535" s="187" t="inlineStr">
        <is>
          <t>clive_21 news_portal_project 1.0</t>
        </is>
      </c>
      <c r="Q535" s="187" t="inlineStr">
        <is>
          <t>P3</t>
        </is>
      </c>
      <c r="R535" s="187" t="inlineStr">
        <is>
          <t>🚨 URGENT: Apply vendor patches immediately | 🔒 Isolate affected systems if patch unavailable | 🛡️ Enable additional monitoring/IDS rules</t>
        </is>
      </c>
      <c r="S535" s="187" t="inlineStr">
        <is>
          <t>CVE - IP enrichment n/a</t>
        </is>
      </c>
      <c r="T535" s="187" t="n">
        <v>0.0003</v>
      </c>
      <c r="U535" s="187" t="n">
        <v>0.0711</v>
      </c>
      <c r="V535" s="187" t="inlineStr">
        <is>
          <t>T1190:Exploit Public-Facing Application</t>
        </is>
      </c>
      <c r="W535" s="187" t="n">
        <v>1</v>
      </c>
      <c r="X535" s="187" t="inlineStr">
        <is>
          <t>LOW (40%)</t>
        </is>
      </c>
      <c r="Y535" s="187" t="inlineStr">
        <is>
          <t>UNLIKELY</t>
        </is>
      </c>
      <c r="Z535" s="187" t="inlineStr">
        <is>
          <t>PATCH_AVAILABLE</t>
        </is>
      </c>
      <c r="AA535" s="187" t="inlineStr">
        <is>
          <t>https://nvd.nist.gov/vuln/detail/CVE-2026-3134</t>
        </is>
      </c>
      <c r="AB535" s="187" t="inlineStr">
        <is>
          <t>NONE</t>
        </is>
      </c>
      <c r="AC535" s="187" t="n">
        <v>0</v>
      </c>
      <c r="AD535" s="187" t="inlineStr"/>
    </row>
    <row r="536">
      <c r="A536" s="188" t="inlineStr">
        <is>
          <t>CVE</t>
        </is>
      </c>
      <c r="B536" s="188" t="inlineStr">
        <is>
          <t>CVE-2025-67491</t>
        </is>
      </c>
      <c r="C536" s="188"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536" s="188" t="n">
        <v>5.4</v>
      </c>
      <c r="E536" s="188" t="inlineStr">
        <is>
          <t>MEDIUM</t>
        </is>
      </c>
      <c r="F536" s="188" t="n">
        <v>2</v>
      </c>
      <c r="G536" s="188" t="n">
        <v>2</v>
      </c>
      <c r="H536" s="188" t="inlineStr">
        <is>
          <t>MEDIUM</t>
        </is>
      </c>
      <c r="I536" s="188" t="n">
        <v>9.4</v>
      </c>
      <c r="J536" s="188" t="inlineStr">
        <is>
          <t>NO</t>
        </is>
      </c>
      <c r="K536" s="188" t="inlineStr">
        <is>
          <t>https://nvd.nist.gov/vuln/detail/CVE-2025-67491</t>
        </is>
      </c>
      <c r="L536" s="188" t="inlineStr">
        <is>
          <t>2026-02-27 20:47</t>
        </is>
      </c>
      <c r="M536" s="188" t="inlineStr">
        <is>
          <t>YES</t>
        </is>
      </c>
      <c r="N536" s="188" t="inlineStr">
        <is>
          <t>https://github.com/openemr/openemr/blob/a65b11d8b8e973b8758ce0dc3efb4b6ec0466d85/interface/billing/ub04_helpers.php#L52-L60 | https://github.com/openemr/openemr/commit/66a11c2d72ade16c4a908cd839d27cd7b261f97a | https://github.com/openemr/openemr/security/advisories/GHSA-5fq8-jwvw-3m5w</t>
        </is>
      </c>
      <c r="O536" s="188" t="inlineStr">
        <is>
          <t>Apply vendor patches</t>
        </is>
      </c>
      <c r="P536" s="188" t="inlineStr">
        <is>
          <t>open-emr openemr *</t>
        </is>
      </c>
      <c r="Q536" s="188" t="inlineStr">
        <is>
          <t>P4</t>
        </is>
      </c>
      <c r="R536" s="188" t="inlineStr">
        <is>
          <t>📅 Schedule patch deployment within 30 days | 🔍 Monitor for exploitation attempts</t>
        </is>
      </c>
      <c r="S536" s="188" t="inlineStr">
        <is>
          <t>CVE - IP enrichment n/a</t>
        </is>
      </c>
      <c r="T536" s="188" t="n">
        <v>0.0016</v>
      </c>
      <c r="U536" s="188" t="n">
        <v>0.3709</v>
      </c>
      <c r="V536" s="188" t="inlineStr">
        <is>
          <t>T1189:Drive-by Compromise | T1190:Exploit Public-Facing Application</t>
        </is>
      </c>
      <c r="W536" s="188" t="n">
        <v>1</v>
      </c>
      <c r="X536" s="188" t="inlineStr">
        <is>
          <t>LOW (40%)</t>
        </is>
      </c>
      <c r="Y536" s="188" t="inlineStr">
        <is>
          <t>UNLIKELY</t>
        </is>
      </c>
      <c r="Z536" s="188" t="inlineStr">
        <is>
          <t>PATCH_AVAILABLE</t>
        </is>
      </c>
      <c r="AA536" s="188" t="inlineStr">
        <is>
          <t>https://nvd.nist.gov/vuln/detail/CVE-2025-67491</t>
        </is>
      </c>
      <c r="AB536" s="188" t="inlineStr">
        <is>
          <t>NONE</t>
        </is>
      </c>
      <c r="AC536" s="188" t="n">
        <v>0</v>
      </c>
      <c r="AD536" s="188" t="inlineStr"/>
    </row>
    <row r="537">
      <c r="A537" s="188" t="inlineStr">
        <is>
          <t>CVE</t>
        </is>
      </c>
      <c r="B537" s="188" t="inlineStr">
        <is>
          <t>CVE-2026-27598</t>
        </is>
      </c>
      <c r="C537" s="188"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537" s="188" t="n">
        <v>6.5</v>
      </c>
      <c r="E537" s="188" t="inlineStr">
        <is>
          <t>MEDIUM</t>
        </is>
      </c>
      <c r="F537" s="188" t="n">
        <v>2</v>
      </c>
      <c r="G537" s="188" t="n">
        <v>2</v>
      </c>
      <c r="H537" s="188" t="inlineStr">
        <is>
          <t>MEDIUM</t>
        </is>
      </c>
      <c r="I537" s="188" t="n">
        <v>10.5</v>
      </c>
      <c r="J537" s="188" t="inlineStr">
        <is>
          <t>NO</t>
        </is>
      </c>
      <c r="K537" s="188" t="inlineStr">
        <is>
          <t>https://nvd.nist.gov/vuln/detail/CVE-2026-27598</t>
        </is>
      </c>
      <c r="L537" s="188" t="inlineStr">
        <is>
          <t>2026-02-27 20:47</t>
        </is>
      </c>
      <c r="M537" s="188" t="inlineStr">
        <is>
          <t>YES</t>
        </is>
      </c>
      <c r="N537" s="188" t="inlineStr">
        <is>
          <t>https://github.com/dagu-org/dagu/commit/e2ed589105d79273e4e6ac8eb31525f765bb3ce4 | https://github.com/dagu-org/dagu/security/advisories/GHSA-6v48-fcq6-ff23</t>
        </is>
      </c>
      <c r="O537" s="188" t="inlineStr">
        <is>
          <t>Apply vendor patches</t>
        </is>
      </c>
      <c r="P537" s="188" t="inlineStr">
        <is>
          <t>dagu dagu *</t>
        </is>
      </c>
      <c r="Q537" s="188" t="inlineStr">
        <is>
          <t>P4</t>
        </is>
      </c>
      <c r="R537" s="188" t="inlineStr">
        <is>
          <t>📅 Schedule patch deployment within 30 days | 🔍 Monitor for exploitation attempts</t>
        </is>
      </c>
      <c r="S537" s="188" t="inlineStr">
        <is>
          <t>CVE - IP enrichment n/a</t>
        </is>
      </c>
      <c r="T537" s="188" t="n">
        <v>0.0007</v>
      </c>
      <c r="U537" s="188" t="n">
        <v>0.2165</v>
      </c>
      <c r="V537" s="188" t="inlineStr">
        <is>
          <t>T1083:File and Directory Discovery | T1190:Exploit Public-Facing Application | T1210:Exploitation of Remote Services</t>
        </is>
      </c>
      <c r="W537" s="188" t="n">
        <v>1</v>
      </c>
      <c r="X537" s="188" t="inlineStr">
        <is>
          <t>LOW (40%)</t>
        </is>
      </c>
      <c r="Y537" s="188" t="inlineStr">
        <is>
          <t>UNLIKELY</t>
        </is>
      </c>
      <c r="Z537" s="188" t="inlineStr">
        <is>
          <t>PATCH_AVAILABLE</t>
        </is>
      </c>
      <c r="AA537" s="188" t="inlineStr">
        <is>
          <t>https://nvd.nist.gov/vuln/detail/CVE-2026-27598</t>
        </is>
      </c>
      <c r="AB537" s="188" t="inlineStr">
        <is>
          <t>NONE</t>
        </is>
      </c>
      <c r="AC537" s="188" t="n">
        <v>0</v>
      </c>
      <c r="AD537" s="188" t="inlineStr"/>
    </row>
    <row r="538">
      <c r="A538" s="187" t="inlineStr">
        <is>
          <t>CVE</t>
        </is>
      </c>
      <c r="B538" s="187" t="inlineStr">
        <is>
          <t>CVE-2026-3135</t>
        </is>
      </c>
      <c r="C538" s="187"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538" s="187" t="n">
        <v>7.3</v>
      </c>
      <c r="E538" s="187" t="inlineStr">
        <is>
          <t>HIGH</t>
        </is>
      </c>
      <c r="F538" s="187" t="n">
        <v>2</v>
      </c>
      <c r="G538" s="187" t="n">
        <v>3</v>
      </c>
      <c r="H538" s="187" t="inlineStr">
        <is>
          <t>HIGH</t>
        </is>
      </c>
      <c r="I538" s="187" t="n">
        <v>13.3</v>
      </c>
      <c r="J538" s="187" t="inlineStr">
        <is>
          <t>NO</t>
        </is>
      </c>
      <c r="K538" s="187" t="inlineStr">
        <is>
          <t>https://nvd.nist.gov/vuln/detail/CVE-2026-3135</t>
        </is>
      </c>
      <c r="L538" s="187" t="inlineStr">
        <is>
          <t>2026-02-27 20:47</t>
        </is>
      </c>
      <c r="M538" s="187" t="inlineStr">
        <is>
          <t>YES</t>
        </is>
      </c>
      <c r="N538" s="187" t="inlineStr">
        <is>
          <t>https://github.com/910biter/cve/issues/2</t>
        </is>
      </c>
      <c r="O538" s="187" t="inlineStr">
        <is>
          <t>https://github.com/910biter/cve/issues/2</t>
        </is>
      </c>
      <c r="P538" s="187" t="inlineStr">
        <is>
          <t>clive_21 news_portal_project 1.0</t>
        </is>
      </c>
      <c r="Q538" s="187" t="inlineStr">
        <is>
          <t>P3</t>
        </is>
      </c>
      <c r="R538" s="187" t="inlineStr">
        <is>
          <t>🚨 URGENT: Apply vendor patches immediately | 🔒 Isolate affected systems if patch unavailable | 🛡️ Enable additional monitoring/IDS rules</t>
        </is>
      </c>
      <c r="S538" s="187" t="inlineStr">
        <is>
          <t>CVE - IP enrichment n/a</t>
        </is>
      </c>
      <c r="T538" s="187" t="n">
        <v>0.0003</v>
      </c>
      <c r="U538" s="187" t="n">
        <v>0.0711</v>
      </c>
      <c r="V538" s="187" t="inlineStr">
        <is>
          <t>T1190:Exploit Public-Facing Application</t>
        </is>
      </c>
      <c r="W538" s="187" t="n">
        <v>1</v>
      </c>
      <c r="X538" s="187" t="inlineStr">
        <is>
          <t>LOW (40%)</t>
        </is>
      </c>
      <c r="Y538" s="187" t="inlineStr">
        <is>
          <t>UNLIKELY</t>
        </is>
      </c>
      <c r="Z538" s="187" t="inlineStr">
        <is>
          <t>PATCH_AVAILABLE</t>
        </is>
      </c>
      <c r="AA538" s="187" t="inlineStr">
        <is>
          <t>https://nvd.nist.gov/vuln/detail/CVE-2026-3135</t>
        </is>
      </c>
      <c r="AB538" s="187" t="inlineStr">
        <is>
          <t>NONE</t>
        </is>
      </c>
      <c r="AC538" s="187" t="n">
        <v>0</v>
      </c>
      <c r="AD538" s="187" t="inlineStr"/>
    </row>
    <row r="539">
      <c r="A539" s="188" t="inlineStr">
        <is>
          <t>CVE</t>
        </is>
      </c>
      <c r="B539" s="188" t="inlineStr">
        <is>
          <t>CVE-2026-3137</t>
        </is>
      </c>
      <c r="C539" s="188"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539" s="188" t="n">
        <v>5.3</v>
      </c>
      <c r="E539" s="188" t="inlineStr">
        <is>
          <t>MEDIUM</t>
        </is>
      </c>
      <c r="F539" s="188" t="n">
        <v>2</v>
      </c>
      <c r="G539" s="188" t="n">
        <v>2</v>
      </c>
      <c r="H539" s="188" t="inlineStr">
        <is>
          <t>MEDIUM</t>
        </is>
      </c>
      <c r="I539" s="188" t="n">
        <v>9.300000000000001</v>
      </c>
      <c r="J539" s="188" t="inlineStr">
        <is>
          <t>NO</t>
        </is>
      </c>
      <c r="K539" s="188" t="inlineStr">
        <is>
          <t>https://nvd.nist.gov/vuln/detail/CVE-2026-3137</t>
        </is>
      </c>
      <c r="L539" s="188" t="inlineStr">
        <is>
          <t>2026-02-27 20:47</t>
        </is>
      </c>
      <c r="M539" s="188" t="inlineStr">
        <is>
          <t>CHECK_VENDOR</t>
        </is>
      </c>
      <c r="N539" s="188" t="inlineStr">
        <is>
          <t>See NVD references</t>
        </is>
      </c>
      <c r="O539" s="188" t="inlineStr">
        <is>
          <t>Apply vendor patches</t>
        </is>
      </c>
      <c r="P539" s="188" t="inlineStr">
        <is>
          <t>codeastro food_ordering_system 1.0</t>
        </is>
      </c>
      <c r="Q539" s="188" t="inlineStr">
        <is>
          <t>P4</t>
        </is>
      </c>
      <c r="R539" s="188" t="inlineStr">
        <is>
          <t>📅 Schedule patch deployment within 30 days | 🔍 Monitor for exploitation attempts</t>
        </is>
      </c>
      <c r="S539" s="188" t="inlineStr">
        <is>
          <t>CVE - IP enrichment n/a</t>
        </is>
      </c>
      <c r="T539" s="188" t="n">
        <v>0.0001</v>
      </c>
      <c r="U539" s="188" t="n">
        <v>0.0247</v>
      </c>
      <c r="V539" s="188" t="inlineStr">
        <is>
          <t>T1203:Exploitation for Client Execution</t>
        </is>
      </c>
      <c r="W539" s="188" t="n">
        <v>1</v>
      </c>
      <c r="X539" s="188" t="inlineStr">
        <is>
          <t>LOW (40%)</t>
        </is>
      </c>
      <c r="Y539" s="188" t="inlineStr">
        <is>
          <t>UNLIKELY</t>
        </is>
      </c>
      <c r="Z539" s="188" t="inlineStr">
        <is>
          <t>CHECK_VENDOR</t>
        </is>
      </c>
      <c r="AA539" s="188" t="inlineStr">
        <is>
          <t>https://nvd.nist.gov/vuln/detail/CVE-2026-3137</t>
        </is>
      </c>
      <c r="AB539" s="188" t="inlineStr">
        <is>
          <t>NONE</t>
        </is>
      </c>
      <c r="AC539" s="188" t="n">
        <v>0</v>
      </c>
      <c r="AD539" s="188" t="inlineStr"/>
    </row>
    <row r="540">
      <c r="A540" s="187" t="inlineStr">
        <is>
          <t>CVE</t>
        </is>
      </c>
      <c r="B540" s="187" t="inlineStr">
        <is>
          <t>CVE-2025-67752</t>
        </is>
      </c>
      <c r="C540" s="187"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540" s="187" t="n">
        <v>8.1</v>
      </c>
      <c r="E540" s="187" t="inlineStr">
        <is>
          <t>HIGH</t>
        </is>
      </c>
      <c r="F540" s="187" t="n">
        <v>2</v>
      </c>
      <c r="G540" s="187" t="n">
        <v>3</v>
      </c>
      <c r="H540" s="187" t="inlineStr">
        <is>
          <t>HIGH</t>
        </is>
      </c>
      <c r="I540" s="187" t="n">
        <v>14.1</v>
      </c>
      <c r="J540" s="187" t="inlineStr">
        <is>
          <t>NO</t>
        </is>
      </c>
      <c r="K540" s="187" t="inlineStr">
        <is>
          <t>https://nvd.nist.gov/vuln/detail/CVE-2025-67752</t>
        </is>
      </c>
      <c r="L540" s="187" t="inlineStr">
        <is>
          <t>2026-02-27 20:47</t>
        </is>
      </c>
      <c r="M540" s="187" t="inlineStr">
        <is>
          <t>YES</t>
        </is>
      </c>
      <c r="N540" s="187" t="inlineStr">
        <is>
          <t>https://github.com/openemr/openemr/commit/22f8e53e5769a88b7a16cb223bd197d044c84e5a | https://github.com/openemr/openemr/security/advisories/GHSA-2g6h-725p-pqhp</t>
        </is>
      </c>
      <c r="O540" s="187" t="inlineStr">
        <is>
          <t>Apply vendor patches</t>
        </is>
      </c>
      <c r="P540" s="187" t="inlineStr">
        <is>
          <t>open-emr openemr *</t>
        </is>
      </c>
      <c r="Q540" s="187" t="inlineStr">
        <is>
          <t>P3</t>
        </is>
      </c>
      <c r="R540" s="187" t="inlineStr">
        <is>
          <t>🚨 URGENT: Apply vendor patches immediately | 🔒 Isolate affected systems if patch unavailable | 🛡️ Enable additional monitoring/IDS rules</t>
        </is>
      </c>
      <c r="S540" s="187" t="inlineStr">
        <is>
          <t>CVE - IP enrichment n/a</t>
        </is>
      </c>
      <c r="T540" s="187" t="n">
        <v>0.0001</v>
      </c>
      <c r="U540" s="187" t="n">
        <v>0.0028</v>
      </c>
      <c r="V540" s="187" t="inlineStr">
        <is>
          <t>T1190:Exploit Public-Facing Application | T1557:Adversary-in-the-Middle</t>
        </is>
      </c>
      <c r="W540" s="187" t="n">
        <v>1</v>
      </c>
      <c r="X540" s="187" t="inlineStr">
        <is>
          <t>LOW (40%)</t>
        </is>
      </c>
      <c r="Y540" s="187" t="inlineStr">
        <is>
          <t>UNLIKELY</t>
        </is>
      </c>
      <c r="Z540" s="187" t="inlineStr">
        <is>
          <t>PATCH_AVAILABLE</t>
        </is>
      </c>
      <c r="AA540" s="187" t="inlineStr">
        <is>
          <t>https://nvd.nist.gov/vuln/detail/CVE-2025-67752</t>
        </is>
      </c>
      <c r="AB540" s="187" t="inlineStr">
        <is>
          <t>NONE</t>
        </is>
      </c>
      <c r="AC540" s="187" t="n">
        <v>0</v>
      </c>
      <c r="AD540" s="187" t="inlineStr"/>
    </row>
    <row r="541">
      <c r="A541" s="188" t="inlineStr">
        <is>
          <t>CVE</t>
        </is>
      </c>
      <c r="B541" s="188" t="inlineStr">
        <is>
          <t>CVE-2025-68277</t>
        </is>
      </c>
      <c r="C541" s="188"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541" s="188" t="n">
        <v>5</v>
      </c>
      <c r="E541" s="188" t="inlineStr">
        <is>
          <t>MEDIUM</t>
        </is>
      </c>
      <c r="F541" s="188" t="n">
        <v>2</v>
      </c>
      <c r="G541" s="188" t="n">
        <v>2</v>
      </c>
      <c r="H541" s="188" t="inlineStr">
        <is>
          <t>MEDIUM</t>
        </is>
      </c>
      <c r="I541" s="188" t="n">
        <v>9</v>
      </c>
      <c r="J541" s="188" t="inlineStr">
        <is>
          <t>NO</t>
        </is>
      </c>
      <c r="K541" s="188" t="inlineStr">
        <is>
          <t>https://nvd.nist.gov/vuln/detail/CVE-2025-68277</t>
        </is>
      </c>
      <c r="L541" s="188" t="inlineStr">
        <is>
          <t>2026-02-27 20:47</t>
        </is>
      </c>
      <c r="M541" s="188" t="inlineStr">
        <is>
          <t>YES</t>
        </is>
      </c>
      <c r="N541" s="188" t="inlineStr">
        <is>
          <t>https://github.com/openemr/openemr/commit/11ec62d1683571a629734fba66f7fb68d0bdc312 | https://github.com/openemr/openemr/security/advisories/GHSA-566c-8c52-2jch</t>
        </is>
      </c>
      <c r="O541" s="188" t="inlineStr">
        <is>
          <t>Apply vendor patches</t>
        </is>
      </c>
      <c r="P541" s="188" t="inlineStr">
        <is>
          <t>open-emr openemr *</t>
        </is>
      </c>
      <c r="Q541" s="188" t="inlineStr">
        <is>
          <t>P4</t>
        </is>
      </c>
      <c r="R541" s="188" t="inlineStr">
        <is>
          <t>📅 Schedule patch deployment within 30 days | 🔍 Monitor for exploitation attempts</t>
        </is>
      </c>
      <c r="S541" s="188" t="inlineStr">
        <is>
          <t>CVE - IP enrichment n/a</t>
        </is>
      </c>
      <c r="T541" s="188" t="n">
        <v>0.0001</v>
      </c>
      <c r="U541" s="188" t="n">
        <v>0.0025</v>
      </c>
      <c r="V541" s="188" t="inlineStr">
        <is>
          <t>T1190:Exploit Public-Facing Application | T1566:Phishing</t>
        </is>
      </c>
      <c r="W541" s="188" t="n">
        <v>1</v>
      </c>
      <c r="X541" s="188" t="inlineStr">
        <is>
          <t>LOW (40%)</t>
        </is>
      </c>
      <c r="Y541" s="188" t="inlineStr">
        <is>
          <t>UNLIKELY</t>
        </is>
      </c>
      <c r="Z541" s="188" t="inlineStr">
        <is>
          <t>PATCH_AVAILABLE</t>
        </is>
      </c>
      <c r="AA541" s="188" t="inlineStr">
        <is>
          <t>https://nvd.nist.gov/vuln/detail/CVE-2025-68277</t>
        </is>
      </c>
      <c r="AB541" s="188" t="inlineStr">
        <is>
          <t>NONE</t>
        </is>
      </c>
      <c r="AC541" s="188" t="n">
        <v>0</v>
      </c>
      <c r="AD541" s="188" t="inlineStr"/>
    </row>
    <row r="542">
      <c r="A542" s="187" t="inlineStr">
        <is>
          <t>CVE</t>
        </is>
      </c>
      <c r="B542" s="187" t="inlineStr">
        <is>
          <t>CVE-2025-69231</t>
        </is>
      </c>
      <c r="C542" s="187"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542" s="187" t="n">
        <v>8.699999999999999</v>
      </c>
      <c r="E542" s="187" t="inlineStr">
        <is>
          <t>HIGH</t>
        </is>
      </c>
      <c r="F542" s="187" t="n">
        <v>2</v>
      </c>
      <c r="G542" s="187" t="n">
        <v>3</v>
      </c>
      <c r="H542" s="187" t="inlineStr">
        <is>
          <t>HIGH</t>
        </is>
      </c>
      <c r="I542" s="187" t="n">
        <v>14.7</v>
      </c>
      <c r="J542" s="187" t="inlineStr">
        <is>
          <t>NO</t>
        </is>
      </c>
      <c r="K542" s="187" t="inlineStr">
        <is>
          <t>https://nvd.nist.gov/vuln/detail/CVE-2025-69231</t>
        </is>
      </c>
      <c r="L542" s="187" t="inlineStr">
        <is>
          <t>2026-02-27 20:47</t>
        </is>
      </c>
      <c r="M542" s="187" t="inlineStr">
        <is>
          <t>YES</t>
        </is>
      </c>
      <c r="N542" s="187" t="inlineStr">
        <is>
          <t>https://github.com/openemr/openemr/commit/5f20b756441fc9868f43410a9ef97536c38b2ba6 | https://github.com/openemr/openemr/security/advisories/GHSA-mf62-q2xc-hxm3</t>
        </is>
      </c>
      <c r="O542" s="187" t="inlineStr">
        <is>
          <t>Apply vendor patches</t>
        </is>
      </c>
      <c r="P542" s="187" t="inlineStr">
        <is>
          <t>open-emr openemr *</t>
        </is>
      </c>
      <c r="Q542" s="187" t="inlineStr">
        <is>
          <t>P3</t>
        </is>
      </c>
      <c r="R542" s="187" t="inlineStr">
        <is>
          <t>🚨 URGENT: Apply vendor patches immediately | 🔒 Isolate affected systems if patch unavailable | 🛡️ Enable additional monitoring/IDS rules</t>
        </is>
      </c>
      <c r="S542" s="187" t="inlineStr">
        <is>
          <t>CVE - IP enrichment n/a</t>
        </is>
      </c>
      <c r="T542" s="187" t="n">
        <v>0.0017</v>
      </c>
      <c r="U542" s="187" t="n">
        <v>0.3783</v>
      </c>
      <c r="V542" s="187" t="inlineStr">
        <is>
          <t>T1189:Drive-by Compromise | T1190:Exploit Public-Facing Application | T1068:Exploitation for Privilege Escalation</t>
        </is>
      </c>
      <c r="W542" s="187" t="n">
        <v>1</v>
      </c>
      <c r="X542" s="187" t="inlineStr">
        <is>
          <t>LOW (40%)</t>
        </is>
      </c>
      <c r="Y542" s="187" t="inlineStr">
        <is>
          <t>UNLIKELY</t>
        </is>
      </c>
      <c r="Z542" s="187" t="inlineStr">
        <is>
          <t>PATCH_AVAILABLE</t>
        </is>
      </c>
      <c r="AA542" s="187" t="inlineStr">
        <is>
          <t>https://nvd.nist.gov/vuln/detail/CVE-2025-69231</t>
        </is>
      </c>
      <c r="AB542" s="187" t="inlineStr">
        <is>
          <t>NONE</t>
        </is>
      </c>
      <c r="AC542" s="187" t="n">
        <v>0</v>
      </c>
      <c r="AD542" s="187" t="inlineStr"/>
    </row>
    <row r="543">
      <c r="A543" s="188" t="inlineStr">
        <is>
          <t>CVE</t>
        </is>
      </c>
      <c r="B543" s="188" t="inlineStr">
        <is>
          <t>CVE-2026-21443</t>
        </is>
      </c>
      <c r="C543" s="188"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543" s="188" t="n">
        <v>6.1</v>
      </c>
      <c r="E543" s="188" t="inlineStr">
        <is>
          <t>MEDIUM</t>
        </is>
      </c>
      <c r="F543" s="188" t="n">
        <v>2</v>
      </c>
      <c r="G543" s="188" t="n">
        <v>2</v>
      </c>
      <c r="H543" s="188" t="inlineStr">
        <is>
          <t>MEDIUM</t>
        </is>
      </c>
      <c r="I543" s="188" t="n">
        <v>10.1</v>
      </c>
      <c r="J543" s="188" t="inlineStr">
        <is>
          <t>NO</t>
        </is>
      </c>
      <c r="K543" s="188" t="inlineStr">
        <is>
          <t>https://nvd.nist.gov/vuln/detail/CVE-2026-21443</t>
        </is>
      </c>
      <c r="L543" s="188" t="inlineStr">
        <is>
          <t>2026-02-27 20:47</t>
        </is>
      </c>
      <c r="M543" s="188" t="inlineStr">
        <is>
          <t>YES</t>
        </is>
      </c>
      <c r="N543" s="188" t="inlineStr">
        <is>
          <t>https://github.com/openemr/openemr/commit/b1e3fe8a9ed8bcaf17e0b73d7fad5434f9fe36da | https://github.com/openemr/openemr/security/advisories/GHSA-3f9j-cqjj-7h46</t>
        </is>
      </c>
      <c r="O543" s="188" t="inlineStr">
        <is>
          <t>https://github.com/openemr/openemr/security/advisories/GHSA-3f9j-cqjj-7h46</t>
        </is>
      </c>
      <c r="P543" s="188" t="inlineStr">
        <is>
          <t>open-emr openemr *</t>
        </is>
      </c>
      <c r="Q543" s="188" t="inlineStr">
        <is>
          <t>P4</t>
        </is>
      </c>
      <c r="R543" s="188" t="inlineStr">
        <is>
          <t>📅 Schedule patch deployment within 30 days | 🔍 Monitor for exploitation attempts</t>
        </is>
      </c>
      <c r="S543" s="188" t="inlineStr">
        <is>
          <t>CVE - IP enrichment n/a</t>
        </is>
      </c>
      <c r="T543" s="188" t="n">
        <v>0.0011</v>
      </c>
      <c r="U543" s="188" t="n">
        <v>0.2928</v>
      </c>
      <c r="V543" s="188" t="inlineStr">
        <is>
          <t>T1190:Exploit Public-Facing Application | T1189:Drive-by Compromise</t>
        </is>
      </c>
      <c r="W543" s="188" t="n">
        <v>1</v>
      </c>
      <c r="X543" s="188" t="inlineStr">
        <is>
          <t>LOW (40%)</t>
        </is>
      </c>
      <c r="Y543" s="188" t="inlineStr">
        <is>
          <t>UNLIKELY</t>
        </is>
      </c>
      <c r="Z543" s="188" t="inlineStr">
        <is>
          <t>PATCH_AVAILABLE</t>
        </is>
      </c>
      <c r="AA543" s="188" t="inlineStr">
        <is>
          <t>https://nvd.nist.gov/vuln/detail/CVE-2026-21443</t>
        </is>
      </c>
      <c r="AB543" s="188" t="inlineStr">
        <is>
          <t>NONE</t>
        </is>
      </c>
      <c r="AC543" s="188" t="n">
        <v>0</v>
      </c>
      <c r="AD543" s="188" t="inlineStr"/>
    </row>
    <row r="544">
      <c r="A544" s="188" t="inlineStr">
        <is>
          <t>CVE</t>
        </is>
      </c>
      <c r="B544" s="188" t="inlineStr">
        <is>
          <t>CVE-2026-24847</t>
        </is>
      </c>
      <c r="C544" s="188"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544" s="188" t="n">
        <v>6.1</v>
      </c>
      <c r="E544" s="188" t="inlineStr">
        <is>
          <t>MEDIUM</t>
        </is>
      </c>
      <c r="F544" s="188" t="n">
        <v>2</v>
      </c>
      <c r="G544" s="188" t="n">
        <v>2</v>
      </c>
      <c r="H544" s="188" t="inlineStr">
        <is>
          <t>MEDIUM</t>
        </is>
      </c>
      <c r="I544" s="188" t="n">
        <v>10.1</v>
      </c>
      <c r="J544" s="188" t="inlineStr">
        <is>
          <t>NO</t>
        </is>
      </c>
      <c r="K544" s="188" t="inlineStr">
        <is>
          <t>https://nvd.nist.gov/vuln/detail/CVE-2026-24847</t>
        </is>
      </c>
      <c r="L544" s="188" t="inlineStr">
        <is>
          <t>2026-02-27 20:47</t>
        </is>
      </c>
      <c r="M544" s="188" t="inlineStr">
        <is>
          <t>YES</t>
        </is>
      </c>
      <c r="N544" s="188" t="inlineStr">
        <is>
          <t>https://github.com/openemr/openemr/commit/b924459bb5b2844f8f5d3d6cedd2e854eda20aad | https://github.com/openemr/openemr/security/advisories/GHSA-6f42-6q2r-fc2h</t>
        </is>
      </c>
      <c r="O544" s="188" t="inlineStr">
        <is>
          <t>Apply vendor patches</t>
        </is>
      </c>
      <c r="P544" s="188" t="inlineStr">
        <is>
          <t>open-emr openemr *</t>
        </is>
      </c>
      <c r="Q544" s="188" t="inlineStr">
        <is>
          <t>P4</t>
        </is>
      </c>
      <c r="R544" s="188" t="inlineStr">
        <is>
          <t>📅 Schedule patch deployment within 30 days | 🔍 Monitor for exploitation attempts</t>
        </is>
      </c>
      <c r="S544" s="188" t="inlineStr">
        <is>
          <t>CVE - IP enrichment n/a</t>
        </is>
      </c>
      <c r="T544" s="188" t="n">
        <v>0.0009</v>
      </c>
      <c r="U544" s="188" t="n">
        <v>0.2485</v>
      </c>
      <c r="V544" s="188" t="inlineStr">
        <is>
          <t>T1189:Drive-by Compromise | T1190:Exploit Public-Facing Application | T1566:Phishing</t>
        </is>
      </c>
      <c r="W544" s="188" t="n">
        <v>1</v>
      </c>
      <c r="X544" s="188" t="inlineStr">
        <is>
          <t>LOW (40%)</t>
        </is>
      </c>
      <c r="Y544" s="188" t="inlineStr">
        <is>
          <t>UNLIKELY</t>
        </is>
      </c>
      <c r="Z544" s="188" t="inlineStr">
        <is>
          <t>PATCH_AVAILABLE</t>
        </is>
      </c>
      <c r="AA544" s="188" t="inlineStr">
        <is>
          <t>https://nvd.nist.gov/vuln/detail/CVE-2026-24847</t>
        </is>
      </c>
      <c r="AB544" s="188" t="inlineStr">
        <is>
          <t>NONE</t>
        </is>
      </c>
      <c r="AC544" s="188" t="n">
        <v>0</v>
      </c>
      <c r="AD544" s="188" t="inlineStr"/>
    </row>
    <row r="545">
      <c r="A545" s="189" t="inlineStr">
        <is>
          <t>CVE</t>
        </is>
      </c>
      <c r="B545" s="189" t="inlineStr">
        <is>
          <t>CVE-2026-24849</t>
        </is>
      </c>
      <c r="C545" s="189"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545" s="189" t="n">
        <v>9.9</v>
      </c>
      <c r="E545" s="189" t="inlineStr">
        <is>
          <t>CRITICAL</t>
        </is>
      </c>
      <c r="F545" s="189" t="n">
        <v>2</v>
      </c>
      <c r="G545" s="189" t="n">
        <v>3</v>
      </c>
      <c r="H545" s="189" t="inlineStr">
        <is>
          <t>HIGH</t>
        </is>
      </c>
      <c r="I545" s="189" t="n">
        <v>15.9</v>
      </c>
      <c r="J545" s="189" t="inlineStr">
        <is>
          <t>NO</t>
        </is>
      </c>
      <c r="K545" s="189" t="inlineStr">
        <is>
          <t>https://nvd.nist.gov/vuln/detail/CVE-2026-24849</t>
        </is>
      </c>
      <c r="L545" s="189" t="inlineStr">
        <is>
          <t>2026-02-27 20:47</t>
        </is>
      </c>
      <c r="M545" s="189" t="inlineStr">
        <is>
          <t>YES</t>
        </is>
      </c>
      <c r="N545" s="189" t="inlineStr">
        <is>
          <t>https://github.com/openemr/openemr/commit/22f8e53e5769a88b7a16cb223bd197d044c84e5a | https://github.com/openemr/openemr/security/advisories/GHSA-w6vc-hx2x-48pc</t>
        </is>
      </c>
      <c r="O545" s="189" t="inlineStr">
        <is>
          <t>https://github.com/openemr/openemr/security/advisories/GHSA-w6vc-hx2x-48pc</t>
        </is>
      </c>
      <c r="P545" s="189" t="inlineStr">
        <is>
          <t>open-emr openemr *</t>
        </is>
      </c>
      <c r="Q545" s="189" t="inlineStr">
        <is>
          <t>P3</t>
        </is>
      </c>
      <c r="R545" s="189" t="inlineStr">
        <is>
          <t>🚨 URGENT: Apply vendor patches immediately | 🔒 Isolate affected systems if patch unavailable | 🛡️ Enable additional monitoring/IDS rules</t>
        </is>
      </c>
      <c r="S545" s="189" t="inlineStr">
        <is>
          <t>CVE - IP enrichment n/a</t>
        </is>
      </c>
      <c r="T545" s="189" t="n">
        <v>0.0001</v>
      </c>
      <c r="U545" s="189" t="n">
        <v>0.0089</v>
      </c>
      <c r="V545" s="189" t="inlineStr">
        <is>
          <t>T1083:File and Directory Discovery | T1190:Exploit Public-Facing Application</t>
        </is>
      </c>
      <c r="W545" s="189" t="n">
        <v>1</v>
      </c>
      <c r="X545" s="189" t="inlineStr">
        <is>
          <t>LOW (40%)</t>
        </is>
      </c>
      <c r="Y545" s="189" t="inlineStr">
        <is>
          <t>UNLIKELY</t>
        </is>
      </c>
      <c r="Z545" s="189" t="inlineStr">
        <is>
          <t>PATCH_AVAILABLE</t>
        </is>
      </c>
      <c r="AA545" s="189" t="inlineStr">
        <is>
          <t>https://nvd.nist.gov/vuln/detail/CVE-2026-24849</t>
        </is>
      </c>
      <c r="AB545" s="189" t="inlineStr">
        <is>
          <t>NONE</t>
        </is>
      </c>
      <c r="AC545" s="189" t="n">
        <v>0</v>
      </c>
      <c r="AD545" s="189" t="inlineStr"/>
    </row>
    <row r="546">
      <c r="A546" s="188" t="inlineStr">
        <is>
          <t>CVE</t>
        </is>
      </c>
      <c r="B546" s="188" t="inlineStr">
        <is>
          <t>CVE-2026-24896</t>
        </is>
      </c>
      <c r="C546" s="188"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546" s="188" t="n">
        <v>6.5</v>
      </c>
      <c r="E546" s="188" t="inlineStr">
        <is>
          <t>MEDIUM</t>
        </is>
      </c>
      <c r="F546" s="188" t="n">
        <v>2</v>
      </c>
      <c r="G546" s="188" t="n">
        <v>2</v>
      </c>
      <c r="H546" s="188" t="inlineStr">
        <is>
          <t>MEDIUM</t>
        </is>
      </c>
      <c r="I546" s="188" t="n">
        <v>10.5</v>
      </c>
      <c r="J546" s="188" t="inlineStr">
        <is>
          <t>NO</t>
        </is>
      </c>
      <c r="K546" s="188" t="inlineStr">
        <is>
          <t>https://nvd.nist.gov/vuln/detail/CVE-2026-24896</t>
        </is>
      </c>
      <c r="L546" s="188" t="inlineStr">
        <is>
          <t>2026-02-27 20:47</t>
        </is>
      </c>
      <c r="M546" s="188" t="inlineStr">
        <is>
          <t>YES</t>
        </is>
      </c>
      <c r="N546" s="188" t="inlineStr">
        <is>
          <t>https://github.com/openemr/openemr/commit/1a57dfc244b30e96e7ebdb5ba6f331a6eb868df1 | https://github.com/openemr/openemr/security/advisories/GHSA-rccq-vjfg-ggjh</t>
        </is>
      </c>
      <c r="O546" s="188" t="inlineStr">
        <is>
          <t>Apply vendor patches</t>
        </is>
      </c>
      <c r="P546" s="188" t="inlineStr">
        <is>
          <t>open-emr openemr *</t>
        </is>
      </c>
      <c r="Q546" s="188" t="inlineStr">
        <is>
          <t>P4</t>
        </is>
      </c>
      <c r="R546" s="188" t="inlineStr">
        <is>
          <t>📅 Schedule patch deployment within 30 days | 🔍 Monitor for exploitation attempts</t>
        </is>
      </c>
      <c r="S546" s="188" t="inlineStr">
        <is>
          <t>CVE - IP enrichment n/a</t>
        </is>
      </c>
      <c r="T546" s="188" t="n">
        <v>0.0003</v>
      </c>
      <c r="U546" s="188" t="n">
        <v>0.0832</v>
      </c>
      <c r="V546" s="188" t="inlineStr">
        <is>
          <t>T1190:Exploit Public-Facing Application</t>
        </is>
      </c>
      <c r="W546" s="188" t="n">
        <v>1</v>
      </c>
      <c r="X546" s="188" t="inlineStr">
        <is>
          <t>LOW (40%)</t>
        </is>
      </c>
      <c r="Y546" s="188" t="inlineStr">
        <is>
          <t>UNLIKELY</t>
        </is>
      </c>
      <c r="Z546" s="188" t="inlineStr">
        <is>
          <t>PATCH_AVAILABLE</t>
        </is>
      </c>
      <c r="AA546" s="188" t="inlineStr">
        <is>
          <t>https://nvd.nist.gov/vuln/detail/CVE-2026-24896</t>
        </is>
      </c>
      <c r="AB546" s="188" t="inlineStr">
        <is>
          <t>NONE</t>
        </is>
      </c>
      <c r="AC546" s="188" t="n">
        <v>0</v>
      </c>
      <c r="AD546" s="188" t="inlineStr"/>
    </row>
    <row r="547">
      <c r="A547" s="188" t="inlineStr">
        <is>
          <t>CVE</t>
        </is>
      </c>
      <c r="B547" s="188" t="inlineStr">
        <is>
          <t>CVE-2026-25124</t>
        </is>
      </c>
      <c r="C547" s="188"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547" s="188" t="n">
        <v>6.5</v>
      </c>
      <c r="E547" s="188" t="inlineStr">
        <is>
          <t>MEDIUM</t>
        </is>
      </c>
      <c r="F547" s="188" t="n">
        <v>2</v>
      </c>
      <c r="G547" s="188" t="n">
        <v>2</v>
      </c>
      <c r="H547" s="188" t="inlineStr">
        <is>
          <t>MEDIUM</t>
        </is>
      </c>
      <c r="I547" s="188" t="n">
        <v>10.5</v>
      </c>
      <c r="J547" s="188" t="inlineStr">
        <is>
          <t>NO</t>
        </is>
      </c>
      <c r="K547" s="188" t="inlineStr">
        <is>
          <t>https://nvd.nist.gov/vuln/detail/CVE-2026-25124</t>
        </is>
      </c>
      <c r="L547" s="188" t="inlineStr">
        <is>
          <t>2026-02-27 20:47</t>
        </is>
      </c>
      <c r="M547" s="188" t="inlineStr">
        <is>
          <t>YES</t>
        </is>
      </c>
      <c r="N547" s="188" t="inlineStr">
        <is>
          <t>https://github.com/openemr/openemr/commit/ad902d6892482fff2e3c56bfb15597df8b6c3beb | https://github.com/openemr/openemr/security/advisories/GHSA-q7p5-rrwj-qmp2</t>
        </is>
      </c>
      <c r="O547" s="188" t="inlineStr">
        <is>
          <t>https://github.com/openemr/openemr/security/advisories/GHSA-q7p5-rrwj-qmp2</t>
        </is>
      </c>
      <c r="P547" s="188" t="inlineStr">
        <is>
          <t>open-emr openemr *</t>
        </is>
      </c>
      <c r="Q547" s="188" t="inlineStr">
        <is>
          <t>P4</t>
        </is>
      </c>
      <c r="R547" s="188" t="inlineStr">
        <is>
          <t>📅 Schedule patch deployment within 30 days | 🔍 Monitor for exploitation attempts</t>
        </is>
      </c>
      <c r="S547" s="188" t="inlineStr">
        <is>
          <t>CVE - IP enrichment n/a</t>
        </is>
      </c>
      <c r="T547" s="188" t="n">
        <v>0.0003</v>
      </c>
      <c r="U547" s="188" t="n">
        <v>0.0882</v>
      </c>
      <c r="V547" s="188" t="inlineStr">
        <is>
          <t>T1190:Exploit Public-Facing Application</t>
        </is>
      </c>
      <c r="W547" s="188" t="n">
        <v>1</v>
      </c>
      <c r="X547" s="188" t="inlineStr">
        <is>
          <t>LOW (40%)</t>
        </is>
      </c>
      <c r="Y547" s="188" t="inlineStr">
        <is>
          <t>UNLIKELY</t>
        </is>
      </c>
      <c r="Z547" s="188" t="inlineStr">
        <is>
          <t>PATCH_AVAILABLE</t>
        </is>
      </c>
      <c r="AA547" s="188" t="inlineStr">
        <is>
          <t>https://nvd.nist.gov/vuln/detail/CVE-2026-25124</t>
        </is>
      </c>
      <c r="AB547" s="188" t="inlineStr">
        <is>
          <t>NONE</t>
        </is>
      </c>
      <c r="AC547" s="188" t="n">
        <v>0</v>
      </c>
      <c r="AD547" s="188" t="inlineStr"/>
    </row>
    <row r="548">
      <c r="A548" s="188" t="inlineStr">
        <is>
          <t>CVE</t>
        </is>
      </c>
      <c r="B548" s="188" t="inlineStr">
        <is>
          <t>CVE-2026-25127</t>
        </is>
      </c>
      <c r="C548" s="188"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548" s="188" t="n">
        <v>6.5</v>
      </c>
      <c r="E548" s="188" t="inlineStr">
        <is>
          <t>MEDIUM</t>
        </is>
      </c>
      <c r="F548" s="188" t="n">
        <v>2</v>
      </c>
      <c r="G548" s="188" t="n">
        <v>2</v>
      </c>
      <c r="H548" s="188" t="inlineStr">
        <is>
          <t>MEDIUM</t>
        </is>
      </c>
      <c r="I548" s="188" t="n">
        <v>10.5</v>
      </c>
      <c r="J548" s="188" t="inlineStr">
        <is>
          <t>NO</t>
        </is>
      </c>
      <c r="K548" s="188" t="inlineStr">
        <is>
          <t>https://nvd.nist.gov/vuln/detail/CVE-2026-25127</t>
        </is>
      </c>
      <c r="L548" s="188" t="inlineStr">
        <is>
          <t>2026-02-27 20:47</t>
        </is>
      </c>
      <c r="M548" s="188" t="inlineStr">
        <is>
          <t>YES</t>
        </is>
      </c>
      <c r="N548" s="188" t="inlineStr">
        <is>
          <t>https://github.com/openemr/openemr/commit/ad902d6892482fff2e3c56bfb15597df8b6c3beb | https://github.com/openemr/openemr/security/advisories/GHSA-69cv-rv28-4g85</t>
        </is>
      </c>
      <c r="O548" s="188" t="inlineStr">
        <is>
          <t>Apply vendor patches</t>
        </is>
      </c>
      <c r="P548" s="188" t="inlineStr">
        <is>
          <t>open-emr openemr *</t>
        </is>
      </c>
      <c r="Q548" s="188" t="inlineStr">
        <is>
          <t>P4</t>
        </is>
      </c>
      <c r="R548" s="188" t="inlineStr">
        <is>
          <t>📅 Schedule patch deployment within 30 days | 🔍 Monitor for exploitation attempts</t>
        </is>
      </c>
      <c r="S548" s="188" t="inlineStr">
        <is>
          <t>CVE - IP enrichment n/a</t>
        </is>
      </c>
      <c r="T548" s="188" t="n">
        <v>0.0009</v>
      </c>
      <c r="U548" s="188" t="n">
        <v>0.2518</v>
      </c>
      <c r="V548" s="188" t="inlineStr">
        <is>
          <t>T1190:Exploit Public-Facing Application</t>
        </is>
      </c>
      <c r="W548" s="188" t="n">
        <v>1</v>
      </c>
      <c r="X548" s="188" t="inlineStr">
        <is>
          <t>LOW (40%)</t>
        </is>
      </c>
      <c r="Y548" s="188" t="inlineStr">
        <is>
          <t>UNLIKELY</t>
        </is>
      </c>
      <c r="Z548" s="188" t="inlineStr">
        <is>
          <t>PATCH_AVAILABLE</t>
        </is>
      </c>
      <c r="AA548" s="188" t="inlineStr">
        <is>
          <t>https://nvd.nist.gov/vuln/detail/CVE-2026-25127</t>
        </is>
      </c>
      <c r="AB548" s="188" t="inlineStr">
        <is>
          <t>NONE</t>
        </is>
      </c>
      <c r="AC548" s="188" t="n">
        <v>0</v>
      </c>
      <c r="AD548" s="188" t="inlineStr"/>
    </row>
    <row r="549">
      <c r="A549" s="187" t="inlineStr">
        <is>
          <t>CVE</t>
        </is>
      </c>
      <c r="B549" s="187" t="inlineStr">
        <is>
          <t>CVE-2026-25131</t>
        </is>
      </c>
      <c r="C549" s="187"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549" s="187" t="n">
        <v>8.800000000000001</v>
      </c>
      <c r="E549" s="187" t="inlineStr">
        <is>
          <t>HIGH</t>
        </is>
      </c>
      <c r="F549" s="187" t="n">
        <v>2</v>
      </c>
      <c r="G549" s="187" t="n">
        <v>3</v>
      </c>
      <c r="H549" s="187" t="inlineStr">
        <is>
          <t>HIGH</t>
        </is>
      </c>
      <c r="I549" s="187" t="n">
        <v>14.8</v>
      </c>
      <c r="J549" s="187" t="inlineStr">
        <is>
          <t>NO</t>
        </is>
      </c>
      <c r="K549" s="187" t="inlineStr">
        <is>
          <t>https://nvd.nist.gov/vuln/detail/CVE-2026-25131</t>
        </is>
      </c>
      <c r="L549" s="187" t="inlineStr">
        <is>
          <t>2026-02-27 20:47</t>
        </is>
      </c>
      <c r="M549" s="187" t="inlineStr">
        <is>
          <t>YES</t>
        </is>
      </c>
      <c r="N549" s="187" t="inlineStr">
        <is>
          <t>https://github.com/openemr/openemr/commit/1e63cbab34558bca029533f87cdb6efb1ff32c75 | https://github.com/openemr/openemr/security/advisories/GHSA-6h2m-4ppf-ph4j</t>
        </is>
      </c>
      <c r="O549" s="187" t="inlineStr">
        <is>
          <t>https://github.com/openemr/openemr/security/advisories/GHSA-6h2m-4ppf-ph4j</t>
        </is>
      </c>
      <c r="P549" s="187" t="inlineStr">
        <is>
          <t>open-emr openemr *</t>
        </is>
      </c>
      <c r="Q549" s="187" t="inlineStr">
        <is>
          <t>P3</t>
        </is>
      </c>
      <c r="R549" s="187" t="inlineStr">
        <is>
          <t>🚨 URGENT: Apply vendor patches immediately | 🔒 Isolate affected systems if patch unavailable | 🛡️ Enable additional monitoring/IDS rules</t>
        </is>
      </c>
      <c r="S549" s="187" t="inlineStr">
        <is>
          <t>CVE - IP enrichment n/a</t>
        </is>
      </c>
      <c r="T549" s="187" t="n">
        <v>0.0003</v>
      </c>
      <c r="U549" s="187" t="n">
        <v>0.09810000000000001</v>
      </c>
      <c r="V549" s="187" t="inlineStr">
        <is>
          <t>T1190:Exploit Public-Facing Application</t>
        </is>
      </c>
      <c r="W549" s="187" t="n">
        <v>1</v>
      </c>
      <c r="X549" s="187" t="inlineStr">
        <is>
          <t>LOW (40%)</t>
        </is>
      </c>
      <c r="Y549" s="187" t="inlineStr">
        <is>
          <t>UNLIKELY</t>
        </is>
      </c>
      <c r="Z549" s="187" t="inlineStr">
        <is>
          <t>PATCH_AVAILABLE</t>
        </is>
      </c>
      <c r="AA549" s="187" t="inlineStr">
        <is>
          <t>https://nvd.nist.gov/vuln/detail/CVE-2026-25131</t>
        </is>
      </c>
      <c r="AB549" s="187" t="inlineStr">
        <is>
          <t>NONE</t>
        </is>
      </c>
      <c r="AC549" s="187" t="n">
        <v>0</v>
      </c>
      <c r="AD549" s="187" t="inlineStr"/>
    </row>
    <row r="550">
      <c r="A550" s="188" t="inlineStr">
        <is>
          <t>CVE</t>
        </is>
      </c>
      <c r="B550" s="188" t="inlineStr">
        <is>
          <t>CVE-2026-2914</t>
        </is>
      </c>
      <c r="C550" s="188" t="inlineStr">
        <is>
          <t>CyberArk Endpoint Privilege Manager Agent versions 25.10.0 and lower allow potential unauthorized privilege elevation leveraging CyberArk elevation dialogs</t>
        </is>
      </c>
      <c r="D550" s="188" t="n">
        <v>5</v>
      </c>
      <c r="E550" s="188" t="inlineStr">
        <is>
          <t>MEDIUM</t>
        </is>
      </c>
      <c r="F550" s="188" t="n">
        <v>2</v>
      </c>
      <c r="G550" s="188" t="n">
        <v>2</v>
      </c>
      <c r="H550" s="188" t="inlineStr">
        <is>
          <t>MEDIUM</t>
        </is>
      </c>
      <c r="I550" s="188" t="n">
        <v>9</v>
      </c>
      <c r="J550" s="188" t="inlineStr">
        <is>
          <t>NO</t>
        </is>
      </c>
      <c r="K550" s="188" t="inlineStr">
        <is>
          <t>https://nvd.nist.gov/vuln/detail/CVE-2026-2914</t>
        </is>
      </c>
      <c r="L550" s="188" t="inlineStr">
        <is>
          <t>2026-02-27 20:47</t>
        </is>
      </c>
      <c r="M550" s="188" t="inlineStr">
        <is>
          <t>CHECK_VENDOR</t>
        </is>
      </c>
      <c r="N550" s="188" t="inlineStr">
        <is>
          <t>See NVD references</t>
        </is>
      </c>
      <c r="O550" s="188" t="inlineStr">
        <is>
          <t>Apply vendor patches</t>
        </is>
      </c>
      <c r="P550" s="188" t="inlineStr">
        <is>
          <t>See CVE details</t>
        </is>
      </c>
      <c r="Q550" s="188" t="inlineStr">
        <is>
          <t>P4</t>
        </is>
      </c>
      <c r="R550" s="188" t="inlineStr">
        <is>
          <t>📅 Schedule patch deployment within 30 days | 🔍 Monitor for exploitation attempts</t>
        </is>
      </c>
      <c r="S550" s="188" t="inlineStr">
        <is>
          <t>CVE - IP enrichment n/a</t>
        </is>
      </c>
      <c r="T550" s="188" t="n">
        <v>0.0001</v>
      </c>
      <c r="U550" s="188" t="n">
        <v>0.0203</v>
      </c>
      <c r="V550" s="188" t="inlineStr">
        <is>
          <t>T1190:Exploit Public-Facing Application</t>
        </is>
      </c>
      <c r="W550" s="188" t="n">
        <v>1</v>
      </c>
      <c r="X550" s="188" t="inlineStr">
        <is>
          <t>LOW (40%)</t>
        </is>
      </c>
      <c r="Y550" s="188" t="inlineStr">
        <is>
          <t>UNLIKELY</t>
        </is>
      </c>
      <c r="Z550" s="188" t="inlineStr">
        <is>
          <t>CHECK_VENDOR</t>
        </is>
      </c>
      <c r="AA550" s="188" t="inlineStr">
        <is>
          <t>https://nvd.nist.gov/vuln/detail/CVE-2026-2914</t>
        </is>
      </c>
      <c r="AB550" s="188" t="inlineStr">
        <is>
          <t>NONE</t>
        </is>
      </c>
      <c r="AC550" s="188" t="n">
        <v>0</v>
      </c>
      <c r="AD550" s="188" t="inlineStr"/>
    </row>
    <row r="551">
      <c r="A551" s="188" t="inlineStr">
        <is>
          <t>CVE</t>
        </is>
      </c>
      <c r="B551" s="188" t="inlineStr">
        <is>
          <t>CVE-2025-5781</t>
        </is>
      </c>
      <c r="C551" s="188"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551" s="188" t="n">
        <v>5.2</v>
      </c>
      <c r="E551" s="188" t="inlineStr">
        <is>
          <t>MEDIUM</t>
        </is>
      </c>
      <c r="F551" s="188" t="n">
        <v>2</v>
      </c>
      <c r="G551" s="188" t="n">
        <v>2</v>
      </c>
      <c r="H551" s="188" t="inlineStr">
        <is>
          <t>MEDIUM</t>
        </is>
      </c>
      <c r="I551" s="188" t="n">
        <v>9.199999999999999</v>
      </c>
      <c r="J551" s="188" t="inlineStr">
        <is>
          <t>NO</t>
        </is>
      </c>
      <c r="K551" s="188" t="inlineStr">
        <is>
          <t>https://nvd.nist.gov/vuln/detail/CVE-2025-5781</t>
        </is>
      </c>
      <c r="L551" s="188" t="inlineStr">
        <is>
          <t>2026-02-27 20:47</t>
        </is>
      </c>
      <c r="M551" s="188" t="inlineStr">
        <is>
          <t>YES</t>
        </is>
      </c>
      <c r="N551" s="188" t="inlineStr">
        <is>
          <t>https://www.hitachi.com/products/it/software/security/info/vuls/hitachi-sec-2026-111/index.html</t>
        </is>
      </c>
      <c r="O551" s="188" t="inlineStr">
        <is>
          <t>Apply vendor patches</t>
        </is>
      </c>
      <c r="P551" s="188" t="inlineStr">
        <is>
          <t>linux linux_kernel - | hitachi device_manager * | hitachi configuration_manager *</t>
        </is>
      </c>
      <c r="Q551" s="188" t="inlineStr">
        <is>
          <t>P4</t>
        </is>
      </c>
      <c r="R551" s="188" t="inlineStr">
        <is>
          <t>📅 Schedule patch deployment within 30 days | 🔍 Monitor for exploitation attempts</t>
        </is>
      </c>
      <c r="S551" s="188" t="inlineStr">
        <is>
          <t>CVE - IP enrichment n/a</t>
        </is>
      </c>
      <c r="T551" s="188" t="n">
        <v>0.0001</v>
      </c>
      <c r="U551" s="188" t="n">
        <v>0.0155</v>
      </c>
      <c r="V551" s="188" t="inlineStr">
        <is>
          <t>T1190:Exploit Public-Facing Application</t>
        </is>
      </c>
      <c r="W551" s="188" t="n">
        <v>1</v>
      </c>
      <c r="X551" s="188" t="inlineStr">
        <is>
          <t>LOW (40%)</t>
        </is>
      </c>
      <c r="Y551" s="188" t="inlineStr">
        <is>
          <t>UNLIKELY</t>
        </is>
      </c>
      <c r="Z551" s="188" t="inlineStr">
        <is>
          <t>PATCH_AVAILABLE</t>
        </is>
      </c>
      <c r="AA551" s="188" t="inlineStr">
        <is>
          <t>https://nvd.nist.gov/vuln/detail/CVE-2025-5781</t>
        </is>
      </c>
      <c r="AB551" s="188" t="inlineStr">
        <is>
          <t>NONE</t>
        </is>
      </c>
      <c r="AC551" s="188" t="n">
        <v>0</v>
      </c>
      <c r="AD551" s="188" t="inlineStr"/>
    </row>
    <row r="552">
      <c r="A552" s="188" t="inlineStr">
        <is>
          <t>CVE</t>
        </is>
      </c>
      <c r="B552" s="188" t="inlineStr">
        <is>
          <t>CVE-2026-25135</t>
        </is>
      </c>
      <c r="C552" s="188"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552" s="188" t="n">
        <v>4.5</v>
      </c>
      <c r="E552" s="188" t="inlineStr">
        <is>
          <t>MEDIUM</t>
        </is>
      </c>
      <c r="F552" s="188" t="n">
        <v>2</v>
      </c>
      <c r="G552" s="188" t="n">
        <v>2</v>
      </c>
      <c r="H552" s="188" t="inlineStr">
        <is>
          <t>MEDIUM</t>
        </is>
      </c>
      <c r="I552" s="188" t="n">
        <v>8.5</v>
      </c>
      <c r="J552" s="188" t="inlineStr">
        <is>
          <t>NO</t>
        </is>
      </c>
      <c r="K552" s="188" t="inlineStr">
        <is>
          <t>https://nvd.nist.gov/vuln/detail/CVE-2026-25135</t>
        </is>
      </c>
      <c r="L552" s="188" t="inlineStr">
        <is>
          <t>2026-02-27 20:47</t>
        </is>
      </c>
      <c r="M552" s="188" t="inlineStr">
        <is>
          <t>YES</t>
        </is>
      </c>
      <c r="N552" s="188" t="inlineStr">
        <is>
          <t>https://github.com/openemr/openemr/commit/7ab23dfe73ebd16dd66a526272f3761f1bd5be7d | https://github.com/openemr/openemr/security/advisories/GHSA-fgxg-wg4w-rj23</t>
        </is>
      </c>
      <c r="O552" s="188" t="inlineStr">
        <is>
          <t>Apply vendor patches</t>
        </is>
      </c>
      <c r="P552" s="188" t="inlineStr">
        <is>
          <t>open-emr openemr *</t>
        </is>
      </c>
      <c r="Q552" s="188" t="inlineStr">
        <is>
          <t>P4</t>
        </is>
      </c>
      <c r="R552" s="188" t="inlineStr">
        <is>
          <t>📅 Schedule patch deployment within 30 days | 🔍 Monitor for exploitation attempts</t>
        </is>
      </c>
      <c r="S552" s="188" t="inlineStr">
        <is>
          <t>CVE - IP enrichment n/a</t>
        </is>
      </c>
      <c r="T552" s="188" t="n">
        <v>0.0012</v>
      </c>
      <c r="U552" s="188" t="n">
        <v>0.307</v>
      </c>
      <c r="V552" s="188" t="inlineStr">
        <is>
          <t>T1213:Data from Information Repositories | T1190:Exploit Public-Facing Application</t>
        </is>
      </c>
      <c r="W552" s="188" t="n">
        <v>1</v>
      </c>
      <c r="X552" s="188" t="inlineStr">
        <is>
          <t>LOW (40%)</t>
        </is>
      </c>
      <c r="Y552" s="188" t="inlineStr">
        <is>
          <t>UNLIKELY</t>
        </is>
      </c>
      <c r="Z552" s="188" t="inlineStr">
        <is>
          <t>PATCH_AVAILABLE</t>
        </is>
      </c>
      <c r="AA552" s="188" t="inlineStr">
        <is>
          <t>https://nvd.nist.gov/vuln/detail/CVE-2026-25135</t>
        </is>
      </c>
      <c r="AB552" s="188" t="inlineStr">
        <is>
          <t>NONE</t>
        </is>
      </c>
      <c r="AC552" s="188" t="n">
        <v>0</v>
      </c>
      <c r="AD552" s="188" t="inlineStr"/>
    </row>
    <row r="553">
      <c r="A553" s="187" t="inlineStr">
        <is>
          <t>CVE</t>
        </is>
      </c>
      <c r="B553" s="187" t="inlineStr">
        <is>
          <t>CVE-2026-27595</t>
        </is>
      </c>
      <c r="C553" s="187"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553" s="187" t="n">
        <v>8.5</v>
      </c>
      <c r="E553" s="187" t="inlineStr">
        <is>
          <t>HIGH</t>
        </is>
      </c>
      <c r="F553" s="187" t="n">
        <v>2</v>
      </c>
      <c r="G553" s="187" t="n">
        <v>3</v>
      </c>
      <c r="H553" s="187" t="inlineStr">
        <is>
          <t>HIGH</t>
        </is>
      </c>
      <c r="I553" s="187" t="n">
        <v>14.5</v>
      </c>
      <c r="J553" s="187" t="inlineStr">
        <is>
          <t>NO</t>
        </is>
      </c>
      <c r="K553" s="187" t="inlineStr">
        <is>
          <t>https://nvd.nist.gov/vuln/detail/CVE-2026-27595</t>
        </is>
      </c>
      <c r="L553" s="187" t="inlineStr">
        <is>
          <t>2026-02-27 20:47</t>
        </is>
      </c>
      <c r="M553" s="187" t="inlineStr">
        <is>
          <t>CHECK_VENDOR</t>
        </is>
      </c>
      <c r="N553" s="187" t="inlineStr">
        <is>
          <t>See NVD references</t>
        </is>
      </c>
      <c r="O553" s="187" t="inlineStr">
        <is>
          <t>Apply vendor patches</t>
        </is>
      </c>
      <c r="P553" s="187" t="inlineStr">
        <is>
          <t>See CVE details</t>
        </is>
      </c>
      <c r="Q553" s="187" t="inlineStr">
        <is>
          <t>P3</t>
        </is>
      </c>
      <c r="R553" s="187" t="inlineStr">
        <is>
          <t>🚨 URGENT: Apply vendor patches immediately | 🔒 Isolate affected systems if patch unavailable | 🛡️ Enable additional monitoring/IDS rules</t>
        </is>
      </c>
      <c r="S553" s="187" t="inlineStr">
        <is>
          <t>CVE - IP enrichment n/a</t>
        </is>
      </c>
      <c r="T553" s="187" t="n">
        <v>0.0008</v>
      </c>
      <c r="U553" s="187" t="n">
        <v>0.2463</v>
      </c>
      <c r="V553" s="187" t="inlineStr">
        <is>
          <t>T1078:Valid Accounts</t>
        </is>
      </c>
      <c r="W553" s="187" t="n">
        <v>1</v>
      </c>
      <c r="X553" s="187" t="inlineStr">
        <is>
          <t>LOW (40%)</t>
        </is>
      </c>
      <c r="Y553" s="187" t="inlineStr">
        <is>
          <t>UNLIKELY</t>
        </is>
      </c>
      <c r="Z553" s="187" t="inlineStr">
        <is>
          <t>CHECK_VENDOR</t>
        </is>
      </c>
      <c r="AA553" s="187" t="inlineStr">
        <is>
          <t>https://nvd.nist.gov/vuln/detail/CVE-2026-27595</t>
        </is>
      </c>
      <c r="AB553" s="187" t="inlineStr">
        <is>
          <t>NONE</t>
        </is>
      </c>
      <c r="AC553" s="187" t="n">
        <v>0</v>
      </c>
      <c r="AD553" s="187" t="inlineStr"/>
    </row>
    <row r="554">
      <c r="A554" s="189" t="inlineStr">
        <is>
          <t>CVE</t>
        </is>
      </c>
      <c r="B554" s="189" t="inlineStr">
        <is>
          <t>CVE-2026-27606</t>
        </is>
      </c>
      <c r="C554" s="189"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554" s="189" t="n">
        <v>9.800000000000001</v>
      </c>
      <c r="E554" s="189" t="inlineStr">
        <is>
          <t>CRITICAL</t>
        </is>
      </c>
      <c r="F554" s="189" t="n">
        <v>2</v>
      </c>
      <c r="G554" s="189" t="n">
        <v>3</v>
      </c>
      <c r="H554" s="189" t="inlineStr">
        <is>
          <t>HIGH</t>
        </is>
      </c>
      <c r="I554" s="189" t="n">
        <v>15.8</v>
      </c>
      <c r="J554" s="189" t="inlineStr">
        <is>
          <t>NO</t>
        </is>
      </c>
      <c r="K554" s="189" t="inlineStr">
        <is>
          <t>https://nvd.nist.gov/vuln/detail/CVE-2026-27606</t>
        </is>
      </c>
      <c r="L554" s="189" t="inlineStr">
        <is>
          <t>2026-02-27 20:47</t>
        </is>
      </c>
      <c r="M554" s="189" t="inlineStr">
        <is>
          <t>YES</t>
        </is>
      </c>
      <c r="N554" s="189" t="inlineStr">
        <is>
          <t>https://github.com/rollup/rollup/commit/c60770d7aaf750e512c1b2774989ea4596e660b2 | https://github.com/rollup/rollup/commit/c8cf1f9c48c516285758c1e11f08a54f304fd44e | https://github.com/rollup/rollup/commit/d6dee5e99bb82aac0bee1df4ab9efbde455452c3</t>
        </is>
      </c>
      <c r="O554" s="189" t="inlineStr">
        <is>
          <t>Apply vendor patches</t>
        </is>
      </c>
      <c r="P554" s="189" t="inlineStr">
        <is>
          <t>rollupjs rollup *</t>
        </is>
      </c>
      <c r="Q554" s="189" t="inlineStr">
        <is>
          <t>P3</t>
        </is>
      </c>
      <c r="R554" s="189" t="inlineStr">
        <is>
          <t>🚨 URGENT: Apply vendor patches immediately | 🔒 Isolate affected systems if patch unavailable | 🛡️ Enable additional monitoring/IDS rules</t>
        </is>
      </c>
      <c r="S554" s="189" t="inlineStr">
        <is>
          <t>CVE - IP enrichment n/a</t>
        </is>
      </c>
      <c r="T554" s="189" t="n">
        <v>0.0047</v>
      </c>
      <c r="U554" s="189" t="n">
        <v>0.6438</v>
      </c>
      <c r="V554" s="189" t="inlineStr">
        <is>
          <t>T1083:File and Directory Discovery | T1190:Exploit Public-Facing Application | T1210:Exploitation of Remote Services</t>
        </is>
      </c>
      <c r="W554" s="189" t="n">
        <v>1</v>
      </c>
      <c r="X554" s="189" t="inlineStr">
        <is>
          <t>LOW (40%)</t>
        </is>
      </c>
      <c r="Y554" s="189" t="inlineStr">
        <is>
          <t>UNLIKELY</t>
        </is>
      </c>
      <c r="Z554" s="189" t="inlineStr">
        <is>
          <t>PATCH_AVAILABLE</t>
        </is>
      </c>
      <c r="AA554" s="189" t="inlineStr">
        <is>
          <t>https://nvd.nist.gov/vuln/detail/CVE-2026-27606</t>
        </is>
      </c>
      <c r="AB554" s="189" t="inlineStr">
        <is>
          <t>NONE</t>
        </is>
      </c>
      <c r="AC554" s="189" t="n">
        <v>0</v>
      </c>
      <c r="AD554" s="189" t="inlineStr"/>
    </row>
    <row r="555">
      <c r="A555" s="187" t="inlineStr">
        <is>
          <t>CVE</t>
        </is>
      </c>
      <c r="B555" s="187" t="inlineStr">
        <is>
          <t>CVE-2026-27607</t>
        </is>
      </c>
      <c r="C555" s="187"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555" s="187" t="n">
        <v>8.1</v>
      </c>
      <c r="E555" s="187" t="inlineStr">
        <is>
          <t>HIGH</t>
        </is>
      </c>
      <c r="F555" s="187" t="n">
        <v>2</v>
      </c>
      <c r="G555" s="187" t="n">
        <v>3</v>
      </c>
      <c r="H555" s="187" t="inlineStr">
        <is>
          <t>HIGH</t>
        </is>
      </c>
      <c r="I555" s="187" t="n">
        <v>14.1</v>
      </c>
      <c r="J555" s="187" t="inlineStr">
        <is>
          <t>NO</t>
        </is>
      </c>
      <c r="K555" s="187" t="inlineStr">
        <is>
          <t>https://nvd.nist.gov/vuln/detail/CVE-2026-27607</t>
        </is>
      </c>
      <c r="L555" s="187" t="inlineStr">
        <is>
          <t>2026-02-27 20:47</t>
        </is>
      </c>
      <c r="M555" s="187" t="inlineStr">
        <is>
          <t>YES</t>
        </is>
      </c>
      <c r="N555" s="187" t="inlineStr">
        <is>
          <t>https://github.com/rustfs/rustfs/security/advisories/GHSA-w5fh-f8xh-5x3p</t>
        </is>
      </c>
      <c r="O555" s="187" t="inlineStr">
        <is>
          <t>Apply vendor patches</t>
        </is>
      </c>
      <c r="P555" s="187" t="inlineStr">
        <is>
          <t>rustfs rustfs 1.0.0</t>
        </is>
      </c>
      <c r="Q555" s="187" t="inlineStr">
        <is>
          <t>P3</t>
        </is>
      </c>
      <c r="R555" s="187" t="inlineStr">
        <is>
          <t>🚨 URGENT: Apply vendor patches immediately | 🔒 Isolate affected systems if patch unavailable | 🛡️ Enable additional monitoring/IDS rules</t>
        </is>
      </c>
      <c r="S555" s="187" t="inlineStr">
        <is>
          <t>CVE - IP enrichment n/a</t>
        </is>
      </c>
      <c r="T555" s="187" t="n">
        <v>0.0008</v>
      </c>
      <c r="U555" s="187" t="n">
        <v>0.2393</v>
      </c>
      <c r="V555" s="187" t="inlineStr">
        <is>
          <t>T1190:Exploit Public-Facing Application</t>
        </is>
      </c>
      <c r="W555" s="187" t="n">
        <v>1</v>
      </c>
      <c r="X555" s="187" t="inlineStr">
        <is>
          <t>LOW (40%)</t>
        </is>
      </c>
      <c r="Y555" s="187" t="inlineStr">
        <is>
          <t>UNLIKELY</t>
        </is>
      </c>
      <c r="Z555" s="187" t="inlineStr">
        <is>
          <t>PATCH_AVAILABLE</t>
        </is>
      </c>
      <c r="AA555" s="187" t="inlineStr">
        <is>
          <t>https://nvd.nist.gov/vuln/detail/CVE-2026-27607</t>
        </is>
      </c>
      <c r="AB555" s="187" t="inlineStr">
        <is>
          <t>NONE</t>
        </is>
      </c>
      <c r="AC555" s="187" t="n">
        <v>0</v>
      </c>
      <c r="AD555" s="187" t="inlineStr"/>
    </row>
    <row r="556">
      <c r="A556" s="187" t="inlineStr">
        <is>
          <t>CVE</t>
        </is>
      </c>
      <c r="B556" s="187" t="inlineStr">
        <is>
          <t>CVE-2026-27608</t>
        </is>
      </c>
      <c r="C556" s="187"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556" s="187" t="n">
        <v>8.5</v>
      </c>
      <c r="E556" s="187" t="inlineStr">
        <is>
          <t>HIGH</t>
        </is>
      </c>
      <c r="F556" s="187" t="n">
        <v>2</v>
      </c>
      <c r="G556" s="187" t="n">
        <v>3</v>
      </c>
      <c r="H556" s="187" t="inlineStr">
        <is>
          <t>HIGH</t>
        </is>
      </c>
      <c r="I556" s="187" t="n">
        <v>14.5</v>
      </c>
      <c r="J556" s="187" t="inlineStr">
        <is>
          <t>NO</t>
        </is>
      </c>
      <c r="K556" s="187" t="inlineStr">
        <is>
          <t>https://nvd.nist.gov/vuln/detail/CVE-2026-27608</t>
        </is>
      </c>
      <c r="L556" s="187" t="inlineStr">
        <is>
          <t>2026-02-27 20:47</t>
        </is>
      </c>
      <c r="M556" s="187" t="inlineStr">
        <is>
          <t>CHECK_VENDOR</t>
        </is>
      </c>
      <c r="N556" s="187" t="inlineStr">
        <is>
          <t>See NVD references</t>
        </is>
      </c>
      <c r="O556" s="187" t="inlineStr">
        <is>
          <t>Apply vendor patches</t>
        </is>
      </c>
      <c r="P556" s="187" t="inlineStr">
        <is>
          <t>See CVE details</t>
        </is>
      </c>
      <c r="Q556" s="187" t="inlineStr">
        <is>
          <t>P3</t>
        </is>
      </c>
      <c r="R556" s="187" t="inlineStr">
        <is>
          <t>🚨 URGENT: Apply vendor patches immediately | 🔒 Isolate affected systems if patch unavailable | 🛡️ Enable additional monitoring/IDS rules</t>
        </is>
      </c>
      <c r="S556" s="187" t="inlineStr">
        <is>
          <t>CVE - IP enrichment n/a</t>
        </is>
      </c>
      <c r="T556" s="187" t="n">
        <v>0.0003</v>
      </c>
      <c r="U556" s="187" t="n">
        <v>0.0883</v>
      </c>
      <c r="V556" s="187" t="inlineStr">
        <is>
          <t>T1190:Exploit Public-Facing Application</t>
        </is>
      </c>
      <c r="W556" s="187" t="n">
        <v>1</v>
      </c>
      <c r="X556" s="187" t="inlineStr">
        <is>
          <t>LOW (40%)</t>
        </is>
      </c>
      <c r="Y556" s="187" t="inlineStr">
        <is>
          <t>UNLIKELY</t>
        </is>
      </c>
      <c r="Z556" s="187" t="inlineStr">
        <is>
          <t>CHECK_VENDOR</t>
        </is>
      </c>
      <c r="AA556" s="187" t="inlineStr">
        <is>
          <t>https://nvd.nist.gov/vuln/detail/CVE-2026-27608</t>
        </is>
      </c>
      <c r="AB556" s="187" t="inlineStr">
        <is>
          <t>NONE</t>
        </is>
      </c>
      <c r="AC556" s="187" t="n">
        <v>0</v>
      </c>
      <c r="AD556" s="187" t="inlineStr"/>
    </row>
    <row r="557">
      <c r="A557" s="188" t="inlineStr">
        <is>
          <t>CVE</t>
        </is>
      </c>
      <c r="B557" s="188" t="inlineStr">
        <is>
          <t>CVE-2026-27609</t>
        </is>
      </c>
      <c r="C557" s="188"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557" s="188" t="n">
        <v>5</v>
      </c>
      <c r="E557" s="188" t="inlineStr">
        <is>
          <t>MEDIUM</t>
        </is>
      </c>
      <c r="F557" s="188" t="n">
        <v>2</v>
      </c>
      <c r="G557" s="188" t="n">
        <v>2</v>
      </c>
      <c r="H557" s="188" t="inlineStr">
        <is>
          <t>MEDIUM</t>
        </is>
      </c>
      <c r="I557" s="188" t="n">
        <v>9</v>
      </c>
      <c r="J557" s="188" t="inlineStr">
        <is>
          <t>NO</t>
        </is>
      </c>
      <c r="K557" s="188" t="inlineStr">
        <is>
          <t>https://nvd.nist.gov/vuln/detail/CVE-2026-27609</t>
        </is>
      </c>
      <c r="L557" s="188" t="inlineStr">
        <is>
          <t>2026-02-27 20:47</t>
        </is>
      </c>
      <c r="M557" s="188" t="inlineStr">
        <is>
          <t>CHECK_VENDOR</t>
        </is>
      </c>
      <c r="N557" s="188" t="inlineStr">
        <is>
          <t>See NVD references</t>
        </is>
      </c>
      <c r="O557" s="188" t="inlineStr">
        <is>
          <t>Apply vendor patches</t>
        </is>
      </c>
      <c r="P557" s="188" t="inlineStr">
        <is>
          <t>See CVE details</t>
        </is>
      </c>
      <c r="Q557" s="188" t="inlineStr">
        <is>
          <t>P4</t>
        </is>
      </c>
      <c r="R557" s="188" t="inlineStr">
        <is>
          <t>📅 Schedule patch deployment within 30 days | 🔍 Monitor for exploitation attempts</t>
        </is>
      </c>
      <c r="S557" s="188" t="inlineStr">
        <is>
          <t>CVE - IP enrichment n/a</t>
        </is>
      </c>
      <c r="T557" s="188" t="n">
        <v>0.0002</v>
      </c>
      <c r="U557" s="188" t="n">
        <v>0.047</v>
      </c>
      <c r="V557" s="188" t="inlineStr">
        <is>
          <t>T1185:Browser Session Hijacking</t>
        </is>
      </c>
      <c r="W557" s="188" t="n">
        <v>1</v>
      </c>
      <c r="X557" s="188" t="inlineStr">
        <is>
          <t>LOW (40%)</t>
        </is>
      </c>
      <c r="Y557" s="188" t="inlineStr">
        <is>
          <t>UNLIKELY</t>
        </is>
      </c>
      <c r="Z557" s="188" t="inlineStr">
        <is>
          <t>CHECK_VENDOR</t>
        </is>
      </c>
      <c r="AA557" s="188" t="inlineStr">
        <is>
          <t>https://nvd.nist.gov/vuln/detail/CVE-2026-27609</t>
        </is>
      </c>
      <c r="AB557" s="188" t="inlineStr">
        <is>
          <t>NONE</t>
        </is>
      </c>
      <c r="AC557" s="188" t="n">
        <v>0</v>
      </c>
      <c r="AD557" s="188" t="inlineStr"/>
    </row>
    <row r="558">
      <c r="A558" s="188" t="inlineStr">
        <is>
          <t>CVE</t>
        </is>
      </c>
      <c r="B558" s="188" t="inlineStr">
        <is>
          <t>CVE-2026-27610</t>
        </is>
      </c>
      <c r="C558" s="188"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558" s="188" t="n">
        <v>5</v>
      </c>
      <c r="E558" s="188" t="inlineStr">
        <is>
          <t>MEDIUM</t>
        </is>
      </c>
      <c r="F558" s="188" t="n">
        <v>2</v>
      </c>
      <c r="G558" s="188" t="n">
        <v>2</v>
      </c>
      <c r="H558" s="188" t="inlineStr">
        <is>
          <t>MEDIUM</t>
        </is>
      </c>
      <c r="I558" s="188" t="n">
        <v>9</v>
      </c>
      <c r="J558" s="188" t="inlineStr">
        <is>
          <t>NO</t>
        </is>
      </c>
      <c r="K558" s="188" t="inlineStr">
        <is>
          <t>https://nvd.nist.gov/vuln/detail/CVE-2026-27610</t>
        </is>
      </c>
      <c r="L558" s="188" t="inlineStr">
        <is>
          <t>2026-02-27 20:47</t>
        </is>
      </c>
      <c r="M558" s="188" t="inlineStr">
        <is>
          <t>CHECK_VENDOR</t>
        </is>
      </c>
      <c r="N558" s="188" t="inlineStr">
        <is>
          <t>See NVD references</t>
        </is>
      </c>
      <c r="O558" s="188" t="inlineStr">
        <is>
          <t>Apply vendor patches</t>
        </is>
      </c>
      <c r="P558" s="188" t="inlineStr">
        <is>
          <t>See CVE details</t>
        </is>
      </c>
      <c r="Q558" s="188" t="inlineStr">
        <is>
          <t>P4</t>
        </is>
      </c>
      <c r="R558" s="188" t="inlineStr">
        <is>
          <t>📅 Schedule patch deployment within 30 days | 🔍 Monitor for exploitation attempts</t>
        </is>
      </c>
      <c r="S558" s="188" t="inlineStr">
        <is>
          <t>CVE - IP enrichment n/a</t>
        </is>
      </c>
      <c r="T558" s="188" t="n">
        <v>0.0008</v>
      </c>
      <c r="U558" s="188" t="n">
        <v>0.2347</v>
      </c>
      <c r="V558" s="188" t="inlineStr">
        <is>
          <t>T1190:Exploit Public-Facing Application</t>
        </is>
      </c>
      <c r="W558" s="188" t="n">
        <v>1</v>
      </c>
      <c r="X558" s="188" t="inlineStr">
        <is>
          <t>LOW (40%)</t>
        </is>
      </c>
      <c r="Y558" s="188" t="inlineStr">
        <is>
          <t>UNLIKELY</t>
        </is>
      </c>
      <c r="Z558" s="188" t="inlineStr">
        <is>
          <t>CHECK_VENDOR</t>
        </is>
      </c>
      <c r="AA558" s="188" t="inlineStr">
        <is>
          <t>https://nvd.nist.gov/vuln/detail/CVE-2026-27610</t>
        </is>
      </c>
      <c r="AB558" s="188" t="inlineStr">
        <is>
          <t>NONE</t>
        </is>
      </c>
      <c r="AC558" s="188" t="n">
        <v>0</v>
      </c>
      <c r="AD558" s="188" t="inlineStr"/>
    </row>
    <row r="559">
      <c r="A559" s="188" t="inlineStr">
        <is>
          <t>CVE</t>
        </is>
      </c>
      <c r="B559" s="188" t="inlineStr">
        <is>
          <t>CVE-2026-27611</t>
        </is>
      </c>
      <c r="C559" s="188"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559" s="188" t="n">
        <v>5</v>
      </c>
      <c r="E559" s="188" t="inlineStr">
        <is>
          <t>MEDIUM</t>
        </is>
      </c>
      <c r="F559" s="188" t="n">
        <v>2</v>
      </c>
      <c r="G559" s="188" t="n">
        <v>2</v>
      </c>
      <c r="H559" s="188" t="inlineStr">
        <is>
          <t>MEDIUM</t>
        </is>
      </c>
      <c r="I559" s="188" t="n">
        <v>9</v>
      </c>
      <c r="J559" s="188" t="inlineStr">
        <is>
          <t>NO</t>
        </is>
      </c>
      <c r="K559" s="188" t="inlineStr">
        <is>
          <t>https://nvd.nist.gov/vuln/detail/CVE-2026-27611</t>
        </is>
      </c>
      <c r="L559" s="188" t="inlineStr">
        <is>
          <t>2026-02-27 20:47</t>
        </is>
      </c>
      <c r="M559" s="188" t="inlineStr">
        <is>
          <t>CHECK_VENDOR</t>
        </is>
      </c>
      <c r="N559" s="188" t="inlineStr">
        <is>
          <t>See NVD references</t>
        </is>
      </c>
      <c r="O559" s="188" t="inlineStr">
        <is>
          <t>Apply vendor patches</t>
        </is>
      </c>
      <c r="P559" s="188" t="inlineStr">
        <is>
          <t>See CVE details</t>
        </is>
      </c>
      <c r="Q559" s="188" t="inlineStr">
        <is>
          <t>P4</t>
        </is>
      </c>
      <c r="R559" s="188" t="inlineStr">
        <is>
          <t>📅 Schedule patch deployment within 30 days | 🔍 Monitor for exploitation attempts</t>
        </is>
      </c>
      <c r="S559" s="188" t="inlineStr">
        <is>
          <t>CVE - IP enrichment n/a</t>
        </is>
      </c>
      <c r="T559" s="188" t="n">
        <v>0.0004</v>
      </c>
      <c r="U559" s="188" t="n">
        <v>0.1229</v>
      </c>
      <c r="V559" s="188" t="inlineStr">
        <is>
          <t>T1213:Data from Information Repositories</t>
        </is>
      </c>
      <c r="W559" s="188" t="n">
        <v>1</v>
      </c>
      <c r="X559" s="188" t="inlineStr">
        <is>
          <t>LOW (40%)</t>
        </is>
      </c>
      <c r="Y559" s="188" t="inlineStr">
        <is>
          <t>UNLIKELY</t>
        </is>
      </c>
      <c r="Z559" s="188" t="inlineStr">
        <is>
          <t>CHECK_VENDOR</t>
        </is>
      </c>
      <c r="AA559" s="188" t="inlineStr">
        <is>
          <t>https://nvd.nist.gov/vuln/detail/CVE-2026-27611</t>
        </is>
      </c>
      <c r="AB559" s="188" t="inlineStr">
        <is>
          <t>NONE</t>
        </is>
      </c>
      <c r="AC559" s="188" t="n">
        <v>0</v>
      </c>
      <c r="AD559" s="188" t="inlineStr"/>
    </row>
    <row r="560">
      <c r="A560" s="188" t="inlineStr">
        <is>
          <t>CVE</t>
        </is>
      </c>
      <c r="B560" s="188" t="inlineStr">
        <is>
          <t>CVE-2026-27612</t>
        </is>
      </c>
      <c r="C560" s="188"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560" s="188" t="n">
        <v>6.1</v>
      </c>
      <c r="E560" s="188" t="inlineStr">
        <is>
          <t>MEDIUM</t>
        </is>
      </c>
      <c r="F560" s="188" t="n">
        <v>2</v>
      </c>
      <c r="G560" s="188" t="n">
        <v>2</v>
      </c>
      <c r="H560" s="188" t="inlineStr">
        <is>
          <t>MEDIUM</t>
        </is>
      </c>
      <c r="I560" s="188" t="n">
        <v>10.1</v>
      </c>
      <c r="J560" s="188" t="inlineStr">
        <is>
          <t>NO</t>
        </is>
      </c>
      <c r="K560" s="188" t="inlineStr">
        <is>
          <t>https://nvd.nist.gov/vuln/detail/CVE-2026-27612</t>
        </is>
      </c>
      <c r="L560" s="188" t="inlineStr">
        <is>
          <t>2026-02-27 20:47</t>
        </is>
      </c>
      <c r="M560" s="188" t="inlineStr">
        <is>
          <t>CHECK_VENDOR</t>
        </is>
      </c>
      <c r="N560" s="188" t="inlineStr">
        <is>
          <t>See NVD references</t>
        </is>
      </c>
      <c r="O560" s="188" t="inlineStr">
        <is>
          <t>Apply vendor patches</t>
        </is>
      </c>
      <c r="P560" s="188" t="inlineStr">
        <is>
          <t>See CVE details</t>
        </is>
      </c>
      <c r="Q560" s="188" t="inlineStr">
        <is>
          <t>P4</t>
        </is>
      </c>
      <c r="R560" s="188" t="inlineStr">
        <is>
          <t>📅 Schedule patch deployment within 30 days | 🔍 Monitor for exploitation attempts</t>
        </is>
      </c>
      <c r="S560" s="188" t="inlineStr">
        <is>
          <t>CVE - IP enrichment n/a</t>
        </is>
      </c>
      <c r="T560" s="188" t="n">
        <v>0.0003</v>
      </c>
      <c r="U560" s="188" t="n">
        <v>0.0799</v>
      </c>
      <c r="V560" s="188" t="inlineStr">
        <is>
          <t>T1189:Drive-by Compromise</t>
        </is>
      </c>
      <c r="W560" s="188" t="n">
        <v>1</v>
      </c>
      <c r="X560" s="188" t="inlineStr">
        <is>
          <t>LOW (40%)</t>
        </is>
      </c>
      <c r="Y560" s="188" t="inlineStr">
        <is>
          <t>UNLIKELY</t>
        </is>
      </c>
      <c r="Z560" s="188" t="inlineStr">
        <is>
          <t>CHECK_VENDOR</t>
        </is>
      </c>
      <c r="AA560" s="188" t="inlineStr">
        <is>
          <t>https://nvd.nist.gov/vuln/detail/CVE-2026-27612</t>
        </is>
      </c>
      <c r="AB560" s="188" t="inlineStr">
        <is>
          <t>NONE</t>
        </is>
      </c>
      <c r="AC560" s="188" t="n">
        <v>0</v>
      </c>
      <c r="AD560" s="188" t="inlineStr"/>
    </row>
    <row r="561">
      <c r="A561" s="189" t="inlineStr">
        <is>
          <t>CVE</t>
        </is>
      </c>
      <c r="B561" s="189" t="inlineStr">
        <is>
          <t>CVE-2026-27614</t>
        </is>
      </c>
      <c r="C561" s="189"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561" s="189" t="n">
        <v>9.300000000000001</v>
      </c>
      <c r="E561" s="189" t="inlineStr">
        <is>
          <t>CRITICAL</t>
        </is>
      </c>
      <c r="F561" s="189" t="n">
        <v>2</v>
      </c>
      <c r="G561" s="189" t="n">
        <v>3</v>
      </c>
      <c r="H561" s="189" t="inlineStr">
        <is>
          <t>HIGH</t>
        </is>
      </c>
      <c r="I561" s="189" t="n">
        <v>15.3</v>
      </c>
      <c r="J561" s="189" t="inlineStr">
        <is>
          <t>NO</t>
        </is>
      </c>
      <c r="K561" s="189" t="inlineStr">
        <is>
          <t>https://nvd.nist.gov/vuln/detail/CVE-2026-27614</t>
        </is>
      </c>
      <c r="L561" s="189" t="inlineStr">
        <is>
          <t>2026-02-27 20:47</t>
        </is>
      </c>
      <c r="M561" s="189" t="inlineStr">
        <is>
          <t>CHECK_VENDOR</t>
        </is>
      </c>
      <c r="N561" s="189" t="inlineStr">
        <is>
          <t>See NVD references</t>
        </is>
      </c>
      <c r="O561" s="189" t="inlineStr">
        <is>
          <t>Apply vendor patches</t>
        </is>
      </c>
      <c r="P561" s="189" t="inlineStr">
        <is>
          <t>See CVE details</t>
        </is>
      </c>
      <c r="Q561" s="189" t="inlineStr">
        <is>
          <t>P3</t>
        </is>
      </c>
      <c r="R561" s="189" t="inlineStr">
        <is>
          <t>🚨 URGENT: Apply vendor patches immediately | 🔒 Isolate affected systems if patch unavailable | 🛡️ Enable additional monitoring/IDS rules</t>
        </is>
      </c>
      <c r="S561" s="189" t="inlineStr">
        <is>
          <t>CVE - IP enrichment n/a</t>
        </is>
      </c>
      <c r="T561" s="189" t="n">
        <v>0.0009</v>
      </c>
      <c r="U561" s="189" t="n">
        <v>0.2512</v>
      </c>
      <c r="V561" s="189" t="inlineStr">
        <is>
          <t>T1189:Drive-by Compromise</t>
        </is>
      </c>
      <c r="W561" s="189" t="n">
        <v>1</v>
      </c>
      <c r="X561" s="189" t="inlineStr">
        <is>
          <t>LOW (40%)</t>
        </is>
      </c>
      <c r="Y561" s="189" t="inlineStr">
        <is>
          <t>UNLIKELY</t>
        </is>
      </c>
      <c r="Z561" s="189" t="inlineStr">
        <is>
          <t>CHECK_VENDOR</t>
        </is>
      </c>
      <c r="AA561" s="189" t="inlineStr">
        <is>
          <t>https://nvd.nist.gov/vuln/detail/CVE-2026-27614</t>
        </is>
      </c>
      <c r="AB561" s="189" t="inlineStr">
        <is>
          <t>NONE</t>
        </is>
      </c>
      <c r="AC561" s="189" t="n">
        <v>0</v>
      </c>
      <c r="AD561" s="189" t="inlineStr"/>
    </row>
    <row r="562">
      <c r="A562" s="187" t="inlineStr">
        <is>
          <t>CVE</t>
        </is>
      </c>
      <c r="B562" s="187" t="inlineStr">
        <is>
          <t>CVE-2026-27615</t>
        </is>
      </c>
      <c r="C562" s="187"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562" s="187" t="n">
        <v>8.5</v>
      </c>
      <c r="E562" s="187" t="inlineStr">
        <is>
          <t>HIGH</t>
        </is>
      </c>
      <c r="F562" s="187" t="n">
        <v>2</v>
      </c>
      <c r="G562" s="187" t="n">
        <v>3</v>
      </c>
      <c r="H562" s="187" t="inlineStr">
        <is>
          <t>HIGH</t>
        </is>
      </c>
      <c r="I562" s="187" t="n">
        <v>14.5</v>
      </c>
      <c r="J562" s="187" t="inlineStr">
        <is>
          <t>NO</t>
        </is>
      </c>
      <c r="K562" s="187" t="inlineStr">
        <is>
          <t>https://nvd.nist.gov/vuln/detail/CVE-2026-27615</t>
        </is>
      </c>
      <c r="L562" s="187" t="inlineStr">
        <is>
          <t>2026-02-27 20:47</t>
        </is>
      </c>
      <c r="M562" s="187" t="inlineStr">
        <is>
          <t>CHECK_VENDOR</t>
        </is>
      </c>
      <c r="N562" s="187" t="inlineStr">
        <is>
          <t>See NVD references</t>
        </is>
      </c>
      <c r="O562" s="187" t="inlineStr">
        <is>
          <t>Apply vendor patches</t>
        </is>
      </c>
      <c r="P562" s="187" t="inlineStr">
        <is>
          <t>See CVE details</t>
        </is>
      </c>
      <c r="Q562" s="187" t="inlineStr">
        <is>
          <t>P3</t>
        </is>
      </c>
      <c r="R562" s="187" t="inlineStr">
        <is>
          <t>🚨 URGENT: Apply vendor patches immediately | 🔒 Isolate affected systems if patch unavailable | 🛡️ Enable additional monitoring/IDS rules</t>
        </is>
      </c>
      <c r="S562" s="187" t="inlineStr">
        <is>
          <t>CVE - IP enrichment n/a</t>
        </is>
      </c>
      <c r="T562" s="187" t="n">
        <v>0.0002</v>
      </c>
      <c r="U562" s="187" t="n">
        <v>0.0338</v>
      </c>
      <c r="V562" s="187" t="inlineStr">
        <is>
          <t>T1190:Exploit Public-Facing Application</t>
        </is>
      </c>
      <c r="W562" s="187" t="n">
        <v>1</v>
      </c>
      <c r="X562" s="187" t="inlineStr">
        <is>
          <t>LOW (40%)</t>
        </is>
      </c>
      <c r="Y562" s="187" t="inlineStr">
        <is>
          <t>UNLIKELY</t>
        </is>
      </c>
      <c r="Z562" s="187" t="inlineStr">
        <is>
          <t>CHECK_VENDOR</t>
        </is>
      </c>
      <c r="AA562" s="187" t="inlineStr">
        <is>
          <t>https://nvd.nist.gov/vuln/detail/CVE-2026-27615</t>
        </is>
      </c>
      <c r="AB562" s="187" t="inlineStr">
        <is>
          <t>NONE</t>
        </is>
      </c>
      <c r="AC562" s="187" t="n">
        <v>0</v>
      </c>
      <c r="AD562" s="187" t="inlineStr"/>
    </row>
    <row r="563">
      <c r="A563" s="188" t="inlineStr">
        <is>
          <t>CVE</t>
        </is>
      </c>
      <c r="B563" s="188" t="inlineStr">
        <is>
          <t>CVE-2026-27621</t>
        </is>
      </c>
      <c r="C563" s="188"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563" s="188" t="n">
        <v>5</v>
      </c>
      <c r="E563" s="188" t="inlineStr">
        <is>
          <t>MEDIUM</t>
        </is>
      </c>
      <c r="F563" s="188" t="n">
        <v>2</v>
      </c>
      <c r="G563" s="188" t="n">
        <v>2</v>
      </c>
      <c r="H563" s="188" t="inlineStr">
        <is>
          <t>MEDIUM</t>
        </is>
      </c>
      <c r="I563" s="188" t="n">
        <v>9</v>
      </c>
      <c r="J563" s="188" t="inlineStr">
        <is>
          <t>NO</t>
        </is>
      </c>
      <c r="K563" s="188" t="inlineStr">
        <is>
          <t>https://nvd.nist.gov/vuln/detail/CVE-2026-27621</t>
        </is>
      </c>
      <c r="L563" s="188" t="inlineStr">
        <is>
          <t>2026-02-27 20:47</t>
        </is>
      </c>
      <c r="M563" s="188" t="inlineStr">
        <is>
          <t>CHECK_VENDOR</t>
        </is>
      </c>
      <c r="N563" s="188" t="inlineStr">
        <is>
          <t>See NVD references</t>
        </is>
      </c>
      <c r="O563" s="188" t="inlineStr">
        <is>
          <t>Apply vendor patches</t>
        </is>
      </c>
      <c r="P563" s="188" t="inlineStr">
        <is>
          <t>See CVE details</t>
        </is>
      </c>
      <c r="Q563" s="188" t="inlineStr">
        <is>
          <t>P4</t>
        </is>
      </c>
      <c r="R563" s="188" t="inlineStr">
        <is>
          <t>📅 Schedule patch deployment within 30 days | 🔍 Monitor for exploitation attempts</t>
        </is>
      </c>
      <c r="S563" s="188" t="inlineStr">
        <is>
          <t>CVE - IP enrichment n/a</t>
        </is>
      </c>
      <c r="T563" s="188" t="n">
        <v>0.0004</v>
      </c>
      <c r="U563" s="188" t="n">
        <v>0.1332</v>
      </c>
      <c r="V563" s="188" t="inlineStr">
        <is>
          <t>T1189:Drive-by Compromise</t>
        </is>
      </c>
      <c r="W563" s="188" t="n">
        <v>1</v>
      </c>
      <c r="X563" s="188" t="inlineStr">
        <is>
          <t>LOW (40%)</t>
        </is>
      </c>
      <c r="Y563" s="188" t="inlineStr">
        <is>
          <t>UNLIKELY</t>
        </is>
      </c>
      <c r="Z563" s="188" t="inlineStr">
        <is>
          <t>CHECK_VENDOR</t>
        </is>
      </c>
      <c r="AA563" s="188" t="inlineStr">
        <is>
          <t>https://nvd.nist.gov/vuln/detail/CVE-2026-27621</t>
        </is>
      </c>
      <c r="AB563" s="188" t="inlineStr">
        <is>
          <t>NONE</t>
        </is>
      </c>
      <c r="AC563" s="188" t="n">
        <v>0</v>
      </c>
      <c r="AD563" s="188" t="inlineStr"/>
    </row>
    <row r="564">
      <c r="A564" s="189" t="inlineStr">
        <is>
          <t>CVE</t>
        </is>
      </c>
      <c r="B564" s="189" t="inlineStr">
        <is>
          <t>CVE-2026-27626</t>
        </is>
      </c>
      <c r="C564" s="189"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564" s="189" t="n">
        <v>9.9</v>
      </c>
      <c r="E564" s="189" t="inlineStr">
        <is>
          <t>CRITICAL</t>
        </is>
      </c>
      <c r="F564" s="189" t="n">
        <v>2</v>
      </c>
      <c r="G564" s="189" t="n">
        <v>3</v>
      </c>
      <c r="H564" s="189" t="inlineStr">
        <is>
          <t>HIGH</t>
        </is>
      </c>
      <c r="I564" s="189" t="n">
        <v>15.9</v>
      </c>
      <c r="J564" s="189" t="inlineStr">
        <is>
          <t>NO</t>
        </is>
      </c>
      <c r="K564" s="189" t="inlineStr">
        <is>
          <t>https://nvd.nist.gov/vuln/detail/CVE-2026-27626</t>
        </is>
      </c>
      <c r="L564" s="189" t="inlineStr">
        <is>
          <t>2026-02-27 20:47</t>
        </is>
      </c>
      <c r="M564" s="189" t="inlineStr">
        <is>
          <t>CHECK_VENDOR</t>
        </is>
      </c>
      <c r="N564" s="189" t="inlineStr">
        <is>
          <t>See NVD references</t>
        </is>
      </c>
      <c r="O564" s="189" t="inlineStr">
        <is>
          <t>Apply vendor patches</t>
        </is>
      </c>
      <c r="P564" s="189" t="inlineStr">
        <is>
          <t>See CVE details</t>
        </is>
      </c>
      <c r="Q564" s="189" t="inlineStr">
        <is>
          <t>P3</t>
        </is>
      </c>
      <c r="R564" s="189" t="inlineStr">
        <is>
          <t>🚨 URGENT: Apply vendor patches immediately | 🔒 Isolate affected systems if patch unavailable | 🛡️ Enable additional monitoring/IDS rules</t>
        </is>
      </c>
      <c r="S564" s="189" t="inlineStr">
        <is>
          <t>CVE - IP enrichment n/a</t>
        </is>
      </c>
      <c r="T564" s="189" t="n">
        <v>0.0008</v>
      </c>
      <c r="U564" s="189" t="n">
        <v>0.2465</v>
      </c>
      <c r="V564" s="189" t="inlineStr">
        <is>
          <t>T1059:Command and Scripting Interpreter | T1190:Exploit Public-Facing Application</t>
        </is>
      </c>
      <c r="W564" s="189" t="n">
        <v>1</v>
      </c>
      <c r="X564" s="189" t="inlineStr">
        <is>
          <t>LOW (40%)</t>
        </is>
      </c>
      <c r="Y564" s="189" t="inlineStr">
        <is>
          <t>UNLIKELY</t>
        </is>
      </c>
      <c r="Z564" s="189" t="inlineStr">
        <is>
          <t>CHECK_VENDOR</t>
        </is>
      </c>
      <c r="AA564" s="189" t="inlineStr">
        <is>
          <t>https://nvd.nist.gov/vuln/detail/CVE-2026-27626</t>
        </is>
      </c>
      <c r="AB564" s="189" t="inlineStr">
        <is>
          <t>NONE</t>
        </is>
      </c>
      <c r="AC564" s="189" t="n">
        <v>0</v>
      </c>
      <c r="AD564" s="189" t="inlineStr"/>
    </row>
    <row r="565">
      <c r="A565" s="187" t="inlineStr">
        <is>
          <t>CVE</t>
        </is>
      </c>
      <c r="B565" s="187" t="inlineStr">
        <is>
          <t>CVE-2026-27628</t>
        </is>
      </c>
      <c r="C565" s="187"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565" s="187" t="n">
        <v>7.5</v>
      </c>
      <c r="E565" s="187" t="inlineStr">
        <is>
          <t>HIGH</t>
        </is>
      </c>
      <c r="F565" s="187" t="n">
        <v>2</v>
      </c>
      <c r="G565" s="187" t="n">
        <v>3</v>
      </c>
      <c r="H565" s="187" t="inlineStr">
        <is>
          <t>HIGH</t>
        </is>
      </c>
      <c r="I565" s="187" t="n">
        <v>13.5</v>
      </c>
      <c r="J565" s="187" t="inlineStr">
        <is>
          <t>NO</t>
        </is>
      </c>
      <c r="K565" s="187" t="inlineStr">
        <is>
          <t>https://nvd.nist.gov/vuln/detail/CVE-2026-27628</t>
        </is>
      </c>
      <c r="L565" s="187" t="inlineStr">
        <is>
          <t>2026-02-27 20:47</t>
        </is>
      </c>
      <c r="M565" s="187" t="inlineStr">
        <is>
          <t>YES</t>
        </is>
      </c>
      <c r="N565" s="187" t="inlineStr">
        <is>
          <t>https://github.com/py-pdf/pypdf/commit/0fbd95938724ad2d72688d4112207c0590f0483f | https://github.com/py-pdf/pypdf/issues/3654 | https://github.com/py-pdf/pypdf/security/advisories/GHSA-2rw7-x74f-jg35</t>
        </is>
      </c>
      <c r="O565" s="187" t="inlineStr">
        <is>
          <t>Apply vendor patches</t>
        </is>
      </c>
      <c r="P565" s="187" t="inlineStr">
        <is>
          <t>pypdf_project pypdf *</t>
        </is>
      </c>
      <c r="Q565" s="187" t="inlineStr">
        <is>
          <t>P3</t>
        </is>
      </c>
      <c r="R565" s="187" t="inlineStr">
        <is>
          <t>🚨 URGENT: Apply vendor patches immediately | 🔒 Isolate affected systems if patch unavailable | 🛡️ Enable additional monitoring/IDS rules</t>
        </is>
      </c>
      <c r="S565" s="187" t="inlineStr">
        <is>
          <t>CVE - IP enrichment n/a</t>
        </is>
      </c>
      <c r="T565" s="187" t="n">
        <v>0.0003</v>
      </c>
      <c r="U565" s="187" t="n">
        <v>0.0944</v>
      </c>
      <c r="V565" s="187" t="inlineStr">
        <is>
          <t>T1190:Exploit Public-Facing Application</t>
        </is>
      </c>
      <c r="W565" s="187" t="n">
        <v>1</v>
      </c>
      <c r="X565" s="187" t="inlineStr">
        <is>
          <t>LOW (40%)</t>
        </is>
      </c>
      <c r="Y565" s="187" t="inlineStr">
        <is>
          <t>UNLIKELY</t>
        </is>
      </c>
      <c r="Z565" s="187" t="inlineStr">
        <is>
          <t>PATCH_AVAILABLE</t>
        </is>
      </c>
      <c r="AA565" s="187" t="inlineStr">
        <is>
          <t>https://nvd.nist.gov/vuln/detail/CVE-2026-27628</t>
        </is>
      </c>
      <c r="AB565" s="187" t="inlineStr">
        <is>
          <t>NONE</t>
        </is>
      </c>
      <c r="AC565" s="187" t="n">
        <v>0</v>
      </c>
      <c r="AD565" s="187" t="inlineStr"/>
    </row>
    <row r="566">
      <c r="A566" s="188" t="inlineStr">
        <is>
          <t>CVE</t>
        </is>
      </c>
      <c r="B566" s="188" t="inlineStr">
        <is>
          <t>CVE-2026-27629</t>
        </is>
      </c>
      <c r="C566" s="188"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566" s="188" t="n">
        <v>5.9</v>
      </c>
      <c r="E566" s="188" t="inlineStr">
        <is>
          <t>MEDIUM</t>
        </is>
      </c>
      <c r="F566" s="188" t="n">
        <v>2</v>
      </c>
      <c r="G566" s="188" t="n">
        <v>2</v>
      </c>
      <c r="H566" s="188" t="inlineStr">
        <is>
          <t>MEDIUM</t>
        </is>
      </c>
      <c r="I566" s="188" t="n">
        <v>9.9</v>
      </c>
      <c r="J566" s="188" t="inlineStr">
        <is>
          <t>NO</t>
        </is>
      </c>
      <c r="K566" s="188" t="inlineStr">
        <is>
          <t>https://nvd.nist.gov/vuln/detail/CVE-2026-27629</t>
        </is>
      </c>
      <c r="L566" s="188" t="inlineStr">
        <is>
          <t>2026-02-27 20:47</t>
        </is>
      </c>
      <c r="M566" s="188" t="inlineStr">
        <is>
          <t>CHECK_VENDOR</t>
        </is>
      </c>
      <c r="N566" s="188" t="inlineStr">
        <is>
          <t>See NVD references</t>
        </is>
      </c>
      <c r="O566" s="188" t="inlineStr">
        <is>
          <t>Apply vendor patches</t>
        </is>
      </c>
      <c r="P566" s="188" t="inlineStr">
        <is>
          <t>See CVE details</t>
        </is>
      </c>
      <c r="Q566" s="188" t="inlineStr">
        <is>
          <t>P4</t>
        </is>
      </c>
      <c r="R566" s="188" t="inlineStr">
        <is>
          <t>📅 Schedule patch deployment within 30 days | 🔍 Monitor for exploitation attempts</t>
        </is>
      </c>
      <c r="S566" s="188" t="inlineStr">
        <is>
          <t>CVE - IP enrichment n/a</t>
        </is>
      </c>
      <c r="T566" s="188" t="n">
        <v>0.0003</v>
      </c>
      <c r="U566" s="188" t="n">
        <v>0.0975</v>
      </c>
      <c r="V566" s="188" t="inlineStr">
        <is>
          <t>T1190:Exploit Public-Facing Application</t>
        </is>
      </c>
      <c r="W566" s="188" t="n">
        <v>1</v>
      </c>
      <c r="X566" s="188" t="inlineStr">
        <is>
          <t>LOW (40%)</t>
        </is>
      </c>
      <c r="Y566" s="188" t="inlineStr">
        <is>
          <t>UNLIKELY</t>
        </is>
      </c>
      <c r="Z566" s="188" t="inlineStr">
        <is>
          <t>CHECK_VENDOR</t>
        </is>
      </c>
      <c r="AA566" s="188" t="inlineStr">
        <is>
          <t>https://nvd.nist.gov/vuln/detail/CVE-2026-27629</t>
        </is>
      </c>
      <c r="AB566" s="188" t="inlineStr">
        <is>
          <t>NONE</t>
        </is>
      </c>
      <c r="AC566" s="188" t="n">
        <v>0</v>
      </c>
      <c r="AD566" s="188" t="inlineStr"/>
    </row>
    <row r="567">
      <c r="A567" s="190" t="inlineStr">
        <is>
          <t>CVE</t>
        </is>
      </c>
      <c r="B567" s="190" t="inlineStr">
        <is>
          <t>CVE-2026-27632</t>
        </is>
      </c>
      <c r="C567" s="190"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567" s="190" t="n">
        <v>2.6</v>
      </c>
      <c r="E567" s="190" t="inlineStr">
        <is>
          <t>LOW</t>
        </is>
      </c>
      <c r="F567" s="190" t="n">
        <v>2</v>
      </c>
      <c r="G567" s="190" t="n">
        <v>1</v>
      </c>
      <c r="H567" s="190" t="inlineStr">
        <is>
          <t>LOW</t>
        </is>
      </c>
      <c r="I567" s="190" t="n">
        <v>4.6</v>
      </c>
      <c r="J567" s="190" t="inlineStr">
        <is>
          <t>NO</t>
        </is>
      </c>
      <c r="K567" s="190" t="inlineStr">
        <is>
          <t>https://nvd.nist.gov/vuln/detail/CVE-2026-27632</t>
        </is>
      </c>
      <c r="L567" s="190" t="inlineStr">
        <is>
          <t>2026-02-27 20:47</t>
        </is>
      </c>
      <c r="M567" s="190" t="inlineStr">
        <is>
          <t>CHECK_VENDOR</t>
        </is>
      </c>
      <c r="N567" s="190" t="inlineStr">
        <is>
          <t>See NVD references</t>
        </is>
      </c>
      <c r="O567" s="190" t="inlineStr">
        <is>
          <t>Apply vendor patches</t>
        </is>
      </c>
      <c r="P567" s="190" t="inlineStr">
        <is>
          <t>See CVE details</t>
        </is>
      </c>
      <c r="Q567" s="190" t="inlineStr">
        <is>
          <t>P4</t>
        </is>
      </c>
      <c r="R567" s="190" t="inlineStr">
        <is>
          <t>📅 Schedule patch deployment within 30 days | 🔍 Monitor for exploitation attempts</t>
        </is>
      </c>
      <c r="S567" s="190" t="inlineStr">
        <is>
          <t>CVE - IP enrichment n/a</t>
        </is>
      </c>
      <c r="T567" s="190" t="n">
        <v>0.0001</v>
      </c>
      <c r="U567" s="190" t="n">
        <v>0.0257</v>
      </c>
      <c r="V567" s="190" t="inlineStr">
        <is>
          <t>T1185:Browser Session Hijacking</t>
        </is>
      </c>
      <c r="W567" s="190" t="n">
        <v>1</v>
      </c>
      <c r="X567" s="190" t="inlineStr">
        <is>
          <t>LOW (40%)</t>
        </is>
      </c>
      <c r="Y567" s="190" t="inlineStr">
        <is>
          <t>UNLIKELY</t>
        </is>
      </c>
      <c r="Z567" s="190" t="inlineStr">
        <is>
          <t>CHECK_VENDOR</t>
        </is>
      </c>
      <c r="AA567" s="190" t="inlineStr">
        <is>
          <t>https://nvd.nist.gov/vuln/detail/CVE-2026-27632</t>
        </is>
      </c>
      <c r="AB567" s="190" t="inlineStr">
        <is>
          <t>NONE</t>
        </is>
      </c>
      <c r="AC567" s="190" t="n">
        <v>0</v>
      </c>
      <c r="AD567" s="190" t="inlineStr"/>
    </row>
    <row r="568">
      <c r="A568" s="189" t="inlineStr">
        <is>
          <t>CVE</t>
        </is>
      </c>
      <c r="B568" s="189" t="inlineStr">
        <is>
          <t>CVE-2026-27822</t>
        </is>
      </c>
      <c r="C568" s="189"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568" s="189" t="n">
        <v>9</v>
      </c>
      <c r="E568" s="189" t="inlineStr">
        <is>
          <t>CRITICAL</t>
        </is>
      </c>
      <c r="F568" s="189" t="n">
        <v>2</v>
      </c>
      <c r="G568" s="189" t="n">
        <v>3</v>
      </c>
      <c r="H568" s="189" t="inlineStr">
        <is>
          <t>HIGH</t>
        </is>
      </c>
      <c r="I568" s="189" t="n">
        <v>15</v>
      </c>
      <c r="J568" s="189" t="inlineStr">
        <is>
          <t>NO</t>
        </is>
      </c>
      <c r="K568" s="189" t="inlineStr">
        <is>
          <t>https://nvd.nist.gov/vuln/detail/CVE-2026-27822</t>
        </is>
      </c>
      <c r="L568" s="189" t="inlineStr">
        <is>
          <t>2026-02-27 20:47</t>
        </is>
      </c>
      <c r="M568" s="189" t="inlineStr">
        <is>
          <t>YES</t>
        </is>
      </c>
      <c r="N568" s="189" t="inlineStr">
        <is>
          <t>https://github.com/rustfs/rustfs/security/advisories/GHSA-v9fg-3cr2-277j</t>
        </is>
      </c>
      <c r="O568" s="189" t="inlineStr">
        <is>
          <t>Apply vendor patches</t>
        </is>
      </c>
      <c r="P568" s="189" t="inlineStr">
        <is>
          <t>rustfs rustfs 1.0.0</t>
        </is>
      </c>
      <c r="Q568" s="189" t="inlineStr">
        <is>
          <t>P3</t>
        </is>
      </c>
      <c r="R568" s="189" t="inlineStr">
        <is>
          <t>🚨 URGENT: Apply vendor patches immediately | 🔒 Isolate affected systems if patch unavailable | 🛡️ Enable additional monitoring/IDS rules</t>
        </is>
      </c>
      <c r="S568" s="189" t="inlineStr">
        <is>
          <t>CVE - IP enrichment n/a</t>
        </is>
      </c>
      <c r="T568" s="189" t="n">
        <v>0.0003</v>
      </c>
      <c r="U568" s="189" t="n">
        <v>0.09279999999999999</v>
      </c>
      <c r="V568" s="189" t="inlineStr">
        <is>
          <t>T1189:Drive-by Compromise | T1552:Unsecured Credentials</t>
        </is>
      </c>
      <c r="W568" s="189" t="n">
        <v>1</v>
      </c>
      <c r="X568" s="189" t="inlineStr">
        <is>
          <t>LOW (40%)</t>
        </is>
      </c>
      <c r="Y568" s="189" t="inlineStr">
        <is>
          <t>UNLIKELY</t>
        </is>
      </c>
      <c r="Z568" s="189" t="inlineStr">
        <is>
          <t>PATCH_AVAILABLE</t>
        </is>
      </c>
      <c r="AA568" s="189" t="inlineStr">
        <is>
          <t>https://nvd.nist.gov/vuln/detail/CVE-2026-27822</t>
        </is>
      </c>
      <c r="AB568" s="189" t="inlineStr">
        <is>
          <t>NONE</t>
        </is>
      </c>
      <c r="AC568" s="189" t="n">
        <v>0</v>
      </c>
      <c r="AD568" s="189" t="inlineStr"/>
    </row>
    <row r="569">
      <c r="A569" s="188" t="inlineStr">
        <is>
          <t>CVE</t>
        </is>
      </c>
      <c r="B569" s="188" t="inlineStr">
        <is>
          <t>CVE-2026-3145</t>
        </is>
      </c>
      <c r="C569" s="188"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569" s="188" t="n">
        <v>5.3</v>
      </c>
      <c r="E569" s="188" t="inlineStr">
        <is>
          <t>MEDIUM</t>
        </is>
      </c>
      <c r="F569" s="188" t="n">
        <v>2</v>
      </c>
      <c r="G569" s="188" t="n">
        <v>2</v>
      </c>
      <c r="H569" s="188" t="inlineStr">
        <is>
          <t>MEDIUM</t>
        </is>
      </c>
      <c r="I569" s="188" t="n">
        <v>9.300000000000001</v>
      </c>
      <c r="J569" s="188" t="inlineStr">
        <is>
          <t>NO</t>
        </is>
      </c>
      <c r="K569" s="188" t="inlineStr">
        <is>
          <t>https://nvd.nist.gov/vuln/detail/CVE-2026-3145</t>
        </is>
      </c>
      <c r="L569" s="188" t="inlineStr">
        <is>
          <t>2026-02-27 20:47</t>
        </is>
      </c>
      <c r="M569" s="188" t="inlineStr">
        <is>
          <t>YES</t>
        </is>
      </c>
      <c r="N569" s="188" t="inlineStr">
        <is>
          <t>https://github.com/libvips/libvips/commit/d4ce337c76bff1b278d7085c3c4f4725e3aa6ece | https://github.com/libvips/libvips/issues/4876 | https://github.com/libvips/libvips/pull/4888</t>
        </is>
      </c>
      <c r="O569" s="188" t="inlineStr">
        <is>
          <t>Apply vendor patches</t>
        </is>
      </c>
      <c r="P569" s="188" t="inlineStr">
        <is>
          <t>libvips libvips *</t>
        </is>
      </c>
      <c r="Q569" s="188" t="inlineStr">
        <is>
          <t>P4</t>
        </is>
      </c>
      <c r="R569" s="188" t="inlineStr">
        <is>
          <t>📅 Schedule patch deployment within 30 days | 🔍 Monitor for exploitation attempts</t>
        </is>
      </c>
      <c r="S569" s="188" t="inlineStr">
        <is>
          <t>CVE - IP enrichment n/a</t>
        </is>
      </c>
      <c r="T569" s="188" t="n">
        <v>0.0001</v>
      </c>
      <c r="U569" s="188" t="n">
        <v>0.0204</v>
      </c>
      <c r="V569" s="188" t="inlineStr">
        <is>
          <t>T1203:Exploitation for Client Execution</t>
        </is>
      </c>
      <c r="W569" s="188" t="n">
        <v>1</v>
      </c>
      <c r="X569" s="188" t="inlineStr">
        <is>
          <t>LOW (40%)</t>
        </is>
      </c>
      <c r="Y569" s="188" t="inlineStr">
        <is>
          <t>UNLIKELY</t>
        </is>
      </c>
      <c r="Z569" s="188" t="inlineStr">
        <is>
          <t>PATCH_AVAILABLE</t>
        </is>
      </c>
      <c r="AA569" s="188" t="inlineStr">
        <is>
          <t>https://nvd.nist.gov/vuln/detail/CVE-2026-3145</t>
        </is>
      </c>
      <c r="AB569" s="188" t="inlineStr">
        <is>
          <t>NONE</t>
        </is>
      </c>
      <c r="AC569" s="188" t="n">
        <v>0</v>
      </c>
      <c r="AD569" s="188" t="inlineStr"/>
    </row>
    <row r="570">
      <c r="A570" s="190" t="inlineStr">
        <is>
          <t>CVE</t>
        </is>
      </c>
      <c r="B570" s="190" t="inlineStr">
        <is>
          <t>CVE-2026-3146</t>
        </is>
      </c>
      <c r="C570" s="190"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570" s="190" t="n">
        <v>3.3</v>
      </c>
      <c r="E570" s="190" t="inlineStr">
        <is>
          <t>LOW</t>
        </is>
      </c>
      <c r="F570" s="190" t="n">
        <v>2</v>
      </c>
      <c r="G570" s="190" t="n">
        <v>1</v>
      </c>
      <c r="H570" s="190" t="inlineStr">
        <is>
          <t>LOW</t>
        </is>
      </c>
      <c r="I570" s="190" t="n">
        <v>5.3</v>
      </c>
      <c r="J570" s="190" t="inlineStr">
        <is>
          <t>NO</t>
        </is>
      </c>
      <c r="K570" s="190" t="inlineStr">
        <is>
          <t>https://nvd.nist.gov/vuln/detail/CVE-2026-3146</t>
        </is>
      </c>
      <c r="L570" s="190" t="inlineStr">
        <is>
          <t>2026-02-27 20:47</t>
        </is>
      </c>
      <c r="M570" s="190" t="inlineStr">
        <is>
          <t>YES</t>
        </is>
      </c>
      <c r="N570" s="190" t="inlineStr">
        <is>
          <t>https://github.com/libvips/libvips/commit/d4ce337c76bff1b278d7085c3c4f4725e3aa6ece | https://github.com/libvips/libvips/issues/4875 | https://github.com/libvips/libvips/pull/4888</t>
        </is>
      </c>
      <c r="O570" s="190" t="inlineStr">
        <is>
          <t>Apply vendor patches</t>
        </is>
      </c>
      <c r="P570" s="190" t="inlineStr">
        <is>
          <t>libvips libvips *</t>
        </is>
      </c>
      <c r="Q570" s="190" t="inlineStr">
        <is>
          <t>P4</t>
        </is>
      </c>
      <c r="R570" s="190" t="inlineStr">
        <is>
          <t>📅 Schedule patch deployment within 30 days | 🔍 Monitor for exploitation attempts</t>
        </is>
      </c>
      <c r="S570" s="190" t="inlineStr">
        <is>
          <t>CVE - IP enrichment n/a</t>
        </is>
      </c>
      <c r="T570" s="190" t="n">
        <v>0.0001</v>
      </c>
      <c r="U570" s="190" t="n">
        <v>0.0131</v>
      </c>
      <c r="V570" s="190" t="inlineStr">
        <is>
          <t>T1190:Exploit Public-Facing Application</t>
        </is>
      </c>
      <c r="W570" s="190" t="n">
        <v>1</v>
      </c>
      <c r="X570" s="190" t="inlineStr">
        <is>
          <t>LOW (40%)</t>
        </is>
      </c>
      <c r="Y570" s="190" t="inlineStr">
        <is>
          <t>UNLIKELY</t>
        </is>
      </c>
      <c r="Z570" s="190" t="inlineStr">
        <is>
          <t>PATCH_AVAILABLE</t>
        </is>
      </c>
      <c r="AA570" s="190" t="inlineStr">
        <is>
          <t>https://nvd.nist.gov/vuln/detail/CVE-2026-3146</t>
        </is>
      </c>
      <c r="AB570" s="190" t="inlineStr">
        <is>
          <t>NONE</t>
        </is>
      </c>
      <c r="AC570" s="190" t="n">
        <v>0</v>
      </c>
      <c r="AD570" s="190" t="inlineStr"/>
    </row>
    <row r="571">
      <c r="A571" s="189" t="inlineStr">
        <is>
          <t>CVE</t>
        </is>
      </c>
      <c r="B571" s="189" t="inlineStr">
        <is>
          <t>CVE-2026-27597</t>
        </is>
      </c>
      <c r="C571" s="189"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571" s="189" t="n">
        <v>10</v>
      </c>
      <c r="E571" s="189" t="inlineStr">
        <is>
          <t>CRITICAL</t>
        </is>
      </c>
      <c r="F571" s="189" t="n">
        <v>2</v>
      </c>
      <c r="G571" s="189" t="n">
        <v>3</v>
      </c>
      <c r="H571" s="189" t="inlineStr">
        <is>
          <t>HIGH</t>
        </is>
      </c>
      <c r="I571" s="189" t="n">
        <v>16</v>
      </c>
      <c r="J571" s="189" t="inlineStr">
        <is>
          <t>NO</t>
        </is>
      </c>
      <c r="K571" s="189" t="inlineStr">
        <is>
          <t>https://nvd.nist.gov/vuln/detail/CVE-2026-27597</t>
        </is>
      </c>
      <c r="L571" s="189" t="inlineStr">
        <is>
          <t>2026-02-27 20:47</t>
        </is>
      </c>
      <c r="M571" s="189" t="inlineStr">
        <is>
          <t>CHECK_VENDOR</t>
        </is>
      </c>
      <c r="N571" s="189" t="inlineStr">
        <is>
          <t>See NVD references</t>
        </is>
      </c>
      <c r="O571" s="189" t="inlineStr">
        <is>
          <t>Apply vendor patches</t>
        </is>
      </c>
      <c r="P571" s="189" t="inlineStr">
        <is>
          <t>See CVE details</t>
        </is>
      </c>
      <c r="Q571" s="189" t="inlineStr">
        <is>
          <t>P3</t>
        </is>
      </c>
      <c r="R571" s="189" t="inlineStr">
        <is>
          <t>🚨 URGENT: Apply vendor patches immediately | 🔒 Isolate affected systems if patch unavailable | 🛡️ Enable additional monitoring/IDS rules</t>
        </is>
      </c>
      <c r="S571" s="189" t="inlineStr">
        <is>
          <t>CVE - IP enrichment n/a</t>
        </is>
      </c>
      <c r="T571" s="189" t="n">
        <v>0.0029</v>
      </c>
      <c r="U571" s="189" t="n">
        <v>0.5182</v>
      </c>
      <c r="V571" s="189" t="inlineStr">
        <is>
          <t>T1059:Command and Scripting Interpreter | T1190:Exploit Public-Facing Application | T1210:Exploitation of Remote Services</t>
        </is>
      </c>
      <c r="W571" s="189" t="n">
        <v>1</v>
      </c>
      <c r="X571" s="189" t="inlineStr">
        <is>
          <t>LOW (40%)</t>
        </is>
      </c>
      <c r="Y571" s="189" t="inlineStr">
        <is>
          <t>UNLIKELY</t>
        </is>
      </c>
      <c r="Z571" s="189" t="inlineStr">
        <is>
          <t>CHECK_VENDOR</t>
        </is>
      </c>
      <c r="AA571" s="189" t="inlineStr">
        <is>
          <t>https://nvd.nist.gov/vuln/detail/CVE-2026-27597</t>
        </is>
      </c>
      <c r="AB571" s="189" t="inlineStr">
        <is>
          <t>NONE</t>
        </is>
      </c>
      <c r="AC571" s="189" t="n">
        <v>0</v>
      </c>
      <c r="AD571" s="189" t="inlineStr"/>
    </row>
    <row r="572">
      <c r="A572" s="187" t="inlineStr">
        <is>
          <t>CVE</t>
        </is>
      </c>
      <c r="B572" s="187" t="inlineStr">
        <is>
          <t>CVE-2026-27627</t>
        </is>
      </c>
      <c r="C572" s="187"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572" s="187" t="n">
        <v>8.199999999999999</v>
      </c>
      <c r="E572" s="187" t="inlineStr">
        <is>
          <t>HIGH</t>
        </is>
      </c>
      <c r="F572" s="187" t="n">
        <v>2</v>
      </c>
      <c r="G572" s="187" t="n">
        <v>3</v>
      </c>
      <c r="H572" s="187" t="inlineStr">
        <is>
          <t>HIGH</t>
        </is>
      </c>
      <c r="I572" s="187" t="n">
        <v>14.2</v>
      </c>
      <c r="J572" s="187" t="inlineStr">
        <is>
          <t>NO</t>
        </is>
      </c>
      <c r="K572" s="187" t="inlineStr">
        <is>
          <t>https://nvd.nist.gov/vuln/detail/CVE-2026-27627</t>
        </is>
      </c>
      <c r="L572" s="187" t="inlineStr">
        <is>
          <t>2026-02-27 20:47</t>
        </is>
      </c>
      <c r="M572" s="187" t="inlineStr">
        <is>
          <t>CHECK_VENDOR</t>
        </is>
      </c>
      <c r="N572" s="187" t="inlineStr">
        <is>
          <t>See NVD references</t>
        </is>
      </c>
      <c r="O572" s="187" t="inlineStr">
        <is>
          <t>Apply vendor patches</t>
        </is>
      </c>
      <c r="P572" s="187" t="inlineStr">
        <is>
          <t>See CVE details</t>
        </is>
      </c>
      <c r="Q572" s="187" t="inlineStr">
        <is>
          <t>P3</t>
        </is>
      </c>
      <c r="R572" s="187" t="inlineStr">
        <is>
          <t>🚨 URGENT: Apply vendor patches immediately | 🔒 Isolate affected systems if patch unavailable | 🛡️ Enable additional monitoring/IDS rules</t>
        </is>
      </c>
      <c r="S572" s="187" t="inlineStr">
        <is>
          <t>CVE - IP enrichment n/a</t>
        </is>
      </c>
      <c r="T572" s="187" t="n">
        <v>0.0003</v>
      </c>
      <c r="U572" s="187" t="n">
        <v>0.08599999999999999</v>
      </c>
      <c r="V572" s="187" t="inlineStr">
        <is>
          <t>T1189:Drive-by Compromise | T1190:Exploit Public-Facing Application</t>
        </is>
      </c>
      <c r="W572" s="187" t="n">
        <v>1</v>
      </c>
      <c r="X572" s="187" t="inlineStr">
        <is>
          <t>LOW (40%)</t>
        </is>
      </c>
      <c r="Y572" s="187" t="inlineStr">
        <is>
          <t>UNLIKELY</t>
        </is>
      </c>
      <c r="Z572" s="187" t="inlineStr">
        <is>
          <t>CHECK_VENDOR</t>
        </is>
      </c>
      <c r="AA572" s="187" t="inlineStr">
        <is>
          <t>https://nvd.nist.gov/vuln/detail/CVE-2026-27627</t>
        </is>
      </c>
      <c r="AB572" s="187" t="inlineStr">
        <is>
          <t>NONE</t>
        </is>
      </c>
      <c r="AC572" s="187" t="n">
        <v>0</v>
      </c>
      <c r="AD572" s="187" t="inlineStr"/>
    </row>
    <row r="573">
      <c r="A573" s="187" t="inlineStr">
        <is>
          <t>CVE</t>
        </is>
      </c>
      <c r="B573" s="187" t="inlineStr">
        <is>
          <t>CVE-2026-27636</t>
        </is>
      </c>
      <c r="C573" s="187"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573" s="187" t="n">
        <v>8.800000000000001</v>
      </c>
      <c r="E573" s="187" t="inlineStr">
        <is>
          <t>HIGH</t>
        </is>
      </c>
      <c r="F573" s="187" t="n">
        <v>2</v>
      </c>
      <c r="G573" s="187" t="n">
        <v>3</v>
      </c>
      <c r="H573" s="187" t="inlineStr">
        <is>
          <t>HIGH</t>
        </is>
      </c>
      <c r="I573" s="187" t="n">
        <v>14.8</v>
      </c>
      <c r="J573" s="187" t="inlineStr">
        <is>
          <t>NO</t>
        </is>
      </c>
      <c r="K573" s="187" t="inlineStr">
        <is>
          <t>https://nvd.nist.gov/vuln/detail/CVE-2026-27636</t>
        </is>
      </c>
      <c r="L573" s="187" t="inlineStr">
        <is>
          <t>2026-02-27 20:47</t>
        </is>
      </c>
      <c r="M573" s="187" t="inlineStr">
        <is>
          <t>YES</t>
        </is>
      </c>
      <c r="N573" s="187" t="inlineStr">
        <is>
          <t>https://github.com/freescout-help-desk/freescout/commit/9984071e6f1b4e633fdcffcea82bbebc9c1e009c | https://github.com/freescout-help-desk/freescout/security/advisories/GHSA-mw88-x7j3-74vc | https://github.com/freescout-help-desk/freescout/security/advisories/GHSA-mw88-x7j3-74vc</t>
        </is>
      </c>
      <c r="O573" s="187" t="inlineStr">
        <is>
          <t>Apply vendor patches</t>
        </is>
      </c>
      <c r="P573" s="187" t="inlineStr">
        <is>
          <t>freescout freescout *</t>
        </is>
      </c>
      <c r="Q573" s="187" t="inlineStr">
        <is>
          <t>P3</t>
        </is>
      </c>
      <c r="R573" s="187" t="inlineStr">
        <is>
          <t>🚨 URGENT: Apply vendor patches immediately | 🔒 Isolate affected systems if patch unavailable | 🛡️ Enable additional monitoring/IDS rules</t>
        </is>
      </c>
      <c r="S573" s="187" t="inlineStr">
        <is>
          <t>CVE - IP enrichment n/a</t>
        </is>
      </c>
      <c r="T573" s="187" t="n">
        <v>0.003</v>
      </c>
      <c r="U573" s="187" t="n">
        <v>0.5331</v>
      </c>
      <c r="V573" s="187" t="inlineStr">
        <is>
          <t>T1190:Exploit Public-Facing Application | T1210:Exploitation of Remote Services</t>
        </is>
      </c>
      <c r="W573" s="187" t="n">
        <v>1</v>
      </c>
      <c r="X573" s="187" t="inlineStr">
        <is>
          <t>LOW (40%)</t>
        </is>
      </c>
      <c r="Y573" s="187" t="inlineStr">
        <is>
          <t>UNLIKELY</t>
        </is>
      </c>
      <c r="Z573" s="187" t="inlineStr">
        <is>
          <t>PATCH_AVAILABLE</t>
        </is>
      </c>
      <c r="AA573" s="187" t="inlineStr">
        <is>
          <t>https://nvd.nist.gov/vuln/detail/CVE-2026-27636</t>
        </is>
      </c>
      <c r="AB573" s="187" t="inlineStr">
        <is>
          <t>NONE</t>
        </is>
      </c>
      <c r="AC573" s="187" t="n">
        <v>0</v>
      </c>
      <c r="AD573" s="187" t="inlineStr"/>
    </row>
    <row r="574">
      <c r="A574" s="189" t="inlineStr">
        <is>
          <t>CVE</t>
        </is>
      </c>
      <c r="B574" s="189" t="inlineStr">
        <is>
          <t>CVE-2026-27637</t>
        </is>
      </c>
      <c r="C574" s="189"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574" s="189" t="n">
        <v>9.800000000000001</v>
      </c>
      <c r="E574" s="189" t="inlineStr">
        <is>
          <t>CRITICAL</t>
        </is>
      </c>
      <c r="F574" s="189" t="n">
        <v>2</v>
      </c>
      <c r="G574" s="189" t="n">
        <v>3</v>
      </c>
      <c r="H574" s="189" t="inlineStr">
        <is>
          <t>HIGH</t>
        </is>
      </c>
      <c r="I574" s="189" t="n">
        <v>15.8</v>
      </c>
      <c r="J574" s="189" t="inlineStr">
        <is>
          <t>NO</t>
        </is>
      </c>
      <c r="K574" s="189" t="inlineStr">
        <is>
          <t>https://nvd.nist.gov/vuln/detail/CVE-2026-27637</t>
        </is>
      </c>
      <c r="L574" s="189" t="inlineStr">
        <is>
          <t>2026-02-27 20:47</t>
        </is>
      </c>
      <c r="M574" s="189" t="inlineStr">
        <is>
          <t>YES</t>
        </is>
      </c>
      <c r="N574" s="189" t="inlineStr">
        <is>
          <t>https://github.com/freescout-help-desk/freescout/commit/004a8231f6e413af1d4680930b0e2342fd4283f9 | https://github.com/freescout-help-desk/freescout/security/advisories/GHSA-6gcm-v8xf-j9v9 | https://github.com/freescout-help-desk/freescout/security/advisories/GHSA-6gcm-v8xf-j9v9</t>
        </is>
      </c>
      <c r="O574" s="189" t="inlineStr">
        <is>
          <t>Apply vendor patches</t>
        </is>
      </c>
      <c r="P574" s="189" t="inlineStr">
        <is>
          <t>freescout freescout *</t>
        </is>
      </c>
      <c r="Q574" s="189" t="inlineStr">
        <is>
          <t>P3</t>
        </is>
      </c>
      <c r="R574" s="189" t="inlineStr">
        <is>
          <t>🚨 URGENT: Apply vendor patches immediately | 🔒 Isolate affected systems if patch unavailable | 🛡️ Enable additional monitoring/IDS rules</t>
        </is>
      </c>
      <c r="S574" s="189" t="inlineStr">
        <is>
          <t>CVE - IP enrichment n/a</t>
        </is>
      </c>
      <c r="T574" s="189" t="n">
        <v>0.0016</v>
      </c>
      <c r="U574" s="189" t="n">
        <v>0.3678</v>
      </c>
      <c r="V574" s="189" t="inlineStr">
        <is>
          <t>T1600:Weaken Encryption</t>
        </is>
      </c>
      <c r="W574" s="189" t="n">
        <v>1</v>
      </c>
      <c r="X574" s="189" t="inlineStr">
        <is>
          <t>LOW (40%)</t>
        </is>
      </c>
      <c r="Y574" s="189" t="inlineStr">
        <is>
          <t>UNLIKELY</t>
        </is>
      </c>
      <c r="Z574" s="189" t="inlineStr">
        <is>
          <t>PATCH_AVAILABLE</t>
        </is>
      </c>
      <c r="AA574" s="189" t="inlineStr">
        <is>
          <t>https://nvd.nist.gov/vuln/detail/CVE-2026-27637</t>
        </is>
      </c>
      <c r="AB574" s="189" t="inlineStr">
        <is>
          <t>NONE</t>
        </is>
      </c>
      <c r="AC574" s="189" t="n">
        <v>0</v>
      </c>
      <c r="AD574" s="189" t="inlineStr"/>
    </row>
    <row r="575">
      <c r="A575" s="187" t="inlineStr">
        <is>
          <t>CVE</t>
        </is>
      </c>
      <c r="B575" s="187" t="inlineStr">
        <is>
          <t>CVE-2026-27639</t>
        </is>
      </c>
      <c r="C575" s="187"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575" s="187" t="n">
        <v>8.5</v>
      </c>
      <c r="E575" s="187" t="inlineStr">
        <is>
          <t>HIGH</t>
        </is>
      </c>
      <c r="F575" s="187" t="n">
        <v>2</v>
      </c>
      <c r="G575" s="187" t="n">
        <v>3</v>
      </c>
      <c r="H575" s="187" t="inlineStr">
        <is>
          <t>HIGH</t>
        </is>
      </c>
      <c r="I575" s="187" t="n">
        <v>14.5</v>
      </c>
      <c r="J575" s="187" t="inlineStr">
        <is>
          <t>NO</t>
        </is>
      </c>
      <c r="K575" s="187" t="inlineStr">
        <is>
          <t>https://nvd.nist.gov/vuln/detail/CVE-2026-27639</t>
        </is>
      </c>
      <c r="L575" s="187" t="inlineStr">
        <is>
          <t>2026-02-27 20:47</t>
        </is>
      </c>
      <c r="M575" s="187" t="inlineStr">
        <is>
          <t>CHECK_VENDOR</t>
        </is>
      </c>
      <c r="N575" s="187" t="inlineStr">
        <is>
          <t>See NVD references</t>
        </is>
      </c>
      <c r="O575" s="187" t="inlineStr">
        <is>
          <t>Apply vendor patches</t>
        </is>
      </c>
      <c r="P575" s="187" t="inlineStr">
        <is>
          <t>See CVE details</t>
        </is>
      </c>
      <c r="Q575" s="187" t="inlineStr">
        <is>
          <t>P3</t>
        </is>
      </c>
      <c r="R575" s="187" t="inlineStr">
        <is>
          <t>🚨 URGENT: Apply vendor patches immediately | 🔒 Isolate affected systems if patch unavailable | 🛡️ Enable additional monitoring/IDS rules</t>
        </is>
      </c>
      <c r="S575" s="187" t="inlineStr">
        <is>
          <t>CVE - IP enrichment n/a</t>
        </is>
      </c>
      <c r="T575" s="187" t="n">
        <v>0.0005</v>
      </c>
      <c r="U575" s="187" t="n">
        <v>0.1437</v>
      </c>
      <c r="V575" s="187" t="inlineStr">
        <is>
          <t>T1189:Drive-by Compromise | T1190:Exploit Public-Facing Application</t>
        </is>
      </c>
      <c r="W575" s="187" t="n">
        <v>1</v>
      </c>
      <c r="X575" s="187" t="inlineStr">
        <is>
          <t>LOW (40%)</t>
        </is>
      </c>
      <c r="Y575" s="187" t="inlineStr">
        <is>
          <t>UNLIKELY</t>
        </is>
      </c>
      <c r="Z575" s="187" t="inlineStr">
        <is>
          <t>CHECK_VENDOR</t>
        </is>
      </c>
      <c r="AA575" s="187" t="inlineStr">
        <is>
          <t>https://nvd.nist.gov/vuln/detail/CVE-2026-27639</t>
        </is>
      </c>
      <c r="AB575" s="187" t="inlineStr">
        <is>
          <t>NONE</t>
        </is>
      </c>
      <c r="AC575" s="187" t="n">
        <v>0</v>
      </c>
      <c r="AD575" s="187" t="inlineStr"/>
    </row>
    <row r="576">
      <c r="A576" s="187" t="inlineStr">
        <is>
          <t>CVE</t>
        </is>
      </c>
      <c r="B576" s="187" t="inlineStr">
        <is>
          <t>CVE-2026-27640</t>
        </is>
      </c>
      <c r="C576" s="187"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576" s="187" t="n">
        <v>8.5</v>
      </c>
      <c r="E576" s="187" t="inlineStr">
        <is>
          <t>HIGH</t>
        </is>
      </c>
      <c r="F576" s="187" t="n">
        <v>2</v>
      </c>
      <c r="G576" s="187" t="n">
        <v>3</v>
      </c>
      <c r="H576" s="187" t="inlineStr">
        <is>
          <t>HIGH</t>
        </is>
      </c>
      <c r="I576" s="187" t="n">
        <v>14.5</v>
      </c>
      <c r="J576" s="187" t="inlineStr">
        <is>
          <t>NO</t>
        </is>
      </c>
      <c r="K576" s="187" t="inlineStr">
        <is>
          <t>https://nvd.nist.gov/vuln/detail/CVE-2026-27640</t>
        </is>
      </c>
      <c r="L576" s="187" t="inlineStr">
        <is>
          <t>2026-02-27 20:47</t>
        </is>
      </c>
      <c r="M576" s="187" t="inlineStr">
        <is>
          <t>CHECK_VENDOR</t>
        </is>
      </c>
      <c r="N576" s="187" t="inlineStr">
        <is>
          <t>See NVD references</t>
        </is>
      </c>
      <c r="O576" s="187" t="inlineStr">
        <is>
          <t>Apply vendor patches</t>
        </is>
      </c>
      <c r="P576" s="187" t="inlineStr">
        <is>
          <t>See CVE details</t>
        </is>
      </c>
      <c r="Q576" s="187" t="inlineStr">
        <is>
          <t>P3</t>
        </is>
      </c>
      <c r="R576" s="187" t="inlineStr">
        <is>
          <t>🚨 URGENT: Apply vendor patches immediately | 🔒 Isolate affected systems if patch unavailable | 🛡️ Enable additional monitoring/IDS rules</t>
        </is>
      </c>
      <c r="S576" s="187" t="inlineStr">
        <is>
          <t>CVE - IP enrichment n/a</t>
        </is>
      </c>
      <c r="T576" s="187" t="n">
        <v>0.0004</v>
      </c>
      <c r="U576" s="187" t="n">
        <v>0.1257</v>
      </c>
      <c r="V576" s="187" t="inlineStr">
        <is>
          <t>T1190:Exploit Public-Facing Application</t>
        </is>
      </c>
      <c r="W576" s="187" t="n">
        <v>1</v>
      </c>
      <c r="X576" s="187" t="inlineStr">
        <is>
          <t>LOW (40%)</t>
        </is>
      </c>
      <c r="Y576" s="187" t="inlineStr">
        <is>
          <t>UNLIKELY</t>
        </is>
      </c>
      <c r="Z576" s="187" t="inlineStr">
        <is>
          <t>CHECK_VENDOR</t>
        </is>
      </c>
      <c r="AA576" s="187" t="inlineStr">
        <is>
          <t>https://nvd.nist.gov/vuln/detail/CVE-2026-27640</t>
        </is>
      </c>
      <c r="AB576" s="187" t="inlineStr">
        <is>
          <t>NONE</t>
        </is>
      </c>
      <c r="AC576" s="187" t="n">
        <v>0</v>
      </c>
      <c r="AD576" s="187" t="inlineStr"/>
    </row>
    <row r="577">
      <c r="A577" s="189" t="inlineStr">
        <is>
          <t>CVE</t>
        </is>
      </c>
      <c r="B577" s="189" t="inlineStr">
        <is>
          <t>CVE-2026-27641</t>
        </is>
      </c>
      <c r="C577" s="189"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577" s="189" t="n">
        <v>9.800000000000001</v>
      </c>
      <c r="E577" s="189" t="inlineStr">
        <is>
          <t>CRITICAL</t>
        </is>
      </c>
      <c r="F577" s="189" t="n">
        <v>2</v>
      </c>
      <c r="G577" s="189" t="n">
        <v>3</v>
      </c>
      <c r="H577" s="189" t="inlineStr">
        <is>
          <t>HIGH</t>
        </is>
      </c>
      <c r="I577" s="189" t="n">
        <v>15.8</v>
      </c>
      <c r="J577" s="189" t="inlineStr">
        <is>
          <t>NO</t>
        </is>
      </c>
      <c r="K577" s="189" t="inlineStr">
        <is>
          <t>https://nvd.nist.gov/vuln/detail/CVE-2026-27641</t>
        </is>
      </c>
      <c r="L577" s="189" t="inlineStr">
        <is>
          <t>2026-02-27 20:47</t>
        </is>
      </c>
      <c r="M577" s="189" t="inlineStr">
        <is>
          <t>CHECK_VENDOR</t>
        </is>
      </c>
      <c r="N577" s="189" t="inlineStr">
        <is>
          <t>See NVD references</t>
        </is>
      </c>
      <c r="O577" s="189" t="inlineStr">
        <is>
          <t>Apply vendor patches</t>
        </is>
      </c>
      <c r="P577" s="189" t="inlineStr">
        <is>
          <t>See CVE details</t>
        </is>
      </c>
      <c r="Q577" s="189" t="inlineStr">
        <is>
          <t>P3</t>
        </is>
      </c>
      <c r="R577" s="189" t="inlineStr">
        <is>
          <t>🚨 URGENT: Apply vendor patches immediately | 🔒 Isolate affected systems if patch unavailable | 🛡️ Enable additional monitoring/IDS rules</t>
        </is>
      </c>
      <c r="S577" s="189" t="inlineStr">
        <is>
          <t>CVE - IP enrichment n/a</t>
        </is>
      </c>
      <c r="T577" s="189" t="n">
        <v>0.0015</v>
      </c>
      <c r="U577" s="189" t="n">
        <v>0.3495</v>
      </c>
      <c r="V577" s="189" t="inlineStr">
        <is>
          <t>T1190:Exploit Public-Facing Application | T1210:Exploitation of Remote Services | T1083:File and Directory Discovery</t>
        </is>
      </c>
      <c r="W577" s="189" t="n">
        <v>1</v>
      </c>
      <c r="X577" s="189" t="inlineStr">
        <is>
          <t>LOW (40%)</t>
        </is>
      </c>
      <c r="Y577" s="189" t="inlineStr">
        <is>
          <t>UNLIKELY</t>
        </is>
      </c>
      <c r="Z577" s="189" t="inlineStr">
        <is>
          <t>CHECK_VENDOR</t>
        </is>
      </c>
      <c r="AA577" s="189" t="inlineStr">
        <is>
          <t>https://nvd.nist.gov/vuln/detail/CVE-2026-27641</t>
        </is>
      </c>
      <c r="AB577" s="189" t="inlineStr">
        <is>
          <t>NONE</t>
        </is>
      </c>
      <c r="AC577" s="189" t="n">
        <v>0</v>
      </c>
      <c r="AD577" s="189" t="inlineStr"/>
    </row>
    <row r="578">
      <c r="A578" s="189" t="inlineStr">
        <is>
          <t>CVE</t>
        </is>
      </c>
      <c r="B578" s="189" t="inlineStr">
        <is>
          <t>CVE-2026-27743</t>
        </is>
      </c>
      <c r="C578" s="189"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578" s="189" t="n">
        <v>9.800000000000001</v>
      </c>
      <c r="E578" s="189" t="inlineStr">
        <is>
          <t>CRITICAL</t>
        </is>
      </c>
      <c r="F578" s="189" t="n">
        <v>2</v>
      </c>
      <c r="G578" s="189" t="n">
        <v>3</v>
      </c>
      <c r="H578" s="189" t="inlineStr">
        <is>
          <t>HIGH</t>
        </is>
      </c>
      <c r="I578" s="189" t="n">
        <v>15.8</v>
      </c>
      <c r="J578" s="189" t="inlineStr">
        <is>
          <t>NO</t>
        </is>
      </c>
      <c r="K578" s="189" t="inlineStr">
        <is>
          <t>https://nvd.nist.gov/vuln/detail/CVE-2026-27743</t>
        </is>
      </c>
      <c r="L578" s="189" t="inlineStr">
        <is>
          <t>2026-02-27 20:47</t>
        </is>
      </c>
      <c r="M578" s="189" t="inlineStr">
        <is>
          <t>CHECK_VENDOR</t>
        </is>
      </c>
      <c r="N578" s="189" t="inlineStr">
        <is>
          <t>See NVD references</t>
        </is>
      </c>
      <c r="O578" s="189" t="inlineStr">
        <is>
          <t>Apply vendor patches</t>
        </is>
      </c>
      <c r="P578" s="189" t="inlineStr">
        <is>
          <t>See CVE details</t>
        </is>
      </c>
      <c r="Q578" s="189" t="inlineStr">
        <is>
          <t>P3</t>
        </is>
      </c>
      <c r="R578" s="189" t="inlineStr">
        <is>
          <t>🚨 URGENT: Apply vendor patches immediately | 🔒 Isolate affected systems if patch unavailable | 🛡️ Enable additional monitoring/IDS rules</t>
        </is>
      </c>
      <c r="S578" s="189" t="inlineStr">
        <is>
          <t>CVE - IP enrichment n/a</t>
        </is>
      </c>
      <c r="T578" s="189" t="n">
        <v>0.0008</v>
      </c>
      <c r="U578" s="189" t="n">
        <v>0.2468</v>
      </c>
      <c r="V578" s="189" t="inlineStr">
        <is>
          <t>T1190:Exploit Public-Facing Application</t>
        </is>
      </c>
      <c r="W578" s="189" t="n">
        <v>1</v>
      </c>
      <c r="X578" s="189" t="inlineStr">
        <is>
          <t>LOW (40%)</t>
        </is>
      </c>
      <c r="Y578" s="189" t="inlineStr">
        <is>
          <t>UNLIKELY</t>
        </is>
      </c>
      <c r="Z578" s="189" t="inlineStr">
        <is>
          <t>CHECK_VENDOR</t>
        </is>
      </c>
      <c r="AA578" s="189" t="inlineStr">
        <is>
          <t>https://nvd.nist.gov/vuln/detail/CVE-2026-27743</t>
        </is>
      </c>
      <c r="AB578" s="189" t="inlineStr">
        <is>
          <t>NONE</t>
        </is>
      </c>
      <c r="AC578" s="189" t="n">
        <v>0</v>
      </c>
      <c r="AD578" s="189" t="inlineStr"/>
    </row>
    <row r="579">
      <c r="A579" s="189" t="inlineStr">
        <is>
          <t>CVE</t>
        </is>
      </c>
      <c r="B579" s="189" t="inlineStr">
        <is>
          <t>CVE-2026-27744</t>
        </is>
      </c>
      <c r="C579" s="189"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579" s="189" t="n">
        <v>9.800000000000001</v>
      </c>
      <c r="E579" s="189" t="inlineStr">
        <is>
          <t>CRITICAL</t>
        </is>
      </c>
      <c r="F579" s="189" t="n">
        <v>2</v>
      </c>
      <c r="G579" s="189" t="n">
        <v>3</v>
      </c>
      <c r="H579" s="189" t="inlineStr">
        <is>
          <t>HIGH</t>
        </is>
      </c>
      <c r="I579" s="189" t="n">
        <v>15.8</v>
      </c>
      <c r="J579" s="189" t="inlineStr">
        <is>
          <t>NO</t>
        </is>
      </c>
      <c r="K579" s="189" t="inlineStr">
        <is>
          <t>https://nvd.nist.gov/vuln/detail/CVE-2026-27744</t>
        </is>
      </c>
      <c r="L579" s="189" t="inlineStr">
        <is>
          <t>2026-02-27 20:47</t>
        </is>
      </c>
      <c r="M579" s="189" t="inlineStr">
        <is>
          <t>CHECK_VENDOR</t>
        </is>
      </c>
      <c r="N579" s="189" t="inlineStr">
        <is>
          <t>See NVD references</t>
        </is>
      </c>
      <c r="O579" s="189" t="inlineStr">
        <is>
          <t>Apply vendor patches</t>
        </is>
      </c>
      <c r="P579" s="189" t="inlineStr">
        <is>
          <t>See CVE details</t>
        </is>
      </c>
      <c r="Q579" s="189" t="inlineStr">
        <is>
          <t>P3</t>
        </is>
      </c>
      <c r="R579" s="189" t="inlineStr">
        <is>
          <t>🚨 URGENT: Apply vendor patches immediately | 🔒 Isolate affected systems if patch unavailable | 🛡️ Enable additional monitoring/IDS rules</t>
        </is>
      </c>
      <c r="S579" s="189" t="inlineStr">
        <is>
          <t>CVE - IP enrichment n/a</t>
        </is>
      </c>
      <c r="T579" s="189" t="n">
        <v>0.0022</v>
      </c>
      <c r="U579" s="189" t="n">
        <v>0.4496</v>
      </c>
      <c r="V579" s="189" t="inlineStr">
        <is>
          <t>T1059:Command and Scripting Interpreter | T1190:Exploit Public-Facing Application | T1210:Exploitation of Remote Services</t>
        </is>
      </c>
      <c r="W579" s="189" t="n">
        <v>1</v>
      </c>
      <c r="X579" s="189" t="inlineStr">
        <is>
          <t>LOW (40%)</t>
        </is>
      </c>
      <c r="Y579" s="189" t="inlineStr">
        <is>
          <t>UNLIKELY</t>
        </is>
      </c>
      <c r="Z579" s="189" t="inlineStr">
        <is>
          <t>CHECK_VENDOR</t>
        </is>
      </c>
      <c r="AA579" s="189" t="inlineStr">
        <is>
          <t>https://nvd.nist.gov/vuln/detail/CVE-2026-27744</t>
        </is>
      </c>
      <c r="AB579" s="189" t="inlineStr">
        <is>
          <t>NONE</t>
        </is>
      </c>
      <c r="AC579" s="189" t="n">
        <v>0</v>
      </c>
      <c r="AD579" s="189" t="inlineStr"/>
    </row>
    <row r="580">
      <c r="A580" s="187" t="inlineStr">
        <is>
          <t>CVE</t>
        </is>
      </c>
      <c r="B580" s="187" t="inlineStr">
        <is>
          <t>CVE-2026-27745</t>
        </is>
      </c>
      <c r="C580" s="187"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580" s="187" t="n">
        <v>8.800000000000001</v>
      </c>
      <c r="E580" s="187" t="inlineStr">
        <is>
          <t>HIGH</t>
        </is>
      </c>
      <c r="F580" s="187" t="n">
        <v>2</v>
      </c>
      <c r="G580" s="187" t="n">
        <v>3</v>
      </c>
      <c r="H580" s="187" t="inlineStr">
        <is>
          <t>HIGH</t>
        </is>
      </c>
      <c r="I580" s="187" t="n">
        <v>14.8</v>
      </c>
      <c r="J580" s="187" t="inlineStr">
        <is>
          <t>NO</t>
        </is>
      </c>
      <c r="K580" s="187" t="inlineStr">
        <is>
          <t>https://nvd.nist.gov/vuln/detail/CVE-2026-27745</t>
        </is>
      </c>
      <c r="L580" s="187" t="inlineStr">
        <is>
          <t>2026-02-27 20:47</t>
        </is>
      </c>
      <c r="M580" s="187" t="inlineStr">
        <is>
          <t>CHECK_VENDOR</t>
        </is>
      </c>
      <c r="N580" s="187" t="inlineStr">
        <is>
          <t>See NVD references</t>
        </is>
      </c>
      <c r="O580" s="187" t="inlineStr">
        <is>
          <t>Apply vendor patches</t>
        </is>
      </c>
      <c r="P580" s="187" t="inlineStr">
        <is>
          <t>See CVE details</t>
        </is>
      </c>
      <c r="Q580" s="187" t="inlineStr">
        <is>
          <t>P3</t>
        </is>
      </c>
      <c r="R580" s="187" t="inlineStr">
        <is>
          <t>🚨 URGENT: Apply vendor patches immediately | 🔒 Isolate affected systems if patch unavailable | 🛡️ Enable additional monitoring/IDS rules</t>
        </is>
      </c>
      <c r="S580" s="187" t="inlineStr">
        <is>
          <t>CVE - IP enrichment n/a</t>
        </is>
      </c>
      <c r="T580" s="187" t="n">
        <v>0.0014</v>
      </c>
      <c r="U580" s="187" t="n">
        <v>0.3381</v>
      </c>
      <c r="V580" s="187" t="inlineStr">
        <is>
          <t>T1059:Command and Scripting Interpreter | T1190:Exploit Public-Facing Application | T1210:Exploitation of Remote Services</t>
        </is>
      </c>
      <c r="W580" s="187" t="n">
        <v>1</v>
      </c>
      <c r="X580" s="187" t="inlineStr">
        <is>
          <t>LOW (40%)</t>
        </is>
      </c>
      <c r="Y580" s="187" t="inlineStr">
        <is>
          <t>UNLIKELY</t>
        </is>
      </c>
      <c r="Z580" s="187" t="inlineStr">
        <is>
          <t>CHECK_VENDOR</t>
        </is>
      </c>
      <c r="AA580" s="187" t="inlineStr">
        <is>
          <t>https://nvd.nist.gov/vuln/detail/CVE-2026-27745</t>
        </is>
      </c>
      <c r="AB580" s="187" t="inlineStr">
        <is>
          <t>NONE</t>
        </is>
      </c>
      <c r="AC580" s="187" t="n">
        <v>0</v>
      </c>
      <c r="AD580" s="187" t="inlineStr"/>
    </row>
    <row r="581">
      <c r="A581" s="188" t="inlineStr">
        <is>
          <t>CVE</t>
        </is>
      </c>
      <c r="B581" s="188" t="inlineStr">
        <is>
          <t>CVE-2026-27746</t>
        </is>
      </c>
      <c r="C581" s="188"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581" s="188" t="n">
        <v>6.1</v>
      </c>
      <c r="E581" s="188" t="inlineStr">
        <is>
          <t>MEDIUM</t>
        </is>
      </c>
      <c r="F581" s="188" t="n">
        <v>2</v>
      </c>
      <c r="G581" s="188" t="n">
        <v>2</v>
      </c>
      <c r="H581" s="188" t="inlineStr">
        <is>
          <t>MEDIUM</t>
        </is>
      </c>
      <c r="I581" s="188" t="n">
        <v>10.1</v>
      </c>
      <c r="J581" s="188" t="inlineStr">
        <is>
          <t>NO</t>
        </is>
      </c>
      <c r="K581" s="188" t="inlineStr">
        <is>
          <t>https://nvd.nist.gov/vuln/detail/CVE-2026-27746</t>
        </is>
      </c>
      <c r="L581" s="188" t="inlineStr">
        <is>
          <t>2026-02-27 20:47</t>
        </is>
      </c>
      <c r="M581" s="188" t="inlineStr">
        <is>
          <t>CHECK_VENDOR</t>
        </is>
      </c>
      <c r="N581" s="188" t="inlineStr">
        <is>
          <t>See NVD references</t>
        </is>
      </c>
      <c r="O581" s="188" t="inlineStr">
        <is>
          <t>Apply vendor patches</t>
        </is>
      </c>
      <c r="P581" s="188" t="inlineStr">
        <is>
          <t>See CVE details</t>
        </is>
      </c>
      <c r="Q581" s="188" t="inlineStr">
        <is>
          <t>P4</t>
        </is>
      </c>
      <c r="R581" s="188" t="inlineStr">
        <is>
          <t>📅 Schedule patch deployment within 30 days | 🔍 Monitor for exploitation attempts</t>
        </is>
      </c>
      <c r="S581" s="188" t="inlineStr">
        <is>
          <t>CVE - IP enrichment n/a</t>
        </is>
      </c>
      <c r="T581" s="188" t="n">
        <v>0.0003</v>
      </c>
      <c r="U581" s="188" t="n">
        <v>0.0927</v>
      </c>
      <c r="V581" s="188" t="inlineStr">
        <is>
          <t>T1189:Drive-by Compromise</t>
        </is>
      </c>
      <c r="W581" s="188" t="n">
        <v>1</v>
      </c>
      <c r="X581" s="188" t="inlineStr">
        <is>
          <t>LOW (40%)</t>
        </is>
      </c>
      <c r="Y581" s="188" t="inlineStr">
        <is>
          <t>UNLIKELY</t>
        </is>
      </c>
      <c r="Z581" s="188" t="inlineStr">
        <is>
          <t>CHECK_VENDOR</t>
        </is>
      </c>
      <c r="AA581" s="188" t="inlineStr">
        <is>
          <t>https://nvd.nist.gov/vuln/detail/CVE-2026-27746</t>
        </is>
      </c>
      <c r="AB581" s="188" t="inlineStr">
        <is>
          <t>NONE</t>
        </is>
      </c>
      <c r="AC581" s="188" t="n">
        <v>0</v>
      </c>
      <c r="AD581" s="188" t="inlineStr"/>
    </row>
    <row r="582">
      <c r="A582" s="188" t="inlineStr">
        <is>
          <t>CVE</t>
        </is>
      </c>
      <c r="B582" s="188" t="inlineStr">
        <is>
          <t>CVE-2026-27747</t>
        </is>
      </c>
      <c r="C582" s="188"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582" s="188" t="n">
        <v>6.5</v>
      </c>
      <c r="E582" s="188" t="inlineStr">
        <is>
          <t>MEDIUM</t>
        </is>
      </c>
      <c r="F582" s="188" t="n">
        <v>2</v>
      </c>
      <c r="G582" s="188" t="n">
        <v>2</v>
      </c>
      <c r="H582" s="188" t="inlineStr">
        <is>
          <t>MEDIUM</t>
        </is>
      </c>
      <c r="I582" s="188" t="n">
        <v>10.5</v>
      </c>
      <c r="J582" s="188" t="inlineStr">
        <is>
          <t>NO</t>
        </is>
      </c>
      <c r="K582" s="188" t="inlineStr">
        <is>
          <t>https://nvd.nist.gov/vuln/detail/CVE-2026-27747</t>
        </is>
      </c>
      <c r="L582" s="188" t="inlineStr">
        <is>
          <t>2026-02-27 20:47</t>
        </is>
      </c>
      <c r="M582" s="188" t="inlineStr">
        <is>
          <t>CHECK_VENDOR</t>
        </is>
      </c>
      <c r="N582" s="188" t="inlineStr">
        <is>
          <t>See NVD references</t>
        </is>
      </c>
      <c r="O582" s="188" t="inlineStr">
        <is>
          <t>Apply vendor patches</t>
        </is>
      </c>
      <c r="P582" s="188" t="inlineStr">
        <is>
          <t>See CVE details</t>
        </is>
      </c>
      <c r="Q582" s="188" t="inlineStr">
        <is>
          <t>P4</t>
        </is>
      </c>
      <c r="R582" s="188" t="inlineStr">
        <is>
          <t>📅 Schedule patch deployment within 30 days | 🔍 Monitor for exploitation attempts</t>
        </is>
      </c>
      <c r="S582" s="188" t="inlineStr">
        <is>
          <t>CVE - IP enrichment n/a</t>
        </is>
      </c>
      <c r="T582" s="188" t="n">
        <v>0.0003</v>
      </c>
      <c r="U582" s="188" t="n">
        <v>0.0683</v>
      </c>
      <c r="V582" s="188" t="inlineStr">
        <is>
          <t>T1190:Exploit Public-Facing Application | T1499:Endpoint Denial of Service</t>
        </is>
      </c>
      <c r="W582" s="188" t="n">
        <v>1</v>
      </c>
      <c r="X582" s="188" t="inlineStr">
        <is>
          <t>LOW (40%)</t>
        </is>
      </c>
      <c r="Y582" s="188" t="inlineStr">
        <is>
          <t>UNLIKELY</t>
        </is>
      </c>
      <c r="Z582" s="188" t="inlineStr">
        <is>
          <t>CHECK_VENDOR</t>
        </is>
      </c>
      <c r="AA582" s="188" t="inlineStr">
        <is>
          <t>https://nvd.nist.gov/vuln/detail/CVE-2026-27747</t>
        </is>
      </c>
      <c r="AB582" s="188" t="inlineStr">
        <is>
          <t>NONE</t>
        </is>
      </c>
      <c r="AC582" s="188" t="n">
        <v>0</v>
      </c>
      <c r="AD582" s="188" t="inlineStr"/>
    </row>
    <row r="583">
      <c r="A583" s="188" t="inlineStr">
        <is>
          <t>CVE</t>
        </is>
      </c>
      <c r="B583" s="188" t="inlineStr">
        <is>
          <t>CVE-2026-3147</t>
        </is>
      </c>
      <c r="C583" s="188"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583" s="188" t="n">
        <v>5.3</v>
      </c>
      <c r="E583" s="188" t="inlineStr">
        <is>
          <t>MEDIUM</t>
        </is>
      </c>
      <c r="F583" s="188" t="n">
        <v>2</v>
      </c>
      <c r="G583" s="188" t="n">
        <v>2</v>
      </c>
      <c r="H583" s="188" t="inlineStr">
        <is>
          <t>MEDIUM</t>
        </is>
      </c>
      <c r="I583" s="188" t="n">
        <v>9.300000000000001</v>
      </c>
      <c r="J583" s="188" t="inlineStr">
        <is>
          <t>NO</t>
        </is>
      </c>
      <c r="K583" s="188" t="inlineStr">
        <is>
          <t>https://nvd.nist.gov/vuln/detail/CVE-2026-3147</t>
        </is>
      </c>
      <c r="L583" s="188" t="inlineStr">
        <is>
          <t>2026-02-27 20:47</t>
        </is>
      </c>
      <c r="M583" s="188" t="inlineStr">
        <is>
          <t>YES</t>
        </is>
      </c>
      <c r="N583" s="188" t="inlineStr">
        <is>
          <t>https://github.com/libvips/libvips/commit/b3ab458a25e0e261cbd1788474bbc763f7435780 | https://github.com/libvips/libvips/issues/4874 | https://github.com/libvips/libvips/issues/4874#issue-3943617697</t>
        </is>
      </c>
      <c r="O583" s="188" t="inlineStr">
        <is>
          <t>Apply vendor patches</t>
        </is>
      </c>
      <c r="P583" s="188" t="inlineStr">
        <is>
          <t>libvips libvips *</t>
        </is>
      </c>
      <c r="Q583" s="188" t="inlineStr">
        <is>
          <t>P4</t>
        </is>
      </c>
      <c r="R583" s="188" t="inlineStr">
        <is>
          <t>📅 Schedule patch deployment within 30 days | 🔍 Monitor for exploitation attempts</t>
        </is>
      </c>
      <c r="S583" s="188" t="inlineStr">
        <is>
          <t>CVE - IP enrichment n/a</t>
        </is>
      </c>
      <c r="T583" s="188" t="n">
        <v>0.0002</v>
      </c>
      <c r="U583" s="188" t="n">
        <v>0.0525</v>
      </c>
      <c r="V583" s="188" t="inlineStr">
        <is>
          <t>T1203:Exploitation for Client Execution</t>
        </is>
      </c>
      <c r="W583" s="188" t="n">
        <v>1</v>
      </c>
      <c r="X583" s="188" t="inlineStr">
        <is>
          <t>LOW (40%)</t>
        </is>
      </c>
      <c r="Y583" s="188" t="inlineStr">
        <is>
          <t>UNLIKELY</t>
        </is>
      </c>
      <c r="Z583" s="188" t="inlineStr">
        <is>
          <t>PATCH_AVAILABLE</t>
        </is>
      </c>
      <c r="AA583" s="188" t="inlineStr">
        <is>
          <t>https://nvd.nist.gov/vuln/detail/CVE-2026-3147</t>
        </is>
      </c>
      <c r="AB583" s="188" t="inlineStr">
        <is>
          <t>NONE</t>
        </is>
      </c>
      <c r="AC583" s="188" t="n">
        <v>0</v>
      </c>
      <c r="AD583" s="188" t="inlineStr"/>
    </row>
    <row r="584">
      <c r="A584" s="188" t="inlineStr">
        <is>
          <t>CVE</t>
        </is>
      </c>
      <c r="B584" s="188" t="inlineStr">
        <is>
          <t>CVE-2025-0976</t>
        </is>
      </c>
      <c r="C584" s="188"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584" s="188" t="n">
        <v>4.7</v>
      </c>
      <c r="E584" s="188" t="inlineStr">
        <is>
          <t>MEDIUM</t>
        </is>
      </c>
      <c r="F584" s="188" t="n">
        <v>2</v>
      </c>
      <c r="G584" s="188" t="n">
        <v>2</v>
      </c>
      <c r="H584" s="188" t="inlineStr">
        <is>
          <t>MEDIUM</t>
        </is>
      </c>
      <c r="I584" s="188" t="n">
        <v>8.699999999999999</v>
      </c>
      <c r="J584" s="188" t="inlineStr">
        <is>
          <t>NO</t>
        </is>
      </c>
      <c r="K584" s="188" t="inlineStr">
        <is>
          <t>https://nvd.nist.gov/vuln/detail/CVE-2025-0976</t>
        </is>
      </c>
      <c r="L584" s="188" t="inlineStr">
        <is>
          <t>2026-02-27 20:47</t>
        </is>
      </c>
      <c r="M584" s="188" t="inlineStr">
        <is>
          <t>CHECK_VENDOR</t>
        </is>
      </c>
      <c r="N584" s="188" t="inlineStr">
        <is>
          <t>See NVD references</t>
        </is>
      </c>
      <c r="O584" s="188" t="inlineStr">
        <is>
          <t>Apply vendor patches</t>
        </is>
      </c>
      <c r="P584" s="188" t="inlineStr">
        <is>
          <t>See CVE details</t>
        </is>
      </c>
      <c r="Q584" s="188" t="inlineStr">
        <is>
          <t>P4</t>
        </is>
      </c>
      <c r="R584" s="188" t="inlineStr">
        <is>
          <t>📅 Schedule patch deployment within 30 days | 🔍 Monitor for exploitation attempts</t>
        </is>
      </c>
      <c r="S584" s="188" t="inlineStr">
        <is>
          <t>CVE - IP enrichment n/a</t>
        </is>
      </c>
      <c r="T584" s="188" t="n">
        <v>0.0001</v>
      </c>
      <c r="U584" s="188" t="n">
        <v>0.0179</v>
      </c>
      <c r="V584" s="188" t="inlineStr">
        <is>
          <t>T1190:Exploit Public-Facing Application</t>
        </is>
      </c>
      <c r="W584" s="188" t="n">
        <v>1</v>
      </c>
      <c r="X584" s="188" t="inlineStr">
        <is>
          <t>LOW (40%)</t>
        </is>
      </c>
      <c r="Y584" s="188" t="inlineStr">
        <is>
          <t>UNLIKELY</t>
        </is>
      </c>
      <c r="Z584" s="188" t="inlineStr">
        <is>
          <t>CHECK_VENDOR</t>
        </is>
      </c>
      <c r="AA584" s="188" t="inlineStr">
        <is>
          <t>https://nvd.nist.gov/vuln/detail/CVE-2025-0976</t>
        </is>
      </c>
      <c r="AB584" s="188" t="inlineStr">
        <is>
          <t>NONE</t>
        </is>
      </c>
      <c r="AC584" s="188" t="n">
        <v>0</v>
      </c>
      <c r="AD584" s="188" t="inlineStr"/>
    </row>
    <row r="585">
      <c r="A585" s="187" t="inlineStr">
        <is>
          <t>CVE</t>
        </is>
      </c>
      <c r="B585" s="187" t="inlineStr">
        <is>
          <t>CVE-2026-27624</t>
        </is>
      </c>
      <c r="C585" s="187"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585" s="187" t="n">
        <v>7.2</v>
      </c>
      <c r="E585" s="187" t="inlineStr">
        <is>
          <t>HIGH</t>
        </is>
      </c>
      <c r="F585" s="187" t="n">
        <v>2</v>
      </c>
      <c r="G585" s="187" t="n">
        <v>3</v>
      </c>
      <c r="H585" s="187" t="inlineStr">
        <is>
          <t>HIGH</t>
        </is>
      </c>
      <c r="I585" s="187" t="n">
        <v>13.2</v>
      </c>
      <c r="J585" s="187" t="inlineStr">
        <is>
          <t>NO</t>
        </is>
      </c>
      <c r="K585" s="187" t="inlineStr">
        <is>
          <t>https://nvd.nist.gov/vuln/detail/CVE-2026-27624</t>
        </is>
      </c>
      <c r="L585" s="187" t="inlineStr">
        <is>
          <t>2026-02-27 20:47</t>
        </is>
      </c>
      <c r="M585" s="187" t="inlineStr">
        <is>
          <t>YES</t>
        </is>
      </c>
      <c r="N585" s="187" t="inlineStr">
        <is>
          <t>https://github.com/coturn/coturn/commit/b80eb898ba26552600770162c26a8ae7f3661b0b | https://github.com/coturn/coturn/security/advisories/GHSA-j8mm-mpf8-gvjg | https://github.com/coturn/coturn/security/advisories/GHSA-j8mm-mpf8-gvjg</t>
        </is>
      </c>
      <c r="O585" s="187" t="inlineStr">
        <is>
          <t>Apply vendor patches</t>
        </is>
      </c>
      <c r="P585" s="187" t="inlineStr">
        <is>
          <t>coturn_project coturn *</t>
        </is>
      </c>
      <c r="Q585" s="187" t="inlineStr">
        <is>
          <t>P3</t>
        </is>
      </c>
      <c r="R585" s="187" t="inlineStr">
        <is>
          <t>🚨 URGENT: Apply vendor patches immediately | 🔒 Isolate affected systems if patch unavailable | 🛡️ Enable additional monitoring/IDS rules</t>
        </is>
      </c>
      <c r="S585" s="187" t="inlineStr">
        <is>
          <t>CVE - IP enrichment n/a</t>
        </is>
      </c>
      <c r="T585" s="187" t="n">
        <v>0.0003</v>
      </c>
      <c r="U585" s="187" t="n">
        <v>0.0711</v>
      </c>
      <c r="V585" s="187" t="inlineStr">
        <is>
          <t>T1190:Exploit Public-Facing Application</t>
        </is>
      </c>
      <c r="W585" s="187" t="n">
        <v>1</v>
      </c>
      <c r="X585" s="187" t="inlineStr">
        <is>
          <t>LOW (40%)</t>
        </is>
      </c>
      <c r="Y585" s="187" t="inlineStr">
        <is>
          <t>UNLIKELY</t>
        </is>
      </c>
      <c r="Z585" s="187" t="inlineStr">
        <is>
          <t>PATCH_AVAILABLE</t>
        </is>
      </c>
      <c r="AA585" s="187" t="inlineStr">
        <is>
          <t>https://nvd.nist.gov/vuln/detail/CVE-2026-27624</t>
        </is>
      </c>
      <c r="AB585" s="187" t="inlineStr">
        <is>
          <t>NONE</t>
        </is>
      </c>
      <c r="AC585" s="187" t="n">
        <v>0</v>
      </c>
      <c r="AD585" s="187" t="inlineStr"/>
    </row>
    <row r="586">
      <c r="A586" s="188" t="inlineStr">
        <is>
          <t>CVE</t>
        </is>
      </c>
      <c r="B586" s="188" t="inlineStr">
        <is>
          <t>CVE-2026-27645</t>
        </is>
      </c>
      <c r="C586" s="188"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586" s="188" t="n">
        <v>6.1</v>
      </c>
      <c r="E586" s="188" t="inlineStr">
        <is>
          <t>MEDIUM</t>
        </is>
      </c>
      <c r="F586" s="188" t="n">
        <v>2</v>
      </c>
      <c r="G586" s="188" t="n">
        <v>2</v>
      </c>
      <c r="H586" s="188" t="inlineStr">
        <is>
          <t>MEDIUM</t>
        </is>
      </c>
      <c r="I586" s="188" t="n">
        <v>10.1</v>
      </c>
      <c r="J586" s="188" t="inlineStr">
        <is>
          <t>NO</t>
        </is>
      </c>
      <c r="K586" s="188" t="inlineStr">
        <is>
          <t>https://nvd.nist.gov/vuln/detail/CVE-2026-27645</t>
        </is>
      </c>
      <c r="L586" s="188" t="inlineStr">
        <is>
          <t>2026-02-27 20:47</t>
        </is>
      </c>
      <c r="M586" s="188" t="inlineStr">
        <is>
          <t>YES</t>
        </is>
      </c>
      <c r="N586" s="188" t="inlineStr">
        <is>
          <t>https://github.com/dgtlmoon/changedetection.io/commit/a385c89abf44b52fcfa20c7c6a6dd3047c4c1eb5 | https://github.com/dgtlmoon/changedetection.io/security/advisories/GHSA-mw8m-398g-h89w | https://github.com/dgtlmoon/changedetection.io/security/advisories/GHSA-mw8m-398g-h89w</t>
        </is>
      </c>
      <c r="O586" s="188" t="inlineStr">
        <is>
          <t>Apply vendor patches</t>
        </is>
      </c>
      <c r="P586" s="188" t="inlineStr">
        <is>
          <t>webtechnologies changedetection *</t>
        </is>
      </c>
      <c r="Q586" s="188" t="inlineStr">
        <is>
          <t>P4</t>
        </is>
      </c>
      <c r="R586" s="188" t="inlineStr">
        <is>
          <t>📅 Schedule patch deployment within 30 days | 🔍 Monitor for exploitation attempts</t>
        </is>
      </c>
      <c r="S586" s="188" t="inlineStr">
        <is>
          <t>CVE - IP enrichment n/a</t>
        </is>
      </c>
      <c r="T586" s="188" t="n">
        <v>0.0003</v>
      </c>
      <c r="U586" s="188" t="n">
        <v>0.0779</v>
      </c>
      <c r="V586" s="188" t="inlineStr">
        <is>
          <t>T1189:Drive-by Compromise | T1190:Exploit Public-Facing Application</t>
        </is>
      </c>
      <c r="W586" s="188" t="n">
        <v>1</v>
      </c>
      <c r="X586" s="188" t="inlineStr">
        <is>
          <t>LOW (40%)</t>
        </is>
      </c>
      <c r="Y586" s="188" t="inlineStr">
        <is>
          <t>UNLIKELY</t>
        </is>
      </c>
      <c r="Z586" s="188" t="inlineStr">
        <is>
          <t>PATCH_AVAILABLE</t>
        </is>
      </c>
      <c r="AA586" s="188" t="inlineStr">
        <is>
          <t>https://nvd.nist.gov/vuln/detail/CVE-2026-27645</t>
        </is>
      </c>
      <c r="AB586" s="188" t="inlineStr">
        <is>
          <t>NONE</t>
        </is>
      </c>
      <c r="AC586" s="188" t="n">
        <v>0</v>
      </c>
      <c r="AD586" s="188" t="inlineStr"/>
    </row>
    <row r="587">
      <c r="A587" s="187" t="inlineStr">
        <is>
          <t>CVE</t>
        </is>
      </c>
      <c r="B587" s="187" t="inlineStr">
        <is>
          <t>CVE-2026-27696</t>
        </is>
      </c>
      <c r="C587" s="187"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587" s="187" t="n">
        <v>8.6</v>
      </c>
      <c r="E587" s="187" t="inlineStr">
        <is>
          <t>HIGH</t>
        </is>
      </c>
      <c r="F587" s="187" t="n">
        <v>2</v>
      </c>
      <c r="G587" s="187" t="n">
        <v>3</v>
      </c>
      <c r="H587" s="187" t="inlineStr">
        <is>
          <t>HIGH</t>
        </is>
      </c>
      <c r="I587" s="187" t="n">
        <v>14.6</v>
      </c>
      <c r="J587" s="187" t="inlineStr">
        <is>
          <t>NO</t>
        </is>
      </c>
      <c r="K587" s="187" t="inlineStr">
        <is>
          <t>https://nvd.nist.gov/vuln/detail/CVE-2026-27696</t>
        </is>
      </c>
      <c r="L587" s="187" t="inlineStr">
        <is>
          <t>2026-02-27 20:47</t>
        </is>
      </c>
      <c r="M587" s="187" t="inlineStr">
        <is>
          <t>YES</t>
        </is>
      </c>
      <c r="N587" s="187" t="inlineStr">
        <is>
          <t>https://github.com/dgtlmoon/changedetection.io/commit/fe7aa38c651d73fe5f41ce09855fa8f97193747b | https://github.com/dgtlmoon/changedetection.io/security/advisories/GHSA-3c45-4pj5-ch7m | https://github.com/dgtlmoon/changedetection.io/security/advisories/GHSA-3c45-4pj5-ch7m</t>
        </is>
      </c>
      <c r="O587" s="187" t="inlineStr">
        <is>
          <t>https://github.com/dgtlmoon/changedetection.io/security/advisories/GHSA-3c45-4pj5-ch7m | https://github.com/dgtlmoon/changedetection.io/security/advisories/GHSA-3c45-4pj5-ch7m</t>
        </is>
      </c>
      <c r="P587" s="187" t="inlineStr">
        <is>
          <t>webtechnologies changedetection *</t>
        </is>
      </c>
      <c r="Q587" s="187" t="inlineStr">
        <is>
          <t>P3</t>
        </is>
      </c>
      <c r="R587" s="187" t="inlineStr">
        <is>
          <t>🚨 URGENT: Apply vendor patches immediately | 🔒 Isolate affected systems if patch unavailable | 🛡️ Enable additional monitoring/IDS rules</t>
        </is>
      </c>
      <c r="S587" s="187" t="inlineStr">
        <is>
          <t>CVE - IP enrichment n/a</t>
        </is>
      </c>
      <c r="T587" s="187" t="n">
        <v>0.0003</v>
      </c>
      <c r="U587" s="187" t="n">
        <v>0.0946</v>
      </c>
      <c r="V587" s="187" t="inlineStr">
        <is>
          <t>T1090:Proxy | T1190:Exploit Public-Facing Application | T1041:Exfiltration Over C2 Channel</t>
        </is>
      </c>
      <c r="W587" s="187" t="n">
        <v>1</v>
      </c>
      <c r="X587" s="187" t="inlineStr">
        <is>
          <t>LOW (40%)</t>
        </is>
      </c>
      <c r="Y587" s="187" t="inlineStr">
        <is>
          <t>UNLIKELY</t>
        </is>
      </c>
      <c r="Z587" s="187" t="inlineStr">
        <is>
          <t>PATCH_AVAILABLE</t>
        </is>
      </c>
      <c r="AA587" s="187" t="inlineStr">
        <is>
          <t>https://nvd.nist.gov/vuln/detail/CVE-2026-27696</t>
        </is>
      </c>
      <c r="AB587" s="187" t="inlineStr">
        <is>
          <t>NONE</t>
        </is>
      </c>
      <c r="AC587" s="187" t="n">
        <v>0</v>
      </c>
      <c r="AD587" s="187" t="inlineStr"/>
    </row>
    <row r="588">
      <c r="A588" s="187" t="inlineStr">
        <is>
          <t>CVE</t>
        </is>
      </c>
      <c r="B588" s="187" t="inlineStr">
        <is>
          <t>CVE-2026-3148</t>
        </is>
      </c>
      <c r="C588" s="187"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588" s="187" t="n">
        <v>7.3</v>
      </c>
      <c r="E588" s="187" t="inlineStr">
        <is>
          <t>HIGH</t>
        </is>
      </c>
      <c r="F588" s="187" t="n">
        <v>2</v>
      </c>
      <c r="G588" s="187" t="n">
        <v>3</v>
      </c>
      <c r="H588" s="187" t="inlineStr">
        <is>
          <t>HIGH</t>
        </is>
      </c>
      <c r="I588" s="187" t="n">
        <v>13.3</v>
      </c>
      <c r="J588" s="187" t="inlineStr">
        <is>
          <t>NO</t>
        </is>
      </c>
      <c r="K588" s="187" t="inlineStr">
        <is>
          <t>https://nvd.nist.gov/vuln/detail/CVE-2026-3148</t>
        </is>
      </c>
      <c r="L588" s="187" t="inlineStr">
        <is>
          <t>2026-02-27 20:47</t>
        </is>
      </c>
      <c r="M588" s="187" t="inlineStr">
        <is>
          <t>CHECK_VENDOR</t>
        </is>
      </c>
      <c r="N588" s="187" t="inlineStr">
        <is>
          <t>See NVD references</t>
        </is>
      </c>
      <c r="O588" s="187" t="inlineStr">
        <is>
          <t>Apply vendor patches</t>
        </is>
      </c>
      <c r="P588" s="187" t="inlineStr">
        <is>
          <t>haben-cs9 simple_and_nice_shopping_cart_script 1.0</t>
        </is>
      </c>
      <c r="Q588" s="187" t="inlineStr">
        <is>
          <t>P3</t>
        </is>
      </c>
      <c r="R588" s="187" t="inlineStr">
        <is>
          <t>🚨 URGENT: Apply vendor patches immediately | 🔒 Isolate affected systems if patch unavailable | 🛡️ Enable additional monitoring/IDS rules</t>
        </is>
      </c>
      <c r="S588" s="187" t="inlineStr">
        <is>
          <t>CVE - IP enrichment n/a</t>
        </is>
      </c>
      <c r="T588" s="187" t="n">
        <v>0.0002</v>
      </c>
      <c r="U588" s="187" t="n">
        <v>0.0583</v>
      </c>
      <c r="V588" s="187" t="inlineStr">
        <is>
          <t>T1190:Exploit Public-Facing Application</t>
        </is>
      </c>
      <c r="W588" s="187" t="n">
        <v>1</v>
      </c>
      <c r="X588" s="187" t="inlineStr">
        <is>
          <t>LOW (40%)</t>
        </is>
      </c>
      <c r="Y588" s="187" t="inlineStr">
        <is>
          <t>UNLIKELY</t>
        </is>
      </c>
      <c r="Z588" s="187" t="inlineStr">
        <is>
          <t>CHECK_VENDOR</t>
        </is>
      </c>
      <c r="AA588" s="187" t="inlineStr">
        <is>
          <t>https://nvd.nist.gov/vuln/detail/CVE-2026-3148</t>
        </is>
      </c>
      <c r="AB588" s="187" t="inlineStr">
        <is>
          <t>NONE</t>
        </is>
      </c>
      <c r="AC588" s="187" t="n">
        <v>0</v>
      </c>
      <c r="AD588" s="187" t="inlineStr"/>
    </row>
    <row r="589">
      <c r="A589" s="188" t="inlineStr">
        <is>
          <t>CVE</t>
        </is>
      </c>
      <c r="B589" s="188" t="inlineStr">
        <is>
          <t>CVE-2026-3149</t>
        </is>
      </c>
      <c r="C589" s="188"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589" s="188" t="n">
        <v>6.3</v>
      </c>
      <c r="E589" s="188" t="inlineStr">
        <is>
          <t>MEDIUM</t>
        </is>
      </c>
      <c r="F589" s="188" t="n">
        <v>2</v>
      </c>
      <c r="G589" s="188" t="n">
        <v>2</v>
      </c>
      <c r="H589" s="188" t="inlineStr">
        <is>
          <t>MEDIUM</t>
        </is>
      </c>
      <c r="I589" s="188" t="n">
        <v>10.3</v>
      </c>
      <c r="J589" s="188" t="inlineStr">
        <is>
          <t>NO</t>
        </is>
      </c>
      <c r="K589" s="188" t="inlineStr">
        <is>
          <t>https://nvd.nist.gov/vuln/detail/CVE-2026-3149</t>
        </is>
      </c>
      <c r="L589" s="188" t="inlineStr">
        <is>
          <t>2026-02-27 20:47</t>
        </is>
      </c>
      <c r="M589" s="188" t="inlineStr">
        <is>
          <t>YES</t>
        </is>
      </c>
      <c r="N589" s="188" t="inlineStr">
        <is>
          <t>https://github.com/Zhangchao404/cve/issues/1</t>
        </is>
      </c>
      <c r="O589" s="188" t="inlineStr">
        <is>
          <t>https://github.com/Zhangchao404/cve/issues/1</t>
        </is>
      </c>
      <c r="P589" s="188" t="inlineStr">
        <is>
          <t>angeljudesuarez college_management_system 1.0</t>
        </is>
      </c>
      <c r="Q589" s="188" t="inlineStr">
        <is>
          <t>P4</t>
        </is>
      </c>
      <c r="R589" s="188" t="inlineStr">
        <is>
          <t>📅 Schedule patch deployment within 30 days | 🔍 Monitor for exploitation attempts</t>
        </is>
      </c>
      <c r="S589" s="188" t="inlineStr">
        <is>
          <t>CVE - IP enrichment n/a</t>
        </is>
      </c>
      <c r="T589" s="188" t="n">
        <v>0.0003</v>
      </c>
      <c r="U589" s="188" t="n">
        <v>0.08069999999999999</v>
      </c>
      <c r="V589" s="188" t="inlineStr">
        <is>
          <t>T1190:Exploit Public-Facing Application</t>
        </is>
      </c>
      <c r="W589" s="188" t="n">
        <v>1</v>
      </c>
      <c r="X589" s="188" t="inlineStr">
        <is>
          <t>LOW (40%)</t>
        </is>
      </c>
      <c r="Y589" s="188" t="inlineStr">
        <is>
          <t>UNLIKELY</t>
        </is>
      </c>
      <c r="Z589" s="188" t="inlineStr">
        <is>
          <t>PATCH_AVAILABLE</t>
        </is>
      </c>
      <c r="AA589" s="188" t="inlineStr">
        <is>
          <t>https://nvd.nist.gov/vuln/detail/CVE-2026-3149</t>
        </is>
      </c>
      <c r="AB589" s="188" t="inlineStr">
        <is>
          <t>NONE</t>
        </is>
      </c>
      <c r="AC589" s="188" t="n">
        <v>0</v>
      </c>
      <c r="AD589" s="188" t="inlineStr"/>
    </row>
    <row r="590">
      <c r="A590" s="188" t="inlineStr">
        <is>
          <t>CVE</t>
        </is>
      </c>
      <c r="B590" s="188" t="inlineStr">
        <is>
          <t>CVE-2026-3150</t>
        </is>
      </c>
      <c r="C590" s="188"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590" s="188" t="n">
        <v>6.3</v>
      </c>
      <c r="E590" s="188" t="inlineStr">
        <is>
          <t>MEDIUM</t>
        </is>
      </c>
      <c r="F590" s="188" t="n">
        <v>2</v>
      </c>
      <c r="G590" s="188" t="n">
        <v>2</v>
      </c>
      <c r="H590" s="188" t="inlineStr">
        <is>
          <t>MEDIUM</t>
        </is>
      </c>
      <c r="I590" s="188" t="n">
        <v>10.3</v>
      </c>
      <c r="J590" s="188" t="inlineStr">
        <is>
          <t>NO</t>
        </is>
      </c>
      <c r="K590" s="188" t="inlineStr">
        <is>
          <t>https://nvd.nist.gov/vuln/detail/CVE-2026-3150</t>
        </is>
      </c>
      <c r="L590" s="188" t="inlineStr">
        <is>
          <t>2026-02-27 20:47</t>
        </is>
      </c>
      <c r="M590" s="188" t="inlineStr">
        <is>
          <t>YES</t>
        </is>
      </c>
      <c r="N590" s="188" t="inlineStr">
        <is>
          <t>https://github.com/Zhangchao404/cve/issues/2</t>
        </is>
      </c>
      <c r="O590" s="188" t="inlineStr">
        <is>
          <t>https://github.com/Zhangchao404/cve/issues/2</t>
        </is>
      </c>
      <c r="P590" s="188" t="inlineStr">
        <is>
          <t>angeljudesuarez college_management_system 1.0</t>
        </is>
      </c>
      <c r="Q590" s="188" t="inlineStr">
        <is>
          <t>P4</t>
        </is>
      </c>
      <c r="R590" s="188" t="inlineStr">
        <is>
          <t>📅 Schedule patch deployment within 30 days | 🔍 Monitor for exploitation attempts</t>
        </is>
      </c>
      <c r="S590" s="188" t="inlineStr">
        <is>
          <t>CVE - IP enrichment n/a</t>
        </is>
      </c>
      <c r="T590" s="188" t="n">
        <v>0.0003</v>
      </c>
      <c r="U590" s="188" t="n">
        <v>0.08069999999999999</v>
      </c>
      <c r="V590" s="188" t="inlineStr">
        <is>
          <t>T1190:Exploit Public-Facing Application</t>
        </is>
      </c>
      <c r="W590" s="188" t="n">
        <v>1</v>
      </c>
      <c r="X590" s="188" t="inlineStr">
        <is>
          <t>LOW (40%)</t>
        </is>
      </c>
      <c r="Y590" s="188" t="inlineStr">
        <is>
          <t>UNLIKELY</t>
        </is>
      </c>
      <c r="Z590" s="188" t="inlineStr">
        <is>
          <t>PATCH_AVAILABLE</t>
        </is>
      </c>
      <c r="AA590" s="188" t="inlineStr">
        <is>
          <t>https://nvd.nist.gov/vuln/detail/CVE-2026-3150</t>
        </is>
      </c>
      <c r="AB590" s="188" t="inlineStr">
        <is>
          <t>NONE</t>
        </is>
      </c>
      <c r="AC590" s="188" t="n">
        <v>0</v>
      </c>
      <c r="AD590" s="188" t="inlineStr"/>
    </row>
    <row r="591">
      <c r="A591" s="189" t="inlineStr">
        <is>
          <t>CVE</t>
        </is>
      </c>
      <c r="B591" s="189" t="inlineStr">
        <is>
          <t>CVE-2026-25785</t>
        </is>
      </c>
      <c r="C591" s="189" t="inlineStr">
        <is>
          <t>Path traversal vulnerability exists in Lanscope Endpoint Manager (On-Premises) Sub-Manager Server Ver.9.4.7.3 and earlier, which may allow an attacker to tamper with arbitrary files and execute arbitrary code on the affected system.</t>
        </is>
      </c>
      <c r="D591" s="189" t="n">
        <v>9.800000000000001</v>
      </c>
      <c r="E591" s="189" t="inlineStr">
        <is>
          <t>CRITICAL</t>
        </is>
      </c>
      <c r="F591" s="189" t="n">
        <v>2</v>
      </c>
      <c r="G591" s="189" t="n">
        <v>3</v>
      </c>
      <c r="H591" s="189" t="inlineStr">
        <is>
          <t>HIGH</t>
        </is>
      </c>
      <c r="I591" s="189" t="n">
        <v>15.8</v>
      </c>
      <c r="J591" s="189" t="inlineStr">
        <is>
          <t>NO</t>
        </is>
      </c>
      <c r="K591" s="189" t="inlineStr">
        <is>
          <t>https://nvd.nist.gov/vuln/detail/CVE-2026-25785</t>
        </is>
      </c>
      <c r="L591" s="189" t="inlineStr">
        <is>
          <t>2026-02-27 20:47</t>
        </is>
      </c>
      <c r="M591" s="189" t="inlineStr">
        <is>
          <t>YES</t>
        </is>
      </c>
      <c r="N591" s="189" t="inlineStr">
        <is>
          <t>https://www.motex.co.jp/news/notice/2026/release260225/</t>
        </is>
      </c>
      <c r="O591" s="189" t="inlineStr">
        <is>
          <t>Apply vendor patches</t>
        </is>
      </c>
      <c r="P591" s="189" t="inlineStr">
        <is>
          <t>motex lanscope_endpoint_manager *</t>
        </is>
      </c>
      <c r="Q591" s="189" t="inlineStr">
        <is>
          <t>P3</t>
        </is>
      </c>
      <c r="R591" s="189" t="inlineStr">
        <is>
          <t>🚨 URGENT: Apply vendor patches immediately | 🔒 Isolate affected systems if patch unavailable | 🛡️ Enable additional monitoring/IDS rules</t>
        </is>
      </c>
      <c r="S591" s="189" t="inlineStr">
        <is>
          <t>CVE - IP enrichment n/a</t>
        </is>
      </c>
      <c r="T591" s="189" t="n">
        <v>0.0008</v>
      </c>
      <c r="U591" s="189" t="n">
        <v>0.2422</v>
      </c>
      <c r="V591" s="189" t="inlineStr">
        <is>
          <t>T1083:File and Directory Discovery | T1203:Exploitation for Client Execution</t>
        </is>
      </c>
      <c r="W591" s="189" t="n">
        <v>1</v>
      </c>
      <c r="X591" s="189" t="inlineStr">
        <is>
          <t>LOW (40%)</t>
        </is>
      </c>
      <c r="Y591" s="189" t="inlineStr">
        <is>
          <t>UNLIKELY</t>
        </is>
      </c>
      <c r="Z591" s="189" t="inlineStr">
        <is>
          <t>PATCH_AVAILABLE</t>
        </is>
      </c>
      <c r="AA591" s="189" t="inlineStr">
        <is>
          <t>https://nvd.nist.gov/vuln/detail/CVE-2026-25785</t>
        </is>
      </c>
      <c r="AB591" s="189" t="inlineStr">
        <is>
          <t>NONE</t>
        </is>
      </c>
      <c r="AC591" s="189" t="n">
        <v>0</v>
      </c>
      <c r="AD591" s="189" t="inlineStr"/>
    </row>
    <row r="592">
      <c r="A592" s="188" t="inlineStr">
        <is>
          <t>CVE</t>
        </is>
      </c>
      <c r="B592" s="188" t="inlineStr">
        <is>
          <t>CVE-2026-3100</t>
        </is>
      </c>
      <c r="C592" s="188"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592" s="188" t="n">
        <v>6.5</v>
      </c>
      <c r="E592" s="188" t="inlineStr">
        <is>
          <t>MEDIUM</t>
        </is>
      </c>
      <c r="F592" s="188" t="n">
        <v>2</v>
      </c>
      <c r="G592" s="188" t="n">
        <v>2</v>
      </c>
      <c r="H592" s="188" t="inlineStr">
        <is>
          <t>MEDIUM</t>
        </is>
      </c>
      <c r="I592" s="188" t="n">
        <v>10.5</v>
      </c>
      <c r="J592" s="188" t="inlineStr">
        <is>
          <t>NO</t>
        </is>
      </c>
      <c r="K592" s="188" t="inlineStr">
        <is>
          <t>https://nvd.nist.gov/vuln/detail/CVE-2026-3100</t>
        </is>
      </c>
      <c r="L592" s="188" t="inlineStr">
        <is>
          <t>2026-02-27 20:47</t>
        </is>
      </c>
      <c r="M592" s="188" t="inlineStr">
        <is>
          <t>YES</t>
        </is>
      </c>
      <c r="N592" s="188" t="inlineStr">
        <is>
          <t>https://www.asustor.com/security/security_advisory_detail?id=53</t>
        </is>
      </c>
      <c r="O592" s="188" t="inlineStr">
        <is>
          <t>Apply vendor patches</t>
        </is>
      </c>
      <c r="P592" s="188" t="inlineStr">
        <is>
          <t>asustor data_master *</t>
        </is>
      </c>
      <c r="Q592" s="188" t="inlineStr">
        <is>
          <t>P4</t>
        </is>
      </c>
      <c r="R592" s="188" t="inlineStr">
        <is>
          <t>📅 Schedule patch deployment within 30 days | 🔍 Monitor for exploitation attempts</t>
        </is>
      </c>
      <c r="S592" s="188" t="inlineStr">
        <is>
          <t>CVE - IP enrichment n/a</t>
        </is>
      </c>
      <c r="T592" s="188" t="n">
        <v>0.0005</v>
      </c>
      <c r="U592" s="188" t="n">
        <v>0.1484</v>
      </c>
      <c r="V592" s="188" t="inlineStr">
        <is>
          <t>T1190:Exploit Public-Facing Application | T1552:Unsecured Credentials | T1557:Adversary-in-the-Middle</t>
        </is>
      </c>
      <c r="W592" s="188" t="n">
        <v>1</v>
      </c>
      <c r="X592" s="188" t="inlineStr">
        <is>
          <t>LOW (40%)</t>
        </is>
      </c>
      <c r="Y592" s="188" t="inlineStr">
        <is>
          <t>UNLIKELY</t>
        </is>
      </c>
      <c r="Z592" s="188" t="inlineStr">
        <is>
          <t>PATCH_AVAILABLE</t>
        </is>
      </c>
      <c r="AA592" s="188" t="inlineStr">
        <is>
          <t>https://nvd.nist.gov/vuln/detail/CVE-2026-3100</t>
        </is>
      </c>
      <c r="AB592" s="188" t="inlineStr">
        <is>
          <t>NONE</t>
        </is>
      </c>
      <c r="AC592" s="188" t="n">
        <v>0</v>
      </c>
      <c r="AD592" s="188" t="inlineStr"/>
    </row>
    <row r="593">
      <c r="A593" s="187" t="inlineStr">
        <is>
          <t>CVE</t>
        </is>
      </c>
      <c r="B593" s="187" t="inlineStr">
        <is>
          <t>CVE-2026-3151</t>
        </is>
      </c>
      <c r="C593" s="187"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593" s="187" t="n">
        <v>7.3</v>
      </c>
      <c r="E593" s="187" t="inlineStr">
        <is>
          <t>HIGH</t>
        </is>
      </c>
      <c r="F593" s="187" t="n">
        <v>2</v>
      </c>
      <c r="G593" s="187" t="n">
        <v>3</v>
      </c>
      <c r="H593" s="187" t="inlineStr">
        <is>
          <t>HIGH</t>
        </is>
      </c>
      <c r="I593" s="187" t="n">
        <v>13.3</v>
      </c>
      <c r="J593" s="187" t="inlineStr">
        <is>
          <t>NO</t>
        </is>
      </c>
      <c r="K593" s="187" t="inlineStr">
        <is>
          <t>https://nvd.nist.gov/vuln/detail/CVE-2026-3151</t>
        </is>
      </c>
      <c r="L593" s="187" t="inlineStr">
        <is>
          <t>2026-02-27 20:47</t>
        </is>
      </c>
      <c r="M593" s="187" t="inlineStr">
        <is>
          <t>CHECK_VENDOR</t>
        </is>
      </c>
      <c r="N593" s="187" t="inlineStr">
        <is>
          <t>See NVD references</t>
        </is>
      </c>
      <c r="O593" s="187" t="inlineStr">
        <is>
          <t>Apply vendor patches</t>
        </is>
      </c>
      <c r="P593" s="187" t="inlineStr">
        <is>
          <t>angeljudesuarez college_management_system 1.0</t>
        </is>
      </c>
      <c r="Q593" s="187" t="inlineStr">
        <is>
          <t>P3</t>
        </is>
      </c>
      <c r="R593" s="187" t="inlineStr">
        <is>
          <t>🚨 URGENT: Apply vendor patches immediately | 🔒 Isolate affected systems if patch unavailable | 🛡️ Enable additional monitoring/IDS rules</t>
        </is>
      </c>
      <c r="S593" s="187" t="inlineStr">
        <is>
          <t>CVE - IP enrichment n/a</t>
        </is>
      </c>
      <c r="T593" s="187" t="n">
        <v>0.0002</v>
      </c>
      <c r="U593" s="187" t="n">
        <v>0.0583</v>
      </c>
      <c r="V593" s="187" t="inlineStr">
        <is>
          <t>T1190:Exploit Public-Facing Application</t>
        </is>
      </c>
      <c r="W593" s="187" t="n">
        <v>1</v>
      </c>
      <c r="X593" s="187" t="inlineStr">
        <is>
          <t>LOW (40%)</t>
        </is>
      </c>
      <c r="Y593" s="187" t="inlineStr">
        <is>
          <t>UNLIKELY</t>
        </is>
      </c>
      <c r="Z593" s="187" t="inlineStr">
        <is>
          <t>CHECK_VENDOR</t>
        </is>
      </c>
      <c r="AA593" s="187" t="inlineStr">
        <is>
          <t>https://nvd.nist.gov/vuln/detail/CVE-2026-3151</t>
        </is>
      </c>
      <c r="AB593" s="187" t="inlineStr">
        <is>
          <t>NONE</t>
        </is>
      </c>
      <c r="AC593" s="187" t="n">
        <v>0</v>
      </c>
      <c r="AD593" s="187" t="inlineStr"/>
    </row>
    <row r="594">
      <c r="A594" s="187" t="inlineStr">
        <is>
          <t>CVE</t>
        </is>
      </c>
      <c r="B594" s="187" t="inlineStr">
        <is>
          <t>CVE-2026-3152</t>
        </is>
      </c>
      <c r="C594" s="187"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594" s="187" t="n">
        <v>7.3</v>
      </c>
      <c r="E594" s="187" t="inlineStr">
        <is>
          <t>HIGH</t>
        </is>
      </c>
      <c r="F594" s="187" t="n">
        <v>2</v>
      </c>
      <c r="G594" s="187" t="n">
        <v>3</v>
      </c>
      <c r="H594" s="187" t="inlineStr">
        <is>
          <t>HIGH</t>
        </is>
      </c>
      <c r="I594" s="187" t="n">
        <v>13.3</v>
      </c>
      <c r="J594" s="187" t="inlineStr">
        <is>
          <t>NO</t>
        </is>
      </c>
      <c r="K594" s="187" t="inlineStr">
        <is>
          <t>https://nvd.nist.gov/vuln/detail/CVE-2026-3152</t>
        </is>
      </c>
      <c r="L594" s="187" t="inlineStr">
        <is>
          <t>2026-02-27 20:47</t>
        </is>
      </c>
      <c r="M594" s="187" t="inlineStr">
        <is>
          <t>CHECK_VENDOR</t>
        </is>
      </c>
      <c r="N594" s="187" t="inlineStr">
        <is>
          <t>See NVD references</t>
        </is>
      </c>
      <c r="O594" s="187" t="inlineStr">
        <is>
          <t>Apply vendor patches</t>
        </is>
      </c>
      <c r="P594" s="187" t="inlineStr">
        <is>
          <t>angeljudesuarez college_management_system 1.0</t>
        </is>
      </c>
      <c r="Q594" s="187" t="inlineStr">
        <is>
          <t>P3</t>
        </is>
      </c>
      <c r="R594" s="187" t="inlineStr">
        <is>
          <t>🚨 URGENT: Apply vendor patches immediately | 🔒 Isolate affected systems if patch unavailable | 🛡️ Enable additional monitoring/IDS rules</t>
        </is>
      </c>
      <c r="S594" s="187" t="inlineStr">
        <is>
          <t>CVE - IP enrichment n/a</t>
        </is>
      </c>
      <c r="T594" s="187" t="n">
        <v>0.0002</v>
      </c>
      <c r="U594" s="187" t="n">
        <v>0.0583</v>
      </c>
      <c r="V594" s="187" t="inlineStr">
        <is>
          <t>T1190:Exploit Public-Facing Application</t>
        </is>
      </c>
      <c r="W594" s="187" t="n">
        <v>1</v>
      </c>
      <c r="X594" s="187" t="inlineStr">
        <is>
          <t>LOW (40%)</t>
        </is>
      </c>
      <c r="Y594" s="187" t="inlineStr">
        <is>
          <t>UNLIKELY</t>
        </is>
      </c>
      <c r="Z594" s="187" t="inlineStr">
        <is>
          <t>CHECK_VENDOR</t>
        </is>
      </c>
      <c r="AA594" s="187" t="inlineStr">
        <is>
          <t>https://nvd.nist.gov/vuln/detail/CVE-2026-3152</t>
        </is>
      </c>
      <c r="AB594" s="187" t="inlineStr">
        <is>
          <t>NONE</t>
        </is>
      </c>
      <c r="AC594" s="187" t="n">
        <v>0</v>
      </c>
      <c r="AD594" s="187" t="inlineStr"/>
    </row>
    <row r="595">
      <c r="A595" s="187" t="inlineStr">
        <is>
          <t>CVE</t>
        </is>
      </c>
      <c r="B595" s="187" t="inlineStr">
        <is>
          <t>CVE-2026-3153</t>
        </is>
      </c>
      <c r="C595" s="187"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595" s="187" t="n">
        <v>7.3</v>
      </c>
      <c r="E595" s="187" t="inlineStr">
        <is>
          <t>HIGH</t>
        </is>
      </c>
      <c r="F595" s="187" t="n">
        <v>2</v>
      </c>
      <c r="G595" s="187" t="n">
        <v>3</v>
      </c>
      <c r="H595" s="187" t="inlineStr">
        <is>
          <t>HIGH</t>
        </is>
      </c>
      <c r="I595" s="187" t="n">
        <v>13.3</v>
      </c>
      <c r="J595" s="187" t="inlineStr">
        <is>
          <t>NO</t>
        </is>
      </c>
      <c r="K595" s="187" t="inlineStr">
        <is>
          <t>https://nvd.nist.gov/vuln/detail/CVE-2026-3153</t>
        </is>
      </c>
      <c r="L595" s="187" t="inlineStr">
        <is>
          <t>2026-02-27 20:47</t>
        </is>
      </c>
      <c r="M595" s="187" t="inlineStr">
        <is>
          <t>CHECK_VENDOR</t>
        </is>
      </c>
      <c r="N595" s="187" t="inlineStr">
        <is>
          <t>See NVD references</t>
        </is>
      </c>
      <c r="O595" s="187" t="inlineStr">
        <is>
          <t>Apply vendor patches</t>
        </is>
      </c>
      <c r="P595" s="187" t="inlineStr">
        <is>
          <t>admerc document_management_system 1.0</t>
        </is>
      </c>
      <c r="Q595" s="187" t="inlineStr">
        <is>
          <t>P3</t>
        </is>
      </c>
      <c r="R595" s="187" t="inlineStr">
        <is>
          <t>🚨 URGENT: Apply vendor patches immediately | 🔒 Isolate affected systems if patch unavailable | 🛡️ Enable additional monitoring/IDS rules</t>
        </is>
      </c>
      <c r="S595" s="187" t="inlineStr">
        <is>
          <t>CVE - IP enrichment n/a</t>
        </is>
      </c>
      <c r="T595" s="187" t="n">
        <v>0.0002</v>
      </c>
      <c r="U595" s="187" t="n">
        <v>0.0583</v>
      </c>
      <c r="V595" s="187" t="inlineStr">
        <is>
          <t>T1190:Exploit Public-Facing Application</t>
        </is>
      </c>
      <c r="W595" s="187" t="n">
        <v>1</v>
      </c>
      <c r="X595" s="187" t="inlineStr">
        <is>
          <t>LOW (40%)</t>
        </is>
      </c>
      <c r="Y595" s="187" t="inlineStr">
        <is>
          <t>UNLIKELY</t>
        </is>
      </c>
      <c r="Z595" s="187" t="inlineStr">
        <is>
          <t>CHECK_VENDOR</t>
        </is>
      </c>
      <c r="AA595" s="187" t="inlineStr">
        <is>
          <t>https://nvd.nist.gov/vuln/detail/CVE-2026-3153</t>
        </is>
      </c>
      <c r="AB595" s="187" t="inlineStr">
        <is>
          <t>NONE</t>
        </is>
      </c>
      <c r="AC595" s="187" t="n">
        <v>0</v>
      </c>
      <c r="AD595" s="187" t="inlineStr"/>
    </row>
    <row r="596">
      <c r="A596" s="188" t="inlineStr">
        <is>
          <t>CVE</t>
        </is>
      </c>
      <c r="B596" s="188" t="inlineStr">
        <is>
          <t>CVE-2026-3163</t>
        </is>
      </c>
      <c r="C596" s="188"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596" s="188" t="n">
        <v>6.3</v>
      </c>
      <c r="E596" s="188" t="inlineStr">
        <is>
          <t>MEDIUM</t>
        </is>
      </c>
      <c r="F596" s="188" t="n">
        <v>2</v>
      </c>
      <c r="G596" s="188" t="n">
        <v>2</v>
      </c>
      <c r="H596" s="188" t="inlineStr">
        <is>
          <t>MEDIUM</t>
        </is>
      </c>
      <c r="I596" s="188" t="n">
        <v>10.3</v>
      </c>
      <c r="J596" s="188" t="inlineStr">
        <is>
          <t>NO</t>
        </is>
      </c>
      <c r="K596" s="188" t="inlineStr">
        <is>
          <t>https://nvd.nist.gov/vuln/detail/CVE-2026-3163</t>
        </is>
      </c>
      <c r="L596" s="188" t="inlineStr">
        <is>
          <t>2026-02-27 20:47</t>
        </is>
      </c>
      <c r="M596" s="188" t="inlineStr">
        <is>
          <t>CHECK_VENDOR</t>
        </is>
      </c>
      <c r="N596" s="188" t="inlineStr">
        <is>
          <t>See NVD references</t>
        </is>
      </c>
      <c r="O596" s="188" t="inlineStr">
        <is>
          <t>Apply vendor patches</t>
        </is>
      </c>
      <c r="P596" s="188" t="inlineStr">
        <is>
          <t>remyandrade website_link_extractor 1.0</t>
        </is>
      </c>
      <c r="Q596" s="188" t="inlineStr">
        <is>
          <t>P4</t>
        </is>
      </c>
      <c r="R596" s="188" t="inlineStr">
        <is>
          <t>📅 Schedule patch deployment within 30 days | 🔍 Monitor for exploitation attempts</t>
        </is>
      </c>
      <c r="S596" s="188" t="inlineStr">
        <is>
          <t>CVE - IP enrichment n/a</t>
        </is>
      </c>
      <c r="T596" s="188" t="n">
        <v>0.0003</v>
      </c>
      <c r="U596" s="188" t="n">
        <v>0.09660000000000001</v>
      </c>
      <c r="V596" s="188" t="inlineStr">
        <is>
          <t>T1090:Proxy | T1190:Exploit Public-Facing Application</t>
        </is>
      </c>
      <c r="W596" s="188" t="n">
        <v>1</v>
      </c>
      <c r="X596" s="188" t="inlineStr">
        <is>
          <t>LOW (40%)</t>
        </is>
      </c>
      <c r="Y596" s="188" t="inlineStr">
        <is>
          <t>UNLIKELY</t>
        </is>
      </c>
      <c r="Z596" s="188" t="inlineStr">
        <is>
          <t>CHECK_VENDOR</t>
        </is>
      </c>
      <c r="AA596" s="188" t="inlineStr">
        <is>
          <t>https://nvd.nist.gov/vuln/detail/CVE-2026-3163</t>
        </is>
      </c>
      <c r="AB596" s="188" t="inlineStr">
        <is>
          <t>NONE</t>
        </is>
      </c>
      <c r="AC596" s="188" t="n">
        <v>0</v>
      </c>
      <c r="AD596" s="188" t="inlineStr"/>
    </row>
    <row r="597">
      <c r="A597" s="187" t="inlineStr">
        <is>
          <t>CVE</t>
        </is>
      </c>
      <c r="B597" s="187" t="inlineStr">
        <is>
          <t>CVE-2026-3164</t>
        </is>
      </c>
      <c r="C597" s="187"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597" s="187" t="n">
        <v>7.3</v>
      </c>
      <c r="E597" s="187" t="inlineStr">
        <is>
          <t>HIGH</t>
        </is>
      </c>
      <c r="F597" s="187" t="n">
        <v>2</v>
      </c>
      <c r="G597" s="187" t="n">
        <v>3</v>
      </c>
      <c r="H597" s="187" t="inlineStr">
        <is>
          <t>HIGH</t>
        </is>
      </c>
      <c r="I597" s="187" t="n">
        <v>13.3</v>
      </c>
      <c r="J597" s="187" t="inlineStr">
        <is>
          <t>NO</t>
        </is>
      </c>
      <c r="K597" s="187" t="inlineStr">
        <is>
          <t>https://nvd.nist.gov/vuln/detail/CVE-2026-3164</t>
        </is>
      </c>
      <c r="L597" s="187" t="inlineStr">
        <is>
          <t>2026-02-27 20:47</t>
        </is>
      </c>
      <c r="M597" s="187" t="inlineStr">
        <is>
          <t>CHECK_VENDOR</t>
        </is>
      </c>
      <c r="N597" s="187" t="inlineStr">
        <is>
          <t>See NVD references</t>
        </is>
      </c>
      <c r="O597" s="187" t="inlineStr">
        <is>
          <t>Apply vendor patches</t>
        </is>
      </c>
      <c r="P597" s="187" t="inlineStr">
        <is>
          <t>clive_21 news_portal_project 1.0</t>
        </is>
      </c>
      <c r="Q597" s="187" t="inlineStr">
        <is>
          <t>P3</t>
        </is>
      </c>
      <c r="R597" s="187" t="inlineStr">
        <is>
          <t>🚨 URGENT: Apply vendor patches immediately | 🔒 Isolate affected systems if patch unavailable | 🛡️ Enable additional monitoring/IDS rules</t>
        </is>
      </c>
      <c r="S597" s="187" t="inlineStr">
        <is>
          <t>CVE - IP enrichment n/a</t>
        </is>
      </c>
      <c r="T597" s="187" t="n">
        <v>0.0002</v>
      </c>
      <c r="U597" s="187" t="n">
        <v>0.0583</v>
      </c>
      <c r="V597" s="187" t="inlineStr">
        <is>
          <t>T1190:Exploit Public-Facing Application</t>
        </is>
      </c>
      <c r="W597" s="187" t="n">
        <v>1</v>
      </c>
      <c r="X597" s="187" t="inlineStr">
        <is>
          <t>LOW (40%)</t>
        </is>
      </c>
      <c r="Y597" s="187" t="inlineStr">
        <is>
          <t>UNLIKELY</t>
        </is>
      </c>
      <c r="Z597" s="187" t="inlineStr">
        <is>
          <t>CHECK_VENDOR</t>
        </is>
      </c>
      <c r="AA597" s="187" t="inlineStr">
        <is>
          <t>https://nvd.nist.gov/vuln/detail/CVE-2026-3164</t>
        </is>
      </c>
      <c r="AB597" s="187" t="inlineStr">
        <is>
          <t>NONE</t>
        </is>
      </c>
      <c r="AC597" s="187" t="n">
        <v>0</v>
      </c>
      <c r="AD597" s="187" t="inlineStr"/>
    </row>
    <row r="598">
      <c r="A598" s="187" t="inlineStr">
        <is>
          <t>CVE</t>
        </is>
      </c>
      <c r="B598" s="187" t="inlineStr">
        <is>
          <t>CVE-2026-3165</t>
        </is>
      </c>
      <c r="C598" s="187"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598" s="187" t="n">
        <v>8.800000000000001</v>
      </c>
      <c r="E598" s="187" t="inlineStr">
        <is>
          <t>HIGH</t>
        </is>
      </c>
      <c r="F598" s="187" t="n">
        <v>2</v>
      </c>
      <c r="G598" s="187" t="n">
        <v>3</v>
      </c>
      <c r="H598" s="187" t="inlineStr">
        <is>
          <t>HIGH</t>
        </is>
      </c>
      <c r="I598" s="187" t="n">
        <v>14.8</v>
      </c>
      <c r="J598" s="187" t="inlineStr">
        <is>
          <t>NO</t>
        </is>
      </c>
      <c r="K598" s="187" t="inlineStr">
        <is>
          <t>https://nvd.nist.gov/vuln/detail/CVE-2026-3165</t>
        </is>
      </c>
      <c r="L598" s="187" t="inlineStr">
        <is>
          <t>2026-02-27 20:47</t>
        </is>
      </c>
      <c r="M598" s="187" t="inlineStr">
        <is>
          <t>CHECK_VENDOR</t>
        </is>
      </c>
      <c r="N598" s="187" t="inlineStr">
        <is>
          <t>See NVD references</t>
        </is>
      </c>
      <c r="O598" s="187" t="inlineStr">
        <is>
          <t>Apply vendor patches</t>
        </is>
      </c>
      <c r="P598" s="187" t="inlineStr">
        <is>
          <t>tenda f453 - | tenda f453_firmware 1.0.0.3</t>
        </is>
      </c>
      <c r="Q598" s="187" t="inlineStr">
        <is>
          <t>P3</t>
        </is>
      </c>
      <c r="R598" s="187" t="inlineStr">
        <is>
          <t>🚨 URGENT: Apply vendor patches immediately | 🔒 Isolate affected systems if patch unavailable | 🛡️ Enable additional monitoring/IDS rules</t>
        </is>
      </c>
      <c r="S598" s="187" t="inlineStr">
        <is>
          <t>CVE - IP enrichment n/a</t>
        </is>
      </c>
      <c r="T598" s="187" t="n">
        <v>0.0008</v>
      </c>
      <c r="U598" s="187" t="n">
        <v>0.2274</v>
      </c>
      <c r="V598" s="187" t="inlineStr">
        <is>
          <t>T1203:Exploitation for Client Execution</t>
        </is>
      </c>
      <c r="W598" s="187" t="n">
        <v>1</v>
      </c>
      <c r="X598" s="187" t="inlineStr">
        <is>
          <t>LOW (40%)</t>
        </is>
      </c>
      <c r="Y598" s="187" t="inlineStr">
        <is>
          <t>UNLIKELY</t>
        </is>
      </c>
      <c r="Z598" s="187" t="inlineStr">
        <is>
          <t>CHECK_VENDOR</t>
        </is>
      </c>
      <c r="AA598" s="187" t="inlineStr">
        <is>
          <t>https://nvd.nist.gov/vuln/detail/CVE-2026-3165</t>
        </is>
      </c>
      <c r="AB598" s="187" t="inlineStr">
        <is>
          <t>NONE</t>
        </is>
      </c>
      <c r="AC598" s="187" t="n">
        <v>0</v>
      </c>
      <c r="AD598" s="187" t="inlineStr"/>
    </row>
    <row r="599">
      <c r="A599" s="187" t="inlineStr">
        <is>
          <t>CVE</t>
        </is>
      </c>
      <c r="B599" s="187" t="inlineStr">
        <is>
          <t>CVE-2026-3179</t>
        </is>
      </c>
      <c r="C599" s="187"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599" s="187" t="n">
        <v>8.1</v>
      </c>
      <c r="E599" s="187" t="inlineStr">
        <is>
          <t>HIGH</t>
        </is>
      </c>
      <c r="F599" s="187" t="n">
        <v>2</v>
      </c>
      <c r="G599" s="187" t="n">
        <v>3</v>
      </c>
      <c r="H599" s="187" t="inlineStr">
        <is>
          <t>HIGH</t>
        </is>
      </c>
      <c r="I599" s="187" t="n">
        <v>14.1</v>
      </c>
      <c r="J599" s="187" t="inlineStr">
        <is>
          <t>NO</t>
        </is>
      </c>
      <c r="K599" s="187" t="inlineStr">
        <is>
          <t>https://nvd.nist.gov/vuln/detail/CVE-2026-3179</t>
        </is>
      </c>
      <c r="L599" s="187" t="inlineStr">
        <is>
          <t>2026-02-27 20:47</t>
        </is>
      </c>
      <c r="M599" s="187" t="inlineStr">
        <is>
          <t>YES</t>
        </is>
      </c>
      <c r="N599" s="187" t="inlineStr">
        <is>
          <t>https://www.asustor.com/security/security_advisory_detail?id=53</t>
        </is>
      </c>
      <c r="O599" s="187" t="inlineStr">
        <is>
          <t>Apply vendor patches</t>
        </is>
      </c>
      <c r="P599" s="187" t="inlineStr">
        <is>
          <t>asustor data_master *</t>
        </is>
      </c>
      <c r="Q599" s="187" t="inlineStr">
        <is>
          <t>P3</t>
        </is>
      </c>
      <c r="R599" s="187" t="inlineStr">
        <is>
          <t>🚨 URGENT: Apply vendor patches immediately | 🔒 Isolate affected systems if patch unavailable | 🛡️ Enable additional monitoring/IDS rules</t>
        </is>
      </c>
      <c r="S599" s="187" t="inlineStr">
        <is>
          <t>CVE - IP enrichment n/a</t>
        </is>
      </c>
      <c r="T599" s="187" t="n">
        <v>0.0035</v>
      </c>
      <c r="U599" s="187" t="n">
        <v>0.57</v>
      </c>
      <c r="V599" s="187" t="inlineStr">
        <is>
          <t>T1083:File and Directory Discovery | T1190:Exploit Public-Facing Application | T1210:Exploitation of Remote Services</t>
        </is>
      </c>
      <c r="W599" s="187" t="n">
        <v>1</v>
      </c>
      <c r="X599" s="187" t="inlineStr">
        <is>
          <t>LOW (40%)</t>
        </is>
      </c>
      <c r="Y599" s="187" t="inlineStr">
        <is>
          <t>UNLIKELY</t>
        </is>
      </c>
      <c r="Z599" s="187" t="inlineStr">
        <is>
          <t>PATCH_AVAILABLE</t>
        </is>
      </c>
      <c r="AA599" s="187" t="inlineStr">
        <is>
          <t>https://nvd.nist.gov/vuln/detail/CVE-2026-3179</t>
        </is>
      </c>
      <c r="AB599" s="187" t="inlineStr">
        <is>
          <t>NONE</t>
        </is>
      </c>
      <c r="AC599" s="187" t="n">
        <v>0</v>
      </c>
      <c r="AD599" s="187" t="inlineStr"/>
    </row>
    <row r="600">
      <c r="A600" s="188" t="inlineStr">
        <is>
          <t>CVE</t>
        </is>
      </c>
      <c r="B600" s="188" t="inlineStr">
        <is>
          <t>CVE-2026-1614</t>
        </is>
      </c>
      <c r="C600" s="188"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600" s="188" t="n">
        <v>6.4</v>
      </c>
      <c r="E600" s="188" t="inlineStr">
        <is>
          <t>MEDIUM</t>
        </is>
      </c>
      <c r="F600" s="188" t="n">
        <v>2</v>
      </c>
      <c r="G600" s="188" t="n">
        <v>2</v>
      </c>
      <c r="H600" s="188" t="inlineStr">
        <is>
          <t>MEDIUM</t>
        </is>
      </c>
      <c r="I600" s="188" t="n">
        <v>10.4</v>
      </c>
      <c r="J600" s="188" t="inlineStr">
        <is>
          <t>NO</t>
        </is>
      </c>
      <c r="K600" s="188" t="inlineStr">
        <is>
          <t>https://nvd.nist.gov/vuln/detail/CVE-2026-1614</t>
        </is>
      </c>
      <c r="L600" s="188" t="inlineStr">
        <is>
          <t>2026-02-27 20:47</t>
        </is>
      </c>
      <c r="M600" s="188" t="inlineStr">
        <is>
          <t>CHECK_VENDOR</t>
        </is>
      </c>
      <c r="N600" s="188" t="inlineStr">
        <is>
          <t>See NVD references</t>
        </is>
      </c>
      <c r="O600" s="188" t="inlineStr">
        <is>
          <t>Apply vendor patches</t>
        </is>
      </c>
      <c r="P600" s="188" t="inlineStr">
        <is>
          <t>See CVE details</t>
        </is>
      </c>
      <c r="Q600" s="188" t="inlineStr">
        <is>
          <t>P4</t>
        </is>
      </c>
      <c r="R600" s="188" t="inlineStr">
        <is>
          <t>📅 Schedule patch deployment within 30 days | 🔍 Monitor for exploitation attempts</t>
        </is>
      </c>
      <c r="S600" s="188" t="inlineStr">
        <is>
          <t>CVE - IP enrichment n/a</t>
        </is>
      </c>
      <c r="T600" s="188" t="n">
        <v>0.0003</v>
      </c>
      <c r="U600" s="188" t="n">
        <v>0.0788</v>
      </c>
      <c r="V600" s="188" t="inlineStr">
        <is>
          <t>T1189:Drive-by Compromise</t>
        </is>
      </c>
      <c r="W600" s="188" t="n">
        <v>1</v>
      </c>
      <c r="X600" s="188" t="inlineStr">
        <is>
          <t>LOW (40%)</t>
        </is>
      </c>
      <c r="Y600" s="188" t="inlineStr">
        <is>
          <t>UNLIKELY</t>
        </is>
      </c>
      <c r="Z600" s="188" t="inlineStr">
        <is>
          <t>CHECK_VENDOR</t>
        </is>
      </c>
      <c r="AA600" s="188" t="inlineStr">
        <is>
          <t>https://nvd.nist.gov/vuln/detail/CVE-2026-1614</t>
        </is>
      </c>
      <c r="AB600" s="188" t="inlineStr">
        <is>
          <t>NONE</t>
        </is>
      </c>
      <c r="AC600" s="188" t="n">
        <v>0</v>
      </c>
      <c r="AD600" s="188" t="inlineStr"/>
    </row>
    <row r="601">
      <c r="A601" s="187" t="inlineStr">
        <is>
          <t>CVE</t>
        </is>
      </c>
      <c r="B601" s="187" t="inlineStr">
        <is>
          <t>CVE-2026-3166</t>
        </is>
      </c>
      <c r="C601" s="187"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601" s="187" t="n">
        <v>8.800000000000001</v>
      </c>
      <c r="E601" s="187" t="inlineStr">
        <is>
          <t>HIGH</t>
        </is>
      </c>
      <c r="F601" s="187" t="n">
        <v>2</v>
      </c>
      <c r="G601" s="187" t="n">
        <v>3</v>
      </c>
      <c r="H601" s="187" t="inlineStr">
        <is>
          <t>HIGH</t>
        </is>
      </c>
      <c r="I601" s="187" t="n">
        <v>14.8</v>
      </c>
      <c r="J601" s="187" t="inlineStr">
        <is>
          <t>NO</t>
        </is>
      </c>
      <c r="K601" s="187" t="inlineStr">
        <is>
          <t>https://nvd.nist.gov/vuln/detail/CVE-2026-3166</t>
        </is>
      </c>
      <c r="L601" s="187" t="inlineStr">
        <is>
          <t>2026-02-27 20:47</t>
        </is>
      </c>
      <c r="M601" s="187" t="inlineStr">
        <is>
          <t>CHECK_VENDOR</t>
        </is>
      </c>
      <c r="N601" s="187" t="inlineStr">
        <is>
          <t>See NVD references</t>
        </is>
      </c>
      <c r="O601" s="187" t="inlineStr">
        <is>
          <t>Apply vendor patches</t>
        </is>
      </c>
      <c r="P601" s="187" t="inlineStr">
        <is>
          <t>tenda f453 - | tenda f453_firmware 1.0.0.3</t>
        </is>
      </c>
      <c r="Q601" s="187" t="inlineStr">
        <is>
          <t>P3</t>
        </is>
      </c>
      <c r="R601" s="187" t="inlineStr">
        <is>
          <t>🚨 URGENT: Apply vendor patches immediately | 🔒 Isolate affected systems if patch unavailable | 🛡️ Enable additional monitoring/IDS rules</t>
        </is>
      </c>
      <c r="S601" s="187" t="inlineStr">
        <is>
          <t>CVE - IP enrichment n/a</t>
        </is>
      </c>
      <c r="T601" s="187" t="n">
        <v>0.0008</v>
      </c>
      <c r="U601" s="187" t="n">
        <v>0.2274</v>
      </c>
      <c r="V601" s="187" t="inlineStr">
        <is>
          <t>T1203:Exploitation for Client Execution</t>
        </is>
      </c>
      <c r="W601" s="187" t="n">
        <v>1</v>
      </c>
      <c r="X601" s="187" t="inlineStr">
        <is>
          <t>LOW (40%)</t>
        </is>
      </c>
      <c r="Y601" s="187" t="inlineStr">
        <is>
          <t>UNLIKELY</t>
        </is>
      </c>
      <c r="Z601" s="187" t="inlineStr">
        <is>
          <t>CHECK_VENDOR</t>
        </is>
      </c>
      <c r="AA601" s="187" t="inlineStr">
        <is>
          <t>https://nvd.nist.gov/vuln/detail/CVE-2026-3166</t>
        </is>
      </c>
      <c r="AB601" s="187" t="inlineStr">
        <is>
          <t>NONE</t>
        </is>
      </c>
      <c r="AC601" s="187" t="n">
        <v>0</v>
      </c>
      <c r="AD601" s="187" t="inlineStr"/>
    </row>
    <row r="602">
      <c r="A602" s="187" t="inlineStr">
        <is>
          <t>CVE</t>
        </is>
      </c>
      <c r="B602" s="187" t="inlineStr">
        <is>
          <t>CVE-2026-3167</t>
        </is>
      </c>
      <c r="C602" s="187"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602" s="187" t="n">
        <v>8.800000000000001</v>
      </c>
      <c r="E602" s="187" t="inlineStr">
        <is>
          <t>HIGH</t>
        </is>
      </c>
      <c r="F602" s="187" t="n">
        <v>2</v>
      </c>
      <c r="G602" s="187" t="n">
        <v>3</v>
      </c>
      <c r="H602" s="187" t="inlineStr">
        <is>
          <t>HIGH</t>
        </is>
      </c>
      <c r="I602" s="187" t="n">
        <v>14.8</v>
      </c>
      <c r="J602" s="187" t="inlineStr">
        <is>
          <t>NO</t>
        </is>
      </c>
      <c r="K602" s="187" t="inlineStr">
        <is>
          <t>https://nvd.nist.gov/vuln/detail/CVE-2026-3167</t>
        </is>
      </c>
      <c r="L602" s="187" t="inlineStr">
        <is>
          <t>2026-02-27 20:47</t>
        </is>
      </c>
      <c r="M602" s="187" t="inlineStr">
        <is>
          <t>CHECK_VENDOR</t>
        </is>
      </c>
      <c r="N602" s="187" t="inlineStr">
        <is>
          <t>See NVD references</t>
        </is>
      </c>
      <c r="O602" s="187" t="inlineStr">
        <is>
          <t>Apply vendor patches</t>
        </is>
      </c>
      <c r="P602" s="187" t="inlineStr">
        <is>
          <t>tenda f453 - | tenda f453_firmware 1.0.0.3</t>
        </is>
      </c>
      <c r="Q602" s="187" t="inlineStr">
        <is>
          <t>P3</t>
        </is>
      </c>
      <c r="R602" s="187" t="inlineStr">
        <is>
          <t>🚨 URGENT: Apply vendor patches immediately | 🔒 Isolate affected systems if patch unavailable | 🛡️ Enable additional monitoring/IDS rules</t>
        </is>
      </c>
      <c r="S602" s="187" t="inlineStr">
        <is>
          <t>CVE - IP enrichment n/a</t>
        </is>
      </c>
      <c r="T602" s="187" t="n">
        <v>0.0009</v>
      </c>
      <c r="U602" s="187" t="n">
        <v>0.2543</v>
      </c>
      <c r="V602" s="187" t="inlineStr">
        <is>
          <t>T1203:Exploitation for Client Execution</t>
        </is>
      </c>
      <c r="W602" s="187" t="n">
        <v>1</v>
      </c>
      <c r="X602" s="187" t="inlineStr">
        <is>
          <t>LOW (40%)</t>
        </is>
      </c>
      <c r="Y602" s="187" t="inlineStr">
        <is>
          <t>UNLIKELY</t>
        </is>
      </c>
      <c r="Z602" s="187" t="inlineStr">
        <is>
          <t>CHECK_VENDOR</t>
        </is>
      </c>
      <c r="AA602" s="187" t="inlineStr">
        <is>
          <t>https://nvd.nist.gov/vuln/detail/CVE-2026-3167</t>
        </is>
      </c>
      <c r="AB602" s="187" t="inlineStr">
        <is>
          <t>NONE</t>
        </is>
      </c>
      <c r="AC602" s="187" t="n">
        <v>0</v>
      </c>
      <c r="AD602" s="187" t="inlineStr"/>
    </row>
    <row r="603">
      <c r="A603" s="187" t="inlineStr">
        <is>
          <t>CVE</t>
        </is>
      </c>
      <c r="B603" s="187" t="inlineStr">
        <is>
          <t>CVE-2026-3168</t>
        </is>
      </c>
      <c r="C603" s="187"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603" s="187" t="n">
        <v>8.800000000000001</v>
      </c>
      <c r="E603" s="187" t="inlineStr">
        <is>
          <t>HIGH</t>
        </is>
      </c>
      <c r="F603" s="187" t="n">
        <v>2</v>
      </c>
      <c r="G603" s="187" t="n">
        <v>3</v>
      </c>
      <c r="H603" s="187" t="inlineStr">
        <is>
          <t>HIGH</t>
        </is>
      </c>
      <c r="I603" s="187" t="n">
        <v>14.8</v>
      </c>
      <c r="J603" s="187" t="inlineStr">
        <is>
          <t>NO</t>
        </is>
      </c>
      <c r="K603" s="187" t="inlineStr">
        <is>
          <t>https://nvd.nist.gov/vuln/detail/CVE-2026-3168</t>
        </is>
      </c>
      <c r="L603" s="187" t="inlineStr">
        <is>
          <t>2026-02-27 20:47</t>
        </is>
      </c>
      <c r="M603" s="187" t="inlineStr">
        <is>
          <t>CHECK_VENDOR</t>
        </is>
      </c>
      <c r="N603" s="187" t="inlineStr">
        <is>
          <t>See NVD references</t>
        </is>
      </c>
      <c r="O603" s="187" t="inlineStr">
        <is>
          <t>Apply vendor patches</t>
        </is>
      </c>
      <c r="P603" s="187" t="inlineStr">
        <is>
          <t>tenda f453 - | tenda f453_firmware 1.0.0.3</t>
        </is>
      </c>
      <c r="Q603" s="187" t="inlineStr">
        <is>
          <t>P3</t>
        </is>
      </c>
      <c r="R603" s="187" t="inlineStr">
        <is>
          <t>🚨 URGENT: Apply vendor patches immediately | 🔒 Isolate affected systems if patch unavailable | 🛡️ Enable additional monitoring/IDS rules</t>
        </is>
      </c>
      <c r="S603" s="187" t="inlineStr">
        <is>
          <t>CVE - IP enrichment n/a</t>
        </is>
      </c>
      <c r="T603" s="187" t="n">
        <v>0.0008</v>
      </c>
      <c r="U603" s="187" t="n">
        <v>0.2274</v>
      </c>
      <c r="V603" s="187" t="inlineStr">
        <is>
          <t>T1203:Exploitation for Client Execution</t>
        </is>
      </c>
      <c r="W603" s="187" t="n">
        <v>1</v>
      </c>
      <c r="X603" s="187" t="inlineStr">
        <is>
          <t>LOW (40%)</t>
        </is>
      </c>
      <c r="Y603" s="187" t="inlineStr">
        <is>
          <t>UNLIKELY</t>
        </is>
      </c>
      <c r="Z603" s="187" t="inlineStr">
        <is>
          <t>CHECK_VENDOR</t>
        </is>
      </c>
      <c r="AA603" s="187" t="inlineStr">
        <is>
          <t>https://nvd.nist.gov/vuln/detail/CVE-2026-3168</t>
        </is>
      </c>
      <c r="AB603" s="187" t="inlineStr">
        <is>
          <t>NONE</t>
        </is>
      </c>
      <c r="AC603" s="187" t="n">
        <v>0</v>
      </c>
      <c r="AD603" s="187" t="inlineStr"/>
    </row>
    <row r="604">
      <c r="A604" s="188" t="inlineStr">
        <is>
          <t>CVE</t>
        </is>
      </c>
      <c r="B604" s="188" t="inlineStr">
        <is>
          <t>CVE-2025-11563</t>
        </is>
      </c>
      <c r="C604" s="188" t="inlineStr">
        <is>
          <t>URLs containing percent-encoded slashes (`/` or `\`) can trick wcurl into
saving the output file outside of the current directory without the user
explicitly asking for it.
This flaw only affects the wcurl command line tool.</t>
        </is>
      </c>
      <c r="D604" s="188" t="n">
        <v>4.6</v>
      </c>
      <c r="E604" s="188" t="inlineStr">
        <is>
          <t>MEDIUM</t>
        </is>
      </c>
      <c r="F604" s="188" t="n">
        <v>2</v>
      </c>
      <c r="G604" s="188" t="n">
        <v>2</v>
      </c>
      <c r="H604" s="188" t="inlineStr">
        <is>
          <t>MEDIUM</t>
        </is>
      </c>
      <c r="I604" s="188" t="n">
        <v>8.6</v>
      </c>
      <c r="J604" s="188" t="inlineStr">
        <is>
          <t>NO</t>
        </is>
      </c>
      <c r="K604" s="188" t="inlineStr">
        <is>
          <t>https://nvd.nist.gov/vuln/detail/CVE-2025-11563</t>
        </is>
      </c>
      <c r="L604" s="188" t="inlineStr">
        <is>
          <t>2026-02-27 20:47</t>
        </is>
      </c>
      <c r="M604" s="188" t="inlineStr">
        <is>
          <t>YES</t>
        </is>
      </c>
      <c r="N604" s="188" t="inlineStr">
        <is>
          <t>https://curl.se/docs/CVE-2025-11563.html | https://curl.se/docs/CVE-2025-11563.json | https://lists.debian.org/debian-release/2025/11/msg00504.html</t>
        </is>
      </c>
      <c r="O604" s="188" t="inlineStr">
        <is>
          <t>Apply vendor patches</t>
        </is>
      </c>
      <c r="P604" s="188" t="inlineStr">
        <is>
          <t>curl wcurl * | haxx curl *</t>
        </is>
      </c>
      <c r="Q604" s="188" t="inlineStr">
        <is>
          <t>P4</t>
        </is>
      </c>
      <c r="R604" s="188" t="inlineStr">
        <is>
          <t>📅 Schedule patch deployment within 30 days | 🔍 Monitor for exploitation attempts</t>
        </is>
      </c>
      <c r="S604" s="188" t="inlineStr">
        <is>
          <t>CVE - IP enrichment n/a</t>
        </is>
      </c>
      <c r="T604" s="188" t="n">
        <v>0.0002</v>
      </c>
      <c r="U604" s="188" t="n">
        <v>0.0582</v>
      </c>
      <c r="V604" s="188" t="inlineStr">
        <is>
          <t>T1083:File and Directory Discovery | T1190:Exploit Public-Facing Application</t>
        </is>
      </c>
      <c r="W604" s="188" t="n">
        <v>1</v>
      </c>
      <c r="X604" s="188" t="inlineStr">
        <is>
          <t>LOW (40%)</t>
        </is>
      </c>
      <c r="Y604" s="188" t="inlineStr">
        <is>
          <t>UNLIKELY</t>
        </is>
      </c>
      <c r="Z604" s="188" t="inlineStr">
        <is>
          <t>PATCH_AVAILABLE</t>
        </is>
      </c>
      <c r="AA604" s="188" t="inlineStr">
        <is>
          <t>https://nvd.nist.gov/vuln/detail/CVE-2025-11563</t>
        </is>
      </c>
      <c r="AB604" s="188" t="inlineStr">
        <is>
          <t>NONE</t>
        </is>
      </c>
      <c r="AC604" s="188" t="n">
        <v>0</v>
      </c>
      <c r="AD604" s="188" t="inlineStr"/>
    </row>
    <row r="605">
      <c r="A605" s="187" t="inlineStr">
        <is>
          <t>CVE</t>
        </is>
      </c>
      <c r="B605" s="187" t="inlineStr">
        <is>
          <t>CVE-2026-3169</t>
        </is>
      </c>
      <c r="C605" s="187"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605" s="187" t="n">
        <v>8.800000000000001</v>
      </c>
      <c r="E605" s="187" t="inlineStr">
        <is>
          <t>HIGH</t>
        </is>
      </c>
      <c r="F605" s="187" t="n">
        <v>2</v>
      </c>
      <c r="G605" s="187" t="n">
        <v>3</v>
      </c>
      <c r="H605" s="187" t="inlineStr">
        <is>
          <t>HIGH</t>
        </is>
      </c>
      <c r="I605" s="187" t="n">
        <v>14.8</v>
      </c>
      <c r="J605" s="187" t="inlineStr">
        <is>
          <t>NO</t>
        </is>
      </c>
      <c r="K605" s="187" t="inlineStr">
        <is>
          <t>https://nvd.nist.gov/vuln/detail/CVE-2026-3169</t>
        </is>
      </c>
      <c r="L605" s="187" t="inlineStr">
        <is>
          <t>2026-02-27 20:47</t>
        </is>
      </c>
      <c r="M605" s="187" t="inlineStr">
        <is>
          <t>CHECK_VENDOR</t>
        </is>
      </c>
      <c r="N605" s="187" t="inlineStr">
        <is>
          <t>See NVD references</t>
        </is>
      </c>
      <c r="O605" s="187" t="inlineStr">
        <is>
          <t>Apply vendor patches</t>
        </is>
      </c>
      <c r="P605" s="187" t="inlineStr">
        <is>
          <t>tenda f453 - | tenda f453_firmware 1.0.0.3</t>
        </is>
      </c>
      <c r="Q605" s="187" t="inlineStr">
        <is>
          <t>P3</t>
        </is>
      </c>
      <c r="R605" s="187" t="inlineStr">
        <is>
          <t>🚨 URGENT: Apply vendor patches immediately | 🔒 Isolate affected systems if patch unavailable | 🛡️ Enable additional monitoring/IDS rules</t>
        </is>
      </c>
      <c r="S605" s="187" t="inlineStr">
        <is>
          <t>CVE - IP enrichment n/a</t>
        </is>
      </c>
      <c r="T605" s="187" t="n">
        <v>0.0008</v>
      </c>
      <c r="U605" s="187" t="n">
        <v>0.2274</v>
      </c>
      <c r="V605" s="187" t="inlineStr">
        <is>
          <t>T1203:Exploitation for Client Execution</t>
        </is>
      </c>
      <c r="W605" s="187" t="n">
        <v>1</v>
      </c>
      <c r="X605" s="187" t="inlineStr">
        <is>
          <t>LOW (40%)</t>
        </is>
      </c>
      <c r="Y605" s="187" t="inlineStr">
        <is>
          <t>UNLIKELY</t>
        </is>
      </c>
      <c r="Z605" s="187" t="inlineStr">
        <is>
          <t>CHECK_VENDOR</t>
        </is>
      </c>
      <c r="AA605" s="187" t="inlineStr">
        <is>
          <t>https://nvd.nist.gov/vuln/detail/CVE-2026-3169</t>
        </is>
      </c>
      <c r="AB605" s="187" t="inlineStr">
        <is>
          <t>NONE</t>
        </is>
      </c>
      <c r="AC605" s="187" t="n">
        <v>0</v>
      </c>
      <c r="AD605" s="187" t="inlineStr"/>
    </row>
    <row r="606">
      <c r="A606" s="190" t="inlineStr">
        <is>
          <t>CVE</t>
        </is>
      </c>
      <c r="B606" s="190" t="inlineStr">
        <is>
          <t>CVE-2026-3170</t>
        </is>
      </c>
      <c r="C606" s="190"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606" s="190" t="n">
        <v>2.4</v>
      </c>
      <c r="E606" s="190" t="inlineStr">
        <is>
          <t>LOW</t>
        </is>
      </c>
      <c r="F606" s="190" t="n">
        <v>2</v>
      </c>
      <c r="G606" s="190" t="n">
        <v>1</v>
      </c>
      <c r="H606" s="190" t="inlineStr">
        <is>
          <t>LOW</t>
        </is>
      </c>
      <c r="I606" s="190" t="n">
        <v>4.4</v>
      </c>
      <c r="J606" s="190" t="inlineStr">
        <is>
          <t>NO</t>
        </is>
      </c>
      <c r="K606" s="190" t="inlineStr">
        <is>
          <t>https://nvd.nist.gov/vuln/detail/CVE-2026-3170</t>
        </is>
      </c>
      <c r="L606" s="190" t="inlineStr">
        <is>
          <t>2026-02-27 20:47</t>
        </is>
      </c>
      <c r="M606" s="190" t="inlineStr">
        <is>
          <t>CHECK_VENDOR</t>
        </is>
      </c>
      <c r="N606" s="190" t="inlineStr">
        <is>
          <t>See NVD references</t>
        </is>
      </c>
      <c r="O606" s="190" t="inlineStr">
        <is>
          <t>Apply vendor patches</t>
        </is>
      </c>
      <c r="P606" s="190" t="inlineStr">
        <is>
          <t>pamzey patients_waiting_area_queue_management_system 1.0</t>
        </is>
      </c>
      <c r="Q606" s="190" t="inlineStr">
        <is>
          <t>P4</t>
        </is>
      </c>
      <c r="R606" s="190" t="inlineStr">
        <is>
          <t>📅 Schedule patch deployment within 30 days | 🔍 Monitor for exploitation attempts</t>
        </is>
      </c>
      <c r="S606" s="190" t="inlineStr">
        <is>
          <t>CVE - IP enrichment n/a</t>
        </is>
      </c>
      <c r="T606" s="190" t="n">
        <v>0.0002</v>
      </c>
      <c r="U606" s="190" t="n">
        <v>0.0602</v>
      </c>
      <c r="V606" s="190" t="inlineStr">
        <is>
          <t>T1189:Drive-by Compromise | T1190:Exploit Public-Facing Application</t>
        </is>
      </c>
      <c r="W606" s="190" t="n">
        <v>1</v>
      </c>
      <c r="X606" s="190" t="inlineStr">
        <is>
          <t>LOW (40%)</t>
        </is>
      </c>
      <c r="Y606" s="190" t="inlineStr">
        <is>
          <t>UNLIKELY</t>
        </is>
      </c>
      <c r="Z606" s="190" t="inlineStr">
        <is>
          <t>CHECK_VENDOR</t>
        </is>
      </c>
      <c r="AA606" s="190" t="inlineStr">
        <is>
          <t>https://nvd.nist.gov/vuln/detail/CVE-2026-3170</t>
        </is>
      </c>
      <c r="AB606" s="190" t="inlineStr">
        <is>
          <t>NONE</t>
        </is>
      </c>
      <c r="AC606" s="190" t="n">
        <v>0</v>
      </c>
      <c r="AD606" s="190" t="inlineStr"/>
    </row>
    <row r="607">
      <c r="A607" s="187" t="inlineStr">
        <is>
          <t>CVE</t>
        </is>
      </c>
      <c r="B607" s="187" t="inlineStr">
        <is>
          <t>CVE-2026-1916</t>
        </is>
      </c>
      <c r="C607" s="187"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607" s="187" t="n">
        <v>7.5</v>
      </c>
      <c r="E607" s="187" t="inlineStr">
        <is>
          <t>HIGH</t>
        </is>
      </c>
      <c r="F607" s="187" t="n">
        <v>2</v>
      </c>
      <c r="G607" s="187" t="n">
        <v>3</v>
      </c>
      <c r="H607" s="187" t="inlineStr">
        <is>
          <t>HIGH</t>
        </is>
      </c>
      <c r="I607" s="187" t="n">
        <v>13.5</v>
      </c>
      <c r="J607" s="187" t="inlineStr">
        <is>
          <t>NO</t>
        </is>
      </c>
      <c r="K607" s="187" t="inlineStr">
        <is>
          <t>https://nvd.nist.gov/vuln/detail/CVE-2026-1916</t>
        </is>
      </c>
      <c r="L607" s="187" t="inlineStr">
        <is>
          <t>2026-02-27 20:47</t>
        </is>
      </c>
      <c r="M607" s="187" t="inlineStr">
        <is>
          <t>CHECK_VENDOR</t>
        </is>
      </c>
      <c r="N607" s="187" t="inlineStr">
        <is>
          <t>See NVD references</t>
        </is>
      </c>
      <c r="O607" s="187" t="inlineStr">
        <is>
          <t>Apply vendor patches</t>
        </is>
      </c>
      <c r="P607" s="187" t="inlineStr">
        <is>
          <t>See CVE details</t>
        </is>
      </c>
      <c r="Q607" s="187" t="inlineStr">
        <is>
          <t>P3</t>
        </is>
      </c>
      <c r="R607" s="187" t="inlineStr">
        <is>
          <t>🚨 URGENT: Apply vendor patches immediately | 🔒 Isolate affected systems if patch unavailable | 🛡️ Enable additional monitoring/IDS rules</t>
        </is>
      </c>
      <c r="S607" s="187" t="inlineStr">
        <is>
          <t>CVE - IP enrichment n/a</t>
        </is>
      </c>
      <c r="T607" s="187" t="n">
        <v>0.001</v>
      </c>
      <c r="U607" s="187" t="n">
        <v>0.269</v>
      </c>
      <c r="V607" s="187" t="inlineStr">
        <is>
          <t>T1600:Weaken Encryption</t>
        </is>
      </c>
      <c r="W607" s="187" t="n">
        <v>1</v>
      </c>
      <c r="X607" s="187" t="inlineStr">
        <is>
          <t>LOW (40%)</t>
        </is>
      </c>
      <c r="Y607" s="187" t="inlineStr">
        <is>
          <t>UNLIKELY</t>
        </is>
      </c>
      <c r="Z607" s="187" t="inlineStr">
        <is>
          <t>CHECK_VENDOR</t>
        </is>
      </c>
      <c r="AA607" s="187" t="inlineStr">
        <is>
          <t>https://nvd.nist.gov/vuln/detail/CVE-2026-1916</t>
        </is>
      </c>
      <c r="AB607" s="187" t="inlineStr">
        <is>
          <t>NONE</t>
        </is>
      </c>
      <c r="AC607" s="187" t="n">
        <v>0</v>
      </c>
      <c r="AD607" s="187" t="inlineStr"/>
    </row>
    <row r="608">
      <c r="A608" s="187" t="inlineStr">
        <is>
          <t>CVE</t>
        </is>
      </c>
      <c r="B608" s="187" t="inlineStr">
        <is>
          <t>CVE-2026-1929</t>
        </is>
      </c>
      <c r="C608" s="187"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608" s="187" t="n">
        <v>8.800000000000001</v>
      </c>
      <c r="E608" s="187" t="inlineStr">
        <is>
          <t>HIGH</t>
        </is>
      </c>
      <c r="F608" s="187" t="n">
        <v>2</v>
      </c>
      <c r="G608" s="187" t="n">
        <v>3</v>
      </c>
      <c r="H608" s="187" t="inlineStr">
        <is>
          <t>HIGH</t>
        </is>
      </c>
      <c r="I608" s="187" t="n">
        <v>14.8</v>
      </c>
      <c r="J608" s="187" t="inlineStr">
        <is>
          <t>NO</t>
        </is>
      </c>
      <c r="K608" s="187" t="inlineStr">
        <is>
          <t>https://nvd.nist.gov/vuln/detail/CVE-2026-1929</t>
        </is>
      </c>
      <c r="L608" s="187" t="inlineStr">
        <is>
          <t>2026-02-27 20:47</t>
        </is>
      </c>
      <c r="M608" s="187" t="inlineStr">
        <is>
          <t>CHECK_VENDOR</t>
        </is>
      </c>
      <c r="N608" s="187" t="inlineStr">
        <is>
          <t>See NVD references</t>
        </is>
      </c>
      <c r="O608" s="187" t="inlineStr">
        <is>
          <t>Apply vendor patches</t>
        </is>
      </c>
      <c r="P608" s="187" t="inlineStr">
        <is>
          <t>See CVE details</t>
        </is>
      </c>
      <c r="Q608" s="187" t="inlineStr">
        <is>
          <t>P3</t>
        </is>
      </c>
      <c r="R608" s="187" t="inlineStr">
        <is>
          <t>🚨 URGENT: Apply vendor patches immediately | 🔒 Isolate affected systems if patch unavailable | 🛡️ Enable additional monitoring/IDS rules</t>
        </is>
      </c>
      <c r="S608" s="187" t="inlineStr">
        <is>
          <t>CVE - IP enrichment n/a</t>
        </is>
      </c>
      <c r="T608" s="187" t="n">
        <v>0.0024</v>
      </c>
      <c r="U608" s="187" t="n">
        <v>0.4713</v>
      </c>
      <c r="V608" s="187" t="inlineStr">
        <is>
          <t>T1059:Command and Scripting Interpreter | T1190:Exploit Public-Facing Application | T1210:Exploitation of Remote Services</t>
        </is>
      </c>
      <c r="W608" s="187" t="n">
        <v>1</v>
      </c>
      <c r="X608" s="187" t="inlineStr">
        <is>
          <t>LOW (40%)</t>
        </is>
      </c>
      <c r="Y608" s="187" t="inlineStr">
        <is>
          <t>UNLIKELY</t>
        </is>
      </c>
      <c r="Z608" s="187" t="inlineStr">
        <is>
          <t>CHECK_VENDOR</t>
        </is>
      </c>
      <c r="AA608" s="187" t="inlineStr">
        <is>
          <t>https://nvd.nist.gov/vuln/detail/CVE-2026-1929</t>
        </is>
      </c>
      <c r="AB608" s="187" t="inlineStr">
        <is>
          <t>NONE</t>
        </is>
      </c>
      <c r="AC608" s="187" t="n">
        <v>0</v>
      </c>
      <c r="AD608" s="187" t="inlineStr"/>
    </row>
    <row r="609">
      <c r="A609" s="187" t="inlineStr">
        <is>
          <t>CVE</t>
        </is>
      </c>
      <c r="B609" s="187" t="inlineStr">
        <is>
          <t>CVE-2026-2416</t>
        </is>
      </c>
      <c r="C609" s="187"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09" s="187" t="n">
        <v>7.5</v>
      </c>
      <c r="E609" s="187" t="inlineStr">
        <is>
          <t>HIGH</t>
        </is>
      </c>
      <c r="F609" s="187" t="n">
        <v>2</v>
      </c>
      <c r="G609" s="187" t="n">
        <v>3</v>
      </c>
      <c r="H609" s="187" t="inlineStr">
        <is>
          <t>HIGH</t>
        </is>
      </c>
      <c r="I609" s="187" t="n">
        <v>13.5</v>
      </c>
      <c r="J609" s="187" t="inlineStr">
        <is>
          <t>NO</t>
        </is>
      </c>
      <c r="K609" s="187" t="inlineStr">
        <is>
          <t>https://nvd.nist.gov/vuln/detail/CVE-2026-2416</t>
        </is>
      </c>
      <c r="L609" s="187" t="inlineStr">
        <is>
          <t>2026-02-27 20:47</t>
        </is>
      </c>
      <c r="M609" s="187" t="inlineStr">
        <is>
          <t>CHECK_VENDOR</t>
        </is>
      </c>
      <c r="N609" s="187" t="inlineStr">
        <is>
          <t>See NVD references</t>
        </is>
      </c>
      <c r="O609" s="187" t="inlineStr">
        <is>
          <t>Apply vendor patches</t>
        </is>
      </c>
      <c r="P609" s="187" t="inlineStr">
        <is>
          <t>See CVE details</t>
        </is>
      </c>
      <c r="Q609" s="187" t="inlineStr">
        <is>
          <t>P3</t>
        </is>
      </c>
      <c r="R609" s="187" t="inlineStr">
        <is>
          <t>🚨 URGENT: Apply vendor patches immediately | 🔒 Isolate affected systems if patch unavailable | 🛡️ Enable additional monitoring/IDS rules</t>
        </is>
      </c>
      <c r="S609" s="187" t="inlineStr">
        <is>
          <t>CVE - IP enrichment n/a</t>
        </is>
      </c>
      <c r="T609" s="187" t="n">
        <v>0.0007</v>
      </c>
      <c r="U609" s="187" t="n">
        <v>0.2163</v>
      </c>
      <c r="V609" s="187" t="inlineStr">
        <is>
          <t>T1190:Exploit Public-Facing Application</t>
        </is>
      </c>
      <c r="W609" s="187" t="n">
        <v>1</v>
      </c>
      <c r="X609" s="187" t="inlineStr">
        <is>
          <t>LOW (40%)</t>
        </is>
      </c>
      <c r="Y609" s="187" t="inlineStr">
        <is>
          <t>UNLIKELY</t>
        </is>
      </c>
      <c r="Z609" s="187" t="inlineStr">
        <is>
          <t>CHECK_VENDOR</t>
        </is>
      </c>
      <c r="AA609" s="187" t="inlineStr">
        <is>
          <t>https://nvd.nist.gov/vuln/detail/CVE-2026-2416</t>
        </is>
      </c>
      <c r="AB609" s="187" t="inlineStr">
        <is>
          <t>NONE</t>
        </is>
      </c>
      <c r="AC609" s="187" t="n">
        <v>0</v>
      </c>
      <c r="AD609" s="187" t="inlineStr"/>
    </row>
    <row r="610">
      <c r="A610" s="188" t="inlineStr">
        <is>
          <t>CVE</t>
        </is>
      </c>
      <c r="B610" s="188" t="inlineStr">
        <is>
          <t>CVE-2026-2479</t>
        </is>
      </c>
      <c r="C610" s="188"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610" s="188" t="n">
        <v>5</v>
      </c>
      <c r="E610" s="188" t="inlineStr">
        <is>
          <t>MEDIUM</t>
        </is>
      </c>
      <c r="F610" s="188" t="n">
        <v>2</v>
      </c>
      <c r="G610" s="188" t="n">
        <v>2</v>
      </c>
      <c r="H610" s="188" t="inlineStr">
        <is>
          <t>MEDIUM</t>
        </is>
      </c>
      <c r="I610" s="188" t="n">
        <v>9</v>
      </c>
      <c r="J610" s="188" t="inlineStr">
        <is>
          <t>NO</t>
        </is>
      </c>
      <c r="K610" s="188" t="inlineStr">
        <is>
          <t>https://nvd.nist.gov/vuln/detail/CVE-2026-2479</t>
        </is>
      </c>
      <c r="L610" s="188" t="inlineStr">
        <is>
          <t>2026-02-27 20:47</t>
        </is>
      </c>
      <c r="M610" s="188" t="inlineStr">
        <is>
          <t>CHECK_VENDOR</t>
        </is>
      </c>
      <c r="N610" s="188" t="inlineStr">
        <is>
          <t>See NVD references</t>
        </is>
      </c>
      <c r="O610" s="188" t="inlineStr">
        <is>
          <t>Apply vendor patches</t>
        </is>
      </c>
      <c r="P610" s="188" t="inlineStr">
        <is>
          <t>See CVE details</t>
        </is>
      </c>
      <c r="Q610" s="188" t="inlineStr">
        <is>
          <t>P4</t>
        </is>
      </c>
      <c r="R610" s="188" t="inlineStr">
        <is>
          <t>📅 Schedule patch deployment within 30 days | 🔍 Monitor for exploitation attempts</t>
        </is>
      </c>
      <c r="S610" s="188" t="inlineStr">
        <is>
          <t>CVE - IP enrichment n/a</t>
        </is>
      </c>
      <c r="T610" s="188" t="n">
        <v>0.0003</v>
      </c>
      <c r="U610" s="188" t="n">
        <v>0.0775</v>
      </c>
      <c r="V610" s="188" t="inlineStr">
        <is>
          <t>T1090:Proxy</t>
        </is>
      </c>
      <c r="W610" s="188" t="n">
        <v>1</v>
      </c>
      <c r="X610" s="188" t="inlineStr">
        <is>
          <t>LOW (40%)</t>
        </is>
      </c>
      <c r="Y610" s="188" t="inlineStr">
        <is>
          <t>UNLIKELY</t>
        </is>
      </c>
      <c r="Z610" s="188" t="inlineStr">
        <is>
          <t>CHECK_VENDOR</t>
        </is>
      </c>
      <c r="AA610" s="188" t="inlineStr">
        <is>
          <t>https://nvd.nist.gov/vuln/detail/CVE-2026-2479</t>
        </is>
      </c>
      <c r="AB610" s="188" t="inlineStr">
        <is>
          <t>NONE</t>
        </is>
      </c>
      <c r="AC610" s="188" t="n">
        <v>0</v>
      </c>
      <c r="AD610" s="188" t="inlineStr"/>
    </row>
    <row r="611">
      <c r="A611" s="190" t="inlineStr">
        <is>
          <t>CVE</t>
        </is>
      </c>
      <c r="B611" s="190" t="inlineStr">
        <is>
          <t>CVE-2026-3171</t>
        </is>
      </c>
      <c r="C611" s="190"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611" s="190" t="n">
        <v>3.5</v>
      </c>
      <c r="E611" s="190" t="inlineStr">
        <is>
          <t>LOW</t>
        </is>
      </c>
      <c r="F611" s="190" t="n">
        <v>2</v>
      </c>
      <c r="G611" s="190" t="n">
        <v>1</v>
      </c>
      <c r="H611" s="190" t="inlineStr">
        <is>
          <t>LOW</t>
        </is>
      </c>
      <c r="I611" s="190" t="n">
        <v>5.5</v>
      </c>
      <c r="J611" s="190" t="inlineStr">
        <is>
          <t>NO</t>
        </is>
      </c>
      <c r="K611" s="190" t="inlineStr">
        <is>
          <t>https://nvd.nist.gov/vuln/detail/CVE-2026-3171</t>
        </is>
      </c>
      <c r="L611" s="190" t="inlineStr">
        <is>
          <t>2026-02-27 20:47</t>
        </is>
      </c>
      <c r="M611" s="190" t="inlineStr">
        <is>
          <t>CHECK_VENDOR</t>
        </is>
      </c>
      <c r="N611" s="190" t="inlineStr">
        <is>
          <t>See NVD references</t>
        </is>
      </c>
      <c r="O611" s="190" t="inlineStr">
        <is>
          <t>Apply vendor patches</t>
        </is>
      </c>
      <c r="P611" s="190" t="inlineStr">
        <is>
          <t>pamzey patients_waiting_area_queue_management_system 1.0</t>
        </is>
      </c>
      <c r="Q611" s="190" t="inlineStr">
        <is>
          <t>P4</t>
        </is>
      </c>
      <c r="R611" s="190" t="inlineStr">
        <is>
          <t>📅 Schedule patch deployment within 30 days | 🔍 Monitor for exploitation attempts</t>
        </is>
      </c>
      <c r="S611" s="190" t="inlineStr">
        <is>
          <t>CVE - IP enrichment n/a</t>
        </is>
      </c>
      <c r="T611" s="190" t="n">
        <v>0.0003</v>
      </c>
      <c r="U611" s="190" t="n">
        <v>0.07140000000000001</v>
      </c>
      <c r="V611" s="190" t="inlineStr">
        <is>
          <t>T1189:Drive-by Compromise | T1190:Exploit Public-Facing Application</t>
        </is>
      </c>
      <c r="W611" s="190" t="n">
        <v>1</v>
      </c>
      <c r="X611" s="190" t="inlineStr">
        <is>
          <t>LOW (40%)</t>
        </is>
      </c>
      <c r="Y611" s="190" t="inlineStr">
        <is>
          <t>UNLIKELY</t>
        </is>
      </c>
      <c r="Z611" s="190" t="inlineStr">
        <is>
          <t>CHECK_VENDOR</t>
        </is>
      </c>
      <c r="AA611" s="190" t="inlineStr">
        <is>
          <t>https://nvd.nist.gov/vuln/detail/CVE-2026-3171</t>
        </is>
      </c>
      <c r="AB611" s="190" t="inlineStr">
        <is>
          <t>NONE</t>
        </is>
      </c>
      <c r="AC611" s="190" t="n">
        <v>0</v>
      </c>
      <c r="AD611" s="190" t="inlineStr"/>
    </row>
    <row r="612">
      <c r="A612" s="188" t="inlineStr">
        <is>
          <t>CVE</t>
        </is>
      </c>
      <c r="B612" s="188" t="inlineStr">
        <is>
          <t>CVE-2025-14742</t>
        </is>
      </c>
      <c r="C612" s="188"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612" s="188" t="n">
        <v>4.3</v>
      </c>
      <c r="E612" s="188" t="inlineStr">
        <is>
          <t>MEDIUM</t>
        </is>
      </c>
      <c r="F612" s="188" t="n">
        <v>2</v>
      </c>
      <c r="G612" s="188" t="n">
        <v>2</v>
      </c>
      <c r="H612" s="188" t="inlineStr">
        <is>
          <t>MEDIUM</t>
        </is>
      </c>
      <c r="I612" s="188" t="n">
        <v>8.300000000000001</v>
      </c>
      <c r="J612" s="188" t="inlineStr">
        <is>
          <t>NO</t>
        </is>
      </c>
      <c r="K612" s="188" t="inlineStr">
        <is>
          <t>https://nvd.nist.gov/vuln/detail/CVE-2025-14742</t>
        </is>
      </c>
      <c r="L612" s="188" t="inlineStr">
        <is>
          <t>2026-02-27 20:47</t>
        </is>
      </c>
      <c r="M612" s="188" t="inlineStr">
        <is>
          <t>CHECK_VENDOR</t>
        </is>
      </c>
      <c r="N612" s="188" t="inlineStr">
        <is>
          <t>See NVD references</t>
        </is>
      </c>
      <c r="O612" s="188" t="inlineStr">
        <is>
          <t>Apply vendor patches</t>
        </is>
      </c>
      <c r="P612" s="188" t="inlineStr">
        <is>
          <t>See CVE details</t>
        </is>
      </c>
      <c r="Q612" s="188" t="inlineStr">
        <is>
          <t>P4</t>
        </is>
      </c>
      <c r="R612" s="188" t="inlineStr">
        <is>
          <t>📅 Schedule patch deployment within 30 days | 🔍 Monitor for exploitation attempts</t>
        </is>
      </c>
      <c r="S612" s="188" t="inlineStr">
        <is>
          <t>CVE - IP enrichment n/a</t>
        </is>
      </c>
      <c r="T612" s="188" t="n">
        <v>0.0003</v>
      </c>
      <c r="U612" s="188" t="n">
        <v>0.0882</v>
      </c>
      <c r="V612" s="188" t="inlineStr">
        <is>
          <t>T1190:Exploit Public-Facing Application</t>
        </is>
      </c>
      <c r="W612" s="188" t="n">
        <v>1</v>
      </c>
      <c r="X612" s="188" t="inlineStr">
        <is>
          <t>LOW (40%)</t>
        </is>
      </c>
      <c r="Y612" s="188" t="inlineStr">
        <is>
          <t>UNLIKELY</t>
        </is>
      </c>
      <c r="Z612" s="188" t="inlineStr">
        <is>
          <t>CHECK_VENDOR</t>
        </is>
      </c>
      <c r="AA612" s="188" t="inlineStr">
        <is>
          <t>https://nvd.nist.gov/vuln/detail/CVE-2025-14742</t>
        </is>
      </c>
      <c r="AB612" s="188" t="inlineStr">
        <is>
          <t>NONE</t>
        </is>
      </c>
      <c r="AC612" s="188" t="n">
        <v>0</v>
      </c>
      <c r="AD612" s="188" t="inlineStr"/>
    </row>
    <row r="613">
      <c r="A613" s="188" t="inlineStr">
        <is>
          <t>CVE</t>
        </is>
      </c>
      <c r="B613" s="188" t="inlineStr">
        <is>
          <t>CVE-2026-2301</t>
        </is>
      </c>
      <c r="C613" s="188"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613" s="188" t="n">
        <v>4.3</v>
      </c>
      <c r="E613" s="188" t="inlineStr">
        <is>
          <t>MEDIUM</t>
        </is>
      </c>
      <c r="F613" s="188" t="n">
        <v>2</v>
      </c>
      <c r="G613" s="188" t="n">
        <v>2</v>
      </c>
      <c r="H613" s="188" t="inlineStr">
        <is>
          <t>MEDIUM</t>
        </is>
      </c>
      <c r="I613" s="188" t="n">
        <v>8.300000000000001</v>
      </c>
      <c r="J613" s="188" t="inlineStr">
        <is>
          <t>NO</t>
        </is>
      </c>
      <c r="K613" s="188" t="inlineStr">
        <is>
          <t>https://nvd.nist.gov/vuln/detail/CVE-2026-2301</t>
        </is>
      </c>
      <c r="L613" s="188" t="inlineStr">
        <is>
          <t>2026-02-27 20:47</t>
        </is>
      </c>
      <c r="M613" s="188" t="inlineStr">
        <is>
          <t>CHECK_VENDOR</t>
        </is>
      </c>
      <c r="N613" s="188" t="inlineStr">
        <is>
          <t>See NVD references</t>
        </is>
      </c>
      <c r="O613" s="188" t="inlineStr">
        <is>
          <t>Apply vendor patches</t>
        </is>
      </c>
      <c r="P613" s="188" t="inlineStr">
        <is>
          <t>See CVE details</t>
        </is>
      </c>
      <c r="Q613" s="188" t="inlineStr">
        <is>
          <t>P4</t>
        </is>
      </c>
      <c r="R613" s="188" t="inlineStr">
        <is>
          <t>📅 Schedule patch deployment within 30 days | 🔍 Monitor for exploitation attempts</t>
        </is>
      </c>
      <c r="S613" s="188" t="inlineStr">
        <is>
          <t>CVE - IP enrichment n/a</t>
        </is>
      </c>
      <c r="T613" s="188" t="n">
        <v>0.0003</v>
      </c>
      <c r="U613" s="188" t="n">
        <v>0.0711</v>
      </c>
      <c r="V613" s="188" t="inlineStr">
        <is>
          <t>T1190:Exploit Public-Facing Application</t>
        </is>
      </c>
      <c r="W613" s="188" t="n">
        <v>1</v>
      </c>
      <c r="X613" s="188" t="inlineStr">
        <is>
          <t>LOW (40%)</t>
        </is>
      </c>
      <c r="Y613" s="188" t="inlineStr">
        <is>
          <t>UNLIKELY</t>
        </is>
      </c>
      <c r="Z613" s="188" t="inlineStr">
        <is>
          <t>CHECK_VENDOR</t>
        </is>
      </c>
      <c r="AA613" s="188" t="inlineStr">
        <is>
          <t>https://nvd.nist.gov/vuln/detail/CVE-2026-2301</t>
        </is>
      </c>
      <c r="AB613" s="188" t="inlineStr">
        <is>
          <t>NONE</t>
        </is>
      </c>
      <c r="AC613" s="188" t="n">
        <v>0</v>
      </c>
      <c r="AD613" s="188" t="inlineStr"/>
    </row>
    <row r="614">
      <c r="A614" s="188" t="inlineStr">
        <is>
          <t>CVE</t>
        </is>
      </c>
      <c r="B614" s="188" t="inlineStr">
        <is>
          <t>CVE-2026-2367</t>
        </is>
      </c>
      <c r="C614" s="188"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614" s="188" t="n">
        <v>6.4</v>
      </c>
      <c r="E614" s="188" t="inlineStr">
        <is>
          <t>MEDIUM</t>
        </is>
      </c>
      <c r="F614" s="188" t="n">
        <v>2</v>
      </c>
      <c r="G614" s="188" t="n">
        <v>2</v>
      </c>
      <c r="H614" s="188" t="inlineStr">
        <is>
          <t>MEDIUM</t>
        </is>
      </c>
      <c r="I614" s="188" t="n">
        <v>10.4</v>
      </c>
      <c r="J614" s="188" t="inlineStr">
        <is>
          <t>NO</t>
        </is>
      </c>
      <c r="K614" s="188" t="inlineStr">
        <is>
          <t>https://nvd.nist.gov/vuln/detail/CVE-2026-2367</t>
        </is>
      </c>
      <c r="L614" s="188" t="inlineStr">
        <is>
          <t>2026-02-27 20:47</t>
        </is>
      </c>
      <c r="M614" s="188" t="inlineStr">
        <is>
          <t>CHECK_VENDOR</t>
        </is>
      </c>
      <c r="N614" s="188" t="inlineStr">
        <is>
          <t>See NVD references</t>
        </is>
      </c>
      <c r="O614" s="188" t="inlineStr">
        <is>
          <t>Apply vendor patches</t>
        </is>
      </c>
      <c r="P614" s="188" t="inlineStr">
        <is>
          <t>See CVE details</t>
        </is>
      </c>
      <c r="Q614" s="188" t="inlineStr">
        <is>
          <t>P4</t>
        </is>
      </c>
      <c r="R614" s="188" t="inlineStr">
        <is>
          <t>📅 Schedule patch deployment within 30 days | 🔍 Monitor for exploitation attempts</t>
        </is>
      </c>
      <c r="S614" s="188" t="inlineStr">
        <is>
          <t>CVE - IP enrichment n/a</t>
        </is>
      </c>
      <c r="T614" s="188" t="n">
        <v>0.0003</v>
      </c>
      <c r="U614" s="188" t="n">
        <v>0.08459999999999999</v>
      </c>
      <c r="V614" s="188" t="inlineStr">
        <is>
          <t>T1189:Drive-by Compromise</t>
        </is>
      </c>
      <c r="W614" s="188" t="n">
        <v>1</v>
      </c>
      <c r="X614" s="188" t="inlineStr">
        <is>
          <t>LOW (40%)</t>
        </is>
      </c>
      <c r="Y614" s="188" t="inlineStr">
        <is>
          <t>UNLIKELY</t>
        </is>
      </c>
      <c r="Z614" s="188" t="inlineStr">
        <is>
          <t>CHECK_VENDOR</t>
        </is>
      </c>
      <c r="AA614" s="188" t="inlineStr">
        <is>
          <t>https://nvd.nist.gov/vuln/detail/CVE-2026-2367</t>
        </is>
      </c>
      <c r="AB614" s="188" t="inlineStr">
        <is>
          <t>NONE</t>
        </is>
      </c>
      <c r="AC614" s="188" t="n">
        <v>0</v>
      </c>
      <c r="AD614" s="188" t="inlineStr"/>
    </row>
    <row r="615">
      <c r="A615" s="188" t="inlineStr">
        <is>
          <t>CVE</t>
        </is>
      </c>
      <c r="B615" s="188" t="inlineStr">
        <is>
          <t>CVE-2026-2410</t>
        </is>
      </c>
      <c r="C615" s="188"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615" s="188" t="n">
        <v>4.3</v>
      </c>
      <c r="E615" s="188" t="inlineStr">
        <is>
          <t>MEDIUM</t>
        </is>
      </c>
      <c r="F615" s="188" t="n">
        <v>2</v>
      </c>
      <c r="G615" s="188" t="n">
        <v>2</v>
      </c>
      <c r="H615" s="188" t="inlineStr">
        <is>
          <t>MEDIUM</t>
        </is>
      </c>
      <c r="I615" s="188" t="n">
        <v>8.300000000000001</v>
      </c>
      <c r="J615" s="188" t="inlineStr">
        <is>
          <t>NO</t>
        </is>
      </c>
      <c r="K615" s="188" t="inlineStr">
        <is>
          <t>https://nvd.nist.gov/vuln/detail/CVE-2026-2410</t>
        </is>
      </c>
      <c r="L615" s="188" t="inlineStr">
        <is>
          <t>2026-02-27 20:47</t>
        </is>
      </c>
      <c r="M615" s="188" t="inlineStr">
        <is>
          <t>CHECK_VENDOR</t>
        </is>
      </c>
      <c r="N615" s="188" t="inlineStr">
        <is>
          <t>See NVD references</t>
        </is>
      </c>
      <c r="O615" s="188" t="inlineStr">
        <is>
          <t>Apply vendor patches</t>
        </is>
      </c>
      <c r="P615" s="188" t="inlineStr">
        <is>
          <t>See CVE details</t>
        </is>
      </c>
      <c r="Q615" s="188" t="inlineStr">
        <is>
          <t>P4</t>
        </is>
      </c>
      <c r="R615" s="188" t="inlineStr">
        <is>
          <t>📅 Schedule patch deployment within 30 days | 🔍 Monitor for exploitation attempts</t>
        </is>
      </c>
      <c r="S615" s="188" t="inlineStr">
        <is>
          <t>CVE - IP enrichment n/a</t>
        </is>
      </c>
      <c r="T615" s="188" t="n">
        <v>0.0001</v>
      </c>
      <c r="U615" s="188" t="n">
        <v>0.017</v>
      </c>
      <c r="V615" s="188" t="inlineStr">
        <is>
          <t>T1185:Browser Session Hijacking</t>
        </is>
      </c>
      <c r="W615" s="188" t="n">
        <v>1</v>
      </c>
      <c r="X615" s="188" t="inlineStr">
        <is>
          <t>LOW (40%)</t>
        </is>
      </c>
      <c r="Y615" s="188" t="inlineStr">
        <is>
          <t>UNLIKELY</t>
        </is>
      </c>
      <c r="Z615" s="188" t="inlineStr">
        <is>
          <t>CHECK_VENDOR</t>
        </is>
      </c>
      <c r="AA615" s="188" t="inlineStr">
        <is>
          <t>https://nvd.nist.gov/vuln/detail/CVE-2026-2410</t>
        </is>
      </c>
      <c r="AB615" s="188" t="inlineStr">
        <is>
          <t>NONE</t>
        </is>
      </c>
      <c r="AC615" s="188" t="n">
        <v>0</v>
      </c>
      <c r="AD615" s="188" t="inlineStr"/>
    </row>
    <row r="616">
      <c r="A616" s="189" t="inlineStr">
        <is>
          <t>CVE</t>
        </is>
      </c>
      <c r="B616" s="189" t="inlineStr">
        <is>
          <t>CVE-2025-62878</t>
        </is>
      </c>
      <c r="C616" s="189" t="inlineStr">
        <is>
          <t>A malicious user can manipulate the parameters.pathPattern to create PersistentVolumes in arbitrary locations on the host node, potentially overwriting sensitive files or gaining access to unintended directories.</t>
        </is>
      </c>
      <c r="D616" s="189" t="n">
        <v>9.9</v>
      </c>
      <c r="E616" s="189" t="inlineStr">
        <is>
          <t>CRITICAL</t>
        </is>
      </c>
      <c r="F616" s="189" t="n">
        <v>2</v>
      </c>
      <c r="G616" s="189" t="n">
        <v>3</v>
      </c>
      <c r="H616" s="189" t="inlineStr">
        <is>
          <t>HIGH</t>
        </is>
      </c>
      <c r="I616" s="189" t="n">
        <v>15.9</v>
      </c>
      <c r="J616" s="189" t="inlineStr">
        <is>
          <t>NO</t>
        </is>
      </c>
      <c r="K616" s="189" t="inlineStr">
        <is>
          <t>https://nvd.nist.gov/vuln/detail/CVE-2025-62878</t>
        </is>
      </c>
      <c r="L616" s="189" t="inlineStr">
        <is>
          <t>2026-02-27 20:47</t>
        </is>
      </c>
      <c r="M616" s="189" t="inlineStr">
        <is>
          <t>CHECK_VENDOR</t>
        </is>
      </c>
      <c r="N616" s="189" t="inlineStr">
        <is>
          <t>See NVD references</t>
        </is>
      </c>
      <c r="O616" s="189" t="inlineStr">
        <is>
          <t>Apply vendor patches</t>
        </is>
      </c>
      <c r="P616" s="189" t="inlineStr">
        <is>
          <t>See CVE details</t>
        </is>
      </c>
      <c r="Q616" s="189" t="inlineStr">
        <is>
          <t>P3</t>
        </is>
      </c>
      <c r="R616" s="189" t="inlineStr">
        <is>
          <t>🚨 URGENT: Apply vendor patches immediately | 🔒 Isolate affected systems if patch unavailable | 🛡️ Enable additional monitoring/IDS rules</t>
        </is>
      </c>
      <c r="S616" s="189" t="inlineStr">
        <is>
          <t>CVE - IP enrichment n/a</t>
        </is>
      </c>
      <c r="T616" s="189" t="n">
        <v>0.0002</v>
      </c>
      <c r="U616" s="189" t="n">
        <v>0.0611</v>
      </c>
      <c r="V616" s="189" t="inlineStr">
        <is>
          <t>T1190:Exploit Public-Facing Application</t>
        </is>
      </c>
      <c r="W616" s="189" t="n">
        <v>1</v>
      </c>
      <c r="X616" s="189" t="inlineStr">
        <is>
          <t>LOW (40%)</t>
        </is>
      </c>
      <c r="Y616" s="189" t="inlineStr">
        <is>
          <t>UNLIKELY</t>
        </is>
      </c>
      <c r="Z616" s="189" t="inlineStr">
        <is>
          <t>CHECK_VENDOR</t>
        </is>
      </c>
      <c r="AA616" s="189" t="inlineStr">
        <is>
          <t>https://nvd.nist.gov/vuln/detail/CVE-2025-62878</t>
        </is>
      </c>
      <c r="AB616" s="189" t="inlineStr">
        <is>
          <t>NONE</t>
        </is>
      </c>
      <c r="AC616" s="189" t="n">
        <v>0</v>
      </c>
      <c r="AD616" s="189" t="inlineStr"/>
    </row>
    <row r="617">
      <c r="A617" s="187" t="inlineStr">
        <is>
          <t>CVE</t>
        </is>
      </c>
      <c r="B617" s="187" t="inlineStr">
        <is>
          <t>CVE-2025-67601</t>
        </is>
      </c>
      <c r="C617" s="187"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617" s="187" t="n">
        <v>8.300000000000001</v>
      </c>
      <c r="E617" s="187" t="inlineStr">
        <is>
          <t>HIGH</t>
        </is>
      </c>
      <c r="F617" s="187" t="n">
        <v>2</v>
      </c>
      <c r="G617" s="187" t="n">
        <v>3</v>
      </c>
      <c r="H617" s="187" t="inlineStr">
        <is>
          <t>HIGH</t>
        </is>
      </c>
      <c r="I617" s="187" t="n">
        <v>14.3</v>
      </c>
      <c r="J617" s="187" t="inlineStr">
        <is>
          <t>NO</t>
        </is>
      </c>
      <c r="K617" s="187" t="inlineStr">
        <is>
          <t>https://nvd.nist.gov/vuln/detail/CVE-2025-67601</t>
        </is>
      </c>
      <c r="L617" s="187" t="inlineStr">
        <is>
          <t>2026-02-27 20:47</t>
        </is>
      </c>
      <c r="M617" s="187" t="inlineStr">
        <is>
          <t>CHECK_VENDOR</t>
        </is>
      </c>
      <c r="N617" s="187" t="inlineStr">
        <is>
          <t>See NVD references</t>
        </is>
      </c>
      <c r="O617" s="187" t="inlineStr">
        <is>
          <t>Apply vendor patches</t>
        </is>
      </c>
      <c r="P617" s="187" t="inlineStr">
        <is>
          <t>See CVE details</t>
        </is>
      </c>
      <c r="Q617" s="187" t="inlineStr">
        <is>
          <t>P3</t>
        </is>
      </c>
      <c r="R617" s="187" t="inlineStr">
        <is>
          <t>🚨 URGENT: Apply vendor patches immediately | 🔒 Isolate affected systems if patch unavailable | 🛡️ Enable additional monitoring/IDS rules</t>
        </is>
      </c>
      <c r="S617" s="187" t="inlineStr">
        <is>
          <t>CVE - IP enrichment n/a</t>
        </is>
      </c>
      <c r="T617" s="187" t="n">
        <v>0.0001</v>
      </c>
      <c r="U617" s="187" t="n">
        <v>0.0078</v>
      </c>
      <c r="V617" s="187" t="inlineStr">
        <is>
          <t>T1190:Exploit Public-Facing Application</t>
        </is>
      </c>
      <c r="W617" s="187" t="n">
        <v>1</v>
      </c>
      <c r="X617" s="187" t="inlineStr">
        <is>
          <t>LOW (40%)</t>
        </is>
      </c>
      <c r="Y617" s="187" t="inlineStr">
        <is>
          <t>UNLIKELY</t>
        </is>
      </c>
      <c r="Z617" s="187" t="inlineStr">
        <is>
          <t>CHECK_VENDOR</t>
        </is>
      </c>
      <c r="AA617" s="187" t="inlineStr">
        <is>
          <t>https://nvd.nist.gov/vuln/detail/CVE-2025-67601</t>
        </is>
      </c>
      <c r="AB617" s="187" t="inlineStr">
        <is>
          <t>NONE</t>
        </is>
      </c>
      <c r="AC617" s="187" t="n">
        <v>0</v>
      </c>
      <c r="AD617" s="187" t="inlineStr"/>
    </row>
    <row r="618">
      <c r="A618" s="190" t="inlineStr">
        <is>
          <t>CVE</t>
        </is>
      </c>
      <c r="B618" s="190" t="inlineStr">
        <is>
          <t>CVE-2025-67860</t>
        </is>
      </c>
      <c r="C618" s="190" t="inlineStr">
        <is>
          <t>A vulnerability has been identified in the NeuVector scanner where the scanner process accepts registry and controller credentials as command-line arguments, potentially exposing sensitive credentials to local users.</t>
        </is>
      </c>
      <c r="D618" s="190" t="n">
        <v>3.8</v>
      </c>
      <c r="E618" s="190" t="inlineStr">
        <is>
          <t>LOW</t>
        </is>
      </c>
      <c r="F618" s="190" t="n">
        <v>2</v>
      </c>
      <c r="G618" s="190" t="n">
        <v>1</v>
      </c>
      <c r="H618" s="190" t="inlineStr">
        <is>
          <t>LOW</t>
        </is>
      </c>
      <c r="I618" s="190" t="n">
        <v>5.8</v>
      </c>
      <c r="J618" s="190" t="inlineStr">
        <is>
          <t>NO</t>
        </is>
      </c>
      <c r="K618" s="190" t="inlineStr">
        <is>
          <t>https://nvd.nist.gov/vuln/detail/CVE-2025-67860</t>
        </is>
      </c>
      <c r="L618" s="190" t="inlineStr">
        <is>
          <t>2026-02-27 20:47</t>
        </is>
      </c>
      <c r="M618" s="190" t="inlineStr">
        <is>
          <t>CHECK_VENDOR</t>
        </is>
      </c>
      <c r="N618" s="190" t="inlineStr">
        <is>
          <t>See NVD references</t>
        </is>
      </c>
      <c r="O618" s="190" t="inlineStr">
        <is>
          <t>Apply vendor patches</t>
        </is>
      </c>
      <c r="P618" s="190" t="inlineStr">
        <is>
          <t>See CVE details</t>
        </is>
      </c>
      <c r="Q618" s="190" t="inlineStr">
        <is>
          <t>P4</t>
        </is>
      </c>
      <c r="R618" s="190" t="inlineStr">
        <is>
          <t>📅 Schedule patch deployment within 30 days | 🔍 Monitor for exploitation attempts</t>
        </is>
      </c>
      <c r="S618" s="190" t="inlineStr">
        <is>
          <t>CVE - IP enrichment n/a</t>
        </is>
      </c>
      <c r="T618" s="190" t="n">
        <v>0.0001</v>
      </c>
      <c r="U618" s="190" t="n">
        <v>0.0125</v>
      </c>
      <c r="V618" s="190" t="inlineStr">
        <is>
          <t>T1552:Unsecured Credentials</t>
        </is>
      </c>
      <c r="W618" s="190" t="n">
        <v>1</v>
      </c>
      <c r="X618" s="190" t="inlineStr">
        <is>
          <t>LOW (40%)</t>
        </is>
      </c>
      <c r="Y618" s="190" t="inlineStr">
        <is>
          <t>UNLIKELY</t>
        </is>
      </c>
      <c r="Z618" s="190" t="inlineStr">
        <is>
          <t>CHECK_VENDOR</t>
        </is>
      </c>
      <c r="AA618" s="190" t="inlineStr">
        <is>
          <t>https://nvd.nist.gov/vuln/detail/CVE-2025-67860</t>
        </is>
      </c>
      <c r="AB618" s="190" t="inlineStr">
        <is>
          <t>NONE</t>
        </is>
      </c>
      <c r="AC618" s="190" t="n">
        <v>0</v>
      </c>
      <c r="AD618" s="190" t="inlineStr"/>
    </row>
    <row r="619">
      <c r="A619" s="187" t="inlineStr">
        <is>
          <t>CVE</t>
        </is>
      </c>
      <c r="B619" s="187" t="inlineStr">
        <is>
          <t>CVE-2026-26103</t>
        </is>
      </c>
      <c r="C619" s="187"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619" s="187" t="n">
        <v>7.1</v>
      </c>
      <c r="E619" s="187" t="inlineStr">
        <is>
          <t>HIGH</t>
        </is>
      </c>
      <c r="F619" s="187" t="n">
        <v>2</v>
      </c>
      <c r="G619" s="187" t="n">
        <v>3</v>
      </c>
      <c r="H619" s="187" t="inlineStr">
        <is>
          <t>HIGH</t>
        </is>
      </c>
      <c r="I619" s="187" t="n">
        <v>13.1</v>
      </c>
      <c r="J619" s="187" t="inlineStr">
        <is>
          <t>NO</t>
        </is>
      </c>
      <c r="K619" s="187" t="inlineStr">
        <is>
          <t>https://nvd.nist.gov/vuln/detail/CVE-2026-26103</t>
        </is>
      </c>
      <c r="L619" s="187" t="inlineStr">
        <is>
          <t>2026-02-27 20:47</t>
        </is>
      </c>
      <c r="M619" s="187" t="inlineStr">
        <is>
          <t>YES</t>
        </is>
      </c>
      <c r="N619" s="187" t="inlineStr">
        <is>
          <t>https://access.redhat.com/security/cve/CVE-2026-26103 | https://bugzilla.redhat.com/show_bug.cgi?id=2433719</t>
        </is>
      </c>
      <c r="O619" s="187" t="inlineStr">
        <is>
          <t>Apply vendor patches</t>
        </is>
      </c>
      <c r="P619" s="187" t="inlineStr">
        <is>
          <t>freedesktop udisks 2.0.0 | redhat enterprise_linux 10.0</t>
        </is>
      </c>
      <c r="Q619" s="187" t="inlineStr">
        <is>
          <t>P3</t>
        </is>
      </c>
      <c r="R619" s="187" t="inlineStr">
        <is>
          <t>🚨 URGENT: Apply vendor patches immediately | 🔒 Isolate affected systems if patch unavailable | 🛡️ Enable additional monitoring/IDS rules</t>
        </is>
      </c>
      <c r="S619" s="187" t="inlineStr">
        <is>
          <t>CVE - IP enrichment n/a</t>
        </is>
      </c>
      <c r="T619" s="187" t="n">
        <v>0.0001</v>
      </c>
      <c r="U619" s="187" t="n">
        <v>0.0049</v>
      </c>
      <c r="V619" s="187" t="inlineStr">
        <is>
          <t>T1190:Exploit Public-Facing Application</t>
        </is>
      </c>
      <c r="W619" s="187" t="n">
        <v>1</v>
      </c>
      <c r="X619" s="187" t="inlineStr">
        <is>
          <t>LOW (40%)</t>
        </is>
      </c>
      <c r="Y619" s="187" t="inlineStr">
        <is>
          <t>UNLIKELY</t>
        </is>
      </c>
      <c r="Z619" s="187" t="inlineStr">
        <is>
          <t>PATCH_AVAILABLE</t>
        </is>
      </c>
      <c r="AA619" s="187" t="inlineStr">
        <is>
          <t>https://nvd.nist.gov/vuln/detail/CVE-2026-26103</t>
        </is>
      </c>
      <c r="AB619" s="187" t="inlineStr">
        <is>
          <t>NONE</t>
        </is>
      </c>
      <c r="AC619" s="187" t="n">
        <v>0</v>
      </c>
      <c r="AD619" s="187" t="inlineStr"/>
    </row>
    <row r="620">
      <c r="A620" s="188" t="inlineStr">
        <is>
          <t>CVE</t>
        </is>
      </c>
      <c r="B620" s="188" t="inlineStr">
        <is>
          <t>CVE-2026-26104</t>
        </is>
      </c>
      <c r="C620" s="188"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620" s="188" t="n">
        <v>5.5</v>
      </c>
      <c r="E620" s="188" t="inlineStr">
        <is>
          <t>MEDIUM</t>
        </is>
      </c>
      <c r="F620" s="188" t="n">
        <v>2</v>
      </c>
      <c r="G620" s="188" t="n">
        <v>2</v>
      </c>
      <c r="H620" s="188" t="inlineStr">
        <is>
          <t>MEDIUM</t>
        </is>
      </c>
      <c r="I620" s="188" t="n">
        <v>9.5</v>
      </c>
      <c r="J620" s="188" t="inlineStr">
        <is>
          <t>NO</t>
        </is>
      </c>
      <c r="K620" s="188" t="inlineStr">
        <is>
          <t>https://nvd.nist.gov/vuln/detail/CVE-2026-26104</t>
        </is>
      </c>
      <c r="L620" s="188" t="inlineStr">
        <is>
          <t>2026-02-27 20:47</t>
        </is>
      </c>
      <c r="M620" s="188" t="inlineStr">
        <is>
          <t>YES</t>
        </is>
      </c>
      <c r="N620" s="188" t="inlineStr">
        <is>
          <t>https://access.redhat.com/security/cve/CVE-2026-26104 | https://bugzilla.redhat.com/show_bug.cgi?id=2433717</t>
        </is>
      </c>
      <c r="O620" s="188" t="inlineStr">
        <is>
          <t>Apply vendor patches</t>
        </is>
      </c>
      <c r="P620" s="188" t="inlineStr">
        <is>
          <t>freedesktop udisks 2.0.0 | redhat enterprise_linux 10.0</t>
        </is>
      </c>
      <c r="Q620" s="188" t="inlineStr">
        <is>
          <t>P4</t>
        </is>
      </c>
      <c r="R620" s="188" t="inlineStr">
        <is>
          <t>📅 Schedule patch deployment within 30 days | 🔍 Monitor for exploitation attempts</t>
        </is>
      </c>
      <c r="S620" s="188" t="inlineStr">
        <is>
          <t>CVE - IP enrichment n/a</t>
        </is>
      </c>
      <c r="T620" s="188" t="n">
        <v>0.0001</v>
      </c>
      <c r="U620" s="188" t="n">
        <v>0.0044</v>
      </c>
      <c r="V620" s="188" t="inlineStr">
        <is>
          <t>T1600:Weaken Encryption</t>
        </is>
      </c>
      <c r="W620" s="188" t="n">
        <v>1</v>
      </c>
      <c r="X620" s="188" t="inlineStr">
        <is>
          <t>LOW (40%)</t>
        </is>
      </c>
      <c r="Y620" s="188" t="inlineStr">
        <is>
          <t>UNLIKELY</t>
        </is>
      </c>
      <c r="Z620" s="188" t="inlineStr">
        <is>
          <t>PATCH_AVAILABLE</t>
        </is>
      </c>
      <c r="AA620" s="188" t="inlineStr">
        <is>
          <t>https://nvd.nist.gov/vuln/detail/CVE-2026-26104</t>
        </is>
      </c>
      <c r="AB620" s="188" t="inlineStr">
        <is>
          <t>NONE</t>
        </is>
      </c>
      <c r="AC620" s="188" t="n">
        <v>0</v>
      </c>
      <c r="AD620" s="188" t="inlineStr"/>
    </row>
    <row r="621">
      <c r="A621" s="188" t="inlineStr">
        <is>
          <t>CVE</t>
        </is>
      </c>
      <c r="B621" s="188" t="inlineStr">
        <is>
          <t>CVE-2026-25701</t>
        </is>
      </c>
      <c r="C621" s="188"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621" s="188" t="n">
        <v>5</v>
      </c>
      <c r="E621" s="188" t="inlineStr">
        <is>
          <t>MEDIUM</t>
        </is>
      </c>
      <c r="F621" s="188" t="n">
        <v>2</v>
      </c>
      <c r="G621" s="188" t="n">
        <v>2</v>
      </c>
      <c r="H621" s="188" t="inlineStr">
        <is>
          <t>MEDIUM</t>
        </is>
      </c>
      <c r="I621" s="188" t="n">
        <v>9</v>
      </c>
      <c r="J621" s="188" t="inlineStr">
        <is>
          <t>NO</t>
        </is>
      </c>
      <c r="K621" s="188" t="inlineStr">
        <is>
          <t>https://nvd.nist.gov/vuln/detail/CVE-2026-25701</t>
        </is>
      </c>
      <c r="L621" s="188" t="inlineStr">
        <is>
          <t>2026-02-27 20:47</t>
        </is>
      </c>
      <c r="M621" s="188" t="inlineStr">
        <is>
          <t>CHECK_VENDOR</t>
        </is>
      </c>
      <c r="N621" s="188" t="inlineStr">
        <is>
          <t>See NVD references</t>
        </is>
      </c>
      <c r="O621" s="188" t="inlineStr">
        <is>
          <t>Apply vendor patches</t>
        </is>
      </c>
      <c r="P621" s="188" t="inlineStr">
        <is>
          <t>See CVE details</t>
        </is>
      </c>
      <c r="Q621" s="188" t="inlineStr">
        <is>
          <t>P4</t>
        </is>
      </c>
      <c r="R621" s="188" t="inlineStr">
        <is>
          <t>📅 Schedule patch deployment within 30 days | 🔍 Monitor for exploitation attempts</t>
        </is>
      </c>
      <c r="S621" s="188" t="inlineStr">
        <is>
          <t>CVE - IP enrichment n/a</t>
        </is>
      </c>
      <c r="T621" s="188" t="n">
        <v>0.0001</v>
      </c>
      <c r="U621" s="188" t="n">
        <v>0.0251</v>
      </c>
      <c r="V621" s="188" t="inlineStr">
        <is>
          <t>T1190:Exploit Public-Facing Application</t>
        </is>
      </c>
      <c r="W621" s="188" t="n">
        <v>1</v>
      </c>
      <c r="X621" s="188" t="inlineStr">
        <is>
          <t>LOW (40%)</t>
        </is>
      </c>
      <c r="Y621" s="188" t="inlineStr">
        <is>
          <t>UNLIKELY</t>
        </is>
      </c>
      <c r="Z621" s="188" t="inlineStr">
        <is>
          <t>CHECK_VENDOR</t>
        </is>
      </c>
      <c r="AA621" s="188" t="inlineStr">
        <is>
          <t>https://nvd.nist.gov/vuln/detail/CVE-2026-25701</t>
        </is>
      </c>
      <c r="AB621" s="188" t="inlineStr">
        <is>
          <t>NONE</t>
        </is>
      </c>
      <c r="AC621" s="188" t="n">
        <v>0</v>
      </c>
      <c r="AD621" s="188" t="inlineStr"/>
    </row>
    <row r="622">
      <c r="A622" s="188" t="inlineStr">
        <is>
          <t>CVE</t>
        </is>
      </c>
      <c r="B622" s="188" t="inlineStr">
        <is>
          <t>CVE-2026-3118</t>
        </is>
      </c>
      <c r="C622" s="188"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622" s="188" t="n">
        <v>6.5</v>
      </c>
      <c r="E622" s="188" t="inlineStr">
        <is>
          <t>MEDIUM</t>
        </is>
      </c>
      <c r="F622" s="188" t="n">
        <v>2</v>
      </c>
      <c r="G622" s="188" t="n">
        <v>2</v>
      </c>
      <c r="H622" s="188" t="inlineStr">
        <is>
          <t>MEDIUM</t>
        </is>
      </c>
      <c r="I622" s="188" t="n">
        <v>10.5</v>
      </c>
      <c r="J622" s="188" t="inlineStr">
        <is>
          <t>NO</t>
        </is>
      </c>
      <c r="K622" s="188" t="inlineStr">
        <is>
          <t>https://nvd.nist.gov/vuln/detail/CVE-2026-3118</t>
        </is>
      </c>
      <c r="L622" s="188" t="inlineStr">
        <is>
          <t>2026-02-27 20:47</t>
        </is>
      </c>
      <c r="M622" s="188" t="inlineStr">
        <is>
          <t>YES</t>
        </is>
      </c>
      <c r="N622" s="188" t="inlineStr">
        <is>
          <t>https://access.redhat.com/security/cve/CVE-2026-3118 | https://bugzilla.redhat.com/show_bug.cgi?id=2442273</t>
        </is>
      </c>
      <c r="O622" s="188" t="inlineStr">
        <is>
          <t>Apply vendor patches</t>
        </is>
      </c>
      <c r="P622" s="188" t="inlineStr">
        <is>
          <t>redhat developer_hub -</t>
        </is>
      </c>
      <c r="Q622" s="188" t="inlineStr">
        <is>
          <t>P4</t>
        </is>
      </c>
      <c r="R622" s="188" t="inlineStr">
        <is>
          <t>📅 Schedule patch deployment within 30 days | 🔍 Monitor for exploitation attempts</t>
        </is>
      </c>
      <c r="S622" s="188" t="inlineStr">
        <is>
          <t>CVE - IP enrichment n/a</t>
        </is>
      </c>
      <c r="T622" s="188" t="n">
        <v>0.0004</v>
      </c>
      <c r="U622" s="188" t="n">
        <v>0.1339</v>
      </c>
      <c r="V622" s="188" t="inlineStr">
        <is>
          <t>T1190:Exploit Public-Facing Application | T1499:Endpoint Denial of Service</t>
        </is>
      </c>
      <c r="W622" s="188" t="n">
        <v>1</v>
      </c>
      <c r="X622" s="188" t="inlineStr">
        <is>
          <t>LOW (40%)</t>
        </is>
      </c>
      <c r="Y622" s="188" t="inlineStr">
        <is>
          <t>UNLIKELY</t>
        </is>
      </c>
      <c r="Z622" s="188" t="inlineStr">
        <is>
          <t>PATCH_AVAILABLE</t>
        </is>
      </c>
      <c r="AA622" s="188" t="inlineStr">
        <is>
          <t>https://nvd.nist.gov/vuln/detail/CVE-2026-3118</t>
        </is>
      </c>
      <c r="AB622" s="188" t="inlineStr">
        <is>
          <t>NONE</t>
        </is>
      </c>
      <c r="AC622" s="188" t="n">
        <v>0</v>
      </c>
      <c r="AD622" s="188" t="inlineStr"/>
    </row>
    <row r="623">
      <c r="A623" s="189" t="inlineStr">
        <is>
          <t>CVE</t>
        </is>
      </c>
      <c r="B623" s="189" t="inlineStr">
        <is>
          <t>CVE-2026-0704</t>
        </is>
      </c>
      <c r="C623" s="189" t="inlineStr">
        <is>
          <t>In affected version of Octopus Deploy it was possible to remove files and/or contents of files on the host using an API endpoint. The field lacked validation which could potentially result in ways to circumvent expected workflows.</t>
        </is>
      </c>
      <c r="D623" s="189" t="n">
        <v>9.1</v>
      </c>
      <c r="E623" s="189" t="inlineStr">
        <is>
          <t>CRITICAL</t>
        </is>
      </c>
      <c r="F623" s="189" t="n">
        <v>2</v>
      </c>
      <c r="G623" s="189" t="n">
        <v>3</v>
      </c>
      <c r="H623" s="189" t="inlineStr">
        <is>
          <t>HIGH</t>
        </is>
      </c>
      <c r="I623" s="189" t="n">
        <v>15.1</v>
      </c>
      <c r="J623" s="189" t="inlineStr">
        <is>
          <t>NO</t>
        </is>
      </c>
      <c r="K623" s="189" t="inlineStr">
        <is>
          <t>https://nvd.nist.gov/vuln/detail/CVE-2026-0704</t>
        </is>
      </c>
      <c r="L623" s="189" t="inlineStr">
        <is>
          <t>2026-02-27 20:47</t>
        </is>
      </c>
      <c r="M623" s="189" t="inlineStr">
        <is>
          <t>YES</t>
        </is>
      </c>
      <c r="N623" s="189" t="inlineStr">
        <is>
          <t>https://advisories.octopus.com/post/2026/sa2026-01</t>
        </is>
      </c>
      <c r="O623" s="189" t="inlineStr">
        <is>
          <t>Apply vendor patches</t>
        </is>
      </c>
      <c r="P623" s="189" t="inlineStr">
        <is>
          <t>linux linux_kernel - | octopus octopus_server * | microsoft windows -</t>
        </is>
      </c>
      <c r="Q623" s="189" t="inlineStr">
        <is>
          <t>P3</t>
        </is>
      </c>
      <c r="R623" s="189" t="inlineStr">
        <is>
          <t>🚨 URGENT: Apply vendor patches immediately | 🔒 Isolate affected systems if patch unavailable | 🛡️ Enable additional monitoring/IDS rules</t>
        </is>
      </c>
      <c r="S623" s="189" t="inlineStr">
        <is>
          <t>CVE - IP enrichment n/a</t>
        </is>
      </c>
      <c r="T623" s="189" t="n">
        <v>0.0004</v>
      </c>
      <c r="U623" s="189" t="n">
        <v>0.1142</v>
      </c>
      <c r="V623" s="189" t="inlineStr">
        <is>
          <t>T1083:File and Directory Discovery</t>
        </is>
      </c>
      <c r="W623" s="189" t="n">
        <v>1</v>
      </c>
      <c r="X623" s="189" t="inlineStr">
        <is>
          <t>LOW (40%)</t>
        </is>
      </c>
      <c r="Y623" s="189" t="inlineStr">
        <is>
          <t>UNLIKELY</t>
        </is>
      </c>
      <c r="Z623" s="189" t="inlineStr">
        <is>
          <t>PATCH_AVAILABLE</t>
        </is>
      </c>
      <c r="AA623" s="189" t="inlineStr">
        <is>
          <t>https://nvd.nist.gov/vuln/detail/CVE-2026-0704</t>
        </is>
      </c>
      <c r="AB623" s="189" t="inlineStr">
        <is>
          <t>NONE</t>
        </is>
      </c>
      <c r="AC623" s="189" t="n">
        <v>0</v>
      </c>
      <c r="AD623" s="189" t="inlineStr"/>
    </row>
    <row r="624">
      <c r="A624" s="190" t="inlineStr">
        <is>
          <t>CVE</t>
        </is>
      </c>
      <c r="B624" s="190" t="inlineStr">
        <is>
          <t>CVE-2026-21725</t>
        </is>
      </c>
      <c r="C624" s="190"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624" s="190" t="n">
        <v>2.6</v>
      </c>
      <c r="E624" s="190" t="inlineStr">
        <is>
          <t>LOW</t>
        </is>
      </c>
      <c r="F624" s="190" t="n">
        <v>2</v>
      </c>
      <c r="G624" s="190" t="n">
        <v>1</v>
      </c>
      <c r="H624" s="190" t="inlineStr">
        <is>
          <t>LOW</t>
        </is>
      </c>
      <c r="I624" s="190" t="n">
        <v>4.6</v>
      </c>
      <c r="J624" s="190" t="inlineStr">
        <is>
          <t>NO</t>
        </is>
      </c>
      <c r="K624" s="190" t="inlineStr">
        <is>
          <t>https://nvd.nist.gov/vuln/detail/CVE-2026-21725</t>
        </is>
      </c>
      <c r="L624" s="190" t="inlineStr">
        <is>
          <t>2026-02-27 20:47</t>
        </is>
      </c>
      <c r="M624" s="190" t="inlineStr">
        <is>
          <t>YES</t>
        </is>
      </c>
      <c r="N624" s="190" t="inlineStr">
        <is>
          <t>https://grafana.com/security/security-advisories/cve-2026-21725</t>
        </is>
      </c>
      <c r="O624" s="190" t="inlineStr">
        <is>
          <t>Apply vendor patches</t>
        </is>
      </c>
      <c r="P624" s="190" t="inlineStr">
        <is>
          <t>grafana grafana *</t>
        </is>
      </c>
      <c r="Q624" s="190" t="inlineStr">
        <is>
          <t>P4</t>
        </is>
      </c>
      <c r="R624" s="190" t="inlineStr">
        <is>
          <t>📅 Schedule patch deployment within 30 days | 🔍 Monitor for exploitation attempts</t>
        </is>
      </c>
      <c r="S624" s="190" t="inlineStr">
        <is>
          <t>CVE - IP enrichment n/a</t>
        </is>
      </c>
      <c r="T624" s="190" t="n">
        <v>0.0003</v>
      </c>
      <c r="U624" s="190" t="n">
        <v>0.0663</v>
      </c>
      <c r="V624" s="190" t="inlineStr">
        <is>
          <t>T1190:Exploit Public-Facing Application</t>
        </is>
      </c>
      <c r="W624" s="190" t="n">
        <v>1</v>
      </c>
      <c r="X624" s="190" t="inlineStr">
        <is>
          <t>LOW (40%)</t>
        </is>
      </c>
      <c r="Y624" s="190" t="inlineStr">
        <is>
          <t>UNLIKELY</t>
        </is>
      </c>
      <c r="Z624" s="190" t="inlineStr">
        <is>
          <t>PATCH_AVAILABLE</t>
        </is>
      </c>
      <c r="AA624" s="190" t="inlineStr">
        <is>
          <t>https://nvd.nist.gov/vuln/detail/CVE-2026-21725</t>
        </is>
      </c>
      <c r="AB624" s="190" t="inlineStr">
        <is>
          <t>NONE</t>
        </is>
      </c>
      <c r="AC624" s="190" t="n">
        <v>0</v>
      </c>
      <c r="AD624" s="190" t="inlineStr"/>
    </row>
    <row r="625">
      <c r="A625" s="189" t="inlineStr">
        <is>
          <t>CVE</t>
        </is>
      </c>
      <c r="B625" s="189" t="inlineStr">
        <is>
          <t>CVE-2026-2624</t>
        </is>
      </c>
      <c r="C625" s="189" t="inlineStr">
        <is>
          <t>Missing Authentication for Critical Function vulnerability in ePati Cyber ​​Security Technologies Inc. Antikor Next Generation Firewall (NGFW) allows Authentication Bypass.This issue affects Antikor Next Generation Firewall (NGFW): from v.2.0.1298 before v.2.0.1301.</t>
        </is>
      </c>
      <c r="D625" s="189" t="n">
        <v>9.800000000000001</v>
      </c>
      <c r="E625" s="189" t="inlineStr">
        <is>
          <t>CRITICAL</t>
        </is>
      </c>
      <c r="F625" s="189" t="n">
        <v>2</v>
      </c>
      <c r="G625" s="189" t="n">
        <v>3</v>
      </c>
      <c r="H625" s="189" t="inlineStr">
        <is>
          <t>HIGH</t>
        </is>
      </c>
      <c r="I625" s="189" t="n">
        <v>15.8</v>
      </c>
      <c r="J625" s="189" t="inlineStr">
        <is>
          <t>NO</t>
        </is>
      </c>
      <c r="K625" s="189" t="inlineStr">
        <is>
          <t>https://nvd.nist.gov/vuln/detail/CVE-2026-2624</t>
        </is>
      </c>
      <c r="L625" s="189" t="inlineStr">
        <is>
          <t>2026-02-27 20:47</t>
        </is>
      </c>
      <c r="M625" s="189" t="inlineStr">
        <is>
          <t>CHECK_VENDOR</t>
        </is>
      </c>
      <c r="N625" s="189" t="inlineStr">
        <is>
          <t>See NVD references</t>
        </is>
      </c>
      <c r="O625" s="189" t="inlineStr">
        <is>
          <t>Apply vendor patches</t>
        </is>
      </c>
      <c r="P625" s="189" t="inlineStr">
        <is>
          <t>epati antikor_next_generation_firewall *</t>
        </is>
      </c>
      <c r="Q625" s="189" t="inlineStr">
        <is>
          <t>P3</t>
        </is>
      </c>
      <c r="R625" s="189" t="inlineStr">
        <is>
          <t>🚨 URGENT: Apply vendor patches immediately | 🔒 Isolate affected systems if patch unavailable | 🛡️ Enable additional monitoring/IDS rules</t>
        </is>
      </c>
      <c r="S625" s="189" t="inlineStr">
        <is>
          <t>CVE - IP enrichment n/a</t>
        </is>
      </c>
      <c r="T625" s="189" t="n">
        <v>0.0008</v>
      </c>
      <c r="U625" s="189" t="n">
        <v>0.2309</v>
      </c>
      <c r="V625" s="189" t="inlineStr">
        <is>
          <t>T1078:Valid Accounts | T1562:Impair Defenses</t>
        </is>
      </c>
      <c r="W625" s="189" t="n">
        <v>1</v>
      </c>
      <c r="X625" s="189" t="inlineStr">
        <is>
          <t>LOW (40%)</t>
        </is>
      </c>
      <c r="Y625" s="189" t="inlineStr">
        <is>
          <t>UNLIKELY</t>
        </is>
      </c>
      <c r="Z625" s="189" t="inlineStr">
        <is>
          <t>CHECK_VENDOR</t>
        </is>
      </c>
      <c r="AA625" s="189" t="inlineStr">
        <is>
          <t>https://nvd.nist.gov/vuln/detail/CVE-2026-2624</t>
        </is>
      </c>
      <c r="AB625" s="189" t="inlineStr">
        <is>
          <t>NONE</t>
        </is>
      </c>
      <c r="AC625" s="189" t="n">
        <v>0</v>
      </c>
      <c r="AD625" s="189" t="inlineStr"/>
    </row>
    <row r="626">
      <c r="A626" s="187" t="inlineStr">
        <is>
          <t>CVE</t>
        </is>
      </c>
      <c r="B626" s="187" t="inlineStr">
        <is>
          <t>CVE-2026-28193</t>
        </is>
      </c>
      <c r="C626" s="187" t="inlineStr">
        <is>
          <t>In JetBrains YouTrack before 2025.3.121962 apps were able to send requests to the app permissions endpoint</t>
        </is>
      </c>
      <c r="D626" s="187" t="n">
        <v>8.800000000000001</v>
      </c>
      <c r="E626" s="187" t="inlineStr">
        <is>
          <t>HIGH</t>
        </is>
      </c>
      <c r="F626" s="187" t="n">
        <v>2</v>
      </c>
      <c r="G626" s="187" t="n">
        <v>3</v>
      </c>
      <c r="H626" s="187" t="inlineStr">
        <is>
          <t>HIGH</t>
        </is>
      </c>
      <c r="I626" s="187" t="n">
        <v>14.8</v>
      </c>
      <c r="J626" s="187" t="inlineStr">
        <is>
          <t>NO</t>
        </is>
      </c>
      <c r="K626" s="187" t="inlineStr">
        <is>
          <t>https://nvd.nist.gov/vuln/detail/CVE-2026-28193</t>
        </is>
      </c>
      <c r="L626" s="187" t="inlineStr">
        <is>
          <t>2026-02-27 20:47</t>
        </is>
      </c>
      <c r="M626" s="187" t="inlineStr">
        <is>
          <t>YES</t>
        </is>
      </c>
      <c r="N626" s="187" t="inlineStr">
        <is>
          <t>https://www.jetbrains.com/privacy-security/issues-fixed/</t>
        </is>
      </c>
      <c r="O626" s="187" t="inlineStr">
        <is>
          <t>Apply vendor patches</t>
        </is>
      </c>
      <c r="P626" s="187" t="inlineStr">
        <is>
          <t>jetbrains youtrack *</t>
        </is>
      </c>
      <c r="Q626" s="187" t="inlineStr">
        <is>
          <t>P3</t>
        </is>
      </c>
      <c r="R626" s="187" t="inlineStr">
        <is>
          <t>🚨 URGENT: Apply vendor patches immediately | 🔒 Isolate affected systems if patch unavailable | 🛡️ Enable additional monitoring/IDS rules</t>
        </is>
      </c>
      <c r="S626" s="187" t="inlineStr">
        <is>
          <t>CVE - IP enrichment n/a</t>
        </is>
      </c>
      <c r="T626" s="187" t="n">
        <v>0</v>
      </c>
      <c r="U626" s="187" t="n">
        <v>0.0002</v>
      </c>
      <c r="V626" s="187" t="inlineStr">
        <is>
          <t>T1190:Exploit Public-Facing Application</t>
        </is>
      </c>
      <c r="W626" s="187" t="n">
        <v>1</v>
      </c>
      <c r="X626" s="187" t="inlineStr">
        <is>
          <t>LOW (40%)</t>
        </is>
      </c>
      <c r="Y626" s="187" t="inlineStr">
        <is>
          <t>UNLIKELY</t>
        </is>
      </c>
      <c r="Z626" s="187" t="inlineStr">
        <is>
          <t>PATCH_AVAILABLE</t>
        </is>
      </c>
      <c r="AA626" s="187" t="inlineStr">
        <is>
          <t>https://nvd.nist.gov/vuln/detail/CVE-2026-28193</t>
        </is>
      </c>
      <c r="AB626" s="187" t="inlineStr">
        <is>
          <t>NONE</t>
        </is>
      </c>
      <c r="AC626" s="187" t="n">
        <v>0</v>
      </c>
      <c r="AD626" s="187" t="inlineStr"/>
    </row>
    <row r="627">
      <c r="A627" s="188" t="inlineStr">
        <is>
          <t>CVE</t>
        </is>
      </c>
      <c r="B627" s="188" t="inlineStr">
        <is>
          <t>CVE-2026-28194</t>
        </is>
      </c>
      <c r="C627" s="188" t="inlineStr">
        <is>
          <t>In JetBrains TeamCity before 2025.11.3 open redirect was possible in the React project creation flow</t>
        </is>
      </c>
      <c r="D627" s="188" t="n">
        <v>4.3</v>
      </c>
      <c r="E627" s="188" t="inlineStr">
        <is>
          <t>MEDIUM</t>
        </is>
      </c>
      <c r="F627" s="188" t="n">
        <v>2</v>
      </c>
      <c r="G627" s="188" t="n">
        <v>2</v>
      </c>
      <c r="H627" s="188" t="inlineStr">
        <is>
          <t>MEDIUM</t>
        </is>
      </c>
      <c r="I627" s="188" t="n">
        <v>8.300000000000001</v>
      </c>
      <c r="J627" s="188" t="inlineStr">
        <is>
          <t>NO</t>
        </is>
      </c>
      <c r="K627" s="188" t="inlineStr">
        <is>
          <t>https://nvd.nist.gov/vuln/detail/CVE-2026-28194</t>
        </is>
      </c>
      <c r="L627" s="188" t="inlineStr">
        <is>
          <t>2026-02-27 20:47</t>
        </is>
      </c>
      <c r="M627" s="188" t="inlineStr">
        <is>
          <t>YES</t>
        </is>
      </c>
      <c r="N627" s="188" t="inlineStr">
        <is>
          <t>https://www.jetbrains.com/privacy-security/issues-fixed/</t>
        </is>
      </c>
      <c r="O627" s="188" t="inlineStr">
        <is>
          <t>Apply vendor patches</t>
        </is>
      </c>
      <c r="P627" s="188" t="inlineStr">
        <is>
          <t>jetbrains teamcity *</t>
        </is>
      </c>
      <c r="Q627" s="188" t="inlineStr">
        <is>
          <t>P4</t>
        </is>
      </c>
      <c r="R627" s="188" t="inlineStr">
        <is>
          <t>📅 Schedule patch deployment within 30 days | 🔍 Monitor for exploitation attempts</t>
        </is>
      </c>
      <c r="S627" s="188" t="inlineStr">
        <is>
          <t>CVE - IP enrichment n/a</t>
        </is>
      </c>
      <c r="T627" s="188" t="n">
        <v>0</v>
      </c>
      <c r="U627" s="188" t="n">
        <v>0.0005999999999999999</v>
      </c>
      <c r="V627" s="188" t="inlineStr">
        <is>
          <t>T1189:Drive-by Compromise</t>
        </is>
      </c>
      <c r="W627" s="188" t="n">
        <v>1</v>
      </c>
      <c r="X627" s="188" t="inlineStr">
        <is>
          <t>LOW (40%)</t>
        </is>
      </c>
      <c r="Y627" s="188" t="inlineStr">
        <is>
          <t>UNLIKELY</t>
        </is>
      </c>
      <c r="Z627" s="188" t="inlineStr">
        <is>
          <t>PATCH_AVAILABLE</t>
        </is>
      </c>
      <c r="AA627" s="188" t="inlineStr">
        <is>
          <t>https://nvd.nist.gov/vuln/detail/CVE-2026-28194</t>
        </is>
      </c>
      <c r="AB627" s="188" t="inlineStr">
        <is>
          <t>NONE</t>
        </is>
      </c>
      <c r="AC627" s="188" t="n">
        <v>0</v>
      </c>
      <c r="AD627" s="188" t="inlineStr"/>
    </row>
    <row r="628">
      <c r="A628" s="188" t="inlineStr">
        <is>
          <t>CVE</t>
        </is>
      </c>
      <c r="B628" s="188" t="inlineStr">
        <is>
          <t>CVE-2026-28195</t>
        </is>
      </c>
      <c r="C628" s="188" t="inlineStr">
        <is>
          <t>In JetBrains TeamCity before 2025.11.3 missing authorization allowed project developers to add parameters to build configurations</t>
        </is>
      </c>
      <c r="D628" s="188" t="n">
        <v>4.3</v>
      </c>
      <c r="E628" s="188" t="inlineStr">
        <is>
          <t>MEDIUM</t>
        </is>
      </c>
      <c r="F628" s="188" t="n">
        <v>2</v>
      </c>
      <c r="G628" s="188" t="n">
        <v>2</v>
      </c>
      <c r="H628" s="188" t="inlineStr">
        <is>
          <t>MEDIUM</t>
        </is>
      </c>
      <c r="I628" s="188" t="n">
        <v>8.300000000000001</v>
      </c>
      <c r="J628" s="188" t="inlineStr">
        <is>
          <t>NO</t>
        </is>
      </c>
      <c r="K628" s="188" t="inlineStr">
        <is>
          <t>https://nvd.nist.gov/vuln/detail/CVE-2026-28195</t>
        </is>
      </c>
      <c r="L628" s="188" t="inlineStr">
        <is>
          <t>2026-02-27 20:47</t>
        </is>
      </c>
      <c r="M628" s="188" t="inlineStr">
        <is>
          <t>YES</t>
        </is>
      </c>
      <c r="N628" s="188" t="inlineStr">
        <is>
          <t>https://www.jetbrains.com/privacy-security/issues-fixed/</t>
        </is>
      </c>
      <c r="O628" s="188" t="inlineStr">
        <is>
          <t>Apply vendor patches</t>
        </is>
      </c>
      <c r="P628" s="188" t="inlineStr">
        <is>
          <t>jetbrains teamcity *</t>
        </is>
      </c>
      <c r="Q628" s="188" t="inlineStr">
        <is>
          <t>P4</t>
        </is>
      </c>
      <c r="R628" s="188" t="inlineStr">
        <is>
          <t>📅 Schedule patch deployment within 30 days | 🔍 Monitor for exploitation attempts</t>
        </is>
      </c>
      <c r="S628" s="188" t="inlineStr">
        <is>
          <t>CVE - IP enrichment n/a</t>
        </is>
      </c>
      <c r="T628" s="188" t="n">
        <v>0</v>
      </c>
      <c r="U628" s="188" t="n">
        <v>0.0002</v>
      </c>
      <c r="V628" s="188" t="inlineStr">
        <is>
          <t>T1190:Exploit Public-Facing Application</t>
        </is>
      </c>
      <c r="W628" s="188" t="n">
        <v>1</v>
      </c>
      <c r="X628" s="188" t="inlineStr">
        <is>
          <t>LOW (40%)</t>
        </is>
      </c>
      <c r="Y628" s="188" t="inlineStr">
        <is>
          <t>UNLIKELY</t>
        </is>
      </c>
      <c r="Z628" s="188" t="inlineStr">
        <is>
          <t>PATCH_AVAILABLE</t>
        </is>
      </c>
      <c r="AA628" s="188" t="inlineStr">
        <is>
          <t>https://nvd.nist.gov/vuln/detail/CVE-2026-28195</t>
        </is>
      </c>
      <c r="AB628" s="188" t="inlineStr">
        <is>
          <t>NONE</t>
        </is>
      </c>
      <c r="AC628" s="188" t="n">
        <v>0</v>
      </c>
      <c r="AD628" s="188" t="inlineStr"/>
    </row>
    <row r="629">
      <c r="A629" s="190" t="inlineStr">
        <is>
          <t>CVE</t>
        </is>
      </c>
      <c r="B629" s="190" t="inlineStr">
        <is>
          <t>CVE-2026-28196</t>
        </is>
      </c>
      <c r="C629" s="190" t="inlineStr">
        <is>
          <t>In JetBrains TeamCity before 2025.11.3 disabling versioned settings left a credentials config on disk</t>
        </is>
      </c>
      <c r="D629" s="190" t="n">
        <v>2.3</v>
      </c>
      <c r="E629" s="190" t="inlineStr">
        <is>
          <t>LOW</t>
        </is>
      </c>
      <c r="F629" s="190" t="n">
        <v>2</v>
      </c>
      <c r="G629" s="190" t="n">
        <v>1</v>
      </c>
      <c r="H629" s="190" t="inlineStr">
        <is>
          <t>LOW</t>
        </is>
      </c>
      <c r="I629" s="190" t="n">
        <v>4.3</v>
      </c>
      <c r="J629" s="190" t="inlineStr">
        <is>
          <t>NO</t>
        </is>
      </c>
      <c r="K629" s="190" t="inlineStr">
        <is>
          <t>https://nvd.nist.gov/vuln/detail/CVE-2026-28196</t>
        </is>
      </c>
      <c r="L629" s="190" t="inlineStr">
        <is>
          <t>2026-02-27 20:47</t>
        </is>
      </c>
      <c r="M629" s="190" t="inlineStr">
        <is>
          <t>YES</t>
        </is>
      </c>
      <c r="N629" s="190" t="inlineStr">
        <is>
          <t>https://www.jetbrains.com/privacy-security/issues-fixed/</t>
        </is>
      </c>
      <c r="O629" s="190" t="inlineStr">
        <is>
          <t>Apply vendor patches</t>
        </is>
      </c>
      <c r="P629" s="190" t="inlineStr">
        <is>
          <t>jetbrains teamcity *</t>
        </is>
      </c>
      <c r="Q629" s="190" t="inlineStr">
        <is>
          <t>P4</t>
        </is>
      </c>
      <c r="R629" s="190" t="inlineStr">
        <is>
          <t>📅 Schedule patch deployment within 30 days | 🔍 Monitor for exploitation attempts</t>
        </is>
      </c>
      <c r="S629" s="190" t="inlineStr">
        <is>
          <t>CVE - IP enrichment n/a</t>
        </is>
      </c>
      <c r="T629" s="190" t="n">
        <v>0</v>
      </c>
      <c r="U629" s="190" t="n">
        <v>0.0001</v>
      </c>
      <c r="V629" s="190" t="inlineStr">
        <is>
          <t>T1552:Unsecured Credentials</t>
        </is>
      </c>
      <c r="W629" s="190" t="n">
        <v>1</v>
      </c>
      <c r="X629" s="190" t="inlineStr">
        <is>
          <t>LOW (40%)</t>
        </is>
      </c>
      <c r="Y629" s="190" t="inlineStr">
        <is>
          <t>UNLIKELY</t>
        </is>
      </c>
      <c r="Z629" s="190" t="inlineStr">
        <is>
          <t>PATCH_AVAILABLE</t>
        </is>
      </c>
      <c r="AA629" s="190" t="inlineStr">
        <is>
          <t>https://nvd.nist.gov/vuln/detail/CVE-2026-28196</t>
        </is>
      </c>
      <c r="AB629" s="190" t="inlineStr">
        <is>
          <t>NONE</t>
        </is>
      </c>
      <c r="AC629" s="190" t="n">
        <v>0</v>
      </c>
      <c r="AD629" s="190" t="inlineStr"/>
    </row>
    <row r="630">
      <c r="A630" s="188" t="inlineStr">
        <is>
          <t>CVE</t>
        </is>
      </c>
      <c r="B630" s="188" t="inlineStr">
        <is>
          <t>CVE-2026-3185</t>
        </is>
      </c>
      <c r="C630" s="188"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630" s="188" t="n">
        <v>5.3</v>
      </c>
      <c r="E630" s="188" t="inlineStr">
        <is>
          <t>MEDIUM</t>
        </is>
      </c>
      <c r="F630" s="188" t="n">
        <v>2</v>
      </c>
      <c r="G630" s="188" t="n">
        <v>2</v>
      </c>
      <c r="H630" s="188" t="inlineStr">
        <is>
          <t>MEDIUM</t>
        </is>
      </c>
      <c r="I630" s="188" t="n">
        <v>9.300000000000001</v>
      </c>
      <c r="J630" s="188" t="inlineStr">
        <is>
          <t>NO</t>
        </is>
      </c>
      <c r="K630" s="188" t="inlineStr">
        <is>
          <t>https://nvd.nist.gov/vuln/detail/CVE-2026-3185</t>
        </is>
      </c>
      <c r="L630" s="188" t="inlineStr">
        <is>
          <t>2026-02-27 20:47</t>
        </is>
      </c>
      <c r="M630" s="188" t="inlineStr">
        <is>
          <t>YES</t>
        </is>
      </c>
      <c r="N630" s="188" t="inlineStr">
        <is>
          <t>https://github.com/feiyuchuixue/sz-boot-parent/commit/aefaabfd7527188bfba3c8c9eee17c316d094802</t>
        </is>
      </c>
      <c r="O630" s="188" t="inlineStr">
        <is>
          <t>Apply vendor patches</t>
        </is>
      </c>
      <c r="P630" s="188" t="inlineStr">
        <is>
          <t>szadmin sz-boot-parent * | szadmin sz-boot-parent 1.0.0 | szadmin sz-boot-parent 1.0.1</t>
        </is>
      </c>
      <c r="Q630" s="188" t="inlineStr">
        <is>
          <t>P4</t>
        </is>
      </c>
      <c r="R630" s="188" t="inlineStr">
        <is>
          <t>📅 Schedule patch deployment within 30 days | 🔍 Monitor for exploitation attempts</t>
        </is>
      </c>
      <c r="S630" s="188" t="inlineStr">
        <is>
          <t>CVE - IP enrichment n/a</t>
        </is>
      </c>
      <c r="T630" s="188" t="n">
        <v>0.0003</v>
      </c>
      <c r="U630" s="188" t="n">
        <v>0.0964</v>
      </c>
      <c r="V630" s="188" t="inlineStr">
        <is>
          <t>T1190:Exploit Public-Facing Application</t>
        </is>
      </c>
      <c r="W630" s="188" t="n">
        <v>1</v>
      </c>
      <c r="X630" s="188" t="inlineStr">
        <is>
          <t>LOW (40%)</t>
        </is>
      </c>
      <c r="Y630" s="188" t="inlineStr">
        <is>
          <t>UNLIKELY</t>
        </is>
      </c>
      <c r="Z630" s="188" t="inlineStr">
        <is>
          <t>PATCH_AVAILABLE</t>
        </is>
      </c>
      <c r="AA630" s="188" t="inlineStr">
        <is>
          <t>https://nvd.nist.gov/vuln/detail/CVE-2026-3185</t>
        </is>
      </c>
      <c r="AB630" s="188" t="inlineStr">
        <is>
          <t>NONE</t>
        </is>
      </c>
      <c r="AC630" s="188" t="n">
        <v>0</v>
      </c>
      <c r="AD630" s="188" t="inlineStr"/>
    </row>
    <row r="631">
      <c r="A631" s="188" t="inlineStr">
        <is>
          <t>CVE</t>
        </is>
      </c>
      <c r="B631" s="188" t="inlineStr">
        <is>
          <t>CVE-2026-3186</t>
        </is>
      </c>
      <c r="C631" s="188"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631" s="188" t="n">
        <v>6.3</v>
      </c>
      <c r="E631" s="188" t="inlineStr">
        <is>
          <t>MEDIUM</t>
        </is>
      </c>
      <c r="F631" s="188" t="n">
        <v>2</v>
      </c>
      <c r="G631" s="188" t="n">
        <v>2</v>
      </c>
      <c r="H631" s="188" t="inlineStr">
        <is>
          <t>MEDIUM</t>
        </is>
      </c>
      <c r="I631" s="188" t="n">
        <v>10.3</v>
      </c>
      <c r="J631" s="188" t="inlineStr">
        <is>
          <t>NO</t>
        </is>
      </c>
      <c r="K631" s="188" t="inlineStr">
        <is>
          <t>https://nvd.nist.gov/vuln/detail/CVE-2026-3186</t>
        </is>
      </c>
      <c r="L631" s="188" t="inlineStr">
        <is>
          <t>2026-02-27 20:47</t>
        </is>
      </c>
      <c r="M631" s="188" t="inlineStr">
        <is>
          <t>YES</t>
        </is>
      </c>
      <c r="N631" s="188" t="inlineStr">
        <is>
          <t>https://github.com/feiyuchuixue/sz-boot-parent/commit/aefaabfd7527188bfba3c8c9eee17c316d094802</t>
        </is>
      </c>
      <c r="O631" s="188" t="inlineStr">
        <is>
          <t>Apply vendor patches</t>
        </is>
      </c>
      <c r="P631" s="188" t="inlineStr">
        <is>
          <t>szadmin sz-boot-parent * | szadmin sz-boot-parent 1.0.0 | szadmin sz-boot-parent 1.0.1</t>
        </is>
      </c>
      <c r="Q631" s="188" t="inlineStr">
        <is>
          <t>P4</t>
        </is>
      </c>
      <c r="R631" s="188" t="inlineStr">
        <is>
          <t>📅 Schedule patch deployment within 30 days | 🔍 Monitor for exploitation attempts</t>
        </is>
      </c>
      <c r="S631" s="188" t="inlineStr">
        <is>
          <t>CVE - IP enrichment n/a</t>
        </is>
      </c>
      <c r="T631" s="188" t="n">
        <v>0.0003</v>
      </c>
      <c r="U631" s="188" t="n">
        <v>0.07489999999999999</v>
      </c>
      <c r="V631" s="188" t="inlineStr">
        <is>
          <t>T1190:Exploit Public-Facing Application</t>
        </is>
      </c>
      <c r="W631" s="188" t="n">
        <v>1</v>
      </c>
      <c r="X631" s="188" t="inlineStr">
        <is>
          <t>LOW (40%)</t>
        </is>
      </c>
      <c r="Y631" s="188" t="inlineStr">
        <is>
          <t>UNLIKELY</t>
        </is>
      </c>
      <c r="Z631" s="188" t="inlineStr">
        <is>
          <t>PATCH_AVAILABLE</t>
        </is>
      </c>
      <c r="AA631" s="188" t="inlineStr">
        <is>
          <t>https://nvd.nist.gov/vuln/detail/CVE-2026-3186</t>
        </is>
      </c>
      <c r="AB631" s="188" t="inlineStr">
        <is>
          <t>NONE</t>
        </is>
      </c>
      <c r="AC631" s="188" t="n">
        <v>0</v>
      </c>
      <c r="AD631" s="188" t="inlineStr"/>
    </row>
    <row r="632">
      <c r="A632" s="188" t="inlineStr">
        <is>
          <t>CVE</t>
        </is>
      </c>
      <c r="B632" s="188" t="inlineStr">
        <is>
          <t>CVE-2026-27691</t>
        </is>
      </c>
      <c r="C632" s="188"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632" s="188" t="n">
        <v>6.2</v>
      </c>
      <c r="E632" s="188" t="inlineStr">
        <is>
          <t>MEDIUM</t>
        </is>
      </c>
      <c r="F632" s="188" t="n">
        <v>2</v>
      </c>
      <c r="G632" s="188" t="n">
        <v>2</v>
      </c>
      <c r="H632" s="188" t="inlineStr">
        <is>
          <t>MEDIUM</t>
        </is>
      </c>
      <c r="I632" s="188" t="n">
        <v>10.2</v>
      </c>
      <c r="J632" s="188" t="inlineStr">
        <is>
          <t>NO</t>
        </is>
      </c>
      <c r="K632" s="188" t="inlineStr">
        <is>
          <t>https://nvd.nist.gov/vuln/detail/CVE-2026-27691</t>
        </is>
      </c>
      <c r="L632" s="188" t="inlineStr">
        <is>
          <t>2026-02-27 20:47</t>
        </is>
      </c>
      <c r="M632" s="188" t="inlineStr">
        <is>
          <t>YES</t>
        </is>
      </c>
      <c r="N632" s="188" t="inlineStr">
        <is>
          <t>https://github.com/InternationalColorConsortium/iccDEV/commit/43ae18dd69fc70190d3632a18a3af2f3da1e052a | https://github.com/InternationalColorConsortium/iccDEV/pull/611 | https://github.com/InternationalColorConsortium/iccDEV/security/advisories/GHSA-4gfj-4cjh-53v5</t>
        </is>
      </c>
      <c r="O632" s="188" t="inlineStr">
        <is>
          <t>Apply vendor patches</t>
        </is>
      </c>
      <c r="P632" s="188" t="inlineStr">
        <is>
          <t>color iccdev *</t>
        </is>
      </c>
      <c r="Q632" s="188" t="inlineStr">
        <is>
          <t>P4</t>
        </is>
      </c>
      <c r="R632" s="188" t="inlineStr">
        <is>
          <t>📅 Schedule patch deployment within 30 days | 🔍 Monitor for exploitation attempts</t>
        </is>
      </c>
      <c r="S632" s="188" t="inlineStr">
        <is>
          <t>CVE - IP enrichment n/a</t>
        </is>
      </c>
      <c r="T632" s="188" t="n">
        <v>0.0001</v>
      </c>
      <c r="U632" s="188" t="n">
        <v>0.0122</v>
      </c>
      <c r="V632" s="188" t="inlineStr">
        <is>
          <t>T1190:Exploit Public-Facing Application | T1203:Exploitation for Client Execution</t>
        </is>
      </c>
      <c r="W632" s="188" t="n">
        <v>1</v>
      </c>
      <c r="X632" s="188" t="inlineStr">
        <is>
          <t>LOW (40%)</t>
        </is>
      </c>
      <c r="Y632" s="188" t="inlineStr">
        <is>
          <t>UNLIKELY</t>
        </is>
      </c>
      <c r="Z632" s="188" t="inlineStr">
        <is>
          <t>PATCH_AVAILABLE</t>
        </is>
      </c>
      <c r="AA632" s="188" t="inlineStr">
        <is>
          <t>https://nvd.nist.gov/vuln/detail/CVE-2026-27691</t>
        </is>
      </c>
      <c r="AB632" s="188" t="inlineStr">
        <is>
          <t>NONE</t>
        </is>
      </c>
      <c r="AC632" s="188" t="n">
        <v>0</v>
      </c>
      <c r="AD632" s="188" t="inlineStr"/>
    </row>
    <row r="633">
      <c r="A633" s="187" t="inlineStr">
        <is>
          <t>CVE</t>
        </is>
      </c>
      <c r="B633" s="187" t="inlineStr">
        <is>
          <t>CVE-2026-27692</t>
        </is>
      </c>
      <c r="C633" s="187"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633" s="187" t="n">
        <v>7.1</v>
      </c>
      <c r="E633" s="187" t="inlineStr">
        <is>
          <t>HIGH</t>
        </is>
      </c>
      <c r="F633" s="187" t="n">
        <v>2</v>
      </c>
      <c r="G633" s="187" t="n">
        <v>3</v>
      </c>
      <c r="H633" s="187" t="inlineStr">
        <is>
          <t>HIGH</t>
        </is>
      </c>
      <c r="I633" s="187" t="n">
        <v>13.1</v>
      </c>
      <c r="J633" s="187" t="inlineStr">
        <is>
          <t>NO</t>
        </is>
      </c>
      <c r="K633" s="187" t="inlineStr">
        <is>
          <t>https://nvd.nist.gov/vuln/detail/CVE-2026-27692</t>
        </is>
      </c>
      <c r="L633" s="187" t="inlineStr">
        <is>
          <t>2026-02-27 20:47</t>
        </is>
      </c>
      <c r="M633" s="187" t="inlineStr">
        <is>
          <t>YES</t>
        </is>
      </c>
      <c r="N633" s="187" t="inlineStr">
        <is>
          <t>https://github.com/InternationalColorConsortium/iccDEV/commit/29d088840b962a7cdd35993dfabc2cb35a049847 | https://github.com/InternationalColorConsortium/iccDEV/pull/610 | https://github.com/InternationalColorConsortium/iccDEV/security/advisories/GHSA-3869-prw8-gjqr</t>
        </is>
      </c>
      <c r="O633" s="187" t="inlineStr">
        <is>
          <t>Apply vendor patches</t>
        </is>
      </c>
      <c r="P633" s="187" t="inlineStr">
        <is>
          <t>color iccdev *</t>
        </is>
      </c>
      <c r="Q633" s="187" t="inlineStr">
        <is>
          <t>P3</t>
        </is>
      </c>
      <c r="R633" s="187" t="inlineStr">
        <is>
          <t>🚨 URGENT: Apply vendor patches immediately | 🔒 Isolate affected systems if patch unavailable | 🛡️ Enable additional monitoring/IDS rules</t>
        </is>
      </c>
      <c r="S633" s="187" t="inlineStr">
        <is>
          <t>CVE - IP enrichment n/a</t>
        </is>
      </c>
      <c r="T633" s="187" t="n">
        <v>0.0001</v>
      </c>
      <c r="U633" s="187" t="n">
        <v>0.0118</v>
      </c>
      <c r="V633" s="187" t="inlineStr">
        <is>
          <t>T1203:Exploitation for Client Execution</t>
        </is>
      </c>
      <c r="W633" s="187" t="n">
        <v>1</v>
      </c>
      <c r="X633" s="187" t="inlineStr">
        <is>
          <t>LOW (40%)</t>
        </is>
      </c>
      <c r="Y633" s="187" t="inlineStr">
        <is>
          <t>UNLIKELY</t>
        </is>
      </c>
      <c r="Z633" s="187" t="inlineStr">
        <is>
          <t>PATCH_AVAILABLE</t>
        </is>
      </c>
      <c r="AA633" s="187" t="inlineStr">
        <is>
          <t>https://nvd.nist.gov/vuln/detail/CVE-2026-27692</t>
        </is>
      </c>
      <c r="AB633" s="187" t="inlineStr">
        <is>
          <t>NONE</t>
        </is>
      </c>
      <c r="AC633" s="187" t="n">
        <v>0</v>
      </c>
      <c r="AD633" s="187" t="inlineStr"/>
    </row>
    <row r="634">
      <c r="A634" s="188" t="inlineStr">
        <is>
          <t>CVE</t>
        </is>
      </c>
      <c r="B634" s="188" t="inlineStr">
        <is>
          <t>CVE-2026-27695</t>
        </is>
      </c>
      <c r="C634" s="188"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634" s="188" t="n">
        <v>4.3</v>
      </c>
      <c r="E634" s="188" t="inlineStr">
        <is>
          <t>MEDIUM</t>
        </is>
      </c>
      <c r="F634" s="188" t="n">
        <v>2</v>
      </c>
      <c r="G634" s="188" t="n">
        <v>2</v>
      </c>
      <c r="H634" s="188" t="inlineStr">
        <is>
          <t>MEDIUM</t>
        </is>
      </c>
      <c r="I634" s="188" t="n">
        <v>8.300000000000001</v>
      </c>
      <c r="J634" s="188" t="inlineStr">
        <is>
          <t>NO</t>
        </is>
      </c>
      <c r="K634" s="188" t="inlineStr">
        <is>
          <t>https://nvd.nist.gov/vuln/detail/CVE-2026-27695</t>
        </is>
      </c>
      <c r="L634" s="188" t="inlineStr">
        <is>
          <t>2026-02-27 20:47</t>
        </is>
      </c>
      <c r="M634" s="188" t="inlineStr">
        <is>
          <t>YES</t>
        </is>
      </c>
      <c r="N634" s="188" t="inlineStr">
        <is>
          <t>https://github.com/zeroae/zae-limiter/security/advisories/GHSA-76rv-2r9v-c5m6</t>
        </is>
      </c>
      <c r="O634" s="188" t="inlineStr">
        <is>
          <t>Apply vendor patches</t>
        </is>
      </c>
      <c r="P634" s="188" t="inlineStr">
        <is>
          <t>zeroae zae-limiter *</t>
        </is>
      </c>
      <c r="Q634" s="188" t="inlineStr">
        <is>
          <t>P4</t>
        </is>
      </c>
      <c r="R634" s="188" t="inlineStr">
        <is>
          <t>📅 Schedule patch deployment within 30 days | 🔍 Monitor for exploitation attempts</t>
        </is>
      </c>
      <c r="S634" s="188" t="inlineStr">
        <is>
          <t>CVE - IP enrichment n/a</t>
        </is>
      </c>
      <c r="T634" s="188" t="n">
        <v>0.0004</v>
      </c>
      <c r="U634" s="188" t="n">
        <v>0.1221</v>
      </c>
      <c r="V634" s="188" t="inlineStr">
        <is>
          <t>T1190:Exploit Public-Facing Application</t>
        </is>
      </c>
      <c r="W634" s="188" t="n">
        <v>1</v>
      </c>
      <c r="X634" s="188" t="inlineStr">
        <is>
          <t>LOW (40%)</t>
        </is>
      </c>
      <c r="Y634" s="188" t="inlineStr">
        <is>
          <t>UNLIKELY</t>
        </is>
      </c>
      <c r="Z634" s="188" t="inlineStr">
        <is>
          <t>PATCH_AVAILABLE</t>
        </is>
      </c>
      <c r="AA634" s="188" t="inlineStr">
        <is>
          <t>https://nvd.nist.gov/vuln/detail/CVE-2026-27695</t>
        </is>
      </c>
      <c r="AB634" s="188" t="inlineStr">
        <is>
          <t>NONE</t>
        </is>
      </c>
      <c r="AC634" s="188" t="n">
        <v>0</v>
      </c>
      <c r="AD634" s="188" t="inlineStr"/>
    </row>
    <row r="635">
      <c r="A635" s="189" t="inlineStr">
        <is>
          <t>CVE</t>
        </is>
      </c>
      <c r="B635" s="189" t="inlineStr">
        <is>
          <t>CVE-2026-27699</t>
        </is>
      </c>
      <c r="C635" s="189"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635" s="189" t="n">
        <v>9.1</v>
      </c>
      <c r="E635" s="189" t="inlineStr">
        <is>
          <t>CRITICAL</t>
        </is>
      </c>
      <c r="F635" s="189" t="n">
        <v>2</v>
      </c>
      <c r="G635" s="189" t="n">
        <v>3</v>
      </c>
      <c r="H635" s="189" t="inlineStr">
        <is>
          <t>HIGH</t>
        </is>
      </c>
      <c r="I635" s="189" t="n">
        <v>15.1</v>
      </c>
      <c r="J635" s="189" t="inlineStr">
        <is>
          <t>NO</t>
        </is>
      </c>
      <c r="K635" s="189" t="inlineStr">
        <is>
          <t>https://nvd.nist.gov/vuln/detail/CVE-2026-27699</t>
        </is>
      </c>
      <c r="L635" s="189" t="inlineStr">
        <is>
          <t>2026-02-27 20:47</t>
        </is>
      </c>
      <c r="M635" s="189" t="inlineStr">
        <is>
          <t>YES</t>
        </is>
      </c>
      <c r="N635" s="189" t="inlineStr">
        <is>
          <t>https://github.com/patrickjuchli/basic-ftp/commit/2a2a0e6514357b9eda07c2f8afbd3f04727a7cd9 | https://github.com/patrickjuchli/basic-ftp/security/advisories/GHSA-5rq4-664w-9x2c</t>
        </is>
      </c>
      <c r="O635" s="189" t="inlineStr">
        <is>
          <t>https://github.com/patrickjuchli/basic-ftp/security/advisories/GHSA-5rq4-664w-9x2c</t>
        </is>
      </c>
      <c r="P635" s="189" t="inlineStr">
        <is>
          <t>patrickjuchli basic-ftp *</t>
        </is>
      </c>
      <c r="Q635" s="189" t="inlineStr">
        <is>
          <t>P3</t>
        </is>
      </c>
      <c r="R635" s="189" t="inlineStr">
        <is>
          <t>🚨 URGENT: Apply vendor patches immediately | 🔒 Isolate affected systems if patch unavailable | 🛡️ Enable additional monitoring/IDS rules</t>
        </is>
      </c>
      <c r="S635" s="189" t="inlineStr">
        <is>
          <t>CVE - IP enrichment n/a</t>
        </is>
      </c>
      <c r="T635" s="189" t="n">
        <v>0.0005999999999999999</v>
      </c>
      <c r="U635" s="189" t="n">
        <v>0.1742</v>
      </c>
      <c r="V635" s="189" t="inlineStr">
        <is>
          <t>T1083:File and Directory Discovery</t>
        </is>
      </c>
      <c r="W635" s="189" t="n">
        <v>1</v>
      </c>
      <c r="X635" s="189" t="inlineStr">
        <is>
          <t>LOW (40%)</t>
        </is>
      </c>
      <c r="Y635" s="189" t="inlineStr">
        <is>
          <t>UNLIKELY</t>
        </is>
      </c>
      <c r="Z635" s="189" t="inlineStr">
        <is>
          <t>PATCH_AVAILABLE</t>
        </is>
      </c>
      <c r="AA635" s="189" t="inlineStr">
        <is>
          <t>https://nvd.nist.gov/vuln/detail/CVE-2026-27699</t>
        </is>
      </c>
      <c r="AB635" s="189" t="inlineStr">
        <is>
          <t>NONE</t>
        </is>
      </c>
      <c r="AC635" s="189" t="n">
        <v>0</v>
      </c>
      <c r="AD635" s="189" t="inlineStr"/>
    </row>
    <row r="636">
      <c r="A636" s="188" t="inlineStr">
        <is>
          <t>CVE</t>
        </is>
      </c>
      <c r="B636" s="188" t="inlineStr">
        <is>
          <t>CVE-2026-2878</t>
        </is>
      </c>
      <c r="C636" s="188" t="inlineStr">
        <is>
          <t>In Progress® Telerik® UI for AJAX, versions prior to 2026.1.225, an insufficient entropy vulnerability exists in RadAsyncUpload, where a predictable temporary identifier, based on timestamp and filename, can enable collisions and file content tampering.</t>
        </is>
      </c>
      <c r="D636" s="188" t="n">
        <v>5.3</v>
      </c>
      <c r="E636" s="188" t="inlineStr">
        <is>
          <t>MEDIUM</t>
        </is>
      </c>
      <c r="F636" s="188" t="n">
        <v>2</v>
      </c>
      <c r="G636" s="188" t="n">
        <v>2</v>
      </c>
      <c r="H636" s="188" t="inlineStr">
        <is>
          <t>MEDIUM</t>
        </is>
      </c>
      <c r="I636" s="188" t="n">
        <v>9.300000000000001</v>
      </c>
      <c r="J636" s="188" t="inlineStr">
        <is>
          <t>NO</t>
        </is>
      </c>
      <c r="K636" s="188" t="inlineStr">
        <is>
          <t>https://nvd.nist.gov/vuln/detail/CVE-2026-2878</t>
        </is>
      </c>
      <c r="L636" s="188" t="inlineStr">
        <is>
          <t>2026-02-27 20:47</t>
        </is>
      </c>
      <c r="M636" s="188" t="inlineStr">
        <is>
          <t>YES</t>
        </is>
      </c>
      <c r="N636" s="188" t="inlineStr">
        <is>
          <t>https://www.telerik.com/products/aspnet-ajax/documentation/knowledge-base/kb-security-insufficient-entropy-cve-2026-2878</t>
        </is>
      </c>
      <c r="O636" s="188" t="inlineStr">
        <is>
          <t>https://www.telerik.com/products/aspnet-ajax/documentation/knowledge-base/kb-security-insufficient-entropy-cve-2026-2878</t>
        </is>
      </c>
      <c r="P636" s="188" t="inlineStr">
        <is>
          <t>progress telerik_ui_for_asp.net_ajax *</t>
        </is>
      </c>
      <c r="Q636" s="188" t="inlineStr">
        <is>
          <t>P4</t>
        </is>
      </c>
      <c r="R636" s="188" t="inlineStr">
        <is>
          <t>📅 Schedule patch deployment within 30 days | 🔍 Monitor for exploitation attempts</t>
        </is>
      </c>
      <c r="S636" s="188" t="inlineStr">
        <is>
          <t>CVE - IP enrichment n/a</t>
        </is>
      </c>
      <c r="T636" s="188" t="n">
        <v>0.0001</v>
      </c>
      <c r="U636" s="188" t="n">
        <v>0.008800000000000001</v>
      </c>
      <c r="V636" s="188" t="inlineStr">
        <is>
          <t>T1190:Exploit Public-Facing Application</t>
        </is>
      </c>
      <c r="W636" s="188" t="n">
        <v>1</v>
      </c>
      <c r="X636" s="188" t="inlineStr">
        <is>
          <t>LOW (40%)</t>
        </is>
      </c>
      <c r="Y636" s="188" t="inlineStr">
        <is>
          <t>UNLIKELY</t>
        </is>
      </c>
      <c r="Z636" s="188" t="inlineStr">
        <is>
          <t>PATCH_AVAILABLE</t>
        </is>
      </c>
      <c r="AA636" s="188" t="inlineStr">
        <is>
          <t>https://nvd.nist.gov/vuln/detail/CVE-2026-2878</t>
        </is>
      </c>
      <c r="AB636" s="188" t="inlineStr">
        <is>
          <t>NONE</t>
        </is>
      </c>
      <c r="AC636" s="188" t="n">
        <v>0</v>
      </c>
      <c r="AD636" s="188" t="inlineStr"/>
    </row>
    <row r="637">
      <c r="A637" s="188" t="inlineStr">
        <is>
          <t>CVE</t>
        </is>
      </c>
      <c r="B637" s="188" t="inlineStr">
        <is>
          <t>CVE-2026-3187</t>
        </is>
      </c>
      <c r="C637" s="188"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637" s="188" t="n">
        <v>6.3</v>
      </c>
      <c r="E637" s="188" t="inlineStr">
        <is>
          <t>MEDIUM</t>
        </is>
      </c>
      <c r="F637" s="188" t="n">
        <v>2</v>
      </c>
      <c r="G637" s="188" t="n">
        <v>2</v>
      </c>
      <c r="H637" s="188" t="inlineStr">
        <is>
          <t>MEDIUM</t>
        </is>
      </c>
      <c r="I637" s="188" t="n">
        <v>10.3</v>
      </c>
      <c r="J637" s="188" t="inlineStr">
        <is>
          <t>NO</t>
        </is>
      </c>
      <c r="K637" s="188" t="inlineStr">
        <is>
          <t>https://nvd.nist.gov/vuln/detail/CVE-2026-3187</t>
        </is>
      </c>
      <c r="L637" s="188" t="inlineStr">
        <is>
          <t>2026-02-27 20:47</t>
        </is>
      </c>
      <c r="M637" s="188" t="inlineStr">
        <is>
          <t>YES</t>
        </is>
      </c>
      <c r="N637" s="188" t="inlineStr">
        <is>
          <t>https://github.com/feiyuchuixue/sz-boot-parent/commit/aefaabfd7527188bfba3c8c9eee17c316d094802</t>
        </is>
      </c>
      <c r="O637" s="188" t="inlineStr">
        <is>
          <t>Apply vendor patches</t>
        </is>
      </c>
      <c r="P637" s="188" t="inlineStr">
        <is>
          <t>szadmin sz-boot-parent * | szadmin sz-boot-parent 1.0.0 | szadmin sz-boot-parent 1.0.1</t>
        </is>
      </c>
      <c r="Q637" s="188" t="inlineStr">
        <is>
          <t>P4</t>
        </is>
      </c>
      <c r="R637" s="188" t="inlineStr">
        <is>
          <t>📅 Schedule patch deployment within 30 days | 🔍 Monitor for exploitation attempts</t>
        </is>
      </c>
      <c r="S637" s="188" t="inlineStr">
        <is>
          <t>CVE - IP enrichment n/a</t>
        </is>
      </c>
      <c r="T637" s="188" t="n">
        <v>0.0005999999999999999</v>
      </c>
      <c r="U637" s="188" t="n">
        <v>0.1743</v>
      </c>
      <c r="V637" s="188" t="inlineStr">
        <is>
          <t>T1190:Exploit Public-Facing Application</t>
        </is>
      </c>
      <c r="W637" s="188" t="n">
        <v>1</v>
      </c>
      <c r="X637" s="188" t="inlineStr">
        <is>
          <t>LOW (40%)</t>
        </is>
      </c>
      <c r="Y637" s="188" t="inlineStr">
        <is>
          <t>UNLIKELY</t>
        </is>
      </c>
      <c r="Z637" s="188" t="inlineStr">
        <is>
          <t>PATCH_AVAILABLE</t>
        </is>
      </c>
      <c r="AA637" s="188" t="inlineStr">
        <is>
          <t>https://nvd.nist.gov/vuln/detail/CVE-2026-3187</t>
        </is>
      </c>
      <c r="AB637" s="188" t="inlineStr">
        <is>
          <t>NONE</t>
        </is>
      </c>
      <c r="AC637" s="188" t="n">
        <v>0</v>
      </c>
      <c r="AD637" s="188" t="inlineStr"/>
    </row>
    <row r="638">
      <c r="A638" s="188" t="inlineStr">
        <is>
          <t>CVE</t>
        </is>
      </c>
      <c r="B638" s="188" t="inlineStr">
        <is>
          <t>CVE-2026-3197</t>
        </is>
      </c>
      <c r="C638" s="188" t="inlineStr">
        <is>
          <t>Rejected reason: ** REJECT ** DO NOT USE THIS CANDIDATE NUMBER. Reason: This candidate was issued in error. Notes: All references and descriptions in this candidate have been removed to prevent accidental usage.</t>
        </is>
      </c>
      <c r="D638" s="188" t="n">
        <v>5</v>
      </c>
      <c r="E638" s="188" t="inlineStr">
        <is>
          <t>MEDIUM</t>
        </is>
      </c>
      <c r="F638" s="188" t="n">
        <v>2</v>
      </c>
      <c r="G638" s="188" t="n">
        <v>2</v>
      </c>
      <c r="H638" s="188" t="inlineStr">
        <is>
          <t>MEDIUM</t>
        </is>
      </c>
      <c r="I638" s="188" t="n">
        <v>9</v>
      </c>
      <c r="J638" s="188" t="inlineStr">
        <is>
          <t>NO</t>
        </is>
      </c>
      <c r="K638" s="188" t="inlineStr">
        <is>
          <t>https://nvd.nist.gov/vuln/detail/CVE-2026-3197</t>
        </is>
      </c>
      <c r="L638" s="188" t="inlineStr">
        <is>
          <t>2026-02-27 20:47</t>
        </is>
      </c>
      <c r="M638" s="188" t="inlineStr">
        <is>
          <t>CHECK_VENDOR</t>
        </is>
      </c>
      <c r="N638" s="188" t="inlineStr">
        <is>
          <t>See NVD references</t>
        </is>
      </c>
      <c r="O638" s="188" t="inlineStr">
        <is>
          <t>Apply vendor patches</t>
        </is>
      </c>
      <c r="P638" s="188" t="inlineStr">
        <is>
          <t>See CVE details</t>
        </is>
      </c>
      <c r="Q638" s="188" t="inlineStr">
        <is>
          <t>P4</t>
        </is>
      </c>
      <c r="R638" s="188" t="inlineStr">
        <is>
          <t>📅 Schedule patch deployment within 30 days | 🔍 Monitor for exploitation attempts</t>
        </is>
      </c>
      <c r="S638" s="188" t="inlineStr">
        <is>
          <t>CVE - IP enrichment n/a</t>
        </is>
      </c>
      <c r="T638" s="188" t="n">
        <v>0</v>
      </c>
      <c r="U638" s="188" t="n">
        <v>0</v>
      </c>
      <c r="V638" s="188" t="inlineStr">
        <is>
          <t>T1190:Exploit Public-Facing Application</t>
        </is>
      </c>
      <c r="W638" s="188" t="n">
        <v>1</v>
      </c>
      <c r="X638" s="188" t="inlineStr">
        <is>
          <t>LOW (40%)</t>
        </is>
      </c>
      <c r="Y638" s="188" t="inlineStr">
        <is>
          <t>UNLIKELY</t>
        </is>
      </c>
      <c r="Z638" s="188" t="inlineStr">
        <is>
          <t>CHECK_VENDOR</t>
        </is>
      </c>
      <c r="AA638" s="188" t="inlineStr">
        <is>
          <t>https://nvd.nist.gov/vuln/detail/CVE-2026-3197</t>
        </is>
      </c>
      <c r="AB638" s="188" t="inlineStr">
        <is>
          <t>NONE</t>
        </is>
      </c>
      <c r="AC638" s="188" t="n">
        <v>0</v>
      </c>
      <c r="AD638" s="188" t="inlineStr"/>
    </row>
    <row r="639">
      <c r="A639" s="188" t="inlineStr">
        <is>
          <t>CVE</t>
        </is>
      </c>
      <c r="B639" s="188" t="inlineStr">
        <is>
          <t>CVE-2026-3201</t>
        </is>
      </c>
      <c r="C639" s="188" t="inlineStr">
        <is>
          <t>USB HID protocol dissector memory exhaustion in Wireshark 4.6.0 to 4.6.3 and 4.4.0 to 4.4.13 allows denial of service</t>
        </is>
      </c>
      <c r="D639" s="188" t="n">
        <v>4.7</v>
      </c>
      <c r="E639" s="188" t="inlineStr">
        <is>
          <t>MEDIUM</t>
        </is>
      </c>
      <c r="F639" s="188" t="n">
        <v>2</v>
      </c>
      <c r="G639" s="188" t="n">
        <v>2</v>
      </c>
      <c r="H639" s="188" t="inlineStr">
        <is>
          <t>MEDIUM</t>
        </is>
      </c>
      <c r="I639" s="188" t="n">
        <v>8.699999999999999</v>
      </c>
      <c r="J639" s="188" t="inlineStr">
        <is>
          <t>NO</t>
        </is>
      </c>
      <c r="K639" s="188" t="inlineStr">
        <is>
          <t>https://nvd.nist.gov/vuln/detail/CVE-2026-3201</t>
        </is>
      </c>
      <c r="L639" s="188" t="inlineStr">
        <is>
          <t>2026-02-27 20:47</t>
        </is>
      </c>
      <c r="M639" s="188" t="inlineStr">
        <is>
          <t>YES</t>
        </is>
      </c>
      <c r="N639" s="188" t="inlineStr">
        <is>
          <t>https://www.wireshark.org/security/wnpa-sec-2026-05.html</t>
        </is>
      </c>
      <c r="O639" s="188" t="inlineStr">
        <is>
          <t>Apply vendor patches</t>
        </is>
      </c>
      <c r="P639" s="188" t="inlineStr">
        <is>
          <t>wireshark wireshark *</t>
        </is>
      </c>
      <c r="Q639" s="188" t="inlineStr">
        <is>
          <t>P4</t>
        </is>
      </c>
      <c r="R639" s="188" t="inlineStr">
        <is>
          <t>📅 Schedule patch deployment within 30 days | 🔍 Monitor for exploitation attempts</t>
        </is>
      </c>
      <c r="S639" s="188" t="inlineStr">
        <is>
          <t>CVE - IP enrichment n/a</t>
        </is>
      </c>
      <c r="T639" s="188" t="n">
        <v>0.0001</v>
      </c>
      <c r="U639" s="188" t="n">
        <v>0.0281</v>
      </c>
      <c r="V639" s="188" t="inlineStr">
        <is>
          <t>T1499:Endpoint Denial of Service</t>
        </is>
      </c>
      <c r="W639" s="188" t="n">
        <v>1</v>
      </c>
      <c r="X639" s="188" t="inlineStr">
        <is>
          <t>LOW (40%)</t>
        </is>
      </c>
      <c r="Y639" s="188" t="inlineStr">
        <is>
          <t>UNLIKELY</t>
        </is>
      </c>
      <c r="Z639" s="188" t="inlineStr">
        <is>
          <t>PATCH_AVAILABLE</t>
        </is>
      </c>
      <c r="AA639" s="188" t="inlineStr">
        <is>
          <t>https://nvd.nist.gov/vuln/detail/CVE-2026-3201</t>
        </is>
      </c>
      <c r="AB639" s="188" t="inlineStr">
        <is>
          <t>NONE</t>
        </is>
      </c>
      <c r="AC639" s="188" t="n">
        <v>0</v>
      </c>
      <c r="AD639" s="188" t="inlineStr"/>
    </row>
    <row r="640">
      <c r="A640" s="188" t="inlineStr">
        <is>
          <t>CVE</t>
        </is>
      </c>
      <c r="B640" s="188" t="inlineStr">
        <is>
          <t>CVE-2026-3202</t>
        </is>
      </c>
      <c r="C640" s="188" t="inlineStr">
        <is>
          <t>NTS-KE protocol dissector crash in Wireshark 4.6.0 to 4.6.3 allows denial of service</t>
        </is>
      </c>
      <c r="D640" s="188" t="n">
        <v>4.7</v>
      </c>
      <c r="E640" s="188" t="inlineStr">
        <is>
          <t>MEDIUM</t>
        </is>
      </c>
      <c r="F640" s="188" t="n">
        <v>2</v>
      </c>
      <c r="G640" s="188" t="n">
        <v>2</v>
      </c>
      <c r="H640" s="188" t="inlineStr">
        <is>
          <t>MEDIUM</t>
        </is>
      </c>
      <c r="I640" s="188" t="n">
        <v>8.699999999999999</v>
      </c>
      <c r="J640" s="188" t="inlineStr">
        <is>
          <t>NO</t>
        </is>
      </c>
      <c r="K640" s="188" t="inlineStr">
        <is>
          <t>https://nvd.nist.gov/vuln/detail/CVE-2026-3202</t>
        </is>
      </c>
      <c r="L640" s="188" t="inlineStr">
        <is>
          <t>2026-02-27 20:47</t>
        </is>
      </c>
      <c r="M640" s="188" t="inlineStr">
        <is>
          <t>YES</t>
        </is>
      </c>
      <c r="N640" s="188" t="inlineStr">
        <is>
          <t>https://www.wireshark.org/security/wnpa-sec-2026-06.html</t>
        </is>
      </c>
      <c r="O640" s="188" t="inlineStr">
        <is>
          <t>Apply vendor patches</t>
        </is>
      </c>
      <c r="P640" s="188" t="inlineStr">
        <is>
          <t>wireshark wireshark *</t>
        </is>
      </c>
      <c r="Q640" s="188" t="inlineStr">
        <is>
          <t>P4</t>
        </is>
      </c>
      <c r="R640" s="188" t="inlineStr">
        <is>
          <t>📅 Schedule patch deployment within 30 days | 🔍 Monitor for exploitation attempts</t>
        </is>
      </c>
      <c r="S640" s="188" t="inlineStr">
        <is>
          <t>CVE - IP enrichment n/a</t>
        </is>
      </c>
      <c r="T640" s="188" t="n">
        <v>0.0002</v>
      </c>
      <c r="U640" s="188" t="n">
        <v>0.0324</v>
      </c>
      <c r="V640" s="188" t="inlineStr">
        <is>
          <t>T1499:Endpoint Denial of Service</t>
        </is>
      </c>
      <c r="W640" s="188" t="n">
        <v>1</v>
      </c>
      <c r="X640" s="188" t="inlineStr">
        <is>
          <t>LOW (40%)</t>
        </is>
      </c>
      <c r="Y640" s="188" t="inlineStr">
        <is>
          <t>UNLIKELY</t>
        </is>
      </c>
      <c r="Z640" s="188" t="inlineStr">
        <is>
          <t>PATCH_AVAILABLE</t>
        </is>
      </c>
      <c r="AA640" s="188" t="inlineStr">
        <is>
          <t>https://nvd.nist.gov/vuln/detail/CVE-2026-3202</t>
        </is>
      </c>
      <c r="AB640" s="188" t="inlineStr">
        <is>
          <t>NONE</t>
        </is>
      </c>
      <c r="AC640" s="188" t="n">
        <v>0</v>
      </c>
      <c r="AD640" s="188" t="inlineStr"/>
    </row>
    <row r="641">
      <c r="A641" s="188" t="inlineStr">
        <is>
          <t>CVE</t>
        </is>
      </c>
      <c r="B641" s="188" t="inlineStr">
        <is>
          <t>CVE-2026-3203</t>
        </is>
      </c>
      <c r="C641" s="188" t="inlineStr">
        <is>
          <t>RF4CE Profile protocol dissector crash in Wireshark 4.6.0 to 4.6.3 and 4.4.0 to 4.4.13 allows denial of service</t>
        </is>
      </c>
      <c r="D641" s="188" t="n">
        <v>5.5</v>
      </c>
      <c r="E641" s="188" t="inlineStr">
        <is>
          <t>MEDIUM</t>
        </is>
      </c>
      <c r="F641" s="188" t="n">
        <v>2</v>
      </c>
      <c r="G641" s="188" t="n">
        <v>2</v>
      </c>
      <c r="H641" s="188" t="inlineStr">
        <is>
          <t>MEDIUM</t>
        </is>
      </c>
      <c r="I641" s="188" t="n">
        <v>9.5</v>
      </c>
      <c r="J641" s="188" t="inlineStr">
        <is>
          <t>NO</t>
        </is>
      </c>
      <c r="K641" s="188" t="inlineStr">
        <is>
          <t>https://nvd.nist.gov/vuln/detail/CVE-2026-3203</t>
        </is>
      </c>
      <c r="L641" s="188" t="inlineStr">
        <is>
          <t>2026-02-27 20:47</t>
        </is>
      </c>
      <c r="M641" s="188" t="inlineStr">
        <is>
          <t>YES</t>
        </is>
      </c>
      <c r="N641" s="188" t="inlineStr">
        <is>
          <t>https://www.wireshark.org/security/wnpa-sec-2026-07.html</t>
        </is>
      </c>
      <c r="O641" s="188" t="inlineStr">
        <is>
          <t>Apply vendor patches</t>
        </is>
      </c>
      <c r="P641" s="188" t="inlineStr">
        <is>
          <t>wireshark wireshark *</t>
        </is>
      </c>
      <c r="Q641" s="188" t="inlineStr">
        <is>
          <t>P4</t>
        </is>
      </c>
      <c r="R641" s="188" t="inlineStr">
        <is>
          <t>📅 Schedule patch deployment within 30 days | 🔍 Monitor for exploitation attempts</t>
        </is>
      </c>
      <c r="S641" s="188" t="inlineStr">
        <is>
          <t>CVE - IP enrichment n/a</t>
        </is>
      </c>
      <c r="T641" s="188" t="n">
        <v>0.0002</v>
      </c>
      <c r="U641" s="188" t="n">
        <v>0.0324</v>
      </c>
      <c r="V641" s="188" t="inlineStr">
        <is>
          <t>T1499:Endpoint Denial of Service</t>
        </is>
      </c>
      <c r="W641" s="188" t="n">
        <v>1</v>
      </c>
      <c r="X641" s="188" t="inlineStr">
        <is>
          <t>LOW (40%)</t>
        </is>
      </c>
      <c r="Y641" s="188" t="inlineStr">
        <is>
          <t>UNLIKELY</t>
        </is>
      </c>
      <c r="Z641" s="188" t="inlineStr">
        <is>
          <t>PATCH_AVAILABLE</t>
        </is>
      </c>
      <c r="AA641" s="188" t="inlineStr">
        <is>
          <t>https://nvd.nist.gov/vuln/detail/CVE-2026-3203</t>
        </is>
      </c>
      <c r="AB641" s="188" t="inlineStr">
        <is>
          <t>NONE</t>
        </is>
      </c>
      <c r="AC641" s="188" t="n">
        <v>0</v>
      </c>
      <c r="AD641" s="188" t="inlineStr"/>
    </row>
    <row r="642">
      <c r="A642" s="189" t="inlineStr">
        <is>
          <t>CVE</t>
        </is>
      </c>
      <c r="B642" s="189" t="inlineStr">
        <is>
          <t>CVE-2025-1242</t>
        </is>
      </c>
      <c r="C642" s="189"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642" s="189" t="n">
        <v>9.1</v>
      </c>
      <c r="E642" s="189" t="inlineStr">
        <is>
          <t>CRITICAL</t>
        </is>
      </c>
      <c r="F642" s="189" t="n">
        <v>2</v>
      </c>
      <c r="G642" s="189" t="n">
        <v>3</v>
      </c>
      <c r="H642" s="189" t="inlineStr">
        <is>
          <t>HIGH</t>
        </is>
      </c>
      <c r="I642" s="189" t="n">
        <v>15.1</v>
      </c>
      <c r="J642" s="189" t="inlineStr">
        <is>
          <t>NO</t>
        </is>
      </c>
      <c r="K642" s="189" t="inlineStr">
        <is>
          <t>https://nvd.nist.gov/vuln/detail/CVE-2025-1242</t>
        </is>
      </c>
      <c r="L642" s="189" t="inlineStr">
        <is>
          <t>2026-02-27 20:47</t>
        </is>
      </c>
      <c r="M642" s="189" t="inlineStr">
        <is>
          <t>CHECK_VENDOR</t>
        </is>
      </c>
      <c r="N642" s="189" t="inlineStr">
        <is>
          <t>See NVD references</t>
        </is>
      </c>
      <c r="O642" s="189" t="inlineStr">
        <is>
          <t>Apply vendor patches</t>
        </is>
      </c>
      <c r="P642" s="189" t="inlineStr">
        <is>
          <t>See CVE details</t>
        </is>
      </c>
      <c r="Q642" s="189" t="inlineStr">
        <is>
          <t>P3</t>
        </is>
      </c>
      <c r="R642" s="189" t="inlineStr">
        <is>
          <t>🚨 URGENT: Apply vendor patches immediately | 🔒 Isolate affected systems if patch unavailable | 🛡️ Enable additional monitoring/IDS rules</t>
        </is>
      </c>
      <c r="S642" s="189" t="inlineStr">
        <is>
          <t>CVE - IP enrichment n/a</t>
        </is>
      </c>
      <c r="T642" s="189" t="n">
        <v>0.0003</v>
      </c>
      <c r="U642" s="189" t="n">
        <v>0.0775</v>
      </c>
      <c r="V642" s="189" t="inlineStr">
        <is>
          <t>T1552:Unsecured Credentials</t>
        </is>
      </c>
      <c r="W642" s="189" t="n">
        <v>1</v>
      </c>
      <c r="X642" s="189" t="inlineStr">
        <is>
          <t>LOW (40%)</t>
        </is>
      </c>
      <c r="Y642" s="189" t="inlineStr">
        <is>
          <t>UNLIKELY</t>
        </is>
      </c>
      <c r="Z642" s="189" t="inlineStr">
        <is>
          <t>CHECK_VENDOR</t>
        </is>
      </c>
      <c r="AA642" s="189" t="inlineStr">
        <is>
          <t>https://nvd.nist.gov/vuln/detail/CVE-2025-1242</t>
        </is>
      </c>
      <c r="AB642" s="189" t="inlineStr">
        <is>
          <t>NONE</t>
        </is>
      </c>
      <c r="AC642" s="189" t="n">
        <v>0</v>
      </c>
      <c r="AD642" s="189" t="inlineStr"/>
    </row>
    <row r="643">
      <c r="A643" s="187" t="inlineStr">
        <is>
          <t>CVE</t>
        </is>
      </c>
      <c r="B643" s="187" t="inlineStr">
        <is>
          <t>CVE-2025-50180</t>
        </is>
      </c>
      <c r="C643" s="187"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643" s="187" t="n">
        <v>7.5</v>
      </c>
      <c r="E643" s="187" t="inlineStr">
        <is>
          <t>HIGH</t>
        </is>
      </c>
      <c r="F643" s="187" t="n">
        <v>2</v>
      </c>
      <c r="G643" s="187" t="n">
        <v>3</v>
      </c>
      <c r="H643" s="187" t="inlineStr">
        <is>
          <t>HIGH</t>
        </is>
      </c>
      <c r="I643" s="187" t="n">
        <v>13.5</v>
      </c>
      <c r="J643" s="187" t="inlineStr">
        <is>
          <t>NO</t>
        </is>
      </c>
      <c r="K643" s="187" t="inlineStr">
        <is>
          <t>https://nvd.nist.gov/vuln/detail/CVE-2025-50180</t>
        </is>
      </c>
      <c r="L643" s="187" t="inlineStr">
        <is>
          <t>2026-02-27 20:47</t>
        </is>
      </c>
      <c r="M643" s="187" t="inlineStr">
        <is>
          <t>YES</t>
        </is>
      </c>
      <c r="N643" s="187" t="inlineStr">
        <is>
          <t>https://github.com/esm-dev/esm.sh/blob/f80ff8c8d58749e77fa964abde468fc61f8bd89e/internal/fetch/fetch.go#L13 | https://github.com/esm-dev/esm.sh/blob/f80ff8c8d58749e77fa964abde468fc61f8bd89e/server/router.go#L511 | https://github.com/esm-dev/esm.sh/commit/0593516c4cfab49ad3b4900416a8432ff2e23eb0</t>
        </is>
      </c>
      <c r="O643" s="187" t="inlineStr">
        <is>
          <t>https://github.com/esm-dev/esm.sh/security/advisories/GHSA-3c9r-837r-qqm4</t>
        </is>
      </c>
      <c r="P643" s="187" t="inlineStr">
        <is>
          <t>esm esm.sh *</t>
        </is>
      </c>
      <c r="Q643" s="187" t="inlineStr">
        <is>
          <t>P3</t>
        </is>
      </c>
      <c r="R643" s="187" t="inlineStr">
        <is>
          <t>🚨 URGENT: Apply vendor patches immediately | 🔒 Isolate affected systems if patch unavailable | 🛡️ Enable additional monitoring/IDS rules</t>
        </is>
      </c>
      <c r="S643" s="187" t="inlineStr">
        <is>
          <t>CVE - IP enrichment n/a</t>
        </is>
      </c>
      <c r="T643" s="187" t="n">
        <v>0.0005</v>
      </c>
      <c r="U643" s="187" t="n">
        <v>0.1509</v>
      </c>
      <c r="V643" s="187" t="inlineStr">
        <is>
          <t>T1090:Proxy</t>
        </is>
      </c>
      <c r="W643" s="187" t="n">
        <v>1</v>
      </c>
      <c r="X643" s="187" t="inlineStr">
        <is>
          <t>LOW (40%)</t>
        </is>
      </c>
      <c r="Y643" s="187" t="inlineStr">
        <is>
          <t>UNLIKELY</t>
        </is>
      </c>
      <c r="Z643" s="187" t="inlineStr">
        <is>
          <t>PATCH_AVAILABLE</t>
        </is>
      </c>
      <c r="AA643" s="187" t="inlineStr">
        <is>
          <t>https://nvd.nist.gov/vuln/detail/CVE-2025-50180</t>
        </is>
      </c>
      <c r="AB643" s="187" t="inlineStr">
        <is>
          <t>NONE</t>
        </is>
      </c>
      <c r="AC643" s="187" t="n">
        <v>0</v>
      </c>
      <c r="AD643" s="187" t="inlineStr"/>
    </row>
    <row r="644">
      <c r="A644" s="189" t="inlineStr">
        <is>
          <t>CVE</t>
        </is>
      </c>
      <c r="B644" s="189" t="inlineStr">
        <is>
          <t>CVE-2025-69771</t>
        </is>
      </c>
      <c r="C644" s="189" t="inlineStr">
        <is>
          <t>An arbitrary file upload vulnerability in the subtitle loading function of asbplayer v1.13.0 allows attackers to execute arbitrary code via uploading a crafted subtitle file.</t>
        </is>
      </c>
      <c r="D644" s="189" t="n">
        <v>9.6</v>
      </c>
      <c r="E644" s="189" t="inlineStr">
        <is>
          <t>CRITICAL</t>
        </is>
      </c>
      <c r="F644" s="189" t="n">
        <v>2</v>
      </c>
      <c r="G644" s="189" t="n">
        <v>3</v>
      </c>
      <c r="H644" s="189" t="inlineStr">
        <is>
          <t>HIGH</t>
        </is>
      </c>
      <c r="I644" s="189" t="n">
        <v>15.6</v>
      </c>
      <c r="J644" s="189" t="inlineStr">
        <is>
          <t>NO</t>
        </is>
      </c>
      <c r="K644" s="189" t="inlineStr">
        <is>
          <t>https://nvd.nist.gov/vuln/detail/CVE-2025-69771</t>
        </is>
      </c>
      <c r="L644" s="189" t="inlineStr">
        <is>
          <t>2026-02-27 20:47</t>
        </is>
      </c>
      <c r="M644" s="189" t="inlineStr">
        <is>
          <t>CHECK_VENDOR</t>
        </is>
      </c>
      <c r="N644" s="189" t="inlineStr">
        <is>
          <t>See NVD references</t>
        </is>
      </c>
      <c r="O644" s="189" t="inlineStr">
        <is>
          <t>Apply vendor patches</t>
        </is>
      </c>
      <c r="P644" s="189" t="inlineStr">
        <is>
          <t>See CVE details</t>
        </is>
      </c>
      <c r="Q644" s="189" t="inlineStr">
        <is>
          <t>P3</t>
        </is>
      </c>
      <c r="R644" s="189" t="inlineStr">
        <is>
          <t>🚨 URGENT: Apply vendor patches immediately | 🔒 Isolate affected systems if patch unavailable | 🛡️ Enable additional monitoring/IDS rules</t>
        </is>
      </c>
      <c r="S644" s="189" t="inlineStr">
        <is>
          <t>CVE - IP enrichment n/a</t>
        </is>
      </c>
      <c r="T644" s="189" t="n">
        <v>0.0004</v>
      </c>
      <c r="U644" s="189" t="n">
        <v>0.1297</v>
      </c>
      <c r="V644" s="189" t="inlineStr">
        <is>
          <t>T1190:Exploit Public-Facing Application | T1203:Exploitation for Client Execution</t>
        </is>
      </c>
      <c r="W644" s="189" t="n">
        <v>1</v>
      </c>
      <c r="X644" s="189" t="inlineStr">
        <is>
          <t>LOW (40%)</t>
        </is>
      </c>
      <c r="Y644" s="189" t="inlineStr">
        <is>
          <t>UNLIKELY</t>
        </is>
      </c>
      <c r="Z644" s="189" t="inlineStr">
        <is>
          <t>CHECK_VENDOR</t>
        </is>
      </c>
      <c r="AA644" s="189" t="inlineStr">
        <is>
          <t>https://nvd.nist.gov/vuln/detail/CVE-2025-69771</t>
        </is>
      </c>
      <c r="AB644" s="189" t="inlineStr">
        <is>
          <t>NONE</t>
        </is>
      </c>
      <c r="AC644" s="189" t="n">
        <v>0</v>
      </c>
      <c r="AD644" s="189" t="inlineStr"/>
    </row>
    <row r="645">
      <c r="A645" s="188" t="inlineStr">
        <is>
          <t>CVE</t>
        </is>
      </c>
      <c r="B645" s="188" t="inlineStr">
        <is>
          <t>CVE-2026-22866</t>
        </is>
      </c>
      <c r="C645" s="188"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645" s="188" t="n">
        <v>5</v>
      </c>
      <c r="E645" s="188" t="inlineStr">
        <is>
          <t>MEDIUM</t>
        </is>
      </c>
      <c r="F645" s="188" t="n">
        <v>2</v>
      </c>
      <c r="G645" s="188" t="n">
        <v>2</v>
      </c>
      <c r="H645" s="188" t="inlineStr">
        <is>
          <t>MEDIUM</t>
        </is>
      </c>
      <c r="I645" s="188" t="n">
        <v>9</v>
      </c>
      <c r="J645" s="188" t="inlineStr">
        <is>
          <t>NO</t>
        </is>
      </c>
      <c r="K645" s="188" t="inlineStr">
        <is>
          <t>https://nvd.nist.gov/vuln/detail/CVE-2026-22866</t>
        </is>
      </c>
      <c r="L645" s="188" t="inlineStr">
        <is>
          <t>2026-02-27 20:47</t>
        </is>
      </c>
      <c r="M645" s="188" t="inlineStr">
        <is>
          <t>CHECK_VENDOR</t>
        </is>
      </c>
      <c r="N645" s="188" t="inlineStr">
        <is>
          <t>See NVD references</t>
        </is>
      </c>
      <c r="O645" s="188" t="inlineStr">
        <is>
          <t>Apply vendor patches</t>
        </is>
      </c>
      <c r="P645" s="188" t="inlineStr">
        <is>
          <t>See CVE details</t>
        </is>
      </c>
      <c r="Q645" s="188" t="inlineStr">
        <is>
          <t>P4</t>
        </is>
      </c>
      <c r="R645" s="188" t="inlineStr">
        <is>
          <t>📅 Schedule patch deployment within 30 days | 🔍 Monitor for exploitation attempts</t>
        </is>
      </c>
      <c r="S645" s="188" t="inlineStr">
        <is>
          <t>CVE - IP enrichment n/a</t>
        </is>
      </c>
      <c r="T645" s="188" t="n">
        <v>0.0003</v>
      </c>
      <c r="U645" s="188" t="n">
        <v>0.0725</v>
      </c>
      <c r="V645" s="188" t="inlineStr">
        <is>
          <t>T1190:Exploit Public-Facing Application</t>
        </is>
      </c>
      <c r="W645" s="188" t="n">
        <v>1</v>
      </c>
      <c r="X645" s="188" t="inlineStr">
        <is>
          <t>LOW (40%)</t>
        </is>
      </c>
      <c r="Y645" s="188" t="inlineStr">
        <is>
          <t>UNLIKELY</t>
        </is>
      </c>
      <c r="Z645" s="188" t="inlineStr">
        <is>
          <t>CHECK_VENDOR</t>
        </is>
      </c>
      <c r="AA645" s="188" t="inlineStr">
        <is>
          <t>https://nvd.nist.gov/vuln/detail/CVE-2026-22866</t>
        </is>
      </c>
      <c r="AB645" s="188" t="inlineStr">
        <is>
          <t>NONE</t>
        </is>
      </c>
      <c r="AC645" s="188" t="n">
        <v>0</v>
      </c>
      <c r="AD645" s="188" t="inlineStr"/>
    </row>
    <row r="646">
      <c r="A646" s="187" t="inlineStr">
        <is>
          <t>CVE</t>
        </is>
      </c>
      <c r="B646" s="187" t="inlineStr">
        <is>
          <t>CVE-2026-27700</t>
        </is>
      </c>
      <c r="C646" s="187"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646" s="187" t="n">
        <v>8.199999999999999</v>
      </c>
      <c r="E646" s="187" t="inlineStr">
        <is>
          <t>HIGH</t>
        </is>
      </c>
      <c r="F646" s="187" t="n">
        <v>2</v>
      </c>
      <c r="G646" s="187" t="n">
        <v>3</v>
      </c>
      <c r="H646" s="187" t="inlineStr">
        <is>
          <t>HIGH</t>
        </is>
      </c>
      <c r="I646" s="187" t="n">
        <v>14.2</v>
      </c>
      <c r="J646" s="187" t="inlineStr">
        <is>
          <t>NO</t>
        </is>
      </c>
      <c r="K646" s="187" t="inlineStr">
        <is>
          <t>https://nvd.nist.gov/vuln/detail/CVE-2026-27700</t>
        </is>
      </c>
      <c r="L646" s="187" t="inlineStr">
        <is>
          <t>2026-02-27 20:47</t>
        </is>
      </c>
      <c r="M646" s="187" t="inlineStr">
        <is>
          <t>CHECK_VENDOR</t>
        </is>
      </c>
      <c r="N646" s="187" t="inlineStr">
        <is>
          <t>See NVD references</t>
        </is>
      </c>
      <c r="O646" s="187" t="inlineStr">
        <is>
          <t>Apply vendor patches</t>
        </is>
      </c>
      <c r="P646" s="187" t="inlineStr">
        <is>
          <t>See CVE details</t>
        </is>
      </c>
      <c r="Q646" s="187" t="inlineStr">
        <is>
          <t>P3</t>
        </is>
      </c>
      <c r="R646" s="187" t="inlineStr">
        <is>
          <t>🚨 URGENT: Apply vendor patches immediately | 🔒 Isolate affected systems if patch unavailable | 🛡️ Enable additional monitoring/IDS rules</t>
        </is>
      </c>
      <c r="S646" s="187" t="inlineStr">
        <is>
          <t>CVE - IP enrichment n/a</t>
        </is>
      </c>
      <c r="T646" s="187" t="n">
        <v>0.0001</v>
      </c>
      <c r="U646" s="187" t="n">
        <v>0.0269</v>
      </c>
      <c r="V646" s="187" t="inlineStr">
        <is>
          <t>T1190:Exploit Public-Facing Application</t>
        </is>
      </c>
      <c r="W646" s="187" t="n">
        <v>1</v>
      </c>
      <c r="X646" s="187" t="inlineStr">
        <is>
          <t>LOW (40%)</t>
        </is>
      </c>
      <c r="Y646" s="187" t="inlineStr">
        <is>
          <t>UNLIKELY</t>
        </is>
      </c>
      <c r="Z646" s="187" t="inlineStr">
        <is>
          <t>CHECK_VENDOR</t>
        </is>
      </c>
      <c r="AA646" s="187" t="inlineStr">
        <is>
          <t>https://nvd.nist.gov/vuln/detail/CVE-2026-27700</t>
        </is>
      </c>
      <c r="AB646" s="187" t="inlineStr">
        <is>
          <t>NONE</t>
        </is>
      </c>
      <c r="AC646" s="187" t="n">
        <v>0</v>
      </c>
      <c r="AD646" s="187" t="inlineStr"/>
    </row>
    <row r="647">
      <c r="A647" s="187" t="inlineStr">
        <is>
          <t>CVE</t>
        </is>
      </c>
      <c r="B647" s="187" t="inlineStr">
        <is>
          <t>CVE-2026-27701</t>
        </is>
      </c>
      <c r="C647" s="187"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647" s="187" t="n">
        <v>8.5</v>
      </c>
      <c r="E647" s="187" t="inlineStr">
        <is>
          <t>HIGH</t>
        </is>
      </c>
      <c r="F647" s="187" t="n">
        <v>2</v>
      </c>
      <c r="G647" s="187" t="n">
        <v>3</v>
      </c>
      <c r="H647" s="187" t="inlineStr">
        <is>
          <t>HIGH</t>
        </is>
      </c>
      <c r="I647" s="187" t="n">
        <v>14.5</v>
      </c>
      <c r="J647" s="187" t="inlineStr">
        <is>
          <t>NO</t>
        </is>
      </c>
      <c r="K647" s="187" t="inlineStr">
        <is>
          <t>https://nvd.nist.gov/vuln/detail/CVE-2026-27701</t>
        </is>
      </c>
      <c r="L647" s="187" t="inlineStr">
        <is>
          <t>2026-02-27 20:47</t>
        </is>
      </c>
      <c r="M647" s="187" t="inlineStr">
        <is>
          <t>CHECK_VENDOR</t>
        </is>
      </c>
      <c r="N647" s="187" t="inlineStr">
        <is>
          <t>See NVD references</t>
        </is>
      </c>
      <c r="O647" s="187" t="inlineStr">
        <is>
          <t>Apply vendor patches</t>
        </is>
      </c>
      <c r="P647" s="187" t="inlineStr">
        <is>
          <t>See CVE details</t>
        </is>
      </c>
      <c r="Q647" s="187" t="inlineStr">
        <is>
          <t>P3</t>
        </is>
      </c>
      <c r="R647" s="187" t="inlineStr">
        <is>
          <t>🚨 URGENT: Apply vendor patches immediately | 🔒 Isolate affected systems if patch unavailable | 🛡️ Enable additional monitoring/IDS rules</t>
        </is>
      </c>
      <c r="S647" s="187" t="inlineStr">
        <is>
          <t>CVE - IP enrichment n/a</t>
        </is>
      </c>
      <c r="T647" s="187" t="n">
        <v>0.0005</v>
      </c>
      <c r="U647" s="187" t="n">
        <v>0.1447</v>
      </c>
      <c r="V647" s="187" t="inlineStr">
        <is>
          <t>T1059:Command and Scripting Interpreter | T1190:Exploit Public-Facing Application</t>
        </is>
      </c>
      <c r="W647" s="187" t="n">
        <v>1</v>
      </c>
      <c r="X647" s="187" t="inlineStr">
        <is>
          <t>LOW (40%)</t>
        </is>
      </c>
      <c r="Y647" s="187" t="inlineStr">
        <is>
          <t>UNLIKELY</t>
        </is>
      </c>
      <c r="Z647" s="187" t="inlineStr">
        <is>
          <t>CHECK_VENDOR</t>
        </is>
      </c>
      <c r="AA647" s="187" t="inlineStr">
        <is>
          <t>https://nvd.nist.gov/vuln/detail/CVE-2026-27701</t>
        </is>
      </c>
      <c r="AB647" s="187" t="inlineStr">
        <is>
          <t>NONE</t>
        </is>
      </c>
      <c r="AC647" s="187" t="n">
        <v>0</v>
      </c>
      <c r="AD647" s="187" t="inlineStr"/>
    </row>
    <row r="648">
      <c r="A648" s="189" t="inlineStr">
        <is>
          <t>CVE</t>
        </is>
      </c>
      <c r="B648" s="189" t="inlineStr">
        <is>
          <t>CVE-2026-27702</t>
        </is>
      </c>
      <c r="C648" s="189"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648" s="189" t="n">
        <v>9.9</v>
      </c>
      <c r="E648" s="189" t="inlineStr">
        <is>
          <t>CRITICAL</t>
        </is>
      </c>
      <c r="F648" s="189" t="n">
        <v>2</v>
      </c>
      <c r="G648" s="189" t="n">
        <v>3</v>
      </c>
      <c r="H648" s="189" t="inlineStr">
        <is>
          <t>HIGH</t>
        </is>
      </c>
      <c r="I648" s="189" t="n">
        <v>15.9</v>
      </c>
      <c r="J648" s="189" t="inlineStr">
        <is>
          <t>NO</t>
        </is>
      </c>
      <c r="K648" s="189" t="inlineStr">
        <is>
          <t>https://nvd.nist.gov/vuln/detail/CVE-2026-27702</t>
        </is>
      </c>
      <c r="L648" s="189" t="inlineStr">
        <is>
          <t>2026-02-27 20:47</t>
        </is>
      </c>
      <c r="M648" s="189" t="inlineStr">
        <is>
          <t>CHECK_VENDOR</t>
        </is>
      </c>
      <c r="N648" s="189" t="inlineStr">
        <is>
          <t>See NVD references</t>
        </is>
      </c>
      <c r="O648" s="189" t="inlineStr">
        <is>
          <t>Apply vendor patches</t>
        </is>
      </c>
      <c r="P648" s="189" t="inlineStr">
        <is>
          <t>See CVE details</t>
        </is>
      </c>
      <c r="Q648" s="189" t="inlineStr">
        <is>
          <t>P3</t>
        </is>
      </c>
      <c r="R648" s="189" t="inlineStr">
        <is>
          <t>🚨 URGENT: Apply vendor patches immediately | 🔒 Isolate affected systems if patch unavailable | 🛡️ Enable additional monitoring/IDS rules</t>
        </is>
      </c>
      <c r="S648" s="189" t="inlineStr">
        <is>
          <t>CVE - IP enrichment n/a</t>
        </is>
      </c>
      <c r="T648" s="189" t="n">
        <v>0.0007</v>
      </c>
      <c r="U648" s="189" t="n">
        <v>0.2078</v>
      </c>
      <c r="V648" s="189" t="inlineStr">
        <is>
          <t>T1552:Unsecured Credentials</t>
        </is>
      </c>
      <c r="W648" s="189" t="n">
        <v>1</v>
      </c>
      <c r="X648" s="189" t="inlineStr">
        <is>
          <t>LOW (40%)</t>
        </is>
      </c>
      <c r="Y648" s="189" t="inlineStr">
        <is>
          <t>UNLIKELY</t>
        </is>
      </c>
      <c r="Z648" s="189" t="inlineStr">
        <is>
          <t>CHECK_VENDOR</t>
        </is>
      </c>
      <c r="AA648" s="189" t="inlineStr">
        <is>
          <t>https://nvd.nist.gov/vuln/detail/CVE-2026-27702</t>
        </is>
      </c>
      <c r="AB648" s="189" t="inlineStr">
        <is>
          <t>NONE</t>
        </is>
      </c>
      <c r="AC648" s="189" t="n">
        <v>0</v>
      </c>
      <c r="AD648" s="189" t="inlineStr"/>
    </row>
    <row r="649">
      <c r="A649" s="188" t="inlineStr">
        <is>
          <t>CVE</t>
        </is>
      </c>
      <c r="B649" s="188" t="inlineStr">
        <is>
          <t>CVE-2026-27704</t>
        </is>
      </c>
      <c r="C649" s="188"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649" s="188" t="n">
        <v>5</v>
      </c>
      <c r="E649" s="188" t="inlineStr">
        <is>
          <t>MEDIUM</t>
        </is>
      </c>
      <c r="F649" s="188" t="n">
        <v>2</v>
      </c>
      <c r="G649" s="188" t="n">
        <v>2</v>
      </c>
      <c r="H649" s="188" t="inlineStr">
        <is>
          <t>MEDIUM</t>
        </is>
      </c>
      <c r="I649" s="188" t="n">
        <v>9</v>
      </c>
      <c r="J649" s="188" t="inlineStr">
        <is>
          <t>NO</t>
        </is>
      </c>
      <c r="K649" s="188" t="inlineStr">
        <is>
          <t>https://nvd.nist.gov/vuln/detail/CVE-2026-27704</t>
        </is>
      </c>
      <c r="L649" s="188" t="inlineStr">
        <is>
          <t>2026-02-27 20:47</t>
        </is>
      </c>
      <c r="M649" s="188" t="inlineStr">
        <is>
          <t>CHECK_VENDOR</t>
        </is>
      </c>
      <c r="N649" s="188" t="inlineStr">
        <is>
          <t>See NVD references</t>
        </is>
      </c>
      <c r="O649" s="188" t="inlineStr">
        <is>
          <t>Apply vendor patches</t>
        </is>
      </c>
      <c r="P649" s="188" t="inlineStr">
        <is>
          <t>See CVE details</t>
        </is>
      </c>
      <c r="Q649" s="188" t="inlineStr">
        <is>
          <t>P4</t>
        </is>
      </c>
      <c r="R649" s="188" t="inlineStr">
        <is>
          <t>📅 Schedule patch deployment within 30 days | 🔍 Monitor for exploitation attempts</t>
        </is>
      </c>
      <c r="S649" s="188" t="inlineStr">
        <is>
          <t>CVE - IP enrichment n/a</t>
        </is>
      </c>
      <c r="T649" s="188" t="n">
        <v>0.0005</v>
      </c>
      <c r="U649" s="188" t="n">
        <v>0.1417</v>
      </c>
      <c r="V649" s="188" t="inlineStr">
        <is>
          <t>T1083:File and Directory Discovery</t>
        </is>
      </c>
      <c r="W649" s="188" t="n">
        <v>1</v>
      </c>
      <c r="X649" s="188" t="inlineStr">
        <is>
          <t>LOW (40%)</t>
        </is>
      </c>
      <c r="Y649" s="188" t="inlineStr">
        <is>
          <t>UNLIKELY</t>
        </is>
      </c>
      <c r="Z649" s="188" t="inlineStr">
        <is>
          <t>CHECK_VENDOR</t>
        </is>
      </c>
      <c r="AA649" s="188" t="inlineStr">
        <is>
          <t>https://nvd.nist.gov/vuln/detail/CVE-2026-27704</t>
        </is>
      </c>
      <c r="AB649" s="188" t="inlineStr">
        <is>
          <t>NONE</t>
        </is>
      </c>
      <c r="AC649" s="188" t="n">
        <v>0</v>
      </c>
      <c r="AD649" s="188" t="inlineStr"/>
    </row>
    <row r="650">
      <c r="A650" s="187" t="inlineStr">
        <is>
          <t>CVE</t>
        </is>
      </c>
      <c r="B650" s="187" t="inlineStr">
        <is>
          <t>CVE-2026-27730</t>
        </is>
      </c>
      <c r="C650" s="187"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650" s="187" t="n">
        <v>7.5</v>
      </c>
      <c r="E650" s="187" t="inlineStr">
        <is>
          <t>HIGH</t>
        </is>
      </c>
      <c r="F650" s="187" t="n">
        <v>2</v>
      </c>
      <c r="G650" s="187" t="n">
        <v>3</v>
      </c>
      <c r="H650" s="187" t="inlineStr">
        <is>
          <t>HIGH</t>
        </is>
      </c>
      <c r="I650" s="187" t="n">
        <v>13.5</v>
      </c>
      <c r="J650" s="187" t="inlineStr">
        <is>
          <t>NO</t>
        </is>
      </c>
      <c r="K650" s="187" t="inlineStr">
        <is>
          <t>https://nvd.nist.gov/vuln/detail/CVE-2026-27730</t>
        </is>
      </c>
      <c r="L650" s="187" t="inlineStr">
        <is>
          <t>2026-02-27 20:47</t>
        </is>
      </c>
      <c r="M650" s="187" t="inlineStr">
        <is>
          <t>YES</t>
        </is>
      </c>
      <c r="N650" s="187" t="inlineStr">
        <is>
          <t>https://github.com/esm-dev/esm.sh/security/advisories/GHSA-p2v6-84h2-5x4r</t>
        </is>
      </c>
      <c r="O650" s="187" t="inlineStr">
        <is>
          <t>Apply vendor patches</t>
        </is>
      </c>
      <c r="P650" s="187" t="inlineStr">
        <is>
          <t>esm esm.sh *</t>
        </is>
      </c>
      <c r="Q650" s="187" t="inlineStr">
        <is>
          <t>P3</t>
        </is>
      </c>
      <c r="R650" s="187" t="inlineStr">
        <is>
          <t>🚨 URGENT: Apply vendor patches immediately | 🔒 Isolate affected systems if patch unavailable | 🛡️ Enable additional monitoring/IDS rules</t>
        </is>
      </c>
      <c r="S650" s="187" t="inlineStr">
        <is>
          <t>CVE - IP enrichment n/a</t>
        </is>
      </c>
      <c r="T650" s="187" t="n">
        <v>0.0003</v>
      </c>
      <c r="U650" s="187" t="n">
        <v>0.09810000000000001</v>
      </c>
      <c r="V650" s="187" t="inlineStr">
        <is>
          <t>T1090:Proxy</t>
        </is>
      </c>
      <c r="W650" s="187" t="n">
        <v>1</v>
      </c>
      <c r="X650" s="187" t="inlineStr">
        <is>
          <t>LOW (40%)</t>
        </is>
      </c>
      <c r="Y650" s="187" t="inlineStr">
        <is>
          <t>UNLIKELY</t>
        </is>
      </c>
      <c r="Z650" s="187" t="inlineStr">
        <is>
          <t>PATCH_AVAILABLE</t>
        </is>
      </c>
      <c r="AA650" s="187" t="inlineStr">
        <is>
          <t>https://nvd.nist.gov/vuln/detail/CVE-2026-27730</t>
        </is>
      </c>
      <c r="AB650" s="187" t="inlineStr">
        <is>
          <t>NONE</t>
        </is>
      </c>
      <c r="AC650" s="187" t="n">
        <v>0</v>
      </c>
      <c r="AD650" s="187" t="inlineStr"/>
    </row>
    <row r="651">
      <c r="A651" s="188" t="inlineStr">
        <is>
          <t>CVE</t>
        </is>
      </c>
      <c r="B651" s="188" t="inlineStr">
        <is>
          <t>CVE-2026-27846</t>
        </is>
      </c>
      <c r="C651" s="188"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651" s="188" t="n">
        <v>6.2</v>
      </c>
      <c r="E651" s="188" t="inlineStr">
        <is>
          <t>MEDIUM</t>
        </is>
      </c>
      <c r="F651" s="188" t="n">
        <v>2</v>
      </c>
      <c r="G651" s="188" t="n">
        <v>2</v>
      </c>
      <c r="H651" s="188" t="inlineStr">
        <is>
          <t>MEDIUM</t>
        </is>
      </c>
      <c r="I651" s="188" t="n">
        <v>10.2</v>
      </c>
      <c r="J651" s="188" t="inlineStr">
        <is>
          <t>NO</t>
        </is>
      </c>
      <c r="K651" s="188" t="inlineStr">
        <is>
          <t>https://nvd.nist.gov/vuln/detail/CVE-2026-27846</t>
        </is>
      </c>
      <c r="L651" s="188" t="inlineStr">
        <is>
          <t>2026-02-27 20:47</t>
        </is>
      </c>
      <c r="M651" s="188" t="inlineStr">
        <is>
          <t>CHECK_VENDOR</t>
        </is>
      </c>
      <c r="N651" s="188" t="inlineStr">
        <is>
          <t>See NVD references</t>
        </is>
      </c>
      <c r="O651" s="188" t="inlineStr">
        <is>
          <t>Apply vendor patches</t>
        </is>
      </c>
      <c r="P651" s="188" t="inlineStr">
        <is>
          <t>See CVE details</t>
        </is>
      </c>
      <c r="Q651" s="188" t="inlineStr">
        <is>
          <t>P4</t>
        </is>
      </c>
      <c r="R651" s="188" t="inlineStr">
        <is>
          <t>📅 Schedule patch deployment within 30 days | 🔍 Monitor for exploitation attempts</t>
        </is>
      </c>
      <c r="S651" s="188" t="inlineStr">
        <is>
          <t>CVE - IP enrichment n/a</t>
        </is>
      </c>
      <c r="T651" s="188" t="n">
        <v>0.0002</v>
      </c>
      <c r="U651" s="188" t="n">
        <v>0.0454</v>
      </c>
      <c r="V651" s="188" t="inlineStr">
        <is>
          <t>T1078:Valid Accounts</t>
        </is>
      </c>
      <c r="W651" s="188" t="n">
        <v>1</v>
      </c>
      <c r="X651" s="188" t="inlineStr">
        <is>
          <t>LOW (40%)</t>
        </is>
      </c>
      <c r="Y651" s="188" t="inlineStr">
        <is>
          <t>UNLIKELY</t>
        </is>
      </c>
      <c r="Z651" s="188" t="inlineStr">
        <is>
          <t>CHECK_VENDOR</t>
        </is>
      </c>
      <c r="AA651" s="188" t="inlineStr">
        <is>
          <t>https://nvd.nist.gov/vuln/detail/CVE-2026-27846</t>
        </is>
      </c>
      <c r="AB651" s="188" t="inlineStr">
        <is>
          <t>NONE</t>
        </is>
      </c>
      <c r="AC651" s="188" t="n">
        <v>0</v>
      </c>
      <c r="AD651" s="188" t="inlineStr"/>
    </row>
    <row r="652">
      <c r="A652" s="189" t="inlineStr">
        <is>
          <t>CVE</t>
        </is>
      </c>
      <c r="B652" s="189" t="inlineStr">
        <is>
          <t>CVE-2026-27847</t>
        </is>
      </c>
      <c r="C652" s="189"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652" s="189" t="n">
        <v>9.800000000000001</v>
      </c>
      <c r="E652" s="189" t="inlineStr">
        <is>
          <t>CRITICAL</t>
        </is>
      </c>
      <c r="F652" s="189" t="n">
        <v>2</v>
      </c>
      <c r="G652" s="189" t="n">
        <v>3</v>
      </c>
      <c r="H652" s="189" t="inlineStr">
        <is>
          <t>HIGH</t>
        </is>
      </c>
      <c r="I652" s="189" t="n">
        <v>15.8</v>
      </c>
      <c r="J652" s="189" t="inlineStr">
        <is>
          <t>NO</t>
        </is>
      </c>
      <c r="K652" s="189" t="inlineStr">
        <is>
          <t>https://nvd.nist.gov/vuln/detail/CVE-2026-27847</t>
        </is>
      </c>
      <c r="L652" s="189" t="inlineStr">
        <is>
          <t>2026-02-27 20:47</t>
        </is>
      </c>
      <c r="M652" s="189" t="inlineStr">
        <is>
          <t>CHECK_VENDOR</t>
        </is>
      </c>
      <c r="N652" s="189" t="inlineStr">
        <is>
          <t>See NVD references</t>
        </is>
      </c>
      <c r="O652" s="189" t="inlineStr">
        <is>
          <t>Apply vendor patches</t>
        </is>
      </c>
      <c r="P652" s="189" t="inlineStr">
        <is>
          <t>See CVE details</t>
        </is>
      </c>
      <c r="Q652" s="189" t="inlineStr">
        <is>
          <t>P3</t>
        </is>
      </c>
      <c r="R652" s="189" t="inlineStr">
        <is>
          <t>🚨 URGENT: Apply vendor patches immediately | 🔒 Isolate affected systems if patch unavailable | 🛡️ Enable additional monitoring/IDS rules</t>
        </is>
      </c>
      <c r="S652" s="189" t="inlineStr">
        <is>
          <t>CVE - IP enrichment n/a</t>
        </is>
      </c>
      <c r="T652" s="189" t="n">
        <v>0.0005</v>
      </c>
      <c r="U652" s="189" t="n">
        <v>0.1468</v>
      </c>
      <c r="V652" s="189" t="inlineStr">
        <is>
          <t>T1190:Exploit Public-Facing Application | T1552:Unsecured Credentials</t>
        </is>
      </c>
      <c r="W652" s="189" t="n">
        <v>1</v>
      </c>
      <c r="X652" s="189" t="inlineStr">
        <is>
          <t>LOW (40%)</t>
        </is>
      </c>
      <c r="Y652" s="189" t="inlineStr">
        <is>
          <t>UNLIKELY</t>
        </is>
      </c>
      <c r="Z652" s="189" t="inlineStr">
        <is>
          <t>CHECK_VENDOR</t>
        </is>
      </c>
      <c r="AA652" s="189" t="inlineStr">
        <is>
          <t>https://nvd.nist.gov/vuln/detail/CVE-2026-27847</t>
        </is>
      </c>
      <c r="AB652" s="189" t="inlineStr">
        <is>
          <t>NONE</t>
        </is>
      </c>
      <c r="AC652" s="189" t="n">
        <v>0</v>
      </c>
      <c r="AD652" s="189" t="inlineStr"/>
    </row>
    <row r="653">
      <c r="A653" s="189" t="inlineStr">
        <is>
          <t>CVE</t>
        </is>
      </c>
      <c r="B653" s="189" t="inlineStr">
        <is>
          <t>CVE-2026-27848</t>
        </is>
      </c>
      <c r="C653" s="189" t="inlineStr">
        <is>
          <t>Due to missing neutralization of special elements, OS commands can be injected via the handshake of a TLS-SRP connection, which are ultimately run as the root user.
This issue affects MR9600: 1.0.4.205530; MX4200: 1.0.13.210200.</t>
        </is>
      </c>
      <c r="D653" s="189" t="n">
        <v>9.800000000000001</v>
      </c>
      <c r="E653" s="189" t="inlineStr">
        <is>
          <t>CRITICAL</t>
        </is>
      </c>
      <c r="F653" s="189" t="n">
        <v>2</v>
      </c>
      <c r="G653" s="189" t="n">
        <v>3</v>
      </c>
      <c r="H653" s="189" t="inlineStr">
        <is>
          <t>HIGH</t>
        </is>
      </c>
      <c r="I653" s="189" t="n">
        <v>15.8</v>
      </c>
      <c r="J653" s="189" t="inlineStr">
        <is>
          <t>NO</t>
        </is>
      </c>
      <c r="K653" s="189" t="inlineStr">
        <is>
          <t>https://nvd.nist.gov/vuln/detail/CVE-2026-27848</t>
        </is>
      </c>
      <c r="L653" s="189" t="inlineStr">
        <is>
          <t>2026-02-27 20:47</t>
        </is>
      </c>
      <c r="M653" s="189" t="inlineStr">
        <is>
          <t>CHECK_VENDOR</t>
        </is>
      </c>
      <c r="N653" s="189" t="inlineStr">
        <is>
          <t>See NVD references</t>
        </is>
      </c>
      <c r="O653" s="189" t="inlineStr">
        <is>
          <t>Apply vendor patches</t>
        </is>
      </c>
      <c r="P653" s="189" t="inlineStr">
        <is>
          <t>See CVE details</t>
        </is>
      </c>
      <c r="Q653" s="189" t="inlineStr">
        <is>
          <t>P3</t>
        </is>
      </c>
      <c r="R653" s="189" t="inlineStr">
        <is>
          <t>🚨 URGENT: Apply vendor patches immediately | 🔒 Isolate affected systems if patch unavailable | 🛡️ Enable additional monitoring/IDS rules</t>
        </is>
      </c>
      <c r="S653" s="189" t="inlineStr">
        <is>
          <t>CVE - IP enrichment n/a</t>
        </is>
      </c>
      <c r="T653" s="189" t="n">
        <v>0.0005</v>
      </c>
      <c r="U653" s="189" t="n">
        <v>0.1468</v>
      </c>
      <c r="V653" s="189" t="inlineStr">
        <is>
          <t>T1059:Command and Scripting Interpreter</t>
        </is>
      </c>
      <c r="W653" s="189" t="n">
        <v>1</v>
      </c>
      <c r="X653" s="189" t="inlineStr">
        <is>
          <t>LOW (40%)</t>
        </is>
      </c>
      <c r="Y653" s="189" t="inlineStr">
        <is>
          <t>UNLIKELY</t>
        </is>
      </c>
      <c r="Z653" s="189" t="inlineStr">
        <is>
          <t>CHECK_VENDOR</t>
        </is>
      </c>
      <c r="AA653" s="189" t="inlineStr">
        <is>
          <t>https://nvd.nist.gov/vuln/detail/CVE-2026-27848</t>
        </is>
      </c>
      <c r="AB653" s="189" t="inlineStr">
        <is>
          <t>NONE</t>
        </is>
      </c>
      <c r="AC653" s="189" t="n">
        <v>0</v>
      </c>
      <c r="AD653" s="189" t="inlineStr"/>
    </row>
    <row r="654">
      <c r="A654" s="188" t="inlineStr">
        <is>
          <t>CVE</t>
        </is>
      </c>
      <c r="B654" s="188" t="inlineStr">
        <is>
          <t>CVE-2026-3188</t>
        </is>
      </c>
      <c r="C654" s="188"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654" s="188" t="n">
        <v>4.3</v>
      </c>
      <c r="E654" s="188" t="inlineStr">
        <is>
          <t>MEDIUM</t>
        </is>
      </c>
      <c r="F654" s="188" t="n">
        <v>2</v>
      </c>
      <c r="G654" s="188" t="n">
        <v>2</v>
      </c>
      <c r="H654" s="188" t="inlineStr">
        <is>
          <t>MEDIUM</t>
        </is>
      </c>
      <c r="I654" s="188" t="n">
        <v>8.300000000000001</v>
      </c>
      <c r="J654" s="188" t="inlineStr">
        <is>
          <t>NO</t>
        </is>
      </c>
      <c r="K654" s="188" t="inlineStr">
        <is>
          <t>https://nvd.nist.gov/vuln/detail/CVE-2026-3188</t>
        </is>
      </c>
      <c r="L654" s="188" t="inlineStr">
        <is>
          <t>2026-02-27 20:47</t>
        </is>
      </c>
      <c r="M654" s="188" t="inlineStr">
        <is>
          <t>CHECK_VENDOR</t>
        </is>
      </c>
      <c r="N654" s="188" t="inlineStr">
        <is>
          <t>See NVD references</t>
        </is>
      </c>
      <c r="O654" s="188" t="inlineStr">
        <is>
          <t>Apply vendor patches</t>
        </is>
      </c>
      <c r="P654" s="188" t="inlineStr">
        <is>
          <t>See CVE details</t>
        </is>
      </c>
      <c r="Q654" s="188" t="inlineStr">
        <is>
          <t>P4</t>
        </is>
      </c>
      <c r="R654" s="188" t="inlineStr">
        <is>
          <t>📅 Schedule patch deployment within 30 days | 🔍 Monitor for exploitation attempts</t>
        </is>
      </c>
      <c r="S654" s="188" t="inlineStr">
        <is>
          <t>CVE - IP enrichment n/a</t>
        </is>
      </c>
      <c r="T654" s="188" t="n">
        <v>0.0004</v>
      </c>
      <c r="U654" s="188" t="n">
        <v>0.1381</v>
      </c>
      <c r="V654" s="188" t="inlineStr">
        <is>
          <t>T1083:File and Directory Discovery</t>
        </is>
      </c>
      <c r="W654" s="188" t="n">
        <v>1</v>
      </c>
      <c r="X654" s="188" t="inlineStr">
        <is>
          <t>LOW (40%)</t>
        </is>
      </c>
      <c r="Y654" s="188" t="inlineStr">
        <is>
          <t>UNLIKELY</t>
        </is>
      </c>
      <c r="Z654" s="188" t="inlineStr">
        <is>
          <t>CHECK_VENDOR</t>
        </is>
      </c>
      <c r="AA654" s="188" t="inlineStr">
        <is>
          <t>https://nvd.nist.gov/vuln/detail/CVE-2026-3188</t>
        </is>
      </c>
      <c r="AB654" s="188" t="inlineStr">
        <is>
          <t>NONE</t>
        </is>
      </c>
      <c r="AC654" s="188" t="n">
        <v>0</v>
      </c>
      <c r="AD654" s="188" t="inlineStr"/>
    </row>
    <row r="655">
      <c r="A655" s="187" t="inlineStr">
        <is>
          <t>CVE</t>
        </is>
      </c>
      <c r="B655" s="187" t="inlineStr">
        <is>
          <t>CVE-2026-3206</t>
        </is>
      </c>
      <c r="C655" s="187" t="inlineStr">
        <is>
          <t>Improper Resource Shutdown or Release vulnerability in KrakenD, SLU KrakenD-CE (CircuitBreaker modules), KrakenD, SLU KrakenD-EE (CircuitBreaker modules). This issue affects KrakenD-CE: before 2.13.1; KrakenD-EE: before 2.12.5.</t>
        </is>
      </c>
      <c r="D655" s="187" t="n">
        <v>8.5</v>
      </c>
      <c r="E655" s="187" t="inlineStr">
        <is>
          <t>HIGH</t>
        </is>
      </c>
      <c r="F655" s="187" t="n">
        <v>2</v>
      </c>
      <c r="G655" s="187" t="n">
        <v>3</v>
      </c>
      <c r="H655" s="187" t="inlineStr">
        <is>
          <t>HIGH</t>
        </is>
      </c>
      <c r="I655" s="187" t="n">
        <v>14.5</v>
      </c>
      <c r="J655" s="187" t="inlineStr">
        <is>
          <t>NO</t>
        </is>
      </c>
      <c r="K655" s="187" t="inlineStr">
        <is>
          <t>https://nvd.nist.gov/vuln/detail/CVE-2026-3206</t>
        </is>
      </c>
      <c r="L655" s="187" t="inlineStr">
        <is>
          <t>2026-02-27 20:47</t>
        </is>
      </c>
      <c r="M655" s="187" t="inlineStr">
        <is>
          <t>CHECK_VENDOR</t>
        </is>
      </c>
      <c r="N655" s="187" t="inlineStr">
        <is>
          <t>See NVD references</t>
        </is>
      </c>
      <c r="O655" s="187" t="inlineStr">
        <is>
          <t>Apply vendor patches</t>
        </is>
      </c>
      <c r="P655" s="187" t="inlineStr">
        <is>
          <t>See CVE details</t>
        </is>
      </c>
      <c r="Q655" s="187" t="inlineStr">
        <is>
          <t>P3</t>
        </is>
      </c>
      <c r="R655" s="187" t="inlineStr">
        <is>
          <t>🚨 URGENT: Apply vendor patches immediately | 🔒 Isolate affected systems if patch unavailable | 🛡️ Enable additional monitoring/IDS rules</t>
        </is>
      </c>
      <c r="S655" s="187" t="inlineStr">
        <is>
          <t>CVE - IP enrichment n/a</t>
        </is>
      </c>
      <c r="T655" s="187" t="n">
        <v>0.0004</v>
      </c>
      <c r="U655" s="187" t="n">
        <v>0.1257</v>
      </c>
      <c r="V655" s="187" t="inlineStr">
        <is>
          <t>T1190:Exploit Public-Facing Application</t>
        </is>
      </c>
      <c r="W655" s="187" t="n">
        <v>1</v>
      </c>
      <c r="X655" s="187" t="inlineStr">
        <is>
          <t>LOW (40%)</t>
        </is>
      </c>
      <c r="Y655" s="187" t="inlineStr">
        <is>
          <t>UNLIKELY</t>
        </is>
      </c>
      <c r="Z655" s="187" t="inlineStr">
        <is>
          <t>CHECK_VENDOR</t>
        </is>
      </c>
      <c r="AA655" s="187" t="inlineStr">
        <is>
          <t>https://nvd.nist.gov/vuln/detail/CVE-2026-3206</t>
        </is>
      </c>
      <c r="AB655" s="187" t="inlineStr">
        <is>
          <t>NONE</t>
        </is>
      </c>
      <c r="AC655" s="187" t="n">
        <v>0</v>
      </c>
      <c r="AD655" s="187" t="inlineStr"/>
    </row>
    <row r="656">
      <c r="A656" s="187" t="inlineStr">
        <is>
          <t>CVE</t>
        </is>
      </c>
      <c r="B656" s="187" t="inlineStr">
        <is>
          <t>CVE-2026-20010</t>
        </is>
      </c>
      <c r="C656" s="187"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656" s="187" t="n">
        <v>7.4</v>
      </c>
      <c r="E656" s="187" t="inlineStr">
        <is>
          <t>HIGH</t>
        </is>
      </c>
      <c r="F656" s="187" t="n">
        <v>2</v>
      </c>
      <c r="G656" s="187" t="n">
        <v>3</v>
      </c>
      <c r="H656" s="187" t="inlineStr">
        <is>
          <t>HIGH</t>
        </is>
      </c>
      <c r="I656" s="187" t="n">
        <v>13.4</v>
      </c>
      <c r="J656" s="187" t="inlineStr">
        <is>
          <t>NO</t>
        </is>
      </c>
      <c r="K656" s="187" t="inlineStr">
        <is>
          <t>https://nvd.nist.gov/vuln/detail/CVE-2026-20010</t>
        </is>
      </c>
      <c r="L656" s="187" t="inlineStr">
        <is>
          <t>2026-02-27 20:47</t>
        </is>
      </c>
      <c r="M656" s="187" t="inlineStr">
        <is>
          <t>CHECK_VENDOR</t>
        </is>
      </c>
      <c r="N656" s="187" t="inlineStr">
        <is>
          <t>See NVD references</t>
        </is>
      </c>
      <c r="O656" s="187" t="inlineStr">
        <is>
          <t>Apply vendor patches</t>
        </is>
      </c>
      <c r="P656" s="187" t="inlineStr">
        <is>
          <t>See CVE details</t>
        </is>
      </c>
      <c r="Q656" s="187" t="inlineStr">
        <is>
          <t>P3</t>
        </is>
      </c>
      <c r="R656" s="187" t="inlineStr">
        <is>
          <t>🚨 URGENT: Apply vendor patches immediately | 🔒 Isolate affected systems if patch unavailable | 🛡️ Enable additional monitoring/IDS rules</t>
        </is>
      </c>
      <c r="S656" s="187" t="inlineStr">
        <is>
          <t>CVE - IP enrichment n/a</t>
        </is>
      </c>
      <c r="T656" s="187" t="n">
        <v>0.0001</v>
      </c>
      <c r="U656" s="187" t="n">
        <v>0.0264</v>
      </c>
      <c r="V656" s="187" t="inlineStr">
        <is>
          <t>T1499:Endpoint Denial of Service</t>
        </is>
      </c>
      <c r="W656" s="187" t="n">
        <v>1</v>
      </c>
      <c r="X656" s="187" t="inlineStr">
        <is>
          <t>LOW (40%)</t>
        </is>
      </c>
      <c r="Y656" s="187" t="inlineStr">
        <is>
          <t>UNLIKELY</t>
        </is>
      </c>
      <c r="Z656" s="187" t="inlineStr">
        <is>
          <t>CHECK_VENDOR</t>
        </is>
      </c>
      <c r="AA656" s="187" t="inlineStr">
        <is>
          <t>https://nvd.nist.gov/vuln/detail/CVE-2026-20010</t>
        </is>
      </c>
      <c r="AB656" s="187" t="inlineStr">
        <is>
          <t>NONE</t>
        </is>
      </c>
      <c r="AC656" s="187" t="n">
        <v>0</v>
      </c>
      <c r="AD656" s="187" t="inlineStr"/>
    </row>
    <row r="657">
      <c r="A657" s="187" t="inlineStr">
        <is>
          <t>CVE</t>
        </is>
      </c>
      <c r="B657" s="187" t="inlineStr">
        <is>
          <t>CVE-2026-20033</t>
        </is>
      </c>
      <c r="C657" s="187"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657" s="187" t="n">
        <v>7.4</v>
      </c>
      <c r="E657" s="187" t="inlineStr">
        <is>
          <t>HIGH</t>
        </is>
      </c>
      <c r="F657" s="187" t="n">
        <v>2</v>
      </c>
      <c r="G657" s="187" t="n">
        <v>3</v>
      </c>
      <c r="H657" s="187" t="inlineStr">
        <is>
          <t>HIGH</t>
        </is>
      </c>
      <c r="I657" s="187" t="n">
        <v>13.4</v>
      </c>
      <c r="J657" s="187" t="inlineStr">
        <is>
          <t>NO</t>
        </is>
      </c>
      <c r="K657" s="187" t="inlineStr">
        <is>
          <t>https://nvd.nist.gov/vuln/detail/CVE-2026-20033</t>
        </is>
      </c>
      <c r="L657" s="187" t="inlineStr">
        <is>
          <t>2026-02-27 20:47</t>
        </is>
      </c>
      <c r="M657" s="187" t="inlineStr">
        <is>
          <t>CHECK_VENDOR</t>
        </is>
      </c>
      <c r="N657" s="187" t="inlineStr">
        <is>
          <t>See NVD references</t>
        </is>
      </c>
      <c r="O657" s="187" t="inlineStr">
        <is>
          <t>Apply vendor patches</t>
        </is>
      </c>
      <c r="P657" s="187" t="inlineStr">
        <is>
          <t>See CVE details</t>
        </is>
      </c>
      <c r="Q657" s="187" t="inlineStr">
        <is>
          <t>P3</t>
        </is>
      </c>
      <c r="R657" s="187" t="inlineStr">
        <is>
          <t>🚨 URGENT: Apply vendor patches immediately | 🔒 Isolate affected systems if patch unavailable | 🛡️ Enable additional monitoring/IDS rules</t>
        </is>
      </c>
      <c r="S657" s="187" t="inlineStr">
        <is>
          <t>CVE - IP enrichment n/a</t>
        </is>
      </c>
      <c r="T657" s="187" t="n">
        <v>0.0001</v>
      </c>
      <c r="U657" s="187" t="n">
        <v>0.0264</v>
      </c>
      <c r="V657" s="187" t="inlineStr">
        <is>
          <t>T1499:Endpoint Denial of Service</t>
        </is>
      </c>
      <c r="W657" s="187" t="n">
        <v>1</v>
      </c>
      <c r="X657" s="187" t="inlineStr">
        <is>
          <t>LOW (40%)</t>
        </is>
      </c>
      <c r="Y657" s="187" t="inlineStr">
        <is>
          <t>UNLIKELY</t>
        </is>
      </c>
      <c r="Z657" s="187" t="inlineStr">
        <is>
          <t>CHECK_VENDOR</t>
        </is>
      </c>
      <c r="AA657" s="187" t="inlineStr">
        <is>
          <t>https://nvd.nist.gov/vuln/detail/CVE-2026-20033</t>
        </is>
      </c>
      <c r="AB657" s="187" t="inlineStr">
        <is>
          <t>NONE</t>
        </is>
      </c>
      <c r="AC657" s="187" t="n">
        <v>0</v>
      </c>
      <c r="AD657" s="187" t="inlineStr"/>
    </row>
    <row r="658">
      <c r="A658" s="188" t="inlineStr">
        <is>
          <t>CVE</t>
        </is>
      </c>
      <c r="B658" s="188" t="inlineStr">
        <is>
          <t>CVE-2026-20036</t>
        </is>
      </c>
      <c r="C658" s="188"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658" s="188" t="n">
        <v>6.5</v>
      </c>
      <c r="E658" s="188" t="inlineStr">
        <is>
          <t>MEDIUM</t>
        </is>
      </c>
      <c r="F658" s="188" t="n">
        <v>2</v>
      </c>
      <c r="G658" s="188" t="n">
        <v>2</v>
      </c>
      <c r="H658" s="188" t="inlineStr">
        <is>
          <t>MEDIUM</t>
        </is>
      </c>
      <c r="I658" s="188" t="n">
        <v>10.5</v>
      </c>
      <c r="J658" s="188" t="inlineStr">
        <is>
          <t>NO</t>
        </is>
      </c>
      <c r="K658" s="188" t="inlineStr">
        <is>
          <t>https://nvd.nist.gov/vuln/detail/CVE-2026-20036</t>
        </is>
      </c>
      <c r="L658" s="188" t="inlineStr">
        <is>
          <t>2026-02-27 20:47</t>
        </is>
      </c>
      <c r="M658" s="188" t="inlineStr">
        <is>
          <t>CHECK_VENDOR</t>
        </is>
      </c>
      <c r="N658" s="188" t="inlineStr">
        <is>
          <t>See NVD references</t>
        </is>
      </c>
      <c r="O658" s="188" t="inlineStr">
        <is>
          <t>Apply vendor patches</t>
        </is>
      </c>
      <c r="P658" s="188" t="inlineStr">
        <is>
          <t>See CVE details</t>
        </is>
      </c>
      <c r="Q658" s="188" t="inlineStr">
        <is>
          <t>P4</t>
        </is>
      </c>
      <c r="R658" s="188" t="inlineStr">
        <is>
          <t>📅 Schedule patch deployment within 30 days | 🔍 Monitor for exploitation attempts</t>
        </is>
      </c>
      <c r="S658" s="188" t="inlineStr">
        <is>
          <t>CVE - IP enrichment n/a</t>
        </is>
      </c>
      <c r="T658" s="188" t="n">
        <v>0.0005</v>
      </c>
      <c r="U658" s="188" t="n">
        <v>0.1389</v>
      </c>
      <c r="V658" s="188" t="inlineStr">
        <is>
          <t>T1059:Command and Scripting Interpreter</t>
        </is>
      </c>
      <c r="W658" s="188" t="n">
        <v>1</v>
      </c>
      <c r="X658" s="188" t="inlineStr">
        <is>
          <t>LOW (40%)</t>
        </is>
      </c>
      <c r="Y658" s="188" t="inlineStr">
        <is>
          <t>UNLIKELY</t>
        </is>
      </c>
      <c r="Z658" s="188" t="inlineStr">
        <is>
          <t>CHECK_VENDOR</t>
        </is>
      </c>
      <c r="AA658" s="188" t="inlineStr">
        <is>
          <t>https://nvd.nist.gov/vuln/detail/CVE-2026-20036</t>
        </is>
      </c>
      <c r="AB658" s="188" t="inlineStr">
        <is>
          <t>NONE</t>
        </is>
      </c>
      <c r="AC658" s="188" t="n">
        <v>0</v>
      </c>
      <c r="AD658" s="188" t="inlineStr"/>
    </row>
    <row r="659">
      <c r="A659" s="188" t="inlineStr">
        <is>
          <t>CVE</t>
        </is>
      </c>
      <c r="B659" s="188" t="inlineStr">
        <is>
          <t>CVE-2026-20037</t>
        </is>
      </c>
      <c r="C659" s="188"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659" s="188" t="n">
        <v>4.4</v>
      </c>
      <c r="E659" s="188" t="inlineStr">
        <is>
          <t>MEDIUM</t>
        </is>
      </c>
      <c r="F659" s="188" t="n">
        <v>2</v>
      </c>
      <c r="G659" s="188" t="n">
        <v>2</v>
      </c>
      <c r="H659" s="188" t="inlineStr">
        <is>
          <t>MEDIUM</t>
        </is>
      </c>
      <c r="I659" s="188" t="n">
        <v>8.4</v>
      </c>
      <c r="J659" s="188" t="inlineStr">
        <is>
          <t>NO</t>
        </is>
      </c>
      <c r="K659" s="188" t="inlineStr">
        <is>
          <t>https://nvd.nist.gov/vuln/detail/CVE-2026-20037</t>
        </is>
      </c>
      <c r="L659" s="188" t="inlineStr">
        <is>
          <t>2026-02-27 20:47</t>
        </is>
      </c>
      <c r="M659" s="188" t="inlineStr">
        <is>
          <t>CHECK_VENDOR</t>
        </is>
      </c>
      <c r="N659" s="188" t="inlineStr">
        <is>
          <t>See NVD references</t>
        </is>
      </c>
      <c r="O659" s="188" t="inlineStr">
        <is>
          <t>Apply vendor patches</t>
        </is>
      </c>
      <c r="P659" s="188" t="inlineStr">
        <is>
          <t>See CVE details</t>
        </is>
      </c>
      <c r="Q659" s="188" t="inlineStr">
        <is>
          <t>P4</t>
        </is>
      </c>
      <c r="R659" s="188" t="inlineStr">
        <is>
          <t>📅 Schedule patch deployment within 30 days | 🔍 Monitor for exploitation attempts</t>
        </is>
      </c>
      <c r="S659" s="188" t="inlineStr">
        <is>
          <t>CVE - IP enrichment n/a</t>
        </is>
      </c>
      <c r="T659" s="188" t="n">
        <v>0.0001</v>
      </c>
      <c r="U659" s="188" t="n">
        <v>0.0184</v>
      </c>
      <c r="V659" s="188" t="inlineStr">
        <is>
          <t>T1190:Exploit Public-Facing Application</t>
        </is>
      </c>
      <c r="W659" s="188" t="n">
        <v>1</v>
      </c>
      <c r="X659" s="188" t="inlineStr">
        <is>
          <t>LOW (40%)</t>
        </is>
      </c>
      <c r="Y659" s="188" t="inlineStr">
        <is>
          <t>UNLIKELY</t>
        </is>
      </c>
      <c r="Z659" s="188" t="inlineStr">
        <is>
          <t>CHECK_VENDOR</t>
        </is>
      </c>
      <c r="AA659" s="188" t="inlineStr">
        <is>
          <t>https://nvd.nist.gov/vuln/detail/CVE-2026-20037</t>
        </is>
      </c>
      <c r="AB659" s="188" t="inlineStr">
        <is>
          <t>NONE</t>
        </is>
      </c>
      <c r="AC659" s="188" t="n">
        <v>0</v>
      </c>
      <c r="AD659" s="188" t="inlineStr"/>
    </row>
    <row r="660">
      <c r="A660" s="187" t="inlineStr">
        <is>
          <t>CVE</t>
        </is>
      </c>
      <c r="B660" s="187" t="inlineStr">
        <is>
          <t>CVE-2026-20048</t>
        </is>
      </c>
      <c r="C660" s="187"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660" s="187" t="n">
        <v>7.7</v>
      </c>
      <c r="E660" s="187" t="inlineStr">
        <is>
          <t>HIGH</t>
        </is>
      </c>
      <c r="F660" s="187" t="n">
        <v>2</v>
      </c>
      <c r="G660" s="187" t="n">
        <v>3</v>
      </c>
      <c r="H660" s="187" t="inlineStr">
        <is>
          <t>HIGH</t>
        </is>
      </c>
      <c r="I660" s="187" t="n">
        <v>13.7</v>
      </c>
      <c r="J660" s="187" t="inlineStr">
        <is>
          <t>NO</t>
        </is>
      </c>
      <c r="K660" s="187" t="inlineStr">
        <is>
          <t>https://nvd.nist.gov/vuln/detail/CVE-2026-20048</t>
        </is>
      </c>
      <c r="L660" s="187" t="inlineStr">
        <is>
          <t>2026-02-27 20:47</t>
        </is>
      </c>
      <c r="M660" s="187" t="inlineStr">
        <is>
          <t>CHECK_VENDOR</t>
        </is>
      </c>
      <c r="N660" s="187" t="inlineStr">
        <is>
          <t>See NVD references</t>
        </is>
      </c>
      <c r="O660" s="187" t="inlineStr">
        <is>
          <t>Apply vendor patches</t>
        </is>
      </c>
      <c r="P660" s="187" t="inlineStr">
        <is>
          <t>See CVE details</t>
        </is>
      </c>
      <c r="Q660" s="187" t="inlineStr">
        <is>
          <t>P3</t>
        </is>
      </c>
      <c r="R660" s="187" t="inlineStr">
        <is>
          <t>🚨 URGENT: Apply vendor patches immediately | 🔒 Isolate affected systems if patch unavailable | 🛡️ Enable additional monitoring/IDS rules</t>
        </is>
      </c>
      <c r="S660" s="187" t="inlineStr">
        <is>
          <t>CVE - IP enrichment n/a</t>
        </is>
      </c>
      <c r="T660" s="187" t="n">
        <v>0.0017</v>
      </c>
      <c r="U660" s="187" t="n">
        <v>0.3877</v>
      </c>
      <c r="V660" s="187" t="inlineStr">
        <is>
          <t>T1552:Unsecured Credentials | T1499:Endpoint Denial of Service</t>
        </is>
      </c>
      <c r="W660" s="187" t="n">
        <v>1</v>
      </c>
      <c r="X660" s="187" t="inlineStr">
        <is>
          <t>LOW (40%)</t>
        </is>
      </c>
      <c r="Y660" s="187" t="inlineStr">
        <is>
          <t>UNLIKELY</t>
        </is>
      </c>
      <c r="Z660" s="187" t="inlineStr">
        <is>
          <t>CHECK_VENDOR</t>
        </is>
      </c>
      <c r="AA660" s="187" t="inlineStr">
        <is>
          <t>https://nvd.nist.gov/vuln/detail/CVE-2026-20048</t>
        </is>
      </c>
      <c r="AB660" s="187" t="inlineStr">
        <is>
          <t>NONE</t>
        </is>
      </c>
      <c r="AC660" s="187" t="n">
        <v>0</v>
      </c>
      <c r="AD660" s="187" t="inlineStr"/>
    </row>
    <row r="661">
      <c r="A661" s="187" t="inlineStr">
        <is>
          <t>CVE</t>
        </is>
      </c>
      <c r="B661" s="187" t="inlineStr">
        <is>
          <t>CVE-2026-20051</t>
        </is>
      </c>
      <c r="C661" s="187"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661" s="187" t="n">
        <v>7.4</v>
      </c>
      <c r="E661" s="187" t="inlineStr">
        <is>
          <t>HIGH</t>
        </is>
      </c>
      <c r="F661" s="187" t="n">
        <v>2</v>
      </c>
      <c r="G661" s="187" t="n">
        <v>3</v>
      </c>
      <c r="H661" s="187" t="inlineStr">
        <is>
          <t>HIGH</t>
        </is>
      </c>
      <c r="I661" s="187" t="n">
        <v>13.4</v>
      </c>
      <c r="J661" s="187" t="inlineStr">
        <is>
          <t>NO</t>
        </is>
      </c>
      <c r="K661" s="187" t="inlineStr">
        <is>
          <t>https://nvd.nist.gov/vuln/detail/CVE-2026-20051</t>
        </is>
      </c>
      <c r="L661" s="187" t="inlineStr">
        <is>
          <t>2026-02-27 20:47</t>
        </is>
      </c>
      <c r="M661" s="187" t="inlineStr">
        <is>
          <t>CHECK_VENDOR</t>
        </is>
      </c>
      <c r="N661" s="187" t="inlineStr">
        <is>
          <t>See NVD references</t>
        </is>
      </c>
      <c r="O661" s="187" t="inlineStr">
        <is>
          <t>Apply vendor patches</t>
        </is>
      </c>
      <c r="P661" s="187" t="inlineStr">
        <is>
          <t>See CVE details</t>
        </is>
      </c>
      <c r="Q661" s="187" t="inlineStr">
        <is>
          <t>P3</t>
        </is>
      </c>
      <c r="R661" s="187" t="inlineStr">
        <is>
          <t>🚨 URGENT: Apply vendor patches immediately | 🔒 Isolate affected systems if patch unavailable | 🛡️ Enable additional monitoring/IDS rules</t>
        </is>
      </c>
      <c r="S661" s="187" t="inlineStr">
        <is>
          <t>CVE - IP enrichment n/a</t>
        </is>
      </c>
      <c r="T661" s="187" t="n">
        <v>0.0002</v>
      </c>
      <c r="U661" s="187" t="n">
        <v>0.0487</v>
      </c>
      <c r="V661" s="187" t="inlineStr">
        <is>
          <t>T1499:Endpoint Denial of Service | T1133:External Remote Services</t>
        </is>
      </c>
      <c r="W661" s="187" t="n">
        <v>1</v>
      </c>
      <c r="X661" s="187" t="inlineStr">
        <is>
          <t>LOW (40%)</t>
        </is>
      </c>
      <c r="Y661" s="187" t="inlineStr">
        <is>
          <t>UNLIKELY</t>
        </is>
      </c>
      <c r="Z661" s="187" t="inlineStr">
        <is>
          <t>CHECK_VENDOR</t>
        </is>
      </c>
      <c r="AA661" s="187" t="inlineStr">
        <is>
          <t>https://nvd.nist.gov/vuln/detail/CVE-2026-20051</t>
        </is>
      </c>
      <c r="AB661" s="187" t="inlineStr">
        <is>
          <t>NONE</t>
        </is>
      </c>
      <c r="AC661" s="187" t="n">
        <v>0</v>
      </c>
      <c r="AD661" s="187" t="inlineStr"/>
    </row>
    <row r="662">
      <c r="A662" s="188" t="inlineStr">
        <is>
          <t>CVE</t>
        </is>
      </c>
      <c r="B662" s="188" t="inlineStr">
        <is>
          <t>CVE-2026-20091</t>
        </is>
      </c>
      <c r="C662" s="188"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662" s="188" t="n">
        <v>4.8</v>
      </c>
      <c r="E662" s="188" t="inlineStr">
        <is>
          <t>MEDIUM</t>
        </is>
      </c>
      <c r="F662" s="188" t="n">
        <v>2</v>
      </c>
      <c r="G662" s="188" t="n">
        <v>2</v>
      </c>
      <c r="H662" s="188" t="inlineStr">
        <is>
          <t>MEDIUM</t>
        </is>
      </c>
      <c r="I662" s="188" t="n">
        <v>8.800000000000001</v>
      </c>
      <c r="J662" s="188" t="inlineStr">
        <is>
          <t>NO</t>
        </is>
      </c>
      <c r="K662" s="188" t="inlineStr">
        <is>
          <t>https://nvd.nist.gov/vuln/detail/CVE-2026-20091</t>
        </is>
      </c>
      <c r="L662" s="188" t="inlineStr">
        <is>
          <t>2026-02-27 20:47</t>
        </is>
      </c>
      <c r="M662" s="188" t="inlineStr">
        <is>
          <t>CHECK_VENDOR</t>
        </is>
      </c>
      <c r="N662" s="188" t="inlineStr">
        <is>
          <t>See NVD references</t>
        </is>
      </c>
      <c r="O662" s="188" t="inlineStr">
        <is>
          <t>Apply vendor patches</t>
        </is>
      </c>
      <c r="P662" s="188" t="inlineStr">
        <is>
          <t>See CVE details</t>
        </is>
      </c>
      <c r="Q662" s="188" t="inlineStr">
        <is>
          <t>P4</t>
        </is>
      </c>
      <c r="R662" s="188" t="inlineStr">
        <is>
          <t>📅 Schedule patch deployment within 30 days | 🔍 Monitor for exploitation attempts</t>
        </is>
      </c>
      <c r="S662" s="188" t="inlineStr">
        <is>
          <t>CVE - IP enrichment n/a</t>
        </is>
      </c>
      <c r="T662" s="188" t="n">
        <v>0.0003</v>
      </c>
      <c r="U662" s="188" t="n">
        <v>0.0949</v>
      </c>
      <c r="V662" s="188" t="inlineStr">
        <is>
          <t>T1189:Drive-by Compromise | T1552:Unsecured Credentials</t>
        </is>
      </c>
      <c r="W662" s="188" t="n">
        <v>1</v>
      </c>
      <c r="X662" s="188" t="inlineStr">
        <is>
          <t>LOW (40%)</t>
        </is>
      </c>
      <c r="Y662" s="188" t="inlineStr">
        <is>
          <t>UNLIKELY</t>
        </is>
      </c>
      <c r="Z662" s="188" t="inlineStr">
        <is>
          <t>CHECK_VENDOR</t>
        </is>
      </c>
      <c r="AA662" s="188" t="inlineStr">
        <is>
          <t>https://nvd.nist.gov/vuln/detail/CVE-2026-20091</t>
        </is>
      </c>
      <c r="AB662" s="188" t="inlineStr">
        <is>
          <t>NONE</t>
        </is>
      </c>
      <c r="AC662" s="188" t="n">
        <v>0</v>
      </c>
      <c r="AD662" s="188" t="inlineStr"/>
    </row>
    <row r="663">
      <c r="A663" s="188" t="inlineStr">
        <is>
          <t>CVE</t>
        </is>
      </c>
      <c r="B663" s="188" t="inlineStr">
        <is>
          <t>CVE-2026-20099</t>
        </is>
      </c>
      <c r="C663" s="188"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663" s="188" t="n">
        <v>6.7</v>
      </c>
      <c r="E663" s="188" t="inlineStr">
        <is>
          <t>MEDIUM</t>
        </is>
      </c>
      <c r="F663" s="188" t="n">
        <v>2</v>
      </c>
      <c r="G663" s="188" t="n">
        <v>2</v>
      </c>
      <c r="H663" s="188" t="inlineStr">
        <is>
          <t>MEDIUM</t>
        </is>
      </c>
      <c r="I663" s="188" t="n">
        <v>10.7</v>
      </c>
      <c r="J663" s="188" t="inlineStr">
        <is>
          <t>NO</t>
        </is>
      </c>
      <c r="K663" s="188" t="inlineStr">
        <is>
          <t>https://nvd.nist.gov/vuln/detail/CVE-2026-20099</t>
        </is>
      </c>
      <c r="L663" s="188" t="inlineStr">
        <is>
          <t>2026-02-27 20:47</t>
        </is>
      </c>
      <c r="M663" s="188" t="inlineStr">
        <is>
          <t>CHECK_VENDOR</t>
        </is>
      </c>
      <c r="N663" s="188" t="inlineStr">
        <is>
          <t>See NVD references</t>
        </is>
      </c>
      <c r="O663" s="188" t="inlineStr">
        <is>
          <t>Apply vendor patches</t>
        </is>
      </c>
      <c r="P663" s="188" t="inlineStr">
        <is>
          <t>See CVE details</t>
        </is>
      </c>
      <c r="Q663" s="188" t="inlineStr">
        <is>
          <t>P4</t>
        </is>
      </c>
      <c r="R663" s="188" t="inlineStr">
        <is>
          <t>📅 Schedule patch deployment within 30 days | 🔍 Monitor for exploitation attempts</t>
        </is>
      </c>
      <c r="S663" s="188" t="inlineStr">
        <is>
          <t>CVE - IP enrichment n/a</t>
        </is>
      </c>
      <c r="T663" s="188" t="n">
        <v>0.0004</v>
      </c>
      <c r="U663" s="188" t="n">
        <v>0.1387</v>
      </c>
      <c r="V663" s="188" t="inlineStr">
        <is>
          <t>T1059:Command and Scripting Interpreter</t>
        </is>
      </c>
      <c r="W663" s="188" t="n">
        <v>1</v>
      </c>
      <c r="X663" s="188" t="inlineStr">
        <is>
          <t>LOW (40%)</t>
        </is>
      </c>
      <c r="Y663" s="188" t="inlineStr">
        <is>
          <t>UNLIKELY</t>
        </is>
      </c>
      <c r="Z663" s="188" t="inlineStr">
        <is>
          <t>CHECK_VENDOR</t>
        </is>
      </c>
      <c r="AA663" s="188" t="inlineStr">
        <is>
          <t>https://nvd.nist.gov/vuln/detail/CVE-2026-20099</t>
        </is>
      </c>
      <c r="AB663" s="188" t="inlineStr">
        <is>
          <t>NONE</t>
        </is>
      </c>
      <c r="AC663" s="188" t="n">
        <v>0</v>
      </c>
      <c r="AD663" s="188" t="inlineStr"/>
    </row>
    <row r="664">
      <c r="A664" s="188" t="inlineStr">
        <is>
          <t>CVE</t>
        </is>
      </c>
      <c r="B664" s="188" t="inlineStr">
        <is>
          <t>CVE-2026-20107</t>
        </is>
      </c>
      <c r="C664" s="188"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664" s="188" t="n">
        <v>5.5</v>
      </c>
      <c r="E664" s="188" t="inlineStr">
        <is>
          <t>MEDIUM</t>
        </is>
      </c>
      <c r="F664" s="188" t="n">
        <v>2</v>
      </c>
      <c r="G664" s="188" t="n">
        <v>2</v>
      </c>
      <c r="H664" s="188" t="inlineStr">
        <is>
          <t>MEDIUM</t>
        </is>
      </c>
      <c r="I664" s="188" t="n">
        <v>9.5</v>
      </c>
      <c r="J664" s="188" t="inlineStr">
        <is>
          <t>NO</t>
        </is>
      </c>
      <c r="K664" s="188" t="inlineStr">
        <is>
          <t>https://nvd.nist.gov/vuln/detail/CVE-2026-20107</t>
        </is>
      </c>
      <c r="L664" s="188" t="inlineStr">
        <is>
          <t>2026-02-27 20:47</t>
        </is>
      </c>
      <c r="M664" s="188" t="inlineStr">
        <is>
          <t>CHECK_VENDOR</t>
        </is>
      </c>
      <c r="N664" s="188" t="inlineStr">
        <is>
          <t>See NVD references</t>
        </is>
      </c>
      <c r="O664" s="188" t="inlineStr">
        <is>
          <t>Apply vendor patches</t>
        </is>
      </c>
      <c r="P664" s="188" t="inlineStr">
        <is>
          <t>See CVE details</t>
        </is>
      </c>
      <c r="Q664" s="188" t="inlineStr">
        <is>
          <t>P4</t>
        </is>
      </c>
      <c r="R664" s="188" t="inlineStr">
        <is>
          <t>📅 Schedule patch deployment within 30 days | 🔍 Monitor for exploitation attempts</t>
        </is>
      </c>
      <c r="S664" s="188" t="inlineStr">
        <is>
          <t>CVE - IP enrichment n/a</t>
        </is>
      </c>
      <c r="T664" s="188" t="n">
        <v>0.0002</v>
      </c>
      <c r="U664" s="188" t="n">
        <v>0.0335</v>
      </c>
      <c r="V664" s="188" t="inlineStr">
        <is>
          <t>T1552:Unsecured Credentials | T1499:Endpoint Denial of Service</t>
        </is>
      </c>
      <c r="W664" s="188" t="n">
        <v>1</v>
      </c>
      <c r="X664" s="188" t="inlineStr">
        <is>
          <t>LOW (40%)</t>
        </is>
      </c>
      <c r="Y664" s="188" t="inlineStr">
        <is>
          <t>UNLIKELY</t>
        </is>
      </c>
      <c r="Z664" s="188" t="inlineStr">
        <is>
          <t>CHECK_VENDOR</t>
        </is>
      </c>
      <c r="AA664" s="188" t="inlineStr">
        <is>
          <t>https://nvd.nist.gov/vuln/detail/CVE-2026-20107</t>
        </is>
      </c>
      <c r="AB664" s="188" t="inlineStr">
        <is>
          <t>NONE</t>
        </is>
      </c>
      <c r="AC664" s="188" t="n">
        <v>0</v>
      </c>
      <c r="AD664" s="188" t="inlineStr"/>
    </row>
    <row r="665">
      <c r="A665" s="188" t="inlineStr">
        <is>
          <t>CVE</t>
        </is>
      </c>
      <c r="B665" s="188" t="inlineStr">
        <is>
          <t>CVE-2026-20122</t>
        </is>
      </c>
      <c r="C665" s="188"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665" s="188" t="n">
        <v>5.4</v>
      </c>
      <c r="E665" s="188" t="inlineStr">
        <is>
          <t>MEDIUM</t>
        </is>
      </c>
      <c r="F665" s="188" t="n">
        <v>2</v>
      </c>
      <c r="G665" s="188" t="n">
        <v>2</v>
      </c>
      <c r="H665" s="188" t="inlineStr">
        <is>
          <t>MEDIUM</t>
        </is>
      </c>
      <c r="I665" s="188" t="n">
        <v>9.4</v>
      </c>
      <c r="J665" s="188" t="inlineStr">
        <is>
          <t>NO</t>
        </is>
      </c>
      <c r="K665" s="188" t="inlineStr">
        <is>
          <t>https://nvd.nist.gov/vuln/detail/CVE-2026-20122</t>
        </is>
      </c>
      <c r="L665" s="188" t="inlineStr">
        <is>
          <t>2026-02-27 20:47</t>
        </is>
      </c>
      <c r="M665" s="188" t="inlineStr">
        <is>
          <t>CHECK_VENDOR</t>
        </is>
      </c>
      <c r="N665" s="188" t="inlineStr">
        <is>
          <t>See NVD references</t>
        </is>
      </c>
      <c r="O665" s="188" t="inlineStr">
        <is>
          <t>Apply vendor patches</t>
        </is>
      </c>
      <c r="P665" s="188" t="inlineStr">
        <is>
          <t>See CVE details</t>
        </is>
      </c>
      <c r="Q665" s="188" t="inlineStr">
        <is>
          <t>P4</t>
        </is>
      </c>
      <c r="R665" s="188" t="inlineStr">
        <is>
          <t>📅 Schedule patch deployment within 30 days | 🔍 Monitor for exploitation attempts</t>
        </is>
      </c>
      <c r="S665" s="188" t="inlineStr">
        <is>
          <t>CVE - IP enrichment n/a</t>
        </is>
      </c>
      <c r="T665" s="188" t="n">
        <v>0.0003</v>
      </c>
      <c r="U665" s="188" t="n">
        <v>0.0977</v>
      </c>
      <c r="V665" s="188" t="inlineStr">
        <is>
          <t>T1552:Unsecured Credentials</t>
        </is>
      </c>
      <c r="W665" s="188" t="n">
        <v>1</v>
      </c>
      <c r="X665" s="188" t="inlineStr">
        <is>
          <t>LOW (40%)</t>
        </is>
      </c>
      <c r="Y665" s="188" t="inlineStr">
        <is>
          <t>UNLIKELY</t>
        </is>
      </c>
      <c r="Z665" s="188" t="inlineStr">
        <is>
          <t>CHECK_VENDOR</t>
        </is>
      </c>
      <c r="AA665" s="188" t="inlineStr">
        <is>
          <t>https://nvd.nist.gov/vuln/detail/CVE-2026-20122</t>
        </is>
      </c>
      <c r="AB665" s="188" t="inlineStr">
        <is>
          <t>NONE</t>
        </is>
      </c>
      <c r="AC665" s="188" t="n">
        <v>0</v>
      </c>
      <c r="AD665" s="188" t="inlineStr"/>
    </row>
    <row r="666">
      <c r="A666" s="187" t="inlineStr">
        <is>
          <t>CVE</t>
        </is>
      </c>
      <c r="B666" s="187" t="inlineStr">
        <is>
          <t>CVE-2026-20126</t>
        </is>
      </c>
      <c r="C666" s="187"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666" s="187" t="n">
        <v>8.800000000000001</v>
      </c>
      <c r="E666" s="187" t="inlineStr">
        <is>
          <t>HIGH</t>
        </is>
      </c>
      <c r="F666" s="187" t="n">
        <v>2</v>
      </c>
      <c r="G666" s="187" t="n">
        <v>3</v>
      </c>
      <c r="H666" s="187" t="inlineStr">
        <is>
          <t>HIGH</t>
        </is>
      </c>
      <c r="I666" s="187" t="n">
        <v>14.8</v>
      </c>
      <c r="J666" s="187" t="inlineStr">
        <is>
          <t>NO</t>
        </is>
      </c>
      <c r="K666" s="187" t="inlineStr">
        <is>
          <t>https://nvd.nist.gov/vuln/detail/CVE-2026-20126</t>
        </is>
      </c>
      <c r="L666" s="187" t="inlineStr">
        <is>
          <t>2026-02-27 20:47</t>
        </is>
      </c>
      <c r="M666" s="187" t="inlineStr">
        <is>
          <t>CHECK_VENDOR</t>
        </is>
      </c>
      <c r="N666" s="187" t="inlineStr">
        <is>
          <t>See NVD references</t>
        </is>
      </c>
      <c r="O666" s="187" t="inlineStr">
        <is>
          <t>Apply vendor patches</t>
        </is>
      </c>
      <c r="P666" s="187" t="inlineStr">
        <is>
          <t>See CVE details</t>
        </is>
      </c>
      <c r="Q666" s="187" t="inlineStr">
        <is>
          <t>P3</t>
        </is>
      </c>
      <c r="R666" s="187" t="inlineStr">
        <is>
          <t>🚨 URGENT: Apply vendor patches immediately | 🔒 Isolate affected systems if patch unavailable | 🛡️ Enable additional monitoring/IDS rules</t>
        </is>
      </c>
      <c r="S666" s="187" t="inlineStr">
        <is>
          <t>CVE - IP enrichment n/a</t>
        </is>
      </c>
      <c r="T666" s="187" t="n">
        <v>0.0005999999999999999</v>
      </c>
      <c r="U666" s="187" t="n">
        <v>0.1933</v>
      </c>
      <c r="V666" s="187" t="inlineStr">
        <is>
          <t>T1190:Exploit Public-Facing Application</t>
        </is>
      </c>
      <c r="W666" s="187" t="n">
        <v>1</v>
      </c>
      <c r="X666" s="187" t="inlineStr">
        <is>
          <t>LOW (40%)</t>
        </is>
      </c>
      <c r="Y666" s="187" t="inlineStr">
        <is>
          <t>UNLIKELY</t>
        </is>
      </c>
      <c r="Z666" s="187" t="inlineStr">
        <is>
          <t>CHECK_VENDOR</t>
        </is>
      </c>
      <c r="AA666" s="187" t="inlineStr">
        <is>
          <t>https://nvd.nist.gov/vuln/detail/CVE-2026-20126</t>
        </is>
      </c>
      <c r="AB666" s="187" t="inlineStr">
        <is>
          <t>NONE</t>
        </is>
      </c>
      <c r="AC666" s="187" t="n">
        <v>0</v>
      </c>
      <c r="AD666" s="187" t="inlineStr"/>
    </row>
    <row r="667">
      <c r="A667" s="189" t="inlineStr">
        <is>
          <t>CVE</t>
        </is>
      </c>
      <c r="B667" s="189" t="inlineStr">
        <is>
          <t>CVE-2026-20127</t>
        </is>
      </c>
      <c r="C667" s="189"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667" s="189" t="n">
        <v>10</v>
      </c>
      <c r="E667" s="189" t="inlineStr">
        <is>
          <t>CRITICAL</t>
        </is>
      </c>
      <c r="F667" s="189" t="n">
        <v>3</v>
      </c>
      <c r="G667" s="189" t="n">
        <v>3</v>
      </c>
      <c r="H667" s="189" t="inlineStr">
        <is>
          <t>CRITICAL</t>
        </is>
      </c>
      <c r="I667" s="189" t="n">
        <v>19</v>
      </c>
      <c r="J667" s="189" t="inlineStr">
        <is>
          <t>YES</t>
        </is>
      </c>
      <c r="K667" s="189" t="inlineStr">
        <is>
          <t>https://nvd.nist.gov/vuln/detail/CVE-2026-20127</t>
        </is>
      </c>
      <c r="L667" s="189" t="inlineStr">
        <is>
          <t>2026-02-27 20:47</t>
        </is>
      </c>
      <c r="M667" s="189" t="inlineStr">
        <is>
          <t>YES</t>
        </is>
      </c>
      <c r="N667" s="189" t="inlineStr">
        <is>
          <t>https://sec.cloudapps.cisco.com/security/center/content/CiscoSecurityAdvisory/cisco-sa-sdwan-rpa-EHchtZk</t>
        </is>
      </c>
      <c r="O667" s="189" t="inlineStr">
        <is>
          <t>Apply vendor patches</t>
        </is>
      </c>
      <c r="P667" s="189" t="inlineStr">
        <is>
          <t>cisco catalyst_sd-wan_manager *</t>
        </is>
      </c>
      <c r="Q667" s="189" t="inlineStr">
        <is>
          <t>P1</t>
        </is>
      </c>
      <c r="R667" s="189" t="inlineStr">
        <is>
          <t>🚨 URGENT: Apply vendor patches immediately | 🔒 Isolate affected systems if patch unavailable | 🛡️ Enable additional monitoring/IDS rules</t>
        </is>
      </c>
      <c r="S667" s="189" t="inlineStr">
        <is>
          <t>CVE - IP enrichment n/a</t>
        </is>
      </c>
      <c r="T667" s="189" t="n">
        <v>0.0219</v>
      </c>
      <c r="U667" s="189" t="n">
        <v>0.8414</v>
      </c>
      <c r="V667" s="189" t="inlineStr">
        <is>
          <t>T1078:Valid Accounts | T1110:Brute Force</t>
        </is>
      </c>
      <c r="W667" s="189" t="n">
        <v>2</v>
      </c>
      <c r="X667" s="189" t="inlineStr">
        <is>
          <t>HIGH (72%)</t>
        </is>
      </c>
      <c r="Y667" s="189" t="inlineStr">
        <is>
          <t>CONFIRMED</t>
        </is>
      </c>
      <c r="Z667" s="189" t="inlineStr">
        <is>
          <t>PATCH_AVAILABLE</t>
        </is>
      </c>
      <c r="AA667" s="189" t="inlineStr">
        <is>
          <t>https://nvd.nist.gov/vuln/detail/CVE-2026-20127</t>
        </is>
      </c>
      <c r="AB667" s="189" t="inlineStr">
        <is>
          <t>NONE</t>
        </is>
      </c>
      <c r="AC667" s="189" t="n">
        <v>0</v>
      </c>
      <c r="AD667" s="189" t="inlineStr">
        <is>
          <t>[SecurityAffairs] Hackers abused Cisco SD-WAN zero-day since 2023 to gain full admin con | [TheHackerNews] Cisco SD-WAN Zero-Day CVE-2026-20127 Exploited Since 2023 for Admin Ac</t>
        </is>
      </c>
    </row>
    <row r="668">
      <c r="A668" s="187" t="inlineStr">
        <is>
          <t>CVE</t>
        </is>
      </c>
      <c r="B668" s="187" t="inlineStr">
        <is>
          <t>CVE-2026-20128</t>
        </is>
      </c>
      <c r="C668" s="187"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668" s="187" t="n">
        <v>7.5</v>
      </c>
      <c r="E668" s="187" t="inlineStr">
        <is>
          <t>HIGH</t>
        </is>
      </c>
      <c r="F668" s="187" t="n">
        <v>2</v>
      </c>
      <c r="G668" s="187" t="n">
        <v>3</v>
      </c>
      <c r="H668" s="187" t="inlineStr">
        <is>
          <t>HIGH</t>
        </is>
      </c>
      <c r="I668" s="187" t="n">
        <v>13.5</v>
      </c>
      <c r="J668" s="187" t="inlineStr">
        <is>
          <t>NO</t>
        </is>
      </c>
      <c r="K668" s="187" t="inlineStr">
        <is>
          <t>https://nvd.nist.gov/vuln/detail/CVE-2026-20128</t>
        </is>
      </c>
      <c r="L668" s="187" t="inlineStr">
        <is>
          <t>2026-02-27 20:47</t>
        </is>
      </c>
      <c r="M668" s="187" t="inlineStr">
        <is>
          <t>CHECK_VENDOR</t>
        </is>
      </c>
      <c r="N668" s="187" t="inlineStr">
        <is>
          <t>See NVD references</t>
        </is>
      </c>
      <c r="O668" s="187" t="inlineStr">
        <is>
          <t>Apply vendor patches</t>
        </is>
      </c>
      <c r="P668" s="187" t="inlineStr">
        <is>
          <t>See CVE details</t>
        </is>
      </c>
      <c r="Q668" s="187" t="inlineStr">
        <is>
          <t>P3</t>
        </is>
      </c>
      <c r="R668" s="187" t="inlineStr">
        <is>
          <t>🚨 URGENT: Apply vendor patches immediately | 🔒 Isolate affected systems if patch unavailable | 🛡️ Enable additional monitoring/IDS rules</t>
        </is>
      </c>
      <c r="S668" s="187" t="inlineStr">
        <is>
          <t>CVE - IP enrichment n/a</t>
        </is>
      </c>
      <c r="T668" s="187" t="n">
        <v>0.0001</v>
      </c>
      <c r="U668" s="187" t="n">
        <v>0.0247</v>
      </c>
      <c r="V668" s="187" t="inlineStr">
        <is>
          <t>T1552:Unsecured Credentials</t>
        </is>
      </c>
      <c r="W668" s="187" t="n">
        <v>1</v>
      </c>
      <c r="X668" s="187" t="inlineStr">
        <is>
          <t>LOW (40%)</t>
        </is>
      </c>
      <c r="Y668" s="187" t="inlineStr">
        <is>
          <t>UNLIKELY</t>
        </is>
      </c>
      <c r="Z668" s="187" t="inlineStr">
        <is>
          <t>CHECK_VENDOR</t>
        </is>
      </c>
      <c r="AA668" s="187" t="inlineStr">
        <is>
          <t>https://nvd.nist.gov/vuln/detail/CVE-2026-20128</t>
        </is>
      </c>
      <c r="AB668" s="187" t="inlineStr">
        <is>
          <t>NONE</t>
        </is>
      </c>
      <c r="AC668" s="187" t="n">
        <v>0</v>
      </c>
      <c r="AD668" s="187" t="inlineStr"/>
    </row>
    <row r="669">
      <c r="A669" s="189" t="inlineStr">
        <is>
          <t>CVE</t>
        </is>
      </c>
      <c r="B669" s="189" t="inlineStr">
        <is>
          <t>CVE-2026-20129</t>
        </is>
      </c>
      <c r="C669" s="189"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669" s="189" t="n">
        <v>9.800000000000001</v>
      </c>
      <c r="E669" s="189" t="inlineStr">
        <is>
          <t>CRITICAL</t>
        </is>
      </c>
      <c r="F669" s="189" t="n">
        <v>2</v>
      </c>
      <c r="G669" s="189" t="n">
        <v>3</v>
      </c>
      <c r="H669" s="189" t="inlineStr">
        <is>
          <t>HIGH</t>
        </is>
      </c>
      <c r="I669" s="189" t="n">
        <v>15.8</v>
      </c>
      <c r="J669" s="189" t="inlineStr">
        <is>
          <t>NO</t>
        </is>
      </c>
      <c r="K669" s="189" t="inlineStr">
        <is>
          <t>https://nvd.nist.gov/vuln/detail/CVE-2026-20129</t>
        </is>
      </c>
      <c r="L669" s="189" t="inlineStr">
        <is>
          <t>2026-02-27 20:47</t>
        </is>
      </c>
      <c r="M669" s="189" t="inlineStr">
        <is>
          <t>CHECK_VENDOR</t>
        </is>
      </c>
      <c r="N669" s="189" t="inlineStr">
        <is>
          <t>See NVD references</t>
        </is>
      </c>
      <c r="O669" s="189" t="inlineStr">
        <is>
          <t>Apply vendor patches</t>
        </is>
      </c>
      <c r="P669" s="189" t="inlineStr">
        <is>
          <t>See CVE details</t>
        </is>
      </c>
      <c r="Q669" s="189" t="inlineStr">
        <is>
          <t>P3</t>
        </is>
      </c>
      <c r="R669" s="189" t="inlineStr">
        <is>
          <t>🚨 URGENT: Apply vendor patches immediately | 🔒 Isolate affected systems if patch unavailable | 🛡️ Enable additional monitoring/IDS rules</t>
        </is>
      </c>
      <c r="S669" s="189" t="inlineStr">
        <is>
          <t>CVE - IP enrichment n/a</t>
        </is>
      </c>
      <c r="T669" s="189" t="n">
        <v>0.0012</v>
      </c>
      <c r="U669" s="189" t="n">
        <v>0.3164</v>
      </c>
      <c r="V669" s="189" t="inlineStr">
        <is>
          <t>T1078:Valid Accounts | T1110:Brute Force</t>
        </is>
      </c>
      <c r="W669" s="189" t="n">
        <v>1</v>
      </c>
      <c r="X669" s="189" t="inlineStr">
        <is>
          <t>LOW (40%)</t>
        </is>
      </c>
      <c r="Y669" s="189" t="inlineStr">
        <is>
          <t>UNLIKELY</t>
        </is>
      </c>
      <c r="Z669" s="189" t="inlineStr">
        <is>
          <t>CHECK_VENDOR</t>
        </is>
      </c>
      <c r="AA669" s="189" t="inlineStr">
        <is>
          <t>https://nvd.nist.gov/vuln/detail/CVE-2026-20129</t>
        </is>
      </c>
      <c r="AB669" s="189" t="inlineStr">
        <is>
          <t>NONE</t>
        </is>
      </c>
      <c r="AC669" s="189" t="n">
        <v>0</v>
      </c>
      <c r="AD669" s="189" t="inlineStr"/>
    </row>
    <row r="670">
      <c r="A670" s="188" t="inlineStr">
        <is>
          <t>CVE</t>
        </is>
      </c>
      <c r="B670" s="188" t="inlineStr">
        <is>
          <t>CVE-2026-20133</t>
        </is>
      </c>
      <c r="C670" s="188"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670" s="188" t="n">
        <v>6.5</v>
      </c>
      <c r="E670" s="188" t="inlineStr">
        <is>
          <t>MEDIUM</t>
        </is>
      </c>
      <c r="F670" s="188" t="n">
        <v>2</v>
      </c>
      <c r="G670" s="188" t="n">
        <v>2</v>
      </c>
      <c r="H670" s="188" t="inlineStr">
        <is>
          <t>MEDIUM</t>
        </is>
      </c>
      <c r="I670" s="188" t="n">
        <v>10.5</v>
      </c>
      <c r="J670" s="188" t="inlineStr">
        <is>
          <t>NO</t>
        </is>
      </c>
      <c r="K670" s="188" t="inlineStr">
        <is>
          <t>https://nvd.nist.gov/vuln/detail/CVE-2026-20133</t>
        </is>
      </c>
      <c r="L670" s="188" t="inlineStr">
        <is>
          <t>2026-02-27 20:47</t>
        </is>
      </c>
      <c r="M670" s="188" t="inlineStr">
        <is>
          <t>CHECK_VENDOR</t>
        </is>
      </c>
      <c r="N670" s="188" t="inlineStr">
        <is>
          <t>See NVD references</t>
        </is>
      </c>
      <c r="O670" s="188" t="inlineStr">
        <is>
          <t>Apply vendor patches</t>
        </is>
      </c>
      <c r="P670" s="188" t="inlineStr">
        <is>
          <t>See CVE details</t>
        </is>
      </c>
      <c r="Q670" s="188" t="inlineStr">
        <is>
          <t>P4</t>
        </is>
      </c>
      <c r="R670" s="188" t="inlineStr">
        <is>
          <t>📅 Schedule patch deployment within 30 days | 🔍 Monitor for exploitation attempts</t>
        </is>
      </c>
      <c r="S670" s="188" t="inlineStr">
        <is>
          <t>CVE - IP enrichment n/a</t>
        </is>
      </c>
      <c r="T670" s="188" t="n">
        <v>0.0003</v>
      </c>
      <c r="U670" s="188" t="n">
        <v>0.0916</v>
      </c>
      <c r="V670" s="188" t="inlineStr">
        <is>
          <t>T1213:Data from Information Repositories</t>
        </is>
      </c>
      <c r="W670" s="188" t="n">
        <v>1</v>
      </c>
      <c r="X670" s="188" t="inlineStr">
        <is>
          <t>LOW (40%)</t>
        </is>
      </c>
      <c r="Y670" s="188" t="inlineStr">
        <is>
          <t>UNLIKELY</t>
        </is>
      </c>
      <c r="Z670" s="188" t="inlineStr">
        <is>
          <t>CHECK_VENDOR</t>
        </is>
      </c>
      <c r="AA670" s="188" t="inlineStr">
        <is>
          <t>https://nvd.nist.gov/vuln/detail/CVE-2026-20133</t>
        </is>
      </c>
      <c r="AB670" s="188" t="inlineStr">
        <is>
          <t>NONE</t>
        </is>
      </c>
      <c r="AC670" s="188" t="n">
        <v>0</v>
      </c>
      <c r="AD670" s="188" t="inlineStr"/>
    </row>
    <row r="671">
      <c r="A671" s="188" t="inlineStr">
        <is>
          <t>CVE</t>
        </is>
      </c>
      <c r="B671" s="188" t="inlineStr">
        <is>
          <t>CVE-2026-26717</t>
        </is>
      </c>
      <c r="C671" s="188"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671" s="188" t="n">
        <v>4.8</v>
      </c>
      <c r="E671" s="188" t="inlineStr">
        <is>
          <t>MEDIUM</t>
        </is>
      </c>
      <c r="F671" s="188" t="n">
        <v>2</v>
      </c>
      <c r="G671" s="188" t="n">
        <v>2</v>
      </c>
      <c r="H671" s="188" t="inlineStr">
        <is>
          <t>MEDIUM</t>
        </is>
      </c>
      <c r="I671" s="188" t="n">
        <v>8.800000000000001</v>
      </c>
      <c r="J671" s="188" t="inlineStr">
        <is>
          <t>NO</t>
        </is>
      </c>
      <c r="K671" s="188" t="inlineStr">
        <is>
          <t>https://nvd.nist.gov/vuln/detail/CVE-2026-26717</t>
        </is>
      </c>
      <c r="L671" s="188" t="inlineStr">
        <is>
          <t>2026-02-27 20:47</t>
        </is>
      </c>
      <c r="M671" s="188" t="inlineStr">
        <is>
          <t>CHECK_VENDOR</t>
        </is>
      </c>
      <c r="N671" s="188" t="inlineStr">
        <is>
          <t>See NVD references</t>
        </is>
      </c>
      <c r="O671" s="188" t="inlineStr">
        <is>
          <t>Apply vendor patches</t>
        </is>
      </c>
      <c r="P671" s="188" t="inlineStr">
        <is>
          <t>See CVE details</t>
        </is>
      </c>
      <c r="Q671" s="188" t="inlineStr">
        <is>
          <t>P4</t>
        </is>
      </c>
      <c r="R671" s="188" t="inlineStr">
        <is>
          <t>📅 Schedule patch deployment within 30 days | 🔍 Monitor for exploitation attempts</t>
        </is>
      </c>
      <c r="S671" s="188" t="inlineStr">
        <is>
          <t>CVE - IP enrichment n/a</t>
        </is>
      </c>
      <c r="T671" s="188" t="n">
        <v>0.0005999999999999999</v>
      </c>
      <c r="U671" s="188" t="n">
        <v>0.1764</v>
      </c>
      <c r="V671" s="188" t="inlineStr">
        <is>
          <t>T1190:Exploit Public-Facing Application</t>
        </is>
      </c>
      <c r="W671" s="188" t="n">
        <v>1</v>
      </c>
      <c r="X671" s="188" t="inlineStr">
        <is>
          <t>LOW (40%)</t>
        </is>
      </c>
      <c r="Y671" s="188" t="inlineStr">
        <is>
          <t>UNLIKELY</t>
        </is>
      </c>
      <c r="Z671" s="188" t="inlineStr">
        <is>
          <t>CHECK_VENDOR</t>
        </is>
      </c>
      <c r="AA671" s="188" t="inlineStr">
        <is>
          <t>https://nvd.nist.gov/vuln/detail/CVE-2026-26717</t>
        </is>
      </c>
      <c r="AB671" s="188" t="inlineStr">
        <is>
          <t>NONE</t>
        </is>
      </c>
      <c r="AC671" s="188" t="n">
        <v>0</v>
      </c>
      <c r="AD671" s="188" t="inlineStr"/>
    </row>
    <row r="672">
      <c r="A672" s="188" t="inlineStr">
        <is>
          <t>CVE</t>
        </is>
      </c>
      <c r="B672" s="188" t="inlineStr">
        <is>
          <t>CVE-2026-27705</t>
        </is>
      </c>
      <c r="C672" s="188"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672" s="188" t="n">
        <v>6.5</v>
      </c>
      <c r="E672" s="188" t="inlineStr">
        <is>
          <t>MEDIUM</t>
        </is>
      </c>
      <c r="F672" s="188" t="n">
        <v>2</v>
      </c>
      <c r="G672" s="188" t="n">
        <v>2</v>
      </c>
      <c r="H672" s="188" t="inlineStr">
        <is>
          <t>MEDIUM</t>
        </is>
      </c>
      <c r="I672" s="188" t="n">
        <v>10.5</v>
      </c>
      <c r="J672" s="188" t="inlineStr">
        <is>
          <t>NO</t>
        </is>
      </c>
      <c r="K672" s="188" t="inlineStr">
        <is>
          <t>https://nvd.nist.gov/vuln/detail/CVE-2026-27705</t>
        </is>
      </c>
      <c r="L672" s="188" t="inlineStr">
        <is>
          <t>2026-02-27 20:47</t>
        </is>
      </c>
      <c r="M672" s="188" t="inlineStr">
        <is>
          <t>YES</t>
        </is>
      </c>
      <c r="N672" s="188" t="inlineStr">
        <is>
          <t>https://github.com/makeplane/plane/commit/9070acbbe81bc02db5c169789da6862d5fc35d96 | https://github.com/makeplane/plane/security/advisories/GHSA-rfj3-8c85-g46j</t>
        </is>
      </c>
      <c r="O672" s="188" t="inlineStr">
        <is>
          <t>Apply vendor patches</t>
        </is>
      </c>
      <c r="P672" s="188" t="inlineStr">
        <is>
          <t>plane plane *</t>
        </is>
      </c>
      <c r="Q672" s="188" t="inlineStr">
        <is>
          <t>P4</t>
        </is>
      </c>
      <c r="R672" s="188" t="inlineStr">
        <is>
          <t>📅 Schedule patch deployment within 30 days | 🔍 Monitor for exploitation attempts</t>
        </is>
      </c>
      <c r="S672" s="188" t="inlineStr">
        <is>
          <t>CVE - IP enrichment n/a</t>
        </is>
      </c>
      <c r="T672" s="188" t="n">
        <v>0.0004</v>
      </c>
      <c r="U672" s="188" t="n">
        <v>0.1063</v>
      </c>
      <c r="V672" s="188" t="inlineStr">
        <is>
          <t>T1190:Exploit Public-Facing Application</t>
        </is>
      </c>
      <c r="W672" s="188" t="n">
        <v>1</v>
      </c>
      <c r="X672" s="188" t="inlineStr">
        <is>
          <t>LOW (40%)</t>
        </is>
      </c>
      <c r="Y672" s="188" t="inlineStr">
        <is>
          <t>UNLIKELY</t>
        </is>
      </c>
      <c r="Z672" s="188" t="inlineStr">
        <is>
          <t>PATCH_AVAILABLE</t>
        </is>
      </c>
      <c r="AA672" s="188" t="inlineStr">
        <is>
          <t>https://nvd.nist.gov/vuln/detail/CVE-2026-27705</t>
        </is>
      </c>
      <c r="AB672" s="188" t="inlineStr">
        <is>
          <t>NONE</t>
        </is>
      </c>
      <c r="AC672" s="188" t="n">
        <v>0</v>
      </c>
      <c r="AD672" s="188" t="inlineStr"/>
    </row>
    <row r="673">
      <c r="A673" s="187" t="inlineStr">
        <is>
          <t>CVE</t>
        </is>
      </c>
      <c r="B673" s="187" t="inlineStr">
        <is>
          <t>CVE-2026-27706</t>
        </is>
      </c>
      <c r="C673" s="187"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673" s="187" t="n">
        <v>7.7</v>
      </c>
      <c r="E673" s="187" t="inlineStr">
        <is>
          <t>HIGH</t>
        </is>
      </c>
      <c r="F673" s="187" t="n">
        <v>2</v>
      </c>
      <c r="G673" s="187" t="n">
        <v>3</v>
      </c>
      <c r="H673" s="187" t="inlineStr">
        <is>
          <t>HIGH</t>
        </is>
      </c>
      <c r="I673" s="187" t="n">
        <v>13.7</v>
      </c>
      <c r="J673" s="187" t="inlineStr">
        <is>
          <t>NO</t>
        </is>
      </c>
      <c r="K673" s="187" t="inlineStr">
        <is>
          <t>https://nvd.nist.gov/vuln/detail/CVE-2026-27706</t>
        </is>
      </c>
      <c r="L673" s="187" t="inlineStr">
        <is>
          <t>2026-02-27 20:47</t>
        </is>
      </c>
      <c r="M673" s="187" t="inlineStr">
        <is>
          <t>YES</t>
        </is>
      </c>
      <c r="N673" s="187" t="inlineStr">
        <is>
          <t>https://github.com/makeplane/plane/security/advisories/GHSA-jcc6-f9v6-f7jw</t>
        </is>
      </c>
      <c r="O673" s="187" t="inlineStr">
        <is>
          <t>Apply vendor patches</t>
        </is>
      </c>
      <c r="P673" s="187" t="inlineStr">
        <is>
          <t>plane plane *</t>
        </is>
      </c>
      <c r="Q673" s="187" t="inlineStr">
        <is>
          <t>P3</t>
        </is>
      </c>
      <c r="R673" s="187" t="inlineStr">
        <is>
          <t>🚨 URGENT: Apply vendor patches immediately | 🔒 Isolate affected systems if patch unavailable | 🛡️ Enable additional monitoring/IDS rules</t>
        </is>
      </c>
      <c r="S673" s="187" t="inlineStr">
        <is>
          <t>CVE - IP enrichment n/a</t>
        </is>
      </c>
      <c r="T673" s="187" t="n">
        <v>0.0003</v>
      </c>
      <c r="U673" s="187" t="n">
        <v>0.0772</v>
      </c>
      <c r="V673" s="187" t="inlineStr">
        <is>
          <t>T1090:Proxy | T1190:Exploit Public-Facing Application</t>
        </is>
      </c>
      <c r="W673" s="187" t="n">
        <v>1</v>
      </c>
      <c r="X673" s="187" t="inlineStr">
        <is>
          <t>LOW (40%)</t>
        </is>
      </c>
      <c r="Y673" s="187" t="inlineStr">
        <is>
          <t>UNLIKELY</t>
        </is>
      </c>
      <c r="Z673" s="187" t="inlineStr">
        <is>
          <t>PATCH_AVAILABLE</t>
        </is>
      </c>
      <c r="AA673" s="187" t="inlineStr">
        <is>
          <t>https://nvd.nist.gov/vuln/detail/CVE-2026-27706</t>
        </is>
      </c>
      <c r="AB673" s="187" t="inlineStr">
        <is>
          <t>NONE</t>
        </is>
      </c>
      <c r="AC673" s="187" t="n">
        <v>0</v>
      </c>
      <c r="AD673" s="187" t="inlineStr"/>
    </row>
    <row r="674">
      <c r="A674" s="188" t="inlineStr">
        <is>
          <t>CVE</t>
        </is>
      </c>
      <c r="B674" s="188" t="inlineStr">
        <is>
          <t>CVE-2026-27727</t>
        </is>
      </c>
      <c r="C674" s="188"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674" s="188" t="n">
        <v>5</v>
      </c>
      <c r="E674" s="188" t="inlineStr">
        <is>
          <t>MEDIUM</t>
        </is>
      </c>
      <c r="F674" s="188" t="n">
        <v>2</v>
      </c>
      <c r="G674" s="188" t="n">
        <v>2</v>
      </c>
      <c r="H674" s="188" t="inlineStr">
        <is>
          <t>MEDIUM</t>
        </is>
      </c>
      <c r="I674" s="188" t="n">
        <v>9</v>
      </c>
      <c r="J674" s="188" t="inlineStr">
        <is>
          <t>NO</t>
        </is>
      </c>
      <c r="K674" s="188" t="inlineStr">
        <is>
          <t>https://nvd.nist.gov/vuln/detail/CVE-2026-27727</t>
        </is>
      </c>
      <c r="L674" s="188" t="inlineStr">
        <is>
          <t>2026-02-27 20:47</t>
        </is>
      </c>
      <c r="M674" s="188" t="inlineStr">
        <is>
          <t>CHECK_VENDOR</t>
        </is>
      </c>
      <c r="N674" s="188" t="inlineStr">
        <is>
          <t>See NVD references</t>
        </is>
      </c>
      <c r="O674" s="188" t="inlineStr">
        <is>
          <t>Apply vendor patches</t>
        </is>
      </c>
      <c r="P674" s="188" t="inlineStr">
        <is>
          <t>See CVE details</t>
        </is>
      </c>
      <c r="Q674" s="188" t="inlineStr">
        <is>
          <t>P4</t>
        </is>
      </c>
      <c r="R674" s="188" t="inlineStr">
        <is>
          <t>📅 Schedule patch deployment within 30 days | 🔍 Monitor for exploitation attempts</t>
        </is>
      </c>
      <c r="S674" s="188" t="inlineStr">
        <is>
          <t>CVE - IP enrichment n/a</t>
        </is>
      </c>
      <c r="T674" s="188" t="n">
        <v>0.0005999999999999999</v>
      </c>
      <c r="U674" s="188" t="n">
        <v>0.2019</v>
      </c>
      <c r="V674" s="188" t="inlineStr">
        <is>
          <t>T1190:Exploit Public-Facing Application</t>
        </is>
      </c>
      <c r="W674" s="188" t="n">
        <v>1</v>
      </c>
      <c r="X674" s="188" t="inlineStr">
        <is>
          <t>LOW (40%)</t>
        </is>
      </c>
      <c r="Y674" s="188" t="inlineStr">
        <is>
          <t>UNLIKELY</t>
        </is>
      </c>
      <c r="Z674" s="188" t="inlineStr">
        <is>
          <t>CHECK_VENDOR</t>
        </is>
      </c>
      <c r="AA674" s="188" t="inlineStr">
        <is>
          <t>https://nvd.nist.gov/vuln/detail/CVE-2026-27727</t>
        </is>
      </c>
      <c r="AB674" s="188" t="inlineStr">
        <is>
          <t>NONE</t>
        </is>
      </c>
      <c r="AC674" s="188" t="n">
        <v>0</v>
      </c>
      <c r="AD674" s="188" t="inlineStr"/>
    </row>
    <row r="675">
      <c r="A675" s="189" t="inlineStr">
        <is>
          <t>CVE</t>
        </is>
      </c>
      <c r="B675" s="189" t="inlineStr">
        <is>
          <t>CVE-2026-27728</t>
        </is>
      </c>
      <c r="C675" s="189"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675" s="189" t="n">
        <v>9.9</v>
      </c>
      <c r="E675" s="189" t="inlineStr">
        <is>
          <t>CRITICAL</t>
        </is>
      </c>
      <c r="F675" s="189" t="n">
        <v>2</v>
      </c>
      <c r="G675" s="189" t="n">
        <v>3</v>
      </c>
      <c r="H675" s="189" t="inlineStr">
        <is>
          <t>HIGH</t>
        </is>
      </c>
      <c r="I675" s="189" t="n">
        <v>15.9</v>
      </c>
      <c r="J675" s="189" t="inlineStr">
        <is>
          <t>NO</t>
        </is>
      </c>
      <c r="K675" s="189" t="inlineStr">
        <is>
          <t>https://nvd.nist.gov/vuln/detail/CVE-2026-27728</t>
        </is>
      </c>
      <c r="L675" s="189" t="inlineStr">
        <is>
          <t>2026-02-27 20:47</t>
        </is>
      </c>
      <c r="M675" s="189" t="inlineStr">
        <is>
          <t>CHECK_VENDOR</t>
        </is>
      </c>
      <c r="N675" s="189" t="inlineStr">
        <is>
          <t>See NVD references</t>
        </is>
      </c>
      <c r="O675" s="189" t="inlineStr">
        <is>
          <t>Apply vendor patches</t>
        </is>
      </c>
      <c r="P675" s="189" t="inlineStr">
        <is>
          <t>See CVE details</t>
        </is>
      </c>
      <c r="Q675" s="189" t="inlineStr">
        <is>
          <t>P3</t>
        </is>
      </c>
      <c r="R675" s="189" t="inlineStr">
        <is>
          <t>🚨 URGENT: Apply vendor patches immediately | 🔒 Isolate affected systems if patch unavailable | 🛡️ Enable additional monitoring/IDS rules</t>
        </is>
      </c>
      <c r="S675" s="189" t="inlineStr">
        <is>
          <t>CVE - IP enrichment n/a</t>
        </is>
      </c>
      <c r="T675" s="189" t="n">
        <v>0.0024</v>
      </c>
      <c r="U675" s="189" t="n">
        <v>0.4755</v>
      </c>
      <c r="V675" s="189" t="inlineStr">
        <is>
          <t>T1059:Command and Scripting Interpreter</t>
        </is>
      </c>
      <c r="W675" s="189" t="n">
        <v>1</v>
      </c>
      <c r="X675" s="189" t="inlineStr">
        <is>
          <t>LOW (40%)</t>
        </is>
      </c>
      <c r="Y675" s="189" t="inlineStr">
        <is>
          <t>UNLIKELY</t>
        </is>
      </c>
      <c r="Z675" s="189" t="inlineStr">
        <is>
          <t>CHECK_VENDOR</t>
        </is>
      </c>
      <c r="AA675" s="189" t="inlineStr">
        <is>
          <t>https://nvd.nist.gov/vuln/detail/CVE-2026-27728</t>
        </is>
      </c>
      <c r="AB675" s="189" t="inlineStr">
        <is>
          <t>NONE</t>
        </is>
      </c>
      <c r="AC675" s="189" t="n">
        <v>0</v>
      </c>
      <c r="AD675" s="189" t="inlineStr"/>
    </row>
    <row r="676">
      <c r="A676" s="188" t="inlineStr">
        <is>
          <t>CVE</t>
        </is>
      </c>
      <c r="B676" s="188" t="inlineStr">
        <is>
          <t>CVE-2026-27736</t>
        </is>
      </c>
      <c r="C676" s="188"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676" s="188" t="n">
        <v>6.1</v>
      </c>
      <c r="E676" s="188" t="inlineStr">
        <is>
          <t>MEDIUM</t>
        </is>
      </c>
      <c r="F676" s="188" t="n">
        <v>2</v>
      </c>
      <c r="G676" s="188" t="n">
        <v>2</v>
      </c>
      <c r="H676" s="188" t="inlineStr">
        <is>
          <t>MEDIUM</t>
        </is>
      </c>
      <c r="I676" s="188" t="n">
        <v>10.1</v>
      </c>
      <c r="J676" s="188" t="inlineStr">
        <is>
          <t>NO</t>
        </is>
      </c>
      <c r="K676" s="188" t="inlineStr">
        <is>
          <t>https://nvd.nist.gov/vuln/detail/CVE-2026-27736</t>
        </is>
      </c>
      <c r="L676" s="188" t="inlineStr">
        <is>
          <t>2026-02-27 20:47</t>
        </is>
      </c>
      <c r="M676" s="188" t="inlineStr">
        <is>
          <t>CHECK_VENDOR</t>
        </is>
      </c>
      <c r="N676" s="188" t="inlineStr">
        <is>
          <t>See NVD references</t>
        </is>
      </c>
      <c r="O676" s="188" t="inlineStr">
        <is>
          <t>Apply vendor patches</t>
        </is>
      </c>
      <c r="P676" s="188" t="inlineStr">
        <is>
          <t>See CVE details</t>
        </is>
      </c>
      <c r="Q676" s="188" t="inlineStr">
        <is>
          <t>P4</t>
        </is>
      </c>
      <c r="R676" s="188" t="inlineStr">
        <is>
          <t>📅 Schedule patch deployment within 30 days | 🔍 Monitor for exploitation attempts</t>
        </is>
      </c>
      <c r="S676" s="188" t="inlineStr">
        <is>
          <t>CVE - IP enrichment n/a</t>
        </is>
      </c>
      <c r="T676" s="188" t="n">
        <v>0.0003</v>
      </c>
      <c r="U676" s="188" t="n">
        <v>0.07190000000000001</v>
      </c>
      <c r="V676" s="188" t="inlineStr">
        <is>
          <t>T1189:Drive-by Compromise | T1190:Exploit Public-Facing Application</t>
        </is>
      </c>
      <c r="W676" s="188" t="n">
        <v>1</v>
      </c>
      <c r="X676" s="188" t="inlineStr">
        <is>
          <t>LOW (40%)</t>
        </is>
      </c>
      <c r="Y676" s="188" t="inlineStr">
        <is>
          <t>UNLIKELY</t>
        </is>
      </c>
      <c r="Z676" s="188" t="inlineStr">
        <is>
          <t>CHECK_VENDOR</t>
        </is>
      </c>
      <c r="AA676" s="188" t="inlineStr">
        <is>
          <t>https://nvd.nist.gov/vuln/detail/CVE-2026-27736</t>
        </is>
      </c>
      <c r="AB676" s="188" t="inlineStr">
        <is>
          <t>NONE</t>
        </is>
      </c>
      <c r="AC676" s="188" t="n">
        <v>0</v>
      </c>
      <c r="AD676" s="188" t="inlineStr"/>
    </row>
    <row r="677">
      <c r="A677" s="188" t="inlineStr">
        <is>
          <t>CVE</t>
        </is>
      </c>
      <c r="B677" s="188" t="inlineStr">
        <is>
          <t>CVE-2026-27738</t>
        </is>
      </c>
      <c r="C677" s="188"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677" s="188" t="n">
        <v>5</v>
      </c>
      <c r="E677" s="188" t="inlineStr">
        <is>
          <t>MEDIUM</t>
        </is>
      </c>
      <c r="F677" s="188" t="n">
        <v>2</v>
      </c>
      <c r="G677" s="188" t="n">
        <v>2</v>
      </c>
      <c r="H677" s="188" t="inlineStr">
        <is>
          <t>MEDIUM</t>
        </is>
      </c>
      <c r="I677" s="188" t="n">
        <v>9</v>
      </c>
      <c r="J677" s="188" t="inlineStr">
        <is>
          <t>NO</t>
        </is>
      </c>
      <c r="K677" s="188" t="inlineStr">
        <is>
          <t>https://nvd.nist.gov/vuln/detail/CVE-2026-27738</t>
        </is>
      </c>
      <c r="L677" s="188" t="inlineStr">
        <is>
          <t>2026-02-27 20:47</t>
        </is>
      </c>
      <c r="M677" s="188" t="inlineStr">
        <is>
          <t>CHECK_VENDOR</t>
        </is>
      </c>
      <c r="N677" s="188" t="inlineStr">
        <is>
          <t>See NVD references</t>
        </is>
      </c>
      <c r="O677" s="188" t="inlineStr">
        <is>
          <t>Apply vendor patches</t>
        </is>
      </c>
      <c r="P677" s="188" t="inlineStr">
        <is>
          <t>See CVE details</t>
        </is>
      </c>
      <c r="Q677" s="188" t="inlineStr">
        <is>
          <t>P4</t>
        </is>
      </c>
      <c r="R677" s="188" t="inlineStr">
        <is>
          <t>📅 Schedule patch deployment within 30 days | 🔍 Monitor for exploitation attempts</t>
        </is>
      </c>
      <c r="S677" s="188" t="inlineStr">
        <is>
          <t>CVE - IP enrichment n/a</t>
        </is>
      </c>
      <c r="T677" s="188" t="n">
        <v>0.0004</v>
      </c>
      <c r="U677" s="188" t="n">
        <v>0.1234</v>
      </c>
      <c r="V677" s="188" t="inlineStr">
        <is>
          <t>T1189:Drive-by Compromise | T1566:Phishing</t>
        </is>
      </c>
      <c r="W677" s="188" t="n">
        <v>1</v>
      </c>
      <c r="X677" s="188" t="inlineStr">
        <is>
          <t>LOW (40%)</t>
        </is>
      </c>
      <c r="Y677" s="188" t="inlineStr">
        <is>
          <t>UNLIKELY</t>
        </is>
      </c>
      <c r="Z677" s="188" t="inlineStr">
        <is>
          <t>CHECK_VENDOR</t>
        </is>
      </c>
      <c r="AA677" s="188" t="inlineStr">
        <is>
          <t>https://nvd.nist.gov/vuln/detail/CVE-2026-27738</t>
        </is>
      </c>
      <c r="AB677" s="188" t="inlineStr">
        <is>
          <t>NONE</t>
        </is>
      </c>
      <c r="AC677" s="188" t="n">
        <v>0</v>
      </c>
      <c r="AD677" s="188" t="inlineStr"/>
    </row>
    <row r="678">
      <c r="A678" s="189" t="inlineStr">
        <is>
          <t>CVE</t>
        </is>
      </c>
      <c r="B678" s="189" t="inlineStr">
        <is>
          <t>CVE-2026-27849</t>
        </is>
      </c>
      <c r="C678" s="189"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678" s="189" t="n">
        <v>9.800000000000001</v>
      </c>
      <c r="E678" s="189" t="inlineStr">
        <is>
          <t>CRITICAL</t>
        </is>
      </c>
      <c r="F678" s="189" t="n">
        <v>2</v>
      </c>
      <c r="G678" s="189" t="n">
        <v>3</v>
      </c>
      <c r="H678" s="189" t="inlineStr">
        <is>
          <t>HIGH</t>
        </is>
      </c>
      <c r="I678" s="189" t="n">
        <v>15.8</v>
      </c>
      <c r="J678" s="189" t="inlineStr">
        <is>
          <t>NO</t>
        </is>
      </c>
      <c r="K678" s="189" t="inlineStr">
        <is>
          <t>https://nvd.nist.gov/vuln/detail/CVE-2026-27849</t>
        </is>
      </c>
      <c r="L678" s="189" t="inlineStr">
        <is>
          <t>2026-02-27 20:47</t>
        </is>
      </c>
      <c r="M678" s="189" t="inlineStr">
        <is>
          <t>CHECK_VENDOR</t>
        </is>
      </c>
      <c r="N678" s="189" t="inlineStr">
        <is>
          <t>See NVD references</t>
        </is>
      </c>
      <c r="O678" s="189" t="inlineStr">
        <is>
          <t>Apply vendor patches</t>
        </is>
      </c>
      <c r="P678" s="189" t="inlineStr">
        <is>
          <t>See CVE details</t>
        </is>
      </c>
      <c r="Q678" s="189" t="inlineStr">
        <is>
          <t>P3</t>
        </is>
      </c>
      <c r="R678" s="189" t="inlineStr">
        <is>
          <t>🚨 URGENT: Apply vendor patches immediately | 🔒 Isolate affected systems if patch unavailable | 🛡️ Enable additional monitoring/IDS rules</t>
        </is>
      </c>
      <c r="S678" s="189" t="inlineStr">
        <is>
          <t>CVE - IP enrichment n/a</t>
        </is>
      </c>
      <c r="T678" s="189" t="n">
        <v>0.0005</v>
      </c>
      <c r="U678" s="189" t="n">
        <v>0.1468</v>
      </c>
      <c r="V678" s="189" t="inlineStr">
        <is>
          <t>T1059:Command and Scripting Interpreter</t>
        </is>
      </c>
      <c r="W678" s="189" t="n">
        <v>1</v>
      </c>
      <c r="X678" s="189" t="inlineStr">
        <is>
          <t>LOW (40%)</t>
        </is>
      </c>
      <c r="Y678" s="189" t="inlineStr">
        <is>
          <t>UNLIKELY</t>
        </is>
      </c>
      <c r="Z678" s="189" t="inlineStr">
        <is>
          <t>CHECK_VENDOR</t>
        </is>
      </c>
      <c r="AA678" s="189" t="inlineStr">
        <is>
          <t>https://nvd.nist.gov/vuln/detail/CVE-2026-27849</t>
        </is>
      </c>
      <c r="AB678" s="189" t="inlineStr">
        <is>
          <t>NONE</t>
        </is>
      </c>
      <c r="AC678" s="189" t="n">
        <v>0</v>
      </c>
      <c r="AD678" s="189" t="inlineStr"/>
    </row>
    <row r="679">
      <c r="A679" s="190" t="inlineStr">
        <is>
          <t>CVE</t>
        </is>
      </c>
      <c r="B679" s="190" t="inlineStr">
        <is>
          <t>CVE-2026-3189</t>
        </is>
      </c>
      <c r="C679" s="190"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679" s="190" t="n">
        <v>3.1</v>
      </c>
      <c r="E679" s="190" t="inlineStr">
        <is>
          <t>LOW</t>
        </is>
      </c>
      <c r="F679" s="190" t="n">
        <v>2</v>
      </c>
      <c r="G679" s="190" t="n">
        <v>1</v>
      </c>
      <c r="H679" s="190" t="inlineStr">
        <is>
          <t>LOW</t>
        </is>
      </c>
      <c r="I679" s="190" t="n">
        <v>5.1</v>
      </c>
      <c r="J679" s="190" t="inlineStr">
        <is>
          <t>NO</t>
        </is>
      </c>
      <c r="K679" s="190" t="inlineStr">
        <is>
          <t>https://nvd.nist.gov/vuln/detail/CVE-2026-3189</t>
        </is>
      </c>
      <c r="L679" s="190" t="inlineStr">
        <is>
          <t>2026-02-27 20:47</t>
        </is>
      </c>
      <c r="M679" s="190" t="inlineStr">
        <is>
          <t>CHECK_VENDOR</t>
        </is>
      </c>
      <c r="N679" s="190" t="inlineStr">
        <is>
          <t>See NVD references</t>
        </is>
      </c>
      <c r="O679" s="190" t="inlineStr">
        <is>
          <t>Apply vendor patches</t>
        </is>
      </c>
      <c r="P679" s="190" t="inlineStr">
        <is>
          <t>See CVE details</t>
        </is>
      </c>
      <c r="Q679" s="190" t="inlineStr">
        <is>
          <t>P4</t>
        </is>
      </c>
      <c r="R679" s="190" t="inlineStr">
        <is>
          <t>📅 Schedule patch deployment within 30 days | 🔍 Monitor for exploitation attempts</t>
        </is>
      </c>
      <c r="S679" s="190" t="inlineStr">
        <is>
          <t>CVE - IP enrichment n/a</t>
        </is>
      </c>
      <c r="T679" s="190" t="n">
        <v>0.0003</v>
      </c>
      <c r="U679" s="190" t="n">
        <v>0.0828</v>
      </c>
      <c r="V679" s="190" t="inlineStr">
        <is>
          <t>T1090:Proxy</t>
        </is>
      </c>
      <c r="W679" s="190" t="n">
        <v>1</v>
      </c>
      <c r="X679" s="190" t="inlineStr">
        <is>
          <t>LOW (40%)</t>
        </is>
      </c>
      <c r="Y679" s="190" t="inlineStr">
        <is>
          <t>UNLIKELY</t>
        </is>
      </c>
      <c r="Z679" s="190" t="inlineStr">
        <is>
          <t>CHECK_VENDOR</t>
        </is>
      </c>
      <c r="AA679" s="190" t="inlineStr">
        <is>
          <t>https://nvd.nist.gov/vuln/detail/CVE-2026-3189</t>
        </is>
      </c>
      <c r="AB679" s="190" t="inlineStr">
        <is>
          <t>NONE</t>
        </is>
      </c>
      <c r="AC679" s="190" t="n">
        <v>0</v>
      </c>
      <c r="AD679" s="190" t="inlineStr"/>
    </row>
    <row r="680">
      <c r="A680" s="188" t="inlineStr">
        <is>
          <t>CVE</t>
        </is>
      </c>
      <c r="B680" s="188" t="inlineStr">
        <is>
          <t>CVE-2026-3192</t>
        </is>
      </c>
      <c r="C680" s="188"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680" s="188" t="n">
        <v>5.6</v>
      </c>
      <c r="E680" s="188" t="inlineStr">
        <is>
          <t>MEDIUM</t>
        </is>
      </c>
      <c r="F680" s="188" t="n">
        <v>2</v>
      </c>
      <c r="G680" s="188" t="n">
        <v>2</v>
      </c>
      <c r="H680" s="188" t="inlineStr">
        <is>
          <t>MEDIUM</t>
        </is>
      </c>
      <c r="I680" s="188" t="n">
        <v>9.6</v>
      </c>
      <c r="J680" s="188" t="inlineStr">
        <is>
          <t>NO</t>
        </is>
      </c>
      <c r="K680" s="188" t="inlineStr">
        <is>
          <t>https://nvd.nist.gov/vuln/detail/CVE-2026-3192</t>
        </is>
      </c>
      <c r="L680" s="188" t="inlineStr">
        <is>
          <t>2026-02-27 20:47</t>
        </is>
      </c>
      <c r="M680" s="188" t="inlineStr">
        <is>
          <t>CHECK_VENDOR</t>
        </is>
      </c>
      <c r="N680" s="188" t="inlineStr">
        <is>
          <t>See NVD references</t>
        </is>
      </c>
      <c r="O680" s="188" t="inlineStr">
        <is>
          <t>Apply vendor patches</t>
        </is>
      </c>
      <c r="P680" s="188" t="inlineStr">
        <is>
          <t>See CVE details</t>
        </is>
      </c>
      <c r="Q680" s="188" t="inlineStr">
        <is>
          <t>P4</t>
        </is>
      </c>
      <c r="R680" s="188" t="inlineStr">
        <is>
          <t>📅 Schedule patch deployment within 30 days | 🔍 Monitor for exploitation attempts</t>
        </is>
      </c>
      <c r="S680" s="188" t="inlineStr">
        <is>
          <t>CVE - IP enrichment n/a</t>
        </is>
      </c>
      <c r="T680" s="188" t="n">
        <v>0.0008</v>
      </c>
      <c r="U680" s="188" t="n">
        <v>0.2293</v>
      </c>
      <c r="V680" s="188" t="inlineStr">
        <is>
          <t>T1078:Valid Accounts | T1110:Brute Force | T1552:Unsecured Credentials</t>
        </is>
      </c>
      <c r="W680" s="188" t="n">
        <v>1</v>
      </c>
      <c r="X680" s="188" t="inlineStr">
        <is>
          <t>LOW (40%)</t>
        </is>
      </c>
      <c r="Y680" s="188" t="inlineStr">
        <is>
          <t>UNLIKELY</t>
        </is>
      </c>
      <c r="Z680" s="188" t="inlineStr">
        <is>
          <t>CHECK_VENDOR</t>
        </is>
      </c>
      <c r="AA680" s="188" t="inlineStr">
        <is>
          <t>https://nvd.nist.gov/vuln/detail/CVE-2026-3192</t>
        </is>
      </c>
      <c r="AB680" s="188" t="inlineStr">
        <is>
          <t>NONE</t>
        </is>
      </c>
      <c r="AC680" s="188" t="n">
        <v>0</v>
      </c>
      <c r="AD680" s="188" t="inlineStr"/>
    </row>
    <row r="681">
      <c r="A681" s="190" t="inlineStr">
        <is>
          <t>CVE</t>
        </is>
      </c>
      <c r="B681" s="190" t="inlineStr">
        <is>
          <t>CVE-2026-3193</t>
        </is>
      </c>
      <c r="C681" s="190"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681" s="190" t="n">
        <v>3.1</v>
      </c>
      <c r="E681" s="190" t="inlineStr">
        <is>
          <t>LOW</t>
        </is>
      </c>
      <c r="F681" s="190" t="n">
        <v>2</v>
      </c>
      <c r="G681" s="190" t="n">
        <v>1</v>
      </c>
      <c r="H681" s="190" t="inlineStr">
        <is>
          <t>LOW</t>
        </is>
      </c>
      <c r="I681" s="190" t="n">
        <v>5.1</v>
      </c>
      <c r="J681" s="190" t="inlineStr">
        <is>
          <t>NO</t>
        </is>
      </c>
      <c r="K681" s="190" t="inlineStr">
        <is>
          <t>https://nvd.nist.gov/vuln/detail/CVE-2026-3193</t>
        </is>
      </c>
      <c r="L681" s="190" t="inlineStr">
        <is>
          <t>2026-02-27 20:47</t>
        </is>
      </c>
      <c r="M681" s="190" t="inlineStr">
        <is>
          <t>CHECK_VENDOR</t>
        </is>
      </c>
      <c r="N681" s="190" t="inlineStr">
        <is>
          <t>See NVD references</t>
        </is>
      </c>
      <c r="O681" s="190" t="inlineStr">
        <is>
          <t>Apply vendor patches</t>
        </is>
      </c>
      <c r="P681" s="190" t="inlineStr">
        <is>
          <t>See CVE details</t>
        </is>
      </c>
      <c r="Q681" s="190" t="inlineStr">
        <is>
          <t>P4</t>
        </is>
      </c>
      <c r="R681" s="190" t="inlineStr">
        <is>
          <t>📅 Schedule patch deployment within 30 days | 🔍 Monitor for exploitation attempts</t>
        </is>
      </c>
      <c r="S681" s="190" t="inlineStr">
        <is>
          <t>CVE - IP enrichment n/a</t>
        </is>
      </c>
      <c r="T681" s="190" t="n">
        <v>0.0001</v>
      </c>
      <c r="U681" s="190" t="n">
        <v>0.0227</v>
      </c>
      <c r="V681" s="190" t="inlineStr">
        <is>
          <t>T1185:Browser Session Hijacking</t>
        </is>
      </c>
      <c r="W681" s="190" t="n">
        <v>1</v>
      </c>
      <c r="X681" s="190" t="inlineStr">
        <is>
          <t>LOW (40%)</t>
        </is>
      </c>
      <c r="Y681" s="190" t="inlineStr">
        <is>
          <t>UNLIKELY</t>
        </is>
      </c>
      <c r="Z681" s="190" t="inlineStr">
        <is>
          <t>CHECK_VENDOR</t>
        </is>
      </c>
      <c r="AA681" s="190" t="inlineStr">
        <is>
          <t>https://nvd.nist.gov/vuln/detail/CVE-2026-3193</t>
        </is>
      </c>
      <c r="AB681" s="190" t="inlineStr">
        <is>
          <t>NONE</t>
        </is>
      </c>
      <c r="AC681" s="190" t="n">
        <v>0</v>
      </c>
      <c r="AD681" s="190" t="inlineStr"/>
    </row>
    <row r="682">
      <c r="A682" s="189" t="inlineStr">
        <is>
          <t>CVE</t>
        </is>
      </c>
      <c r="B682" s="189" t="inlineStr">
        <is>
          <t>CVE-2026-21902</t>
        </is>
      </c>
      <c r="C682" s="189"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682" s="189" t="n">
        <v>9.800000000000001</v>
      </c>
      <c r="E682" s="189" t="inlineStr">
        <is>
          <t>CRITICAL</t>
        </is>
      </c>
      <c r="F682" s="189" t="n">
        <v>2</v>
      </c>
      <c r="G682" s="189" t="n">
        <v>3</v>
      </c>
      <c r="H682" s="189" t="inlineStr">
        <is>
          <t>HIGH</t>
        </is>
      </c>
      <c r="I682" s="189" t="n">
        <v>15.8</v>
      </c>
      <c r="J682" s="189" t="inlineStr">
        <is>
          <t>NO</t>
        </is>
      </c>
      <c r="K682" s="189" t="inlineStr">
        <is>
          <t>https://nvd.nist.gov/vuln/detail/CVE-2026-21902</t>
        </is>
      </c>
      <c r="L682" s="189" t="inlineStr">
        <is>
          <t>2026-02-27 20:47</t>
        </is>
      </c>
      <c r="M682" s="189" t="inlineStr">
        <is>
          <t>CHECK_VENDOR</t>
        </is>
      </c>
      <c r="N682" s="189" t="inlineStr">
        <is>
          <t>See NVD references</t>
        </is>
      </c>
      <c r="O682" s="189" t="inlineStr">
        <is>
          <t>Apply vendor patches</t>
        </is>
      </c>
      <c r="P682" s="189" t="inlineStr">
        <is>
          <t>See CVE details</t>
        </is>
      </c>
      <c r="Q682" s="189" t="inlineStr">
        <is>
          <t>P3</t>
        </is>
      </c>
      <c r="R682" s="189" t="inlineStr">
        <is>
          <t>🚨 URGENT: Apply vendor patches immediately | 🔒 Isolate affected systems if patch unavailable | 🛡️ Enable additional monitoring/IDS rules</t>
        </is>
      </c>
      <c r="S682" s="189" t="inlineStr">
        <is>
          <t>CVE - IP enrichment n/a</t>
        </is>
      </c>
      <c r="T682" s="189" t="n">
        <v>0.0025</v>
      </c>
      <c r="U682" s="189" t="n">
        <v>0.4794</v>
      </c>
      <c r="V682" s="189" t="inlineStr">
        <is>
          <t>T1190:Exploit Public-Facing Application</t>
        </is>
      </c>
      <c r="W682" s="189" t="n">
        <v>1</v>
      </c>
      <c r="X682" s="189" t="inlineStr">
        <is>
          <t>LOW (40%)</t>
        </is>
      </c>
      <c r="Y682" s="189" t="inlineStr">
        <is>
          <t>UNLIKELY</t>
        </is>
      </c>
      <c r="Z682" s="189" t="inlineStr">
        <is>
          <t>CHECK_VENDOR</t>
        </is>
      </c>
      <c r="AA682" s="189" t="inlineStr">
        <is>
          <t>https://nvd.nist.gov/vuln/detail/CVE-2026-21902</t>
        </is>
      </c>
      <c r="AB682" s="189" t="inlineStr">
        <is>
          <t>NONE</t>
        </is>
      </c>
      <c r="AC682" s="189" t="n">
        <v>0</v>
      </c>
      <c r="AD682" s="189" t="inlineStr">
        <is>
          <t>[SecurityAffairs] Juniper issues emergency patch for critical PTX router RCE | [SecurityWeek] Juniper Networks PTX Routers Affected by Critical Vulnerability</t>
        </is>
      </c>
    </row>
    <row r="683">
      <c r="A683" s="188" t="inlineStr">
        <is>
          <t>CVE</t>
        </is>
      </c>
      <c r="B683" s="188" t="inlineStr">
        <is>
          <t>CVE-2026-25554</t>
        </is>
      </c>
      <c r="C683" s="188"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683" s="188" t="n">
        <v>5</v>
      </c>
      <c r="E683" s="188" t="inlineStr">
        <is>
          <t>MEDIUM</t>
        </is>
      </c>
      <c r="F683" s="188" t="n">
        <v>2</v>
      </c>
      <c r="G683" s="188" t="n">
        <v>2</v>
      </c>
      <c r="H683" s="188" t="inlineStr">
        <is>
          <t>MEDIUM</t>
        </is>
      </c>
      <c r="I683" s="188" t="n">
        <v>9</v>
      </c>
      <c r="J683" s="188" t="inlineStr">
        <is>
          <t>NO</t>
        </is>
      </c>
      <c r="K683" s="188" t="inlineStr">
        <is>
          <t>https://nvd.nist.gov/vuln/detail/CVE-2026-25554</t>
        </is>
      </c>
      <c r="L683" s="188" t="inlineStr">
        <is>
          <t>2026-02-27 20:47</t>
        </is>
      </c>
      <c r="M683" s="188" t="inlineStr">
        <is>
          <t>CHECK_VENDOR</t>
        </is>
      </c>
      <c r="N683" s="188" t="inlineStr">
        <is>
          <t>See NVD references</t>
        </is>
      </c>
      <c r="O683" s="188" t="inlineStr">
        <is>
          <t>Apply vendor patches</t>
        </is>
      </c>
      <c r="P683" s="188" t="inlineStr">
        <is>
          <t>See CVE details</t>
        </is>
      </c>
      <c r="Q683" s="188" t="inlineStr">
        <is>
          <t>P3</t>
        </is>
      </c>
      <c r="R683" s="188" t="inlineStr">
        <is>
          <t>📅 Schedule patch deployment within 30 days | 🔍 Monitor for exploitation attempts</t>
        </is>
      </c>
      <c r="S683" s="188" t="inlineStr">
        <is>
          <t>CVE - IP enrichment n/a</t>
        </is>
      </c>
      <c r="T683" s="188" t="n">
        <v>0.0013</v>
      </c>
      <c r="U683" s="188" t="n">
        <v>0.3179</v>
      </c>
      <c r="V683" s="188" t="inlineStr">
        <is>
          <t>T1190:Exploit Public-Facing Application</t>
        </is>
      </c>
      <c r="W683" s="188" t="n">
        <v>2</v>
      </c>
      <c r="X683" s="188" t="inlineStr">
        <is>
          <t>MEDIUM (52%)</t>
        </is>
      </c>
      <c r="Y683" s="188" t="inlineStr">
        <is>
          <t>UNLIKELY</t>
        </is>
      </c>
      <c r="Z683" s="188" t="inlineStr">
        <is>
          <t>CHECK_VENDOR</t>
        </is>
      </c>
      <c r="AA683" s="188" t="inlineStr">
        <is>
          <t>https://nvd.nist.gov/vuln/detail/CVE-2026-25554</t>
        </is>
      </c>
      <c r="AB683" s="188" t="inlineStr">
        <is>
          <t>NONE</t>
        </is>
      </c>
      <c r="AC683" s="188" t="n">
        <v>0</v>
      </c>
      <c r="AD683" s="188" t="inlineStr"/>
    </row>
    <row r="684">
      <c r="A684" s="187" t="inlineStr">
        <is>
          <t>CVE</t>
        </is>
      </c>
      <c r="B684" s="187" t="inlineStr">
        <is>
          <t>CVE-2026-27739</t>
        </is>
      </c>
      <c r="C684" s="187"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684" s="187" t="n">
        <v>8.5</v>
      </c>
      <c r="E684" s="187" t="inlineStr">
        <is>
          <t>HIGH</t>
        </is>
      </c>
      <c r="F684" s="187" t="n">
        <v>2</v>
      </c>
      <c r="G684" s="187" t="n">
        <v>3</v>
      </c>
      <c r="H684" s="187" t="inlineStr">
        <is>
          <t>HIGH</t>
        </is>
      </c>
      <c r="I684" s="187" t="n">
        <v>14.5</v>
      </c>
      <c r="J684" s="187" t="inlineStr">
        <is>
          <t>NO</t>
        </is>
      </c>
      <c r="K684" s="187" t="inlineStr">
        <is>
          <t>https://nvd.nist.gov/vuln/detail/CVE-2026-27739</t>
        </is>
      </c>
      <c r="L684" s="187" t="inlineStr">
        <is>
          <t>2026-02-27 20:47</t>
        </is>
      </c>
      <c r="M684" s="187" t="inlineStr">
        <is>
          <t>CHECK_VENDOR</t>
        </is>
      </c>
      <c r="N684" s="187" t="inlineStr">
        <is>
          <t>See NVD references</t>
        </is>
      </c>
      <c r="O684" s="187" t="inlineStr">
        <is>
          <t>Apply vendor patches</t>
        </is>
      </c>
      <c r="P684" s="187" t="inlineStr">
        <is>
          <t>See CVE details</t>
        </is>
      </c>
      <c r="Q684" s="187" t="inlineStr">
        <is>
          <t>P3</t>
        </is>
      </c>
      <c r="R684" s="187" t="inlineStr">
        <is>
          <t>🚨 URGENT: Apply vendor patches immediately | 🔒 Isolate affected systems if patch unavailable | 🛡️ Enable additional monitoring/IDS rules</t>
        </is>
      </c>
      <c r="S684" s="187" t="inlineStr">
        <is>
          <t>CVE - IP enrichment n/a</t>
        </is>
      </c>
      <c r="T684" s="187" t="n">
        <v>0.0004</v>
      </c>
      <c r="U684" s="187" t="n">
        <v>0.1234</v>
      </c>
      <c r="V684" s="187" t="inlineStr">
        <is>
          <t>T1090:Proxy | T1190:Exploit Public-Facing Application | T1552:Unsecured Credentials</t>
        </is>
      </c>
      <c r="W684" s="187" t="n">
        <v>1</v>
      </c>
      <c r="X684" s="187" t="inlineStr">
        <is>
          <t>LOW (40%)</t>
        </is>
      </c>
      <c r="Y684" s="187" t="inlineStr">
        <is>
          <t>UNLIKELY</t>
        </is>
      </c>
      <c r="Z684" s="187" t="inlineStr">
        <is>
          <t>CHECK_VENDOR</t>
        </is>
      </c>
      <c r="AA684" s="187" t="inlineStr">
        <is>
          <t>https://nvd.nist.gov/vuln/detail/CVE-2026-27739</t>
        </is>
      </c>
      <c r="AB684" s="187" t="inlineStr">
        <is>
          <t>NONE</t>
        </is>
      </c>
      <c r="AC684" s="187" t="n">
        <v>0</v>
      </c>
      <c r="AD684" s="187" t="inlineStr"/>
    </row>
    <row r="685">
      <c r="A685" s="188" t="inlineStr">
        <is>
          <t>CVE</t>
        </is>
      </c>
      <c r="B685" s="188" t="inlineStr">
        <is>
          <t>CVE-2026-27794</t>
        </is>
      </c>
      <c r="C685" s="188"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685" s="188" t="n">
        <v>6.6</v>
      </c>
      <c r="E685" s="188" t="inlineStr">
        <is>
          <t>MEDIUM</t>
        </is>
      </c>
      <c r="F685" s="188" t="n">
        <v>2</v>
      </c>
      <c r="G685" s="188" t="n">
        <v>2</v>
      </c>
      <c r="H685" s="188" t="inlineStr">
        <is>
          <t>MEDIUM</t>
        </is>
      </c>
      <c r="I685" s="188" t="n">
        <v>10.6</v>
      </c>
      <c r="J685" s="188" t="inlineStr">
        <is>
          <t>NO</t>
        </is>
      </c>
      <c r="K685" s="188" t="inlineStr">
        <is>
          <t>https://nvd.nist.gov/vuln/detail/CVE-2026-27794</t>
        </is>
      </c>
      <c r="L685" s="188" t="inlineStr">
        <is>
          <t>2026-02-27 20:47</t>
        </is>
      </c>
      <c r="M685" s="188" t="inlineStr">
        <is>
          <t>CHECK_VENDOR</t>
        </is>
      </c>
      <c r="N685" s="188" t="inlineStr">
        <is>
          <t>See NVD references</t>
        </is>
      </c>
      <c r="O685" s="188" t="inlineStr">
        <is>
          <t>Apply vendor patches</t>
        </is>
      </c>
      <c r="P685" s="188" t="inlineStr">
        <is>
          <t>See CVE details</t>
        </is>
      </c>
      <c r="Q685" s="188" t="inlineStr">
        <is>
          <t>P3</t>
        </is>
      </c>
      <c r="R685" s="188" t="inlineStr">
        <is>
          <t>📅 Schedule patch deployment within 30 days | 🔍 Monitor for exploitation attempts</t>
        </is>
      </c>
      <c r="S685" s="188" t="inlineStr">
        <is>
          <t>CVE - IP enrichment n/a</t>
        </is>
      </c>
      <c r="T685" s="188" t="n">
        <v>0.0024</v>
      </c>
      <c r="U685" s="188" t="n">
        <v>0.4748</v>
      </c>
      <c r="V685" s="188" t="inlineStr">
        <is>
          <t>T1059:Command and Scripting Interpreter | T1190:Exploit Public-Facing Application | T1210:Exploitation of Remote Services</t>
        </is>
      </c>
      <c r="W685" s="188" t="n">
        <v>2</v>
      </c>
      <c r="X685" s="188" t="inlineStr">
        <is>
          <t>MEDIUM (52%)</t>
        </is>
      </c>
      <c r="Y685" s="188" t="inlineStr">
        <is>
          <t>UNLIKELY</t>
        </is>
      </c>
      <c r="Z685" s="188" t="inlineStr">
        <is>
          <t>CHECK_VENDOR</t>
        </is>
      </c>
      <c r="AA685" s="188" t="inlineStr">
        <is>
          <t>https://nvd.nist.gov/vuln/detail/CVE-2026-27794</t>
        </is>
      </c>
      <c r="AB685" s="188" t="inlineStr">
        <is>
          <t>NONE</t>
        </is>
      </c>
      <c r="AC685" s="188" t="n">
        <v>0</v>
      </c>
      <c r="AD685" s="188" t="inlineStr"/>
    </row>
    <row r="686">
      <c r="A686" s="188" t="inlineStr">
        <is>
          <t>CVE</t>
        </is>
      </c>
      <c r="B686" s="188" t="inlineStr">
        <is>
          <t>CVE-2026-27795</t>
        </is>
      </c>
      <c r="C686" s="188"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686" s="188" t="n">
        <v>4.1</v>
      </c>
      <c r="E686" s="188" t="inlineStr">
        <is>
          <t>MEDIUM</t>
        </is>
      </c>
      <c r="F686" s="188" t="n">
        <v>2</v>
      </c>
      <c r="G686" s="188" t="n">
        <v>2</v>
      </c>
      <c r="H686" s="188" t="inlineStr">
        <is>
          <t>MEDIUM</t>
        </is>
      </c>
      <c r="I686" s="188" t="n">
        <v>9</v>
      </c>
      <c r="J686" s="188" t="inlineStr">
        <is>
          <t>NO</t>
        </is>
      </c>
      <c r="K686" s="188" t="inlineStr">
        <is>
          <t>https://nvd.nist.gov/vuln/detail/CVE-2026-27795</t>
        </is>
      </c>
      <c r="L686" s="188" t="inlineStr">
        <is>
          <t>2026-02-27 20:47</t>
        </is>
      </c>
      <c r="M686" s="188" t="inlineStr">
        <is>
          <t>CHECK_VENDOR</t>
        </is>
      </c>
      <c r="N686" s="188" t="inlineStr">
        <is>
          <t>See NVD references</t>
        </is>
      </c>
      <c r="O686" s="188" t="inlineStr">
        <is>
          <t>Apply vendor patches</t>
        </is>
      </c>
      <c r="P686" s="188" t="inlineStr">
        <is>
          <t>See CVE details</t>
        </is>
      </c>
      <c r="Q686" s="188" t="inlineStr">
        <is>
          <t>P3</t>
        </is>
      </c>
      <c r="R686" s="188" t="inlineStr">
        <is>
          <t>📅 Schedule patch deployment within 30 days | 🔍 Monitor for exploitation attempts</t>
        </is>
      </c>
      <c r="S686" s="188" t="inlineStr">
        <is>
          <t>CVE - IP enrichment n/a</t>
        </is>
      </c>
      <c r="T686" s="188" t="n">
        <v>0.0003</v>
      </c>
      <c r="U686" s="188" t="n">
        <v>0.0882</v>
      </c>
      <c r="V686" s="188" t="inlineStr">
        <is>
          <t>T1090:Proxy</t>
        </is>
      </c>
      <c r="W686" s="188" t="n">
        <v>2</v>
      </c>
      <c r="X686" s="188" t="inlineStr">
        <is>
          <t>MEDIUM (52%)</t>
        </is>
      </c>
      <c r="Y686" s="188" t="inlineStr">
        <is>
          <t>UNLIKELY</t>
        </is>
      </c>
      <c r="Z686" s="188" t="inlineStr">
        <is>
          <t>CHECK_VENDOR</t>
        </is>
      </c>
      <c r="AA686" s="188" t="inlineStr">
        <is>
          <t>https://nvd.nist.gov/vuln/detail/CVE-2026-27795</t>
        </is>
      </c>
      <c r="AB686" s="188" t="inlineStr">
        <is>
          <t>NONE</t>
        </is>
      </c>
      <c r="AC686" s="188" t="n">
        <v>0</v>
      </c>
      <c r="AD686" s="188" t="inlineStr"/>
    </row>
    <row r="687">
      <c r="A687" s="187" t="inlineStr">
        <is>
          <t>CVE</t>
        </is>
      </c>
      <c r="B687" s="187" t="inlineStr">
        <is>
          <t>CVE-2026-27850</t>
        </is>
      </c>
      <c r="C687" s="187"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687" s="187" t="n">
        <v>7.5</v>
      </c>
      <c r="E687" s="187" t="inlineStr">
        <is>
          <t>HIGH</t>
        </is>
      </c>
      <c r="F687" s="187" t="n">
        <v>2</v>
      </c>
      <c r="G687" s="187" t="n">
        <v>3</v>
      </c>
      <c r="H687" s="187" t="inlineStr">
        <is>
          <t>HIGH</t>
        </is>
      </c>
      <c r="I687" s="187" t="n">
        <v>13.5</v>
      </c>
      <c r="J687" s="187" t="inlineStr">
        <is>
          <t>NO</t>
        </is>
      </c>
      <c r="K687" s="187" t="inlineStr">
        <is>
          <t>https://nvd.nist.gov/vuln/detail/CVE-2026-27850</t>
        </is>
      </c>
      <c r="L687" s="187" t="inlineStr">
        <is>
          <t>2026-02-27 20:47</t>
        </is>
      </c>
      <c r="M687" s="187" t="inlineStr">
        <is>
          <t>CHECK_VENDOR</t>
        </is>
      </c>
      <c r="N687" s="187" t="inlineStr">
        <is>
          <t>See NVD references</t>
        </is>
      </c>
      <c r="O687" s="187" t="inlineStr">
        <is>
          <t>Apply vendor patches</t>
        </is>
      </c>
      <c r="P687" s="187" t="inlineStr">
        <is>
          <t>See CVE details</t>
        </is>
      </c>
      <c r="Q687" s="187" t="inlineStr">
        <is>
          <t>P3</t>
        </is>
      </c>
      <c r="R687" s="187" t="inlineStr">
        <is>
          <t>🚨 URGENT: Apply vendor patches immediately | 🔒 Isolate affected systems if patch unavailable | 🛡️ Enable additional monitoring/IDS rules</t>
        </is>
      </c>
      <c r="S687" s="187" t="inlineStr">
        <is>
          <t>CVE - IP enrichment n/a</t>
        </is>
      </c>
      <c r="T687" s="187" t="n">
        <v>0.0003</v>
      </c>
      <c r="U687" s="187" t="n">
        <v>0.0861</v>
      </c>
      <c r="V687" s="187" t="inlineStr">
        <is>
          <t>T1190:Exploit Public-Facing Application | T1562:Impair Defenses</t>
        </is>
      </c>
      <c r="W687" s="187" t="n">
        <v>1</v>
      </c>
      <c r="X687" s="187" t="inlineStr">
        <is>
          <t>LOW (40%)</t>
        </is>
      </c>
      <c r="Y687" s="187" t="inlineStr">
        <is>
          <t>UNLIKELY</t>
        </is>
      </c>
      <c r="Z687" s="187" t="inlineStr">
        <is>
          <t>CHECK_VENDOR</t>
        </is>
      </c>
      <c r="AA687" s="187" t="inlineStr">
        <is>
          <t>https://nvd.nist.gov/vuln/detail/CVE-2026-27850</t>
        </is>
      </c>
      <c r="AB687" s="187" t="inlineStr">
        <is>
          <t>NONE</t>
        </is>
      </c>
      <c r="AC687" s="187" t="n">
        <v>0</v>
      </c>
      <c r="AD687" s="187" t="inlineStr"/>
    </row>
    <row r="688">
      <c r="A688" s="188" t="inlineStr">
        <is>
          <t>CVE</t>
        </is>
      </c>
      <c r="B688" s="188" t="inlineStr">
        <is>
          <t>CVE-2026-3194</t>
        </is>
      </c>
      <c r="C688" s="188"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688" s="188" t="n">
        <v>4.5</v>
      </c>
      <c r="E688" s="188" t="inlineStr">
        <is>
          <t>MEDIUM</t>
        </is>
      </c>
      <c r="F688" s="188" t="n">
        <v>2</v>
      </c>
      <c r="G688" s="188" t="n">
        <v>2</v>
      </c>
      <c r="H688" s="188" t="inlineStr">
        <is>
          <t>MEDIUM</t>
        </is>
      </c>
      <c r="I688" s="188" t="n">
        <v>8.5</v>
      </c>
      <c r="J688" s="188" t="inlineStr">
        <is>
          <t>NO</t>
        </is>
      </c>
      <c r="K688" s="188" t="inlineStr">
        <is>
          <t>https://nvd.nist.gov/vuln/detail/CVE-2026-3194</t>
        </is>
      </c>
      <c r="L688" s="188" t="inlineStr">
        <is>
          <t>2026-02-27 20:47</t>
        </is>
      </c>
      <c r="M688" s="188" t="inlineStr">
        <is>
          <t>CHECK_VENDOR</t>
        </is>
      </c>
      <c r="N688" s="188" t="inlineStr">
        <is>
          <t>See NVD references</t>
        </is>
      </c>
      <c r="O688" s="188" t="inlineStr">
        <is>
          <t>Apply vendor patches</t>
        </is>
      </c>
      <c r="P688" s="188" t="inlineStr">
        <is>
          <t>See CVE details</t>
        </is>
      </c>
      <c r="Q688" s="188" t="inlineStr">
        <is>
          <t>P4</t>
        </is>
      </c>
      <c r="R688" s="188" t="inlineStr">
        <is>
          <t>📅 Schedule patch deployment within 30 days | 🔍 Monitor for exploitation attempts</t>
        </is>
      </c>
      <c r="S688" s="188" t="inlineStr">
        <is>
          <t>CVE - IP enrichment n/a</t>
        </is>
      </c>
      <c r="T688" s="188" t="n">
        <v>0.0002</v>
      </c>
      <c r="U688" s="188" t="n">
        <v>0.051</v>
      </c>
      <c r="V688" s="188" t="inlineStr">
        <is>
          <t>T1078:Valid Accounts | T1110:Brute Force</t>
        </is>
      </c>
      <c r="W688" s="188" t="n">
        <v>1</v>
      </c>
      <c r="X688" s="188" t="inlineStr">
        <is>
          <t>LOW (40%)</t>
        </is>
      </c>
      <c r="Y688" s="188" t="inlineStr">
        <is>
          <t>UNLIKELY</t>
        </is>
      </c>
      <c r="Z688" s="188" t="inlineStr">
        <is>
          <t>CHECK_VENDOR</t>
        </is>
      </c>
      <c r="AA688" s="188" t="inlineStr">
        <is>
          <t>https://nvd.nist.gov/vuln/detail/CVE-2026-3194</t>
        </is>
      </c>
      <c r="AB688" s="188" t="inlineStr">
        <is>
          <t>NONE</t>
        </is>
      </c>
      <c r="AC688" s="188" t="n">
        <v>0</v>
      </c>
      <c r="AD688" s="188" t="inlineStr"/>
    </row>
    <row r="689">
      <c r="A689" s="187" t="inlineStr">
        <is>
          <t>CVE</t>
        </is>
      </c>
      <c r="B689" s="187" t="inlineStr">
        <is>
          <t>CVE-2026-23627</t>
        </is>
      </c>
      <c r="C689" s="187"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689" s="187" t="n">
        <v>8.800000000000001</v>
      </c>
      <c r="E689" s="187" t="inlineStr">
        <is>
          <t>HIGH</t>
        </is>
      </c>
      <c r="F689" s="187" t="n">
        <v>2</v>
      </c>
      <c r="G689" s="187" t="n">
        <v>3</v>
      </c>
      <c r="H689" s="187" t="inlineStr">
        <is>
          <t>HIGH</t>
        </is>
      </c>
      <c r="I689" s="187" t="n">
        <v>14.8</v>
      </c>
      <c r="J689" s="187" t="inlineStr">
        <is>
          <t>NO</t>
        </is>
      </c>
      <c r="K689" s="187" t="inlineStr">
        <is>
          <t>https://nvd.nist.gov/vuln/detail/CVE-2026-23627</t>
        </is>
      </c>
      <c r="L689" s="187" t="inlineStr">
        <is>
          <t>2026-02-27 20:47</t>
        </is>
      </c>
      <c r="M689" s="187" t="inlineStr">
        <is>
          <t>YES</t>
        </is>
      </c>
      <c r="N689" s="187" t="inlineStr">
        <is>
          <t>https://github.com/openemr/openemr/commit/cbf4ea4345b14a6c8362201e30c74ffb0949cdb1 | https://github.com/openemr/openemr/security/advisories/GHSA-x3hw-rwrg-v25h</t>
        </is>
      </c>
      <c r="O689" s="187" t="inlineStr">
        <is>
          <t>Apply vendor patches</t>
        </is>
      </c>
      <c r="P689" s="187" t="inlineStr">
        <is>
          <t>open-emr openemr *</t>
        </is>
      </c>
      <c r="Q689" s="187" t="inlineStr">
        <is>
          <t>P3</t>
        </is>
      </c>
      <c r="R689" s="187" t="inlineStr">
        <is>
          <t>🚨 URGENT: Apply vendor patches immediately | 🔒 Isolate affected systems if patch unavailable | 🛡️ Enable additional monitoring/IDS rules</t>
        </is>
      </c>
      <c r="S689" s="187" t="inlineStr">
        <is>
          <t>CVE - IP enrichment n/a</t>
        </is>
      </c>
      <c r="T689" s="187" t="n">
        <v>0.0022</v>
      </c>
      <c r="U689" s="187" t="n">
        <v>0.441</v>
      </c>
      <c r="V689" s="187" t="inlineStr">
        <is>
          <t>T1190:Exploit Public-Facing Application | T1210:Exploitation of Remote Services | T1552:Unsecured Credentials</t>
        </is>
      </c>
      <c r="W689" s="187" t="n">
        <v>1</v>
      </c>
      <c r="X689" s="187" t="inlineStr">
        <is>
          <t>LOW (40%)</t>
        </is>
      </c>
      <c r="Y689" s="187" t="inlineStr">
        <is>
          <t>UNLIKELY</t>
        </is>
      </c>
      <c r="Z689" s="187" t="inlineStr">
        <is>
          <t>PATCH_AVAILABLE</t>
        </is>
      </c>
      <c r="AA689" s="187" t="inlineStr">
        <is>
          <t>https://nvd.nist.gov/vuln/detail/CVE-2026-23627</t>
        </is>
      </c>
      <c r="AB689" s="187" t="inlineStr">
        <is>
          <t>NONE</t>
        </is>
      </c>
      <c r="AC689" s="187" t="n">
        <v>0</v>
      </c>
      <c r="AD689" s="187" t="inlineStr"/>
    </row>
    <row r="690">
      <c r="A690" s="191" t="inlineStr">
        <is>
          <t>CVE</t>
        </is>
      </c>
      <c r="B690" s="191" t="inlineStr">
        <is>
          <t>CVE-2026-24005</t>
        </is>
      </c>
      <c r="C690" s="191"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690" s="191" t="n">
        <v>0</v>
      </c>
      <c r="E690" s="191" t="inlineStr">
        <is>
          <t>NONE</t>
        </is>
      </c>
      <c r="F690" s="191" t="n">
        <v>2</v>
      </c>
      <c r="G690" s="191" t="n">
        <v>1</v>
      </c>
      <c r="H690" s="191" t="inlineStr">
        <is>
          <t>LOW</t>
        </is>
      </c>
      <c r="I690" s="191" t="n">
        <v>2</v>
      </c>
      <c r="J690" s="191" t="inlineStr">
        <is>
          <t>NO</t>
        </is>
      </c>
      <c r="K690" s="191" t="inlineStr">
        <is>
          <t>https://nvd.nist.gov/vuln/detail/CVE-2026-24005</t>
        </is>
      </c>
      <c r="L690" s="191" t="inlineStr">
        <is>
          <t>2026-02-27 20:47</t>
        </is>
      </c>
      <c r="M690" s="191" t="inlineStr">
        <is>
          <t>CHECK_VENDOR</t>
        </is>
      </c>
      <c r="N690" s="191" t="inlineStr">
        <is>
          <t>See NVD references</t>
        </is>
      </c>
      <c r="O690" s="191" t="inlineStr">
        <is>
          <t>Apply vendor patches</t>
        </is>
      </c>
      <c r="P690" s="191" t="inlineStr">
        <is>
          <t>See CVE details</t>
        </is>
      </c>
      <c r="Q690" s="191" t="inlineStr">
        <is>
          <t>P4</t>
        </is>
      </c>
      <c r="R690" s="191" t="inlineStr">
        <is>
          <t>📅 Schedule patch deployment within 30 days | 🔍 Monitor for exploitation attempts</t>
        </is>
      </c>
      <c r="S690" s="191" t="inlineStr">
        <is>
          <t>CVE - IP enrichment n/a</t>
        </is>
      </c>
      <c r="T690" s="191" t="n">
        <v>0.0003</v>
      </c>
      <c r="U690" s="191" t="n">
        <v>0.0711</v>
      </c>
      <c r="V690" s="191" t="inlineStr">
        <is>
          <t>T1090:Proxy</t>
        </is>
      </c>
      <c r="W690" s="191" t="n">
        <v>1</v>
      </c>
      <c r="X690" s="191" t="inlineStr">
        <is>
          <t>LOW (40%)</t>
        </is>
      </c>
      <c r="Y690" s="191" t="inlineStr">
        <is>
          <t>UNLIKELY</t>
        </is>
      </c>
      <c r="Z690" s="191" t="inlineStr">
        <is>
          <t>CHECK_VENDOR</t>
        </is>
      </c>
      <c r="AA690" s="191" t="inlineStr">
        <is>
          <t>https://nvd.nist.gov/vuln/detail/CVE-2026-24005</t>
        </is>
      </c>
      <c r="AB690" s="191" t="inlineStr">
        <is>
          <t>NONE</t>
        </is>
      </c>
      <c r="AC690" s="191" t="n">
        <v>0</v>
      </c>
      <c r="AD690" s="191" t="inlineStr"/>
    </row>
    <row r="691">
      <c r="A691" s="188" t="inlineStr">
        <is>
          <t>CVE</t>
        </is>
      </c>
      <c r="B691" s="188" t="inlineStr">
        <is>
          <t>CVE-2026-24487</t>
        </is>
      </c>
      <c r="C691" s="188"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691" s="188" t="n">
        <v>6.5</v>
      </c>
      <c r="E691" s="188" t="inlineStr">
        <is>
          <t>MEDIUM</t>
        </is>
      </c>
      <c r="F691" s="188" t="n">
        <v>2</v>
      </c>
      <c r="G691" s="188" t="n">
        <v>2</v>
      </c>
      <c r="H691" s="188" t="inlineStr">
        <is>
          <t>MEDIUM</t>
        </is>
      </c>
      <c r="I691" s="188" t="n">
        <v>10.5</v>
      </c>
      <c r="J691" s="188" t="inlineStr">
        <is>
          <t>NO</t>
        </is>
      </c>
      <c r="K691" s="188" t="inlineStr">
        <is>
          <t>https://nvd.nist.gov/vuln/detail/CVE-2026-24487</t>
        </is>
      </c>
      <c r="L691" s="188" t="inlineStr">
        <is>
          <t>2026-02-27 20:47</t>
        </is>
      </c>
      <c r="M691" s="188" t="inlineStr">
        <is>
          <t>YES</t>
        </is>
      </c>
      <c r="N691" s="188" t="inlineStr">
        <is>
          <t>https://github.com/openemr/openemr/commit/5ce10a3961b73862aaf31eb30044ffe1018465cc | https://github.com/openemr/openemr/security/advisories/GHSA-4frq-f657-hwrc</t>
        </is>
      </c>
      <c r="O691" s="188" t="inlineStr">
        <is>
          <t>Apply vendor patches</t>
        </is>
      </c>
      <c r="P691" s="188" t="inlineStr">
        <is>
          <t>open-emr openemr *</t>
        </is>
      </c>
      <c r="Q691" s="188" t="inlineStr">
        <is>
          <t>P4</t>
        </is>
      </c>
      <c r="R691" s="188" t="inlineStr">
        <is>
          <t>📅 Schedule patch deployment within 30 days | 🔍 Monitor for exploitation attempts</t>
        </is>
      </c>
      <c r="S691" s="188" t="inlineStr">
        <is>
          <t>CVE - IP enrichment n/a</t>
        </is>
      </c>
      <c r="T691" s="188" t="n">
        <v>0.0004</v>
      </c>
      <c r="U691" s="188" t="n">
        <v>0.1139</v>
      </c>
      <c r="V691" s="188" t="inlineStr">
        <is>
          <t>T1213:Data from Information Repositories | T1190:Exploit Public-Facing Application</t>
        </is>
      </c>
      <c r="W691" s="188" t="n">
        <v>1</v>
      </c>
      <c r="X691" s="188" t="inlineStr">
        <is>
          <t>LOW (40%)</t>
        </is>
      </c>
      <c r="Y691" s="188" t="inlineStr">
        <is>
          <t>UNLIKELY</t>
        </is>
      </c>
      <c r="Z691" s="188" t="inlineStr">
        <is>
          <t>PATCH_AVAILABLE</t>
        </is>
      </c>
      <c r="AA691" s="188" t="inlineStr">
        <is>
          <t>https://nvd.nist.gov/vuln/detail/CVE-2026-24487</t>
        </is>
      </c>
      <c r="AB691" s="188" t="inlineStr">
        <is>
          <t>NONE</t>
        </is>
      </c>
      <c r="AC691" s="188" t="n">
        <v>0</v>
      </c>
      <c r="AD691" s="188" t="inlineStr"/>
    </row>
    <row r="692">
      <c r="A692" s="187" t="inlineStr">
        <is>
          <t>CVE</t>
        </is>
      </c>
      <c r="B692" s="187" t="inlineStr">
        <is>
          <t>CVE-2026-24890</t>
        </is>
      </c>
      <c r="C692" s="187"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692" s="187" t="n">
        <v>8.1</v>
      </c>
      <c r="E692" s="187" t="inlineStr">
        <is>
          <t>HIGH</t>
        </is>
      </c>
      <c r="F692" s="187" t="n">
        <v>2</v>
      </c>
      <c r="G692" s="187" t="n">
        <v>3</v>
      </c>
      <c r="H692" s="187" t="inlineStr">
        <is>
          <t>HIGH</t>
        </is>
      </c>
      <c r="I692" s="187" t="n">
        <v>14.1</v>
      </c>
      <c r="J692" s="187" t="inlineStr">
        <is>
          <t>NO</t>
        </is>
      </c>
      <c r="K692" s="187" t="inlineStr">
        <is>
          <t>https://nvd.nist.gov/vuln/detail/CVE-2026-24890</t>
        </is>
      </c>
      <c r="L692" s="187" t="inlineStr">
        <is>
          <t>2026-02-27 20:47</t>
        </is>
      </c>
      <c r="M692" s="187" t="inlineStr">
        <is>
          <t>YES</t>
        </is>
      </c>
      <c r="N692" s="187" t="inlineStr">
        <is>
          <t>https://github.com/openemr/openemr/commit/a29c0f7ac0975429a85cd09a3ff12ee0dcdb4478 | https://github.com/openemr/openemr/security/advisories/GHSA-xc8x-mfh8-9xvh | https://github.com/openemr/openemr/security/advisories/GHSA-xc8x-mfh8-9xvh</t>
        </is>
      </c>
      <c r="O692" s="187" t="inlineStr">
        <is>
          <t>Apply vendor patches</t>
        </is>
      </c>
      <c r="P692" s="187" t="inlineStr">
        <is>
          <t>open-emr openemr *</t>
        </is>
      </c>
      <c r="Q692" s="187" t="inlineStr">
        <is>
          <t>P3</t>
        </is>
      </c>
      <c r="R692" s="187" t="inlineStr">
        <is>
          <t>🚨 URGENT: Apply vendor patches immediately | 🔒 Isolate affected systems if patch unavailable | 🛡️ Enable additional monitoring/IDS rules</t>
        </is>
      </c>
      <c r="S692" s="187" t="inlineStr">
        <is>
          <t>CVE - IP enrichment n/a</t>
        </is>
      </c>
      <c r="T692" s="187" t="n">
        <v>0.0003</v>
      </c>
      <c r="U692" s="187" t="n">
        <v>0.0772</v>
      </c>
      <c r="V692" s="187" t="inlineStr">
        <is>
          <t>T1190:Exploit Public-Facing Application</t>
        </is>
      </c>
      <c r="W692" s="187" t="n">
        <v>1</v>
      </c>
      <c r="X692" s="187" t="inlineStr">
        <is>
          <t>LOW (40%)</t>
        </is>
      </c>
      <c r="Y692" s="187" t="inlineStr">
        <is>
          <t>UNLIKELY</t>
        </is>
      </c>
      <c r="Z692" s="187" t="inlineStr">
        <is>
          <t>PATCH_AVAILABLE</t>
        </is>
      </c>
      <c r="AA692" s="187" t="inlineStr">
        <is>
          <t>https://nvd.nist.gov/vuln/detail/CVE-2026-24890</t>
        </is>
      </c>
      <c r="AB692" s="187" t="inlineStr">
        <is>
          <t>NONE</t>
        </is>
      </c>
      <c r="AC692" s="187" t="n">
        <v>0</v>
      </c>
      <c r="AD692" s="187" t="inlineStr"/>
    </row>
    <row r="693">
      <c r="A693" s="189" t="inlineStr">
        <is>
          <t>CVE</t>
        </is>
      </c>
      <c r="B693" s="189" t="inlineStr">
        <is>
          <t>CVE-2026-24908</t>
        </is>
      </c>
      <c r="C693" s="189"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693" s="189" t="n">
        <v>9.9</v>
      </c>
      <c r="E693" s="189" t="inlineStr">
        <is>
          <t>CRITICAL</t>
        </is>
      </c>
      <c r="F693" s="189" t="n">
        <v>2</v>
      </c>
      <c r="G693" s="189" t="n">
        <v>3</v>
      </c>
      <c r="H693" s="189" t="inlineStr">
        <is>
          <t>HIGH</t>
        </is>
      </c>
      <c r="I693" s="189" t="n">
        <v>15.9</v>
      </c>
      <c r="J693" s="189" t="inlineStr">
        <is>
          <t>NO</t>
        </is>
      </c>
      <c r="K693" s="189" t="inlineStr">
        <is>
          <t>https://nvd.nist.gov/vuln/detail/CVE-2026-24908</t>
        </is>
      </c>
      <c r="L693" s="189" t="inlineStr">
        <is>
          <t>2026-02-27 20:47</t>
        </is>
      </c>
      <c r="M693" s="189" t="inlineStr">
        <is>
          <t>YES</t>
        </is>
      </c>
      <c r="N693" s="189" t="inlineStr">
        <is>
          <t>https://github.com/openemr/openemr/commit/943e23cad6e979f87cdf168807fce2a7b32dd194 | https://github.com/openemr/openemr/security/advisories/GHSA-rcc2-45v3-qmqm | https://github.com/openemr/openemr/security/advisories/GHSA-rcc2-45v3-qmqm</t>
        </is>
      </c>
      <c r="O693" s="189" t="inlineStr">
        <is>
          <t>Apply vendor patches</t>
        </is>
      </c>
      <c r="P693" s="189" t="inlineStr">
        <is>
          <t>open-emr openemr *</t>
        </is>
      </c>
      <c r="Q693" s="189" t="inlineStr">
        <is>
          <t>P3</t>
        </is>
      </c>
      <c r="R693" s="189" t="inlineStr">
        <is>
          <t>🚨 URGENT: Apply vendor patches immediately | 🔒 Isolate affected systems if patch unavailable | 🛡️ Enable additional monitoring/IDS rules</t>
        </is>
      </c>
      <c r="S693" s="189" t="inlineStr">
        <is>
          <t>CVE - IP enrichment n/a</t>
        </is>
      </c>
      <c r="T693" s="189" t="n">
        <v>0.0003</v>
      </c>
      <c r="U693" s="189" t="n">
        <v>0.0847</v>
      </c>
      <c r="V693" s="189" t="inlineStr">
        <is>
          <t>T1190:Exploit Public-Facing Application | T1552:Unsecured Credentials</t>
        </is>
      </c>
      <c r="W693" s="189" t="n">
        <v>1</v>
      </c>
      <c r="X693" s="189" t="inlineStr">
        <is>
          <t>LOW (40%)</t>
        </is>
      </c>
      <c r="Y693" s="189" t="inlineStr">
        <is>
          <t>UNLIKELY</t>
        </is>
      </c>
      <c r="Z693" s="189" t="inlineStr">
        <is>
          <t>PATCH_AVAILABLE</t>
        </is>
      </c>
      <c r="AA693" s="189" t="inlineStr">
        <is>
          <t>https://nvd.nist.gov/vuln/detail/CVE-2026-24908</t>
        </is>
      </c>
      <c r="AB693" s="189" t="inlineStr">
        <is>
          <t>NONE</t>
        </is>
      </c>
      <c r="AC693" s="189" t="n">
        <v>0</v>
      </c>
      <c r="AD693" s="189" t="inlineStr"/>
    </row>
    <row r="694">
      <c r="A694" s="187" t="inlineStr">
        <is>
          <t>CVE</t>
        </is>
      </c>
      <c r="B694" s="187" t="inlineStr">
        <is>
          <t>CVE-2026-25164</t>
        </is>
      </c>
      <c r="C694" s="187"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694" s="187" t="n">
        <v>8.1</v>
      </c>
      <c r="E694" s="187" t="inlineStr">
        <is>
          <t>HIGH</t>
        </is>
      </c>
      <c r="F694" s="187" t="n">
        <v>2</v>
      </c>
      <c r="G694" s="187" t="n">
        <v>3</v>
      </c>
      <c r="H694" s="187" t="inlineStr">
        <is>
          <t>HIGH</t>
        </is>
      </c>
      <c r="I694" s="187" t="n">
        <v>14.1</v>
      </c>
      <c r="J694" s="187" t="inlineStr">
        <is>
          <t>NO</t>
        </is>
      </c>
      <c r="K694" s="187" t="inlineStr">
        <is>
          <t>https://nvd.nist.gov/vuln/detail/CVE-2026-25164</t>
        </is>
      </c>
      <c r="L694" s="187" t="inlineStr">
        <is>
          <t>2026-02-27 20:47</t>
        </is>
      </c>
      <c r="M694" s="187" t="inlineStr">
        <is>
          <t>YES</t>
        </is>
      </c>
      <c r="N694" s="187" t="inlineStr">
        <is>
          <t>https://github.com/openemr/openemr/commit/c5e1c44774156cd0d04f4e08ed6a81fe76d38e92 | https://github.com/openemr/openemr/security/advisories/GHSA-f64c-h2gh-g3f9 | https://github.com/openemr/openemr/security/advisories/GHSA-f64c-h2gh-g3f9</t>
        </is>
      </c>
      <c r="O694" s="187" t="inlineStr">
        <is>
          <t>Apply vendor patches</t>
        </is>
      </c>
      <c r="P694" s="187" t="inlineStr">
        <is>
          <t>open-emr openemr *</t>
        </is>
      </c>
      <c r="Q694" s="187" t="inlineStr">
        <is>
          <t>P3</t>
        </is>
      </c>
      <c r="R694" s="187" t="inlineStr">
        <is>
          <t>🚨 URGENT: Apply vendor patches immediately | 🔒 Isolate affected systems if patch unavailable | 🛡️ Enable additional monitoring/IDS rules</t>
        </is>
      </c>
      <c r="S694" s="187" t="inlineStr">
        <is>
          <t>CVE - IP enrichment n/a</t>
        </is>
      </c>
      <c r="T694" s="187" t="n">
        <v>0.0003</v>
      </c>
      <c r="U694" s="187" t="n">
        <v>0.0772</v>
      </c>
      <c r="V694" s="187" t="inlineStr">
        <is>
          <t>T1190:Exploit Public-Facing Application</t>
        </is>
      </c>
      <c r="W694" s="187" t="n">
        <v>1</v>
      </c>
      <c r="X694" s="187" t="inlineStr">
        <is>
          <t>LOW (40%)</t>
        </is>
      </c>
      <c r="Y694" s="187" t="inlineStr">
        <is>
          <t>UNLIKELY</t>
        </is>
      </c>
      <c r="Z694" s="187" t="inlineStr">
        <is>
          <t>PATCH_AVAILABLE</t>
        </is>
      </c>
      <c r="AA694" s="187" t="inlineStr">
        <is>
          <t>https://nvd.nist.gov/vuln/detail/CVE-2026-25164</t>
        </is>
      </c>
      <c r="AB694" s="187" t="inlineStr">
        <is>
          <t>NONE</t>
        </is>
      </c>
      <c r="AC694" s="187" t="n">
        <v>0</v>
      </c>
      <c r="AD694" s="187" t="inlineStr"/>
    </row>
    <row r="695">
      <c r="A695" s="188" t="inlineStr">
        <is>
          <t>CVE</t>
        </is>
      </c>
      <c r="B695" s="188" t="inlineStr">
        <is>
          <t>CVE-2026-25220</t>
        </is>
      </c>
      <c r="C695" s="188"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695" s="188" t="n">
        <v>6.5</v>
      </c>
      <c r="E695" s="188" t="inlineStr">
        <is>
          <t>MEDIUM</t>
        </is>
      </c>
      <c r="F695" s="188" t="n">
        <v>2</v>
      </c>
      <c r="G695" s="188" t="n">
        <v>2</v>
      </c>
      <c r="H695" s="188" t="inlineStr">
        <is>
          <t>MEDIUM</t>
        </is>
      </c>
      <c r="I695" s="188" t="n">
        <v>10.5</v>
      </c>
      <c r="J695" s="188" t="inlineStr">
        <is>
          <t>NO</t>
        </is>
      </c>
      <c r="K695" s="188" t="inlineStr">
        <is>
          <t>https://nvd.nist.gov/vuln/detail/CVE-2026-25220</t>
        </is>
      </c>
      <c r="L695" s="188" t="inlineStr">
        <is>
          <t>2026-02-27 20:47</t>
        </is>
      </c>
      <c r="M695" s="188" t="inlineStr">
        <is>
          <t>YES</t>
        </is>
      </c>
      <c r="N695" s="188" t="inlineStr">
        <is>
          <t>https://github.com/openemr/openemr/commit/9f2c44fc88fc051fcf0b6922c373977543e6b2af | https://github.com/openemr/openemr/security/advisories/GHSA-phcp-7qjx-83cm | https://github.com/openemr/openemr/security/advisories/GHSA-phcp-7qjx-83cm</t>
        </is>
      </c>
      <c r="O695" s="188" t="inlineStr">
        <is>
          <t>Apply vendor patches</t>
        </is>
      </c>
      <c r="P695" s="188" t="inlineStr">
        <is>
          <t>open-emr openemr *</t>
        </is>
      </c>
      <c r="Q695" s="188" t="inlineStr">
        <is>
          <t>P4</t>
        </is>
      </c>
      <c r="R695" s="188" t="inlineStr">
        <is>
          <t>📅 Schedule patch deployment within 30 days | 🔍 Monitor for exploitation attempts</t>
        </is>
      </c>
      <c r="S695" s="188" t="inlineStr">
        <is>
          <t>CVE - IP enrichment n/a</t>
        </is>
      </c>
      <c r="T695" s="188" t="n">
        <v>0.0004</v>
      </c>
      <c r="U695" s="188" t="n">
        <v>0.1139</v>
      </c>
      <c r="V695" s="188" t="inlineStr">
        <is>
          <t>T1190:Exploit Public-Facing Application</t>
        </is>
      </c>
      <c r="W695" s="188" t="n">
        <v>1</v>
      </c>
      <c r="X695" s="188" t="inlineStr">
        <is>
          <t>LOW (40%)</t>
        </is>
      </c>
      <c r="Y695" s="188" t="inlineStr">
        <is>
          <t>UNLIKELY</t>
        </is>
      </c>
      <c r="Z695" s="188" t="inlineStr">
        <is>
          <t>PATCH_AVAILABLE</t>
        </is>
      </c>
      <c r="AA695" s="188" t="inlineStr">
        <is>
          <t>https://nvd.nist.gov/vuln/detail/CVE-2026-25220</t>
        </is>
      </c>
      <c r="AB695" s="188" t="inlineStr">
        <is>
          <t>NONE</t>
        </is>
      </c>
      <c r="AC695" s="188" t="n">
        <v>0</v>
      </c>
      <c r="AD695" s="188" t="inlineStr"/>
    </row>
    <row r="696">
      <c r="A696" s="187" t="inlineStr">
        <is>
          <t>CVE</t>
        </is>
      </c>
      <c r="B696" s="187" t="inlineStr">
        <is>
          <t>CVE-2026-25476</t>
        </is>
      </c>
      <c r="C696" s="187"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696" s="187" t="n">
        <v>7.5</v>
      </c>
      <c r="E696" s="187" t="inlineStr">
        <is>
          <t>HIGH</t>
        </is>
      </c>
      <c r="F696" s="187" t="n">
        <v>2</v>
      </c>
      <c r="G696" s="187" t="n">
        <v>3</v>
      </c>
      <c r="H696" s="187" t="inlineStr">
        <is>
          <t>HIGH</t>
        </is>
      </c>
      <c r="I696" s="187" t="n">
        <v>13.5</v>
      </c>
      <c r="J696" s="187" t="inlineStr">
        <is>
          <t>NO</t>
        </is>
      </c>
      <c r="K696" s="187" t="inlineStr">
        <is>
          <t>https://nvd.nist.gov/vuln/detail/CVE-2026-25476</t>
        </is>
      </c>
      <c r="L696" s="187" t="inlineStr">
        <is>
          <t>2026-02-27 20:47</t>
        </is>
      </c>
      <c r="M696" s="187" t="inlineStr">
        <is>
          <t>CHECK_VENDOR</t>
        </is>
      </c>
      <c r="N696" s="187" t="inlineStr">
        <is>
          <t>See NVD references</t>
        </is>
      </c>
      <c r="O696" s="187" t="inlineStr">
        <is>
          <t>Apply vendor patches</t>
        </is>
      </c>
      <c r="P696" s="187" t="inlineStr">
        <is>
          <t>See CVE details</t>
        </is>
      </c>
      <c r="Q696" s="187" t="inlineStr">
        <is>
          <t>P3</t>
        </is>
      </c>
      <c r="R696" s="187" t="inlineStr">
        <is>
          <t>🚨 URGENT: Apply vendor patches immediately | 🔒 Isolate affected systems if patch unavailable | 🛡️ Enable additional monitoring/IDS rules</t>
        </is>
      </c>
      <c r="S696" s="187" t="inlineStr">
        <is>
          <t>CVE - IP enrichment n/a</t>
        </is>
      </c>
      <c r="T696" s="187" t="n">
        <v>0.0003</v>
      </c>
      <c r="U696" s="187" t="n">
        <v>0.0887</v>
      </c>
      <c r="V696" s="187" t="inlineStr">
        <is>
          <t>T1190:Exploit Public-Facing Application</t>
        </is>
      </c>
      <c r="W696" s="187" t="n">
        <v>1</v>
      </c>
      <c r="X696" s="187" t="inlineStr">
        <is>
          <t>LOW (40%)</t>
        </is>
      </c>
      <c r="Y696" s="187" t="inlineStr">
        <is>
          <t>UNLIKELY</t>
        </is>
      </c>
      <c r="Z696" s="187" t="inlineStr">
        <is>
          <t>CHECK_VENDOR</t>
        </is>
      </c>
      <c r="AA696" s="187" t="inlineStr">
        <is>
          <t>https://nvd.nist.gov/vuln/detail/CVE-2026-25476</t>
        </is>
      </c>
      <c r="AB696" s="187" t="inlineStr">
        <is>
          <t>NONE</t>
        </is>
      </c>
      <c r="AC696" s="187" t="n">
        <v>0</v>
      </c>
      <c r="AD696" s="187" t="inlineStr"/>
    </row>
    <row r="697">
      <c r="A697" s="188" t="inlineStr">
        <is>
          <t>CVE</t>
        </is>
      </c>
      <c r="B697" s="188" t="inlineStr">
        <is>
          <t>CVE-2026-25743</t>
        </is>
      </c>
      <c r="C697" s="188"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697" s="188" t="n">
        <v>4.8</v>
      </c>
      <c r="E697" s="188" t="inlineStr">
        <is>
          <t>MEDIUM</t>
        </is>
      </c>
      <c r="F697" s="188" t="n">
        <v>2</v>
      </c>
      <c r="G697" s="188" t="n">
        <v>2</v>
      </c>
      <c r="H697" s="188" t="inlineStr">
        <is>
          <t>MEDIUM</t>
        </is>
      </c>
      <c r="I697" s="188" t="n">
        <v>8.800000000000001</v>
      </c>
      <c r="J697" s="188" t="inlineStr">
        <is>
          <t>NO</t>
        </is>
      </c>
      <c r="K697" s="188" t="inlineStr">
        <is>
          <t>https://nvd.nist.gov/vuln/detail/CVE-2026-25743</t>
        </is>
      </c>
      <c r="L697" s="188" t="inlineStr">
        <is>
          <t>2026-02-27 20:47</t>
        </is>
      </c>
      <c r="M697" s="188" t="inlineStr">
        <is>
          <t>YES</t>
        </is>
      </c>
      <c r="N697" s="188" t="inlineStr">
        <is>
          <t>https://github.com/openemr/openemr/commit/da18f83f39648edc2463e8810757380a9f1d91de | https://github.com/openemr/openemr/security/advisories/GHSA-3xx2-qf6g-6p28</t>
        </is>
      </c>
      <c r="O697" s="188" t="inlineStr">
        <is>
          <t>Apply vendor patches</t>
        </is>
      </c>
      <c r="P697" s="188" t="inlineStr">
        <is>
          <t>open-emr openemr *</t>
        </is>
      </c>
      <c r="Q697" s="188" t="inlineStr">
        <is>
          <t>P4</t>
        </is>
      </c>
      <c r="R697" s="188" t="inlineStr">
        <is>
          <t>📅 Schedule patch deployment within 30 days | 🔍 Monitor for exploitation attempts</t>
        </is>
      </c>
      <c r="S697" s="188" t="inlineStr">
        <is>
          <t>CVE - IP enrichment n/a</t>
        </is>
      </c>
      <c r="T697" s="188" t="n">
        <v>0.0004</v>
      </c>
      <c r="U697" s="188" t="n">
        <v>0.1314</v>
      </c>
      <c r="V697" s="188" t="inlineStr">
        <is>
          <t>T1189:Drive-by Compromise | T1190:Exploit Public-Facing Application</t>
        </is>
      </c>
      <c r="W697" s="188" t="n">
        <v>1</v>
      </c>
      <c r="X697" s="188" t="inlineStr">
        <is>
          <t>LOW (40%)</t>
        </is>
      </c>
      <c r="Y697" s="188" t="inlineStr">
        <is>
          <t>UNLIKELY</t>
        </is>
      </c>
      <c r="Z697" s="188" t="inlineStr">
        <is>
          <t>PATCH_AVAILABLE</t>
        </is>
      </c>
      <c r="AA697" s="188" t="inlineStr">
        <is>
          <t>https://nvd.nist.gov/vuln/detail/CVE-2026-25743</t>
        </is>
      </c>
      <c r="AB697" s="188" t="inlineStr">
        <is>
          <t>NONE</t>
        </is>
      </c>
      <c r="AC697" s="188" t="n">
        <v>0</v>
      </c>
      <c r="AD697" s="188" t="inlineStr"/>
    </row>
    <row r="698">
      <c r="A698" s="187" t="inlineStr">
        <is>
          <t>CVE</t>
        </is>
      </c>
      <c r="B698" s="187" t="inlineStr">
        <is>
          <t>CVE-2026-25746</t>
        </is>
      </c>
      <c r="C698" s="187"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698" s="187" t="n">
        <v>8.800000000000001</v>
      </c>
      <c r="E698" s="187" t="inlineStr">
        <is>
          <t>HIGH</t>
        </is>
      </c>
      <c r="F698" s="187" t="n">
        <v>2</v>
      </c>
      <c r="G698" s="187" t="n">
        <v>3</v>
      </c>
      <c r="H698" s="187" t="inlineStr">
        <is>
          <t>HIGH</t>
        </is>
      </c>
      <c r="I698" s="187" t="n">
        <v>14.8</v>
      </c>
      <c r="J698" s="187" t="inlineStr">
        <is>
          <t>NO</t>
        </is>
      </c>
      <c r="K698" s="187" t="inlineStr">
        <is>
          <t>https://nvd.nist.gov/vuln/detail/CVE-2026-25746</t>
        </is>
      </c>
      <c r="L698" s="187" t="inlineStr">
        <is>
          <t>2026-02-27 20:47</t>
        </is>
      </c>
      <c r="M698" s="187" t="inlineStr">
        <is>
          <t>YES</t>
        </is>
      </c>
      <c r="N698" s="187" t="inlineStr">
        <is>
          <t>https://github.com/openemr/openemr/commit/e230d3ef46425ffc96a37dc6369428aa37c88554 | https://github.com/openemr/openemr/security/advisories/GHSA-78r7-g65p-gpw3</t>
        </is>
      </c>
      <c r="O698" s="187" t="inlineStr">
        <is>
          <t>Apply vendor patches</t>
        </is>
      </c>
      <c r="P698" s="187" t="inlineStr">
        <is>
          <t>open-emr openemr *</t>
        </is>
      </c>
      <c r="Q698" s="187" t="inlineStr">
        <is>
          <t>P3</t>
        </is>
      </c>
      <c r="R698" s="187" t="inlineStr">
        <is>
          <t>🚨 URGENT: Apply vendor patches immediately | 🔒 Isolate affected systems if patch unavailable | 🛡️ Enable additional monitoring/IDS rules</t>
        </is>
      </c>
      <c r="S698" s="187" t="inlineStr">
        <is>
          <t>CVE - IP enrichment n/a</t>
        </is>
      </c>
      <c r="T698" s="187" t="n">
        <v>0.0004</v>
      </c>
      <c r="U698" s="187" t="n">
        <v>0.1149</v>
      </c>
      <c r="V698" s="187" t="inlineStr">
        <is>
          <t>T1190:Exploit Public-Facing Application</t>
        </is>
      </c>
      <c r="W698" s="187" t="n">
        <v>1</v>
      </c>
      <c r="X698" s="187" t="inlineStr">
        <is>
          <t>LOW (40%)</t>
        </is>
      </c>
      <c r="Y698" s="187" t="inlineStr">
        <is>
          <t>UNLIKELY</t>
        </is>
      </c>
      <c r="Z698" s="187" t="inlineStr">
        <is>
          <t>PATCH_AVAILABLE</t>
        </is>
      </c>
      <c r="AA698" s="187" t="inlineStr">
        <is>
          <t>https://nvd.nist.gov/vuln/detail/CVE-2026-25746</t>
        </is>
      </c>
      <c r="AB698" s="187" t="inlineStr">
        <is>
          <t>NONE</t>
        </is>
      </c>
      <c r="AC698" s="187" t="n">
        <v>0</v>
      </c>
      <c r="AD698" s="187" t="inlineStr"/>
    </row>
    <row r="699">
      <c r="A699" s="187" t="inlineStr">
        <is>
          <t>CVE</t>
        </is>
      </c>
      <c r="B699" s="187" t="inlineStr">
        <is>
          <t>CVE-2026-25927</t>
        </is>
      </c>
      <c r="C699" s="187"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699" s="187" t="n">
        <v>7.1</v>
      </c>
      <c r="E699" s="187" t="inlineStr">
        <is>
          <t>HIGH</t>
        </is>
      </c>
      <c r="F699" s="187" t="n">
        <v>2</v>
      </c>
      <c r="G699" s="187" t="n">
        <v>3</v>
      </c>
      <c r="H699" s="187" t="inlineStr">
        <is>
          <t>HIGH</t>
        </is>
      </c>
      <c r="I699" s="187" t="n">
        <v>13.1</v>
      </c>
      <c r="J699" s="187" t="inlineStr">
        <is>
          <t>NO</t>
        </is>
      </c>
      <c r="K699" s="187" t="inlineStr">
        <is>
          <t>https://nvd.nist.gov/vuln/detail/CVE-2026-25927</t>
        </is>
      </c>
      <c r="L699" s="187" t="inlineStr">
        <is>
          <t>2026-02-27 20:47</t>
        </is>
      </c>
      <c r="M699" s="187" t="inlineStr">
        <is>
          <t>YES</t>
        </is>
      </c>
      <c r="N699" s="187" t="inlineStr">
        <is>
          <t>https://github.com/openemr/openemr/security/advisories/GHSA-qj9f-x7v2-hrr7</t>
        </is>
      </c>
      <c r="O699" s="187" t="inlineStr">
        <is>
          <t>Apply vendor patches</t>
        </is>
      </c>
      <c r="P699" s="187" t="inlineStr">
        <is>
          <t>open-emr openemr *</t>
        </is>
      </c>
      <c r="Q699" s="187" t="inlineStr">
        <is>
          <t>P3</t>
        </is>
      </c>
      <c r="R699" s="187" t="inlineStr">
        <is>
          <t>🚨 URGENT: Apply vendor patches immediately | 🔒 Isolate affected systems if patch unavailable | 🛡️ Enable additional monitoring/IDS rules</t>
        </is>
      </c>
      <c r="S699" s="187" t="inlineStr">
        <is>
          <t>CVE - IP enrichment n/a</t>
        </is>
      </c>
      <c r="T699" s="187" t="n">
        <v>0.0003</v>
      </c>
      <c r="U699" s="187" t="n">
        <v>0.0772</v>
      </c>
      <c r="V699" s="187" t="inlineStr">
        <is>
          <t>T1190:Exploit Public-Facing Application</t>
        </is>
      </c>
      <c r="W699" s="187" t="n">
        <v>1</v>
      </c>
      <c r="X699" s="187" t="inlineStr">
        <is>
          <t>LOW (40%)</t>
        </is>
      </c>
      <c r="Y699" s="187" t="inlineStr">
        <is>
          <t>UNLIKELY</t>
        </is>
      </c>
      <c r="Z699" s="187" t="inlineStr">
        <is>
          <t>PATCH_AVAILABLE</t>
        </is>
      </c>
      <c r="AA699" s="187" t="inlineStr">
        <is>
          <t>https://nvd.nist.gov/vuln/detail/CVE-2026-25927</t>
        </is>
      </c>
      <c r="AB699" s="187" t="inlineStr">
        <is>
          <t>NONE</t>
        </is>
      </c>
      <c r="AC699" s="187" t="n">
        <v>0</v>
      </c>
      <c r="AD699" s="187" t="inlineStr"/>
    </row>
    <row r="700">
      <c r="A700" s="188" t="inlineStr">
        <is>
          <t>CVE</t>
        </is>
      </c>
      <c r="B700" s="188" t="inlineStr">
        <is>
          <t>CVE-2026-25929</t>
        </is>
      </c>
      <c r="C700" s="188"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700" s="188" t="n">
        <v>6.5</v>
      </c>
      <c r="E700" s="188" t="inlineStr">
        <is>
          <t>MEDIUM</t>
        </is>
      </c>
      <c r="F700" s="188" t="n">
        <v>2</v>
      </c>
      <c r="G700" s="188" t="n">
        <v>2</v>
      </c>
      <c r="H700" s="188" t="inlineStr">
        <is>
          <t>MEDIUM</t>
        </is>
      </c>
      <c r="I700" s="188" t="n">
        <v>10.5</v>
      </c>
      <c r="J700" s="188" t="inlineStr">
        <is>
          <t>NO</t>
        </is>
      </c>
      <c r="K700" s="188" t="inlineStr">
        <is>
          <t>https://nvd.nist.gov/vuln/detail/CVE-2026-25929</t>
        </is>
      </c>
      <c r="L700" s="188" t="inlineStr">
        <is>
          <t>2026-02-27 20:47</t>
        </is>
      </c>
      <c r="M700" s="188" t="inlineStr">
        <is>
          <t>YES</t>
        </is>
      </c>
      <c r="N700" s="188" t="inlineStr">
        <is>
          <t>https://github.com/openemr/openemr/commit/fc4d00ecb63561dacd23cb1fed49c64bd1a83258 | https://github.com/openemr/openemr/security/advisories/GHSA-778w-r8rm-8qhq</t>
        </is>
      </c>
      <c r="O700" s="188" t="inlineStr">
        <is>
          <t>Apply vendor patches</t>
        </is>
      </c>
      <c r="P700" s="188" t="inlineStr">
        <is>
          <t>open-emr openemr *</t>
        </is>
      </c>
      <c r="Q700" s="188" t="inlineStr">
        <is>
          <t>P4</t>
        </is>
      </c>
      <c r="R700" s="188" t="inlineStr">
        <is>
          <t>📅 Schedule patch deployment within 30 days | 🔍 Monitor for exploitation attempts</t>
        </is>
      </c>
      <c r="S700" s="188" t="inlineStr">
        <is>
          <t>CVE - IP enrichment n/a</t>
        </is>
      </c>
      <c r="T700" s="188" t="n">
        <v>0.0003</v>
      </c>
      <c r="U700" s="188" t="n">
        <v>0.0772</v>
      </c>
      <c r="V700" s="188" t="inlineStr">
        <is>
          <t>T1190:Exploit Public-Facing Application</t>
        </is>
      </c>
      <c r="W700" s="188" t="n">
        <v>1</v>
      </c>
      <c r="X700" s="188" t="inlineStr">
        <is>
          <t>LOW (40%)</t>
        </is>
      </c>
      <c r="Y700" s="188" t="inlineStr">
        <is>
          <t>UNLIKELY</t>
        </is>
      </c>
      <c r="Z700" s="188" t="inlineStr">
        <is>
          <t>PATCH_AVAILABLE</t>
        </is>
      </c>
      <c r="AA700" s="188" t="inlineStr">
        <is>
          <t>https://nvd.nist.gov/vuln/detail/CVE-2026-25929</t>
        </is>
      </c>
      <c r="AB700" s="188" t="inlineStr">
        <is>
          <t>NONE</t>
        </is>
      </c>
      <c r="AC700" s="188" t="n">
        <v>0</v>
      </c>
      <c r="AD700" s="188" t="inlineStr"/>
    </row>
    <row r="701">
      <c r="A701" s="188" t="inlineStr">
        <is>
          <t>CVE</t>
        </is>
      </c>
      <c r="B701" s="188" t="inlineStr">
        <is>
          <t>CVE-2026-25930</t>
        </is>
      </c>
      <c r="C701" s="188"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701" s="188" t="n">
        <v>6.5</v>
      </c>
      <c r="E701" s="188" t="inlineStr">
        <is>
          <t>MEDIUM</t>
        </is>
      </c>
      <c r="F701" s="188" t="n">
        <v>2</v>
      </c>
      <c r="G701" s="188" t="n">
        <v>2</v>
      </c>
      <c r="H701" s="188" t="inlineStr">
        <is>
          <t>MEDIUM</t>
        </is>
      </c>
      <c r="I701" s="188" t="n">
        <v>10.5</v>
      </c>
      <c r="J701" s="188" t="inlineStr">
        <is>
          <t>NO</t>
        </is>
      </c>
      <c r="K701" s="188" t="inlineStr">
        <is>
          <t>https://nvd.nist.gov/vuln/detail/CVE-2026-25930</t>
        </is>
      </c>
      <c r="L701" s="188" t="inlineStr">
        <is>
          <t>2026-02-27 20:47</t>
        </is>
      </c>
      <c r="M701" s="188" t="inlineStr">
        <is>
          <t>YES</t>
        </is>
      </c>
      <c r="N701" s="188" t="inlineStr">
        <is>
          <t>https://github.com/openemr/openemr/commit/8c76acdd226007cc4ff3eccd3ca6193e0be6e699 | https://github.com/openemr/openemr/security/advisories/GHSA-h3xx-8cp7-hf7m</t>
        </is>
      </c>
      <c r="O701" s="188" t="inlineStr">
        <is>
          <t>Apply vendor patches</t>
        </is>
      </c>
      <c r="P701" s="188" t="inlineStr">
        <is>
          <t>open-emr openemr *</t>
        </is>
      </c>
      <c r="Q701" s="188" t="inlineStr">
        <is>
          <t>P4</t>
        </is>
      </c>
      <c r="R701" s="188" t="inlineStr">
        <is>
          <t>📅 Schedule patch deployment within 30 days | 🔍 Monitor for exploitation attempts</t>
        </is>
      </c>
      <c r="S701" s="188" t="inlineStr">
        <is>
          <t>CVE - IP enrichment n/a</t>
        </is>
      </c>
      <c r="T701" s="188" t="n">
        <v>0.0003</v>
      </c>
      <c r="U701" s="188" t="n">
        <v>0.0772</v>
      </c>
      <c r="V701" s="188" t="inlineStr">
        <is>
          <t>T1190:Exploit Public-Facing Application</t>
        </is>
      </c>
      <c r="W701" s="188" t="n">
        <v>1</v>
      </c>
      <c r="X701" s="188" t="inlineStr">
        <is>
          <t>LOW (40%)</t>
        </is>
      </c>
      <c r="Y701" s="188" t="inlineStr">
        <is>
          <t>UNLIKELY</t>
        </is>
      </c>
      <c r="Z701" s="188" t="inlineStr">
        <is>
          <t>PATCH_AVAILABLE</t>
        </is>
      </c>
      <c r="AA701" s="188" t="inlineStr">
        <is>
          <t>https://nvd.nist.gov/vuln/detail/CVE-2026-25930</t>
        </is>
      </c>
      <c r="AB701" s="188" t="inlineStr">
        <is>
          <t>NONE</t>
        </is>
      </c>
      <c r="AC701" s="188" t="n">
        <v>0</v>
      </c>
      <c r="AD701" s="188" t="inlineStr"/>
    </row>
    <row r="702">
      <c r="A702" s="188" t="inlineStr">
        <is>
          <t>CVE</t>
        </is>
      </c>
      <c r="B702" s="188" t="inlineStr">
        <is>
          <t>CVE-2026-3221</t>
        </is>
      </c>
      <c r="C702" s="188" t="inlineStr">
        <is>
          <t>Sensitive
 user account information is not encrypted in the database in Devolutions Server 2025.3.14 and earlier, which allows an attacker with 
access to the database to obtain sensitive user 
information via direct database access.</t>
        </is>
      </c>
      <c r="D702" s="188" t="n">
        <v>4.9</v>
      </c>
      <c r="E702" s="188" t="inlineStr">
        <is>
          <t>MEDIUM</t>
        </is>
      </c>
      <c r="F702" s="188" t="n">
        <v>2</v>
      </c>
      <c r="G702" s="188" t="n">
        <v>2</v>
      </c>
      <c r="H702" s="188" t="inlineStr">
        <is>
          <t>MEDIUM</t>
        </is>
      </c>
      <c r="I702" s="188" t="n">
        <v>8.9</v>
      </c>
      <c r="J702" s="188" t="inlineStr">
        <is>
          <t>NO</t>
        </is>
      </c>
      <c r="K702" s="188" t="inlineStr">
        <is>
          <t>https://nvd.nist.gov/vuln/detail/CVE-2026-3221</t>
        </is>
      </c>
      <c r="L702" s="188" t="inlineStr">
        <is>
          <t>2026-02-27 20:47</t>
        </is>
      </c>
      <c r="M702" s="188" t="inlineStr">
        <is>
          <t>CHECK_VENDOR</t>
        </is>
      </c>
      <c r="N702" s="188" t="inlineStr">
        <is>
          <t>See NVD references</t>
        </is>
      </c>
      <c r="O702" s="188" t="inlineStr">
        <is>
          <t>Apply vendor patches</t>
        </is>
      </c>
      <c r="P702" s="188" t="inlineStr">
        <is>
          <t>See CVE details</t>
        </is>
      </c>
      <c r="Q702" s="188" t="inlineStr">
        <is>
          <t>P4</t>
        </is>
      </c>
      <c r="R702" s="188" t="inlineStr">
        <is>
          <t>📅 Schedule patch deployment within 30 days | 🔍 Monitor for exploitation attempts</t>
        </is>
      </c>
      <c r="S702" s="188" t="inlineStr">
        <is>
          <t>CVE - IP enrichment n/a</t>
        </is>
      </c>
      <c r="T702" s="188" t="n">
        <v>0.0002</v>
      </c>
      <c r="U702" s="188" t="n">
        <v>0.0491</v>
      </c>
      <c r="V702" s="188" t="inlineStr">
        <is>
          <t>T1190:Exploit Public-Facing Application</t>
        </is>
      </c>
      <c r="W702" s="188" t="n">
        <v>1</v>
      </c>
      <c r="X702" s="188" t="inlineStr">
        <is>
          <t>LOW (40%)</t>
        </is>
      </c>
      <c r="Y702" s="188" t="inlineStr">
        <is>
          <t>UNLIKELY</t>
        </is>
      </c>
      <c r="Z702" s="188" t="inlineStr">
        <is>
          <t>CHECK_VENDOR</t>
        </is>
      </c>
      <c r="AA702" s="188" t="inlineStr">
        <is>
          <t>https://nvd.nist.gov/vuln/detail/CVE-2026-3221</t>
        </is>
      </c>
      <c r="AB702" s="188" t="inlineStr">
        <is>
          <t>NONE</t>
        </is>
      </c>
      <c r="AC702" s="188" t="n">
        <v>0</v>
      </c>
      <c r="AD702" s="188" t="inlineStr"/>
    </row>
    <row r="703">
      <c r="A703" s="188" t="inlineStr">
        <is>
          <t>CVE</t>
        </is>
      </c>
      <c r="B703" s="188" t="inlineStr">
        <is>
          <t>CVE-2025-14103</t>
        </is>
      </c>
      <c r="C703" s="188"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703" s="188" t="n">
        <v>4.3</v>
      </c>
      <c r="E703" s="188" t="inlineStr">
        <is>
          <t>MEDIUM</t>
        </is>
      </c>
      <c r="F703" s="188" t="n">
        <v>2</v>
      </c>
      <c r="G703" s="188" t="n">
        <v>2</v>
      </c>
      <c r="H703" s="188" t="inlineStr">
        <is>
          <t>MEDIUM</t>
        </is>
      </c>
      <c r="I703" s="188" t="n">
        <v>8.300000000000001</v>
      </c>
      <c r="J703" s="188" t="inlineStr">
        <is>
          <t>NO</t>
        </is>
      </c>
      <c r="K703" s="188" t="inlineStr">
        <is>
          <t>https://nvd.nist.gov/vuln/detail/CVE-2025-14103</t>
        </is>
      </c>
      <c r="L703" s="188" t="inlineStr">
        <is>
          <t>2026-02-27 20:47</t>
        </is>
      </c>
      <c r="M703" s="188" t="inlineStr">
        <is>
          <t>YES</t>
        </is>
      </c>
      <c r="N703" s="188" t="inlineStr">
        <is>
          <t>https://about.gitlab.com/releases/2026/02/25/patch-release-gitlab-18-9-1-released/</t>
        </is>
      </c>
      <c r="O703" s="188" t="inlineStr">
        <is>
          <t>Apply vendor patches</t>
        </is>
      </c>
      <c r="P703" s="188" t="inlineStr">
        <is>
          <t>gitlab gitlab *</t>
        </is>
      </c>
      <c r="Q703" s="188" t="inlineStr">
        <is>
          <t>P4</t>
        </is>
      </c>
      <c r="R703" s="188" t="inlineStr">
        <is>
          <t>📅 Schedule patch deployment within 30 days | 🔍 Monitor for exploitation attempts</t>
        </is>
      </c>
      <c r="S703" s="188" t="inlineStr">
        <is>
          <t>CVE - IP enrichment n/a</t>
        </is>
      </c>
      <c r="T703" s="188" t="n">
        <v>0.0001</v>
      </c>
      <c r="U703" s="188" t="n">
        <v>0.0103</v>
      </c>
      <c r="V703" s="188" t="inlineStr">
        <is>
          <t>T1190:Exploit Public-Facing Application</t>
        </is>
      </c>
      <c r="W703" s="188" t="n">
        <v>1</v>
      </c>
      <c r="X703" s="188" t="inlineStr">
        <is>
          <t>LOW (40%)</t>
        </is>
      </c>
      <c r="Y703" s="188" t="inlineStr">
        <is>
          <t>UNLIKELY</t>
        </is>
      </c>
      <c r="Z703" s="188" t="inlineStr">
        <is>
          <t>PATCH_AVAILABLE</t>
        </is>
      </c>
      <c r="AA703" s="188" t="inlineStr">
        <is>
          <t>https://nvd.nist.gov/vuln/detail/CVE-2025-14103</t>
        </is>
      </c>
      <c r="AB703" s="188" t="inlineStr">
        <is>
          <t>NONE</t>
        </is>
      </c>
      <c r="AC703" s="188" t="n">
        <v>0</v>
      </c>
      <c r="AD703" s="188" t="inlineStr"/>
    </row>
    <row r="704">
      <c r="A704" s="188" t="inlineStr">
        <is>
          <t>CVE</t>
        </is>
      </c>
      <c r="B704" s="188" t="inlineStr">
        <is>
          <t>CVE-2025-3525</t>
        </is>
      </c>
      <c r="C704" s="188"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704" s="188" t="n">
        <v>6.5</v>
      </c>
      <c r="E704" s="188" t="inlineStr">
        <is>
          <t>MEDIUM</t>
        </is>
      </c>
      <c r="F704" s="188" t="n">
        <v>2</v>
      </c>
      <c r="G704" s="188" t="n">
        <v>2</v>
      </c>
      <c r="H704" s="188" t="inlineStr">
        <is>
          <t>MEDIUM</t>
        </is>
      </c>
      <c r="I704" s="188" t="n">
        <v>10.5</v>
      </c>
      <c r="J704" s="188" t="inlineStr">
        <is>
          <t>NO</t>
        </is>
      </c>
      <c r="K704" s="188" t="inlineStr">
        <is>
          <t>https://nvd.nist.gov/vuln/detail/CVE-2025-3525</t>
        </is>
      </c>
      <c r="L704" s="188" t="inlineStr">
        <is>
          <t>2026-02-27 20:47</t>
        </is>
      </c>
      <c r="M704" s="188" t="inlineStr">
        <is>
          <t>YES</t>
        </is>
      </c>
      <c r="N704" s="188" t="inlineStr">
        <is>
          <t>https://about.gitlab.com/releases/2026/02/25/patch-release-gitlab-18-9-1-released/</t>
        </is>
      </c>
      <c r="O704" s="188" t="inlineStr">
        <is>
          <t>Apply vendor patches</t>
        </is>
      </c>
      <c r="P704" s="188" t="inlineStr">
        <is>
          <t>gitlab gitlab *</t>
        </is>
      </c>
      <c r="Q704" s="188" t="inlineStr">
        <is>
          <t>P4</t>
        </is>
      </c>
      <c r="R704" s="188" t="inlineStr">
        <is>
          <t>📅 Schedule patch deployment within 30 days | 🔍 Monitor for exploitation attempts</t>
        </is>
      </c>
      <c r="S704" s="188" t="inlineStr">
        <is>
          <t>CVE - IP enrichment n/a</t>
        </is>
      </c>
      <c r="T704" s="188" t="n">
        <v>0.0003</v>
      </c>
      <c r="U704" s="188" t="n">
        <v>0.0988</v>
      </c>
      <c r="V704" s="188" t="inlineStr">
        <is>
          <t>T1499:Endpoint Denial of Service</t>
        </is>
      </c>
      <c r="W704" s="188" t="n">
        <v>1</v>
      </c>
      <c r="X704" s="188" t="inlineStr">
        <is>
          <t>LOW (40%)</t>
        </is>
      </c>
      <c r="Y704" s="188" t="inlineStr">
        <is>
          <t>UNLIKELY</t>
        </is>
      </c>
      <c r="Z704" s="188" t="inlineStr">
        <is>
          <t>PATCH_AVAILABLE</t>
        </is>
      </c>
      <c r="AA704" s="188" t="inlineStr">
        <is>
          <t>https://nvd.nist.gov/vuln/detail/CVE-2025-3525</t>
        </is>
      </c>
      <c r="AB704" s="188" t="inlineStr">
        <is>
          <t>NONE</t>
        </is>
      </c>
      <c r="AC704" s="188" t="n">
        <v>0</v>
      </c>
      <c r="AD704" s="188" t="inlineStr"/>
    </row>
    <row r="705">
      <c r="A705" s="187" t="inlineStr">
        <is>
          <t>CVE</t>
        </is>
      </c>
      <c r="B705" s="187" t="inlineStr">
        <is>
          <t>CVE-2026-22719</t>
        </is>
      </c>
      <c r="C705" s="187"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705" s="187" t="n">
        <v>8.1</v>
      </c>
      <c r="E705" s="187" t="inlineStr">
        <is>
          <t>HIGH</t>
        </is>
      </c>
      <c r="F705" s="187" t="n">
        <v>2</v>
      </c>
      <c r="G705" s="187" t="n">
        <v>3</v>
      </c>
      <c r="H705" s="187" t="inlineStr">
        <is>
          <t>HIGH</t>
        </is>
      </c>
      <c r="I705" s="187" t="n">
        <v>14.1</v>
      </c>
      <c r="J705" s="187" t="inlineStr">
        <is>
          <t>NO</t>
        </is>
      </c>
      <c r="K705" s="187" t="inlineStr">
        <is>
          <t>https://nvd.nist.gov/vuln/detail/CVE-2026-22719</t>
        </is>
      </c>
      <c r="L705" s="187" t="inlineStr">
        <is>
          <t>2026-02-27 20:47</t>
        </is>
      </c>
      <c r="M705" s="187" t="inlineStr">
        <is>
          <t>CHECK_VENDOR</t>
        </is>
      </c>
      <c r="N705" s="187" t="inlineStr">
        <is>
          <t>See NVD references</t>
        </is>
      </c>
      <c r="O705" s="187" t="inlineStr">
        <is>
          <t>Apply vendor patches</t>
        </is>
      </c>
      <c r="P705" s="187" t="inlineStr">
        <is>
          <t>See CVE details</t>
        </is>
      </c>
      <c r="Q705" s="187" t="inlineStr">
        <is>
          <t>P3</t>
        </is>
      </c>
      <c r="R705" s="187" t="inlineStr">
        <is>
          <t>🚨 URGENT: Apply vendor patches immediately | 🔒 Isolate affected systems if patch unavailable | 🛡️ Enable additional monitoring/IDS rules</t>
        </is>
      </c>
      <c r="S705" s="187" t="inlineStr">
        <is>
          <t>CVE - IP enrichment n/a</t>
        </is>
      </c>
      <c r="T705" s="187" t="n">
        <v>0.0033</v>
      </c>
      <c r="U705" s="187" t="n">
        <v>0.5569</v>
      </c>
      <c r="V705" s="187" t="inlineStr">
        <is>
          <t>T1059:Command and Scripting Interpreter | T1190:Exploit Public-Facing Application | T1210:Exploitation of Remote Services</t>
        </is>
      </c>
      <c r="W705" s="187" t="n">
        <v>1</v>
      </c>
      <c r="X705" s="187" t="inlineStr">
        <is>
          <t>LOW (40%)</t>
        </is>
      </c>
      <c r="Y705" s="187" t="inlineStr">
        <is>
          <t>UNLIKELY</t>
        </is>
      </c>
      <c r="Z705" s="187" t="inlineStr">
        <is>
          <t>CHECK_VENDOR</t>
        </is>
      </c>
      <c r="AA705" s="187" t="inlineStr">
        <is>
          <t>https://nvd.nist.gov/vuln/detail/CVE-2026-22719</t>
        </is>
      </c>
      <c r="AB705" s="187" t="inlineStr">
        <is>
          <t>NONE</t>
        </is>
      </c>
      <c r="AC705" s="187" t="n">
        <v>0</v>
      </c>
      <c r="AD705" s="187" t="inlineStr"/>
    </row>
    <row r="706">
      <c r="A706" s="187" t="inlineStr">
        <is>
          <t>CVE</t>
        </is>
      </c>
      <c r="B706" s="187" t="inlineStr">
        <is>
          <t>CVE-2026-22720</t>
        </is>
      </c>
      <c r="C706" s="187"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706" s="187" t="n">
        <v>8</v>
      </c>
      <c r="E706" s="187" t="inlineStr">
        <is>
          <t>HIGH</t>
        </is>
      </c>
      <c r="F706" s="187" t="n">
        <v>2</v>
      </c>
      <c r="G706" s="187" t="n">
        <v>3</v>
      </c>
      <c r="H706" s="187" t="inlineStr">
        <is>
          <t>HIGH</t>
        </is>
      </c>
      <c r="I706" s="187" t="n">
        <v>14</v>
      </c>
      <c r="J706" s="187" t="inlineStr">
        <is>
          <t>NO</t>
        </is>
      </c>
      <c r="K706" s="187" t="inlineStr">
        <is>
          <t>https://nvd.nist.gov/vuln/detail/CVE-2026-22720</t>
        </is>
      </c>
      <c r="L706" s="187" t="inlineStr">
        <is>
          <t>2026-02-27 20:47</t>
        </is>
      </c>
      <c r="M706" s="187" t="inlineStr">
        <is>
          <t>CHECK_VENDOR</t>
        </is>
      </c>
      <c r="N706" s="187" t="inlineStr">
        <is>
          <t>See NVD references</t>
        </is>
      </c>
      <c r="O706" s="187" t="inlineStr">
        <is>
          <t>Apply vendor patches</t>
        </is>
      </c>
      <c r="P706" s="187" t="inlineStr">
        <is>
          <t>See CVE details</t>
        </is>
      </c>
      <c r="Q706" s="187" t="inlineStr">
        <is>
          <t>P3</t>
        </is>
      </c>
      <c r="R706" s="187" t="inlineStr">
        <is>
          <t>🚨 URGENT: Apply vendor patches immediately | 🔒 Isolate affected systems if patch unavailable | 🛡️ Enable additional monitoring/IDS rules</t>
        </is>
      </c>
      <c r="S706" s="187" t="inlineStr">
        <is>
          <t>CVE - IP enrichment n/a</t>
        </is>
      </c>
      <c r="T706" s="187" t="n">
        <v>0.0008</v>
      </c>
      <c r="U706" s="187" t="n">
        <v>0.2262</v>
      </c>
      <c r="V706" s="187" t="inlineStr">
        <is>
          <t>T1189:Drive-by Compromise</t>
        </is>
      </c>
      <c r="W706" s="187" t="n">
        <v>1</v>
      </c>
      <c r="X706" s="187" t="inlineStr">
        <is>
          <t>LOW (40%)</t>
        </is>
      </c>
      <c r="Y706" s="187" t="inlineStr">
        <is>
          <t>UNLIKELY</t>
        </is>
      </c>
      <c r="Z706" s="187" t="inlineStr">
        <is>
          <t>CHECK_VENDOR</t>
        </is>
      </c>
      <c r="AA706" s="187" t="inlineStr">
        <is>
          <t>https://nvd.nist.gov/vuln/detail/CVE-2026-22720</t>
        </is>
      </c>
      <c r="AB706" s="187" t="inlineStr">
        <is>
          <t>NONE</t>
        </is>
      </c>
      <c r="AC706" s="187" t="n">
        <v>0</v>
      </c>
      <c r="AD706" s="187" t="inlineStr"/>
    </row>
    <row r="707">
      <c r="A707" s="187" t="inlineStr">
        <is>
          <t>CVE</t>
        </is>
      </c>
      <c r="B707" s="187" t="inlineStr">
        <is>
          <t>CVE-2026-25136</t>
        </is>
      </c>
      <c r="C707" s="187"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707" s="187" t="n">
        <v>8.1</v>
      </c>
      <c r="E707" s="187" t="inlineStr">
        <is>
          <t>HIGH</t>
        </is>
      </c>
      <c r="F707" s="187" t="n">
        <v>2</v>
      </c>
      <c r="G707" s="187" t="n">
        <v>3</v>
      </c>
      <c r="H707" s="187" t="inlineStr">
        <is>
          <t>HIGH</t>
        </is>
      </c>
      <c r="I707" s="187" t="n">
        <v>14.1</v>
      </c>
      <c r="J707" s="187" t="inlineStr">
        <is>
          <t>NO</t>
        </is>
      </c>
      <c r="K707" s="187" t="inlineStr">
        <is>
          <t>https://nvd.nist.gov/vuln/detail/CVE-2026-25136</t>
        </is>
      </c>
      <c r="L707" s="187" t="inlineStr">
        <is>
          <t>2026-02-27 20:47</t>
        </is>
      </c>
      <c r="M707" s="187" t="inlineStr">
        <is>
          <t>YES</t>
        </is>
      </c>
      <c r="N707" s="187" t="inlineStr">
        <is>
          <t>https://github.com/rucio/rucio/security/advisories/GHSA-h79m-5jjm-jm4q</t>
        </is>
      </c>
      <c r="O707" s="187" t="inlineStr">
        <is>
          <t>Apply vendor patches</t>
        </is>
      </c>
      <c r="P707" s="187" t="inlineStr">
        <is>
          <t>cern rucio *</t>
        </is>
      </c>
      <c r="Q707" s="187" t="inlineStr">
        <is>
          <t>P3</t>
        </is>
      </c>
      <c r="R707" s="187" t="inlineStr">
        <is>
          <t>🚨 URGENT: Apply vendor patches immediately | 🔒 Isolate affected systems if patch unavailable | 🛡️ Enable additional monitoring/IDS rules</t>
        </is>
      </c>
      <c r="S707" s="187" t="inlineStr">
        <is>
          <t>CVE - IP enrichment n/a</t>
        </is>
      </c>
      <c r="T707" s="187" t="n">
        <v>0.0003</v>
      </c>
      <c r="U707" s="187" t="n">
        <v>0.093</v>
      </c>
      <c r="V707" s="187" t="inlineStr">
        <is>
          <t>T1189:Drive-by Compromise</t>
        </is>
      </c>
      <c r="W707" s="187" t="n">
        <v>1</v>
      </c>
      <c r="X707" s="187" t="inlineStr">
        <is>
          <t>LOW (40%)</t>
        </is>
      </c>
      <c r="Y707" s="187" t="inlineStr">
        <is>
          <t>UNLIKELY</t>
        </is>
      </c>
      <c r="Z707" s="187" t="inlineStr">
        <is>
          <t>PATCH_AVAILABLE</t>
        </is>
      </c>
      <c r="AA707" s="187" t="inlineStr">
        <is>
          <t>https://nvd.nist.gov/vuln/detail/CVE-2026-25136</t>
        </is>
      </c>
      <c r="AB707" s="187" t="inlineStr">
        <is>
          <t>NONE</t>
        </is>
      </c>
      <c r="AC707" s="187" t="n">
        <v>0</v>
      </c>
      <c r="AD707" s="187" t="inlineStr"/>
    </row>
    <row r="708">
      <c r="A708" s="188" t="inlineStr">
        <is>
          <t>CVE</t>
        </is>
      </c>
      <c r="B708" s="188" t="inlineStr">
        <is>
          <t>CVE-2026-25138</t>
        </is>
      </c>
      <c r="C708" s="188"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708" s="188" t="n">
        <v>5.3</v>
      </c>
      <c r="E708" s="188" t="inlineStr">
        <is>
          <t>MEDIUM</t>
        </is>
      </c>
      <c r="F708" s="188" t="n">
        <v>2</v>
      </c>
      <c r="G708" s="188" t="n">
        <v>2</v>
      </c>
      <c r="H708" s="188" t="inlineStr">
        <is>
          <t>MEDIUM</t>
        </is>
      </c>
      <c r="I708" s="188" t="n">
        <v>9.300000000000001</v>
      </c>
      <c r="J708" s="188" t="inlineStr">
        <is>
          <t>NO</t>
        </is>
      </c>
      <c r="K708" s="188" t="inlineStr">
        <is>
          <t>https://nvd.nist.gov/vuln/detail/CVE-2026-25138</t>
        </is>
      </c>
      <c r="L708" s="188" t="inlineStr">
        <is>
          <t>2026-02-27 20:47</t>
        </is>
      </c>
      <c r="M708" s="188" t="inlineStr">
        <is>
          <t>YES</t>
        </is>
      </c>
      <c r="N708" s="188" t="inlineStr">
        <is>
          <t>https://github.com/rucio/rucio/security/advisories/GHSA-38wq-6q2w-hcf9 | https://github.com/rucio/rucio/security/advisories/GHSA-38wq-6q2w-hcf9</t>
        </is>
      </c>
      <c r="O708" s="188" t="inlineStr">
        <is>
          <t>Apply vendor patches</t>
        </is>
      </c>
      <c r="P708" s="188" t="inlineStr">
        <is>
          <t>cern rucio *</t>
        </is>
      </c>
      <c r="Q708" s="188" t="inlineStr">
        <is>
          <t>P4</t>
        </is>
      </c>
      <c r="R708" s="188" t="inlineStr">
        <is>
          <t>📅 Schedule patch deployment within 30 days | 🔍 Monitor for exploitation attempts</t>
        </is>
      </c>
      <c r="S708" s="188" t="inlineStr">
        <is>
          <t>CVE - IP enrichment n/a</t>
        </is>
      </c>
      <c r="T708" s="188" t="n">
        <v>0.0003</v>
      </c>
      <c r="U708" s="188" t="n">
        <v>0.0922</v>
      </c>
      <c r="V708" s="188" t="inlineStr">
        <is>
          <t>T1190:Exploit Public-Facing Application</t>
        </is>
      </c>
      <c r="W708" s="188" t="n">
        <v>1</v>
      </c>
      <c r="X708" s="188" t="inlineStr">
        <is>
          <t>LOW (40%)</t>
        </is>
      </c>
      <c r="Y708" s="188" t="inlineStr">
        <is>
          <t>UNLIKELY</t>
        </is>
      </c>
      <c r="Z708" s="188" t="inlineStr">
        <is>
          <t>PATCH_AVAILABLE</t>
        </is>
      </c>
      <c r="AA708" s="188" t="inlineStr">
        <is>
          <t>https://nvd.nist.gov/vuln/detail/CVE-2026-25138</t>
        </is>
      </c>
      <c r="AB708" s="188" t="inlineStr">
        <is>
          <t>NONE</t>
        </is>
      </c>
      <c r="AC708" s="188" t="n">
        <v>0</v>
      </c>
      <c r="AD708" s="188" t="inlineStr"/>
    </row>
    <row r="709">
      <c r="A709" s="187" t="inlineStr">
        <is>
          <t>CVE</t>
        </is>
      </c>
      <c r="B709" s="187" t="inlineStr">
        <is>
          <t>CVE-2026-25733</t>
        </is>
      </c>
      <c r="C709" s="187"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709" s="187" t="n">
        <v>7.3</v>
      </c>
      <c r="E709" s="187" t="inlineStr">
        <is>
          <t>HIGH</t>
        </is>
      </c>
      <c r="F709" s="187" t="n">
        <v>2</v>
      </c>
      <c r="G709" s="187" t="n">
        <v>3</v>
      </c>
      <c r="H709" s="187" t="inlineStr">
        <is>
          <t>HIGH</t>
        </is>
      </c>
      <c r="I709" s="187" t="n">
        <v>13.3</v>
      </c>
      <c r="J709" s="187" t="inlineStr">
        <is>
          <t>NO</t>
        </is>
      </c>
      <c r="K709" s="187" t="inlineStr">
        <is>
          <t>https://nvd.nist.gov/vuln/detail/CVE-2026-25733</t>
        </is>
      </c>
      <c r="L709" s="187" t="inlineStr">
        <is>
          <t>2026-02-27 20:47</t>
        </is>
      </c>
      <c r="M709" s="187" t="inlineStr">
        <is>
          <t>CHECK_VENDOR</t>
        </is>
      </c>
      <c r="N709" s="187" t="inlineStr">
        <is>
          <t>See NVD references</t>
        </is>
      </c>
      <c r="O709" s="187" t="inlineStr">
        <is>
          <t>Apply vendor patches</t>
        </is>
      </c>
      <c r="P709" s="187" t="inlineStr">
        <is>
          <t>See CVE details</t>
        </is>
      </c>
      <c r="Q709" s="187" t="inlineStr">
        <is>
          <t>P3</t>
        </is>
      </c>
      <c r="R709" s="187" t="inlineStr">
        <is>
          <t>🚨 URGENT: Apply vendor patches immediately | 🔒 Isolate affected systems if patch unavailable | 🛡️ Enable additional monitoring/IDS rules</t>
        </is>
      </c>
      <c r="S709" s="187" t="inlineStr">
        <is>
          <t>CVE - IP enrichment n/a</t>
        </is>
      </c>
      <c r="T709" s="187" t="n">
        <v>0.0003</v>
      </c>
      <c r="U709" s="187" t="n">
        <v>0.0867</v>
      </c>
      <c r="V709" s="187" t="inlineStr">
        <is>
          <t>T1189:Drive-by Compromise</t>
        </is>
      </c>
      <c r="W709" s="187" t="n">
        <v>1</v>
      </c>
      <c r="X709" s="187" t="inlineStr">
        <is>
          <t>LOW (40%)</t>
        </is>
      </c>
      <c r="Y709" s="187" t="inlineStr">
        <is>
          <t>UNLIKELY</t>
        </is>
      </c>
      <c r="Z709" s="187" t="inlineStr">
        <is>
          <t>CHECK_VENDOR</t>
        </is>
      </c>
      <c r="AA709" s="187" t="inlineStr">
        <is>
          <t>https://nvd.nist.gov/vuln/detail/CVE-2026-25733</t>
        </is>
      </c>
      <c r="AB709" s="187" t="inlineStr">
        <is>
          <t>NONE</t>
        </is>
      </c>
      <c r="AC709" s="187" t="n">
        <v>0</v>
      </c>
      <c r="AD709" s="187" t="inlineStr"/>
    </row>
    <row r="710">
      <c r="A710" s="188" t="inlineStr">
        <is>
          <t>CVE</t>
        </is>
      </c>
      <c r="B710" s="188" t="inlineStr">
        <is>
          <t>CVE-2026-25734</t>
        </is>
      </c>
      <c r="C710" s="188"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710" s="188" t="n">
        <v>6.1</v>
      </c>
      <c r="E710" s="188" t="inlineStr">
        <is>
          <t>MEDIUM</t>
        </is>
      </c>
      <c r="F710" s="188" t="n">
        <v>2</v>
      </c>
      <c r="G710" s="188" t="n">
        <v>2</v>
      </c>
      <c r="H710" s="188" t="inlineStr">
        <is>
          <t>MEDIUM</t>
        </is>
      </c>
      <c r="I710" s="188" t="n">
        <v>10.1</v>
      </c>
      <c r="J710" s="188" t="inlineStr">
        <is>
          <t>NO</t>
        </is>
      </c>
      <c r="K710" s="188" t="inlineStr">
        <is>
          <t>https://nvd.nist.gov/vuln/detail/CVE-2026-25734</t>
        </is>
      </c>
      <c r="L710" s="188" t="inlineStr">
        <is>
          <t>2026-02-27 20:47</t>
        </is>
      </c>
      <c r="M710" s="188" t="inlineStr">
        <is>
          <t>CHECK_VENDOR</t>
        </is>
      </c>
      <c r="N710" s="188" t="inlineStr">
        <is>
          <t>See NVD references</t>
        </is>
      </c>
      <c r="O710" s="188" t="inlineStr">
        <is>
          <t>Apply vendor patches</t>
        </is>
      </c>
      <c r="P710" s="188" t="inlineStr">
        <is>
          <t>See CVE details</t>
        </is>
      </c>
      <c r="Q710" s="188" t="inlineStr">
        <is>
          <t>P4</t>
        </is>
      </c>
      <c r="R710" s="188" t="inlineStr">
        <is>
          <t>📅 Schedule patch deployment within 30 days | 🔍 Monitor for exploitation attempts</t>
        </is>
      </c>
      <c r="S710" s="188" t="inlineStr">
        <is>
          <t>CVE - IP enrichment n/a</t>
        </is>
      </c>
      <c r="T710" s="188" t="n">
        <v>0.0003</v>
      </c>
      <c r="U710" s="188" t="n">
        <v>0.08799999999999999</v>
      </c>
      <c r="V710" s="188" t="inlineStr">
        <is>
          <t>T1189:Drive-by Compromise</t>
        </is>
      </c>
      <c r="W710" s="188" t="n">
        <v>1</v>
      </c>
      <c r="X710" s="188" t="inlineStr">
        <is>
          <t>LOW (40%)</t>
        </is>
      </c>
      <c r="Y710" s="188" t="inlineStr">
        <is>
          <t>UNLIKELY</t>
        </is>
      </c>
      <c r="Z710" s="188" t="inlineStr">
        <is>
          <t>CHECK_VENDOR</t>
        </is>
      </c>
      <c r="AA710" s="188" t="inlineStr">
        <is>
          <t>https://nvd.nist.gov/vuln/detail/CVE-2026-25734</t>
        </is>
      </c>
      <c r="AB710" s="188" t="inlineStr">
        <is>
          <t>NONE</t>
        </is>
      </c>
      <c r="AC710" s="188" t="n">
        <v>0</v>
      </c>
      <c r="AD710" s="188" t="inlineStr"/>
    </row>
    <row r="711">
      <c r="A711" s="188" t="inlineStr">
        <is>
          <t>CVE</t>
        </is>
      </c>
      <c r="B711" s="188" t="inlineStr">
        <is>
          <t>CVE-2026-25735</t>
        </is>
      </c>
      <c r="C711" s="188"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711" s="188" t="n">
        <v>6.1</v>
      </c>
      <c r="E711" s="188" t="inlineStr">
        <is>
          <t>MEDIUM</t>
        </is>
      </c>
      <c r="F711" s="188" t="n">
        <v>2</v>
      </c>
      <c r="G711" s="188" t="n">
        <v>2</v>
      </c>
      <c r="H711" s="188" t="inlineStr">
        <is>
          <t>MEDIUM</t>
        </is>
      </c>
      <c r="I711" s="188" t="n">
        <v>10.1</v>
      </c>
      <c r="J711" s="188" t="inlineStr">
        <is>
          <t>NO</t>
        </is>
      </c>
      <c r="K711" s="188" t="inlineStr">
        <is>
          <t>https://nvd.nist.gov/vuln/detail/CVE-2026-25735</t>
        </is>
      </c>
      <c r="L711" s="188" t="inlineStr">
        <is>
          <t>2026-02-27 20:47</t>
        </is>
      </c>
      <c r="M711" s="188" t="inlineStr">
        <is>
          <t>CHECK_VENDOR</t>
        </is>
      </c>
      <c r="N711" s="188" t="inlineStr">
        <is>
          <t>See NVD references</t>
        </is>
      </c>
      <c r="O711" s="188" t="inlineStr">
        <is>
          <t>Apply vendor patches</t>
        </is>
      </c>
      <c r="P711" s="188" t="inlineStr">
        <is>
          <t>See CVE details</t>
        </is>
      </c>
      <c r="Q711" s="188" t="inlineStr">
        <is>
          <t>P4</t>
        </is>
      </c>
      <c r="R711" s="188" t="inlineStr">
        <is>
          <t>📅 Schedule patch deployment within 30 days | 🔍 Monitor for exploitation attempts</t>
        </is>
      </c>
      <c r="S711" s="188" t="inlineStr">
        <is>
          <t>CVE - IP enrichment n/a</t>
        </is>
      </c>
      <c r="T711" s="188" t="n">
        <v>0.0003</v>
      </c>
      <c r="U711" s="188" t="n">
        <v>0.08799999999999999</v>
      </c>
      <c r="V711" s="188" t="inlineStr">
        <is>
          <t>T1189:Drive-by Compromise</t>
        </is>
      </c>
      <c r="W711" s="188" t="n">
        <v>1</v>
      </c>
      <c r="X711" s="188" t="inlineStr">
        <is>
          <t>LOW (40%)</t>
        </is>
      </c>
      <c r="Y711" s="188" t="inlineStr">
        <is>
          <t>UNLIKELY</t>
        </is>
      </c>
      <c r="Z711" s="188" t="inlineStr">
        <is>
          <t>CHECK_VENDOR</t>
        </is>
      </c>
      <c r="AA711" s="188" t="inlineStr">
        <is>
          <t>https://nvd.nist.gov/vuln/detail/CVE-2026-25735</t>
        </is>
      </c>
      <c r="AB711" s="188" t="inlineStr">
        <is>
          <t>NONE</t>
        </is>
      </c>
      <c r="AC711" s="188" t="n">
        <v>0</v>
      </c>
      <c r="AD711" s="188" t="inlineStr"/>
    </row>
    <row r="712">
      <c r="A712" s="188" t="inlineStr">
        <is>
          <t>CVE</t>
        </is>
      </c>
      <c r="B712" s="188" t="inlineStr">
        <is>
          <t>CVE-2026-25736</t>
        </is>
      </c>
      <c r="C712" s="188"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712" s="188" t="n">
        <v>6.1</v>
      </c>
      <c r="E712" s="188" t="inlineStr">
        <is>
          <t>MEDIUM</t>
        </is>
      </c>
      <c r="F712" s="188" t="n">
        <v>2</v>
      </c>
      <c r="G712" s="188" t="n">
        <v>2</v>
      </c>
      <c r="H712" s="188" t="inlineStr">
        <is>
          <t>MEDIUM</t>
        </is>
      </c>
      <c r="I712" s="188" t="n">
        <v>10.1</v>
      </c>
      <c r="J712" s="188" t="inlineStr">
        <is>
          <t>NO</t>
        </is>
      </c>
      <c r="K712" s="188" t="inlineStr">
        <is>
          <t>https://nvd.nist.gov/vuln/detail/CVE-2026-25736</t>
        </is>
      </c>
      <c r="L712" s="188" t="inlineStr">
        <is>
          <t>2026-02-27 20:47</t>
        </is>
      </c>
      <c r="M712" s="188" t="inlineStr">
        <is>
          <t>CHECK_VENDOR</t>
        </is>
      </c>
      <c r="N712" s="188" t="inlineStr">
        <is>
          <t>See NVD references</t>
        </is>
      </c>
      <c r="O712" s="188" t="inlineStr">
        <is>
          <t>Apply vendor patches</t>
        </is>
      </c>
      <c r="P712" s="188" t="inlineStr">
        <is>
          <t>See CVE details</t>
        </is>
      </c>
      <c r="Q712" s="188" t="inlineStr">
        <is>
          <t>P4</t>
        </is>
      </c>
      <c r="R712" s="188" t="inlineStr">
        <is>
          <t>📅 Schedule patch deployment within 30 days | 🔍 Monitor for exploitation attempts</t>
        </is>
      </c>
      <c r="S712" s="188" t="inlineStr">
        <is>
          <t>CVE - IP enrichment n/a</t>
        </is>
      </c>
      <c r="T712" s="188" t="n">
        <v>0.0003</v>
      </c>
      <c r="U712" s="188" t="n">
        <v>0.08799999999999999</v>
      </c>
      <c r="V712" s="188" t="inlineStr">
        <is>
          <t>T1189:Drive-by Compromise</t>
        </is>
      </c>
      <c r="W712" s="188" t="n">
        <v>1</v>
      </c>
      <c r="X712" s="188" t="inlineStr">
        <is>
          <t>LOW (40%)</t>
        </is>
      </c>
      <c r="Y712" s="188" t="inlineStr">
        <is>
          <t>UNLIKELY</t>
        </is>
      </c>
      <c r="Z712" s="188" t="inlineStr">
        <is>
          <t>CHECK_VENDOR</t>
        </is>
      </c>
      <c r="AA712" s="188" t="inlineStr">
        <is>
          <t>https://nvd.nist.gov/vuln/detail/CVE-2026-25736</t>
        </is>
      </c>
      <c r="AB712" s="188" t="inlineStr">
        <is>
          <t>NONE</t>
        </is>
      </c>
      <c r="AC712" s="188" t="n">
        <v>0</v>
      </c>
      <c r="AD712" s="188" t="inlineStr"/>
    </row>
    <row r="713">
      <c r="A713" s="188" t="inlineStr">
        <is>
          <t>CVE</t>
        </is>
      </c>
      <c r="B713" s="188" t="inlineStr">
        <is>
          <t>CVE-2026-25941</t>
        </is>
      </c>
      <c r="C713" s="188"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713" s="188" t="n">
        <v>4.3</v>
      </c>
      <c r="E713" s="188" t="inlineStr">
        <is>
          <t>MEDIUM</t>
        </is>
      </c>
      <c r="F713" s="188" t="n">
        <v>2</v>
      </c>
      <c r="G713" s="188" t="n">
        <v>2</v>
      </c>
      <c r="H713" s="188" t="inlineStr">
        <is>
          <t>MEDIUM</t>
        </is>
      </c>
      <c r="I713" s="188" t="n">
        <v>9</v>
      </c>
      <c r="J713" s="188" t="inlineStr">
        <is>
          <t>NO</t>
        </is>
      </c>
      <c r="K713" s="188" t="inlineStr">
        <is>
          <t>https://nvd.nist.gov/vuln/detail/CVE-2026-25941</t>
        </is>
      </c>
      <c r="L713" s="188" t="inlineStr">
        <is>
          <t>2026-02-27 20:47</t>
        </is>
      </c>
      <c r="M713" s="188" t="inlineStr">
        <is>
          <t>YES</t>
        </is>
      </c>
      <c r="N713" s="188" t="inlineStr">
        <is>
          <t>https://github.com/FreeRDP/FreeRDP/commit/2e3b77e28ac6a398897d28ba464dcc5dfab9c9e2 | https://github.com/FreeRDP/FreeRDP/security/advisories/GHSA-3546-x645-5cf8</t>
        </is>
      </c>
      <c r="O713" s="188" t="inlineStr">
        <is>
          <t>https://github.com/FreeRDP/FreeRDP/security/advisories/GHSA-3546-x645-5cf8</t>
        </is>
      </c>
      <c r="P713" s="188" t="inlineStr">
        <is>
          <t>freerdp freerdp *</t>
        </is>
      </c>
      <c r="Q713" s="188" t="inlineStr">
        <is>
          <t>P3</t>
        </is>
      </c>
      <c r="R713" s="188" t="inlineStr">
        <is>
          <t>📅 Schedule patch deployment within 30 days | 🔍 Monitor for exploitation attempts</t>
        </is>
      </c>
      <c r="S713" s="188" t="inlineStr">
        <is>
          <t>CVE - IP enrichment n/a</t>
        </is>
      </c>
      <c r="T713" s="188" t="n">
        <v>0.0004</v>
      </c>
      <c r="U713" s="188" t="n">
        <v>0.122</v>
      </c>
      <c r="V713" s="188" t="inlineStr">
        <is>
          <t>T1203:Exploitation for Client Execution | T1213:Data from Information Repositories</t>
        </is>
      </c>
      <c r="W713" s="188" t="n">
        <v>2</v>
      </c>
      <c r="X713" s="188" t="inlineStr">
        <is>
          <t>MEDIUM (52%)</t>
        </is>
      </c>
      <c r="Y713" s="188" t="inlineStr">
        <is>
          <t>UNLIKELY</t>
        </is>
      </c>
      <c r="Z713" s="188" t="inlineStr">
        <is>
          <t>PATCH_AVAILABLE</t>
        </is>
      </c>
      <c r="AA713" s="188" t="inlineStr">
        <is>
          <t>https://nvd.nist.gov/vuln/detail/CVE-2026-25941</t>
        </is>
      </c>
      <c r="AB713" s="188" t="inlineStr">
        <is>
          <t>NONE</t>
        </is>
      </c>
      <c r="AC713" s="188" t="n">
        <v>0</v>
      </c>
      <c r="AD713" s="188" t="inlineStr"/>
    </row>
    <row r="714">
      <c r="A714" s="188" t="inlineStr">
        <is>
          <t>CVE</t>
        </is>
      </c>
      <c r="B714" s="188" t="inlineStr">
        <is>
          <t>CVE-2026-2636</t>
        </is>
      </c>
      <c r="C714" s="188"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714" s="188" t="n">
        <v>5.5</v>
      </c>
      <c r="E714" s="188" t="inlineStr">
        <is>
          <t>MEDIUM</t>
        </is>
      </c>
      <c r="F714" s="188" t="n">
        <v>2</v>
      </c>
      <c r="G714" s="188" t="n">
        <v>2</v>
      </c>
      <c r="H714" s="188" t="inlineStr">
        <is>
          <t>MEDIUM</t>
        </is>
      </c>
      <c r="I714" s="188" t="n">
        <v>9.5</v>
      </c>
      <c r="J714" s="188" t="inlineStr">
        <is>
          <t>NO</t>
        </is>
      </c>
      <c r="K714" s="188" t="inlineStr">
        <is>
          <t>https://nvd.nist.gov/vuln/detail/CVE-2026-2636</t>
        </is>
      </c>
      <c r="L714" s="188" t="inlineStr">
        <is>
          <t>2026-02-27 20:47</t>
        </is>
      </c>
      <c r="M714" s="188" t="inlineStr">
        <is>
          <t>CHECK_VENDOR</t>
        </is>
      </c>
      <c r="N714" s="188" t="inlineStr">
        <is>
          <t>See NVD references</t>
        </is>
      </c>
      <c r="O714" s="188" t="inlineStr">
        <is>
          <t>Apply vendor patches</t>
        </is>
      </c>
      <c r="P714" s="188" t="inlineStr">
        <is>
          <t>See CVE details</t>
        </is>
      </c>
      <c r="Q714" s="188" t="inlineStr">
        <is>
          <t>P3</t>
        </is>
      </c>
      <c r="R714" s="188" t="inlineStr">
        <is>
          <t>📅 Schedule patch deployment within 30 days | 🔍 Monitor for exploitation attempts</t>
        </is>
      </c>
      <c r="S714" s="188" t="inlineStr">
        <is>
          <t>CVE - IP enrichment n/a</t>
        </is>
      </c>
      <c r="T714" s="188" t="n">
        <v>0.0004</v>
      </c>
      <c r="U714" s="188" t="n">
        <v>0.111</v>
      </c>
      <c r="V714" s="188" t="inlineStr">
        <is>
          <t>T1190:Exploit Public-Facing Application</t>
        </is>
      </c>
      <c r="W714" s="188" t="n">
        <v>2</v>
      </c>
      <c r="X714" s="188" t="inlineStr">
        <is>
          <t>MEDIUM (52%)</t>
        </is>
      </c>
      <c r="Y714" s="188" t="inlineStr">
        <is>
          <t>UNLIKELY</t>
        </is>
      </c>
      <c r="Z714" s="188" t="inlineStr">
        <is>
          <t>CHECK_VENDOR</t>
        </is>
      </c>
      <c r="AA714" s="188" t="inlineStr">
        <is>
          <t>https://nvd.nist.gov/vuln/detail/CVE-2026-2636</t>
        </is>
      </c>
      <c r="AB714" s="188" t="inlineStr">
        <is>
          <t>NONE</t>
        </is>
      </c>
      <c r="AC714" s="188" t="n">
        <v>0</v>
      </c>
      <c r="AD714" s="188" t="inlineStr"/>
    </row>
    <row r="715">
      <c r="A715" s="187" t="inlineStr">
        <is>
          <t>CVE</t>
        </is>
      </c>
      <c r="B715" s="187" t="inlineStr">
        <is>
          <t>CVE-2025-14511</t>
        </is>
      </c>
      <c r="C715" s="187"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715" s="187" t="n">
        <v>7.5</v>
      </c>
      <c r="E715" s="187" t="inlineStr">
        <is>
          <t>HIGH</t>
        </is>
      </c>
      <c r="F715" s="187" t="n">
        <v>2</v>
      </c>
      <c r="G715" s="187" t="n">
        <v>3</v>
      </c>
      <c r="H715" s="187" t="inlineStr">
        <is>
          <t>HIGH</t>
        </is>
      </c>
      <c r="I715" s="187" t="n">
        <v>13.5</v>
      </c>
      <c r="J715" s="187" t="inlineStr">
        <is>
          <t>NO</t>
        </is>
      </c>
      <c r="K715" s="187" t="inlineStr">
        <is>
          <t>https://nvd.nist.gov/vuln/detail/CVE-2025-14511</t>
        </is>
      </c>
      <c r="L715" s="187" t="inlineStr">
        <is>
          <t>2026-02-27 20:47</t>
        </is>
      </c>
      <c r="M715" s="187" t="inlineStr">
        <is>
          <t>CHECK_VENDOR</t>
        </is>
      </c>
      <c r="N715" s="187" t="inlineStr">
        <is>
          <t>See NVD references</t>
        </is>
      </c>
      <c r="O715" s="187" t="inlineStr">
        <is>
          <t>Apply vendor patches</t>
        </is>
      </c>
      <c r="P715" s="187" t="inlineStr">
        <is>
          <t>See CVE details</t>
        </is>
      </c>
      <c r="Q715" s="187" t="inlineStr">
        <is>
          <t>P3</t>
        </is>
      </c>
      <c r="R715" s="187" t="inlineStr">
        <is>
          <t>🚨 URGENT: Apply vendor patches immediately | 🔒 Isolate affected systems if patch unavailable | 🛡️ Enable additional monitoring/IDS rules</t>
        </is>
      </c>
      <c r="S715" s="187" t="inlineStr">
        <is>
          <t>CVE - IP enrichment n/a</t>
        </is>
      </c>
      <c r="T715" s="187" t="n">
        <v>0.0003</v>
      </c>
      <c r="U715" s="187" t="n">
        <v>0.0819</v>
      </c>
      <c r="V715" s="187" t="inlineStr">
        <is>
          <t>T1499:Endpoint Denial of Service</t>
        </is>
      </c>
      <c r="W715" s="187" t="n">
        <v>1</v>
      </c>
      <c r="X715" s="187" t="inlineStr">
        <is>
          <t>LOW (40%)</t>
        </is>
      </c>
      <c r="Y715" s="187" t="inlineStr">
        <is>
          <t>UNLIKELY</t>
        </is>
      </c>
      <c r="Z715" s="187" t="inlineStr">
        <is>
          <t>CHECK_VENDOR</t>
        </is>
      </c>
      <c r="AA715" s="187" t="inlineStr">
        <is>
          <t>https://nvd.nist.gov/vuln/detail/CVE-2025-14511</t>
        </is>
      </c>
      <c r="AB715" s="187" t="inlineStr">
        <is>
          <t>NONE</t>
        </is>
      </c>
      <c r="AC715" s="187" t="n">
        <v>0</v>
      </c>
      <c r="AD715" s="187" t="inlineStr"/>
    </row>
    <row r="716">
      <c r="A716" s="187" t="inlineStr">
        <is>
          <t>CVE</t>
        </is>
      </c>
      <c r="B716" s="187" t="inlineStr">
        <is>
          <t>CVE-2026-0542</t>
        </is>
      </c>
      <c r="C716" s="187"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716" s="187" t="n">
        <v>8.5</v>
      </c>
      <c r="E716" s="187" t="inlineStr">
        <is>
          <t>HIGH</t>
        </is>
      </c>
      <c r="F716" s="187" t="n">
        <v>2</v>
      </c>
      <c r="G716" s="187" t="n">
        <v>3</v>
      </c>
      <c r="H716" s="187" t="inlineStr">
        <is>
          <t>HIGH</t>
        </is>
      </c>
      <c r="I716" s="187" t="n">
        <v>14.5</v>
      </c>
      <c r="J716" s="187" t="inlineStr">
        <is>
          <t>NO</t>
        </is>
      </c>
      <c r="K716" s="187" t="inlineStr">
        <is>
          <t>https://nvd.nist.gov/vuln/detail/CVE-2026-0542</t>
        </is>
      </c>
      <c r="L716" s="187" t="inlineStr">
        <is>
          <t>2026-02-27 20:47</t>
        </is>
      </c>
      <c r="M716" s="187" t="inlineStr">
        <is>
          <t>CHECK_VENDOR</t>
        </is>
      </c>
      <c r="N716" s="187" t="inlineStr">
        <is>
          <t>See NVD references</t>
        </is>
      </c>
      <c r="O716" s="187" t="inlineStr">
        <is>
          <t>Apply vendor patches</t>
        </is>
      </c>
      <c r="P716" s="187" t="inlineStr">
        <is>
          <t>See CVE details</t>
        </is>
      </c>
      <c r="Q716" s="187" t="inlineStr">
        <is>
          <t>P3</t>
        </is>
      </c>
      <c r="R716" s="187" t="inlineStr">
        <is>
          <t>🚨 URGENT: Apply vendor patches immediately | 🔒 Isolate affected systems if patch unavailable | 🛡️ Enable additional monitoring/IDS rules</t>
        </is>
      </c>
      <c r="S716" s="187" t="inlineStr">
        <is>
          <t>CVE - IP enrichment n/a</t>
        </is>
      </c>
      <c r="T716" s="187" t="n">
        <v>0.0021</v>
      </c>
      <c r="U716" s="187" t="n">
        <v>0.431</v>
      </c>
      <c r="V716" s="187" t="inlineStr">
        <is>
          <t>T1190:Exploit Public-Facing Application | T1210:Exploitation of Remote Services</t>
        </is>
      </c>
      <c r="W716" s="187" t="n">
        <v>1</v>
      </c>
      <c r="X716" s="187" t="inlineStr">
        <is>
          <t>LOW (40%)</t>
        </is>
      </c>
      <c r="Y716" s="187" t="inlineStr">
        <is>
          <t>UNLIKELY</t>
        </is>
      </c>
      <c r="Z716" s="187" t="inlineStr">
        <is>
          <t>CHECK_VENDOR</t>
        </is>
      </c>
      <c r="AA716" s="187" t="inlineStr">
        <is>
          <t>https://nvd.nist.gov/vuln/detail/CVE-2026-0542</t>
        </is>
      </c>
      <c r="AB716" s="187" t="inlineStr">
        <is>
          <t>NONE</t>
        </is>
      </c>
      <c r="AC716" s="187" t="n">
        <v>0</v>
      </c>
      <c r="AD716" s="187" t="inlineStr"/>
    </row>
    <row r="717">
      <c r="A717" s="187" t="inlineStr">
        <is>
          <t>CVE</t>
        </is>
      </c>
      <c r="B717" s="187" t="inlineStr">
        <is>
          <t>CVE-2026-0752</t>
        </is>
      </c>
      <c r="C717" s="187"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717" s="187" t="n">
        <v>8</v>
      </c>
      <c r="E717" s="187" t="inlineStr">
        <is>
          <t>HIGH</t>
        </is>
      </c>
      <c r="F717" s="187" t="n">
        <v>2</v>
      </c>
      <c r="G717" s="187" t="n">
        <v>3</v>
      </c>
      <c r="H717" s="187" t="inlineStr">
        <is>
          <t>HIGH</t>
        </is>
      </c>
      <c r="I717" s="187" t="n">
        <v>14</v>
      </c>
      <c r="J717" s="187" t="inlineStr">
        <is>
          <t>NO</t>
        </is>
      </c>
      <c r="K717" s="187" t="inlineStr">
        <is>
          <t>https://nvd.nist.gov/vuln/detail/CVE-2026-0752</t>
        </is>
      </c>
      <c r="L717" s="187" t="inlineStr">
        <is>
          <t>2026-02-27 20:47</t>
        </is>
      </c>
      <c r="M717" s="187" t="inlineStr">
        <is>
          <t>CHECK_VENDOR</t>
        </is>
      </c>
      <c r="N717" s="187" t="inlineStr">
        <is>
          <t>See NVD references</t>
        </is>
      </c>
      <c r="O717" s="187" t="inlineStr">
        <is>
          <t>Apply vendor patches</t>
        </is>
      </c>
      <c r="P717" s="187" t="inlineStr">
        <is>
          <t>See CVE details</t>
        </is>
      </c>
      <c r="Q717" s="187" t="inlineStr">
        <is>
          <t>P3</t>
        </is>
      </c>
      <c r="R717" s="187" t="inlineStr">
        <is>
          <t>🚨 URGENT: Apply vendor patches immediately | 🔒 Isolate affected systems if patch unavailable | 🛡️ Enable additional monitoring/IDS rules</t>
        </is>
      </c>
      <c r="S717" s="187" t="inlineStr">
        <is>
          <t>CVE - IP enrichment n/a</t>
        </is>
      </c>
      <c r="T717" s="187" t="n">
        <v>0.0004</v>
      </c>
      <c r="U717" s="187" t="n">
        <v>0.1349</v>
      </c>
      <c r="V717" s="187" t="inlineStr">
        <is>
          <t>T1189:Drive-by Compromise</t>
        </is>
      </c>
      <c r="W717" s="187" t="n">
        <v>1</v>
      </c>
      <c r="X717" s="187" t="inlineStr">
        <is>
          <t>LOW (40%)</t>
        </is>
      </c>
      <c r="Y717" s="187" t="inlineStr">
        <is>
          <t>UNLIKELY</t>
        </is>
      </c>
      <c r="Z717" s="187" t="inlineStr">
        <is>
          <t>CHECK_VENDOR</t>
        </is>
      </c>
      <c r="AA717" s="187" t="inlineStr">
        <is>
          <t>https://nvd.nist.gov/vuln/detail/CVE-2026-0752</t>
        </is>
      </c>
      <c r="AB717" s="187" t="inlineStr">
        <is>
          <t>NONE</t>
        </is>
      </c>
      <c r="AC717" s="187" t="n">
        <v>0</v>
      </c>
      <c r="AD717" s="187" t="inlineStr"/>
    </row>
    <row r="718">
      <c r="A718" s="187" t="inlineStr">
        <is>
          <t>CVE</t>
        </is>
      </c>
      <c r="B718" s="187" t="inlineStr">
        <is>
          <t>CVE-2026-1388</t>
        </is>
      </c>
      <c r="C718" s="187"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718" s="187" t="n">
        <v>7.5</v>
      </c>
      <c r="E718" s="187" t="inlineStr">
        <is>
          <t>HIGH</t>
        </is>
      </c>
      <c r="F718" s="187" t="n">
        <v>2</v>
      </c>
      <c r="G718" s="187" t="n">
        <v>3</v>
      </c>
      <c r="H718" s="187" t="inlineStr">
        <is>
          <t>HIGH</t>
        </is>
      </c>
      <c r="I718" s="187" t="n">
        <v>13.5</v>
      </c>
      <c r="J718" s="187" t="inlineStr">
        <is>
          <t>NO</t>
        </is>
      </c>
      <c r="K718" s="187" t="inlineStr">
        <is>
          <t>https://nvd.nist.gov/vuln/detail/CVE-2026-1388</t>
        </is>
      </c>
      <c r="L718" s="187" t="inlineStr">
        <is>
          <t>2026-02-27 20:47</t>
        </is>
      </c>
      <c r="M718" s="187" t="inlineStr">
        <is>
          <t>CHECK_VENDOR</t>
        </is>
      </c>
      <c r="N718" s="187" t="inlineStr">
        <is>
          <t>See NVD references</t>
        </is>
      </c>
      <c r="O718" s="187" t="inlineStr">
        <is>
          <t>Apply vendor patches</t>
        </is>
      </c>
      <c r="P718" s="187" t="inlineStr">
        <is>
          <t>See CVE details</t>
        </is>
      </c>
      <c r="Q718" s="187" t="inlineStr">
        <is>
          <t>P3</t>
        </is>
      </c>
      <c r="R718" s="187" t="inlineStr">
        <is>
          <t>🚨 URGENT: Apply vendor patches immediately | 🔒 Isolate affected systems if patch unavailable | 🛡️ Enable additional monitoring/IDS rules</t>
        </is>
      </c>
      <c r="S718" s="187" t="inlineStr">
        <is>
          <t>CVE - IP enrichment n/a</t>
        </is>
      </c>
      <c r="T718" s="187" t="n">
        <v>0.0004</v>
      </c>
      <c r="U718" s="187" t="n">
        <v>0.1241</v>
      </c>
      <c r="V718" s="187" t="inlineStr">
        <is>
          <t>T1499:Endpoint Denial of Service</t>
        </is>
      </c>
      <c r="W718" s="187" t="n">
        <v>1</v>
      </c>
      <c r="X718" s="187" t="inlineStr">
        <is>
          <t>LOW (40%)</t>
        </is>
      </c>
      <c r="Y718" s="187" t="inlineStr">
        <is>
          <t>UNLIKELY</t>
        </is>
      </c>
      <c r="Z718" s="187" t="inlineStr">
        <is>
          <t>CHECK_VENDOR</t>
        </is>
      </c>
      <c r="AA718" s="187" t="inlineStr">
        <is>
          <t>https://nvd.nist.gov/vuln/detail/CVE-2026-1388</t>
        </is>
      </c>
      <c r="AB718" s="187" t="inlineStr">
        <is>
          <t>NONE</t>
        </is>
      </c>
      <c r="AC718" s="187" t="n">
        <v>0</v>
      </c>
      <c r="AD718" s="187" t="inlineStr"/>
    </row>
    <row r="719">
      <c r="A719" s="187" t="inlineStr">
        <is>
          <t>CVE</t>
        </is>
      </c>
      <c r="B719" s="187" t="inlineStr">
        <is>
          <t>CVE-2026-1662</t>
        </is>
      </c>
      <c r="C719" s="187"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719" s="187" t="n">
        <v>7.5</v>
      </c>
      <c r="E719" s="187" t="inlineStr">
        <is>
          <t>HIGH</t>
        </is>
      </c>
      <c r="F719" s="187" t="n">
        <v>2</v>
      </c>
      <c r="G719" s="187" t="n">
        <v>3</v>
      </c>
      <c r="H719" s="187" t="inlineStr">
        <is>
          <t>HIGH</t>
        </is>
      </c>
      <c r="I719" s="187" t="n">
        <v>13.5</v>
      </c>
      <c r="J719" s="187" t="inlineStr">
        <is>
          <t>NO</t>
        </is>
      </c>
      <c r="K719" s="187" t="inlineStr">
        <is>
          <t>https://nvd.nist.gov/vuln/detail/CVE-2026-1662</t>
        </is>
      </c>
      <c r="L719" s="187" t="inlineStr">
        <is>
          <t>2026-02-27 20:47</t>
        </is>
      </c>
      <c r="M719" s="187" t="inlineStr">
        <is>
          <t>CHECK_VENDOR</t>
        </is>
      </c>
      <c r="N719" s="187" t="inlineStr">
        <is>
          <t>See NVD references</t>
        </is>
      </c>
      <c r="O719" s="187" t="inlineStr">
        <is>
          <t>Apply vendor patches</t>
        </is>
      </c>
      <c r="P719" s="187" t="inlineStr">
        <is>
          <t>See CVE details</t>
        </is>
      </c>
      <c r="Q719" s="187" t="inlineStr">
        <is>
          <t>P3</t>
        </is>
      </c>
      <c r="R719" s="187" t="inlineStr">
        <is>
          <t>🚨 URGENT: Apply vendor patches immediately | 🔒 Isolate affected systems if patch unavailable | 🛡️ Enable additional monitoring/IDS rules</t>
        </is>
      </c>
      <c r="S719" s="187" t="inlineStr">
        <is>
          <t>CVE - IP enrichment n/a</t>
        </is>
      </c>
      <c r="T719" s="187" t="n">
        <v>0.0004</v>
      </c>
      <c r="U719" s="187" t="n">
        <v>0.1216</v>
      </c>
      <c r="V719" s="187" t="inlineStr">
        <is>
          <t>T1499:Endpoint Denial of Service</t>
        </is>
      </c>
      <c r="W719" s="187" t="n">
        <v>1</v>
      </c>
      <c r="X719" s="187" t="inlineStr">
        <is>
          <t>LOW (40%)</t>
        </is>
      </c>
      <c r="Y719" s="187" t="inlineStr">
        <is>
          <t>UNLIKELY</t>
        </is>
      </c>
      <c r="Z719" s="187" t="inlineStr">
        <is>
          <t>CHECK_VENDOR</t>
        </is>
      </c>
      <c r="AA719" s="187" t="inlineStr">
        <is>
          <t>https://nvd.nist.gov/vuln/detail/CVE-2026-1662</t>
        </is>
      </c>
      <c r="AB719" s="187" t="inlineStr">
        <is>
          <t>NONE</t>
        </is>
      </c>
      <c r="AC719" s="187" t="n">
        <v>0</v>
      </c>
      <c r="AD719" s="187" t="inlineStr"/>
    </row>
    <row r="720">
      <c r="A720" s="188" t="inlineStr">
        <is>
          <t>CVE</t>
        </is>
      </c>
      <c r="B720" s="188" t="inlineStr">
        <is>
          <t>CVE-2026-1725</t>
        </is>
      </c>
      <c r="C720" s="188" t="inlineStr">
        <is>
          <t>GitLab has remediated an issue in GitLab CE/EE affecting versions from 18.9 before 18.9.1 that could have under certain conditions, allowed an unauthenticated user to cause denial of service by sending specially crafted requests to a CI jobs API endpoint.</t>
        </is>
      </c>
      <c r="D720" s="188" t="n">
        <v>5.3</v>
      </c>
      <c r="E720" s="188" t="inlineStr">
        <is>
          <t>MEDIUM</t>
        </is>
      </c>
      <c r="F720" s="188" t="n">
        <v>2</v>
      </c>
      <c r="G720" s="188" t="n">
        <v>2</v>
      </c>
      <c r="H720" s="188" t="inlineStr">
        <is>
          <t>MEDIUM</t>
        </is>
      </c>
      <c r="I720" s="188" t="n">
        <v>9.300000000000001</v>
      </c>
      <c r="J720" s="188" t="inlineStr">
        <is>
          <t>NO</t>
        </is>
      </c>
      <c r="K720" s="188" t="inlineStr">
        <is>
          <t>https://nvd.nist.gov/vuln/detail/CVE-2026-1725</t>
        </is>
      </c>
      <c r="L720" s="188" t="inlineStr">
        <is>
          <t>2026-02-27 20:47</t>
        </is>
      </c>
      <c r="M720" s="188" t="inlineStr">
        <is>
          <t>CHECK_VENDOR</t>
        </is>
      </c>
      <c r="N720" s="188" t="inlineStr">
        <is>
          <t>See NVD references</t>
        </is>
      </c>
      <c r="O720" s="188" t="inlineStr">
        <is>
          <t>Apply vendor patches</t>
        </is>
      </c>
      <c r="P720" s="188" t="inlineStr">
        <is>
          <t>See CVE details</t>
        </is>
      </c>
      <c r="Q720" s="188" t="inlineStr">
        <is>
          <t>P4</t>
        </is>
      </c>
      <c r="R720" s="188" t="inlineStr">
        <is>
          <t>📅 Schedule patch deployment within 30 days | 🔍 Monitor for exploitation attempts</t>
        </is>
      </c>
      <c r="S720" s="188" t="inlineStr">
        <is>
          <t>CVE - IP enrichment n/a</t>
        </is>
      </c>
      <c r="T720" s="188" t="n">
        <v>0.0003</v>
      </c>
      <c r="U720" s="188" t="n">
        <v>0.0974</v>
      </c>
      <c r="V720" s="188" t="inlineStr">
        <is>
          <t>T1499:Endpoint Denial of Service</t>
        </is>
      </c>
      <c r="W720" s="188" t="n">
        <v>1</v>
      </c>
      <c r="X720" s="188" t="inlineStr">
        <is>
          <t>LOW (40%)</t>
        </is>
      </c>
      <c r="Y720" s="188" t="inlineStr">
        <is>
          <t>UNLIKELY</t>
        </is>
      </c>
      <c r="Z720" s="188" t="inlineStr">
        <is>
          <t>CHECK_VENDOR</t>
        </is>
      </c>
      <c r="AA720" s="188" t="inlineStr">
        <is>
          <t>https://nvd.nist.gov/vuln/detail/CVE-2026-1725</t>
        </is>
      </c>
      <c r="AB720" s="188" t="inlineStr">
        <is>
          <t>NONE</t>
        </is>
      </c>
      <c r="AC720" s="188" t="n">
        <v>0</v>
      </c>
      <c r="AD720" s="188" t="inlineStr"/>
    </row>
    <row r="721">
      <c r="A721" s="188" t="inlineStr">
        <is>
          <t>CVE</t>
        </is>
      </c>
      <c r="B721" s="188" t="inlineStr">
        <is>
          <t>CVE-2026-1747</t>
        </is>
      </c>
      <c r="C721" s="188"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721" s="188" t="n">
        <v>4.3</v>
      </c>
      <c r="E721" s="188" t="inlineStr">
        <is>
          <t>MEDIUM</t>
        </is>
      </c>
      <c r="F721" s="188" t="n">
        <v>2</v>
      </c>
      <c r="G721" s="188" t="n">
        <v>2</v>
      </c>
      <c r="H721" s="188" t="inlineStr">
        <is>
          <t>MEDIUM</t>
        </is>
      </c>
      <c r="I721" s="188" t="n">
        <v>8.300000000000001</v>
      </c>
      <c r="J721" s="188" t="inlineStr">
        <is>
          <t>NO</t>
        </is>
      </c>
      <c r="K721" s="188" t="inlineStr">
        <is>
          <t>https://nvd.nist.gov/vuln/detail/CVE-2026-1747</t>
        </is>
      </c>
      <c r="L721" s="188" t="inlineStr">
        <is>
          <t>2026-02-27 20:47</t>
        </is>
      </c>
      <c r="M721" s="188" t="inlineStr">
        <is>
          <t>CHECK_VENDOR</t>
        </is>
      </c>
      <c r="N721" s="188" t="inlineStr">
        <is>
          <t>See NVD references</t>
        </is>
      </c>
      <c r="O721" s="188" t="inlineStr">
        <is>
          <t>Apply vendor patches</t>
        </is>
      </c>
      <c r="P721" s="188" t="inlineStr">
        <is>
          <t>See CVE details</t>
        </is>
      </c>
      <c r="Q721" s="188" t="inlineStr">
        <is>
          <t>P4</t>
        </is>
      </c>
      <c r="R721" s="188" t="inlineStr">
        <is>
          <t>📅 Schedule patch deployment within 30 days | 🔍 Monitor for exploitation attempts</t>
        </is>
      </c>
      <c r="S721" s="188" t="inlineStr">
        <is>
          <t>CVE - IP enrichment n/a</t>
        </is>
      </c>
      <c r="T721" s="188" t="n">
        <v>0.0001</v>
      </c>
      <c r="U721" s="188" t="n">
        <v>0.017</v>
      </c>
      <c r="V721" s="188" t="inlineStr">
        <is>
          <t>T1190:Exploit Public-Facing Application</t>
        </is>
      </c>
      <c r="W721" s="188" t="n">
        <v>1</v>
      </c>
      <c r="X721" s="188" t="inlineStr">
        <is>
          <t>LOW (40%)</t>
        </is>
      </c>
      <c r="Y721" s="188" t="inlineStr">
        <is>
          <t>UNLIKELY</t>
        </is>
      </c>
      <c r="Z721" s="188" t="inlineStr">
        <is>
          <t>CHECK_VENDOR</t>
        </is>
      </c>
      <c r="AA721" s="188" t="inlineStr">
        <is>
          <t>https://nvd.nist.gov/vuln/detail/CVE-2026-1747</t>
        </is>
      </c>
      <c r="AB721" s="188" t="inlineStr">
        <is>
          <t>NONE</t>
        </is>
      </c>
      <c r="AC721" s="188" t="n">
        <v>0</v>
      </c>
      <c r="AD721" s="188" t="inlineStr"/>
    </row>
    <row r="722">
      <c r="A722" s="188" t="inlineStr">
        <is>
          <t>CVE</t>
        </is>
      </c>
      <c r="B722" s="188" t="inlineStr">
        <is>
          <t>CVE-2026-22721</t>
        </is>
      </c>
      <c r="C722" s="188"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722" s="188" t="n">
        <v>6.2</v>
      </c>
      <c r="E722" s="188" t="inlineStr">
        <is>
          <t>MEDIUM</t>
        </is>
      </c>
      <c r="F722" s="188" t="n">
        <v>2</v>
      </c>
      <c r="G722" s="188" t="n">
        <v>2</v>
      </c>
      <c r="H722" s="188" t="inlineStr">
        <is>
          <t>MEDIUM</t>
        </is>
      </c>
      <c r="I722" s="188" t="n">
        <v>10.2</v>
      </c>
      <c r="J722" s="188" t="inlineStr">
        <is>
          <t>NO</t>
        </is>
      </c>
      <c r="K722" s="188" t="inlineStr">
        <is>
          <t>https://nvd.nist.gov/vuln/detail/CVE-2026-22721</t>
        </is>
      </c>
      <c r="L722" s="188" t="inlineStr">
        <is>
          <t>2026-02-27 20:47</t>
        </is>
      </c>
      <c r="M722" s="188" t="inlineStr">
        <is>
          <t>CHECK_VENDOR</t>
        </is>
      </c>
      <c r="N722" s="188" t="inlineStr">
        <is>
          <t>See NVD references</t>
        </is>
      </c>
      <c r="O722" s="188" t="inlineStr">
        <is>
          <t>Apply vendor patches</t>
        </is>
      </c>
      <c r="P722" s="188" t="inlineStr">
        <is>
          <t>See CVE details</t>
        </is>
      </c>
      <c r="Q722" s="188" t="inlineStr">
        <is>
          <t>P4</t>
        </is>
      </c>
      <c r="R722" s="188" t="inlineStr">
        <is>
          <t>📅 Schedule patch deployment within 30 days | 🔍 Monitor for exploitation attempts</t>
        </is>
      </c>
      <c r="S722" s="188" t="inlineStr">
        <is>
          <t>CVE - IP enrichment n/a</t>
        </is>
      </c>
      <c r="T722" s="188" t="n">
        <v>0.0005</v>
      </c>
      <c r="U722" s="188" t="n">
        <v>0.1593</v>
      </c>
      <c r="V722" s="188" t="inlineStr">
        <is>
          <t>T1068:Exploitation for Privilege Escalation</t>
        </is>
      </c>
      <c r="W722" s="188" t="n">
        <v>1</v>
      </c>
      <c r="X722" s="188" t="inlineStr">
        <is>
          <t>LOW (40%)</t>
        </is>
      </c>
      <c r="Y722" s="188" t="inlineStr">
        <is>
          <t>UNLIKELY</t>
        </is>
      </c>
      <c r="Z722" s="188" t="inlineStr">
        <is>
          <t>CHECK_VENDOR</t>
        </is>
      </c>
      <c r="AA722" s="188" t="inlineStr">
        <is>
          <t>https://nvd.nist.gov/vuln/detail/CVE-2026-22721</t>
        </is>
      </c>
      <c r="AB722" s="188" t="inlineStr">
        <is>
          <t>NONE</t>
        </is>
      </c>
      <c r="AC722" s="188" t="n">
        <v>0</v>
      </c>
      <c r="AD722" s="188" t="inlineStr"/>
    </row>
    <row r="723">
      <c r="A723" s="187" t="inlineStr">
        <is>
          <t>CVE</t>
        </is>
      </c>
      <c r="B723" s="187" t="inlineStr">
        <is>
          <t>CVE-2026-25942</t>
        </is>
      </c>
      <c r="C723" s="187"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723" s="187" t="n">
        <v>7.5</v>
      </c>
      <c r="E723" s="187" t="inlineStr">
        <is>
          <t>HIGH</t>
        </is>
      </c>
      <c r="F723" s="187" t="n">
        <v>2</v>
      </c>
      <c r="G723" s="187" t="n">
        <v>3</v>
      </c>
      <c r="H723" s="187" t="inlineStr">
        <is>
          <t>HIGH</t>
        </is>
      </c>
      <c r="I723" s="187" t="n">
        <v>13.5</v>
      </c>
      <c r="J723" s="187" t="inlineStr">
        <is>
          <t>NO</t>
        </is>
      </c>
      <c r="K723" s="187" t="inlineStr">
        <is>
          <t>https://nvd.nist.gov/vuln/detail/CVE-2026-25942</t>
        </is>
      </c>
      <c r="L723" s="187" t="inlineStr">
        <is>
          <t>2026-02-27 20:47</t>
        </is>
      </c>
      <c r="M723" s="187" t="inlineStr">
        <is>
          <t>YES</t>
        </is>
      </c>
      <c r="N723" s="187" t="inlineStr">
        <is>
          <t>https://github.com/FreeRDP/FreeRDP/blob/3370e30e92a021eb680892dda14d642bc8b8727c/channels/rail/client/rail_orders.c#L528 | https://github.com/FreeRDP/FreeRDP/blob/3370e30e92a021eb680892dda14d642bc8b8727c/channels/rail/client/rail_orders.c#L75-L76 | https://github.com/FreeRDP/FreeRDP/blob/3370e30e92a021eb680892dda14d642bc8b8727c/client/X11/xf_rail.c#L1014-L1017</t>
        </is>
      </c>
      <c r="O723" s="187" t="inlineStr">
        <is>
          <t>https://github.com/FreeRDP/FreeRDP/security/advisories/GHSA-78q6-67m7-wwf6</t>
        </is>
      </c>
      <c r="P723" s="187" t="inlineStr">
        <is>
          <t>freerdp freerdp *</t>
        </is>
      </c>
      <c r="Q723" s="187" t="inlineStr">
        <is>
          <t>P3</t>
        </is>
      </c>
      <c r="R723" s="187" t="inlineStr">
        <is>
          <t>🚨 URGENT: Apply vendor patches immediately | 🔒 Isolate affected systems if patch unavailable | 🛡️ Enable additional monitoring/IDS rules</t>
        </is>
      </c>
      <c r="S723" s="187" t="inlineStr">
        <is>
          <t>CVE - IP enrichment n/a</t>
        </is>
      </c>
      <c r="T723" s="187" t="n">
        <v>0.0005</v>
      </c>
      <c r="U723" s="187" t="n">
        <v>0.1559</v>
      </c>
      <c r="V723" s="187" t="inlineStr">
        <is>
          <t>T1203:Exploitation for Client Execution</t>
        </is>
      </c>
      <c r="W723" s="187" t="n">
        <v>2</v>
      </c>
      <c r="X723" s="187" t="inlineStr">
        <is>
          <t>MEDIUM (52%)</t>
        </is>
      </c>
      <c r="Y723" s="187" t="inlineStr">
        <is>
          <t>UNLIKELY</t>
        </is>
      </c>
      <c r="Z723" s="187" t="inlineStr">
        <is>
          <t>PATCH_AVAILABLE</t>
        </is>
      </c>
      <c r="AA723" s="187" t="inlineStr">
        <is>
          <t>https://nvd.nist.gov/vuln/detail/CVE-2026-25942</t>
        </is>
      </c>
      <c r="AB723" s="187" t="inlineStr">
        <is>
          <t>NONE</t>
        </is>
      </c>
      <c r="AC723" s="187" t="n">
        <v>0</v>
      </c>
      <c r="AD723" s="187" t="inlineStr"/>
    </row>
    <row r="724">
      <c r="A724" s="189" t="inlineStr">
        <is>
          <t>CVE</t>
        </is>
      </c>
      <c r="B724" s="189" t="inlineStr">
        <is>
          <t>CVE-2026-25952</t>
        </is>
      </c>
      <c r="C724" s="189"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724" s="189" t="n">
        <v>9.800000000000001</v>
      </c>
      <c r="E724" s="189" t="inlineStr">
        <is>
          <t>CRITICAL</t>
        </is>
      </c>
      <c r="F724" s="189" t="n">
        <v>2</v>
      </c>
      <c r="G724" s="189" t="n">
        <v>3</v>
      </c>
      <c r="H724" s="189" t="inlineStr">
        <is>
          <t>HIGH</t>
        </is>
      </c>
      <c r="I724" s="189" t="n">
        <v>15.8</v>
      </c>
      <c r="J724" s="189" t="inlineStr">
        <is>
          <t>NO</t>
        </is>
      </c>
      <c r="K724" s="189" t="inlineStr">
        <is>
          <t>https://nvd.nist.gov/vuln/detail/CVE-2026-25952</t>
        </is>
      </c>
      <c r="L724" s="189" t="inlineStr">
        <is>
          <t>2026-02-27 20:47</t>
        </is>
      </c>
      <c r="M724" s="189" t="inlineStr">
        <is>
          <t>YES</t>
        </is>
      </c>
      <c r="N724" s="189" t="inlineStr">
        <is>
          <t>https://github.com/FreeRDP/FreeRDP/blob/5c7aae27d0417b42b4806c2a5c583ca39dd9ef1e/client/X11/xf_rail.c#L1167 | https://github.com/FreeRDP/FreeRDP/blob/5c7aae27d0417b42b4806c2a5c583ca39dd9ef1e/client/X11/xf_rail.c#L1174 | https://github.com/FreeRDP/FreeRDP/blob/5c7aae27d0417b42b4806c2a5c583ca39dd9ef1e/client/X11/xf_rail.c#L1178</t>
        </is>
      </c>
      <c r="O724" s="189" t="inlineStr">
        <is>
          <t>https://github.com/FreeRDP/FreeRDP/security/advisories/GHSA-cgqm-cwjg-7w9x | https://github.com/FreeRDP/FreeRDP/security/advisories/GHSA-cgqm-cwjg-7w9x</t>
        </is>
      </c>
      <c r="P724" s="189" t="inlineStr">
        <is>
          <t>freerdp freerdp *</t>
        </is>
      </c>
      <c r="Q724" s="189" t="inlineStr">
        <is>
          <t>P3</t>
        </is>
      </c>
      <c r="R724" s="189" t="inlineStr">
        <is>
          <t>🚨 URGENT: Apply vendor patches immediately | 🔒 Isolate affected systems if patch unavailable | 🛡️ Enable additional monitoring/IDS rules</t>
        </is>
      </c>
      <c r="S724" s="189" t="inlineStr">
        <is>
          <t>CVE - IP enrichment n/a</t>
        </is>
      </c>
      <c r="T724" s="189" t="n">
        <v>0.0007</v>
      </c>
      <c r="U724" s="189" t="n">
        <v>0.2027</v>
      </c>
      <c r="V724" s="189" t="inlineStr">
        <is>
          <t>T1203:Exploitation for Client Execution</t>
        </is>
      </c>
      <c r="W724" s="189" t="n">
        <v>2</v>
      </c>
      <c r="X724" s="189" t="inlineStr">
        <is>
          <t>MEDIUM (52%)</t>
        </is>
      </c>
      <c r="Y724" s="189" t="inlineStr">
        <is>
          <t>UNLIKELY</t>
        </is>
      </c>
      <c r="Z724" s="189" t="inlineStr">
        <is>
          <t>PATCH_AVAILABLE</t>
        </is>
      </c>
      <c r="AA724" s="189" t="inlineStr">
        <is>
          <t>https://nvd.nist.gov/vuln/detail/CVE-2026-25952</t>
        </is>
      </c>
      <c r="AB724" s="189" t="inlineStr">
        <is>
          <t>NONE</t>
        </is>
      </c>
      <c r="AC724" s="189" t="n">
        <v>0</v>
      </c>
      <c r="AD724" s="189" t="inlineStr"/>
    </row>
    <row r="725">
      <c r="A725" s="189" t="inlineStr">
        <is>
          <t>CVE</t>
        </is>
      </c>
      <c r="B725" s="189" t="inlineStr">
        <is>
          <t>CVE-2026-25953</t>
        </is>
      </c>
      <c r="C725" s="189"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725" s="189" t="n">
        <v>9.800000000000001</v>
      </c>
      <c r="E725" s="189" t="inlineStr">
        <is>
          <t>CRITICAL</t>
        </is>
      </c>
      <c r="F725" s="189" t="n">
        <v>2</v>
      </c>
      <c r="G725" s="189" t="n">
        <v>3</v>
      </c>
      <c r="H725" s="189" t="inlineStr">
        <is>
          <t>HIGH</t>
        </is>
      </c>
      <c r="I725" s="189" t="n">
        <v>15.8</v>
      </c>
      <c r="J725" s="189" t="inlineStr">
        <is>
          <t>NO</t>
        </is>
      </c>
      <c r="K725" s="189" t="inlineStr">
        <is>
          <t>https://nvd.nist.gov/vuln/detail/CVE-2026-25953</t>
        </is>
      </c>
      <c r="L725" s="189" t="inlineStr">
        <is>
          <t>2026-02-27 20:47</t>
        </is>
      </c>
      <c r="M725" s="189" t="inlineStr">
        <is>
          <t>YES</t>
        </is>
      </c>
      <c r="N725" s="189" t="inlineStr">
        <is>
          <t>https://github.com/FreeRDP/FreeRDP/blob/5c7aae27d0417b42b4806c2a5c583ca39dd9ef1e/client/X11/xf_rail.c#L1230-L1237 | https://github.com/FreeRDP/FreeRDP/blob/5c7aae27d0417b42b4806c2a5c583ca39dd9ef1e/client/X11/xf_rail.c#L257-L290 | https://github.com/FreeRDP/FreeRDP/blob/5c7aae27d0417b42b4806c2a5c583ca39dd9ef1e/client/X11/xf_rail.c#L643-L647</t>
        </is>
      </c>
      <c r="O725" s="189" t="inlineStr">
        <is>
          <t>https://github.com/FreeRDP/FreeRDP/security/advisories/GHSA-p6rq-rxpc-rh3p | https://github.com/FreeRDP/FreeRDP/security/advisories/GHSA-p6rq-rxpc-rh3p</t>
        </is>
      </c>
      <c r="P725" s="189" t="inlineStr">
        <is>
          <t>freerdp freerdp *</t>
        </is>
      </c>
      <c r="Q725" s="189" t="inlineStr">
        <is>
          <t>P3</t>
        </is>
      </c>
      <c r="R725" s="189" t="inlineStr">
        <is>
          <t>🚨 URGENT: Apply vendor patches immediately | 🔒 Isolate affected systems if patch unavailable | 🛡️ Enable additional monitoring/IDS rules</t>
        </is>
      </c>
      <c r="S725" s="189" t="inlineStr">
        <is>
          <t>CVE - IP enrichment n/a</t>
        </is>
      </c>
      <c r="T725" s="189" t="n">
        <v>0.0007</v>
      </c>
      <c r="U725" s="189" t="n">
        <v>0.2027</v>
      </c>
      <c r="V725" s="189" t="inlineStr">
        <is>
          <t>T1203:Exploitation for Client Execution</t>
        </is>
      </c>
      <c r="W725" s="189" t="n">
        <v>2</v>
      </c>
      <c r="X725" s="189" t="inlineStr">
        <is>
          <t>MEDIUM (52%)</t>
        </is>
      </c>
      <c r="Y725" s="189" t="inlineStr">
        <is>
          <t>UNLIKELY</t>
        </is>
      </c>
      <c r="Z725" s="189" t="inlineStr">
        <is>
          <t>PATCH_AVAILABLE</t>
        </is>
      </c>
      <c r="AA725" s="189" t="inlineStr">
        <is>
          <t>https://nvd.nist.gov/vuln/detail/CVE-2026-25953</t>
        </is>
      </c>
      <c r="AB725" s="189" t="inlineStr">
        <is>
          <t>NONE</t>
        </is>
      </c>
      <c r="AC725" s="189" t="n">
        <v>0</v>
      </c>
      <c r="AD725" s="189" t="inlineStr"/>
    </row>
    <row r="726">
      <c r="A726" s="187" t="inlineStr">
        <is>
          <t>CVE</t>
        </is>
      </c>
      <c r="B726" s="187" t="inlineStr">
        <is>
          <t>CVE-2026-25954</t>
        </is>
      </c>
      <c r="C726" s="187"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726" s="187" t="n">
        <v>7.5</v>
      </c>
      <c r="E726" s="187" t="inlineStr">
        <is>
          <t>HIGH</t>
        </is>
      </c>
      <c r="F726" s="187" t="n">
        <v>2</v>
      </c>
      <c r="G726" s="187" t="n">
        <v>3</v>
      </c>
      <c r="H726" s="187" t="inlineStr">
        <is>
          <t>HIGH</t>
        </is>
      </c>
      <c r="I726" s="187" t="n">
        <v>13.5</v>
      </c>
      <c r="J726" s="187" t="inlineStr">
        <is>
          <t>NO</t>
        </is>
      </c>
      <c r="K726" s="187" t="inlineStr">
        <is>
          <t>https://nvd.nist.gov/vuln/detail/CVE-2026-25954</t>
        </is>
      </c>
      <c r="L726" s="187" t="inlineStr">
        <is>
          <t>2026-02-27 20:47</t>
        </is>
      </c>
      <c r="M726" s="187" t="inlineStr">
        <is>
          <t>YES</t>
        </is>
      </c>
      <c r="N726" s="187" t="inlineStr">
        <is>
          <t>https://github.com/FreeRDP/FreeRDP/blob/5c7aae27d0417b42b4806c2a5c583ca39dd9ef1e/client/X11/xf_rail.c#L1076 | https://github.com/FreeRDP/FreeRDP/blob/5c7aae27d0417b42b4806c2a5c583ca39dd9ef1e/client/X11/xf_rail.c#L1133 | https://github.com/FreeRDP/FreeRDP/blob/5c7aae27d0417b42b4806c2a5c583ca39dd9ef1e/client/X11/xf_rail.c#L1230-L1238</t>
        </is>
      </c>
      <c r="O726" s="187" t="inlineStr">
        <is>
          <t>https://github.com/FreeRDP/FreeRDP/security/advisories/GHSA-cc88-4j37-mw6j | https://github.com/FreeRDP/FreeRDP/security/advisories/GHSA-cc88-4j37-mw6j</t>
        </is>
      </c>
      <c r="P726" s="187" t="inlineStr">
        <is>
          <t>freerdp freerdp *</t>
        </is>
      </c>
      <c r="Q726" s="187" t="inlineStr">
        <is>
          <t>P3</t>
        </is>
      </c>
      <c r="R726" s="187" t="inlineStr">
        <is>
          <t>🚨 URGENT: Apply vendor patches immediately | 🔒 Isolate affected systems if patch unavailable | 🛡️ Enable additional monitoring/IDS rules</t>
        </is>
      </c>
      <c r="S726" s="187" t="inlineStr">
        <is>
          <t>CVE - IP enrichment n/a</t>
        </is>
      </c>
      <c r="T726" s="187" t="n">
        <v>0.0005</v>
      </c>
      <c r="U726" s="187" t="n">
        <v>0.1521</v>
      </c>
      <c r="V726" s="187" t="inlineStr">
        <is>
          <t>T1203:Exploitation for Client Execution</t>
        </is>
      </c>
      <c r="W726" s="187" t="n">
        <v>2</v>
      </c>
      <c r="X726" s="187" t="inlineStr">
        <is>
          <t>MEDIUM (52%)</t>
        </is>
      </c>
      <c r="Y726" s="187" t="inlineStr">
        <is>
          <t>UNLIKELY</t>
        </is>
      </c>
      <c r="Z726" s="187" t="inlineStr">
        <is>
          <t>PATCH_AVAILABLE</t>
        </is>
      </c>
      <c r="AA726" s="187" t="inlineStr">
        <is>
          <t>https://nvd.nist.gov/vuln/detail/CVE-2026-25954</t>
        </is>
      </c>
      <c r="AB726" s="187" t="inlineStr">
        <is>
          <t>NONE</t>
        </is>
      </c>
      <c r="AC726" s="187" t="n">
        <v>0</v>
      </c>
      <c r="AD726" s="187" t="inlineStr"/>
    </row>
    <row r="727">
      <c r="A727" s="189" t="inlineStr">
        <is>
          <t>CVE</t>
        </is>
      </c>
      <c r="B727" s="189" t="inlineStr">
        <is>
          <t>CVE-2026-25955</t>
        </is>
      </c>
      <c r="C727" s="189"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727" s="189" t="n">
        <v>9.800000000000001</v>
      </c>
      <c r="E727" s="189" t="inlineStr">
        <is>
          <t>CRITICAL</t>
        </is>
      </c>
      <c r="F727" s="189" t="n">
        <v>2</v>
      </c>
      <c r="G727" s="189" t="n">
        <v>3</v>
      </c>
      <c r="H727" s="189" t="inlineStr">
        <is>
          <t>HIGH</t>
        </is>
      </c>
      <c r="I727" s="189" t="n">
        <v>15.8</v>
      </c>
      <c r="J727" s="189" t="inlineStr">
        <is>
          <t>NO</t>
        </is>
      </c>
      <c r="K727" s="189" t="inlineStr">
        <is>
          <t>https://nvd.nist.gov/vuln/detail/CVE-2026-25955</t>
        </is>
      </c>
      <c r="L727" s="189" t="inlineStr">
        <is>
          <t>2026-02-27 20:47</t>
        </is>
      </c>
      <c r="M727" s="189" t="inlineStr">
        <is>
          <t>YES</t>
        </is>
      </c>
      <c r="N727" s="189" t="inlineStr">
        <is>
          <t>https://github.com/FreeRDP/FreeRDP/blob/5c7aae27d0417b42b4806c2a5c583ca39dd9ef1e/client/X11/xf_window.c#L1484-L1492 | https://github.com/FreeRDP/FreeRDP/blob/5c7aae27d0417b42b4806c2a5c583ca39dd9ef1e/client/X11/xf_window.c#L1494-L1500 | https://github.com/FreeRDP/FreeRDP/blob/5c7aae27d0417b42b4806c2a5c583ca39dd9ef1e/client/X11/xf_window.c#L1528</t>
        </is>
      </c>
      <c r="O727" s="189" t="inlineStr">
        <is>
          <t>https://github.com/FreeRDP/FreeRDP/security/advisories/GHSA-4g54-x8v7-559x | https://github.com/FreeRDP/FreeRDP/security/advisories/GHSA-4g54-x8v7-559x</t>
        </is>
      </c>
      <c r="P727" s="189" t="inlineStr">
        <is>
          <t>freerdp freerdp *</t>
        </is>
      </c>
      <c r="Q727" s="189" t="inlineStr">
        <is>
          <t>P3</t>
        </is>
      </c>
      <c r="R727" s="189" t="inlineStr">
        <is>
          <t>🚨 URGENT: Apply vendor patches immediately | 🔒 Isolate affected systems if patch unavailable | 🛡️ Enable additional monitoring/IDS rules</t>
        </is>
      </c>
      <c r="S727" s="189" t="inlineStr">
        <is>
          <t>CVE - IP enrichment n/a</t>
        </is>
      </c>
      <c r="T727" s="189" t="n">
        <v>0.0005</v>
      </c>
      <c r="U727" s="189" t="n">
        <v>0.1559</v>
      </c>
      <c r="V727" s="189" t="inlineStr">
        <is>
          <t>T1203:Exploitation for Client Execution</t>
        </is>
      </c>
      <c r="W727" s="189" t="n">
        <v>2</v>
      </c>
      <c r="X727" s="189" t="inlineStr">
        <is>
          <t>MEDIUM (52%)</t>
        </is>
      </c>
      <c r="Y727" s="189" t="inlineStr">
        <is>
          <t>UNLIKELY</t>
        </is>
      </c>
      <c r="Z727" s="189" t="inlineStr">
        <is>
          <t>PATCH_AVAILABLE</t>
        </is>
      </c>
      <c r="AA727" s="189" t="inlineStr">
        <is>
          <t>https://nvd.nist.gov/vuln/detail/CVE-2026-25955</t>
        </is>
      </c>
      <c r="AB727" s="189" t="inlineStr">
        <is>
          <t>NONE</t>
        </is>
      </c>
      <c r="AC727" s="189" t="n">
        <v>0</v>
      </c>
      <c r="AD727" s="189" t="inlineStr"/>
    </row>
    <row r="728">
      <c r="A728" s="189" t="inlineStr">
        <is>
          <t>CVE</t>
        </is>
      </c>
      <c r="B728" s="189" t="inlineStr">
        <is>
          <t>CVE-2026-25959</t>
        </is>
      </c>
      <c r="C728" s="189"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728" s="189" t="n">
        <v>9.800000000000001</v>
      </c>
      <c r="E728" s="189" t="inlineStr">
        <is>
          <t>CRITICAL</t>
        </is>
      </c>
      <c r="F728" s="189" t="n">
        <v>2</v>
      </c>
      <c r="G728" s="189" t="n">
        <v>3</v>
      </c>
      <c r="H728" s="189" t="inlineStr">
        <is>
          <t>HIGH</t>
        </is>
      </c>
      <c r="I728" s="189" t="n">
        <v>15.8</v>
      </c>
      <c r="J728" s="189" t="inlineStr">
        <is>
          <t>NO</t>
        </is>
      </c>
      <c r="K728" s="189" t="inlineStr">
        <is>
          <t>https://nvd.nist.gov/vuln/detail/CVE-2026-25959</t>
        </is>
      </c>
      <c r="L728" s="189" t="inlineStr">
        <is>
          <t>2026-02-27 20:47</t>
        </is>
      </c>
      <c r="M728" s="189" t="inlineStr">
        <is>
          <t>YES</t>
        </is>
      </c>
      <c r="N728" s="189" t="inlineStr">
        <is>
          <t>https://github.com/FreeRDP/FreeRDP/blob/5c7aae27d0417b42b4806c2a5c583ca39dd9ef1e/client/X11/xf_cliprdr.c#L1229-L1243 | https://github.com/FreeRDP/FreeRDP/blob/5c7aae27d0417b42b4806c2a5c583ca39dd9ef1e/client/X11/xf_cliprdr.c#L1337-L1344 | https://github.com/FreeRDP/FreeRDP/blob/5c7aae27d0417b42b4806c2a5c583ca39dd9ef1e/client/X11/xf_cliprdr.c#L200-L208</t>
        </is>
      </c>
      <c r="O728" s="189" t="inlineStr">
        <is>
          <t>Apply vendor patches</t>
        </is>
      </c>
      <c r="P728" s="189" t="inlineStr">
        <is>
          <t>freerdp freerdp *</t>
        </is>
      </c>
      <c r="Q728" s="189" t="inlineStr">
        <is>
          <t>P3</t>
        </is>
      </c>
      <c r="R728" s="189" t="inlineStr">
        <is>
          <t>🚨 URGENT: Apply vendor patches immediately | 🔒 Isolate affected systems if patch unavailable | 🛡️ Enable additional monitoring/IDS rules</t>
        </is>
      </c>
      <c r="S728" s="189" t="inlineStr">
        <is>
          <t>CVE - IP enrichment n/a</t>
        </is>
      </c>
      <c r="T728" s="189" t="n">
        <v>0.0007</v>
      </c>
      <c r="U728" s="189" t="n">
        <v>0.2027</v>
      </c>
      <c r="V728" s="189" t="inlineStr">
        <is>
          <t>T1203:Exploitation for Client Execution</t>
        </is>
      </c>
      <c r="W728" s="189" t="n">
        <v>2</v>
      </c>
      <c r="X728" s="189" t="inlineStr">
        <is>
          <t>MEDIUM (52%)</t>
        </is>
      </c>
      <c r="Y728" s="189" t="inlineStr">
        <is>
          <t>UNLIKELY</t>
        </is>
      </c>
      <c r="Z728" s="189" t="inlineStr">
        <is>
          <t>PATCH_AVAILABLE</t>
        </is>
      </c>
      <c r="AA728" s="189" t="inlineStr">
        <is>
          <t>https://nvd.nist.gov/vuln/detail/CVE-2026-25959</t>
        </is>
      </c>
      <c r="AB728" s="189" t="inlineStr">
        <is>
          <t>NONE</t>
        </is>
      </c>
      <c r="AC728" s="189" t="n">
        <v>0</v>
      </c>
      <c r="AD728" s="189" t="inlineStr"/>
    </row>
    <row r="729">
      <c r="A729" s="189" t="inlineStr">
        <is>
          <t>CVE</t>
        </is>
      </c>
      <c r="B729" s="189" t="inlineStr">
        <is>
          <t>CVE-2026-25997</t>
        </is>
      </c>
      <c r="C729" s="189"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729" s="189" t="n">
        <v>9.800000000000001</v>
      </c>
      <c r="E729" s="189" t="inlineStr">
        <is>
          <t>CRITICAL</t>
        </is>
      </c>
      <c r="F729" s="189" t="n">
        <v>2</v>
      </c>
      <c r="G729" s="189" t="n">
        <v>3</v>
      </c>
      <c r="H729" s="189" t="inlineStr">
        <is>
          <t>HIGH</t>
        </is>
      </c>
      <c r="I729" s="189" t="n">
        <v>15.8</v>
      </c>
      <c r="J729" s="189" t="inlineStr">
        <is>
          <t>NO</t>
        </is>
      </c>
      <c r="K729" s="189" t="inlineStr">
        <is>
          <t>https://nvd.nist.gov/vuln/detail/CVE-2026-25997</t>
        </is>
      </c>
      <c r="L729" s="189" t="inlineStr">
        <is>
          <t>2026-02-27 20:47</t>
        </is>
      </c>
      <c r="M729" s="189" t="inlineStr">
        <is>
          <t>YES</t>
        </is>
      </c>
      <c r="N729" s="189" t="inlineStr">
        <is>
          <t>https://github.com/FreeRDP/FreeRDP/blob/5c7aae27d0417b42b4806c2a5c583ca39dd9ef1e/client/X11/xf_cliprdr.c#L1884 | https://github.com/FreeRDP/FreeRDP/blob/5c7aae27d0417b42b4806c2a5c583ca39dd9ef1e/client/X11/xf_cliprdr.c#L1889 | https://github.com/FreeRDP/FreeRDP/blob/5c7aae27d0417b42b4806c2a5c583ca39dd9ef1e/client/X11/xf_cliprdr.c#L265</t>
        </is>
      </c>
      <c r="O729" s="189" t="inlineStr">
        <is>
          <t>https://github.com/FreeRDP/FreeRDP/security/advisories/GHSA-q5j3-m6jf-3jq4 | https://github.com/FreeRDP/FreeRDP/security/advisories/GHSA-q5j3-m6jf-3jq4</t>
        </is>
      </c>
      <c r="P729" s="189" t="inlineStr">
        <is>
          <t>freerdp freerdp *</t>
        </is>
      </c>
      <c r="Q729" s="189" t="inlineStr">
        <is>
          <t>P3</t>
        </is>
      </c>
      <c r="R729" s="189" t="inlineStr">
        <is>
          <t>🚨 URGENT: Apply vendor patches immediately | 🔒 Isolate affected systems if patch unavailable | 🛡️ Enable additional monitoring/IDS rules</t>
        </is>
      </c>
      <c r="S729" s="189" t="inlineStr">
        <is>
          <t>CVE - IP enrichment n/a</t>
        </is>
      </c>
      <c r="T729" s="189" t="n">
        <v>0.0007</v>
      </c>
      <c r="U729" s="189" t="n">
        <v>0.2027</v>
      </c>
      <c r="V729" s="189" t="inlineStr">
        <is>
          <t>T1203:Exploitation for Client Execution</t>
        </is>
      </c>
      <c r="W729" s="189" t="n">
        <v>2</v>
      </c>
      <c r="X729" s="189" t="inlineStr">
        <is>
          <t>MEDIUM (52%)</t>
        </is>
      </c>
      <c r="Y729" s="189" t="inlineStr">
        <is>
          <t>UNLIKELY</t>
        </is>
      </c>
      <c r="Z729" s="189" t="inlineStr">
        <is>
          <t>PATCH_AVAILABLE</t>
        </is>
      </c>
      <c r="AA729" s="189" t="inlineStr">
        <is>
          <t>https://nvd.nist.gov/vuln/detail/CVE-2026-25997</t>
        </is>
      </c>
      <c r="AB729" s="189" t="inlineStr">
        <is>
          <t>NONE</t>
        </is>
      </c>
      <c r="AC729" s="189" t="n">
        <v>0</v>
      </c>
      <c r="AD729" s="189" t="inlineStr"/>
    </row>
    <row r="730">
      <c r="A730" s="188" t="inlineStr">
        <is>
          <t>CVE</t>
        </is>
      </c>
      <c r="B730" s="188" t="inlineStr">
        <is>
          <t>CVE-2026-26271</t>
        </is>
      </c>
      <c r="C730" s="188"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730" s="188" t="n">
        <v>5.3</v>
      </c>
      <c r="E730" s="188" t="inlineStr">
        <is>
          <t>MEDIUM</t>
        </is>
      </c>
      <c r="F730" s="188" t="n">
        <v>2</v>
      </c>
      <c r="G730" s="188" t="n">
        <v>2</v>
      </c>
      <c r="H730" s="188" t="inlineStr">
        <is>
          <t>MEDIUM</t>
        </is>
      </c>
      <c r="I730" s="188" t="n">
        <v>9.300000000000001</v>
      </c>
      <c r="J730" s="188" t="inlineStr">
        <is>
          <t>NO</t>
        </is>
      </c>
      <c r="K730" s="188" t="inlineStr">
        <is>
          <t>https://nvd.nist.gov/vuln/detail/CVE-2026-26271</t>
        </is>
      </c>
      <c r="L730" s="188" t="inlineStr">
        <is>
          <t>2026-02-27 20:47</t>
        </is>
      </c>
      <c r="M730" s="188" t="inlineStr">
        <is>
          <t>YES</t>
        </is>
      </c>
      <c r="N730" s="188" t="inlineStr">
        <is>
          <t>https://github.com/FreeRDP/FreeRDP/commit/f5e20403d6e325e11b68129803f967fb5aeec1cb | https://github.com/FreeRDP/FreeRDP/security/advisories/GHSA-hr4m-ph4g-48j6</t>
        </is>
      </c>
      <c r="O730" s="188" t="inlineStr">
        <is>
          <t>Apply vendor patches</t>
        </is>
      </c>
      <c r="P730" s="188" t="inlineStr">
        <is>
          <t>freerdp freerdp *</t>
        </is>
      </c>
      <c r="Q730" s="188" t="inlineStr">
        <is>
          <t>P3</t>
        </is>
      </c>
      <c r="R730" s="188" t="inlineStr">
        <is>
          <t>📅 Schedule patch deployment within 30 days | 🔍 Monitor for exploitation attempts</t>
        </is>
      </c>
      <c r="S730" s="188" t="inlineStr">
        <is>
          <t>CVE - IP enrichment n/a</t>
        </is>
      </c>
      <c r="T730" s="188" t="n">
        <v>0.0004</v>
      </c>
      <c r="U730" s="188" t="n">
        <v>0.1273</v>
      </c>
      <c r="V730" s="188" t="inlineStr">
        <is>
          <t>T1557:Adversary-in-the-Middle</t>
        </is>
      </c>
      <c r="W730" s="188" t="n">
        <v>2</v>
      </c>
      <c r="X730" s="188" t="inlineStr">
        <is>
          <t>MEDIUM (52%)</t>
        </is>
      </c>
      <c r="Y730" s="188" t="inlineStr">
        <is>
          <t>UNLIKELY</t>
        </is>
      </c>
      <c r="Z730" s="188" t="inlineStr">
        <is>
          <t>PATCH_AVAILABLE</t>
        </is>
      </c>
      <c r="AA730" s="188" t="inlineStr">
        <is>
          <t>https://nvd.nist.gov/vuln/detail/CVE-2026-26271</t>
        </is>
      </c>
      <c r="AB730" s="188" t="inlineStr">
        <is>
          <t>NONE</t>
        </is>
      </c>
      <c r="AC730" s="188" t="n">
        <v>0</v>
      </c>
      <c r="AD730" s="188" t="inlineStr"/>
    </row>
    <row r="731">
      <c r="A731" s="187" t="inlineStr">
        <is>
          <t>CVE</t>
        </is>
      </c>
      <c r="B731" s="187" t="inlineStr">
        <is>
          <t>CVE-2026-26955</t>
        </is>
      </c>
      <c r="C731" s="187"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731" s="187" t="n">
        <v>8.800000000000001</v>
      </c>
      <c r="E731" s="187" t="inlineStr">
        <is>
          <t>HIGH</t>
        </is>
      </c>
      <c r="F731" s="187" t="n">
        <v>2</v>
      </c>
      <c r="G731" s="187" t="n">
        <v>3</v>
      </c>
      <c r="H731" s="187" t="inlineStr">
        <is>
          <t>HIGH</t>
        </is>
      </c>
      <c r="I731" s="187" t="n">
        <v>14.8</v>
      </c>
      <c r="J731" s="187" t="inlineStr">
        <is>
          <t>NO</t>
        </is>
      </c>
      <c r="K731" s="187" t="inlineStr">
        <is>
          <t>https://nvd.nist.gov/vuln/detail/CVE-2026-26955</t>
        </is>
      </c>
      <c r="L731" s="187" t="inlineStr">
        <is>
          <t>2026-02-27 20:47</t>
        </is>
      </c>
      <c r="M731" s="187" t="inlineStr">
        <is>
          <t>YES</t>
        </is>
      </c>
      <c r="N731" s="187" t="inlineStr">
        <is>
          <t>https://github.com/FreeRDP/FreeRDP/commit/7d8fdce2d0ef337cb86cb37fc0c436c905e04d77 | https://github.com/FreeRDP/FreeRDP/security/advisories/GHSA-mr6w-ch7c-mqqj</t>
        </is>
      </c>
      <c r="O731" s="187" t="inlineStr">
        <is>
          <t>https://github.com/FreeRDP/FreeRDP/security/advisories/GHSA-mr6w-ch7c-mqqj</t>
        </is>
      </c>
      <c r="P731" s="187" t="inlineStr">
        <is>
          <t>freerdp freerdp *</t>
        </is>
      </c>
      <c r="Q731" s="187" t="inlineStr">
        <is>
          <t>P3</t>
        </is>
      </c>
      <c r="R731" s="187" t="inlineStr">
        <is>
          <t>🚨 URGENT: Apply vendor patches immediately | 🔒 Isolate affected systems if patch unavailable | 🛡️ Enable additional monitoring/IDS rules</t>
        </is>
      </c>
      <c r="S731" s="187" t="inlineStr">
        <is>
          <t>CVE - IP enrichment n/a</t>
        </is>
      </c>
      <c r="T731" s="187" t="n">
        <v>0.0004</v>
      </c>
      <c r="U731" s="187" t="n">
        <v>0.1163</v>
      </c>
      <c r="V731" s="187" t="inlineStr">
        <is>
          <t>T1203:Exploitation for Client Execution | T1190:Exploit Public-Facing Application</t>
        </is>
      </c>
      <c r="W731" s="187" t="n">
        <v>1</v>
      </c>
      <c r="X731" s="187" t="inlineStr">
        <is>
          <t>LOW (40%)</t>
        </is>
      </c>
      <c r="Y731" s="187" t="inlineStr">
        <is>
          <t>UNLIKELY</t>
        </is>
      </c>
      <c r="Z731" s="187" t="inlineStr">
        <is>
          <t>PATCH_AVAILABLE</t>
        </is>
      </c>
      <c r="AA731" s="187" t="inlineStr">
        <is>
          <t>https://nvd.nist.gov/vuln/detail/CVE-2026-26955</t>
        </is>
      </c>
      <c r="AB731" s="187" t="inlineStr">
        <is>
          <t>NONE</t>
        </is>
      </c>
      <c r="AC731" s="187" t="n">
        <v>0</v>
      </c>
      <c r="AD731" s="187" t="inlineStr"/>
    </row>
    <row r="732">
      <c r="A732" s="187" t="inlineStr">
        <is>
          <t>CVE</t>
        </is>
      </c>
      <c r="B732" s="187" t="inlineStr">
        <is>
          <t>CVE-2026-26965</t>
        </is>
      </c>
      <c r="C732" s="187"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732" s="187" t="n">
        <v>8.800000000000001</v>
      </c>
      <c r="E732" s="187" t="inlineStr">
        <is>
          <t>HIGH</t>
        </is>
      </c>
      <c r="F732" s="187" t="n">
        <v>2</v>
      </c>
      <c r="G732" s="187" t="n">
        <v>3</v>
      </c>
      <c r="H732" s="187" t="inlineStr">
        <is>
          <t>HIGH</t>
        </is>
      </c>
      <c r="I732" s="187" t="n">
        <v>14.8</v>
      </c>
      <c r="J732" s="187" t="inlineStr">
        <is>
          <t>NO</t>
        </is>
      </c>
      <c r="K732" s="187" t="inlineStr">
        <is>
          <t>https://nvd.nist.gov/vuln/detail/CVE-2026-26965</t>
        </is>
      </c>
      <c r="L732" s="187" t="inlineStr">
        <is>
          <t>2026-02-27 20:47</t>
        </is>
      </c>
      <c r="M732" s="187" t="inlineStr">
        <is>
          <t>YES</t>
        </is>
      </c>
      <c r="N732" s="187" t="inlineStr">
        <is>
          <t>https://github.com/FreeRDP/FreeRDP/commit/a0be5cb87d760bb1c803ad1bb835aa1e73e62abc | https://github.com/FreeRDP/FreeRDP/security/advisories/GHSA-5vgf-mw4f-r33h</t>
        </is>
      </c>
      <c r="O732" s="187" t="inlineStr">
        <is>
          <t>https://github.com/FreeRDP/FreeRDP/security/advisories/GHSA-5vgf-mw4f-r33h</t>
        </is>
      </c>
      <c r="P732" s="187" t="inlineStr">
        <is>
          <t>freerdp freerdp *</t>
        </is>
      </c>
      <c r="Q732" s="187" t="inlineStr">
        <is>
          <t>P3</t>
        </is>
      </c>
      <c r="R732" s="187" t="inlineStr">
        <is>
          <t>🚨 URGENT: Apply vendor patches immediately | 🔒 Isolate affected systems if patch unavailable | 🛡️ Enable additional monitoring/IDS rules</t>
        </is>
      </c>
      <c r="S732" s="187" t="inlineStr">
        <is>
          <t>CVE - IP enrichment n/a</t>
        </is>
      </c>
      <c r="T732" s="187" t="n">
        <v>0.0004</v>
      </c>
      <c r="U732" s="187" t="n">
        <v>0.1163</v>
      </c>
      <c r="V732" s="187" t="inlineStr">
        <is>
          <t>T1203:Exploitation for Client Execution</t>
        </is>
      </c>
      <c r="W732" s="187" t="n">
        <v>1</v>
      </c>
      <c r="X732" s="187" t="inlineStr">
        <is>
          <t>LOW (40%)</t>
        </is>
      </c>
      <c r="Y732" s="187" t="inlineStr">
        <is>
          <t>UNLIKELY</t>
        </is>
      </c>
      <c r="Z732" s="187" t="inlineStr">
        <is>
          <t>PATCH_AVAILABLE</t>
        </is>
      </c>
      <c r="AA732" s="187" t="inlineStr">
        <is>
          <t>https://nvd.nist.gov/vuln/detail/CVE-2026-26965</t>
        </is>
      </c>
      <c r="AB732" s="187" t="inlineStr">
        <is>
          <t>NONE</t>
        </is>
      </c>
      <c r="AC732" s="187" t="n">
        <v>0</v>
      </c>
      <c r="AD732" s="187" t="inlineStr"/>
    </row>
    <row r="733">
      <c r="A733" s="188" t="inlineStr">
        <is>
          <t>CVE</t>
        </is>
      </c>
      <c r="B733" s="188" t="inlineStr">
        <is>
          <t>CVE-2026-27015</t>
        </is>
      </c>
      <c r="C733" s="188"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733" s="188" t="n">
        <v>6.5</v>
      </c>
      <c r="E733" s="188" t="inlineStr">
        <is>
          <t>MEDIUM</t>
        </is>
      </c>
      <c r="F733" s="188" t="n">
        <v>2</v>
      </c>
      <c r="G733" s="188" t="n">
        <v>2</v>
      </c>
      <c r="H733" s="188" t="inlineStr">
        <is>
          <t>MEDIUM</t>
        </is>
      </c>
      <c r="I733" s="188" t="n">
        <v>10.5</v>
      </c>
      <c r="J733" s="188" t="inlineStr">
        <is>
          <t>NO</t>
        </is>
      </c>
      <c r="K733" s="188" t="inlineStr">
        <is>
          <t>https://nvd.nist.gov/vuln/detail/CVE-2026-27015</t>
        </is>
      </c>
      <c r="L733" s="188" t="inlineStr">
        <is>
          <t>2026-02-27 20:47</t>
        </is>
      </c>
      <c r="M733" s="188" t="inlineStr">
        <is>
          <t>YES</t>
        </is>
      </c>
      <c r="N733" s="188" t="inlineStr">
        <is>
          <t>https://github.com/FreeRDP/FreeRDP/commit/65d59d3b3c2f630f2ea862687ecf5f95f8115244 | https://github.com/FreeRDP/FreeRDP/security/advisories/GHSA-7g72-39pq-4725 | https://github.com/FreeRDP/FreeRDP/security/advisories/GHSA-7g72-39pq-4725</t>
        </is>
      </c>
      <c r="O733" s="188" t="inlineStr">
        <is>
          <t>https://github.com/FreeRDP/FreeRDP/security/advisories/GHSA-7g72-39pq-4725 | https://github.com/FreeRDP/FreeRDP/security/advisories/GHSA-7g72-39pq-4725</t>
        </is>
      </c>
      <c r="P733" s="188" t="inlineStr">
        <is>
          <t>freerdp freerdp *</t>
        </is>
      </c>
      <c r="Q733" s="188" t="inlineStr">
        <is>
          <t>P3</t>
        </is>
      </c>
      <c r="R733" s="188" t="inlineStr">
        <is>
          <t>📅 Schedule patch deployment within 30 days | 🔍 Monitor for exploitation attempts</t>
        </is>
      </c>
      <c r="S733" s="188" t="inlineStr">
        <is>
          <t>CVE - IP enrichment n/a</t>
        </is>
      </c>
      <c r="T733" s="188" t="n">
        <v>0.0004</v>
      </c>
      <c r="U733" s="188" t="n">
        <v>0.1273</v>
      </c>
      <c r="V733" s="188" t="inlineStr">
        <is>
          <t>T1190:Exploit Public-Facing Application</t>
        </is>
      </c>
      <c r="W733" s="188" t="n">
        <v>2</v>
      </c>
      <c r="X733" s="188" t="inlineStr">
        <is>
          <t>MEDIUM (52%)</t>
        </is>
      </c>
      <c r="Y733" s="188" t="inlineStr">
        <is>
          <t>UNLIKELY</t>
        </is>
      </c>
      <c r="Z733" s="188" t="inlineStr">
        <is>
          <t>PATCH_AVAILABLE</t>
        </is>
      </c>
      <c r="AA733" s="188" t="inlineStr">
        <is>
          <t>https://nvd.nist.gov/vuln/detail/CVE-2026-27015</t>
        </is>
      </c>
      <c r="AB733" s="188" t="inlineStr">
        <is>
          <t>NONE</t>
        </is>
      </c>
      <c r="AC733" s="188" t="n">
        <v>0</v>
      </c>
      <c r="AD733" s="188" t="inlineStr"/>
    </row>
    <row r="734">
      <c r="A734" s="188" t="inlineStr">
        <is>
          <t>CVE</t>
        </is>
      </c>
      <c r="B734" s="188" t="inlineStr">
        <is>
          <t>CVE-2026-2845</t>
        </is>
      </c>
      <c r="C734" s="188"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734" s="188" t="n">
        <v>6.5</v>
      </c>
      <c r="E734" s="188" t="inlineStr">
        <is>
          <t>MEDIUM</t>
        </is>
      </c>
      <c r="F734" s="188" t="n">
        <v>2</v>
      </c>
      <c r="G734" s="188" t="n">
        <v>2</v>
      </c>
      <c r="H734" s="188" t="inlineStr">
        <is>
          <t>MEDIUM</t>
        </is>
      </c>
      <c r="I734" s="188" t="n">
        <v>10.5</v>
      </c>
      <c r="J734" s="188" t="inlineStr">
        <is>
          <t>NO</t>
        </is>
      </c>
      <c r="K734" s="188" t="inlineStr">
        <is>
          <t>https://nvd.nist.gov/vuln/detail/CVE-2026-2845</t>
        </is>
      </c>
      <c r="L734" s="188" t="inlineStr">
        <is>
          <t>2026-02-27 20:47</t>
        </is>
      </c>
      <c r="M734" s="188" t="inlineStr">
        <is>
          <t>CHECK_VENDOR</t>
        </is>
      </c>
      <c r="N734" s="188" t="inlineStr">
        <is>
          <t>See NVD references</t>
        </is>
      </c>
      <c r="O734" s="188" t="inlineStr">
        <is>
          <t>Apply vendor patches</t>
        </is>
      </c>
      <c r="P734" s="188" t="inlineStr">
        <is>
          <t>See CVE details</t>
        </is>
      </c>
      <c r="Q734" s="188" t="inlineStr">
        <is>
          <t>P4</t>
        </is>
      </c>
      <c r="R734" s="188" t="inlineStr">
        <is>
          <t>📅 Schedule patch deployment within 30 days | 🔍 Monitor for exploitation attempts</t>
        </is>
      </c>
      <c r="S734" s="188" t="inlineStr">
        <is>
          <t>CVE - IP enrichment n/a</t>
        </is>
      </c>
      <c r="T734" s="188" t="n">
        <v>0.0003</v>
      </c>
      <c r="U734" s="188" t="n">
        <v>0.08939999999999999</v>
      </c>
      <c r="V734" s="188" t="inlineStr">
        <is>
          <t>T1499:Endpoint Denial of Service</t>
        </is>
      </c>
      <c r="W734" s="188" t="n">
        <v>1</v>
      </c>
      <c r="X734" s="188" t="inlineStr">
        <is>
          <t>LOW (40%)</t>
        </is>
      </c>
      <c r="Y734" s="188" t="inlineStr">
        <is>
          <t>UNLIKELY</t>
        </is>
      </c>
      <c r="Z734" s="188" t="inlineStr">
        <is>
          <t>CHECK_VENDOR</t>
        </is>
      </c>
      <c r="AA734" s="188" t="inlineStr">
        <is>
          <t>https://nvd.nist.gov/vuln/detail/CVE-2026-2845</t>
        </is>
      </c>
      <c r="AB734" s="188" t="inlineStr">
        <is>
          <t>NONE</t>
        </is>
      </c>
      <c r="AC734" s="188" t="n">
        <v>0</v>
      </c>
      <c r="AD734" s="188" t="inlineStr"/>
    </row>
    <row r="735">
      <c r="A735" s="187" t="inlineStr">
        <is>
          <t>CVE</t>
        </is>
      </c>
      <c r="B735" s="187" t="inlineStr">
        <is>
          <t>CVE-2026-3172</t>
        </is>
      </c>
      <c r="C735" s="187" t="inlineStr">
        <is>
          <t>Buffer overflow in parallel HNSW index build in pgvector 0.6.0 through 0.8.1 allows a database user to leak sensitive data from other relations or crash the database server.</t>
        </is>
      </c>
      <c r="D735" s="187" t="n">
        <v>8.1</v>
      </c>
      <c r="E735" s="187" t="inlineStr">
        <is>
          <t>HIGH</t>
        </is>
      </c>
      <c r="F735" s="187" t="n">
        <v>2</v>
      </c>
      <c r="G735" s="187" t="n">
        <v>3</v>
      </c>
      <c r="H735" s="187" t="inlineStr">
        <is>
          <t>HIGH</t>
        </is>
      </c>
      <c r="I735" s="187" t="n">
        <v>14.1</v>
      </c>
      <c r="J735" s="187" t="inlineStr">
        <is>
          <t>NO</t>
        </is>
      </c>
      <c r="K735" s="187" t="inlineStr">
        <is>
          <t>https://nvd.nist.gov/vuln/detail/CVE-2026-3172</t>
        </is>
      </c>
      <c r="L735" s="187" t="inlineStr">
        <is>
          <t>2026-02-27 20:47</t>
        </is>
      </c>
      <c r="M735" s="187" t="inlineStr">
        <is>
          <t>CHECK_VENDOR</t>
        </is>
      </c>
      <c r="N735" s="187" t="inlineStr">
        <is>
          <t>See NVD references</t>
        </is>
      </c>
      <c r="O735" s="187" t="inlineStr">
        <is>
          <t>Apply vendor patches</t>
        </is>
      </c>
      <c r="P735" s="187" t="inlineStr">
        <is>
          <t>See CVE details</t>
        </is>
      </c>
      <c r="Q735" s="187" t="inlineStr">
        <is>
          <t>P3</t>
        </is>
      </c>
      <c r="R735" s="187" t="inlineStr">
        <is>
          <t>🚨 URGENT: Apply vendor patches immediately | 🔒 Isolate affected systems if patch unavailable | 🛡️ Enable additional monitoring/IDS rules</t>
        </is>
      </c>
      <c r="S735" s="187" t="inlineStr">
        <is>
          <t>CVE - IP enrichment n/a</t>
        </is>
      </c>
      <c r="T735" s="187" t="n">
        <v>0.0004</v>
      </c>
      <c r="U735" s="187" t="n">
        <v>0.1279</v>
      </c>
      <c r="V735" s="187" t="inlineStr">
        <is>
          <t>T1203:Exploitation for Client Execution</t>
        </is>
      </c>
      <c r="W735" s="187" t="n">
        <v>1</v>
      </c>
      <c r="X735" s="187" t="inlineStr">
        <is>
          <t>LOW (40%)</t>
        </is>
      </c>
      <c r="Y735" s="187" t="inlineStr">
        <is>
          <t>UNLIKELY</t>
        </is>
      </c>
      <c r="Z735" s="187" t="inlineStr">
        <is>
          <t>CHECK_VENDOR</t>
        </is>
      </c>
      <c r="AA735" s="187" t="inlineStr">
        <is>
          <t>https://nvd.nist.gov/vuln/detail/CVE-2026-3172</t>
        </is>
      </c>
      <c r="AB735" s="187" t="inlineStr">
        <is>
          <t>NONE</t>
        </is>
      </c>
      <c r="AC735" s="187" t="n">
        <v>0</v>
      </c>
      <c r="AD735" s="187" t="inlineStr"/>
    </row>
    <row r="736">
      <c r="A736" s="187" t="inlineStr">
        <is>
          <t>CVE</t>
        </is>
      </c>
      <c r="B736" s="187" t="inlineStr">
        <is>
          <t>CVE-2026-3200</t>
        </is>
      </c>
      <c r="C736" s="187"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736" s="187" t="n">
        <v>7.3</v>
      </c>
      <c r="E736" s="187" t="inlineStr">
        <is>
          <t>HIGH</t>
        </is>
      </c>
      <c r="F736" s="187" t="n">
        <v>2</v>
      </c>
      <c r="G736" s="187" t="n">
        <v>3</v>
      </c>
      <c r="H736" s="187" t="inlineStr">
        <is>
          <t>HIGH</t>
        </is>
      </c>
      <c r="I736" s="187" t="n">
        <v>13.3</v>
      </c>
      <c r="J736" s="187" t="inlineStr">
        <is>
          <t>NO</t>
        </is>
      </c>
      <c r="K736" s="187" t="inlineStr">
        <is>
          <t>https://nvd.nist.gov/vuln/detail/CVE-2026-3200</t>
        </is>
      </c>
      <c r="L736" s="187" t="inlineStr">
        <is>
          <t>2026-02-27 20:47</t>
        </is>
      </c>
      <c r="M736" s="187" t="inlineStr">
        <is>
          <t>CHECK_VENDOR</t>
        </is>
      </c>
      <c r="N736" s="187" t="inlineStr">
        <is>
          <t>See NVD references</t>
        </is>
      </c>
      <c r="O736" s="187" t="inlineStr">
        <is>
          <t>Apply vendor patches</t>
        </is>
      </c>
      <c r="P736" s="187" t="inlineStr">
        <is>
          <t>See CVE details</t>
        </is>
      </c>
      <c r="Q736" s="187" t="inlineStr">
        <is>
          <t>P3</t>
        </is>
      </c>
      <c r="R736" s="187" t="inlineStr">
        <is>
          <t>🚨 URGENT: Apply vendor patches immediately | 🔒 Isolate affected systems if patch unavailable | 🛡️ Enable additional monitoring/IDS rules</t>
        </is>
      </c>
      <c r="S736" s="187" t="inlineStr">
        <is>
          <t>CVE - IP enrichment n/a</t>
        </is>
      </c>
      <c r="T736" s="187" t="n">
        <v>0.0005</v>
      </c>
      <c r="U736" s="187" t="n">
        <v>0.1497</v>
      </c>
      <c r="V736" s="187" t="inlineStr">
        <is>
          <t>T1190:Exploit Public-Facing Application</t>
        </is>
      </c>
      <c r="W736" s="187" t="n">
        <v>1</v>
      </c>
      <c r="X736" s="187" t="inlineStr">
        <is>
          <t>LOW (40%)</t>
        </is>
      </c>
      <c r="Y736" s="187" t="inlineStr">
        <is>
          <t>UNLIKELY</t>
        </is>
      </c>
      <c r="Z736" s="187" t="inlineStr">
        <is>
          <t>CHECK_VENDOR</t>
        </is>
      </c>
      <c r="AA736" s="187" t="inlineStr">
        <is>
          <t>https://nvd.nist.gov/vuln/detail/CVE-2026-3200</t>
        </is>
      </c>
      <c r="AB736" s="187" t="inlineStr">
        <is>
          <t>NONE</t>
        </is>
      </c>
      <c r="AC736" s="187" t="n">
        <v>0</v>
      </c>
      <c r="AD736" s="187" t="inlineStr"/>
    </row>
    <row r="737">
      <c r="A737" s="187" t="inlineStr">
        <is>
          <t>CVE</t>
        </is>
      </c>
      <c r="B737" s="187" t="inlineStr">
        <is>
          <t>CVE-2026-26984</t>
        </is>
      </c>
      <c r="C737" s="187"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737" s="187" t="n">
        <v>8.699999999999999</v>
      </c>
      <c r="E737" s="187" t="inlineStr">
        <is>
          <t>HIGH</t>
        </is>
      </c>
      <c r="F737" s="187" t="n">
        <v>2</v>
      </c>
      <c r="G737" s="187" t="n">
        <v>3</v>
      </c>
      <c r="H737" s="187" t="inlineStr">
        <is>
          <t>HIGH</t>
        </is>
      </c>
      <c r="I737" s="187" t="n">
        <v>14.7</v>
      </c>
      <c r="J737" s="187" t="inlineStr">
        <is>
          <t>NO</t>
        </is>
      </c>
      <c r="K737" s="187" t="inlineStr">
        <is>
          <t>https://nvd.nist.gov/vuln/detail/CVE-2026-26984</t>
        </is>
      </c>
      <c r="L737" s="187" t="inlineStr">
        <is>
          <t>2026-02-27 20:47</t>
        </is>
      </c>
      <c r="M737" s="187" t="inlineStr">
        <is>
          <t>CHECK_VENDOR</t>
        </is>
      </c>
      <c r="N737" s="187" t="inlineStr">
        <is>
          <t>See NVD references</t>
        </is>
      </c>
      <c r="O737" s="187" t="inlineStr">
        <is>
          <t>Apply vendor patches</t>
        </is>
      </c>
      <c r="P737" s="187" t="inlineStr">
        <is>
          <t>See CVE details</t>
        </is>
      </c>
      <c r="Q737" s="187" t="inlineStr">
        <is>
          <t>P3</t>
        </is>
      </c>
      <c r="R737" s="187" t="inlineStr">
        <is>
          <t>🚨 URGENT: Apply vendor patches immediately | 🔒 Isolate affected systems if patch unavailable | 🛡️ Enable additional monitoring/IDS rules</t>
        </is>
      </c>
      <c r="S737" s="187" t="inlineStr">
        <is>
          <t>CVE - IP enrichment n/a</t>
        </is>
      </c>
      <c r="T737" s="187" t="n">
        <v>0.001</v>
      </c>
      <c r="U737" s="187" t="n">
        <v>0.2766</v>
      </c>
      <c r="V737" s="187" t="inlineStr">
        <is>
          <t>T1083:File and Directory Discovery | T1190:Exploit Public-Facing Application | T1210:Exploitation of Remote Services</t>
        </is>
      </c>
      <c r="W737" s="187" t="n">
        <v>1</v>
      </c>
      <c r="X737" s="187" t="inlineStr">
        <is>
          <t>LOW (40%)</t>
        </is>
      </c>
      <c r="Y737" s="187" t="inlineStr">
        <is>
          <t>UNLIKELY</t>
        </is>
      </c>
      <c r="Z737" s="187" t="inlineStr">
        <is>
          <t>CHECK_VENDOR</t>
        </is>
      </c>
      <c r="AA737" s="187" t="inlineStr">
        <is>
          <t>https://nvd.nist.gov/vuln/detail/CVE-2026-26984</t>
        </is>
      </c>
      <c r="AB737" s="187" t="inlineStr">
        <is>
          <t>NONE</t>
        </is>
      </c>
      <c r="AC737" s="187" t="n">
        <v>0</v>
      </c>
      <c r="AD737" s="187" t="inlineStr"/>
    </row>
    <row r="738">
      <c r="A738" s="187" t="inlineStr">
        <is>
          <t>CVE</t>
        </is>
      </c>
      <c r="B738" s="187" t="inlineStr">
        <is>
          <t>CVE-2026-26985</t>
        </is>
      </c>
      <c r="C738" s="187"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738" s="187" t="n">
        <v>8.1</v>
      </c>
      <c r="E738" s="187" t="inlineStr">
        <is>
          <t>HIGH</t>
        </is>
      </c>
      <c r="F738" s="187" t="n">
        <v>2</v>
      </c>
      <c r="G738" s="187" t="n">
        <v>3</v>
      </c>
      <c r="H738" s="187" t="inlineStr">
        <is>
          <t>HIGH</t>
        </is>
      </c>
      <c r="I738" s="187" t="n">
        <v>14.1</v>
      </c>
      <c r="J738" s="187" t="inlineStr">
        <is>
          <t>NO</t>
        </is>
      </c>
      <c r="K738" s="187" t="inlineStr">
        <is>
          <t>https://nvd.nist.gov/vuln/detail/CVE-2026-26985</t>
        </is>
      </c>
      <c r="L738" s="187" t="inlineStr">
        <is>
          <t>2026-02-27 20:47</t>
        </is>
      </c>
      <c r="M738" s="187" t="inlineStr">
        <is>
          <t>CHECK_VENDOR</t>
        </is>
      </c>
      <c r="N738" s="187" t="inlineStr">
        <is>
          <t>See NVD references</t>
        </is>
      </c>
      <c r="O738" s="187" t="inlineStr">
        <is>
          <t>Apply vendor patches</t>
        </is>
      </c>
      <c r="P738" s="187" t="inlineStr">
        <is>
          <t>See CVE details</t>
        </is>
      </c>
      <c r="Q738" s="187" t="inlineStr">
        <is>
          <t>P3</t>
        </is>
      </c>
      <c r="R738" s="187" t="inlineStr">
        <is>
          <t>🚨 URGENT: Apply vendor patches immediately | 🔒 Isolate affected systems if patch unavailable | 🛡️ Enable additional monitoring/IDS rules</t>
        </is>
      </c>
      <c r="S738" s="187" t="inlineStr">
        <is>
          <t>CVE - IP enrichment n/a</t>
        </is>
      </c>
      <c r="T738" s="187" t="n">
        <v>0.0004</v>
      </c>
      <c r="U738" s="187" t="n">
        <v>0.1138</v>
      </c>
      <c r="V738" s="187" t="inlineStr">
        <is>
          <t>T1083:File and Directory Discovery | T1190:Exploit Public-Facing Application | T1552:Unsecured Credentials</t>
        </is>
      </c>
      <c r="W738" s="187" t="n">
        <v>1</v>
      </c>
      <c r="X738" s="187" t="inlineStr">
        <is>
          <t>LOW (40%)</t>
        </is>
      </c>
      <c r="Y738" s="187" t="inlineStr">
        <is>
          <t>UNLIKELY</t>
        </is>
      </c>
      <c r="Z738" s="187" t="inlineStr">
        <is>
          <t>CHECK_VENDOR</t>
        </is>
      </c>
      <c r="AA738" s="187" t="inlineStr">
        <is>
          <t>https://nvd.nist.gov/vuln/detail/CVE-2026-26985</t>
        </is>
      </c>
      <c r="AB738" s="187" t="inlineStr">
        <is>
          <t>NONE</t>
        </is>
      </c>
      <c r="AC738" s="187" t="n">
        <v>0</v>
      </c>
      <c r="AD738" s="187" t="inlineStr"/>
    </row>
    <row r="739">
      <c r="A739" s="188" t="inlineStr">
        <is>
          <t>CVE</t>
        </is>
      </c>
      <c r="B739" s="188" t="inlineStr">
        <is>
          <t>CVE-2026-26986</t>
        </is>
      </c>
      <c r="C739" s="188"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739" s="188" t="n">
        <v>5</v>
      </c>
      <c r="E739" s="188" t="inlineStr">
        <is>
          <t>MEDIUM</t>
        </is>
      </c>
      <c r="F739" s="188" t="n">
        <v>2</v>
      </c>
      <c r="G739" s="188" t="n">
        <v>2</v>
      </c>
      <c r="H739" s="188" t="inlineStr">
        <is>
          <t>MEDIUM</t>
        </is>
      </c>
      <c r="I739" s="188" t="n">
        <v>9</v>
      </c>
      <c r="J739" s="188" t="inlineStr">
        <is>
          <t>NO</t>
        </is>
      </c>
      <c r="K739" s="188" t="inlineStr">
        <is>
          <t>https://nvd.nist.gov/vuln/detail/CVE-2026-26986</t>
        </is>
      </c>
      <c r="L739" s="188" t="inlineStr">
        <is>
          <t>2026-02-27 20:47</t>
        </is>
      </c>
      <c r="M739" s="188" t="inlineStr">
        <is>
          <t>CHECK_VENDOR</t>
        </is>
      </c>
      <c r="N739" s="188" t="inlineStr">
        <is>
          <t>See NVD references</t>
        </is>
      </c>
      <c r="O739" s="188" t="inlineStr">
        <is>
          <t>Apply vendor patches</t>
        </is>
      </c>
      <c r="P739" s="188" t="inlineStr">
        <is>
          <t>See CVE details</t>
        </is>
      </c>
      <c r="Q739" s="188" t="inlineStr">
        <is>
          <t>P3</t>
        </is>
      </c>
      <c r="R739" s="188" t="inlineStr">
        <is>
          <t>📅 Schedule patch deployment within 30 days | 🔍 Monitor for exploitation attempts</t>
        </is>
      </c>
      <c r="S739" s="188" t="inlineStr">
        <is>
          <t>CVE - IP enrichment n/a</t>
        </is>
      </c>
      <c r="T739" s="188" t="n">
        <v>0.0005</v>
      </c>
      <c r="U739" s="188" t="n">
        <v>0.1521</v>
      </c>
      <c r="V739" s="188" t="inlineStr">
        <is>
          <t>T1203:Exploitation for Client Execution</t>
        </is>
      </c>
      <c r="W739" s="188" t="n">
        <v>2</v>
      </c>
      <c r="X739" s="188" t="inlineStr">
        <is>
          <t>MEDIUM (52%)</t>
        </is>
      </c>
      <c r="Y739" s="188" t="inlineStr">
        <is>
          <t>UNLIKELY</t>
        </is>
      </c>
      <c r="Z739" s="188" t="inlineStr">
        <is>
          <t>CHECK_VENDOR</t>
        </is>
      </c>
      <c r="AA739" s="188" t="inlineStr">
        <is>
          <t>https://nvd.nist.gov/vuln/detail/CVE-2026-26986</t>
        </is>
      </c>
      <c r="AB739" s="188" t="inlineStr">
        <is>
          <t>NONE</t>
        </is>
      </c>
      <c r="AC739" s="188" t="n">
        <v>0</v>
      </c>
      <c r="AD739" s="188" t="inlineStr"/>
    </row>
    <row r="740">
      <c r="A740" s="188" t="inlineStr">
        <is>
          <t>CVE</t>
        </is>
      </c>
      <c r="B740" s="188" t="inlineStr">
        <is>
          <t>CVE-2026-27116</t>
        </is>
      </c>
      <c r="C740" s="188"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740" s="188" t="n">
        <v>6.1</v>
      </c>
      <c r="E740" s="188" t="inlineStr">
        <is>
          <t>MEDIUM</t>
        </is>
      </c>
      <c r="F740" s="188" t="n">
        <v>2</v>
      </c>
      <c r="G740" s="188" t="n">
        <v>2</v>
      </c>
      <c r="H740" s="188" t="inlineStr">
        <is>
          <t>MEDIUM</t>
        </is>
      </c>
      <c r="I740" s="188" t="n">
        <v>10.1</v>
      </c>
      <c r="J740" s="188" t="inlineStr">
        <is>
          <t>NO</t>
        </is>
      </c>
      <c r="K740" s="188" t="inlineStr">
        <is>
          <t>https://nvd.nist.gov/vuln/detail/CVE-2026-27116</t>
        </is>
      </c>
      <c r="L740" s="188" t="inlineStr">
        <is>
          <t>2026-02-27 20:47</t>
        </is>
      </c>
      <c r="M740" s="188" t="inlineStr">
        <is>
          <t>CHECK_VENDOR</t>
        </is>
      </c>
      <c r="N740" s="188" t="inlineStr">
        <is>
          <t>See NVD references</t>
        </is>
      </c>
      <c r="O740" s="188" t="inlineStr">
        <is>
          <t>Apply vendor patches</t>
        </is>
      </c>
      <c r="P740" s="188" t="inlineStr">
        <is>
          <t>See CVE details</t>
        </is>
      </c>
      <c r="Q740" s="188" t="inlineStr">
        <is>
          <t>P4</t>
        </is>
      </c>
      <c r="R740" s="188" t="inlineStr">
        <is>
          <t>📅 Schedule patch deployment within 30 days | 🔍 Monitor for exploitation attempts</t>
        </is>
      </c>
      <c r="S740" s="188" t="inlineStr">
        <is>
          <t>CVE - IP enrichment n/a</t>
        </is>
      </c>
      <c r="T740" s="188" t="n">
        <v>0.0001</v>
      </c>
      <c r="U740" s="188" t="n">
        <v>0.0089</v>
      </c>
      <c r="V740" s="188" t="inlineStr">
        <is>
          <t>T1189:Drive-by Compromise | T1190:Exploit Public-Facing Application | T1566:Phishing</t>
        </is>
      </c>
      <c r="W740" s="188" t="n">
        <v>1</v>
      </c>
      <c r="X740" s="188" t="inlineStr">
        <is>
          <t>LOW (40%)</t>
        </is>
      </c>
      <c r="Y740" s="188" t="inlineStr">
        <is>
          <t>UNLIKELY</t>
        </is>
      </c>
      <c r="Z740" s="188" t="inlineStr">
        <is>
          <t>CHECK_VENDOR</t>
        </is>
      </c>
      <c r="AA740" s="188" t="inlineStr">
        <is>
          <t>https://nvd.nist.gov/vuln/detail/CVE-2026-27116</t>
        </is>
      </c>
      <c r="AB740" s="188" t="inlineStr">
        <is>
          <t>NONE</t>
        </is>
      </c>
      <c r="AC740" s="188" t="n">
        <v>0</v>
      </c>
      <c r="AD740" s="188" t="inlineStr"/>
    </row>
    <row r="741">
      <c r="A741" s="187" t="inlineStr">
        <is>
          <t>CVE</t>
        </is>
      </c>
      <c r="B741" s="187" t="inlineStr">
        <is>
          <t>CVE-2026-27148</t>
        </is>
      </c>
      <c r="C741" s="187"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741" s="187" t="n">
        <v>8.5</v>
      </c>
      <c r="E741" s="187" t="inlineStr">
        <is>
          <t>HIGH</t>
        </is>
      </c>
      <c r="F741" s="187" t="n">
        <v>2</v>
      </c>
      <c r="G741" s="187" t="n">
        <v>3</v>
      </c>
      <c r="H741" s="187" t="inlineStr">
        <is>
          <t>HIGH</t>
        </is>
      </c>
      <c r="I741" s="187" t="n">
        <v>14.5</v>
      </c>
      <c r="J741" s="187" t="inlineStr">
        <is>
          <t>NO</t>
        </is>
      </c>
      <c r="K741" s="187" t="inlineStr">
        <is>
          <t>https://nvd.nist.gov/vuln/detail/CVE-2026-27148</t>
        </is>
      </c>
      <c r="L741" s="187" t="inlineStr">
        <is>
          <t>2026-02-27 20:47</t>
        </is>
      </c>
      <c r="M741" s="187" t="inlineStr">
        <is>
          <t>CHECK_VENDOR</t>
        </is>
      </c>
      <c r="N741" s="187" t="inlineStr">
        <is>
          <t>See NVD references</t>
        </is>
      </c>
      <c r="O741" s="187" t="inlineStr">
        <is>
          <t>Apply vendor patches</t>
        </is>
      </c>
      <c r="P741" s="187" t="inlineStr">
        <is>
          <t>See CVE details</t>
        </is>
      </c>
      <c r="Q741" s="187" t="inlineStr">
        <is>
          <t>P3</t>
        </is>
      </c>
      <c r="R741" s="187" t="inlineStr">
        <is>
          <t>🚨 URGENT: Apply vendor patches immediately | 🔒 Isolate affected systems if patch unavailable | 🛡️ Enable additional monitoring/IDS rules</t>
        </is>
      </c>
      <c r="S741" s="187" t="inlineStr">
        <is>
          <t>CVE - IP enrichment n/a</t>
        </is>
      </c>
      <c r="T741" s="187" t="n">
        <v>0.0036</v>
      </c>
      <c r="U741" s="187" t="n">
        <v>0.5766</v>
      </c>
      <c r="V741" s="187" t="inlineStr">
        <is>
          <t>T1190:Exploit Public-Facing Application | T1210:Exploitation of Remote Services | T1189:Drive-by Compromise</t>
        </is>
      </c>
      <c r="W741" s="187" t="n">
        <v>2</v>
      </c>
      <c r="X741" s="187" t="inlineStr">
        <is>
          <t>MEDIUM (52%)</t>
        </is>
      </c>
      <c r="Y741" s="187" t="inlineStr">
        <is>
          <t>UNLIKELY</t>
        </is>
      </c>
      <c r="Z741" s="187" t="inlineStr">
        <is>
          <t>CHECK_VENDOR</t>
        </is>
      </c>
      <c r="AA741" s="187" t="inlineStr">
        <is>
          <t>https://nvd.nist.gov/vuln/detail/CVE-2026-27148</t>
        </is>
      </c>
      <c r="AB741" s="187" t="inlineStr">
        <is>
          <t>NONE</t>
        </is>
      </c>
      <c r="AC741" s="187" t="n">
        <v>0</v>
      </c>
      <c r="AD741" s="187" t="inlineStr"/>
    </row>
    <row r="742">
      <c r="A742" s="189" t="inlineStr">
        <is>
          <t>CVE</t>
        </is>
      </c>
      <c r="B742" s="189" t="inlineStr">
        <is>
          <t>CVE-2026-27575</t>
        </is>
      </c>
      <c r="C742" s="189"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742" s="189" t="n">
        <v>9.1</v>
      </c>
      <c r="E742" s="189" t="inlineStr">
        <is>
          <t>CRITICAL</t>
        </is>
      </c>
      <c r="F742" s="189" t="n">
        <v>2</v>
      </c>
      <c r="G742" s="189" t="n">
        <v>3</v>
      </c>
      <c r="H742" s="189" t="inlineStr">
        <is>
          <t>HIGH</t>
        </is>
      </c>
      <c r="I742" s="189" t="n">
        <v>15.1</v>
      </c>
      <c r="J742" s="189" t="inlineStr">
        <is>
          <t>NO</t>
        </is>
      </c>
      <c r="K742" s="189" t="inlineStr">
        <is>
          <t>https://nvd.nist.gov/vuln/detail/CVE-2026-27575</t>
        </is>
      </c>
      <c r="L742" s="189" t="inlineStr">
        <is>
          <t>2026-02-27 20:47</t>
        </is>
      </c>
      <c r="M742" s="189" t="inlineStr">
        <is>
          <t>CHECK_VENDOR</t>
        </is>
      </c>
      <c r="N742" s="189" t="inlineStr">
        <is>
          <t>See NVD references</t>
        </is>
      </c>
      <c r="O742" s="189" t="inlineStr">
        <is>
          <t>Apply vendor patches</t>
        </is>
      </c>
      <c r="P742" s="189" t="inlineStr">
        <is>
          <t>See CVE details</t>
        </is>
      </c>
      <c r="Q742" s="189" t="inlineStr">
        <is>
          <t>P3</t>
        </is>
      </c>
      <c r="R742" s="189" t="inlineStr">
        <is>
          <t>🚨 URGENT: Apply vendor patches immediately | 🔒 Isolate affected systems if patch unavailable | 🛡️ Enable additional monitoring/IDS rules</t>
        </is>
      </c>
      <c r="S742" s="189" t="inlineStr">
        <is>
          <t>CVE - IP enrichment n/a</t>
        </is>
      </c>
      <c r="T742" s="189" t="n">
        <v>0.0001</v>
      </c>
      <c r="U742" s="189" t="n">
        <v>0.0183</v>
      </c>
      <c r="V742" s="189" t="inlineStr">
        <is>
          <t>T1190:Exploit Public-Facing Application | T1552:Unsecured Credentials</t>
        </is>
      </c>
      <c r="W742" s="189" t="n">
        <v>1</v>
      </c>
      <c r="X742" s="189" t="inlineStr">
        <is>
          <t>LOW (40%)</t>
        </is>
      </c>
      <c r="Y742" s="189" t="inlineStr">
        <is>
          <t>UNLIKELY</t>
        </is>
      </c>
      <c r="Z742" s="189" t="inlineStr">
        <is>
          <t>CHECK_VENDOR</t>
        </is>
      </c>
      <c r="AA742" s="189" t="inlineStr">
        <is>
          <t>https://nvd.nist.gov/vuln/detail/CVE-2026-27575</t>
        </is>
      </c>
      <c r="AB742" s="189" t="inlineStr">
        <is>
          <t>NONE</t>
        </is>
      </c>
      <c r="AC742" s="189" t="n">
        <v>0</v>
      </c>
      <c r="AD742" s="189" t="inlineStr"/>
    </row>
    <row r="743">
      <c r="A743" s="187" t="inlineStr">
        <is>
          <t>CVE</t>
        </is>
      </c>
      <c r="B743" s="187" t="inlineStr">
        <is>
          <t>CVE-2026-27616</t>
        </is>
      </c>
      <c r="C743" s="187"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743" s="187" t="n">
        <v>7.3</v>
      </c>
      <c r="E743" s="187" t="inlineStr">
        <is>
          <t>HIGH</t>
        </is>
      </c>
      <c r="F743" s="187" t="n">
        <v>2</v>
      </c>
      <c r="G743" s="187" t="n">
        <v>3</v>
      </c>
      <c r="H743" s="187" t="inlineStr">
        <is>
          <t>HIGH</t>
        </is>
      </c>
      <c r="I743" s="187" t="n">
        <v>13.3</v>
      </c>
      <c r="J743" s="187" t="inlineStr">
        <is>
          <t>NO</t>
        </is>
      </c>
      <c r="K743" s="187" t="inlineStr">
        <is>
          <t>https://nvd.nist.gov/vuln/detail/CVE-2026-27616</t>
        </is>
      </c>
      <c r="L743" s="187" t="inlineStr">
        <is>
          <t>2026-02-27 20:47</t>
        </is>
      </c>
      <c r="M743" s="187" t="inlineStr">
        <is>
          <t>CHECK_VENDOR</t>
        </is>
      </c>
      <c r="N743" s="187" t="inlineStr">
        <is>
          <t>See NVD references</t>
        </is>
      </c>
      <c r="O743" s="187" t="inlineStr">
        <is>
          <t>Apply vendor patches</t>
        </is>
      </c>
      <c r="P743" s="187" t="inlineStr">
        <is>
          <t>See CVE details</t>
        </is>
      </c>
      <c r="Q743" s="187" t="inlineStr">
        <is>
          <t>P3</t>
        </is>
      </c>
      <c r="R743" s="187" t="inlineStr">
        <is>
          <t>🚨 URGENT: Apply vendor patches immediately | 🔒 Isolate affected systems if patch unavailable | 🛡️ Enable additional monitoring/IDS rules</t>
        </is>
      </c>
      <c r="S743" s="187" t="inlineStr">
        <is>
          <t>CVE - IP enrichment n/a</t>
        </is>
      </c>
      <c r="T743" s="187" t="n">
        <v>0.0002</v>
      </c>
      <c r="U743" s="187" t="n">
        <v>0.05</v>
      </c>
      <c r="V743" s="187" t="inlineStr">
        <is>
          <t>T1189:Drive-by Compromise | T1190:Exploit Public-Facing Application</t>
        </is>
      </c>
      <c r="W743" s="187" t="n">
        <v>1</v>
      </c>
      <c r="X743" s="187" t="inlineStr">
        <is>
          <t>LOW (40%)</t>
        </is>
      </c>
      <c r="Y743" s="187" t="inlineStr">
        <is>
          <t>UNLIKELY</t>
        </is>
      </c>
      <c r="Z743" s="187" t="inlineStr">
        <is>
          <t>CHECK_VENDOR</t>
        </is>
      </c>
      <c r="AA743" s="187" t="inlineStr">
        <is>
          <t>https://nvd.nist.gov/vuln/detail/CVE-2026-27616</t>
        </is>
      </c>
      <c r="AB743" s="187" t="inlineStr">
        <is>
          <t>NONE</t>
        </is>
      </c>
      <c r="AC743" s="187" t="n">
        <v>0</v>
      </c>
      <c r="AD743" s="187" t="inlineStr"/>
    </row>
    <row r="744">
      <c r="A744" s="187" t="inlineStr">
        <is>
          <t>CVE</t>
        </is>
      </c>
      <c r="B744" s="187" t="inlineStr">
        <is>
          <t>CVE-2026-27819</t>
        </is>
      </c>
      <c r="C744" s="187"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744" s="187" t="n">
        <v>7.2</v>
      </c>
      <c r="E744" s="187" t="inlineStr">
        <is>
          <t>HIGH</t>
        </is>
      </c>
      <c r="F744" s="187" t="n">
        <v>2</v>
      </c>
      <c r="G744" s="187" t="n">
        <v>3</v>
      </c>
      <c r="H744" s="187" t="inlineStr">
        <is>
          <t>HIGH</t>
        </is>
      </c>
      <c r="I744" s="187" t="n">
        <v>13.2</v>
      </c>
      <c r="J744" s="187" t="inlineStr">
        <is>
          <t>NO</t>
        </is>
      </c>
      <c r="K744" s="187" t="inlineStr">
        <is>
          <t>https://nvd.nist.gov/vuln/detail/CVE-2026-27819</t>
        </is>
      </c>
      <c r="L744" s="187" t="inlineStr">
        <is>
          <t>2026-02-27 20:47</t>
        </is>
      </c>
      <c r="M744" s="187" t="inlineStr">
        <is>
          <t>CHECK_VENDOR</t>
        </is>
      </c>
      <c r="N744" s="187" t="inlineStr">
        <is>
          <t>See NVD references</t>
        </is>
      </c>
      <c r="O744" s="187" t="inlineStr">
        <is>
          <t>Apply vendor patches</t>
        </is>
      </c>
      <c r="P744" s="187" t="inlineStr">
        <is>
          <t>See CVE details</t>
        </is>
      </c>
      <c r="Q744" s="187" t="inlineStr">
        <is>
          <t>P3</t>
        </is>
      </c>
      <c r="R744" s="187" t="inlineStr">
        <is>
          <t>🚨 URGENT: Apply vendor patches immediately | 🔒 Isolate affected systems if patch unavailable | 🛡️ Enable additional monitoring/IDS rules</t>
        </is>
      </c>
      <c r="S744" s="187" t="inlineStr">
        <is>
          <t>CVE - IP enrichment n/a</t>
        </is>
      </c>
      <c r="T744" s="187" t="n">
        <v>0.0005</v>
      </c>
      <c r="U744" s="187" t="n">
        <v>0.1424</v>
      </c>
      <c r="V744" s="187" t="inlineStr">
        <is>
          <t>T1083:File and Directory Discovery | T1190:Exploit Public-Facing Application</t>
        </is>
      </c>
      <c r="W744" s="187" t="n">
        <v>1</v>
      </c>
      <c r="X744" s="187" t="inlineStr">
        <is>
          <t>LOW (40%)</t>
        </is>
      </c>
      <c r="Y744" s="187" t="inlineStr">
        <is>
          <t>UNLIKELY</t>
        </is>
      </c>
      <c r="Z744" s="187" t="inlineStr">
        <is>
          <t>CHECK_VENDOR</t>
        </is>
      </c>
      <c r="AA744" s="187" t="inlineStr">
        <is>
          <t>https://nvd.nist.gov/vuln/detail/CVE-2026-27819</t>
        </is>
      </c>
      <c r="AB744" s="187" t="inlineStr">
        <is>
          <t>NONE</t>
        </is>
      </c>
      <c r="AC744" s="187" t="n">
        <v>0</v>
      </c>
      <c r="AD744" s="187" t="inlineStr"/>
    </row>
    <row r="745">
      <c r="A745" s="188" t="inlineStr">
        <is>
          <t>CVE</t>
        </is>
      </c>
      <c r="B745" s="188" t="inlineStr">
        <is>
          <t>CVE-2026-27950</t>
        </is>
      </c>
      <c r="C745" s="188"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745" s="188" t="n">
        <v>5</v>
      </c>
      <c r="E745" s="188" t="inlineStr">
        <is>
          <t>MEDIUM</t>
        </is>
      </c>
      <c r="F745" s="188" t="n">
        <v>2</v>
      </c>
      <c r="G745" s="188" t="n">
        <v>2</v>
      </c>
      <c r="H745" s="188" t="inlineStr">
        <is>
          <t>MEDIUM</t>
        </is>
      </c>
      <c r="I745" s="188" t="n">
        <v>9</v>
      </c>
      <c r="J745" s="188" t="inlineStr">
        <is>
          <t>NO</t>
        </is>
      </c>
      <c r="K745" s="188" t="inlineStr">
        <is>
          <t>https://nvd.nist.gov/vuln/detail/CVE-2026-27950</t>
        </is>
      </c>
      <c r="L745" s="188" t="inlineStr">
        <is>
          <t>2026-02-27 20:47</t>
        </is>
      </c>
      <c r="M745" s="188" t="inlineStr">
        <is>
          <t>CHECK_VENDOR</t>
        </is>
      </c>
      <c r="N745" s="188" t="inlineStr">
        <is>
          <t>See NVD references</t>
        </is>
      </c>
      <c r="O745" s="188" t="inlineStr">
        <is>
          <t>Apply vendor patches</t>
        </is>
      </c>
      <c r="P745" s="188" t="inlineStr">
        <is>
          <t>See CVE details</t>
        </is>
      </c>
      <c r="Q745" s="188" t="inlineStr">
        <is>
          <t>P2</t>
        </is>
      </c>
      <c r="R745" s="188" t="inlineStr">
        <is>
          <t>📅 Schedule patch deployment within 30 days | 🔍 Monitor for exploitation attempts</t>
        </is>
      </c>
      <c r="S745" s="188" t="inlineStr">
        <is>
          <t>CVE - IP enrichment n/a</t>
        </is>
      </c>
      <c r="T745" s="188" t="n">
        <v>0.0008</v>
      </c>
      <c r="U745" s="188" t="n">
        <v>0.2414</v>
      </c>
      <c r="V745" s="188" t="inlineStr">
        <is>
          <t>T1203:Exploitation for Client Execution</t>
        </is>
      </c>
      <c r="W745" s="188" t="n">
        <v>3</v>
      </c>
      <c r="X745" s="188" t="inlineStr">
        <is>
          <t>HIGH (85%)</t>
        </is>
      </c>
      <c r="Y745" s="188" t="inlineStr">
        <is>
          <t>HIGH</t>
        </is>
      </c>
      <c r="Z745" s="188" t="inlineStr">
        <is>
          <t>CHECK_VENDOR</t>
        </is>
      </c>
      <c r="AA745" s="188" t="inlineStr">
        <is>
          <t>https://nvd.nist.gov/vuln/detail/CVE-2026-27950</t>
        </is>
      </c>
      <c r="AB745" s="188" t="inlineStr">
        <is>
          <t>NONE</t>
        </is>
      </c>
      <c r="AC745" s="188" t="n">
        <v>0</v>
      </c>
      <c r="AD745" s="188" t="inlineStr"/>
    </row>
    <row r="746">
      <c r="A746" s="188" t="inlineStr">
        <is>
          <t>CVE</t>
        </is>
      </c>
      <c r="B746" s="188" t="inlineStr">
        <is>
          <t>CVE-2026-27951</t>
        </is>
      </c>
      <c r="C746" s="188"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746" s="188" t="n">
        <v>5.3</v>
      </c>
      <c r="E746" s="188" t="inlineStr">
        <is>
          <t>MEDIUM</t>
        </is>
      </c>
      <c r="F746" s="188" t="n">
        <v>2</v>
      </c>
      <c r="G746" s="188" t="n">
        <v>2</v>
      </c>
      <c r="H746" s="188" t="inlineStr">
        <is>
          <t>MEDIUM</t>
        </is>
      </c>
      <c r="I746" s="188" t="n">
        <v>9.300000000000001</v>
      </c>
      <c r="J746" s="188" t="inlineStr">
        <is>
          <t>NO</t>
        </is>
      </c>
      <c r="K746" s="188" t="inlineStr">
        <is>
          <t>https://nvd.nist.gov/vuln/detail/CVE-2026-27951</t>
        </is>
      </c>
      <c r="L746" s="188" t="inlineStr">
        <is>
          <t>2026-02-27 20:47</t>
        </is>
      </c>
      <c r="M746" s="188" t="inlineStr">
        <is>
          <t>CHECK_VENDOR</t>
        </is>
      </c>
      <c r="N746" s="188" t="inlineStr">
        <is>
          <t>See NVD references</t>
        </is>
      </c>
      <c r="O746" s="188" t="inlineStr">
        <is>
          <t>Apply vendor patches</t>
        </is>
      </c>
      <c r="P746" s="188" t="inlineStr">
        <is>
          <t>See CVE details</t>
        </is>
      </c>
      <c r="Q746" s="188" t="inlineStr">
        <is>
          <t>P3</t>
        </is>
      </c>
      <c r="R746" s="188" t="inlineStr">
        <is>
          <t>📅 Schedule patch deployment within 30 days | 🔍 Monitor for exploitation attempts</t>
        </is>
      </c>
      <c r="S746" s="188" t="inlineStr">
        <is>
          <t>CVE - IP enrichment n/a</t>
        </is>
      </c>
      <c r="T746" s="188" t="n">
        <v>0.0004</v>
      </c>
      <c r="U746" s="188" t="n">
        <v>0.1156</v>
      </c>
      <c r="V746" s="188" t="inlineStr">
        <is>
          <t>T1190:Exploit Public-Facing Application</t>
        </is>
      </c>
      <c r="W746" s="188" t="n">
        <v>2</v>
      </c>
      <c r="X746" s="188" t="inlineStr">
        <is>
          <t>MEDIUM (52%)</t>
        </is>
      </c>
      <c r="Y746" s="188" t="inlineStr">
        <is>
          <t>UNLIKELY</t>
        </is>
      </c>
      <c r="Z746" s="188" t="inlineStr">
        <is>
          <t>CHECK_VENDOR</t>
        </is>
      </c>
      <c r="AA746" s="188" t="inlineStr">
        <is>
          <t>https://nvd.nist.gov/vuln/detail/CVE-2026-27951</t>
        </is>
      </c>
      <c r="AB746" s="188" t="inlineStr">
        <is>
          <t>NONE</t>
        </is>
      </c>
      <c r="AC746" s="188" t="n">
        <v>0</v>
      </c>
      <c r="AD746" s="188" t="inlineStr"/>
    </row>
    <row r="747">
      <c r="A747" s="188" t="inlineStr">
        <is>
          <t>CVE</t>
        </is>
      </c>
      <c r="B747" s="188" t="inlineStr">
        <is>
          <t>CVE-2026-2694</t>
        </is>
      </c>
      <c r="C747" s="188"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747" s="188" t="n">
        <v>5.4</v>
      </c>
      <c r="E747" s="188" t="inlineStr">
        <is>
          <t>MEDIUM</t>
        </is>
      </c>
      <c r="F747" s="188" t="n">
        <v>2</v>
      </c>
      <c r="G747" s="188" t="n">
        <v>2</v>
      </c>
      <c r="H747" s="188" t="inlineStr">
        <is>
          <t>MEDIUM</t>
        </is>
      </c>
      <c r="I747" s="188" t="n">
        <v>9.4</v>
      </c>
      <c r="J747" s="188" t="inlineStr">
        <is>
          <t>NO</t>
        </is>
      </c>
      <c r="K747" s="188" t="inlineStr">
        <is>
          <t>https://nvd.nist.gov/vuln/detail/CVE-2026-2694</t>
        </is>
      </c>
      <c r="L747" s="188" t="inlineStr">
        <is>
          <t>2026-02-27 20:47</t>
        </is>
      </c>
      <c r="M747" s="188" t="inlineStr">
        <is>
          <t>CHECK_VENDOR</t>
        </is>
      </c>
      <c r="N747" s="188" t="inlineStr">
        <is>
          <t>See NVD references</t>
        </is>
      </c>
      <c r="O747" s="188" t="inlineStr">
        <is>
          <t>Apply vendor patches</t>
        </is>
      </c>
      <c r="P747" s="188" t="inlineStr">
        <is>
          <t>See CVE details</t>
        </is>
      </c>
      <c r="Q747" s="188" t="inlineStr">
        <is>
          <t>P4</t>
        </is>
      </c>
      <c r="R747" s="188" t="inlineStr">
        <is>
          <t>📅 Schedule patch deployment within 30 days | 🔍 Monitor for exploitation attempts</t>
        </is>
      </c>
      <c r="S747" s="188" t="inlineStr">
        <is>
          <t>CVE - IP enrichment n/a</t>
        </is>
      </c>
      <c r="T747" s="188" t="n">
        <v>0.0004</v>
      </c>
      <c r="U747" s="188" t="n">
        <v>0.1281</v>
      </c>
      <c r="V747" s="188" t="inlineStr">
        <is>
          <t>T1190:Exploit Public-Facing Application</t>
        </is>
      </c>
      <c r="W747" s="188" t="n">
        <v>1</v>
      </c>
      <c r="X747" s="188" t="inlineStr">
        <is>
          <t>LOW (40%)</t>
        </is>
      </c>
      <c r="Y747" s="188" t="inlineStr">
        <is>
          <t>UNLIKELY</t>
        </is>
      </c>
      <c r="Z747" s="188" t="inlineStr">
        <is>
          <t>CHECK_VENDOR</t>
        </is>
      </c>
      <c r="AA747" s="188" t="inlineStr">
        <is>
          <t>https://nvd.nist.gov/vuln/detail/CVE-2026-2694</t>
        </is>
      </c>
      <c r="AB747" s="188" t="inlineStr">
        <is>
          <t>NONE</t>
        </is>
      </c>
      <c r="AC747" s="188" t="n">
        <v>0</v>
      </c>
      <c r="AD747" s="188" t="inlineStr"/>
    </row>
    <row r="748">
      <c r="A748" s="187" t="inlineStr">
        <is>
          <t>CVE</t>
        </is>
      </c>
      <c r="B748" s="187" t="inlineStr">
        <is>
          <t>CVE-2026-27493</t>
        </is>
      </c>
      <c r="C748" s="187"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748" s="187" t="n">
        <v>8.5</v>
      </c>
      <c r="E748" s="187" t="inlineStr">
        <is>
          <t>HIGH</t>
        </is>
      </c>
      <c r="F748" s="187" t="n">
        <v>2</v>
      </c>
      <c r="G748" s="187" t="n">
        <v>3</v>
      </c>
      <c r="H748" s="187" t="inlineStr">
        <is>
          <t>HIGH</t>
        </is>
      </c>
      <c r="I748" s="187" t="n">
        <v>14.5</v>
      </c>
      <c r="J748" s="187" t="inlineStr">
        <is>
          <t>NO</t>
        </is>
      </c>
      <c r="K748" s="187" t="inlineStr">
        <is>
          <t>https://nvd.nist.gov/vuln/detail/CVE-2026-27493</t>
        </is>
      </c>
      <c r="L748" s="187" t="inlineStr">
        <is>
          <t>2026-02-27 20:47</t>
        </is>
      </c>
      <c r="M748" s="187" t="inlineStr">
        <is>
          <t>CHECK_VENDOR</t>
        </is>
      </c>
      <c r="N748" s="187" t="inlineStr">
        <is>
          <t>See NVD references</t>
        </is>
      </c>
      <c r="O748" s="187" t="inlineStr">
        <is>
          <t>Apply vendor patches</t>
        </is>
      </c>
      <c r="P748" s="187" t="inlineStr">
        <is>
          <t>See CVE details</t>
        </is>
      </c>
      <c r="Q748" s="187" t="inlineStr">
        <is>
          <t>P3</t>
        </is>
      </c>
      <c r="R748" s="187" t="inlineStr">
        <is>
          <t>🚨 URGENT: Apply vendor patches immediately | 🔒 Isolate affected systems if patch unavailable | 🛡️ Enable additional monitoring/IDS rules</t>
        </is>
      </c>
      <c r="S748" s="187" t="inlineStr">
        <is>
          <t>CVE - IP enrichment n/a</t>
        </is>
      </c>
      <c r="T748" s="187" t="n">
        <v>0.0014</v>
      </c>
      <c r="U748" s="187" t="n">
        <v>0.3457</v>
      </c>
      <c r="V748" s="187" t="inlineStr">
        <is>
          <t>T1059:Command and Scripting Interpreter | T1190:Exploit Public-Facing Application | T1210:Exploitation of Remote Services</t>
        </is>
      </c>
      <c r="W748" s="187" t="n">
        <v>1</v>
      </c>
      <c r="X748" s="187" t="inlineStr">
        <is>
          <t>LOW (40%)</t>
        </is>
      </c>
      <c r="Y748" s="187" t="inlineStr">
        <is>
          <t>UNLIKELY</t>
        </is>
      </c>
      <c r="Z748" s="187" t="inlineStr">
        <is>
          <t>CHECK_VENDOR</t>
        </is>
      </c>
      <c r="AA748" s="187" t="inlineStr">
        <is>
          <t>https://nvd.nist.gov/vuln/detail/CVE-2026-27493</t>
        </is>
      </c>
      <c r="AB748" s="187" t="inlineStr">
        <is>
          <t>NONE</t>
        </is>
      </c>
      <c r="AC748" s="187" t="n">
        <v>0</v>
      </c>
      <c r="AD748" s="187" t="inlineStr"/>
    </row>
    <row r="749">
      <c r="A749" s="187" t="inlineStr">
        <is>
          <t>CVE</t>
        </is>
      </c>
      <c r="B749" s="187" t="inlineStr">
        <is>
          <t>CVE-2026-27494</t>
        </is>
      </c>
      <c r="C749" s="187"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749" s="187" t="n">
        <v>8.5</v>
      </c>
      <c r="E749" s="187" t="inlineStr">
        <is>
          <t>HIGH</t>
        </is>
      </c>
      <c r="F749" s="187" t="n">
        <v>2</v>
      </c>
      <c r="G749" s="187" t="n">
        <v>3</v>
      </c>
      <c r="H749" s="187" t="inlineStr">
        <is>
          <t>HIGH</t>
        </is>
      </c>
      <c r="I749" s="187" t="n">
        <v>14.5</v>
      </c>
      <c r="J749" s="187" t="inlineStr">
        <is>
          <t>NO</t>
        </is>
      </c>
      <c r="K749" s="187" t="inlineStr">
        <is>
          <t>https://nvd.nist.gov/vuln/detail/CVE-2026-27494</t>
        </is>
      </c>
      <c r="L749" s="187" t="inlineStr">
        <is>
          <t>2026-02-27 20:47</t>
        </is>
      </c>
      <c r="M749" s="187" t="inlineStr">
        <is>
          <t>CHECK_VENDOR</t>
        </is>
      </c>
      <c r="N749" s="187" t="inlineStr">
        <is>
          <t>See NVD references</t>
        </is>
      </c>
      <c r="O749" s="187" t="inlineStr">
        <is>
          <t>Apply vendor patches</t>
        </is>
      </c>
      <c r="P749" s="187" t="inlineStr">
        <is>
          <t>See CVE details</t>
        </is>
      </c>
      <c r="Q749" s="187" t="inlineStr">
        <is>
          <t>P3</t>
        </is>
      </c>
      <c r="R749" s="187" t="inlineStr">
        <is>
          <t>🚨 URGENT: Apply vendor patches immediately | 🔒 Isolate affected systems if patch unavailable | 🛡️ Enable additional monitoring/IDS rules</t>
        </is>
      </c>
      <c r="S749" s="187" t="inlineStr">
        <is>
          <t>CVE - IP enrichment n/a</t>
        </is>
      </c>
      <c r="T749" s="187" t="n">
        <v>0.0003</v>
      </c>
      <c r="U749" s="187" t="n">
        <v>0.0891</v>
      </c>
      <c r="V749" s="187" t="inlineStr">
        <is>
          <t>T1190:Exploit Public-Facing Application</t>
        </is>
      </c>
      <c r="W749" s="187" t="n">
        <v>1</v>
      </c>
      <c r="X749" s="187" t="inlineStr">
        <is>
          <t>LOW (40%)</t>
        </is>
      </c>
      <c r="Y749" s="187" t="inlineStr">
        <is>
          <t>UNLIKELY</t>
        </is>
      </c>
      <c r="Z749" s="187" t="inlineStr">
        <is>
          <t>CHECK_VENDOR</t>
        </is>
      </c>
      <c r="AA749" s="187" t="inlineStr">
        <is>
          <t>https://nvd.nist.gov/vuln/detail/CVE-2026-27494</t>
        </is>
      </c>
      <c r="AB749" s="187" t="inlineStr">
        <is>
          <t>NONE</t>
        </is>
      </c>
      <c r="AC749" s="187" t="n">
        <v>0</v>
      </c>
      <c r="AD749" s="187" t="inlineStr"/>
    </row>
    <row r="750">
      <c r="A750" s="187" t="inlineStr">
        <is>
          <t>CVE</t>
        </is>
      </c>
      <c r="B750" s="187" t="inlineStr">
        <is>
          <t>CVE-2026-27495</t>
        </is>
      </c>
      <c r="C750" s="187"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750" s="187" t="n">
        <v>8.5</v>
      </c>
      <c r="E750" s="187" t="inlineStr">
        <is>
          <t>HIGH</t>
        </is>
      </c>
      <c r="F750" s="187" t="n">
        <v>2</v>
      </c>
      <c r="G750" s="187" t="n">
        <v>3</v>
      </c>
      <c r="H750" s="187" t="inlineStr">
        <is>
          <t>HIGH</t>
        </is>
      </c>
      <c r="I750" s="187" t="n">
        <v>14.5</v>
      </c>
      <c r="J750" s="187" t="inlineStr">
        <is>
          <t>NO</t>
        </is>
      </c>
      <c r="K750" s="187" t="inlineStr">
        <is>
          <t>https://nvd.nist.gov/vuln/detail/CVE-2026-27495</t>
        </is>
      </c>
      <c r="L750" s="187" t="inlineStr">
        <is>
          <t>2026-02-27 20:47</t>
        </is>
      </c>
      <c r="M750" s="187" t="inlineStr">
        <is>
          <t>CHECK_VENDOR</t>
        </is>
      </c>
      <c r="N750" s="187" t="inlineStr">
        <is>
          <t>See NVD references</t>
        </is>
      </c>
      <c r="O750" s="187" t="inlineStr">
        <is>
          <t>Apply vendor patches</t>
        </is>
      </c>
      <c r="P750" s="187" t="inlineStr">
        <is>
          <t>See CVE details</t>
        </is>
      </c>
      <c r="Q750" s="187" t="inlineStr">
        <is>
          <t>P3</t>
        </is>
      </c>
      <c r="R750" s="187" t="inlineStr">
        <is>
          <t>🚨 URGENT: Apply vendor patches immediately | 🔒 Isolate affected systems if patch unavailable | 🛡️ Enable additional monitoring/IDS rules</t>
        </is>
      </c>
      <c r="S750" s="187" t="inlineStr">
        <is>
          <t>CVE - IP enrichment n/a</t>
        </is>
      </c>
      <c r="T750" s="187" t="n">
        <v>0.0005999999999999999</v>
      </c>
      <c r="U750" s="187" t="n">
        <v>0.1744</v>
      </c>
      <c r="V750" s="187" t="inlineStr">
        <is>
          <t>T1059:Command and Scripting Interpreter | T1190:Exploit Public-Facing Application | T1203:Exploitation for Client Execution</t>
        </is>
      </c>
      <c r="W750" s="187" t="n">
        <v>1</v>
      </c>
      <c r="X750" s="187" t="inlineStr">
        <is>
          <t>LOW (40%)</t>
        </is>
      </c>
      <c r="Y750" s="187" t="inlineStr">
        <is>
          <t>UNLIKELY</t>
        </is>
      </c>
      <c r="Z750" s="187" t="inlineStr">
        <is>
          <t>CHECK_VENDOR</t>
        </is>
      </c>
      <c r="AA750" s="187" t="inlineStr">
        <is>
          <t>https://nvd.nist.gov/vuln/detail/CVE-2026-27495</t>
        </is>
      </c>
      <c r="AB750" s="187" t="inlineStr">
        <is>
          <t>NONE</t>
        </is>
      </c>
      <c r="AC750" s="187" t="n">
        <v>0</v>
      </c>
      <c r="AD750" s="187" t="inlineStr"/>
    </row>
    <row r="751">
      <c r="A751" s="187" t="inlineStr">
        <is>
          <t>CVE</t>
        </is>
      </c>
      <c r="B751" s="187" t="inlineStr">
        <is>
          <t>CVE-2026-27497</t>
        </is>
      </c>
      <c r="C751" s="187"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751" s="187" t="n">
        <v>8.5</v>
      </c>
      <c r="E751" s="187" t="inlineStr">
        <is>
          <t>HIGH</t>
        </is>
      </c>
      <c r="F751" s="187" t="n">
        <v>2</v>
      </c>
      <c r="G751" s="187" t="n">
        <v>3</v>
      </c>
      <c r="H751" s="187" t="inlineStr">
        <is>
          <t>HIGH</t>
        </is>
      </c>
      <c r="I751" s="187" t="n">
        <v>14.5</v>
      </c>
      <c r="J751" s="187" t="inlineStr">
        <is>
          <t>NO</t>
        </is>
      </c>
      <c r="K751" s="187" t="inlineStr">
        <is>
          <t>https://nvd.nist.gov/vuln/detail/CVE-2026-27497</t>
        </is>
      </c>
      <c r="L751" s="187" t="inlineStr">
        <is>
          <t>2026-02-27 20:47</t>
        </is>
      </c>
      <c r="M751" s="187" t="inlineStr">
        <is>
          <t>CHECK_VENDOR</t>
        </is>
      </c>
      <c r="N751" s="187" t="inlineStr">
        <is>
          <t>See NVD references</t>
        </is>
      </c>
      <c r="O751" s="187" t="inlineStr">
        <is>
          <t>Apply vendor patches</t>
        </is>
      </c>
      <c r="P751" s="187" t="inlineStr">
        <is>
          <t>See CVE details</t>
        </is>
      </c>
      <c r="Q751" s="187" t="inlineStr">
        <is>
          <t>P3</t>
        </is>
      </c>
      <c r="R751" s="187" t="inlineStr">
        <is>
          <t>🚨 URGENT: Apply vendor patches immediately | 🔒 Isolate affected systems if patch unavailable | 🛡️ Enable additional monitoring/IDS rules</t>
        </is>
      </c>
      <c r="S751" s="187" t="inlineStr">
        <is>
          <t>CVE - IP enrichment n/a</t>
        </is>
      </c>
      <c r="T751" s="187" t="n">
        <v>0.0005999999999999999</v>
      </c>
      <c r="U751" s="187" t="n">
        <v>0.1718</v>
      </c>
      <c r="V751" s="187" t="inlineStr">
        <is>
          <t>T1190:Exploit Public-Facing Application | T1203:Exploitation for Client Execution</t>
        </is>
      </c>
      <c r="W751" s="187" t="n">
        <v>1</v>
      </c>
      <c r="X751" s="187" t="inlineStr">
        <is>
          <t>LOW (40%)</t>
        </is>
      </c>
      <c r="Y751" s="187" t="inlineStr">
        <is>
          <t>UNLIKELY</t>
        </is>
      </c>
      <c r="Z751" s="187" t="inlineStr">
        <is>
          <t>CHECK_VENDOR</t>
        </is>
      </c>
      <c r="AA751" s="187" t="inlineStr">
        <is>
          <t>https://nvd.nist.gov/vuln/detail/CVE-2026-27497</t>
        </is>
      </c>
      <c r="AB751" s="187" t="inlineStr">
        <is>
          <t>NONE</t>
        </is>
      </c>
      <c r="AC751" s="187" t="n">
        <v>0</v>
      </c>
      <c r="AD751" s="187" t="inlineStr"/>
    </row>
    <row r="752">
      <c r="A752" s="187" t="inlineStr">
        <is>
          <t>CVE</t>
        </is>
      </c>
      <c r="B752" s="187" t="inlineStr">
        <is>
          <t>CVE-2026-27498</t>
        </is>
      </c>
      <c r="C752" s="187"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752" s="187" t="n">
        <v>8.5</v>
      </c>
      <c r="E752" s="187" t="inlineStr">
        <is>
          <t>HIGH</t>
        </is>
      </c>
      <c r="F752" s="187" t="n">
        <v>2</v>
      </c>
      <c r="G752" s="187" t="n">
        <v>3</v>
      </c>
      <c r="H752" s="187" t="inlineStr">
        <is>
          <t>HIGH</t>
        </is>
      </c>
      <c r="I752" s="187" t="n">
        <v>14.5</v>
      </c>
      <c r="J752" s="187" t="inlineStr">
        <is>
          <t>NO</t>
        </is>
      </c>
      <c r="K752" s="187" t="inlineStr">
        <is>
          <t>https://nvd.nist.gov/vuln/detail/CVE-2026-27498</t>
        </is>
      </c>
      <c r="L752" s="187" t="inlineStr">
        <is>
          <t>2026-02-27 20:47</t>
        </is>
      </c>
      <c r="M752" s="187" t="inlineStr">
        <is>
          <t>CHECK_VENDOR</t>
        </is>
      </c>
      <c r="N752" s="187" t="inlineStr">
        <is>
          <t>See NVD references</t>
        </is>
      </c>
      <c r="O752" s="187" t="inlineStr">
        <is>
          <t>Apply vendor patches</t>
        </is>
      </c>
      <c r="P752" s="187" t="inlineStr">
        <is>
          <t>See CVE details</t>
        </is>
      </c>
      <c r="Q752" s="187" t="inlineStr">
        <is>
          <t>P3</t>
        </is>
      </c>
      <c r="R752" s="187" t="inlineStr">
        <is>
          <t>🚨 URGENT: Apply vendor patches immediately | 🔒 Isolate affected systems if patch unavailable | 🛡️ Enable additional monitoring/IDS rules</t>
        </is>
      </c>
      <c r="S752" s="187" t="inlineStr">
        <is>
          <t>CVE - IP enrichment n/a</t>
        </is>
      </c>
      <c r="T752" s="187" t="n">
        <v>0.0059</v>
      </c>
      <c r="U752" s="187" t="n">
        <v>0.6889</v>
      </c>
      <c r="V752" s="187" t="inlineStr">
        <is>
          <t>T1059:Command and Scripting Interpreter | T1190:Exploit Public-Facing Application | T1210:Exploitation of Remote Services</t>
        </is>
      </c>
      <c r="W752" s="187" t="n">
        <v>1</v>
      </c>
      <c r="X752" s="187" t="inlineStr">
        <is>
          <t>LOW (40%)</t>
        </is>
      </c>
      <c r="Y752" s="187" t="inlineStr">
        <is>
          <t>UNLIKELY</t>
        </is>
      </c>
      <c r="Z752" s="187" t="inlineStr">
        <is>
          <t>CHECK_VENDOR</t>
        </is>
      </c>
      <c r="AA752" s="187" t="inlineStr">
        <is>
          <t>https://nvd.nist.gov/vuln/detail/CVE-2026-27498</t>
        </is>
      </c>
      <c r="AB752" s="187" t="inlineStr">
        <is>
          <t>NONE</t>
        </is>
      </c>
      <c r="AC752" s="187" t="n">
        <v>0</v>
      </c>
      <c r="AD752" s="187" t="inlineStr"/>
    </row>
    <row r="753">
      <c r="A753" s="187" t="inlineStr">
        <is>
          <t>CVE</t>
        </is>
      </c>
      <c r="B753" s="187" t="inlineStr">
        <is>
          <t>CVE-2026-27577</t>
        </is>
      </c>
      <c r="C753" s="187"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753" s="187" t="n">
        <v>8.5</v>
      </c>
      <c r="E753" s="187" t="inlineStr">
        <is>
          <t>HIGH</t>
        </is>
      </c>
      <c r="F753" s="187" t="n">
        <v>2</v>
      </c>
      <c r="G753" s="187" t="n">
        <v>3</v>
      </c>
      <c r="H753" s="187" t="inlineStr">
        <is>
          <t>HIGH</t>
        </is>
      </c>
      <c r="I753" s="187" t="n">
        <v>14.5</v>
      </c>
      <c r="J753" s="187" t="inlineStr">
        <is>
          <t>NO</t>
        </is>
      </c>
      <c r="K753" s="187" t="inlineStr">
        <is>
          <t>https://nvd.nist.gov/vuln/detail/CVE-2026-27577</t>
        </is>
      </c>
      <c r="L753" s="187" t="inlineStr">
        <is>
          <t>2026-02-27 20:47</t>
        </is>
      </c>
      <c r="M753" s="187" t="inlineStr">
        <is>
          <t>CHECK_VENDOR</t>
        </is>
      </c>
      <c r="N753" s="187" t="inlineStr">
        <is>
          <t>See NVD references</t>
        </is>
      </c>
      <c r="O753" s="187" t="inlineStr">
        <is>
          <t>Apply vendor patches</t>
        </is>
      </c>
      <c r="P753" s="187" t="inlineStr">
        <is>
          <t>See CVE details</t>
        </is>
      </c>
      <c r="Q753" s="187" t="inlineStr">
        <is>
          <t>P3</t>
        </is>
      </c>
      <c r="R753" s="187" t="inlineStr">
        <is>
          <t>🚨 URGENT: Apply vendor patches immediately | 🔒 Isolate affected systems if patch unavailable | 🛡️ Enable additional monitoring/IDS rules</t>
        </is>
      </c>
      <c r="S753" s="187" t="inlineStr">
        <is>
          <t>CVE - IP enrichment n/a</t>
        </is>
      </c>
      <c r="T753" s="187" t="n">
        <v>0.0009</v>
      </c>
      <c r="U753" s="187" t="n">
        <v>0.2542</v>
      </c>
      <c r="V753" s="187" t="inlineStr">
        <is>
          <t>T1059:Command and Scripting Interpreter | T1190:Exploit Public-Facing Application</t>
        </is>
      </c>
      <c r="W753" s="187" t="n">
        <v>1</v>
      </c>
      <c r="X753" s="187" t="inlineStr">
        <is>
          <t>LOW (40%)</t>
        </is>
      </c>
      <c r="Y753" s="187" t="inlineStr">
        <is>
          <t>UNLIKELY</t>
        </is>
      </c>
      <c r="Z753" s="187" t="inlineStr">
        <is>
          <t>CHECK_VENDOR</t>
        </is>
      </c>
      <c r="AA753" s="187" t="inlineStr">
        <is>
          <t>https://nvd.nist.gov/vuln/detail/CVE-2026-27577</t>
        </is>
      </c>
      <c r="AB753" s="187" t="inlineStr">
        <is>
          <t>NONE</t>
        </is>
      </c>
      <c r="AC753" s="187" t="n">
        <v>0</v>
      </c>
      <c r="AD753" s="187" t="inlineStr"/>
    </row>
    <row r="754">
      <c r="A754" s="187" t="inlineStr">
        <is>
          <t>CVE</t>
        </is>
      </c>
      <c r="B754" s="187" t="inlineStr">
        <is>
          <t>CVE-2026-27578</t>
        </is>
      </c>
      <c r="C754" s="187"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754" s="187" t="n">
        <v>8.5</v>
      </c>
      <c r="E754" s="187" t="inlineStr">
        <is>
          <t>HIGH</t>
        </is>
      </c>
      <c r="F754" s="187" t="n">
        <v>2</v>
      </c>
      <c r="G754" s="187" t="n">
        <v>3</v>
      </c>
      <c r="H754" s="187" t="inlineStr">
        <is>
          <t>HIGH</t>
        </is>
      </c>
      <c r="I754" s="187" t="n">
        <v>14.5</v>
      </c>
      <c r="J754" s="187" t="inlineStr">
        <is>
          <t>NO</t>
        </is>
      </c>
      <c r="K754" s="187" t="inlineStr">
        <is>
          <t>https://nvd.nist.gov/vuln/detail/CVE-2026-27578</t>
        </is>
      </c>
      <c r="L754" s="187" t="inlineStr">
        <is>
          <t>2026-02-27 20:47</t>
        </is>
      </c>
      <c r="M754" s="187" t="inlineStr">
        <is>
          <t>CHECK_VENDOR</t>
        </is>
      </c>
      <c r="N754" s="187" t="inlineStr">
        <is>
          <t>See NVD references</t>
        </is>
      </c>
      <c r="O754" s="187" t="inlineStr">
        <is>
          <t>Apply vendor patches</t>
        </is>
      </c>
      <c r="P754" s="187" t="inlineStr">
        <is>
          <t>See CVE details</t>
        </is>
      </c>
      <c r="Q754" s="187" t="inlineStr">
        <is>
          <t>P3</t>
        </is>
      </c>
      <c r="R754" s="187" t="inlineStr">
        <is>
          <t>🚨 URGENT: Apply vendor patches immediately | 🔒 Isolate affected systems if patch unavailable | 🛡️ Enable additional monitoring/IDS rules</t>
        </is>
      </c>
      <c r="S754" s="187" t="inlineStr">
        <is>
          <t>CVE - IP enrichment n/a</t>
        </is>
      </c>
      <c r="T754" s="187" t="n">
        <v>0.0003</v>
      </c>
      <c r="U754" s="187" t="n">
        <v>0.1029</v>
      </c>
      <c r="V754" s="187" t="inlineStr">
        <is>
          <t>T1189:Drive-by Compromise | T1190:Exploit Public-Facing Application</t>
        </is>
      </c>
      <c r="W754" s="187" t="n">
        <v>1</v>
      </c>
      <c r="X754" s="187" t="inlineStr">
        <is>
          <t>LOW (40%)</t>
        </is>
      </c>
      <c r="Y754" s="187" t="inlineStr">
        <is>
          <t>UNLIKELY</t>
        </is>
      </c>
      <c r="Z754" s="187" t="inlineStr">
        <is>
          <t>CHECK_VENDOR</t>
        </is>
      </c>
      <c r="AA754" s="187" t="inlineStr">
        <is>
          <t>https://nvd.nist.gov/vuln/detail/CVE-2026-27578</t>
        </is>
      </c>
      <c r="AB754" s="187" t="inlineStr">
        <is>
          <t>NONE</t>
        </is>
      </c>
      <c r="AC754" s="187" t="n">
        <v>0</v>
      </c>
      <c r="AD754" s="187" t="inlineStr"/>
    </row>
    <row r="755">
      <c r="A755" s="187" t="inlineStr">
        <is>
          <t>CVE</t>
        </is>
      </c>
      <c r="B755" s="187" t="inlineStr">
        <is>
          <t>CVE-2026-27613</t>
        </is>
      </c>
      <c r="C755" s="187"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755" s="187" t="n">
        <v>8.5</v>
      </c>
      <c r="E755" s="187" t="inlineStr">
        <is>
          <t>HIGH</t>
        </is>
      </c>
      <c r="F755" s="187" t="n">
        <v>2</v>
      </c>
      <c r="G755" s="187" t="n">
        <v>3</v>
      </c>
      <c r="H755" s="187" t="inlineStr">
        <is>
          <t>HIGH</t>
        </is>
      </c>
      <c r="I755" s="187" t="n">
        <v>14.5</v>
      </c>
      <c r="J755" s="187" t="inlineStr">
        <is>
          <t>NO</t>
        </is>
      </c>
      <c r="K755" s="187" t="inlineStr">
        <is>
          <t>https://nvd.nist.gov/vuln/detail/CVE-2026-27613</t>
        </is>
      </c>
      <c r="L755" s="187" t="inlineStr">
        <is>
          <t>2026-02-27 20:47</t>
        </is>
      </c>
      <c r="M755" s="187" t="inlineStr">
        <is>
          <t>CHECK_VENDOR</t>
        </is>
      </c>
      <c r="N755" s="187" t="inlineStr">
        <is>
          <t>See NVD references</t>
        </is>
      </c>
      <c r="O755" s="187" t="inlineStr">
        <is>
          <t>Apply vendor patches</t>
        </is>
      </c>
      <c r="P755" s="187" t="inlineStr">
        <is>
          <t>See CVE details</t>
        </is>
      </c>
      <c r="Q755" s="187" t="inlineStr">
        <is>
          <t>P3</t>
        </is>
      </c>
      <c r="R755" s="187" t="inlineStr">
        <is>
          <t>🚨 URGENT: Apply vendor patches immediately | 🔒 Isolate affected systems if patch unavailable | 🛡️ Enable additional monitoring/IDS rules</t>
        </is>
      </c>
      <c r="S755" s="187" t="inlineStr">
        <is>
          <t>CVE - IP enrichment n/a</t>
        </is>
      </c>
      <c r="T755" s="187" t="n">
        <v>0.0021</v>
      </c>
      <c r="U755" s="187" t="n">
        <v>0.4323</v>
      </c>
      <c r="V755" s="187" t="inlineStr">
        <is>
          <t>T1059:Command and Scripting Interpreter | T1190:Exploit Public-Facing Application | T1210:Exploitation of Remote Services</t>
        </is>
      </c>
      <c r="W755" s="187" t="n">
        <v>1</v>
      </c>
      <c r="X755" s="187" t="inlineStr">
        <is>
          <t>LOW (40%)</t>
        </is>
      </c>
      <c r="Y755" s="187" t="inlineStr">
        <is>
          <t>UNLIKELY</t>
        </is>
      </c>
      <c r="Z755" s="187" t="inlineStr">
        <is>
          <t>CHECK_VENDOR</t>
        </is>
      </c>
      <c r="AA755" s="187" t="inlineStr">
        <is>
          <t>https://nvd.nist.gov/vuln/detail/CVE-2026-27613</t>
        </is>
      </c>
      <c r="AB755" s="187" t="inlineStr">
        <is>
          <t>NONE</t>
        </is>
      </c>
      <c r="AC755" s="187" t="n">
        <v>0</v>
      </c>
      <c r="AD755" s="187" t="inlineStr"/>
    </row>
    <row r="756">
      <c r="A756" s="188" t="inlineStr">
        <is>
          <t>CVE</t>
        </is>
      </c>
      <c r="B756" s="188" t="inlineStr">
        <is>
          <t>CVE-2026-3209</t>
        </is>
      </c>
      <c r="C756" s="188"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756" s="188" t="n">
        <v>6.3</v>
      </c>
      <c r="E756" s="188" t="inlineStr">
        <is>
          <t>MEDIUM</t>
        </is>
      </c>
      <c r="F756" s="188" t="n">
        <v>2</v>
      </c>
      <c r="G756" s="188" t="n">
        <v>2</v>
      </c>
      <c r="H756" s="188" t="inlineStr">
        <is>
          <t>MEDIUM</t>
        </is>
      </c>
      <c r="I756" s="188" t="n">
        <v>10.3</v>
      </c>
      <c r="J756" s="188" t="inlineStr">
        <is>
          <t>NO</t>
        </is>
      </c>
      <c r="K756" s="188" t="inlineStr">
        <is>
          <t>https://nvd.nist.gov/vuln/detail/CVE-2026-3209</t>
        </is>
      </c>
      <c r="L756" s="188" t="inlineStr">
        <is>
          <t>2026-02-27 20:47</t>
        </is>
      </c>
      <c r="M756" s="188" t="inlineStr">
        <is>
          <t>CHECK_VENDOR</t>
        </is>
      </c>
      <c r="N756" s="188" t="inlineStr">
        <is>
          <t>See NVD references</t>
        </is>
      </c>
      <c r="O756" s="188" t="inlineStr">
        <is>
          <t>Apply vendor patches</t>
        </is>
      </c>
      <c r="P756" s="188" t="inlineStr">
        <is>
          <t>See CVE details</t>
        </is>
      </c>
      <c r="Q756" s="188" t="inlineStr">
        <is>
          <t>P4</t>
        </is>
      </c>
      <c r="R756" s="188" t="inlineStr">
        <is>
          <t>📅 Schedule patch deployment within 30 days | 🔍 Monitor for exploitation attempts</t>
        </is>
      </c>
      <c r="S756" s="188" t="inlineStr">
        <is>
          <t>CVE - IP enrichment n/a</t>
        </is>
      </c>
      <c r="T756" s="188" t="n">
        <v>0.0004</v>
      </c>
      <c r="U756" s="188" t="n">
        <v>0.1254</v>
      </c>
      <c r="V756" s="188" t="inlineStr">
        <is>
          <t>T1190:Exploit Public-Facing Application</t>
        </is>
      </c>
      <c r="W756" s="188" t="n">
        <v>1</v>
      </c>
      <c r="X756" s="188" t="inlineStr">
        <is>
          <t>LOW (40%)</t>
        </is>
      </c>
      <c r="Y756" s="188" t="inlineStr">
        <is>
          <t>UNLIKELY</t>
        </is>
      </c>
      <c r="Z756" s="188" t="inlineStr">
        <is>
          <t>CHECK_VENDOR</t>
        </is>
      </c>
      <c r="AA756" s="188" t="inlineStr">
        <is>
          <t>https://nvd.nist.gov/vuln/detail/CVE-2026-3209</t>
        </is>
      </c>
      <c r="AB756" s="188" t="inlineStr">
        <is>
          <t>NONE</t>
        </is>
      </c>
      <c r="AC756" s="188" t="n">
        <v>0</v>
      </c>
      <c r="AD756" s="188" t="inlineStr"/>
    </row>
    <row r="757">
      <c r="A757" s="187" t="inlineStr">
        <is>
          <t>CVE</t>
        </is>
      </c>
      <c r="B757" s="187" t="inlineStr">
        <is>
          <t>CVE-2026-26186</t>
        </is>
      </c>
      <c r="C757" s="187"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757" s="187" t="n">
        <v>8.5</v>
      </c>
      <c r="E757" s="187" t="inlineStr">
        <is>
          <t>HIGH</t>
        </is>
      </c>
      <c r="F757" s="187" t="n">
        <v>2</v>
      </c>
      <c r="G757" s="187" t="n">
        <v>3</v>
      </c>
      <c r="H757" s="187" t="inlineStr">
        <is>
          <t>HIGH</t>
        </is>
      </c>
      <c r="I757" s="187" t="n">
        <v>14.5</v>
      </c>
      <c r="J757" s="187" t="inlineStr">
        <is>
          <t>NO</t>
        </is>
      </c>
      <c r="K757" s="187" t="inlineStr">
        <is>
          <t>https://nvd.nist.gov/vuln/detail/CVE-2026-26186</t>
        </is>
      </c>
      <c r="L757" s="187" t="inlineStr">
        <is>
          <t>2026-02-27 20:47</t>
        </is>
      </c>
      <c r="M757" s="187" t="inlineStr">
        <is>
          <t>CHECK_VENDOR</t>
        </is>
      </c>
      <c r="N757" s="187" t="inlineStr">
        <is>
          <t>See NVD references</t>
        </is>
      </c>
      <c r="O757" s="187" t="inlineStr">
        <is>
          <t>Apply vendor patches</t>
        </is>
      </c>
      <c r="P757" s="187" t="inlineStr">
        <is>
          <t>See CVE details</t>
        </is>
      </c>
      <c r="Q757" s="187" t="inlineStr">
        <is>
          <t>P3</t>
        </is>
      </c>
      <c r="R757" s="187" t="inlineStr">
        <is>
          <t>🚨 URGENT: Apply vendor patches immediately | 🔒 Isolate affected systems if patch unavailable | 🛡️ Enable additional monitoring/IDS rules</t>
        </is>
      </c>
      <c r="S757" s="187" t="inlineStr">
        <is>
          <t>CVE - IP enrichment n/a</t>
        </is>
      </c>
      <c r="T757" s="187" t="n">
        <v>0.0004</v>
      </c>
      <c r="U757" s="187" t="n">
        <v>0.1366</v>
      </c>
      <c r="V757" s="187" t="inlineStr">
        <is>
          <t>T1190:Exploit Public-Facing Application | T1499:Endpoint Denial of Service</t>
        </is>
      </c>
      <c r="W757" s="187" t="n">
        <v>1</v>
      </c>
      <c r="X757" s="187" t="inlineStr">
        <is>
          <t>LOW (40%)</t>
        </is>
      </c>
      <c r="Y757" s="187" t="inlineStr">
        <is>
          <t>UNLIKELY</t>
        </is>
      </c>
      <c r="Z757" s="187" t="inlineStr">
        <is>
          <t>CHECK_VENDOR</t>
        </is>
      </c>
      <c r="AA757" s="187" t="inlineStr">
        <is>
          <t>https://nvd.nist.gov/vuln/detail/CVE-2026-26186</t>
        </is>
      </c>
      <c r="AB757" s="187" t="inlineStr">
        <is>
          <t>NONE</t>
        </is>
      </c>
      <c r="AC757" s="187" t="n">
        <v>0</v>
      </c>
      <c r="AD757" s="187" t="inlineStr"/>
    </row>
    <row r="758">
      <c r="A758" s="187" t="inlineStr">
        <is>
          <t>CVE</t>
        </is>
      </c>
      <c r="B758" s="187" t="inlineStr">
        <is>
          <t>CVE-2026-27630</t>
        </is>
      </c>
      <c r="C758" s="187"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758" s="187" t="n">
        <v>8.5</v>
      </c>
      <c r="E758" s="187" t="inlineStr">
        <is>
          <t>HIGH</t>
        </is>
      </c>
      <c r="F758" s="187" t="n">
        <v>2</v>
      </c>
      <c r="G758" s="187" t="n">
        <v>3</v>
      </c>
      <c r="H758" s="187" t="inlineStr">
        <is>
          <t>HIGH</t>
        </is>
      </c>
      <c r="I758" s="187" t="n">
        <v>14.5</v>
      </c>
      <c r="J758" s="187" t="inlineStr">
        <is>
          <t>NO</t>
        </is>
      </c>
      <c r="K758" s="187" t="inlineStr">
        <is>
          <t>https://nvd.nist.gov/vuln/detail/CVE-2026-27630</t>
        </is>
      </c>
      <c r="L758" s="187" t="inlineStr">
        <is>
          <t>2026-02-27 20:47</t>
        </is>
      </c>
      <c r="M758" s="187" t="inlineStr">
        <is>
          <t>CHECK_VENDOR</t>
        </is>
      </c>
      <c r="N758" s="187" t="inlineStr">
        <is>
          <t>See NVD references</t>
        </is>
      </c>
      <c r="O758" s="187" t="inlineStr">
        <is>
          <t>Apply vendor patches</t>
        </is>
      </c>
      <c r="P758" s="187" t="inlineStr">
        <is>
          <t>See CVE details</t>
        </is>
      </c>
      <c r="Q758" s="187" t="inlineStr">
        <is>
          <t>P3</t>
        </is>
      </c>
      <c r="R758" s="187" t="inlineStr">
        <is>
          <t>🚨 URGENT: Apply vendor patches immediately | 🔒 Isolate affected systems if patch unavailable | 🛡️ Enable additional monitoring/IDS rules</t>
        </is>
      </c>
      <c r="S758" s="187" t="inlineStr">
        <is>
          <t>CVE - IP enrichment n/a</t>
        </is>
      </c>
      <c r="T758" s="187" t="n">
        <v>0.0009</v>
      </c>
      <c r="U758" s="187" t="n">
        <v>0.2587</v>
      </c>
      <c r="V758" s="187" t="inlineStr">
        <is>
          <t>T1190:Exploit Public-Facing Application | T1499:Endpoint Denial of Service | T1562:Impair Defenses</t>
        </is>
      </c>
      <c r="W758" s="187" t="n">
        <v>1</v>
      </c>
      <c r="X758" s="187" t="inlineStr">
        <is>
          <t>LOW (40%)</t>
        </is>
      </c>
      <c r="Y758" s="187" t="inlineStr">
        <is>
          <t>UNLIKELY</t>
        </is>
      </c>
      <c r="Z758" s="187" t="inlineStr">
        <is>
          <t>CHECK_VENDOR</t>
        </is>
      </c>
      <c r="AA758" s="187" t="inlineStr">
        <is>
          <t>https://nvd.nist.gov/vuln/detail/CVE-2026-27630</t>
        </is>
      </c>
      <c r="AB758" s="187" t="inlineStr">
        <is>
          <t>NONE</t>
        </is>
      </c>
      <c r="AC758" s="187" t="n">
        <v>0</v>
      </c>
      <c r="AD758" s="187" t="inlineStr"/>
    </row>
    <row r="759">
      <c r="A759" s="187" t="inlineStr">
        <is>
          <t>CVE</t>
        </is>
      </c>
      <c r="B759" s="187" t="inlineStr">
        <is>
          <t>CVE-2026-27633</t>
        </is>
      </c>
      <c r="C759" s="187"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759" s="187" t="n">
        <v>8.5</v>
      </c>
      <c r="E759" s="187" t="inlineStr">
        <is>
          <t>HIGH</t>
        </is>
      </c>
      <c r="F759" s="187" t="n">
        <v>2</v>
      </c>
      <c r="G759" s="187" t="n">
        <v>3</v>
      </c>
      <c r="H759" s="187" t="inlineStr">
        <is>
          <t>HIGH</t>
        </is>
      </c>
      <c r="I759" s="187" t="n">
        <v>14.5</v>
      </c>
      <c r="J759" s="187" t="inlineStr">
        <is>
          <t>NO</t>
        </is>
      </c>
      <c r="K759" s="187" t="inlineStr">
        <is>
          <t>https://nvd.nist.gov/vuln/detail/CVE-2026-27633</t>
        </is>
      </c>
      <c r="L759" s="187" t="inlineStr">
        <is>
          <t>2026-02-27 20:47</t>
        </is>
      </c>
      <c r="M759" s="187" t="inlineStr">
        <is>
          <t>CHECK_VENDOR</t>
        </is>
      </c>
      <c r="N759" s="187" t="inlineStr">
        <is>
          <t>See NVD references</t>
        </is>
      </c>
      <c r="O759" s="187" t="inlineStr">
        <is>
          <t>Apply vendor patches</t>
        </is>
      </c>
      <c r="P759" s="187" t="inlineStr">
        <is>
          <t>See CVE details</t>
        </is>
      </c>
      <c r="Q759" s="187" t="inlineStr">
        <is>
          <t>P3</t>
        </is>
      </c>
      <c r="R759" s="187" t="inlineStr">
        <is>
          <t>🚨 URGENT: Apply vendor patches immediately | 🔒 Isolate affected systems if patch unavailable | 🛡️ Enable additional monitoring/IDS rules</t>
        </is>
      </c>
      <c r="S759" s="187" t="inlineStr">
        <is>
          <t>CVE - IP enrichment n/a</t>
        </is>
      </c>
      <c r="T759" s="187" t="n">
        <v>0.0009</v>
      </c>
      <c r="U759" s="187" t="n">
        <v>0.2587</v>
      </c>
      <c r="V759" s="187" t="inlineStr">
        <is>
          <t>T1499:Endpoint Denial of Service | T1562:Impair Defenses</t>
        </is>
      </c>
      <c r="W759" s="187" t="n">
        <v>1</v>
      </c>
      <c r="X759" s="187" t="inlineStr">
        <is>
          <t>LOW (40%)</t>
        </is>
      </c>
      <c r="Y759" s="187" t="inlineStr">
        <is>
          <t>UNLIKELY</t>
        </is>
      </c>
      <c r="Z759" s="187" t="inlineStr">
        <is>
          <t>CHECK_VENDOR</t>
        </is>
      </c>
      <c r="AA759" s="187" t="inlineStr">
        <is>
          <t>https://nvd.nist.gov/vuln/detail/CVE-2026-27633</t>
        </is>
      </c>
      <c r="AB759" s="187" t="inlineStr">
        <is>
          <t>NONE</t>
        </is>
      </c>
      <c r="AC759" s="187" t="n">
        <v>0</v>
      </c>
      <c r="AD759" s="187" t="inlineStr"/>
    </row>
    <row r="760">
      <c r="A760" s="187" t="inlineStr">
        <is>
          <t>CVE</t>
        </is>
      </c>
      <c r="B760" s="187" t="inlineStr">
        <is>
          <t>CVE-2026-27635</t>
        </is>
      </c>
      <c r="C760" s="187"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760" s="187" t="n">
        <v>7.5</v>
      </c>
      <c r="E760" s="187" t="inlineStr">
        <is>
          <t>HIGH</t>
        </is>
      </c>
      <c r="F760" s="187" t="n">
        <v>2</v>
      </c>
      <c r="G760" s="187" t="n">
        <v>3</v>
      </c>
      <c r="H760" s="187" t="inlineStr">
        <is>
          <t>HIGH</t>
        </is>
      </c>
      <c r="I760" s="187" t="n">
        <v>13.5</v>
      </c>
      <c r="J760" s="187" t="inlineStr">
        <is>
          <t>NO</t>
        </is>
      </c>
      <c r="K760" s="187" t="inlineStr">
        <is>
          <t>https://nvd.nist.gov/vuln/detail/CVE-2026-27635</t>
        </is>
      </c>
      <c r="L760" s="187" t="inlineStr">
        <is>
          <t>2026-02-27 20:47</t>
        </is>
      </c>
      <c r="M760" s="187" t="inlineStr">
        <is>
          <t>CHECK_VENDOR</t>
        </is>
      </c>
      <c r="N760" s="187" t="inlineStr">
        <is>
          <t>See NVD references</t>
        </is>
      </c>
      <c r="O760" s="187" t="inlineStr">
        <is>
          <t>Apply vendor patches</t>
        </is>
      </c>
      <c r="P760" s="187" t="inlineStr">
        <is>
          <t>See CVE details</t>
        </is>
      </c>
      <c r="Q760" s="187" t="inlineStr">
        <is>
          <t>P3</t>
        </is>
      </c>
      <c r="R760" s="187" t="inlineStr">
        <is>
          <t>🚨 URGENT: Apply vendor patches immediately | 🔒 Isolate affected systems if patch unavailable | 🛡️ Enable additional monitoring/IDS rules</t>
        </is>
      </c>
      <c r="S760" s="187" t="inlineStr">
        <is>
          <t>CVE - IP enrichment n/a</t>
        </is>
      </c>
      <c r="T760" s="187" t="n">
        <v>0.0005</v>
      </c>
      <c r="U760" s="187" t="n">
        <v>0.1456</v>
      </c>
      <c r="V760" s="187" t="inlineStr">
        <is>
          <t>T1059:Command and Scripting Interpreter | T1190:Exploit Public-Facing Application</t>
        </is>
      </c>
      <c r="W760" s="187" t="n">
        <v>1</v>
      </c>
      <c r="X760" s="187" t="inlineStr">
        <is>
          <t>LOW (40%)</t>
        </is>
      </c>
      <c r="Y760" s="187" t="inlineStr">
        <is>
          <t>UNLIKELY</t>
        </is>
      </c>
      <c r="Z760" s="187" t="inlineStr">
        <is>
          <t>CHECK_VENDOR</t>
        </is>
      </c>
      <c r="AA760" s="187" t="inlineStr">
        <is>
          <t>https://nvd.nist.gov/vuln/detail/CVE-2026-27635</t>
        </is>
      </c>
      <c r="AB760" s="187" t="inlineStr">
        <is>
          <t>NONE</t>
        </is>
      </c>
      <c r="AC760" s="187" t="n">
        <v>0</v>
      </c>
      <c r="AD760" s="187" t="inlineStr"/>
    </row>
    <row r="761">
      <c r="A761" s="188" t="inlineStr">
        <is>
          <t>CVE</t>
        </is>
      </c>
      <c r="B761" s="188" t="inlineStr">
        <is>
          <t>CVE-2026-27709</t>
        </is>
      </c>
      <c r="C761" s="188"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761" s="188" t="n">
        <v>6.6</v>
      </c>
      <c r="E761" s="188" t="inlineStr">
        <is>
          <t>MEDIUM</t>
        </is>
      </c>
      <c r="F761" s="188" t="n">
        <v>2</v>
      </c>
      <c r="G761" s="188" t="n">
        <v>2</v>
      </c>
      <c r="H761" s="188" t="inlineStr">
        <is>
          <t>MEDIUM</t>
        </is>
      </c>
      <c r="I761" s="188" t="n">
        <v>10.6</v>
      </c>
      <c r="J761" s="188" t="inlineStr">
        <is>
          <t>NO</t>
        </is>
      </c>
      <c r="K761" s="188" t="inlineStr">
        <is>
          <t>https://nvd.nist.gov/vuln/detail/CVE-2026-27709</t>
        </is>
      </c>
      <c r="L761" s="188" t="inlineStr">
        <is>
          <t>2026-02-27 20:47</t>
        </is>
      </c>
      <c r="M761" s="188" t="inlineStr">
        <is>
          <t>YES</t>
        </is>
      </c>
      <c r="N761" s="188" t="inlineStr">
        <is>
          <t>https://github.com/M2Team/NanaZip/security/advisories/GHSA-vr4w-xc78-w6fv | https://github.com/M2Team/NanaZip/security/advisories/GHSA-vr4w-xc78-w6fv</t>
        </is>
      </c>
      <c r="O761" s="188" t="inlineStr">
        <is>
          <t>Apply vendor patches</t>
        </is>
      </c>
      <c r="P761" s="188" t="inlineStr">
        <is>
          <t>m2team nanazip *</t>
        </is>
      </c>
      <c r="Q761" s="188" t="inlineStr">
        <is>
          <t>P4</t>
        </is>
      </c>
      <c r="R761" s="188" t="inlineStr">
        <is>
          <t>📅 Schedule patch deployment within 30 days | 🔍 Monitor for exploitation attempts</t>
        </is>
      </c>
      <c r="S761" s="188" t="inlineStr">
        <is>
          <t>CVE - IP enrichment n/a</t>
        </is>
      </c>
      <c r="T761" s="188" t="n">
        <v>0.0001</v>
      </c>
      <c r="U761" s="188" t="n">
        <v>0.0251</v>
      </c>
      <c r="V761" s="188" t="inlineStr">
        <is>
          <t>T1203:Exploitation for Client Execution | T1190:Exploit Public-Facing Application</t>
        </is>
      </c>
      <c r="W761" s="188" t="n">
        <v>1</v>
      </c>
      <c r="X761" s="188" t="inlineStr">
        <is>
          <t>LOW (40%)</t>
        </is>
      </c>
      <c r="Y761" s="188" t="inlineStr">
        <is>
          <t>UNLIKELY</t>
        </is>
      </c>
      <c r="Z761" s="188" t="inlineStr">
        <is>
          <t>PATCH_AVAILABLE</t>
        </is>
      </c>
      <c r="AA761" s="188" t="inlineStr">
        <is>
          <t>https://nvd.nist.gov/vuln/detail/CVE-2026-27709</t>
        </is>
      </c>
      <c r="AB761" s="188" t="inlineStr">
        <is>
          <t>NONE</t>
        </is>
      </c>
      <c r="AC761" s="188" t="n">
        <v>0</v>
      </c>
      <c r="AD761" s="188" t="inlineStr"/>
    </row>
    <row r="762">
      <c r="A762" s="188" t="inlineStr">
        <is>
          <t>CVE</t>
        </is>
      </c>
      <c r="B762" s="188" t="inlineStr">
        <is>
          <t>CVE-2026-27710</t>
        </is>
      </c>
      <c r="C762" s="188"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762" s="188" t="n">
        <v>5</v>
      </c>
      <c r="E762" s="188" t="inlineStr">
        <is>
          <t>MEDIUM</t>
        </is>
      </c>
      <c r="F762" s="188" t="n">
        <v>2</v>
      </c>
      <c r="G762" s="188" t="n">
        <v>2</v>
      </c>
      <c r="H762" s="188" t="inlineStr">
        <is>
          <t>MEDIUM</t>
        </is>
      </c>
      <c r="I762" s="188" t="n">
        <v>9</v>
      </c>
      <c r="J762" s="188" t="inlineStr">
        <is>
          <t>NO</t>
        </is>
      </c>
      <c r="K762" s="188" t="inlineStr">
        <is>
          <t>https://nvd.nist.gov/vuln/detail/CVE-2026-27710</t>
        </is>
      </c>
      <c r="L762" s="188" t="inlineStr">
        <is>
          <t>2026-02-27 20:47</t>
        </is>
      </c>
      <c r="M762" s="188" t="inlineStr">
        <is>
          <t>YES</t>
        </is>
      </c>
      <c r="N762" s="188" t="inlineStr">
        <is>
          <t>https://github.com/M2Team/NanaZip/security/advisories/GHSA-89qw-8p49-32wf | https://github.com/M2Team/NanaZip/security/advisories/GHSA-89qw-8p49-32wf</t>
        </is>
      </c>
      <c r="O762" s="188" t="inlineStr">
        <is>
          <t>Apply vendor patches</t>
        </is>
      </c>
      <c r="P762" s="188" t="inlineStr">
        <is>
          <t>m2team nanazip *</t>
        </is>
      </c>
      <c r="Q762" s="188" t="inlineStr">
        <is>
          <t>P4</t>
        </is>
      </c>
      <c r="R762" s="188" t="inlineStr">
        <is>
          <t>📅 Schedule patch deployment within 30 days | 🔍 Monitor for exploitation attempts</t>
        </is>
      </c>
      <c r="S762" s="188" t="inlineStr">
        <is>
          <t>CVE - IP enrichment n/a</t>
        </is>
      </c>
      <c r="T762" s="188" t="n">
        <v>0.0001</v>
      </c>
      <c r="U762" s="188" t="n">
        <v>0.0251</v>
      </c>
      <c r="V762" s="188" t="inlineStr">
        <is>
          <t>T1190:Exploit Public-Facing Application</t>
        </is>
      </c>
      <c r="W762" s="188" t="n">
        <v>1</v>
      </c>
      <c r="X762" s="188" t="inlineStr">
        <is>
          <t>LOW (40%)</t>
        </is>
      </c>
      <c r="Y762" s="188" t="inlineStr">
        <is>
          <t>UNLIKELY</t>
        </is>
      </c>
      <c r="Z762" s="188" t="inlineStr">
        <is>
          <t>PATCH_AVAILABLE</t>
        </is>
      </c>
      <c r="AA762" s="188" t="inlineStr">
        <is>
          <t>https://nvd.nist.gov/vuln/detail/CVE-2026-27710</t>
        </is>
      </c>
      <c r="AB762" s="188" t="inlineStr">
        <is>
          <t>NONE</t>
        </is>
      </c>
      <c r="AC762" s="188" t="n">
        <v>0</v>
      </c>
      <c r="AD762" s="188" t="inlineStr"/>
    </row>
    <row r="763">
      <c r="A763" s="188" t="inlineStr">
        <is>
          <t>CVE</t>
        </is>
      </c>
      <c r="B763" s="188" t="inlineStr">
        <is>
          <t>CVE-2026-27711</t>
        </is>
      </c>
      <c r="C763" s="188"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763" s="188" t="n">
        <v>6.6</v>
      </c>
      <c r="E763" s="188" t="inlineStr">
        <is>
          <t>MEDIUM</t>
        </is>
      </c>
      <c r="F763" s="188" t="n">
        <v>2</v>
      </c>
      <c r="G763" s="188" t="n">
        <v>2</v>
      </c>
      <c r="H763" s="188" t="inlineStr">
        <is>
          <t>MEDIUM</t>
        </is>
      </c>
      <c r="I763" s="188" t="n">
        <v>10.6</v>
      </c>
      <c r="J763" s="188" t="inlineStr">
        <is>
          <t>NO</t>
        </is>
      </c>
      <c r="K763" s="188" t="inlineStr">
        <is>
          <t>https://nvd.nist.gov/vuln/detail/CVE-2026-27711</t>
        </is>
      </c>
      <c r="L763" s="188" t="inlineStr">
        <is>
          <t>2026-02-27 20:47</t>
        </is>
      </c>
      <c r="M763" s="188" t="inlineStr">
        <is>
          <t>YES</t>
        </is>
      </c>
      <c r="N763" s="188" t="inlineStr">
        <is>
          <t>https://github.com/M2Team/NanaZip/security/advisories/GHSA-rjwv-4w7x-hc9c | https://github.com/M2Team/NanaZip/security/advisories/GHSA-rjwv-4w7x-hc9c</t>
        </is>
      </c>
      <c r="O763" s="188" t="inlineStr">
        <is>
          <t>Apply vendor patches</t>
        </is>
      </c>
      <c r="P763" s="188" t="inlineStr">
        <is>
          <t>m2team nanazip *</t>
        </is>
      </c>
      <c r="Q763" s="188" t="inlineStr">
        <is>
          <t>P4</t>
        </is>
      </c>
      <c r="R763" s="188" t="inlineStr">
        <is>
          <t>📅 Schedule patch deployment within 30 days | 🔍 Monitor for exploitation attempts</t>
        </is>
      </c>
      <c r="S763" s="188" t="inlineStr">
        <is>
          <t>CVE - IP enrichment n/a</t>
        </is>
      </c>
      <c r="T763" s="188" t="n">
        <v>0.0002</v>
      </c>
      <c r="U763" s="188" t="n">
        <v>0.0369</v>
      </c>
      <c r="V763" s="188" t="inlineStr">
        <is>
          <t>T1203:Exploitation for Client Execution | T1190:Exploit Public-Facing Application</t>
        </is>
      </c>
      <c r="W763" s="188" t="n">
        <v>1</v>
      </c>
      <c r="X763" s="188" t="inlineStr">
        <is>
          <t>LOW (40%)</t>
        </is>
      </c>
      <c r="Y763" s="188" t="inlineStr">
        <is>
          <t>UNLIKELY</t>
        </is>
      </c>
      <c r="Z763" s="188" t="inlineStr">
        <is>
          <t>PATCH_AVAILABLE</t>
        </is>
      </c>
      <c r="AA763" s="188" t="inlineStr">
        <is>
          <t>https://nvd.nist.gov/vuln/detail/CVE-2026-27711</t>
        </is>
      </c>
      <c r="AB763" s="188" t="inlineStr">
        <is>
          <t>NONE</t>
        </is>
      </c>
      <c r="AC763" s="188" t="n">
        <v>0</v>
      </c>
      <c r="AD763" s="188" t="inlineStr"/>
    </row>
    <row r="764">
      <c r="A764" s="188" t="inlineStr">
        <is>
          <t>CVE</t>
        </is>
      </c>
      <c r="B764" s="188" t="inlineStr">
        <is>
          <t>CVE-2026-27735</t>
        </is>
      </c>
      <c r="C764" s="188"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764" s="188" t="n">
        <v>5</v>
      </c>
      <c r="E764" s="188" t="inlineStr">
        <is>
          <t>MEDIUM</t>
        </is>
      </c>
      <c r="F764" s="188" t="n">
        <v>2</v>
      </c>
      <c r="G764" s="188" t="n">
        <v>2</v>
      </c>
      <c r="H764" s="188" t="inlineStr">
        <is>
          <t>MEDIUM</t>
        </is>
      </c>
      <c r="I764" s="188" t="n">
        <v>9</v>
      </c>
      <c r="J764" s="188" t="inlineStr">
        <is>
          <t>NO</t>
        </is>
      </c>
      <c r="K764" s="188" t="inlineStr">
        <is>
          <t>https://nvd.nist.gov/vuln/detail/CVE-2026-27735</t>
        </is>
      </c>
      <c r="L764" s="188" t="inlineStr">
        <is>
          <t>2026-02-27 20:47</t>
        </is>
      </c>
      <c r="M764" s="188" t="inlineStr">
        <is>
          <t>CHECK_VENDOR</t>
        </is>
      </c>
      <c r="N764" s="188" t="inlineStr">
        <is>
          <t>See NVD references</t>
        </is>
      </c>
      <c r="O764" s="188" t="inlineStr">
        <is>
          <t>Apply vendor patches</t>
        </is>
      </c>
      <c r="P764" s="188" t="inlineStr">
        <is>
          <t>See CVE details</t>
        </is>
      </c>
      <c r="Q764" s="188" t="inlineStr">
        <is>
          <t>P4</t>
        </is>
      </c>
      <c r="R764" s="188" t="inlineStr">
        <is>
          <t>📅 Schedule patch deployment within 30 days | 🔍 Monitor for exploitation attempts</t>
        </is>
      </c>
      <c r="S764" s="188" t="inlineStr">
        <is>
          <t>CVE - IP enrichment n/a</t>
        </is>
      </c>
      <c r="T764" s="188" t="n">
        <v>0.0005</v>
      </c>
      <c r="U764" s="188" t="n">
        <v>0.1417</v>
      </c>
      <c r="V764" s="188" t="inlineStr">
        <is>
          <t>T1083:File and Directory Discovery</t>
        </is>
      </c>
      <c r="W764" s="188" t="n">
        <v>1</v>
      </c>
      <c r="X764" s="188" t="inlineStr">
        <is>
          <t>LOW (40%)</t>
        </is>
      </c>
      <c r="Y764" s="188" t="inlineStr">
        <is>
          <t>UNLIKELY</t>
        </is>
      </c>
      <c r="Z764" s="188" t="inlineStr">
        <is>
          <t>CHECK_VENDOR</t>
        </is>
      </c>
      <c r="AA764" s="188" t="inlineStr">
        <is>
          <t>https://nvd.nist.gov/vuln/detail/CVE-2026-27735</t>
        </is>
      </c>
      <c r="AB764" s="188" t="inlineStr">
        <is>
          <t>NONE</t>
        </is>
      </c>
      <c r="AC764" s="188" t="n">
        <v>0</v>
      </c>
      <c r="AD764" s="188" t="inlineStr"/>
    </row>
    <row r="765">
      <c r="A765" s="188" t="inlineStr">
        <is>
          <t>CVE</t>
        </is>
      </c>
      <c r="B765" s="188" t="inlineStr">
        <is>
          <t>CVE-2026-27798</t>
        </is>
      </c>
      <c r="C765" s="188"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765" s="188" t="n">
        <v>4</v>
      </c>
      <c r="E765" s="188" t="inlineStr">
        <is>
          <t>MEDIUM</t>
        </is>
      </c>
      <c r="F765" s="188" t="n">
        <v>2</v>
      </c>
      <c r="G765" s="188" t="n">
        <v>2</v>
      </c>
      <c r="H765" s="188" t="inlineStr">
        <is>
          <t>MEDIUM</t>
        </is>
      </c>
      <c r="I765" s="188" t="n">
        <v>9</v>
      </c>
      <c r="J765" s="188" t="inlineStr">
        <is>
          <t>NO</t>
        </is>
      </c>
      <c r="K765" s="188" t="inlineStr">
        <is>
          <t>https://nvd.nist.gov/vuln/detail/CVE-2026-27798</t>
        </is>
      </c>
      <c r="L765" s="188" t="inlineStr">
        <is>
          <t>2026-02-27 20:47</t>
        </is>
      </c>
      <c r="M765" s="188" t="inlineStr">
        <is>
          <t>YES</t>
        </is>
      </c>
      <c r="N765" s="188" t="inlineStr">
        <is>
          <t>https://github.com/ImageMagick/ImageMagick/commit/0377e60b3c0d766bd7271221c95d9ee54f6a3738 | https://github.com/ImageMagick/ImageMagick/security/advisories/GHSA-qpgx-jfcq-r59f</t>
        </is>
      </c>
      <c r="O765" s="188" t="inlineStr">
        <is>
          <t>Apply vendor patches</t>
        </is>
      </c>
      <c r="P765" s="188" t="inlineStr">
        <is>
          <t>dlemstra magick.net * | imagemagick imagemagick *</t>
        </is>
      </c>
      <c r="Q765" s="188" t="inlineStr">
        <is>
          <t>P3</t>
        </is>
      </c>
      <c r="R765" s="188" t="inlineStr">
        <is>
          <t>📅 Schedule patch deployment within 30 days | 🔍 Monitor for exploitation attempts</t>
        </is>
      </c>
      <c r="S765" s="188" t="inlineStr">
        <is>
          <t>CVE - IP enrichment n/a</t>
        </is>
      </c>
      <c r="T765" s="188" t="n">
        <v>0.0001</v>
      </c>
      <c r="U765" s="188" t="n">
        <v>0.0138</v>
      </c>
      <c r="V765" s="188" t="inlineStr">
        <is>
          <t>T1203:Exploitation for Client Execution | T1190:Exploit Public-Facing Application</t>
        </is>
      </c>
      <c r="W765" s="188" t="n">
        <v>2</v>
      </c>
      <c r="X765" s="188" t="inlineStr">
        <is>
          <t>MEDIUM (52%)</t>
        </is>
      </c>
      <c r="Y765" s="188" t="inlineStr">
        <is>
          <t>UNLIKELY</t>
        </is>
      </c>
      <c r="Z765" s="188" t="inlineStr">
        <is>
          <t>PATCH_AVAILABLE</t>
        </is>
      </c>
      <c r="AA765" s="188" t="inlineStr">
        <is>
          <t>https://nvd.nist.gov/vuln/detail/CVE-2026-27798</t>
        </is>
      </c>
      <c r="AB765" s="188" t="inlineStr">
        <is>
          <t>NONE</t>
        </is>
      </c>
      <c r="AC765" s="188" t="n">
        <v>0</v>
      </c>
      <c r="AD765" s="188" t="inlineStr"/>
    </row>
    <row r="766">
      <c r="A766" s="188" t="inlineStr">
        <is>
          <t>CVE</t>
        </is>
      </c>
      <c r="B766" s="188" t="inlineStr">
        <is>
          <t>CVE-2026-27799</t>
        </is>
      </c>
      <c r="C766" s="188"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766" s="188" t="n">
        <v>4</v>
      </c>
      <c r="E766" s="188" t="inlineStr">
        <is>
          <t>MEDIUM</t>
        </is>
      </c>
      <c r="F766" s="188" t="n">
        <v>2</v>
      </c>
      <c r="G766" s="188" t="n">
        <v>2</v>
      </c>
      <c r="H766" s="188" t="inlineStr">
        <is>
          <t>MEDIUM</t>
        </is>
      </c>
      <c r="I766" s="188" t="n">
        <v>9</v>
      </c>
      <c r="J766" s="188" t="inlineStr">
        <is>
          <t>NO</t>
        </is>
      </c>
      <c r="K766" s="188" t="inlineStr">
        <is>
          <t>https://nvd.nist.gov/vuln/detail/CVE-2026-27799</t>
        </is>
      </c>
      <c r="L766" s="188" t="inlineStr">
        <is>
          <t>2026-02-27 20:47</t>
        </is>
      </c>
      <c r="M766" s="188" t="inlineStr">
        <is>
          <t>YES</t>
        </is>
      </c>
      <c r="N766" s="188" t="inlineStr">
        <is>
          <t>https://github.com/ImageMagick/ImageMagick/commit/e87695b3227978ad70b967b8d054baaf8ac2cced | https://github.com/ImageMagick/ImageMagick/security/advisories/GHSA-r99p-5442-q2x2</t>
        </is>
      </c>
      <c r="O766" s="188" t="inlineStr">
        <is>
          <t>Apply vendor patches</t>
        </is>
      </c>
      <c r="P766" s="188" t="inlineStr">
        <is>
          <t>dlemstra magick.net * | imagemagick imagemagick *</t>
        </is>
      </c>
      <c r="Q766" s="188" t="inlineStr">
        <is>
          <t>P3</t>
        </is>
      </c>
      <c r="R766" s="188" t="inlineStr">
        <is>
          <t>📅 Schedule patch deployment within 30 days | 🔍 Monitor for exploitation attempts</t>
        </is>
      </c>
      <c r="S766" s="188" t="inlineStr">
        <is>
          <t>CVE - IP enrichment n/a</t>
        </is>
      </c>
      <c r="T766" s="188" t="n">
        <v>0.0001</v>
      </c>
      <c r="U766" s="188" t="n">
        <v>0.0162</v>
      </c>
      <c r="V766" s="188" t="inlineStr">
        <is>
          <t>T1190:Exploit Public-Facing Application | T1203:Exploitation for Client Execution</t>
        </is>
      </c>
      <c r="W766" s="188" t="n">
        <v>2</v>
      </c>
      <c r="X766" s="188" t="inlineStr">
        <is>
          <t>MEDIUM (52%)</t>
        </is>
      </c>
      <c r="Y766" s="188" t="inlineStr">
        <is>
          <t>UNLIKELY</t>
        </is>
      </c>
      <c r="Z766" s="188" t="inlineStr">
        <is>
          <t>PATCH_AVAILABLE</t>
        </is>
      </c>
      <c r="AA766" s="188" t="inlineStr">
        <is>
          <t>https://nvd.nist.gov/vuln/detail/CVE-2026-27799</t>
        </is>
      </c>
      <c r="AB766" s="188" t="inlineStr">
        <is>
          <t>NONE</t>
        </is>
      </c>
      <c r="AC766" s="188" t="n">
        <v>0</v>
      </c>
      <c r="AD766" s="188" t="inlineStr"/>
    </row>
    <row r="767">
      <c r="A767" s="187" t="inlineStr">
        <is>
          <t>CVE</t>
        </is>
      </c>
      <c r="B767" s="187" t="inlineStr">
        <is>
          <t>CVE-2026-27800</t>
        </is>
      </c>
      <c r="C767" s="187"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767" s="187" t="n">
        <v>7.4</v>
      </c>
      <c r="E767" s="187" t="inlineStr">
        <is>
          <t>HIGH</t>
        </is>
      </c>
      <c r="F767" s="187" t="n">
        <v>2</v>
      </c>
      <c r="G767" s="187" t="n">
        <v>3</v>
      </c>
      <c r="H767" s="187" t="inlineStr">
        <is>
          <t>HIGH</t>
        </is>
      </c>
      <c r="I767" s="187" t="n">
        <v>13.4</v>
      </c>
      <c r="J767" s="187" t="inlineStr">
        <is>
          <t>NO</t>
        </is>
      </c>
      <c r="K767" s="187" t="inlineStr">
        <is>
          <t>https://nvd.nist.gov/vuln/detail/CVE-2026-27800</t>
        </is>
      </c>
      <c r="L767" s="187" t="inlineStr">
        <is>
          <t>2026-02-27 20:47</t>
        </is>
      </c>
      <c r="M767" s="187" t="inlineStr">
        <is>
          <t>CHECK_VENDOR</t>
        </is>
      </c>
      <c r="N767" s="187" t="inlineStr">
        <is>
          <t>See NVD references</t>
        </is>
      </c>
      <c r="O767" s="187" t="inlineStr">
        <is>
          <t>Apply vendor patches</t>
        </is>
      </c>
      <c r="P767" s="187" t="inlineStr">
        <is>
          <t>See CVE details</t>
        </is>
      </c>
      <c r="Q767" s="187" t="inlineStr">
        <is>
          <t>P3</t>
        </is>
      </c>
      <c r="R767" s="187" t="inlineStr">
        <is>
          <t>🚨 URGENT: Apply vendor patches immediately | 🔒 Isolate affected systems if patch unavailable | 🛡️ Enable additional monitoring/IDS rules</t>
        </is>
      </c>
      <c r="S767" s="187" t="inlineStr">
        <is>
          <t>CVE - IP enrichment n/a</t>
        </is>
      </c>
      <c r="T767" s="187" t="n">
        <v>0.0003</v>
      </c>
      <c r="U767" s="187" t="n">
        <v>0.0873</v>
      </c>
      <c r="V767" s="187" t="inlineStr">
        <is>
          <t>T1083:File and Directory Discovery</t>
        </is>
      </c>
      <c r="W767" s="187" t="n">
        <v>1</v>
      </c>
      <c r="X767" s="187" t="inlineStr">
        <is>
          <t>LOW (40%)</t>
        </is>
      </c>
      <c r="Y767" s="187" t="inlineStr">
        <is>
          <t>UNLIKELY</t>
        </is>
      </c>
      <c r="Z767" s="187" t="inlineStr">
        <is>
          <t>CHECK_VENDOR</t>
        </is>
      </c>
      <c r="AA767" s="187" t="inlineStr">
        <is>
          <t>https://nvd.nist.gov/vuln/detail/CVE-2026-27800</t>
        </is>
      </c>
      <c r="AB767" s="187" t="inlineStr">
        <is>
          <t>NONE</t>
        </is>
      </c>
      <c r="AC767" s="187" t="n">
        <v>0</v>
      </c>
      <c r="AD767" s="187" t="inlineStr"/>
    </row>
    <row r="768">
      <c r="A768" s="187" t="inlineStr">
        <is>
          <t>CVE</t>
        </is>
      </c>
      <c r="B768" s="187" t="inlineStr">
        <is>
          <t>CVE-2026-27804</t>
        </is>
      </c>
      <c r="C768" s="187"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768" s="187" t="n">
        <v>8.5</v>
      </c>
      <c r="E768" s="187" t="inlineStr">
        <is>
          <t>HIGH</t>
        </is>
      </c>
      <c r="F768" s="187" t="n">
        <v>2</v>
      </c>
      <c r="G768" s="187" t="n">
        <v>3</v>
      </c>
      <c r="H768" s="187" t="inlineStr">
        <is>
          <t>HIGH</t>
        </is>
      </c>
      <c r="I768" s="187" t="n">
        <v>14.5</v>
      </c>
      <c r="J768" s="187" t="inlineStr">
        <is>
          <t>NO</t>
        </is>
      </c>
      <c r="K768" s="187" t="inlineStr">
        <is>
          <t>https://nvd.nist.gov/vuln/detail/CVE-2026-27804</t>
        </is>
      </c>
      <c r="L768" s="187" t="inlineStr">
        <is>
          <t>2026-02-27 20:47</t>
        </is>
      </c>
      <c r="M768" s="187" t="inlineStr">
        <is>
          <t>CHECK_VENDOR</t>
        </is>
      </c>
      <c r="N768" s="187" t="inlineStr">
        <is>
          <t>See NVD references</t>
        </is>
      </c>
      <c r="O768" s="187" t="inlineStr">
        <is>
          <t>Apply vendor patches</t>
        </is>
      </c>
      <c r="P768" s="187" t="inlineStr">
        <is>
          <t>See CVE details</t>
        </is>
      </c>
      <c r="Q768" s="187" t="inlineStr">
        <is>
          <t>P3</t>
        </is>
      </c>
      <c r="R768" s="187" t="inlineStr">
        <is>
          <t>🚨 URGENT: Apply vendor patches immediately | 🔒 Isolate affected systems if patch unavailable | 🛡️ Enable additional monitoring/IDS rules</t>
        </is>
      </c>
      <c r="S768" s="187" t="inlineStr">
        <is>
          <t>CVE - IP enrichment n/a</t>
        </is>
      </c>
      <c r="T768" s="187" t="n">
        <v>0.0004</v>
      </c>
      <c r="U768" s="187" t="n">
        <v>0.1217</v>
      </c>
      <c r="V768" s="187" t="inlineStr">
        <is>
          <t>T1190:Exploit Public-Facing Application | T1552:Unsecured Credentials</t>
        </is>
      </c>
      <c r="W768" s="187" t="n">
        <v>1</v>
      </c>
      <c r="X768" s="187" t="inlineStr">
        <is>
          <t>LOW (40%)</t>
        </is>
      </c>
      <c r="Y768" s="187" t="inlineStr">
        <is>
          <t>UNLIKELY</t>
        </is>
      </c>
      <c r="Z768" s="187" t="inlineStr">
        <is>
          <t>CHECK_VENDOR</t>
        </is>
      </c>
      <c r="AA768" s="187" t="inlineStr">
        <is>
          <t>https://nvd.nist.gov/vuln/detail/CVE-2026-27804</t>
        </is>
      </c>
      <c r="AB768" s="187" t="inlineStr">
        <is>
          <t>NONE</t>
        </is>
      </c>
      <c r="AC768" s="187" t="n">
        <v>0</v>
      </c>
      <c r="AD768" s="187" t="inlineStr"/>
    </row>
    <row r="769">
      <c r="A769" s="188" t="inlineStr">
        <is>
          <t>CVE</t>
        </is>
      </c>
      <c r="B769" s="188" t="inlineStr">
        <is>
          <t>CVE-2026-27808</t>
        </is>
      </c>
      <c r="C769" s="188"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769" s="188" t="n">
        <v>5.8</v>
      </c>
      <c r="E769" s="188" t="inlineStr">
        <is>
          <t>MEDIUM</t>
        </is>
      </c>
      <c r="F769" s="188" t="n">
        <v>2</v>
      </c>
      <c r="G769" s="188" t="n">
        <v>2</v>
      </c>
      <c r="H769" s="188" t="inlineStr">
        <is>
          <t>MEDIUM</t>
        </is>
      </c>
      <c r="I769" s="188" t="n">
        <v>9.800000000000001</v>
      </c>
      <c r="J769" s="188" t="inlineStr">
        <is>
          <t>NO</t>
        </is>
      </c>
      <c r="K769" s="188" t="inlineStr">
        <is>
          <t>https://nvd.nist.gov/vuln/detail/CVE-2026-27808</t>
        </is>
      </c>
      <c r="L769" s="188" t="inlineStr">
        <is>
          <t>2026-02-27 20:47</t>
        </is>
      </c>
      <c r="M769" s="188" t="inlineStr">
        <is>
          <t>CHECK_VENDOR</t>
        </is>
      </c>
      <c r="N769" s="188" t="inlineStr">
        <is>
          <t>See NVD references</t>
        </is>
      </c>
      <c r="O769" s="188" t="inlineStr">
        <is>
          <t>Apply vendor patches</t>
        </is>
      </c>
      <c r="P769" s="188" t="inlineStr">
        <is>
          <t>See CVE details</t>
        </is>
      </c>
      <c r="Q769" s="188" t="inlineStr">
        <is>
          <t>P4</t>
        </is>
      </c>
      <c r="R769" s="188" t="inlineStr">
        <is>
          <t>📅 Schedule patch deployment within 30 days | 🔍 Monitor for exploitation attempts</t>
        </is>
      </c>
      <c r="S769" s="188" t="inlineStr">
        <is>
          <t>CVE - IP enrichment n/a</t>
        </is>
      </c>
      <c r="T769" s="188" t="n">
        <v>0.0005</v>
      </c>
      <c r="U769" s="188" t="n">
        <v>0.1441</v>
      </c>
      <c r="V769" s="188" t="inlineStr">
        <is>
          <t>T1090:Proxy</t>
        </is>
      </c>
      <c r="W769" s="188" t="n">
        <v>1</v>
      </c>
      <c r="X769" s="188" t="inlineStr">
        <is>
          <t>LOW (40%)</t>
        </is>
      </c>
      <c r="Y769" s="188" t="inlineStr">
        <is>
          <t>UNLIKELY</t>
        </is>
      </c>
      <c r="Z769" s="188" t="inlineStr">
        <is>
          <t>CHECK_VENDOR</t>
        </is>
      </c>
      <c r="AA769" s="188" t="inlineStr">
        <is>
          <t>https://nvd.nist.gov/vuln/detail/CVE-2026-27808</t>
        </is>
      </c>
      <c r="AB769" s="188" t="inlineStr">
        <is>
          <t>NONE</t>
        </is>
      </c>
      <c r="AC769" s="188" t="n">
        <v>0</v>
      </c>
      <c r="AD769" s="188" t="inlineStr"/>
    </row>
    <row r="770">
      <c r="A770" s="188" t="inlineStr">
        <is>
          <t>CVE</t>
        </is>
      </c>
      <c r="B770" s="188" t="inlineStr">
        <is>
          <t>CVE-2026-27809</t>
        </is>
      </c>
      <c r="C770" s="188"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770" s="188" t="n">
        <v>5</v>
      </c>
      <c r="E770" s="188" t="inlineStr">
        <is>
          <t>MEDIUM</t>
        </is>
      </c>
      <c r="F770" s="188" t="n">
        <v>2</v>
      </c>
      <c r="G770" s="188" t="n">
        <v>2</v>
      </c>
      <c r="H770" s="188" t="inlineStr">
        <is>
          <t>MEDIUM</t>
        </is>
      </c>
      <c r="I770" s="188" t="n">
        <v>9</v>
      </c>
      <c r="J770" s="188" t="inlineStr">
        <is>
          <t>NO</t>
        </is>
      </c>
      <c r="K770" s="188" t="inlineStr">
        <is>
          <t>https://nvd.nist.gov/vuln/detail/CVE-2026-27809</t>
        </is>
      </c>
      <c r="L770" s="188" t="inlineStr">
        <is>
          <t>2026-02-27 20:47</t>
        </is>
      </c>
      <c r="M770" s="188" t="inlineStr">
        <is>
          <t>CHECK_VENDOR</t>
        </is>
      </c>
      <c r="N770" s="188" t="inlineStr">
        <is>
          <t>See NVD references</t>
        </is>
      </c>
      <c r="O770" s="188" t="inlineStr">
        <is>
          <t>Apply vendor patches</t>
        </is>
      </c>
      <c r="P770" s="188" t="inlineStr">
        <is>
          <t>See CVE details</t>
        </is>
      </c>
      <c r="Q770" s="188" t="inlineStr">
        <is>
          <t>P4</t>
        </is>
      </c>
      <c r="R770" s="188" t="inlineStr">
        <is>
          <t>📅 Schedule patch deployment within 30 days | 🔍 Monitor for exploitation attempts</t>
        </is>
      </c>
      <c r="S770" s="188" t="inlineStr">
        <is>
          <t>CVE - IP enrichment n/a</t>
        </is>
      </c>
      <c r="T770" s="188" t="n">
        <v>0.0004</v>
      </c>
      <c r="U770" s="188" t="n">
        <v>0.1196</v>
      </c>
      <c r="V770" s="188" t="inlineStr">
        <is>
          <t>T1190:Exploit Public-Facing Application</t>
        </is>
      </c>
      <c r="W770" s="188" t="n">
        <v>1</v>
      </c>
      <c r="X770" s="188" t="inlineStr">
        <is>
          <t>LOW (40%)</t>
        </is>
      </c>
      <c r="Y770" s="188" t="inlineStr">
        <is>
          <t>UNLIKELY</t>
        </is>
      </c>
      <c r="Z770" s="188" t="inlineStr">
        <is>
          <t>CHECK_VENDOR</t>
        </is>
      </c>
      <c r="AA770" s="188" t="inlineStr">
        <is>
          <t>https://nvd.nist.gov/vuln/detail/CVE-2026-27809</t>
        </is>
      </c>
      <c r="AB770" s="188" t="inlineStr">
        <is>
          <t>NONE</t>
        </is>
      </c>
      <c r="AC770" s="188" t="n">
        <v>0</v>
      </c>
      <c r="AD770" s="188" t="inlineStr"/>
    </row>
    <row r="771">
      <c r="A771" s="188" t="inlineStr">
        <is>
          <t>CVE</t>
        </is>
      </c>
      <c r="B771" s="188" t="inlineStr">
        <is>
          <t>CVE-2026-27812</t>
        </is>
      </c>
      <c r="C771" s="188"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771" s="188" t="n">
        <v>5</v>
      </c>
      <c r="E771" s="188" t="inlineStr">
        <is>
          <t>MEDIUM</t>
        </is>
      </c>
      <c r="F771" s="188" t="n">
        <v>2</v>
      </c>
      <c r="G771" s="188" t="n">
        <v>2</v>
      </c>
      <c r="H771" s="188" t="inlineStr">
        <is>
          <t>MEDIUM</t>
        </is>
      </c>
      <c r="I771" s="188" t="n">
        <v>9</v>
      </c>
      <c r="J771" s="188" t="inlineStr">
        <is>
          <t>NO</t>
        </is>
      </c>
      <c r="K771" s="188" t="inlineStr">
        <is>
          <t>https://nvd.nist.gov/vuln/detail/CVE-2026-27812</t>
        </is>
      </c>
      <c r="L771" s="188" t="inlineStr">
        <is>
          <t>2026-02-27 20:47</t>
        </is>
      </c>
      <c r="M771" s="188" t="inlineStr">
        <is>
          <t>CHECK_VENDOR</t>
        </is>
      </c>
      <c r="N771" s="188" t="inlineStr">
        <is>
          <t>See NVD references</t>
        </is>
      </c>
      <c r="O771" s="188" t="inlineStr">
        <is>
          <t>Apply vendor patches</t>
        </is>
      </c>
      <c r="P771" s="188" t="inlineStr">
        <is>
          <t>See CVE details</t>
        </is>
      </c>
      <c r="Q771" s="188" t="inlineStr">
        <is>
          <t>P4</t>
        </is>
      </c>
      <c r="R771" s="188" t="inlineStr">
        <is>
          <t>📅 Schedule patch deployment within 30 days | 🔍 Monitor for exploitation attempts</t>
        </is>
      </c>
      <c r="S771" s="188" t="inlineStr">
        <is>
          <t>CVE - IP enrichment n/a</t>
        </is>
      </c>
      <c r="T771" s="188" t="n">
        <v>0.0004</v>
      </c>
      <c r="U771" s="188" t="n">
        <v>0.1273</v>
      </c>
      <c r="V771" s="188" t="inlineStr">
        <is>
          <t>T1190:Exploit Public-Facing Application</t>
        </is>
      </c>
      <c r="W771" s="188" t="n">
        <v>1</v>
      </c>
      <c r="X771" s="188" t="inlineStr">
        <is>
          <t>LOW (40%)</t>
        </is>
      </c>
      <c r="Y771" s="188" t="inlineStr">
        <is>
          <t>UNLIKELY</t>
        </is>
      </c>
      <c r="Z771" s="188" t="inlineStr">
        <is>
          <t>CHECK_VENDOR</t>
        </is>
      </c>
      <c r="AA771" s="188" t="inlineStr">
        <is>
          <t>https://nvd.nist.gov/vuln/detail/CVE-2026-27812</t>
        </is>
      </c>
      <c r="AB771" s="188" t="inlineStr">
        <is>
          <t>NONE</t>
        </is>
      </c>
      <c r="AC771" s="188" t="n">
        <v>0</v>
      </c>
      <c r="AD771" s="188" t="inlineStr"/>
    </row>
    <row r="772">
      <c r="A772" s="188" t="inlineStr">
        <is>
          <t>CVE</t>
        </is>
      </c>
      <c r="B772" s="188" t="inlineStr">
        <is>
          <t>CVE-2026-27818</t>
        </is>
      </c>
      <c r="C772" s="188"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772" s="188" t="n">
        <v>5</v>
      </c>
      <c r="E772" s="188" t="inlineStr">
        <is>
          <t>MEDIUM</t>
        </is>
      </c>
      <c r="F772" s="188" t="n">
        <v>2</v>
      </c>
      <c r="G772" s="188" t="n">
        <v>2</v>
      </c>
      <c r="H772" s="188" t="inlineStr">
        <is>
          <t>MEDIUM</t>
        </is>
      </c>
      <c r="I772" s="188" t="n">
        <v>9</v>
      </c>
      <c r="J772" s="188" t="inlineStr">
        <is>
          <t>NO</t>
        </is>
      </c>
      <c r="K772" s="188" t="inlineStr">
        <is>
          <t>https://nvd.nist.gov/vuln/detail/CVE-2026-27818</t>
        </is>
      </c>
      <c r="L772" s="188" t="inlineStr">
        <is>
          <t>2026-02-27 20:47</t>
        </is>
      </c>
      <c r="M772" s="188" t="inlineStr">
        <is>
          <t>CHECK_VENDOR</t>
        </is>
      </c>
      <c r="N772" s="188" t="inlineStr">
        <is>
          <t>See NVD references</t>
        </is>
      </c>
      <c r="O772" s="188" t="inlineStr">
        <is>
          <t>Apply vendor patches</t>
        </is>
      </c>
      <c r="P772" s="188" t="inlineStr">
        <is>
          <t>See CVE details</t>
        </is>
      </c>
      <c r="Q772" s="188" t="inlineStr">
        <is>
          <t>P4</t>
        </is>
      </c>
      <c r="R772" s="188" t="inlineStr">
        <is>
          <t>📅 Schedule patch deployment within 30 days | 🔍 Monitor for exploitation attempts</t>
        </is>
      </c>
      <c r="S772" s="188" t="inlineStr">
        <is>
          <t>CVE - IP enrichment n/a</t>
        </is>
      </c>
      <c r="T772" s="188" t="n">
        <v>0.0008</v>
      </c>
      <c r="U772" s="188" t="n">
        <v>0.2407</v>
      </c>
      <c r="V772" s="188" t="inlineStr">
        <is>
          <t>T1190:Exploit Public-Facing Application</t>
        </is>
      </c>
      <c r="W772" s="188" t="n">
        <v>1</v>
      </c>
      <c r="X772" s="188" t="inlineStr">
        <is>
          <t>LOW (40%)</t>
        </is>
      </c>
      <c r="Y772" s="188" t="inlineStr">
        <is>
          <t>UNLIKELY</t>
        </is>
      </c>
      <c r="Z772" s="188" t="inlineStr">
        <is>
          <t>CHECK_VENDOR</t>
        </is>
      </c>
      <c r="AA772" s="188" t="inlineStr">
        <is>
          <t>https://nvd.nist.gov/vuln/detail/CVE-2026-27818</t>
        </is>
      </c>
      <c r="AB772" s="188" t="inlineStr">
        <is>
          <t>NONE</t>
        </is>
      </c>
      <c r="AC772" s="188" t="n">
        <v>0</v>
      </c>
      <c r="AD772" s="188" t="inlineStr"/>
    </row>
    <row r="773">
      <c r="A773" s="187" t="inlineStr">
        <is>
          <t>CVE</t>
        </is>
      </c>
      <c r="B773" s="187" t="inlineStr">
        <is>
          <t>CVE-2026-27821</t>
        </is>
      </c>
      <c r="C773" s="187"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773" s="187" t="n">
        <v>8.5</v>
      </c>
      <c r="E773" s="187" t="inlineStr">
        <is>
          <t>HIGH</t>
        </is>
      </c>
      <c r="F773" s="187" t="n">
        <v>2</v>
      </c>
      <c r="G773" s="187" t="n">
        <v>3</v>
      </c>
      <c r="H773" s="187" t="inlineStr">
        <is>
          <t>HIGH</t>
        </is>
      </c>
      <c r="I773" s="187" t="n">
        <v>14.5</v>
      </c>
      <c r="J773" s="187" t="inlineStr">
        <is>
          <t>NO</t>
        </is>
      </c>
      <c r="K773" s="187" t="inlineStr">
        <is>
          <t>https://nvd.nist.gov/vuln/detail/CVE-2026-27821</t>
        </is>
      </c>
      <c r="L773" s="187" t="inlineStr">
        <is>
          <t>2026-02-27 20:47</t>
        </is>
      </c>
      <c r="M773" s="187" t="inlineStr">
        <is>
          <t>CHECK_VENDOR</t>
        </is>
      </c>
      <c r="N773" s="187" t="inlineStr">
        <is>
          <t>See NVD references</t>
        </is>
      </c>
      <c r="O773" s="187" t="inlineStr">
        <is>
          <t>Apply vendor patches</t>
        </is>
      </c>
      <c r="P773" s="187" t="inlineStr">
        <is>
          <t>See CVE details</t>
        </is>
      </c>
      <c r="Q773" s="187" t="inlineStr">
        <is>
          <t>P3</t>
        </is>
      </c>
      <c r="R773" s="187" t="inlineStr">
        <is>
          <t>🚨 URGENT: Apply vendor patches immediately | 🔒 Isolate affected systems if patch unavailable | 🛡️ Enable additional monitoring/IDS rules</t>
        </is>
      </c>
      <c r="S773" s="187" t="inlineStr">
        <is>
          <t>CVE - IP enrichment n/a</t>
        </is>
      </c>
      <c r="T773" s="187" t="n">
        <v>0.0005</v>
      </c>
      <c r="U773" s="187" t="n">
        <v>0.1491</v>
      </c>
      <c r="V773" s="187" t="inlineStr">
        <is>
          <t>T1190:Exploit Public-Facing Application | T1203:Exploitation for Client Execution</t>
        </is>
      </c>
      <c r="W773" s="187" t="n">
        <v>1</v>
      </c>
      <c r="X773" s="187" t="inlineStr">
        <is>
          <t>LOW (40%)</t>
        </is>
      </c>
      <c r="Y773" s="187" t="inlineStr">
        <is>
          <t>UNLIKELY</t>
        </is>
      </c>
      <c r="Z773" s="187" t="inlineStr">
        <is>
          <t>CHECK_VENDOR</t>
        </is>
      </c>
      <c r="AA773" s="187" t="inlineStr">
        <is>
          <t>https://nvd.nist.gov/vuln/detail/CVE-2026-27821</t>
        </is>
      </c>
      <c r="AB773" s="187" t="inlineStr">
        <is>
          <t>NONE</t>
        </is>
      </c>
      <c r="AC773" s="187" t="n">
        <v>0</v>
      </c>
      <c r="AD773" s="187" t="inlineStr"/>
    </row>
    <row r="774">
      <c r="A774" s="188" t="inlineStr">
        <is>
          <t>CVE</t>
        </is>
      </c>
      <c r="B774" s="188" t="inlineStr">
        <is>
          <t>CVE-2026-27933</t>
        </is>
      </c>
      <c r="C774" s="188" t="inlineStr">
        <is>
          <t>Manyfold is an open source, self-hosted web application for managing a collection of 3d models, particularly focused on 3d printing. Versions prior to 0.133.0 are vulnerable to session hijack via cookie leakage in proxy caches. Version 0.133.0 fixes the issue.</t>
        </is>
      </c>
      <c r="D774" s="188" t="n">
        <v>6.8</v>
      </c>
      <c r="E774" s="188" t="inlineStr">
        <is>
          <t>MEDIUM</t>
        </is>
      </c>
      <c r="F774" s="188" t="n">
        <v>2</v>
      </c>
      <c r="G774" s="188" t="n">
        <v>2</v>
      </c>
      <c r="H774" s="188" t="inlineStr">
        <is>
          <t>MEDIUM</t>
        </is>
      </c>
      <c r="I774" s="188" t="n">
        <v>10.8</v>
      </c>
      <c r="J774" s="188" t="inlineStr">
        <is>
          <t>NO</t>
        </is>
      </c>
      <c r="K774" s="188" t="inlineStr">
        <is>
          <t>https://nvd.nist.gov/vuln/detail/CVE-2026-27933</t>
        </is>
      </c>
      <c r="L774" s="188" t="inlineStr">
        <is>
          <t>2026-02-27 20:47</t>
        </is>
      </c>
      <c r="M774" s="188" t="inlineStr">
        <is>
          <t>YES</t>
        </is>
      </c>
      <c r="N774" s="188" t="inlineStr">
        <is>
          <t>https://github.com/manyfold3d/manyfold/security/advisories/GHSA-g949-hmvj-2r76</t>
        </is>
      </c>
      <c r="O774" s="188" t="inlineStr">
        <is>
          <t>Apply vendor patches</t>
        </is>
      </c>
      <c r="P774" s="188" t="inlineStr">
        <is>
          <t>manyfold manyfold *</t>
        </is>
      </c>
      <c r="Q774" s="188" t="inlineStr">
        <is>
          <t>P4</t>
        </is>
      </c>
      <c r="R774" s="188" t="inlineStr">
        <is>
          <t>📅 Schedule patch deployment within 30 days | 🔍 Monitor for exploitation attempts</t>
        </is>
      </c>
      <c r="S774" s="188" t="inlineStr">
        <is>
          <t>CVE - IP enrichment n/a</t>
        </is>
      </c>
      <c r="T774" s="188" t="n">
        <v>0.0003</v>
      </c>
      <c r="U774" s="188" t="n">
        <v>0.0835</v>
      </c>
      <c r="V774" s="188" t="inlineStr">
        <is>
          <t>T1190:Exploit Public-Facing Application</t>
        </is>
      </c>
      <c r="W774" s="188" t="n">
        <v>1</v>
      </c>
      <c r="X774" s="188" t="inlineStr">
        <is>
          <t>LOW (40%)</t>
        </is>
      </c>
      <c r="Y774" s="188" t="inlineStr">
        <is>
          <t>UNLIKELY</t>
        </is>
      </c>
      <c r="Z774" s="188" t="inlineStr">
        <is>
          <t>PATCH_AVAILABLE</t>
        </is>
      </c>
      <c r="AA774" s="188" t="inlineStr">
        <is>
          <t>https://nvd.nist.gov/vuln/detail/CVE-2026-27933</t>
        </is>
      </c>
      <c r="AB774" s="188" t="inlineStr">
        <is>
          <t>NONE</t>
        </is>
      </c>
      <c r="AC774" s="188" t="n">
        <v>0</v>
      </c>
      <c r="AD774" s="188" t="inlineStr"/>
    </row>
    <row r="775">
      <c r="A775" s="187" t="inlineStr">
        <is>
          <t>CVE</t>
        </is>
      </c>
      <c r="B775" s="187" t="inlineStr">
        <is>
          <t>CVE-2026-27967</t>
        </is>
      </c>
      <c r="C775" s="187"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775" s="187" t="n">
        <v>7.1</v>
      </c>
      <c r="E775" s="187" t="inlineStr">
        <is>
          <t>HIGH</t>
        </is>
      </c>
      <c r="F775" s="187" t="n">
        <v>2</v>
      </c>
      <c r="G775" s="187" t="n">
        <v>3</v>
      </c>
      <c r="H775" s="187" t="inlineStr">
        <is>
          <t>HIGH</t>
        </is>
      </c>
      <c r="I775" s="187" t="n">
        <v>13.1</v>
      </c>
      <c r="J775" s="187" t="inlineStr">
        <is>
          <t>NO</t>
        </is>
      </c>
      <c r="K775" s="187" t="inlineStr">
        <is>
          <t>https://nvd.nist.gov/vuln/detail/CVE-2026-27967</t>
        </is>
      </c>
      <c r="L775" s="187" t="inlineStr">
        <is>
          <t>2026-02-27 20:47</t>
        </is>
      </c>
      <c r="M775" s="187" t="inlineStr">
        <is>
          <t>CHECK_VENDOR</t>
        </is>
      </c>
      <c r="N775" s="187" t="inlineStr">
        <is>
          <t>See NVD references</t>
        </is>
      </c>
      <c r="O775" s="187" t="inlineStr">
        <is>
          <t>Apply vendor patches</t>
        </is>
      </c>
      <c r="P775" s="187" t="inlineStr">
        <is>
          <t>See CVE details</t>
        </is>
      </c>
      <c r="Q775" s="187" t="inlineStr">
        <is>
          <t>P3</t>
        </is>
      </c>
      <c r="R775" s="187" t="inlineStr">
        <is>
          <t>🚨 URGENT: Apply vendor patches immediately | 🔒 Isolate affected systems if patch unavailable | 🛡️ Enable additional monitoring/IDS rules</t>
        </is>
      </c>
      <c r="S775" s="187" t="inlineStr">
        <is>
          <t>CVE - IP enrichment n/a</t>
        </is>
      </c>
      <c r="T775" s="187" t="n">
        <v>0.0001</v>
      </c>
      <c r="U775" s="187" t="n">
        <v>0.0145</v>
      </c>
      <c r="V775" s="187" t="inlineStr">
        <is>
          <t>T1190:Exploit Public-Facing Application</t>
        </is>
      </c>
      <c r="W775" s="187" t="n">
        <v>1</v>
      </c>
      <c r="X775" s="187" t="inlineStr">
        <is>
          <t>LOW (40%)</t>
        </is>
      </c>
      <c r="Y775" s="187" t="inlineStr">
        <is>
          <t>UNLIKELY</t>
        </is>
      </c>
      <c r="Z775" s="187" t="inlineStr">
        <is>
          <t>CHECK_VENDOR</t>
        </is>
      </c>
      <c r="AA775" s="187" t="inlineStr">
        <is>
          <t>https://nvd.nist.gov/vuln/detail/CVE-2026-27967</t>
        </is>
      </c>
      <c r="AB775" s="187" t="inlineStr">
        <is>
          <t>NONE</t>
        </is>
      </c>
      <c r="AC775" s="187" t="n">
        <v>0</v>
      </c>
      <c r="AD775" s="187" t="inlineStr"/>
    </row>
    <row r="776">
      <c r="A776" s="187" t="inlineStr">
        <is>
          <t>CVE</t>
        </is>
      </c>
      <c r="B776" s="187" t="inlineStr">
        <is>
          <t>CVE-2026-27976</t>
        </is>
      </c>
      <c r="C776" s="187"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776" s="187" t="n">
        <v>8.800000000000001</v>
      </c>
      <c r="E776" s="187" t="inlineStr">
        <is>
          <t>HIGH</t>
        </is>
      </c>
      <c r="F776" s="187" t="n">
        <v>2</v>
      </c>
      <c r="G776" s="187" t="n">
        <v>3</v>
      </c>
      <c r="H776" s="187" t="inlineStr">
        <is>
          <t>HIGH</t>
        </is>
      </c>
      <c r="I776" s="187" t="n">
        <v>14.8</v>
      </c>
      <c r="J776" s="187" t="inlineStr">
        <is>
          <t>NO</t>
        </is>
      </c>
      <c r="K776" s="187" t="inlineStr">
        <is>
          <t>https://nvd.nist.gov/vuln/detail/CVE-2026-27976</t>
        </is>
      </c>
      <c r="L776" s="187" t="inlineStr">
        <is>
          <t>2026-02-27 20:47</t>
        </is>
      </c>
      <c r="M776" s="187" t="inlineStr">
        <is>
          <t>CHECK_VENDOR</t>
        </is>
      </c>
      <c r="N776" s="187" t="inlineStr">
        <is>
          <t>See NVD references</t>
        </is>
      </c>
      <c r="O776" s="187" t="inlineStr">
        <is>
          <t>Apply vendor patches</t>
        </is>
      </c>
      <c r="P776" s="187" t="inlineStr">
        <is>
          <t>See CVE details</t>
        </is>
      </c>
      <c r="Q776" s="187" t="inlineStr">
        <is>
          <t>P3</t>
        </is>
      </c>
      <c r="R776" s="187" t="inlineStr">
        <is>
          <t>🚨 URGENT: Apply vendor patches immediately | 🔒 Isolate affected systems if patch unavailable | 🛡️ Enable additional monitoring/IDS rules</t>
        </is>
      </c>
      <c r="S776" s="187" t="inlineStr">
        <is>
          <t>CVE - IP enrichment n/a</t>
        </is>
      </c>
      <c r="T776" s="187" t="n">
        <v>0.0004</v>
      </c>
      <c r="U776" s="187" t="n">
        <v>0.1277</v>
      </c>
      <c r="V776" s="187" t="inlineStr">
        <is>
          <t>T1190:Exploit Public-Facing Application</t>
        </is>
      </c>
      <c r="W776" s="187" t="n">
        <v>1</v>
      </c>
      <c r="X776" s="187" t="inlineStr">
        <is>
          <t>LOW (40%)</t>
        </is>
      </c>
      <c r="Y776" s="187" t="inlineStr">
        <is>
          <t>UNLIKELY</t>
        </is>
      </c>
      <c r="Z776" s="187" t="inlineStr">
        <is>
          <t>CHECK_VENDOR</t>
        </is>
      </c>
      <c r="AA776" s="187" t="inlineStr">
        <is>
          <t>https://nvd.nist.gov/vuln/detail/CVE-2026-27976</t>
        </is>
      </c>
      <c r="AB776" s="187" t="inlineStr">
        <is>
          <t>NONE</t>
        </is>
      </c>
      <c r="AC776" s="187" t="n">
        <v>0</v>
      </c>
      <c r="AD776" s="187" t="inlineStr"/>
    </row>
    <row r="777">
      <c r="A777" s="188" t="inlineStr">
        <is>
          <t>CVE</t>
        </is>
      </c>
      <c r="B777" s="188" t="inlineStr">
        <is>
          <t>CVE-2026-27829</t>
        </is>
      </c>
      <c r="C777" s="188"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777" s="188" t="n">
        <v>6.5</v>
      </c>
      <c r="E777" s="188" t="inlineStr">
        <is>
          <t>MEDIUM</t>
        </is>
      </c>
      <c r="F777" s="188" t="n">
        <v>2</v>
      </c>
      <c r="G777" s="188" t="n">
        <v>2</v>
      </c>
      <c r="H777" s="188" t="inlineStr">
        <is>
          <t>MEDIUM</t>
        </is>
      </c>
      <c r="I777" s="188" t="n">
        <v>10.5</v>
      </c>
      <c r="J777" s="188" t="inlineStr">
        <is>
          <t>NO</t>
        </is>
      </c>
      <c r="K777" s="188" t="inlineStr">
        <is>
          <t>https://nvd.nist.gov/vuln/detail/CVE-2026-27829</t>
        </is>
      </c>
      <c r="L777" s="188" t="inlineStr">
        <is>
          <t>2026-02-27 20:47</t>
        </is>
      </c>
      <c r="M777" s="188" t="inlineStr">
        <is>
          <t>CHECK_VENDOR</t>
        </is>
      </c>
      <c r="N777" s="188" t="inlineStr">
        <is>
          <t>See NVD references</t>
        </is>
      </c>
      <c r="O777" s="188" t="inlineStr">
        <is>
          <t>Apply vendor patches</t>
        </is>
      </c>
      <c r="P777" s="188" t="inlineStr">
        <is>
          <t>See CVE details</t>
        </is>
      </c>
      <c r="Q777" s="188" t="inlineStr">
        <is>
          <t>P4</t>
        </is>
      </c>
      <c r="R777" s="188" t="inlineStr">
        <is>
          <t>📅 Schedule patch deployment within 30 days | 🔍 Monitor for exploitation attempts</t>
        </is>
      </c>
      <c r="S777" s="188" t="inlineStr">
        <is>
          <t>CVE - IP enrichment n/a</t>
        </is>
      </c>
      <c r="T777" s="188" t="n">
        <v>0.0004</v>
      </c>
      <c r="U777" s="188" t="n">
        <v>0.1114</v>
      </c>
      <c r="V777" s="188" t="inlineStr">
        <is>
          <t>T1090:Proxy</t>
        </is>
      </c>
      <c r="W777" s="188" t="n">
        <v>1</v>
      </c>
      <c r="X777" s="188" t="inlineStr">
        <is>
          <t>LOW (40%)</t>
        </is>
      </c>
      <c r="Y777" s="188" t="inlineStr">
        <is>
          <t>UNLIKELY</t>
        </is>
      </c>
      <c r="Z777" s="188" t="inlineStr">
        <is>
          <t>CHECK_VENDOR</t>
        </is>
      </c>
      <c r="AA777" s="188" t="inlineStr">
        <is>
          <t>https://nvd.nist.gov/vuln/detail/CVE-2026-27829</t>
        </is>
      </c>
      <c r="AB777" s="188" t="inlineStr">
        <is>
          <t>NONE</t>
        </is>
      </c>
      <c r="AC777" s="188" t="n">
        <v>0</v>
      </c>
      <c r="AD777" s="188" t="inlineStr"/>
    </row>
    <row r="778">
      <c r="A778" s="187" t="inlineStr">
        <is>
          <t>CVE</t>
        </is>
      </c>
      <c r="B778" s="187" t="inlineStr">
        <is>
          <t>CVE-2026-27830</t>
        </is>
      </c>
      <c r="C778" s="187"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778" s="187" t="n">
        <v>8.5</v>
      </c>
      <c r="E778" s="187" t="inlineStr">
        <is>
          <t>HIGH</t>
        </is>
      </c>
      <c r="F778" s="187" t="n">
        <v>2</v>
      </c>
      <c r="G778" s="187" t="n">
        <v>3</v>
      </c>
      <c r="H778" s="187" t="inlineStr">
        <is>
          <t>HIGH</t>
        </is>
      </c>
      <c r="I778" s="187" t="n">
        <v>14.5</v>
      </c>
      <c r="J778" s="187" t="inlineStr">
        <is>
          <t>NO</t>
        </is>
      </c>
      <c r="K778" s="187" t="inlineStr">
        <is>
          <t>https://nvd.nist.gov/vuln/detail/CVE-2026-27830</t>
        </is>
      </c>
      <c r="L778" s="187" t="inlineStr">
        <is>
          <t>2026-02-27 20:47</t>
        </is>
      </c>
      <c r="M778" s="187" t="inlineStr">
        <is>
          <t>CHECK_VENDOR</t>
        </is>
      </c>
      <c r="N778" s="187" t="inlineStr">
        <is>
          <t>See NVD references</t>
        </is>
      </c>
      <c r="O778" s="187" t="inlineStr">
        <is>
          <t>Apply vendor patches</t>
        </is>
      </c>
      <c r="P778" s="187" t="inlineStr">
        <is>
          <t>See CVE details</t>
        </is>
      </c>
      <c r="Q778" s="187" t="inlineStr">
        <is>
          <t>P3</t>
        </is>
      </c>
      <c r="R778" s="187" t="inlineStr">
        <is>
          <t>🚨 URGENT: Apply vendor patches immediately | 🔒 Isolate affected systems if patch unavailable | 🛡️ Enable additional monitoring/IDS rules</t>
        </is>
      </c>
      <c r="S778" s="187" t="inlineStr">
        <is>
          <t>CVE - IP enrichment n/a</t>
        </is>
      </c>
      <c r="T778" s="187" t="n">
        <v>0.0009</v>
      </c>
      <c r="U778" s="187" t="n">
        <v>0.2611</v>
      </c>
      <c r="V778" s="187" t="inlineStr">
        <is>
          <t>T1059:Command and Scripting Interpreter | T1190:Exploit Public-Facing Application</t>
        </is>
      </c>
      <c r="W778" s="187" t="n">
        <v>1</v>
      </c>
      <c r="X778" s="187" t="inlineStr">
        <is>
          <t>LOW (40%)</t>
        </is>
      </c>
      <c r="Y778" s="187" t="inlineStr">
        <is>
          <t>UNLIKELY</t>
        </is>
      </c>
      <c r="Z778" s="187" t="inlineStr">
        <is>
          <t>CHECK_VENDOR</t>
        </is>
      </c>
      <c r="AA778" s="187" t="inlineStr">
        <is>
          <t>https://nvd.nist.gov/vuln/detail/CVE-2026-27830</t>
        </is>
      </c>
      <c r="AB778" s="187" t="inlineStr">
        <is>
          <t>NONE</t>
        </is>
      </c>
      <c r="AC778" s="187" t="n">
        <v>0</v>
      </c>
      <c r="AD778" s="187" t="inlineStr"/>
    </row>
    <row r="779">
      <c r="A779" s="187" t="inlineStr">
        <is>
          <t>CVE</t>
        </is>
      </c>
      <c r="B779" s="187" t="inlineStr">
        <is>
          <t>CVE-2026-27831</t>
        </is>
      </c>
      <c r="C779" s="187" t="inlineStr">
        <is>
          <t>rldns is an open source DNS server. Version 1.3 has a heap-based out-of-bounds read that leads to denial of service. Version 1.4 contains a patch for the issue.</t>
        </is>
      </c>
      <c r="D779" s="187" t="n">
        <v>7.5</v>
      </c>
      <c r="E779" s="187" t="inlineStr">
        <is>
          <t>HIGH</t>
        </is>
      </c>
      <c r="F779" s="187" t="n">
        <v>2</v>
      </c>
      <c r="G779" s="187" t="n">
        <v>3</v>
      </c>
      <c r="H779" s="187" t="inlineStr">
        <is>
          <t>HIGH</t>
        </is>
      </c>
      <c r="I779" s="187" t="n">
        <v>13.5</v>
      </c>
      <c r="J779" s="187" t="inlineStr">
        <is>
          <t>NO</t>
        </is>
      </c>
      <c r="K779" s="187" t="inlineStr">
        <is>
          <t>https://nvd.nist.gov/vuln/detail/CVE-2026-27831</t>
        </is>
      </c>
      <c r="L779" s="187" t="inlineStr">
        <is>
          <t>2026-02-27 20:47</t>
        </is>
      </c>
      <c r="M779" s="187" t="inlineStr">
        <is>
          <t>CHECK_VENDOR</t>
        </is>
      </c>
      <c r="N779" s="187" t="inlineStr">
        <is>
          <t>See NVD references</t>
        </is>
      </c>
      <c r="O779" s="187" t="inlineStr">
        <is>
          <t>Apply vendor patches</t>
        </is>
      </c>
      <c r="P779" s="187" t="inlineStr">
        <is>
          <t>See CVE details</t>
        </is>
      </c>
      <c r="Q779" s="187" t="inlineStr">
        <is>
          <t>P3</t>
        </is>
      </c>
      <c r="R779" s="187" t="inlineStr">
        <is>
          <t>🚨 URGENT: Apply vendor patches immediately | 🔒 Isolate affected systems if patch unavailable | 🛡️ Enable additional monitoring/IDS rules</t>
        </is>
      </c>
      <c r="S779" s="187" t="inlineStr">
        <is>
          <t>CVE - IP enrichment n/a</t>
        </is>
      </c>
      <c r="T779" s="187" t="n">
        <v>0.0004</v>
      </c>
      <c r="U779" s="187" t="n">
        <v>0.1242</v>
      </c>
      <c r="V779" s="187" t="inlineStr">
        <is>
          <t>T1203:Exploitation for Client Execution | T1190:Exploit Public-Facing Application | T1499:Endpoint Denial of Service</t>
        </is>
      </c>
      <c r="W779" s="187" t="n">
        <v>1</v>
      </c>
      <c r="X779" s="187" t="inlineStr">
        <is>
          <t>LOW (40%)</t>
        </is>
      </c>
      <c r="Y779" s="187" t="inlineStr">
        <is>
          <t>UNLIKELY</t>
        </is>
      </c>
      <c r="Z779" s="187" t="inlineStr">
        <is>
          <t>CHECK_VENDOR</t>
        </is>
      </c>
      <c r="AA779" s="187" t="inlineStr">
        <is>
          <t>https://nvd.nist.gov/vuln/detail/CVE-2026-27831</t>
        </is>
      </c>
      <c r="AB779" s="187" t="inlineStr">
        <is>
          <t>NONE</t>
        </is>
      </c>
      <c r="AC779" s="187" t="n">
        <v>0</v>
      </c>
      <c r="AD779" s="187" t="inlineStr"/>
    </row>
    <row r="780">
      <c r="A780" s="188" t="inlineStr">
        <is>
          <t>CVE</t>
        </is>
      </c>
      <c r="B780" s="188" t="inlineStr">
        <is>
          <t>CVE-2026-27837</t>
        </is>
      </c>
      <c r="C780" s="188"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780" s="188" t="n">
        <v>6.3</v>
      </c>
      <c r="E780" s="188" t="inlineStr">
        <is>
          <t>MEDIUM</t>
        </is>
      </c>
      <c r="F780" s="188" t="n">
        <v>2</v>
      </c>
      <c r="G780" s="188" t="n">
        <v>2</v>
      </c>
      <c r="H780" s="188" t="inlineStr">
        <is>
          <t>MEDIUM</t>
        </is>
      </c>
      <c r="I780" s="188" t="n">
        <v>10.3</v>
      </c>
      <c r="J780" s="188" t="inlineStr">
        <is>
          <t>NO</t>
        </is>
      </c>
      <c r="K780" s="188" t="inlineStr">
        <is>
          <t>https://nvd.nist.gov/vuln/detail/CVE-2026-27837</t>
        </is>
      </c>
      <c r="L780" s="188" t="inlineStr">
        <is>
          <t>2026-02-27 20:47</t>
        </is>
      </c>
      <c r="M780" s="188" t="inlineStr">
        <is>
          <t>CHECK_VENDOR</t>
        </is>
      </c>
      <c r="N780" s="188" t="inlineStr">
        <is>
          <t>See NVD references</t>
        </is>
      </c>
      <c r="O780" s="188" t="inlineStr">
        <is>
          <t>Apply vendor patches</t>
        </is>
      </c>
      <c r="P780" s="188" t="inlineStr">
        <is>
          <t>See CVE details</t>
        </is>
      </c>
      <c r="Q780" s="188" t="inlineStr">
        <is>
          <t>P3</t>
        </is>
      </c>
      <c r="R780" s="188" t="inlineStr">
        <is>
          <t>📅 Schedule patch deployment within 30 days | 🔍 Monitor for exploitation attempts</t>
        </is>
      </c>
      <c r="S780" s="188" t="inlineStr">
        <is>
          <t>CVE - IP enrichment n/a</t>
        </is>
      </c>
      <c r="T780" s="188" t="n">
        <v>0.0003</v>
      </c>
      <c r="U780" s="188" t="n">
        <v>0.0959</v>
      </c>
      <c r="V780" s="188" t="inlineStr">
        <is>
          <t>T1190:Exploit Public-Facing Application</t>
        </is>
      </c>
      <c r="W780" s="188" t="n">
        <v>2</v>
      </c>
      <c r="X780" s="188" t="inlineStr">
        <is>
          <t>MEDIUM (52%)</t>
        </is>
      </c>
      <c r="Y780" s="188" t="inlineStr">
        <is>
          <t>UNLIKELY</t>
        </is>
      </c>
      <c r="Z780" s="188" t="inlineStr">
        <is>
          <t>CHECK_VENDOR</t>
        </is>
      </c>
      <c r="AA780" s="188" t="inlineStr">
        <is>
          <t>https://nvd.nist.gov/vuln/detail/CVE-2026-27837</t>
        </is>
      </c>
      <c r="AB780" s="188" t="inlineStr">
        <is>
          <t>NONE</t>
        </is>
      </c>
      <c r="AC780" s="188" t="n">
        <v>0</v>
      </c>
      <c r="AD780" s="188" t="inlineStr"/>
    </row>
    <row r="781">
      <c r="A781" s="188" t="inlineStr">
        <is>
          <t>CVE</t>
        </is>
      </c>
      <c r="B781" s="188" t="inlineStr">
        <is>
          <t>CVE-2026-27840</t>
        </is>
      </c>
      <c r="C781" s="188"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781" s="188" t="n">
        <v>4.3</v>
      </c>
      <c r="E781" s="188" t="inlineStr">
        <is>
          <t>MEDIUM</t>
        </is>
      </c>
      <c r="F781" s="188" t="n">
        <v>2</v>
      </c>
      <c r="G781" s="188" t="n">
        <v>2</v>
      </c>
      <c r="H781" s="188" t="inlineStr">
        <is>
          <t>MEDIUM</t>
        </is>
      </c>
      <c r="I781" s="188" t="n">
        <v>8.300000000000001</v>
      </c>
      <c r="J781" s="188" t="inlineStr">
        <is>
          <t>NO</t>
        </is>
      </c>
      <c r="K781" s="188" t="inlineStr">
        <is>
          <t>https://nvd.nist.gov/vuln/detail/CVE-2026-27840</t>
        </is>
      </c>
      <c r="L781" s="188" t="inlineStr">
        <is>
          <t>2026-02-27 20:47</t>
        </is>
      </c>
      <c r="M781" s="188" t="inlineStr">
        <is>
          <t>CHECK_VENDOR</t>
        </is>
      </c>
      <c r="N781" s="188" t="inlineStr">
        <is>
          <t>See NVD references</t>
        </is>
      </c>
      <c r="O781" s="188" t="inlineStr">
        <is>
          <t>Apply vendor patches</t>
        </is>
      </c>
      <c r="P781" s="188" t="inlineStr">
        <is>
          <t>See CVE details</t>
        </is>
      </c>
      <c r="Q781" s="188" t="inlineStr">
        <is>
          <t>P4</t>
        </is>
      </c>
      <c r="R781" s="188" t="inlineStr">
        <is>
          <t>📅 Schedule patch deployment within 30 days | 🔍 Monitor for exploitation attempts</t>
        </is>
      </c>
      <c r="S781" s="188" t="inlineStr">
        <is>
          <t>CVE - IP enrichment n/a</t>
        </is>
      </c>
      <c r="T781" s="188" t="n">
        <v>0.0001</v>
      </c>
      <c r="U781" s="188" t="n">
        <v>0.03</v>
      </c>
      <c r="V781" s="188" t="inlineStr">
        <is>
          <t>T1190:Exploit Public-Facing Application</t>
        </is>
      </c>
      <c r="W781" s="188" t="n">
        <v>1</v>
      </c>
      <c r="X781" s="188" t="inlineStr">
        <is>
          <t>LOW (40%)</t>
        </is>
      </c>
      <c r="Y781" s="188" t="inlineStr">
        <is>
          <t>UNLIKELY</t>
        </is>
      </c>
      <c r="Z781" s="188" t="inlineStr">
        <is>
          <t>CHECK_VENDOR</t>
        </is>
      </c>
      <c r="AA781" s="188" t="inlineStr">
        <is>
          <t>https://nvd.nist.gov/vuln/detail/CVE-2026-27840</t>
        </is>
      </c>
      <c r="AB781" s="188" t="inlineStr">
        <is>
          <t>NONE</t>
        </is>
      </c>
      <c r="AC781" s="188" t="n">
        <v>0</v>
      </c>
      <c r="AD781" s="188" t="inlineStr"/>
    </row>
    <row r="782">
      <c r="A782" s="188" t="inlineStr">
        <is>
          <t>CVE</t>
        </is>
      </c>
      <c r="B782" s="188" t="inlineStr">
        <is>
          <t>CVE-2026-27884</t>
        </is>
      </c>
      <c r="C782" s="188"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782" s="188" t="n">
        <v>5.3</v>
      </c>
      <c r="E782" s="188" t="inlineStr">
        <is>
          <t>MEDIUM</t>
        </is>
      </c>
      <c r="F782" s="188" t="n">
        <v>2</v>
      </c>
      <c r="G782" s="188" t="n">
        <v>2</v>
      </c>
      <c r="H782" s="188" t="inlineStr">
        <is>
          <t>MEDIUM</t>
        </is>
      </c>
      <c r="I782" s="188" t="n">
        <v>9.300000000000001</v>
      </c>
      <c r="J782" s="188" t="inlineStr">
        <is>
          <t>NO</t>
        </is>
      </c>
      <c r="K782" s="188" t="inlineStr">
        <is>
          <t>https://nvd.nist.gov/vuln/detail/CVE-2026-27884</t>
        </is>
      </c>
      <c r="L782" s="188" t="inlineStr">
        <is>
          <t>2026-02-27 20:47</t>
        </is>
      </c>
      <c r="M782" s="188" t="inlineStr">
        <is>
          <t>CHECK_VENDOR</t>
        </is>
      </c>
      <c r="N782" s="188" t="inlineStr">
        <is>
          <t>See NVD references</t>
        </is>
      </c>
      <c r="O782" s="188" t="inlineStr">
        <is>
          <t>Apply vendor patches</t>
        </is>
      </c>
      <c r="P782" s="188" t="inlineStr">
        <is>
          <t>See CVE details</t>
        </is>
      </c>
      <c r="Q782" s="188" t="inlineStr">
        <is>
          <t>P4</t>
        </is>
      </c>
      <c r="R782" s="188" t="inlineStr">
        <is>
          <t>📅 Schedule patch deployment within 30 days | 🔍 Monitor for exploitation attempts</t>
        </is>
      </c>
      <c r="S782" s="188" t="inlineStr">
        <is>
          <t>CVE - IP enrichment n/a</t>
        </is>
      </c>
      <c r="T782" s="188" t="n">
        <v>0.0004</v>
      </c>
      <c r="U782" s="188" t="n">
        <v>0.1054</v>
      </c>
      <c r="V782" s="188" t="inlineStr">
        <is>
          <t>T1083:File and Directory Discovery</t>
        </is>
      </c>
      <c r="W782" s="188" t="n">
        <v>1</v>
      </c>
      <c r="X782" s="188" t="inlineStr">
        <is>
          <t>LOW (40%)</t>
        </is>
      </c>
      <c r="Y782" s="188" t="inlineStr">
        <is>
          <t>UNLIKELY</t>
        </is>
      </c>
      <c r="Z782" s="188" t="inlineStr">
        <is>
          <t>CHECK_VENDOR</t>
        </is>
      </c>
      <c r="AA782" s="188" t="inlineStr">
        <is>
          <t>https://nvd.nist.gov/vuln/detail/CVE-2026-27884</t>
        </is>
      </c>
      <c r="AB782" s="188" t="inlineStr">
        <is>
          <t>NONE</t>
        </is>
      </c>
      <c r="AC782" s="188" t="n">
        <v>0</v>
      </c>
      <c r="AD782" s="188" t="inlineStr"/>
    </row>
    <row r="783">
      <c r="A783" s="187" t="inlineStr">
        <is>
          <t>CVE</t>
        </is>
      </c>
      <c r="B783" s="187" t="inlineStr">
        <is>
          <t>CVE-2026-27888</t>
        </is>
      </c>
      <c r="C783" s="187"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783" s="187" t="n">
        <v>7.5</v>
      </c>
      <c r="E783" s="187" t="inlineStr">
        <is>
          <t>HIGH</t>
        </is>
      </c>
      <c r="F783" s="187" t="n">
        <v>2</v>
      </c>
      <c r="G783" s="187" t="n">
        <v>3</v>
      </c>
      <c r="H783" s="187" t="inlineStr">
        <is>
          <t>HIGH</t>
        </is>
      </c>
      <c r="I783" s="187" t="n">
        <v>13.5</v>
      </c>
      <c r="J783" s="187" t="inlineStr">
        <is>
          <t>NO</t>
        </is>
      </c>
      <c r="K783" s="187" t="inlineStr">
        <is>
          <t>https://nvd.nist.gov/vuln/detail/CVE-2026-27888</t>
        </is>
      </c>
      <c r="L783" s="187" t="inlineStr">
        <is>
          <t>2026-02-27 20:47</t>
        </is>
      </c>
      <c r="M783" s="187" t="inlineStr">
        <is>
          <t>YES</t>
        </is>
      </c>
      <c r="N783" s="187" t="inlineStr">
        <is>
          <t>https://github.com/py-pdf/pypdf/commit/7a4c8246ed48d9d328fb596942271da47b6d109c | https://github.com/py-pdf/pypdf/pull/3658 | https://github.com/py-pdf/pypdf/security/advisories/GHSA-x7hp-r3qg-r3cj</t>
        </is>
      </c>
      <c r="O783" s="187" t="inlineStr">
        <is>
          <t>Apply vendor patches</t>
        </is>
      </c>
      <c r="P783" s="187" t="inlineStr">
        <is>
          <t>pypdf_project pypdf *</t>
        </is>
      </c>
      <c r="Q783" s="187" t="inlineStr">
        <is>
          <t>P3</t>
        </is>
      </c>
      <c r="R783" s="187" t="inlineStr">
        <is>
          <t>🚨 URGENT: Apply vendor patches immediately | 🔒 Isolate affected systems if patch unavailable | 🛡️ Enable additional monitoring/IDS rules</t>
        </is>
      </c>
      <c r="S783" s="187" t="inlineStr">
        <is>
          <t>CVE - IP enrichment n/a</t>
        </is>
      </c>
      <c r="T783" s="187" t="n">
        <v>0.0004</v>
      </c>
      <c r="U783" s="187" t="n">
        <v>0.128</v>
      </c>
      <c r="V783" s="187" t="inlineStr">
        <is>
          <t>T1190:Exploit Public-Facing Application</t>
        </is>
      </c>
      <c r="W783" s="187" t="n">
        <v>1</v>
      </c>
      <c r="X783" s="187" t="inlineStr">
        <is>
          <t>LOW (40%)</t>
        </is>
      </c>
      <c r="Y783" s="187" t="inlineStr">
        <is>
          <t>UNLIKELY</t>
        </is>
      </c>
      <c r="Z783" s="187" t="inlineStr">
        <is>
          <t>PATCH_AVAILABLE</t>
        </is>
      </c>
      <c r="AA783" s="187" t="inlineStr">
        <is>
          <t>https://nvd.nist.gov/vuln/detail/CVE-2026-27888</t>
        </is>
      </c>
      <c r="AB783" s="187" t="inlineStr">
        <is>
          <t>NONE</t>
        </is>
      </c>
      <c r="AC783" s="187" t="n">
        <v>0</v>
      </c>
      <c r="AD783" s="187" t="inlineStr"/>
    </row>
    <row r="784">
      <c r="A784" s="188" t="inlineStr">
        <is>
          <t>CVE</t>
        </is>
      </c>
      <c r="B784" s="188" t="inlineStr">
        <is>
          <t>CVE-2026-27896</t>
        </is>
      </c>
      <c r="C784" s="188"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784" s="188" t="n">
        <v>5</v>
      </c>
      <c r="E784" s="188" t="inlineStr">
        <is>
          <t>MEDIUM</t>
        </is>
      </c>
      <c r="F784" s="188" t="n">
        <v>2</v>
      </c>
      <c r="G784" s="188" t="n">
        <v>2</v>
      </c>
      <c r="H784" s="188" t="inlineStr">
        <is>
          <t>MEDIUM</t>
        </is>
      </c>
      <c r="I784" s="188" t="n">
        <v>9</v>
      </c>
      <c r="J784" s="188" t="inlineStr">
        <is>
          <t>NO</t>
        </is>
      </c>
      <c r="K784" s="188" t="inlineStr">
        <is>
          <t>https://nvd.nist.gov/vuln/detail/CVE-2026-27896</t>
        </is>
      </c>
      <c r="L784" s="188" t="inlineStr">
        <is>
          <t>2026-02-27 20:47</t>
        </is>
      </c>
      <c r="M784" s="188" t="inlineStr">
        <is>
          <t>CHECK_VENDOR</t>
        </is>
      </c>
      <c r="N784" s="188" t="inlineStr">
        <is>
          <t>See NVD references</t>
        </is>
      </c>
      <c r="O784" s="188" t="inlineStr">
        <is>
          <t>Apply vendor patches</t>
        </is>
      </c>
      <c r="P784" s="188" t="inlineStr">
        <is>
          <t>See CVE details</t>
        </is>
      </c>
      <c r="Q784" s="188" t="inlineStr">
        <is>
          <t>P4</t>
        </is>
      </c>
      <c r="R784" s="188" t="inlineStr">
        <is>
          <t>📅 Schedule patch deployment within 30 days | 🔍 Monitor for exploitation attempts</t>
        </is>
      </c>
      <c r="S784" s="188" t="inlineStr">
        <is>
          <t>CVE - IP enrichment n/a</t>
        </is>
      </c>
      <c r="T784" s="188" t="n">
        <v>0.0005</v>
      </c>
      <c r="U784" s="188" t="n">
        <v>0.1491</v>
      </c>
      <c r="V784" s="188" t="inlineStr">
        <is>
          <t>T1190:Exploit Public-Facing Application</t>
        </is>
      </c>
      <c r="W784" s="188" t="n">
        <v>1</v>
      </c>
      <c r="X784" s="188" t="inlineStr">
        <is>
          <t>LOW (40%)</t>
        </is>
      </c>
      <c r="Y784" s="188" t="inlineStr">
        <is>
          <t>UNLIKELY</t>
        </is>
      </c>
      <c r="Z784" s="188" t="inlineStr">
        <is>
          <t>CHECK_VENDOR</t>
        </is>
      </c>
      <c r="AA784" s="188" t="inlineStr">
        <is>
          <t>https://nvd.nist.gov/vuln/detail/CVE-2026-27896</t>
        </is>
      </c>
      <c r="AB784" s="188" t="inlineStr">
        <is>
          <t>NONE</t>
        </is>
      </c>
      <c r="AC784" s="188" t="n">
        <v>0</v>
      </c>
      <c r="AD784" s="188" t="inlineStr"/>
    </row>
    <row r="785">
      <c r="A785" s="187" t="inlineStr">
        <is>
          <t>CVE</t>
        </is>
      </c>
      <c r="B785" s="187" t="inlineStr">
        <is>
          <t>CVE-2026-27945</t>
        </is>
      </c>
      <c r="C785" s="187"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785" s="187" t="n">
        <v>8.5</v>
      </c>
      <c r="E785" s="187" t="inlineStr">
        <is>
          <t>HIGH</t>
        </is>
      </c>
      <c r="F785" s="187" t="n">
        <v>2</v>
      </c>
      <c r="G785" s="187" t="n">
        <v>3</v>
      </c>
      <c r="H785" s="187" t="inlineStr">
        <is>
          <t>HIGH</t>
        </is>
      </c>
      <c r="I785" s="187" t="n">
        <v>14.5</v>
      </c>
      <c r="J785" s="187" t="inlineStr">
        <is>
          <t>NO</t>
        </is>
      </c>
      <c r="K785" s="187" t="inlineStr">
        <is>
          <t>https://nvd.nist.gov/vuln/detail/CVE-2026-27945</t>
        </is>
      </c>
      <c r="L785" s="187" t="inlineStr">
        <is>
          <t>2026-02-27 20:47</t>
        </is>
      </c>
      <c r="M785" s="187" t="inlineStr">
        <is>
          <t>CHECK_VENDOR</t>
        </is>
      </c>
      <c r="N785" s="187" t="inlineStr">
        <is>
          <t>See NVD references</t>
        </is>
      </c>
      <c r="O785" s="187" t="inlineStr">
        <is>
          <t>Apply vendor patches</t>
        </is>
      </c>
      <c r="P785" s="187" t="inlineStr">
        <is>
          <t>See CVE details</t>
        </is>
      </c>
      <c r="Q785" s="187" t="inlineStr">
        <is>
          <t>P3</t>
        </is>
      </c>
      <c r="R785" s="187" t="inlineStr">
        <is>
          <t>🚨 URGENT: Apply vendor patches immediately | 🔒 Isolate affected systems if patch unavailable | 🛡️ Enable additional monitoring/IDS rules</t>
        </is>
      </c>
      <c r="S785" s="187" t="inlineStr">
        <is>
          <t>CVE - IP enrichment n/a</t>
        </is>
      </c>
      <c r="T785" s="187" t="n">
        <v>0.0003</v>
      </c>
      <c r="U785" s="187" t="n">
        <v>0.0956</v>
      </c>
      <c r="V785" s="187" t="inlineStr">
        <is>
          <t>T1090:Proxy | T1190:Exploit Public-Facing Application | T1562:Impair Defenses</t>
        </is>
      </c>
      <c r="W785" s="187" t="n">
        <v>1</v>
      </c>
      <c r="X785" s="187" t="inlineStr">
        <is>
          <t>LOW (40%)</t>
        </is>
      </c>
      <c r="Y785" s="187" t="inlineStr">
        <is>
          <t>UNLIKELY</t>
        </is>
      </c>
      <c r="Z785" s="187" t="inlineStr">
        <is>
          <t>CHECK_VENDOR</t>
        </is>
      </c>
      <c r="AA785" s="187" t="inlineStr">
        <is>
          <t>https://nvd.nist.gov/vuln/detail/CVE-2026-27945</t>
        </is>
      </c>
      <c r="AB785" s="187" t="inlineStr">
        <is>
          <t>NONE</t>
        </is>
      </c>
      <c r="AC785" s="187" t="n">
        <v>0</v>
      </c>
      <c r="AD785" s="187" t="inlineStr"/>
    </row>
    <row r="786">
      <c r="A786" s="187" t="inlineStr">
        <is>
          <t>CVE</t>
        </is>
      </c>
      <c r="B786" s="187" t="inlineStr">
        <is>
          <t>CVE-2026-27946</t>
        </is>
      </c>
      <c r="C786" s="187"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786" s="187" t="n">
        <v>8.5</v>
      </c>
      <c r="E786" s="187" t="inlineStr">
        <is>
          <t>HIGH</t>
        </is>
      </c>
      <c r="F786" s="187" t="n">
        <v>2</v>
      </c>
      <c r="G786" s="187" t="n">
        <v>3</v>
      </c>
      <c r="H786" s="187" t="inlineStr">
        <is>
          <t>HIGH</t>
        </is>
      </c>
      <c r="I786" s="187" t="n">
        <v>14.5</v>
      </c>
      <c r="J786" s="187" t="inlineStr">
        <is>
          <t>NO</t>
        </is>
      </c>
      <c r="K786" s="187" t="inlineStr">
        <is>
          <t>https://nvd.nist.gov/vuln/detail/CVE-2026-27946</t>
        </is>
      </c>
      <c r="L786" s="187" t="inlineStr">
        <is>
          <t>2026-02-27 20:47</t>
        </is>
      </c>
      <c r="M786" s="187" t="inlineStr">
        <is>
          <t>CHECK_VENDOR</t>
        </is>
      </c>
      <c r="N786" s="187" t="inlineStr">
        <is>
          <t>See NVD references</t>
        </is>
      </c>
      <c r="O786" s="187" t="inlineStr">
        <is>
          <t>Apply vendor patches</t>
        </is>
      </c>
      <c r="P786" s="187" t="inlineStr">
        <is>
          <t>See CVE details</t>
        </is>
      </c>
      <c r="Q786" s="187" t="inlineStr">
        <is>
          <t>P3</t>
        </is>
      </c>
      <c r="R786" s="187" t="inlineStr">
        <is>
          <t>🚨 URGENT: Apply vendor patches immediately | 🔒 Isolate affected systems if patch unavailable | 🛡️ Enable additional monitoring/IDS rules</t>
        </is>
      </c>
      <c r="S786" s="187" t="inlineStr">
        <is>
          <t>CVE - IP enrichment n/a</t>
        </is>
      </c>
      <c r="T786" s="187" t="n">
        <v>0.0004</v>
      </c>
      <c r="U786" s="187" t="n">
        <v>0.1229</v>
      </c>
      <c r="V786" s="187" t="inlineStr">
        <is>
          <t>T1190:Exploit Public-Facing Application</t>
        </is>
      </c>
      <c r="W786" s="187" t="n">
        <v>1</v>
      </c>
      <c r="X786" s="187" t="inlineStr">
        <is>
          <t>LOW (40%)</t>
        </is>
      </c>
      <c r="Y786" s="187" t="inlineStr">
        <is>
          <t>UNLIKELY</t>
        </is>
      </c>
      <c r="Z786" s="187" t="inlineStr">
        <is>
          <t>CHECK_VENDOR</t>
        </is>
      </c>
      <c r="AA786" s="187" t="inlineStr">
        <is>
          <t>https://nvd.nist.gov/vuln/detail/CVE-2026-27946</t>
        </is>
      </c>
      <c r="AB786" s="187" t="inlineStr">
        <is>
          <t>NONE</t>
        </is>
      </c>
      <c r="AC786" s="187" t="n">
        <v>0</v>
      </c>
      <c r="AD786" s="187" t="inlineStr"/>
    </row>
    <row r="787">
      <c r="A787" s="187" t="inlineStr">
        <is>
          <t>CVE</t>
        </is>
      </c>
      <c r="B787" s="187" t="inlineStr">
        <is>
          <t>CVE-2026-1557</t>
        </is>
      </c>
      <c r="C787" s="187"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787" s="187" t="n">
        <v>7.5</v>
      </c>
      <c r="E787" s="187" t="inlineStr">
        <is>
          <t>HIGH</t>
        </is>
      </c>
      <c r="F787" s="187" t="n">
        <v>2</v>
      </c>
      <c r="G787" s="187" t="n">
        <v>3</v>
      </c>
      <c r="H787" s="187" t="inlineStr">
        <is>
          <t>HIGH</t>
        </is>
      </c>
      <c r="I787" s="187" t="n">
        <v>13.5</v>
      </c>
      <c r="J787" s="187" t="inlineStr">
        <is>
          <t>NO</t>
        </is>
      </c>
      <c r="K787" s="187" t="inlineStr">
        <is>
          <t>https://nvd.nist.gov/vuln/detail/CVE-2026-1557</t>
        </is>
      </c>
      <c r="L787" s="187" t="inlineStr">
        <is>
          <t>2026-02-27 20:47</t>
        </is>
      </c>
      <c r="M787" s="187" t="inlineStr">
        <is>
          <t>CHECK_VENDOR</t>
        </is>
      </c>
      <c r="N787" s="187" t="inlineStr">
        <is>
          <t>See NVD references</t>
        </is>
      </c>
      <c r="O787" s="187" t="inlineStr">
        <is>
          <t>Apply vendor patches</t>
        </is>
      </c>
      <c r="P787" s="187" t="inlineStr">
        <is>
          <t>See CVE details</t>
        </is>
      </c>
      <c r="Q787" s="187" t="inlineStr">
        <is>
          <t>P3</t>
        </is>
      </c>
      <c r="R787" s="187" t="inlineStr">
        <is>
          <t>🚨 URGENT: Apply vendor patches immediately | 🔒 Isolate affected systems if patch unavailable | 🛡️ Enable additional monitoring/IDS rules</t>
        </is>
      </c>
      <c r="S787" s="187" t="inlineStr">
        <is>
          <t>CVE - IP enrichment n/a</t>
        </is>
      </c>
      <c r="T787" s="187" t="n">
        <v>0.0011</v>
      </c>
      <c r="U787" s="187" t="n">
        <v>0.2992</v>
      </c>
      <c r="V787" s="187" t="inlineStr">
        <is>
          <t>T1083:File and Directory Discovery</t>
        </is>
      </c>
      <c r="W787" s="187" t="n">
        <v>1</v>
      </c>
      <c r="X787" s="187" t="inlineStr">
        <is>
          <t>LOW (40%)</t>
        </is>
      </c>
      <c r="Y787" s="187" t="inlineStr">
        <is>
          <t>UNLIKELY</t>
        </is>
      </c>
      <c r="Z787" s="187" t="inlineStr">
        <is>
          <t>CHECK_VENDOR</t>
        </is>
      </c>
      <c r="AA787" s="187" t="inlineStr">
        <is>
          <t>https://nvd.nist.gov/vuln/detail/CVE-2026-1557</t>
        </is>
      </c>
      <c r="AB787" s="187" t="inlineStr">
        <is>
          <t>NONE</t>
        </is>
      </c>
      <c r="AC787" s="187" t="n">
        <v>0</v>
      </c>
      <c r="AD787" s="187" t="inlineStr"/>
    </row>
    <row r="788">
      <c r="A788" s="188" t="inlineStr">
        <is>
          <t>CVE</t>
        </is>
      </c>
      <c r="B788" s="188" t="inlineStr">
        <is>
          <t>CVE-2026-22728</t>
        </is>
      </c>
      <c r="C788" s="188"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788" s="188" t="n">
        <v>4.9</v>
      </c>
      <c r="E788" s="188" t="inlineStr">
        <is>
          <t>MEDIUM</t>
        </is>
      </c>
      <c r="F788" s="188" t="n">
        <v>2</v>
      </c>
      <c r="G788" s="188" t="n">
        <v>2</v>
      </c>
      <c r="H788" s="188" t="inlineStr">
        <is>
          <t>MEDIUM</t>
        </is>
      </c>
      <c r="I788" s="188" t="n">
        <v>8.9</v>
      </c>
      <c r="J788" s="188" t="inlineStr">
        <is>
          <t>NO</t>
        </is>
      </c>
      <c r="K788" s="188" t="inlineStr">
        <is>
          <t>https://nvd.nist.gov/vuln/detail/CVE-2026-22728</t>
        </is>
      </c>
      <c r="L788" s="188" t="inlineStr">
        <is>
          <t>2026-02-27 20:47</t>
        </is>
      </c>
      <c r="M788" s="188" t="inlineStr">
        <is>
          <t>CHECK_VENDOR</t>
        </is>
      </c>
      <c r="N788" s="188" t="inlineStr">
        <is>
          <t>See NVD references</t>
        </is>
      </c>
      <c r="O788" s="188" t="inlineStr">
        <is>
          <t>Apply vendor patches</t>
        </is>
      </c>
      <c r="P788" s="188" t="inlineStr">
        <is>
          <t>See CVE details</t>
        </is>
      </c>
      <c r="Q788" s="188" t="inlineStr">
        <is>
          <t>P4</t>
        </is>
      </c>
      <c r="R788" s="188" t="inlineStr">
        <is>
          <t>📅 Schedule patch deployment within 30 days | 🔍 Monitor for exploitation attempts</t>
        </is>
      </c>
      <c r="S788" s="188" t="inlineStr">
        <is>
          <t>CVE - IP enrichment n/a</t>
        </is>
      </c>
      <c r="T788" s="188" t="n">
        <v>0.0004</v>
      </c>
      <c r="U788" s="188" t="n">
        <v>0.112</v>
      </c>
      <c r="V788" s="188" t="inlineStr">
        <is>
          <t>T1552:Unsecured Credentials</t>
        </is>
      </c>
      <c r="W788" s="188" t="n">
        <v>1</v>
      </c>
      <c r="X788" s="188" t="inlineStr">
        <is>
          <t>LOW (40%)</t>
        </is>
      </c>
      <c r="Y788" s="188" t="inlineStr">
        <is>
          <t>UNLIKELY</t>
        </is>
      </c>
      <c r="Z788" s="188" t="inlineStr">
        <is>
          <t>CHECK_VENDOR</t>
        </is>
      </c>
      <c r="AA788" s="188" t="inlineStr">
        <is>
          <t>https://nvd.nist.gov/vuln/detail/CVE-2026-22728</t>
        </is>
      </c>
      <c r="AB788" s="188" t="inlineStr">
        <is>
          <t>NONE</t>
        </is>
      </c>
      <c r="AC788" s="188" t="n">
        <v>0</v>
      </c>
      <c r="AD788" s="188" t="inlineStr"/>
    </row>
    <row r="789">
      <c r="A789" s="187" t="inlineStr">
        <is>
          <t>CVE</t>
        </is>
      </c>
      <c r="B789" s="187" t="inlineStr">
        <is>
          <t>CVE-2026-27887</t>
        </is>
      </c>
      <c r="C789" s="187"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789" s="187" t="n">
        <v>8.5</v>
      </c>
      <c r="E789" s="187" t="inlineStr">
        <is>
          <t>HIGH</t>
        </is>
      </c>
      <c r="F789" s="187" t="n">
        <v>2</v>
      </c>
      <c r="G789" s="187" t="n">
        <v>3</v>
      </c>
      <c r="H789" s="187" t="inlineStr">
        <is>
          <t>HIGH</t>
        </is>
      </c>
      <c r="I789" s="187" t="n">
        <v>14.5</v>
      </c>
      <c r="J789" s="187" t="inlineStr">
        <is>
          <t>NO</t>
        </is>
      </c>
      <c r="K789" s="187" t="inlineStr">
        <is>
          <t>https://nvd.nist.gov/vuln/detail/CVE-2026-27887</t>
        </is>
      </c>
      <c r="L789" s="187" t="inlineStr">
        <is>
          <t>2026-02-27 20:47</t>
        </is>
      </c>
      <c r="M789" s="187" t="inlineStr">
        <is>
          <t>CHECK_VENDOR</t>
        </is>
      </c>
      <c r="N789" s="187" t="inlineStr">
        <is>
          <t>See NVD references</t>
        </is>
      </c>
      <c r="O789" s="187" t="inlineStr">
        <is>
          <t>Apply vendor patches</t>
        </is>
      </c>
      <c r="P789" s="187" t="inlineStr">
        <is>
          <t>See CVE details</t>
        </is>
      </c>
      <c r="Q789" s="187" t="inlineStr">
        <is>
          <t>P3</t>
        </is>
      </c>
      <c r="R789" s="187" t="inlineStr">
        <is>
          <t>🚨 URGENT: Apply vendor patches immediately | 🔒 Isolate affected systems if patch unavailable | 🛡️ Enable additional monitoring/IDS rules</t>
        </is>
      </c>
      <c r="S789" s="187" t="inlineStr">
        <is>
          <t>CVE - IP enrichment n/a</t>
        </is>
      </c>
      <c r="T789" s="187" t="n">
        <v>0.0004</v>
      </c>
      <c r="U789" s="187" t="n">
        <v>0.1257</v>
      </c>
      <c r="V789" s="187" t="inlineStr">
        <is>
          <t>T1190:Exploit Public-Facing Application</t>
        </is>
      </c>
      <c r="W789" s="187" t="n">
        <v>1</v>
      </c>
      <c r="X789" s="187" t="inlineStr">
        <is>
          <t>LOW (40%)</t>
        </is>
      </c>
      <c r="Y789" s="187" t="inlineStr">
        <is>
          <t>UNLIKELY</t>
        </is>
      </c>
      <c r="Z789" s="187" t="inlineStr">
        <is>
          <t>CHECK_VENDOR</t>
        </is>
      </c>
      <c r="AA789" s="187" t="inlineStr">
        <is>
          <t>https://nvd.nist.gov/vuln/detail/CVE-2026-27887</t>
        </is>
      </c>
      <c r="AB789" s="187" t="inlineStr">
        <is>
          <t>NONE</t>
        </is>
      </c>
      <c r="AC789" s="187" t="n">
        <v>0</v>
      </c>
      <c r="AD789" s="187" t="inlineStr"/>
    </row>
    <row r="790">
      <c r="A790" s="187" t="inlineStr">
        <is>
          <t>CVE</t>
        </is>
      </c>
      <c r="B790" s="187" t="inlineStr">
        <is>
          <t>CVE-2026-27899</t>
        </is>
      </c>
      <c r="C790" s="187"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790" s="187" t="n">
        <v>8.800000000000001</v>
      </c>
      <c r="E790" s="187" t="inlineStr">
        <is>
          <t>HIGH</t>
        </is>
      </c>
      <c r="F790" s="187" t="n">
        <v>2</v>
      </c>
      <c r="G790" s="187" t="n">
        <v>3</v>
      </c>
      <c r="H790" s="187" t="inlineStr">
        <is>
          <t>HIGH</t>
        </is>
      </c>
      <c r="I790" s="187" t="n">
        <v>14.8</v>
      </c>
      <c r="J790" s="187" t="inlineStr">
        <is>
          <t>NO</t>
        </is>
      </c>
      <c r="K790" s="187" t="inlineStr">
        <is>
          <t>https://nvd.nist.gov/vuln/detail/CVE-2026-27899</t>
        </is>
      </c>
      <c r="L790" s="187" t="inlineStr">
        <is>
          <t>2026-02-27 20:47</t>
        </is>
      </c>
      <c r="M790" s="187" t="inlineStr">
        <is>
          <t>CHECK_VENDOR</t>
        </is>
      </c>
      <c r="N790" s="187" t="inlineStr">
        <is>
          <t>See NVD references</t>
        </is>
      </c>
      <c r="O790" s="187" t="inlineStr">
        <is>
          <t>Apply vendor patches</t>
        </is>
      </c>
      <c r="P790" s="187" t="inlineStr">
        <is>
          <t>See CVE details</t>
        </is>
      </c>
      <c r="Q790" s="187" t="inlineStr">
        <is>
          <t>P3</t>
        </is>
      </c>
      <c r="R790" s="187" t="inlineStr">
        <is>
          <t>🚨 URGENT: Apply vendor patches immediately | 🔒 Isolate affected systems if patch unavailable | 🛡️ Enable additional monitoring/IDS rules</t>
        </is>
      </c>
      <c r="S790" s="187" t="inlineStr">
        <is>
          <t>CVE - IP enrichment n/a</t>
        </is>
      </c>
      <c r="T790" s="187" t="n">
        <v>0.0007</v>
      </c>
      <c r="U790" s="187" t="n">
        <v>0.2055</v>
      </c>
      <c r="V790" s="187" t="inlineStr">
        <is>
          <t>T1133:External Remote Services</t>
        </is>
      </c>
      <c r="W790" s="187" t="n">
        <v>1</v>
      </c>
      <c r="X790" s="187" t="inlineStr">
        <is>
          <t>LOW (40%)</t>
        </is>
      </c>
      <c r="Y790" s="187" t="inlineStr">
        <is>
          <t>UNLIKELY</t>
        </is>
      </c>
      <c r="Z790" s="187" t="inlineStr">
        <is>
          <t>CHECK_VENDOR</t>
        </is>
      </c>
      <c r="AA790" s="187" t="inlineStr">
        <is>
          <t>https://nvd.nist.gov/vuln/detail/CVE-2026-27899</t>
        </is>
      </c>
      <c r="AB790" s="187" t="inlineStr">
        <is>
          <t>NONE</t>
        </is>
      </c>
      <c r="AC790" s="187" t="n">
        <v>0</v>
      </c>
      <c r="AD790" s="187" t="inlineStr"/>
    </row>
    <row r="791">
      <c r="A791" s="188" t="inlineStr">
        <is>
          <t>CVE</t>
        </is>
      </c>
      <c r="B791" s="188" t="inlineStr">
        <is>
          <t>CVE-2026-27900</t>
        </is>
      </c>
      <c r="C791" s="188"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791" s="188" t="n">
        <v>5</v>
      </c>
      <c r="E791" s="188" t="inlineStr">
        <is>
          <t>MEDIUM</t>
        </is>
      </c>
      <c r="F791" s="188" t="n">
        <v>2</v>
      </c>
      <c r="G791" s="188" t="n">
        <v>2</v>
      </c>
      <c r="H791" s="188" t="inlineStr">
        <is>
          <t>MEDIUM</t>
        </is>
      </c>
      <c r="I791" s="188" t="n">
        <v>9</v>
      </c>
      <c r="J791" s="188" t="inlineStr">
        <is>
          <t>NO</t>
        </is>
      </c>
      <c r="K791" s="188" t="inlineStr">
        <is>
          <t>https://nvd.nist.gov/vuln/detail/CVE-2026-27900</t>
        </is>
      </c>
      <c r="L791" s="188" t="inlineStr">
        <is>
          <t>2026-02-27 20:47</t>
        </is>
      </c>
      <c r="M791" s="188" t="inlineStr">
        <is>
          <t>CHECK_VENDOR</t>
        </is>
      </c>
      <c r="N791" s="188" t="inlineStr">
        <is>
          <t>See NVD references</t>
        </is>
      </c>
      <c r="O791" s="188" t="inlineStr">
        <is>
          <t>Apply vendor patches</t>
        </is>
      </c>
      <c r="P791" s="188" t="inlineStr">
        <is>
          <t>See CVE details</t>
        </is>
      </c>
      <c r="Q791" s="188" t="inlineStr">
        <is>
          <t>P4</t>
        </is>
      </c>
      <c r="R791" s="188" t="inlineStr">
        <is>
          <t>📅 Schedule patch deployment within 30 days | 🔍 Monitor for exploitation attempts</t>
        </is>
      </c>
      <c r="S791" s="188" t="inlineStr">
        <is>
          <t>CVE - IP enrichment n/a</t>
        </is>
      </c>
      <c r="T791" s="188" t="n">
        <v>0.0004</v>
      </c>
      <c r="U791" s="188" t="n">
        <v>0.1204</v>
      </c>
      <c r="V791" s="188" t="inlineStr">
        <is>
          <t>T1190:Exploit Public-Facing Application | T1552:Unsecured Credentials</t>
        </is>
      </c>
      <c r="W791" s="188" t="n">
        <v>1</v>
      </c>
      <c r="X791" s="188" t="inlineStr">
        <is>
          <t>LOW (40%)</t>
        </is>
      </c>
      <c r="Y791" s="188" t="inlineStr">
        <is>
          <t>UNLIKELY</t>
        </is>
      </c>
      <c r="Z791" s="188" t="inlineStr">
        <is>
          <t>CHECK_VENDOR</t>
        </is>
      </c>
      <c r="AA791" s="188" t="inlineStr">
        <is>
          <t>https://nvd.nist.gov/vuln/detail/CVE-2026-27900</t>
        </is>
      </c>
      <c r="AB791" s="188" t="inlineStr">
        <is>
          <t>NONE</t>
        </is>
      </c>
      <c r="AC791" s="188" t="n">
        <v>0</v>
      </c>
      <c r="AD791" s="188" t="inlineStr"/>
    </row>
    <row r="792">
      <c r="A792" s="188" t="inlineStr">
        <is>
          <t>CVE</t>
        </is>
      </c>
      <c r="B792" s="188" t="inlineStr">
        <is>
          <t>CVE-2026-27901</t>
        </is>
      </c>
      <c r="C792" s="188"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792" s="188" t="n">
        <v>5</v>
      </c>
      <c r="E792" s="188" t="inlineStr">
        <is>
          <t>MEDIUM</t>
        </is>
      </c>
      <c r="F792" s="188" t="n">
        <v>2</v>
      </c>
      <c r="G792" s="188" t="n">
        <v>2</v>
      </c>
      <c r="H792" s="188" t="inlineStr">
        <is>
          <t>MEDIUM</t>
        </is>
      </c>
      <c r="I792" s="188" t="n">
        <v>9</v>
      </c>
      <c r="J792" s="188" t="inlineStr">
        <is>
          <t>NO</t>
        </is>
      </c>
      <c r="K792" s="188" t="inlineStr">
        <is>
          <t>https://nvd.nist.gov/vuln/detail/CVE-2026-27901</t>
        </is>
      </c>
      <c r="L792" s="188" t="inlineStr">
        <is>
          <t>2026-02-27 20:47</t>
        </is>
      </c>
      <c r="M792" s="188" t="inlineStr">
        <is>
          <t>CHECK_VENDOR</t>
        </is>
      </c>
      <c r="N792" s="188" t="inlineStr">
        <is>
          <t>See NVD references</t>
        </is>
      </c>
      <c r="O792" s="188" t="inlineStr">
        <is>
          <t>Apply vendor patches</t>
        </is>
      </c>
      <c r="P792" s="188" t="inlineStr">
        <is>
          <t>See CVE details</t>
        </is>
      </c>
      <c r="Q792" s="188" t="inlineStr">
        <is>
          <t>P4</t>
        </is>
      </c>
      <c r="R792" s="188" t="inlineStr">
        <is>
          <t>📅 Schedule patch deployment within 30 days | 🔍 Monitor for exploitation attempts</t>
        </is>
      </c>
      <c r="S792" s="188" t="inlineStr">
        <is>
          <t>CVE - IP enrichment n/a</t>
        </is>
      </c>
      <c r="T792" s="188" t="n">
        <v>0.0004</v>
      </c>
      <c r="U792" s="188" t="n">
        <v>0.1355</v>
      </c>
      <c r="V792" s="188" t="inlineStr">
        <is>
          <t>T1189:Drive-by Compromise</t>
        </is>
      </c>
      <c r="W792" s="188" t="n">
        <v>1</v>
      </c>
      <c r="X792" s="188" t="inlineStr">
        <is>
          <t>LOW (40%)</t>
        </is>
      </c>
      <c r="Y792" s="188" t="inlineStr">
        <is>
          <t>UNLIKELY</t>
        </is>
      </c>
      <c r="Z792" s="188" t="inlineStr">
        <is>
          <t>CHECK_VENDOR</t>
        </is>
      </c>
      <c r="AA792" s="188" t="inlineStr">
        <is>
          <t>https://nvd.nist.gov/vuln/detail/CVE-2026-27901</t>
        </is>
      </c>
      <c r="AB792" s="188" t="inlineStr">
        <is>
          <t>NONE</t>
        </is>
      </c>
      <c r="AC792" s="188" t="n">
        <v>0</v>
      </c>
      <c r="AD792" s="188" t="inlineStr"/>
    </row>
    <row r="793">
      <c r="A793" s="188" t="inlineStr">
        <is>
          <t>CVE</t>
        </is>
      </c>
      <c r="B793" s="188" t="inlineStr">
        <is>
          <t>CVE-2026-27902</t>
        </is>
      </c>
      <c r="C793" s="188"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793" s="188" t="n">
        <v>5</v>
      </c>
      <c r="E793" s="188" t="inlineStr">
        <is>
          <t>MEDIUM</t>
        </is>
      </c>
      <c r="F793" s="188" t="n">
        <v>2</v>
      </c>
      <c r="G793" s="188" t="n">
        <v>2</v>
      </c>
      <c r="H793" s="188" t="inlineStr">
        <is>
          <t>MEDIUM</t>
        </is>
      </c>
      <c r="I793" s="188" t="n">
        <v>9</v>
      </c>
      <c r="J793" s="188" t="inlineStr">
        <is>
          <t>NO</t>
        </is>
      </c>
      <c r="K793" s="188" t="inlineStr">
        <is>
          <t>https://nvd.nist.gov/vuln/detail/CVE-2026-27902</t>
        </is>
      </c>
      <c r="L793" s="188" t="inlineStr">
        <is>
          <t>2026-02-27 20:47</t>
        </is>
      </c>
      <c r="M793" s="188" t="inlineStr">
        <is>
          <t>CHECK_VENDOR</t>
        </is>
      </c>
      <c r="N793" s="188" t="inlineStr">
        <is>
          <t>See NVD references</t>
        </is>
      </c>
      <c r="O793" s="188" t="inlineStr">
        <is>
          <t>Apply vendor patches</t>
        </is>
      </c>
      <c r="P793" s="188" t="inlineStr">
        <is>
          <t>See CVE details</t>
        </is>
      </c>
      <c r="Q793" s="188" t="inlineStr">
        <is>
          <t>P4</t>
        </is>
      </c>
      <c r="R793" s="188" t="inlineStr">
        <is>
          <t>📅 Schedule patch deployment within 30 days | 🔍 Monitor for exploitation attempts</t>
        </is>
      </c>
      <c r="S793" s="188" t="inlineStr">
        <is>
          <t>CVE - IP enrichment n/a</t>
        </is>
      </c>
      <c r="T793" s="188" t="n">
        <v>0.0004</v>
      </c>
      <c r="U793" s="188" t="n">
        <v>0.1355</v>
      </c>
      <c r="V793" s="188" t="inlineStr">
        <is>
          <t>T1189:Drive-by Compromise</t>
        </is>
      </c>
      <c r="W793" s="188" t="n">
        <v>1</v>
      </c>
      <c r="X793" s="188" t="inlineStr">
        <is>
          <t>LOW (40%)</t>
        </is>
      </c>
      <c r="Y793" s="188" t="inlineStr">
        <is>
          <t>UNLIKELY</t>
        </is>
      </c>
      <c r="Z793" s="188" t="inlineStr">
        <is>
          <t>CHECK_VENDOR</t>
        </is>
      </c>
      <c r="AA793" s="188" t="inlineStr">
        <is>
          <t>https://nvd.nist.gov/vuln/detail/CVE-2026-27902</t>
        </is>
      </c>
      <c r="AB793" s="188" t="inlineStr">
        <is>
          <t>NONE</t>
        </is>
      </c>
      <c r="AC793" s="188" t="n">
        <v>0</v>
      </c>
      <c r="AD793" s="188" t="inlineStr"/>
    </row>
    <row r="794">
      <c r="A794" s="187" t="inlineStr">
        <is>
          <t>CVE</t>
        </is>
      </c>
      <c r="B794" s="187" t="inlineStr">
        <is>
          <t>CVE-2026-27903</t>
        </is>
      </c>
      <c r="C794" s="187"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794" s="187" t="n">
        <v>7.5</v>
      </c>
      <c r="E794" s="187" t="inlineStr">
        <is>
          <t>HIGH</t>
        </is>
      </c>
      <c r="F794" s="187" t="n">
        <v>2</v>
      </c>
      <c r="G794" s="187" t="n">
        <v>3</v>
      </c>
      <c r="H794" s="187" t="inlineStr">
        <is>
          <t>HIGH</t>
        </is>
      </c>
      <c r="I794" s="187" t="n">
        <v>13.5</v>
      </c>
      <c r="J794" s="187" t="inlineStr">
        <is>
          <t>NO</t>
        </is>
      </c>
      <c r="K794" s="187" t="inlineStr">
        <is>
          <t>https://nvd.nist.gov/vuln/detail/CVE-2026-27903</t>
        </is>
      </c>
      <c r="L794" s="187" t="inlineStr">
        <is>
          <t>2026-02-27 20:47</t>
        </is>
      </c>
      <c r="M794" s="187" t="inlineStr">
        <is>
          <t>YES</t>
        </is>
      </c>
      <c r="N794" s="187" t="inlineStr">
        <is>
          <t>https://github.com/isaacs/minimatch/security/advisories/GHSA-7r86-cg39-jmmj</t>
        </is>
      </c>
      <c r="O794" s="187" t="inlineStr">
        <is>
          <t>Apply vendor patches</t>
        </is>
      </c>
      <c r="P794" s="187" t="inlineStr">
        <is>
          <t>minimatch_project minimatch *</t>
        </is>
      </c>
      <c r="Q794" s="187" t="inlineStr">
        <is>
          <t>P3</t>
        </is>
      </c>
      <c r="R794" s="187" t="inlineStr">
        <is>
          <t>🚨 URGENT: Apply vendor patches immediately | 🔒 Isolate affected systems if patch unavailable | 🛡️ Enable additional monitoring/IDS rules</t>
        </is>
      </c>
      <c r="S794" s="187" t="inlineStr">
        <is>
          <t>CVE - IP enrichment n/a</t>
        </is>
      </c>
      <c r="T794" s="187" t="n">
        <v>0.0005</v>
      </c>
      <c r="U794" s="187" t="n">
        <v>0.1447</v>
      </c>
      <c r="V794" s="187" t="inlineStr">
        <is>
          <t>T1190:Exploit Public-Facing Application</t>
        </is>
      </c>
      <c r="W794" s="187" t="n">
        <v>1</v>
      </c>
      <c r="X794" s="187" t="inlineStr">
        <is>
          <t>LOW (40%)</t>
        </is>
      </c>
      <c r="Y794" s="187" t="inlineStr">
        <is>
          <t>UNLIKELY</t>
        </is>
      </c>
      <c r="Z794" s="187" t="inlineStr">
        <is>
          <t>PATCH_AVAILABLE</t>
        </is>
      </c>
      <c r="AA794" s="187" t="inlineStr">
        <is>
          <t>https://nvd.nist.gov/vuln/detail/CVE-2026-27903</t>
        </is>
      </c>
      <c r="AB794" s="187" t="inlineStr">
        <is>
          <t>NONE</t>
        </is>
      </c>
      <c r="AC794" s="187" t="n">
        <v>0</v>
      </c>
      <c r="AD794" s="187" t="inlineStr"/>
    </row>
    <row r="795">
      <c r="A795" s="187" t="inlineStr">
        <is>
          <t>CVE</t>
        </is>
      </c>
      <c r="B795" s="187" t="inlineStr">
        <is>
          <t>CVE-2026-27904</t>
        </is>
      </c>
      <c r="C795" s="187"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795" s="187" t="n">
        <v>7.5</v>
      </c>
      <c r="E795" s="187" t="inlineStr">
        <is>
          <t>HIGH</t>
        </is>
      </c>
      <c r="F795" s="187" t="n">
        <v>2</v>
      </c>
      <c r="G795" s="187" t="n">
        <v>3</v>
      </c>
      <c r="H795" s="187" t="inlineStr">
        <is>
          <t>HIGH</t>
        </is>
      </c>
      <c r="I795" s="187" t="n">
        <v>13.5</v>
      </c>
      <c r="J795" s="187" t="inlineStr">
        <is>
          <t>NO</t>
        </is>
      </c>
      <c r="K795" s="187" t="inlineStr">
        <is>
          <t>https://nvd.nist.gov/vuln/detail/CVE-2026-27904</t>
        </is>
      </c>
      <c r="L795" s="187" t="inlineStr">
        <is>
          <t>2026-02-27 20:47</t>
        </is>
      </c>
      <c r="M795" s="187" t="inlineStr">
        <is>
          <t>YES</t>
        </is>
      </c>
      <c r="N795" s="187" t="inlineStr">
        <is>
          <t>https://github.com/isaacs/minimatch/security/advisories/GHSA-23c5-xmqv-rm74</t>
        </is>
      </c>
      <c r="O795" s="187" t="inlineStr">
        <is>
          <t>Apply vendor patches</t>
        </is>
      </c>
      <c r="P795" s="187" t="inlineStr">
        <is>
          <t>minimatch_project minimatch *</t>
        </is>
      </c>
      <c r="Q795" s="187" t="inlineStr">
        <is>
          <t>P3</t>
        </is>
      </c>
      <c r="R795" s="187" t="inlineStr">
        <is>
          <t>🚨 URGENT: Apply vendor patches immediately | 🔒 Isolate affected systems if patch unavailable | 🛡️ Enable additional monitoring/IDS rules</t>
        </is>
      </c>
      <c r="S795" s="187" t="inlineStr">
        <is>
          <t>CVE - IP enrichment n/a</t>
        </is>
      </c>
      <c r="T795" s="187" t="n">
        <v>0.0004</v>
      </c>
      <c r="U795" s="187" t="n">
        <v>0.1198</v>
      </c>
      <c r="V795" s="187" t="inlineStr">
        <is>
          <t>T1190:Exploit Public-Facing Application</t>
        </is>
      </c>
      <c r="W795" s="187" t="n">
        <v>1</v>
      </c>
      <c r="X795" s="187" t="inlineStr">
        <is>
          <t>LOW (40%)</t>
        </is>
      </c>
      <c r="Y795" s="187" t="inlineStr">
        <is>
          <t>UNLIKELY</t>
        </is>
      </c>
      <c r="Z795" s="187" t="inlineStr">
        <is>
          <t>PATCH_AVAILABLE</t>
        </is>
      </c>
      <c r="AA795" s="187" t="inlineStr">
        <is>
          <t>https://nvd.nist.gov/vuln/detail/CVE-2026-27904</t>
        </is>
      </c>
      <c r="AB795" s="187" t="inlineStr">
        <is>
          <t>NONE</t>
        </is>
      </c>
      <c r="AC795" s="187" t="n">
        <v>0</v>
      </c>
      <c r="AD795" s="187" t="inlineStr"/>
    </row>
    <row r="796">
      <c r="A796" s="187" t="inlineStr">
        <is>
          <t>CVE</t>
        </is>
      </c>
      <c r="B796" s="187" t="inlineStr">
        <is>
          <t>CVE-2026-27938</t>
        </is>
      </c>
      <c r="C796" s="187"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796" s="187" t="n">
        <v>7.7</v>
      </c>
      <c r="E796" s="187" t="inlineStr">
        <is>
          <t>HIGH</t>
        </is>
      </c>
      <c r="F796" s="187" t="n">
        <v>2</v>
      </c>
      <c r="G796" s="187" t="n">
        <v>3</v>
      </c>
      <c r="H796" s="187" t="inlineStr">
        <is>
          <t>HIGH</t>
        </is>
      </c>
      <c r="I796" s="187" t="n">
        <v>13.7</v>
      </c>
      <c r="J796" s="187" t="inlineStr">
        <is>
          <t>NO</t>
        </is>
      </c>
      <c r="K796" s="187" t="inlineStr">
        <is>
          <t>https://nvd.nist.gov/vuln/detail/CVE-2026-27938</t>
        </is>
      </c>
      <c r="L796" s="187" t="inlineStr">
        <is>
          <t>2026-02-27 20:47</t>
        </is>
      </c>
      <c r="M796" s="187" t="inlineStr">
        <is>
          <t>CHECK_VENDOR</t>
        </is>
      </c>
      <c r="N796" s="187" t="inlineStr">
        <is>
          <t>See NVD references</t>
        </is>
      </c>
      <c r="O796" s="187" t="inlineStr">
        <is>
          <t>Apply vendor patches</t>
        </is>
      </c>
      <c r="P796" s="187" t="inlineStr">
        <is>
          <t>See CVE details</t>
        </is>
      </c>
      <c r="Q796" s="187" t="inlineStr">
        <is>
          <t>P3</t>
        </is>
      </c>
      <c r="R796" s="187" t="inlineStr">
        <is>
          <t>🚨 URGENT: Apply vendor patches immediately | 🔒 Isolate affected systems if patch unavailable | 🛡️ Enable additional monitoring/IDS rules</t>
        </is>
      </c>
      <c r="S796" s="187" t="inlineStr">
        <is>
          <t>CVE - IP enrichment n/a</t>
        </is>
      </c>
      <c r="T796" s="187" t="n">
        <v>0.0005999999999999999</v>
      </c>
      <c r="U796" s="187" t="n">
        <v>0.1733</v>
      </c>
      <c r="V796" s="187" t="inlineStr">
        <is>
          <t>T1059:Command and Scripting Interpreter</t>
        </is>
      </c>
      <c r="W796" s="187" t="n">
        <v>1</v>
      </c>
      <c r="X796" s="187" t="inlineStr">
        <is>
          <t>LOW (40%)</t>
        </is>
      </c>
      <c r="Y796" s="187" t="inlineStr">
        <is>
          <t>UNLIKELY</t>
        </is>
      </c>
      <c r="Z796" s="187" t="inlineStr">
        <is>
          <t>CHECK_VENDOR</t>
        </is>
      </c>
      <c r="AA796" s="187" t="inlineStr">
        <is>
          <t>https://nvd.nist.gov/vuln/detail/CVE-2026-27938</t>
        </is>
      </c>
      <c r="AB796" s="187" t="inlineStr">
        <is>
          <t>NONE</t>
        </is>
      </c>
      <c r="AC796" s="187" t="n">
        <v>0</v>
      </c>
      <c r="AD796" s="187" t="inlineStr"/>
    </row>
    <row r="797">
      <c r="A797" s="189" t="inlineStr">
        <is>
          <t>CVE</t>
        </is>
      </c>
      <c r="B797" s="189" t="inlineStr">
        <is>
          <t>CVE-2026-27941</t>
        </is>
      </c>
      <c r="C797" s="189"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797" s="189" t="n">
        <v>9.9</v>
      </c>
      <c r="E797" s="189" t="inlineStr">
        <is>
          <t>CRITICAL</t>
        </is>
      </c>
      <c r="F797" s="189" t="n">
        <v>2</v>
      </c>
      <c r="G797" s="189" t="n">
        <v>3</v>
      </c>
      <c r="H797" s="189" t="inlineStr">
        <is>
          <t>HIGH</t>
        </is>
      </c>
      <c r="I797" s="189" t="n">
        <v>15.9</v>
      </c>
      <c r="J797" s="189" t="inlineStr">
        <is>
          <t>NO</t>
        </is>
      </c>
      <c r="K797" s="189" t="inlineStr">
        <is>
          <t>https://nvd.nist.gov/vuln/detail/CVE-2026-27941</t>
        </is>
      </c>
      <c r="L797" s="189" t="inlineStr">
        <is>
          <t>2026-02-27 20:47</t>
        </is>
      </c>
      <c r="M797" s="189" t="inlineStr">
        <is>
          <t>CHECK_VENDOR</t>
        </is>
      </c>
      <c r="N797" s="189" t="inlineStr">
        <is>
          <t>See NVD references</t>
        </is>
      </c>
      <c r="O797" s="189" t="inlineStr">
        <is>
          <t>Apply vendor patches</t>
        </is>
      </c>
      <c r="P797" s="189" t="inlineStr">
        <is>
          <t>See CVE details</t>
        </is>
      </c>
      <c r="Q797" s="189" t="inlineStr">
        <is>
          <t>P3</t>
        </is>
      </c>
      <c r="R797" s="189" t="inlineStr">
        <is>
          <t>🚨 URGENT: Apply vendor patches immediately | 🔒 Isolate affected systems if patch unavailable | 🛡️ Enable additional monitoring/IDS rules</t>
        </is>
      </c>
      <c r="S797" s="189" t="inlineStr">
        <is>
          <t>CVE - IP enrichment n/a</t>
        </is>
      </c>
      <c r="T797" s="189" t="n">
        <v>0.0004</v>
      </c>
      <c r="U797" s="189" t="n">
        <v>0.1279</v>
      </c>
      <c r="V797" s="189" t="inlineStr">
        <is>
          <t>T1190:Exploit Public-Facing Application</t>
        </is>
      </c>
      <c r="W797" s="189" t="n">
        <v>1</v>
      </c>
      <c r="X797" s="189" t="inlineStr">
        <is>
          <t>LOW (40%)</t>
        </is>
      </c>
      <c r="Y797" s="189" t="inlineStr">
        <is>
          <t>UNLIKELY</t>
        </is>
      </c>
      <c r="Z797" s="189" t="inlineStr">
        <is>
          <t>CHECK_VENDOR</t>
        </is>
      </c>
      <c r="AA797" s="189" t="inlineStr">
        <is>
          <t>https://nvd.nist.gov/vuln/detail/CVE-2026-27941</t>
        </is>
      </c>
      <c r="AB797" s="189" t="inlineStr">
        <is>
          <t>NONE</t>
        </is>
      </c>
      <c r="AC797" s="189" t="n">
        <v>0</v>
      </c>
      <c r="AD797" s="189" t="inlineStr"/>
    </row>
    <row r="798">
      <c r="A798" s="187" t="inlineStr">
        <is>
          <t>CVE</t>
        </is>
      </c>
      <c r="B798" s="187" t="inlineStr">
        <is>
          <t>CVE-2026-27942</t>
        </is>
      </c>
      <c r="C798" s="187"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798" s="187" t="n">
        <v>7.5</v>
      </c>
      <c r="E798" s="187" t="inlineStr">
        <is>
          <t>HIGH</t>
        </is>
      </c>
      <c r="F798" s="187" t="n">
        <v>2</v>
      </c>
      <c r="G798" s="187" t="n">
        <v>3</v>
      </c>
      <c r="H798" s="187" t="inlineStr">
        <is>
          <t>HIGH</t>
        </is>
      </c>
      <c r="I798" s="187" t="n">
        <v>13.5</v>
      </c>
      <c r="J798" s="187" t="inlineStr">
        <is>
          <t>NO</t>
        </is>
      </c>
      <c r="K798" s="187" t="inlineStr">
        <is>
          <t>https://nvd.nist.gov/vuln/detail/CVE-2026-27942</t>
        </is>
      </c>
      <c r="L798" s="187" t="inlineStr">
        <is>
          <t>2026-02-27 20:47</t>
        </is>
      </c>
      <c r="M798" s="187" t="inlineStr">
        <is>
          <t>YES</t>
        </is>
      </c>
      <c r="N798" s="187" t="inlineStr">
        <is>
          <t>https://github.com/NaturalIntelligence/fast-xml-parser/commit/c13a961910f14986295dd28484eee830fa1a0e8a | https://github.com/NaturalIntelligence/fast-xml-parser/pull/791 | https://github.com/NaturalIntelligence/fast-xml-parser/security/advisories/GHSA-fj3w-jwp8-x2g3</t>
        </is>
      </c>
      <c r="O798" s="187" t="inlineStr">
        <is>
          <t>Apply vendor patches</t>
        </is>
      </c>
      <c r="P798" s="187" t="inlineStr">
        <is>
          <t>fast-xml-parser_project fast-xml-parser *</t>
        </is>
      </c>
      <c r="Q798" s="187" t="inlineStr">
        <is>
          <t>P3</t>
        </is>
      </c>
      <c r="R798" s="187" t="inlineStr">
        <is>
          <t>🚨 URGENT: Apply vendor patches immediately | 🔒 Isolate affected systems if patch unavailable | 🛡️ Enable additional monitoring/IDS rules</t>
        </is>
      </c>
      <c r="S798" s="187" t="inlineStr">
        <is>
          <t>CVE - IP enrichment n/a</t>
        </is>
      </c>
      <c r="T798" s="187" t="n">
        <v>0.0004</v>
      </c>
      <c r="U798" s="187" t="n">
        <v>0.1196</v>
      </c>
      <c r="V798" s="187" t="inlineStr">
        <is>
          <t>T1203:Exploitation for Client Execution</t>
        </is>
      </c>
      <c r="W798" s="187" t="n">
        <v>1</v>
      </c>
      <c r="X798" s="187" t="inlineStr">
        <is>
          <t>LOW (40%)</t>
        </is>
      </c>
      <c r="Y798" s="187" t="inlineStr">
        <is>
          <t>UNLIKELY</t>
        </is>
      </c>
      <c r="Z798" s="187" t="inlineStr">
        <is>
          <t>PATCH_AVAILABLE</t>
        </is>
      </c>
      <c r="AA798" s="187" t="inlineStr">
        <is>
          <t>https://nvd.nist.gov/vuln/detail/CVE-2026-27942</t>
        </is>
      </c>
      <c r="AB798" s="187" t="inlineStr">
        <is>
          <t>NONE</t>
        </is>
      </c>
      <c r="AC798" s="187" t="n">
        <v>0</v>
      </c>
      <c r="AD798" s="187" t="inlineStr"/>
    </row>
    <row r="799">
      <c r="A799" s="188" t="inlineStr">
        <is>
          <t>CVE</t>
        </is>
      </c>
      <c r="B799" s="188" t="inlineStr">
        <is>
          <t>CVE-2026-27943</t>
        </is>
      </c>
      <c r="C799" s="188"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799" s="188" t="n">
        <v>6.5</v>
      </c>
      <c r="E799" s="188" t="inlineStr">
        <is>
          <t>MEDIUM</t>
        </is>
      </c>
      <c r="F799" s="188" t="n">
        <v>2</v>
      </c>
      <c r="G799" s="188" t="n">
        <v>2</v>
      </c>
      <c r="H799" s="188" t="inlineStr">
        <is>
          <t>MEDIUM</t>
        </is>
      </c>
      <c r="I799" s="188" t="n">
        <v>10.5</v>
      </c>
      <c r="J799" s="188" t="inlineStr">
        <is>
          <t>NO</t>
        </is>
      </c>
      <c r="K799" s="188" t="inlineStr">
        <is>
          <t>https://nvd.nist.gov/vuln/detail/CVE-2026-27943</t>
        </is>
      </c>
      <c r="L799" s="188" t="inlineStr">
        <is>
          <t>2026-02-27 20:47</t>
        </is>
      </c>
      <c r="M799" s="188" t="inlineStr">
        <is>
          <t>YES</t>
        </is>
      </c>
      <c r="N799" s="188" t="inlineStr">
        <is>
          <t>https://github.com/openemr/openemr/commit/c87489bf63f2701b634d948279e104f2ed3df1c0 | https://github.com/openemr/openemr/security/advisories/GHSA-q96x-qw99-6xq9</t>
        </is>
      </c>
      <c r="O799" s="188" t="inlineStr">
        <is>
          <t>Apply vendor patches</t>
        </is>
      </c>
      <c r="P799" s="188" t="inlineStr">
        <is>
          <t>open-emr openemr *</t>
        </is>
      </c>
      <c r="Q799" s="188" t="inlineStr">
        <is>
          <t>P4</t>
        </is>
      </c>
      <c r="R799" s="188" t="inlineStr">
        <is>
          <t>📅 Schedule patch deployment within 30 days | 🔍 Monitor for exploitation attempts</t>
        </is>
      </c>
      <c r="S799" s="188" t="inlineStr">
        <is>
          <t>CVE - IP enrichment n/a</t>
        </is>
      </c>
      <c r="T799" s="188" t="n">
        <v>0.0003</v>
      </c>
      <c r="U799" s="188" t="n">
        <v>0.0772</v>
      </c>
      <c r="V799" s="188" t="inlineStr">
        <is>
          <t>T1190:Exploit Public-Facing Application</t>
        </is>
      </c>
      <c r="W799" s="188" t="n">
        <v>1</v>
      </c>
      <c r="X799" s="188" t="inlineStr">
        <is>
          <t>LOW (40%)</t>
        </is>
      </c>
      <c r="Y799" s="188" t="inlineStr">
        <is>
          <t>UNLIKELY</t>
        </is>
      </c>
      <c r="Z799" s="188" t="inlineStr">
        <is>
          <t>PATCH_AVAILABLE</t>
        </is>
      </c>
      <c r="AA799" s="188" t="inlineStr">
        <is>
          <t>https://nvd.nist.gov/vuln/detail/CVE-2026-27943</t>
        </is>
      </c>
      <c r="AB799" s="188" t="inlineStr">
        <is>
          <t>NONE</t>
        </is>
      </c>
      <c r="AC799" s="188" t="n">
        <v>0</v>
      </c>
      <c r="AD799" s="188" t="inlineStr"/>
    </row>
    <row r="800">
      <c r="A800" s="188" t="inlineStr">
        <is>
          <t>CVE</t>
        </is>
      </c>
      <c r="B800" s="188" t="inlineStr">
        <is>
          <t>CVE-2026-27948</t>
        </is>
      </c>
      <c r="C800" s="188" t="inlineStr">
        <is>
          <t>Copyparty is a portable file server. In versions prior to 1.20.9, an XSS allows for reflected cross-site scripting via URL-parameter `?setck=...`. Version 1.20.9 fixes the issue.</t>
        </is>
      </c>
      <c r="D800" s="188" t="n">
        <v>5.4</v>
      </c>
      <c r="E800" s="188" t="inlineStr">
        <is>
          <t>MEDIUM</t>
        </is>
      </c>
      <c r="F800" s="188" t="n">
        <v>2</v>
      </c>
      <c r="G800" s="188" t="n">
        <v>2</v>
      </c>
      <c r="H800" s="188" t="inlineStr">
        <is>
          <t>MEDIUM</t>
        </is>
      </c>
      <c r="I800" s="188" t="n">
        <v>9.4</v>
      </c>
      <c r="J800" s="188" t="inlineStr">
        <is>
          <t>NO</t>
        </is>
      </c>
      <c r="K800" s="188" t="inlineStr">
        <is>
          <t>https://nvd.nist.gov/vuln/detail/CVE-2026-27948</t>
        </is>
      </c>
      <c r="L800" s="188" t="inlineStr">
        <is>
          <t>2026-02-27 20:47</t>
        </is>
      </c>
      <c r="M800" s="188" t="inlineStr">
        <is>
          <t>CHECK_VENDOR</t>
        </is>
      </c>
      <c r="N800" s="188" t="inlineStr">
        <is>
          <t>See NVD references</t>
        </is>
      </c>
      <c r="O800" s="188" t="inlineStr">
        <is>
          <t>Apply vendor patches</t>
        </is>
      </c>
      <c r="P800" s="188" t="inlineStr">
        <is>
          <t>See CVE details</t>
        </is>
      </c>
      <c r="Q800" s="188" t="inlineStr">
        <is>
          <t>P4</t>
        </is>
      </c>
      <c r="R800" s="188" t="inlineStr">
        <is>
          <t>📅 Schedule patch deployment within 30 days | 🔍 Monitor for exploitation attempts</t>
        </is>
      </c>
      <c r="S800" s="188" t="inlineStr">
        <is>
          <t>CVE - IP enrichment n/a</t>
        </is>
      </c>
      <c r="T800" s="188" t="n">
        <v>0.0003</v>
      </c>
      <c r="U800" s="188" t="n">
        <v>0.0799</v>
      </c>
      <c r="V800" s="188" t="inlineStr">
        <is>
          <t>T1189:Drive-by Compromise</t>
        </is>
      </c>
      <c r="W800" s="188" t="n">
        <v>1</v>
      </c>
      <c r="X800" s="188" t="inlineStr">
        <is>
          <t>LOW (40%)</t>
        </is>
      </c>
      <c r="Y800" s="188" t="inlineStr">
        <is>
          <t>UNLIKELY</t>
        </is>
      </c>
      <c r="Z800" s="188" t="inlineStr">
        <is>
          <t>CHECK_VENDOR</t>
        </is>
      </c>
      <c r="AA800" s="188" t="inlineStr">
        <is>
          <t>https://nvd.nist.gov/vuln/detail/CVE-2026-27948</t>
        </is>
      </c>
      <c r="AB800" s="188" t="inlineStr">
        <is>
          <t>NONE</t>
        </is>
      </c>
      <c r="AC800" s="188" t="n">
        <v>0</v>
      </c>
      <c r="AD800" s="188" t="inlineStr"/>
    </row>
    <row r="801">
      <c r="A801" s="187" t="inlineStr">
        <is>
          <t>CVE</t>
        </is>
      </c>
      <c r="B801" s="187" t="inlineStr">
        <is>
          <t>CVE-2026-27952</t>
        </is>
      </c>
      <c r="C801" s="187"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801" s="187" t="n">
        <v>8.800000000000001</v>
      </c>
      <c r="E801" s="187" t="inlineStr">
        <is>
          <t>HIGH</t>
        </is>
      </c>
      <c r="F801" s="187" t="n">
        <v>2</v>
      </c>
      <c r="G801" s="187" t="n">
        <v>3</v>
      </c>
      <c r="H801" s="187" t="inlineStr">
        <is>
          <t>HIGH</t>
        </is>
      </c>
      <c r="I801" s="187" t="n">
        <v>14.8</v>
      </c>
      <c r="J801" s="187" t="inlineStr">
        <is>
          <t>NO</t>
        </is>
      </c>
      <c r="K801" s="187" t="inlineStr">
        <is>
          <t>https://nvd.nist.gov/vuln/detail/CVE-2026-27952</t>
        </is>
      </c>
      <c r="L801" s="187" t="inlineStr">
        <is>
          <t>2026-02-27 20:47</t>
        </is>
      </c>
      <c r="M801" s="187" t="inlineStr">
        <is>
          <t>CHECK_VENDOR</t>
        </is>
      </c>
      <c r="N801" s="187" t="inlineStr">
        <is>
          <t>See NVD references</t>
        </is>
      </c>
      <c r="O801" s="187" t="inlineStr">
        <is>
          <t>Apply vendor patches</t>
        </is>
      </c>
      <c r="P801" s="187" t="inlineStr">
        <is>
          <t>See CVE details</t>
        </is>
      </c>
      <c r="Q801" s="187" t="inlineStr">
        <is>
          <t>P3</t>
        </is>
      </c>
      <c r="R801" s="187" t="inlineStr">
        <is>
          <t>🚨 URGENT: Apply vendor patches immediately | 🔒 Isolate affected systems if patch unavailable | 🛡️ Enable additional monitoring/IDS rules</t>
        </is>
      </c>
      <c r="S801" s="187" t="inlineStr">
        <is>
          <t>CVE - IP enrichment n/a</t>
        </is>
      </c>
      <c r="T801" s="187" t="n">
        <v>0.0007</v>
      </c>
      <c r="U801" s="187" t="n">
        <v>0.217</v>
      </c>
      <c r="V801" s="187" t="inlineStr">
        <is>
          <t>T1059:Command and Scripting Interpreter | T1190:Exploit Public-Facing Application | T1203:Exploitation for Client Execution</t>
        </is>
      </c>
      <c r="W801" s="187" t="n">
        <v>1</v>
      </c>
      <c r="X801" s="187" t="inlineStr">
        <is>
          <t>LOW (40%)</t>
        </is>
      </c>
      <c r="Y801" s="187" t="inlineStr">
        <is>
          <t>UNLIKELY</t>
        </is>
      </c>
      <c r="Z801" s="187" t="inlineStr">
        <is>
          <t>CHECK_VENDOR</t>
        </is>
      </c>
      <c r="AA801" s="187" t="inlineStr">
        <is>
          <t>https://nvd.nist.gov/vuln/detail/CVE-2026-27952</t>
        </is>
      </c>
      <c r="AB801" s="187" t="inlineStr">
        <is>
          <t>NONE</t>
        </is>
      </c>
      <c r="AC801" s="187" t="n">
        <v>0</v>
      </c>
      <c r="AD801" s="187" t="inlineStr"/>
    </row>
    <row r="802">
      <c r="A802" s="187" t="inlineStr">
        <is>
          <t>CVE</t>
        </is>
      </c>
      <c r="B802" s="187" t="inlineStr">
        <is>
          <t>CVE-2026-27954</t>
        </is>
      </c>
      <c r="C802" s="187"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802" s="187" t="n">
        <v>8.5</v>
      </c>
      <c r="E802" s="187" t="inlineStr">
        <is>
          <t>HIGH</t>
        </is>
      </c>
      <c r="F802" s="187" t="n">
        <v>2</v>
      </c>
      <c r="G802" s="187" t="n">
        <v>3</v>
      </c>
      <c r="H802" s="187" t="inlineStr">
        <is>
          <t>HIGH</t>
        </is>
      </c>
      <c r="I802" s="187" t="n">
        <v>14.5</v>
      </c>
      <c r="J802" s="187" t="inlineStr">
        <is>
          <t>NO</t>
        </is>
      </c>
      <c r="K802" s="187" t="inlineStr">
        <is>
          <t>https://nvd.nist.gov/vuln/detail/CVE-2026-27954</t>
        </is>
      </c>
      <c r="L802" s="187" t="inlineStr">
        <is>
          <t>2026-02-27 20:47</t>
        </is>
      </c>
      <c r="M802" s="187" t="inlineStr">
        <is>
          <t>CHECK_VENDOR</t>
        </is>
      </c>
      <c r="N802" s="187" t="inlineStr">
        <is>
          <t>See NVD references</t>
        </is>
      </c>
      <c r="O802" s="187" t="inlineStr">
        <is>
          <t>Apply vendor patches</t>
        </is>
      </c>
      <c r="P802" s="187" t="inlineStr">
        <is>
          <t>See CVE details</t>
        </is>
      </c>
      <c r="Q802" s="187" t="inlineStr">
        <is>
          <t>P3</t>
        </is>
      </c>
      <c r="R802" s="187" t="inlineStr">
        <is>
          <t>🚨 URGENT: Apply vendor patches immediately | 🔒 Isolate affected systems if patch unavailable | 🛡️ Enable additional monitoring/IDS rules</t>
        </is>
      </c>
      <c r="S802" s="187" t="inlineStr">
        <is>
          <t>CVE - IP enrichment n/a</t>
        </is>
      </c>
      <c r="T802" s="187" t="n">
        <v>0.0003</v>
      </c>
      <c r="U802" s="187" t="n">
        <v>0.0883</v>
      </c>
      <c r="V802" s="187" t="inlineStr">
        <is>
          <t>T1190:Exploit Public-Facing Application | T1068:Exploitation for Privilege Escalation</t>
        </is>
      </c>
      <c r="W802" s="187" t="n">
        <v>1</v>
      </c>
      <c r="X802" s="187" t="inlineStr">
        <is>
          <t>LOW (40%)</t>
        </is>
      </c>
      <c r="Y802" s="187" t="inlineStr">
        <is>
          <t>UNLIKELY</t>
        </is>
      </c>
      <c r="Z802" s="187" t="inlineStr">
        <is>
          <t>CHECK_VENDOR</t>
        </is>
      </c>
      <c r="AA802" s="187" t="inlineStr">
        <is>
          <t>https://nvd.nist.gov/vuln/detail/CVE-2026-27954</t>
        </is>
      </c>
      <c r="AB802" s="187" t="inlineStr">
        <is>
          <t>NONE</t>
        </is>
      </c>
      <c r="AC802" s="187" t="n">
        <v>0</v>
      </c>
      <c r="AD802" s="187" t="inlineStr"/>
    </row>
    <row r="803">
      <c r="A803" s="187" t="inlineStr">
        <is>
          <t>CVE</t>
        </is>
      </c>
      <c r="B803" s="187" t="inlineStr">
        <is>
          <t>CVE-2026-27959</t>
        </is>
      </c>
      <c r="C803" s="187"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803" s="187" t="n">
        <v>7.5</v>
      </c>
      <c r="E803" s="187" t="inlineStr">
        <is>
          <t>HIGH</t>
        </is>
      </c>
      <c r="F803" s="187" t="n">
        <v>2</v>
      </c>
      <c r="G803" s="187" t="n">
        <v>3</v>
      </c>
      <c r="H803" s="187" t="inlineStr">
        <is>
          <t>HIGH</t>
        </is>
      </c>
      <c r="I803" s="187" t="n">
        <v>13.5</v>
      </c>
      <c r="J803" s="187" t="inlineStr">
        <is>
          <t>NO</t>
        </is>
      </c>
      <c r="K803" s="187" t="inlineStr">
        <is>
          <t>https://nvd.nist.gov/vuln/detail/CVE-2026-27959</t>
        </is>
      </c>
      <c r="L803" s="187" t="inlineStr">
        <is>
          <t>2026-02-27 20:47</t>
        </is>
      </c>
      <c r="M803" s="187" t="inlineStr">
        <is>
          <t>CHECK_VENDOR</t>
        </is>
      </c>
      <c r="N803" s="187" t="inlineStr">
        <is>
          <t>See NVD references</t>
        </is>
      </c>
      <c r="O803" s="187" t="inlineStr">
        <is>
          <t>Apply vendor patches</t>
        </is>
      </c>
      <c r="P803" s="187" t="inlineStr">
        <is>
          <t>See CVE details</t>
        </is>
      </c>
      <c r="Q803" s="187" t="inlineStr">
        <is>
          <t>P3</t>
        </is>
      </c>
      <c r="R803" s="187" t="inlineStr">
        <is>
          <t>🚨 URGENT: Apply vendor patches immediately | 🔒 Isolate affected systems if patch unavailable | 🛡️ Enable additional monitoring/IDS rules</t>
        </is>
      </c>
      <c r="S803" s="187" t="inlineStr">
        <is>
          <t>CVE - IP enrichment n/a</t>
        </is>
      </c>
      <c r="T803" s="187" t="n">
        <v>0.0005</v>
      </c>
      <c r="U803" s="187" t="n">
        <v>0.168</v>
      </c>
      <c r="V803" s="187" t="inlineStr">
        <is>
          <t>T1190:Exploit Public-Facing Application</t>
        </is>
      </c>
      <c r="W803" s="187" t="n">
        <v>1</v>
      </c>
      <c r="X803" s="187" t="inlineStr">
        <is>
          <t>LOW (40%)</t>
        </is>
      </c>
      <c r="Y803" s="187" t="inlineStr">
        <is>
          <t>UNLIKELY</t>
        </is>
      </c>
      <c r="Z803" s="187" t="inlineStr">
        <is>
          <t>CHECK_VENDOR</t>
        </is>
      </c>
      <c r="AA803" s="187" t="inlineStr">
        <is>
          <t>https://nvd.nist.gov/vuln/detail/CVE-2026-27959</t>
        </is>
      </c>
      <c r="AB803" s="187" t="inlineStr">
        <is>
          <t>NONE</t>
        </is>
      </c>
      <c r="AC803" s="187" t="n">
        <v>0</v>
      </c>
      <c r="AD803" s="187" t="inlineStr"/>
    </row>
    <row r="804">
      <c r="A804" s="187" t="inlineStr">
        <is>
          <t>CVE</t>
        </is>
      </c>
      <c r="B804" s="187" t="inlineStr">
        <is>
          <t>CVE-2026-27961</t>
        </is>
      </c>
      <c r="C804" s="187"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804" s="187" t="n">
        <v>8.800000000000001</v>
      </c>
      <c r="E804" s="187" t="inlineStr">
        <is>
          <t>HIGH</t>
        </is>
      </c>
      <c r="F804" s="187" t="n">
        <v>2</v>
      </c>
      <c r="G804" s="187" t="n">
        <v>3</v>
      </c>
      <c r="H804" s="187" t="inlineStr">
        <is>
          <t>HIGH</t>
        </is>
      </c>
      <c r="I804" s="187" t="n">
        <v>14.8</v>
      </c>
      <c r="J804" s="187" t="inlineStr">
        <is>
          <t>NO</t>
        </is>
      </c>
      <c r="K804" s="187" t="inlineStr">
        <is>
          <t>https://nvd.nist.gov/vuln/detail/CVE-2026-27961</t>
        </is>
      </c>
      <c r="L804" s="187" t="inlineStr">
        <is>
          <t>2026-02-27 20:47</t>
        </is>
      </c>
      <c r="M804" s="187" t="inlineStr">
        <is>
          <t>CHECK_VENDOR</t>
        </is>
      </c>
      <c r="N804" s="187" t="inlineStr">
        <is>
          <t>See NVD references</t>
        </is>
      </c>
      <c r="O804" s="187" t="inlineStr">
        <is>
          <t>Apply vendor patches</t>
        </is>
      </c>
      <c r="P804" s="187" t="inlineStr">
        <is>
          <t>See CVE details</t>
        </is>
      </c>
      <c r="Q804" s="187" t="inlineStr">
        <is>
          <t>P3</t>
        </is>
      </c>
      <c r="R804" s="187" t="inlineStr">
        <is>
          <t>🚨 URGENT: Apply vendor patches immediately | 🔒 Isolate affected systems if patch unavailable | 🛡️ Enable additional monitoring/IDS rules</t>
        </is>
      </c>
      <c r="S804" s="187" t="inlineStr">
        <is>
          <t>CVE - IP enrichment n/a</t>
        </is>
      </c>
      <c r="T804" s="187" t="n">
        <v>0.0005</v>
      </c>
      <c r="U804" s="187" t="n">
        <v>0.1456</v>
      </c>
      <c r="V804" s="187" t="inlineStr">
        <is>
          <t>T1190:Exploit Public-Facing Application</t>
        </is>
      </c>
      <c r="W804" s="187" t="n">
        <v>1</v>
      </c>
      <c r="X804" s="187" t="inlineStr">
        <is>
          <t>LOW (40%)</t>
        </is>
      </c>
      <c r="Y804" s="187" t="inlineStr">
        <is>
          <t>UNLIKELY</t>
        </is>
      </c>
      <c r="Z804" s="187" t="inlineStr">
        <is>
          <t>CHECK_VENDOR</t>
        </is>
      </c>
      <c r="AA804" s="187" t="inlineStr">
        <is>
          <t>https://nvd.nist.gov/vuln/detail/CVE-2026-27961</t>
        </is>
      </c>
      <c r="AB804" s="187" t="inlineStr">
        <is>
          <t>NONE</t>
        </is>
      </c>
      <c r="AC804" s="187" t="n">
        <v>0</v>
      </c>
      <c r="AD804" s="187" t="inlineStr"/>
    </row>
    <row r="805">
      <c r="A805" s="188" t="inlineStr">
        <is>
          <t>CVE</t>
        </is>
      </c>
      <c r="B805" s="188" t="inlineStr">
        <is>
          <t>CVE-2026-27965</t>
        </is>
      </c>
      <c r="C805" s="188"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805" s="188" t="n">
        <v>5</v>
      </c>
      <c r="E805" s="188" t="inlineStr">
        <is>
          <t>MEDIUM</t>
        </is>
      </c>
      <c r="F805" s="188" t="n">
        <v>2</v>
      </c>
      <c r="G805" s="188" t="n">
        <v>2</v>
      </c>
      <c r="H805" s="188" t="inlineStr">
        <is>
          <t>MEDIUM</t>
        </is>
      </c>
      <c r="I805" s="188" t="n">
        <v>9</v>
      </c>
      <c r="J805" s="188" t="inlineStr">
        <is>
          <t>NO</t>
        </is>
      </c>
      <c r="K805" s="188" t="inlineStr">
        <is>
          <t>https://nvd.nist.gov/vuln/detail/CVE-2026-27965</t>
        </is>
      </c>
      <c r="L805" s="188" t="inlineStr">
        <is>
          <t>2026-02-27 20:47</t>
        </is>
      </c>
      <c r="M805" s="188" t="inlineStr">
        <is>
          <t>CHECK_VENDOR</t>
        </is>
      </c>
      <c r="N805" s="188" t="inlineStr">
        <is>
          <t>See NVD references</t>
        </is>
      </c>
      <c r="O805" s="188" t="inlineStr">
        <is>
          <t>Apply vendor patches</t>
        </is>
      </c>
      <c r="P805" s="188" t="inlineStr">
        <is>
          <t>See CVE details</t>
        </is>
      </c>
      <c r="Q805" s="188" t="inlineStr">
        <is>
          <t>P4</t>
        </is>
      </c>
      <c r="R805" s="188" t="inlineStr">
        <is>
          <t>📅 Schedule patch deployment within 30 days | 🔍 Monitor for exploitation attempts</t>
        </is>
      </c>
      <c r="S805" s="188" t="inlineStr">
        <is>
          <t>CVE - IP enrichment n/a</t>
        </is>
      </c>
      <c r="T805" s="188" t="n">
        <v>0.0004</v>
      </c>
      <c r="U805" s="188" t="n">
        <v>0.132</v>
      </c>
      <c r="V805" s="188" t="inlineStr">
        <is>
          <t>T1059:Command and Scripting Interpreter | T1203:Exploitation for Client Execution</t>
        </is>
      </c>
      <c r="W805" s="188" t="n">
        <v>1</v>
      </c>
      <c r="X805" s="188" t="inlineStr">
        <is>
          <t>LOW (40%)</t>
        </is>
      </c>
      <c r="Y805" s="188" t="inlineStr">
        <is>
          <t>UNLIKELY</t>
        </is>
      </c>
      <c r="Z805" s="188" t="inlineStr">
        <is>
          <t>CHECK_VENDOR</t>
        </is>
      </c>
      <c r="AA805" s="188" t="inlineStr">
        <is>
          <t>https://nvd.nist.gov/vuln/detail/CVE-2026-27965</t>
        </is>
      </c>
      <c r="AB805" s="188" t="inlineStr">
        <is>
          <t>NONE</t>
        </is>
      </c>
      <c r="AC805" s="188" t="n">
        <v>0</v>
      </c>
      <c r="AD805" s="188" t="inlineStr"/>
    </row>
    <row r="806">
      <c r="A806" s="189" t="inlineStr">
        <is>
          <t>CVE</t>
        </is>
      </c>
      <c r="B806" s="189" t="inlineStr">
        <is>
          <t>CVE-2026-27966</t>
        </is>
      </c>
      <c r="C806" s="189"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806" s="189" t="n">
        <v>9.800000000000001</v>
      </c>
      <c r="E806" s="189" t="inlineStr">
        <is>
          <t>CRITICAL</t>
        </is>
      </c>
      <c r="F806" s="189" t="n">
        <v>2</v>
      </c>
      <c r="G806" s="189" t="n">
        <v>3</v>
      </c>
      <c r="H806" s="189" t="inlineStr">
        <is>
          <t>HIGH</t>
        </is>
      </c>
      <c r="I806" s="189" t="n">
        <v>15.8</v>
      </c>
      <c r="J806" s="189" t="inlineStr">
        <is>
          <t>NO</t>
        </is>
      </c>
      <c r="K806" s="189" t="inlineStr">
        <is>
          <t>https://nvd.nist.gov/vuln/detail/CVE-2026-27966</t>
        </is>
      </c>
      <c r="L806" s="189" t="inlineStr">
        <is>
          <t>2026-02-27 20:47</t>
        </is>
      </c>
      <c r="M806" s="189" t="inlineStr">
        <is>
          <t>CHECK_VENDOR</t>
        </is>
      </c>
      <c r="N806" s="189" t="inlineStr">
        <is>
          <t>See NVD references</t>
        </is>
      </c>
      <c r="O806" s="189" t="inlineStr">
        <is>
          <t>Apply vendor patches</t>
        </is>
      </c>
      <c r="P806" s="189" t="inlineStr">
        <is>
          <t>See CVE details</t>
        </is>
      </c>
      <c r="Q806" s="189" t="inlineStr">
        <is>
          <t>P3</t>
        </is>
      </c>
      <c r="R806" s="189" t="inlineStr">
        <is>
          <t>🚨 URGENT: Apply vendor patches immediately | 🔒 Isolate affected systems if patch unavailable | 🛡️ Enable additional monitoring/IDS rules</t>
        </is>
      </c>
      <c r="S806" s="189" t="inlineStr">
        <is>
          <t>CVE - IP enrichment n/a</t>
        </is>
      </c>
      <c r="T806" s="189" t="n">
        <v>0.0029</v>
      </c>
      <c r="U806" s="189" t="n">
        <v>0.5182</v>
      </c>
      <c r="V806" s="189" t="inlineStr">
        <is>
          <t>T1059:Command and Scripting Interpreter | T1190:Exploit Public-Facing Application | T1210:Exploitation of Remote Services</t>
        </is>
      </c>
      <c r="W806" s="189" t="n">
        <v>1</v>
      </c>
      <c r="X806" s="189" t="inlineStr">
        <is>
          <t>LOW (40%)</t>
        </is>
      </c>
      <c r="Y806" s="189" t="inlineStr">
        <is>
          <t>UNLIKELY</t>
        </is>
      </c>
      <c r="Z806" s="189" t="inlineStr">
        <is>
          <t>CHECK_VENDOR</t>
        </is>
      </c>
      <c r="AA806" s="189" t="inlineStr">
        <is>
          <t>https://nvd.nist.gov/vuln/detail/CVE-2026-27966</t>
        </is>
      </c>
      <c r="AB806" s="189" t="inlineStr">
        <is>
          <t>NONE</t>
        </is>
      </c>
      <c r="AC806" s="189" t="n">
        <v>0</v>
      </c>
      <c r="AD806" s="189" t="inlineStr"/>
    </row>
    <row r="807">
      <c r="A807" s="188" t="inlineStr">
        <is>
          <t>CVE</t>
        </is>
      </c>
      <c r="B807" s="188" t="inlineStr">
        <is>
          <t>CVE-2026-27968</t>
        </is>
      </c>
      <c r="C807" s="188"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807" s="188" t="n">
        <v>4.3</v>
      </c>
      <c r="E807" s="188" t="inlineStr">
        <is>
          <t>MEDIUM</t>
        </is>
      </c>
      <c r="F807" s="188" t="n">
        <v>2</v>
      </c>
      <c r="G807" s="188" t="n">
        <v>2</v>
      </c>
      <c r="H807" s="188" t="inlineStr">
        <is>
          <t>MEDIUM</t>
        </is>
      </c>
      <c r="I807" s="188" t="n">
        <v>8.300000000000001</v>
      </c>
      <c r="J807" s="188" t="inlineStr">
        <is>
          <t>NO</t>
        </is>
      </c>
      <c r="K807" s="188" t="inlineStr">
        <is>
          <t>https://nvd.nist.gov/vuln/detail/CVE-2026-27968</t>
        </is>
      </c>
      <c r="L807" s="188" t="inlineStr">
        <is>
          <t>2026-02-27 20:47</t>
        </is>
      </c>
      <c r="M807" s="188" t="inlineStr">
        <is>
          <t>CHECK_VENDOR</t>
        </is>
      </c>
      <c r="N807" s="188" t="inlineStr">
        <is>
          <t>See NVD references</t>
        </is>
      </c>
      <c r="O807" s="188" t="inlineStr">
        <is>
          <t>Apply vendor patches</t>
        </is>
      </c>
      <c r="P807" s="188" t="inlineStr">
        <is>
          <t>See CVE details</t>
        </is>
      </c>
      <c r="Q807" s="188" t="inlineStr">
        <is>
          <t>P4</t>
        </is>
      </c>
      <c r="R807" s="188" t="inlineStr">
        <is>
          <t>📅 Schedule patch deployment within 30 days | 🔍 Monitor for exploitation attempts</t>
        </is>
      </c>
      <c r="S807" s="188" t="inlineStr">
        <is>
          <t>CVE - IP enrichment n/a</t>
        </is>
      </c>
      <c r="T807" s="188" t="n">
        <v>0.0003</v>
      </c>
      <c r="U807" s="188" t="n">
        <v>0.0659</v>
      </c>
      <c r="V807" s="188" t="inlineStr">
        <is>
          <t>T1078:Valid Accounts | T1110:Brute Force | T1190:Exploit Public-Facing Application</t>
        </is>
      </c>
      <c r="W807" s="188" t="n">
        <v>1</v>
      </c>
      <c r="X807" s="188" t="inlineStr">
        <is>
          <t>LOW (40%)</t>
        </is>
      </c>
      <c r="Y807" s="188" t="inlineStr">
        <is>
          <t>UNLIKELY</t>
        </is>
      </c>
      <c r="Z807" s="188" t="inlineStr">
        <is>
          <t>CHECK_VENDOR</t>
        </is>
      </c>
      <c r="AA807" s="188" t="inlineStr">
        <is>
          <t>https://nvd.nist.gov/vuln/detail/CVE-2026-27968</t>
        </is>
      </c>
      <c r="AB807" s="188" t="inlineStr">
        <is>
          <t>NONE</t>
        </is>
      </c>
      <c r="AC807" s="188" t="n">
        <v>0</v>
      </c>
      <c r="AD807" s="188" t="inlineStr"/>
    </row>
    <row r="808">
      <c r="A808" s="188" t="inlineStr">
        <is>
          <t>CVE</t>
        </is>
      </c>
      <c r="B808" s="188" t="inlineStr">
        <is>
          <t>CVE-2026-27969</t>
        </is>
      </c>
      <c r="C808" s="188"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808" s="188" t="n">
        <v>5</v>
      </c>
      <c r="E808" s="188" t="inlineStr">
        <is>
          <t>MEDIUM</t>
        </is>
      </c>
      <c r="F808" s="188" t="n">
        <v>2</v>
      </c>
      <c r="G808" s="188" t="n">
        <v>2</v>
      </c>
      <c r="H808" s="188" t="inlineStr">
        <is>
          <t>MEDIUM</t>
        </is>
      </c>
      <c r="I808" s="188" t="n">
        <v>9</v>
      </c>
      <c r="J808" s="188" t="inlineStr">
        <is>
          <t>NO</t>
        </is>
      </c>
      <c r="K808" s="188" t="inlineStr">
        <is>
          <t>https://nvd.nist.gov/vuln/detail/CVE-2026-27969</t>
        </is>
      </c>
      <c r="L808" s="188" t="inlineStr">
        <is>
          <t>2026-02-27 20:47</t>
        </is>
      </c>
      <c r="M808" s="188" t="inlineStr">
        <is>
          <t>CHECK_VENDOR</t>
        </is>
      </c>
      <c r="N808" s="188" t="inlineStr">
        <is>
          <t>See NVD references</t>
        </is>
      </c>
      <c r="O808" s="188" t="inlineStr">
        <is>
          <t>Apply vendor patches</t>
        </is>
      </c>
      <c r="P808" s="188" t="inlineStr">
        <is>
          <t>See CVE details</t>
        </is>
      </c>
      <c r="Q808" s="188" t="inlineStr">
        <is>
          <t>P4</t>
        </is>
      </c>
      <c r="R808" s="188" t="inlineStr">
        <is>
          <t>📅 Schedule patch deployment within 30 days | 🔍 Monitor for exploitation attempts</t>
        </is>
      </c>
      <c r="S808" s="188" t="inlineStr">
        <is>
          <t>CVE - IP enrichment n/a</t>
        </is>
      </c>
      <c r="T808" s="188" t="n">
        <v>0.0004</v>
      </c>
      <c r="U808" s="188" t="n">
        <v>0.1204</v>
      </c>
      <c r="V808" s="188" t="inlineStr">
        <is>
          <t>T1083:File and Directory Discovery</t>
        </is>
      </c>
      <c r="W808" s="188" t="n">
        <v>1</v>
      </c>
      <c r="X808" s="188" t="inlineStr">
        <is>
          <t>LOW (40%)</t>
        </is>
      </c>
      <c r="Y808" s="188" t="inlineStr">
        <is>
          <t>UNLIKELY</t>
        </is>
      </c>
      <c r="Z808" s="188" t="inlineStr">
        <is>
          <t>CHECK_VENDOR</t>
        </is>
      </c>
      <c r="AA808" s="188" t="inlineStr">
        <is>
          <t>https://nvd.nist.gov/vuln/detail/CVE-2026-27969</t>
        </is>
      </c>
      <c r="AB808" s="188" t="inlineStr">
        <is>
          <t>NONE</t>
        </is>
      </c>
      <c r="AC808" s="188" t="n">
        <v>0</v>
      </c>
      <c r="AD808" s="188" t="inlineStr"/>
    </row>
    <row r="809">
      <c r="A809" s="188" t="inlineStr">
        <is>
          <t>CVE</t>
        </is>
      </c>
      <c r="B809" s="188" t="inlineStr">
        <is>
          <t>CVE-2026-27970</t>
        </is>
      </c>
      <c r="C809" s="188"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809" s="188" t="n">
        <v>6.1</v>
      </c>
      <c r="E809" s="188" t="inlineStr">
        <is>
          <t>MEDIUM</t>
        </is>
      </c>
      <c r="F809" s="188" t="n">
        <v>2</v>
      </c>
      <c r="G809" s="188" t="n">
        <v>2</v>
      </c>
      <c r="H809" s="188" t="inlineStr">
        <is>
          <t>MEDIUM</t>
        </is>
      </c>
      <c r="I809" s="188" t="n">
        <v>10.1</v>
      </c>
      <c r="J809" s="188" t="inlineStr">
        <is>
          <t>NO</t>
        </is>
      </c>
      <c r="K809" s="188" t="inlineStr">
        <is>
          <t>https://nvd.nist.gov/vuln/detail/CVE-2026-27970</t>
        </is>
      </c>
      <c r="L809" s="188" t="inlineStr">
        <is>
          <t>2026-02-27 20:47</t>
        </is>
      </c>
      <c r="M809" s="188" t="inlineStr">
        <is>
          <t>YES</t>
        </is>
      </c>
      <c r="N809" s="188" t="inlineStr">
        <is>
          <t>https://github.com/angular/angular/commit/306f367899dfc2e04238fecd3455547b5d54075d | https://github.com/angular/angular/commit/7d58b798c626bb0e4e5f89ca8affdce4f352b232 | https://github.com/angular/angular/commit/b85830953281ff3a1a77bbfe69019d352d509c93</t>
        </is>
      </c>
      <c r="O809" s="188" t="inlineStr">
        <is>
          <t>https://github.com/angular/angular/security/advisories/GHSA-prjf-86w9-mfqv</t>
        </is>
      </c>
      <c r="P809" s="188" t="inlineStr">
        <is>
          <t>angular angular *</t>
        </is>
      </c>
      <c r="Q809" s="188" t="inlineStr">
        <is>
          <t>P4</t>
        </is>
      </c>
      <c r="R809" s="188" t="inlineStr">
        <is>
          <t>📅 Schedule patch deployment within 30 days | 🔍 Monitor for exploitation attempts</t>
        </is>
      </c>
      <c r="S809" s="188" t="inlineStr">
        <is>
          <t>CVE - IP enrichment n/a</t>
        </is>
      </c>
      <c r="T809" s="188" t="n">
        <v>0.0007</v>
      </c>
      <c r="U809" s="188" t="n">
        <v>0.2201</v>
      </c>
      <c r="V809" s="188" t="inlineStr">
        <is>
          <t>T1189:Drive-by Compromise | T1190:Exploit Public-Facing Application | T1552:Unsecured Credentials</t>
        </is>
      </c>
      <c r="W809" s="188" t="n">
        <v>1</v>
      </c>
      <c r="X809" s="188" t="inlineStr">
        <is>
          <t>LOW (40%)</t>
        </is>
      </c>
      <c r="Y809" s="188" t="inlineStr">
        <is>
          <t>UNLIKELY</t>
        </is>
      </c>
      <c r="Z809" s="188" t="inlineStr">
        <is>
          <t>PATCH_AVAILABLE</t>
        </is>
      </c>
      <c r="AA809" s="188" t="inlineStr">
        <is>
          <t>https://nvd.nist.gov/vuln/detail/CVE-2026-27970</t>
        </is>
      </c>
      <c r="AB809" s="188" t="inlineStr">
        <is>
          <t>NONE</t>
        </is>
      </c>
      <c r="AC809" s="188" t="n">
        <v>0</v>
      </c>
      <c r="AD809" s="188" t="inlineStr"/>
    </row>
    <row r="810">
      <c r="A810" s="188" t="inlineStr">
        <is>
          <t>CVE</t>
        </is>
      </c>
      <c r="B810" s="188" t="inlineStr">
        <is>
          <t>CVE-2026-27973</t>
        </is>
      </c>
      <c r="C810" s="188"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810" s="188" t="n">
        <v>4</v>
      </c>
      <c r="E810" s="188" t="inlineStr">
        <is>
          <t>MEDIUM</t>
        </is>
      </c>
      <c r="F810" s="188" t="n">
        <v>2</v>
      </c>
      <c r="G810" s="188" t="n">
        <v>2</v>
      </c>
      <c r="H810" s="188" t="inlineStr">
        <is>
          <t>MEDIUM</t>
        </is>
      </c>
      <c r="I810" s="188" t="n">
        <v>8</v>
      </c>
      <c r="J810" s="188" t="inlineStr">
        <is>
          <t>NO</t>
        </is>
      </c>
      <c r="K810" s="188" t="inlineStr">
        <is>
          <t>https://nvd.nist.gov/vuln/detail/CVE-2026-27973</t>
        </is>
      </c>
      <c r="L810" s="188" t="inlineStr">
        <is>
          <t>2026-02-27 20:47</t>
        </is>
      </c>
      <c r="M810" s="188" t="inlineStr">
        <is>
          <t>CHECK_VENDOR</t>
        </is>
      </c>
      <c r="N810" s="188" t="inlineStr">
        <is>
          <t>See NVD references</t>
        </is>
      </c>
      <c r="O810" s="188" t="inlineStr">
        <is>
          <t>Apply vendor patches</t>
        </is>
      </c>
      <c r="P810" s="188" t="inlineStr">
        <is>
          <t>See CVE details</t>
        </is>
      </c>
      <c r="Q810" s="188" t="inlineStr">
        <is>
          <t>P4</t>
        </is>
      </c>
      <c r="R810" s="188" t="inlineStr">
        <is>
          <t>📅 Schedule patch deployment within 30 days | 🔍 Monitor for exploitation attempts</t>
        </is>
      </c>
      <c r="S810" s="188" t="inlineStr">
        <is>
          <t>CVE - IP enrichment n/a</t>
        </is>
      </c>
      <c r="T810" s="188" t="n">
        <v>0.0004</v>
      </c>
      <c r="U810" s="188" t="n">
        <v>0.1185</v>
      </c>
      <c r="V810" s="188" t="inlineStr">
        <is>
          <t>T1189:Drive-by Compromise | T1041:Exfiltration Over C2 Channel</t>
        </is>
      </c>
      <c r="W810" s="188" t="n">
        <v>1</v>
      </c>
      <c r="X810" s="188" t="inlineStr">
        <is>
          <t>LOW (40%)</t>
        </is>
      </c>
      <c r="Y810" s="188" t="inlineStr">
        <is>
          <t>UNLIKELY</t>
        </is>
      </c>
      <c r="Z810" s="188" t="inlineStr">
        <is>
          <t>CHECK_VENDOR</t>
        </is>
      </c>
      <c r="AA810" s="188" t="inlineStr">
        <is>
          <t>https://nvd.nist.gov/vuln/detail/CVE-2026-27973</t>
        </is>
      </c>
      <c r="AB810" s="188" t="inlineStr">
        <is>
          <t>NONE</t>
        </is>
      </c>
      <c r="AC810" s="188" t="n">
        <v>0</v>
      </c>
      <c r="AD810" s="188" t="inlineStr"/>
    </row>
    <row r="811">
      <c r="A811" s="188" t="inlineStr">
        <is>
          <t>CVE</t>
        </is>
      </c>
      <c r="B811" s="188" t="inlineStr">
        <is>
          <t>CVE-2026-2029</t>
        </is>
      </c>
      <c r="C811" s="188"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811" s="188" t="n">
        <v>6.4</v>
      </c>
      <c r="E811" s="188" t="inlineStr">
        <is>
          <t>MEDIUM</t>
        </is>
      </c>
      <c r="F811" s="188" t="n">
        <v>2</v>
      </c>
      <c r="G811" s="188" t="n">
        <v>2</v>
      </c>
      <c r="H811" s="188" t="inlineStr">
        <is>
          <t>MEDIUM</t>
        </is>
      </c>
      <c r="I811" s="188" t="n">
        <v>10.4</v>
      </c>
      <c r="J811" s="188" t="inlineStr">
        <is>
          <t>NO</t>
        </is>
      </c>
      <c r="K811" s="188" t="inlineStr">
        <is>
          <t>https://nvd.nist.gov/vuln/detail/CVE-2026-2029</t>
        </is>
      </c>
      <c r="L811" s="188" t="inlineStr">
        <is>
          <t>2026-02-27 20:47</t>
        </is>
      </c>
      <c r="M811" s="188" t="inlineStr">
        <is>
          <t>CHECK_VENDOR</t>
        </is>
      </c>
      <c r="N811" s="188" t="inlineStr">
        <is>
          <t>See NVD references</t>
        </is>
      </c>
      <c r="O811" s="188" t="inlineStr">
        <is>
          <t>Apply vendor patches</t>
        </is>
      </c>
      <c r="P811" s="188" t="inlineStr">
        <is>
          <t>See CVE details</t>
        </is>
      </c>
      <c r="Q811" s="188" t="inlineStr">
        <is>
          <t>P4</t>
        </is>
      </c>
      <c r="R811" s="188" t="inlineStr">
        <is>
          <t>📅 Schedule patch deployment within 30 days | 🔍 Monitor for exploitation attempts</t>
        </is>
      </c>
      <c r="S811" s="188" t="inlineStr">
        <is>
          <t>CVE - IP enrichment n/a</t>
        </is>
      </c>
      <c r="T811" s="188" t="n">
        <v>0.0003</v>
      </c>
      <c r="U811" s="188" t="n">
        <v>0.07820000000000001</v>
      </c>
      <c r="V811" s="188" t="inlineStr">
        <is>
          <t>T1189:Drive-by Compromise</t>
        </is>
      </c>
      <c r="W811" s="188" t="n">
        <v>1</v>
      </c>
      <c r="X811" s="188" t="inlineStr">
        <is>
          <t>LOW (40%)</t>
        </is>
      </c>
      <c r="Y811" s="188" t="inlineStr">
        <is>
          <t>UNLIKELY</t>
        </is>
      </c>
      <c r="Z811" s="188" t="inlineStr">
        <is>
          <t>CHECK_VENDOR</t>
        </is>
      </c>
      <c r="AA811" s="188" t="inlineStr">
        <is>
          <t>https://nvd.nist.gov/vuln/detail/CVE-2026-2029</t>
        </is>
      </c>
      <c r="AB811" s="188" t="inlineStr">
        <is>
          <t>NONE</t>
        </is>
      </c>
      <c r="AC811" s="188" t="n">
        <v>0</v>
      </c>
      <c r="AD811" s="188" t="inlineStr"/>
    </row>
    <row r="812">
      <c r="A812" s="188" t="inlineStr">
        <is>
          <t>CVE</t>
        </is>
      </c>
      <c r="B812" s="188" t="inlineStr">
        <is>
          <t>CVE-2026-2489</t>
        </is>
      </c>
      <c r="C812" s="188"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812" s="188" t="n">
        <v>4.4</v>
      </c>
      <c r="E812" s="188" t="inlineStr">
        <is>
          <t>MEDIUM</t>
        </is>
      </c>
      <c r="F812" s="188" t="n">
        <v>2</v>
      </c>
      <c r="G812" s="188" t="n">
        <v>2</v>
      </c>
      <c r="H812" s="188" t="inlineStr">
        <is>
          <t>MEDIUM</t>
        </is>
      </c>
      <c r="I812" s="188" t="n">
        <v>8.4</v>
      </c>
      <c r="J812" s="188" t="inlineStr">
        <is>
          <t>NO</t>
        </is>
      </c>
      <c r="K812" s="188" t="inlineStr">
        <is>
          <t>https://nvd.nist.gov/vuln/detail/CVE-2026-2489</t>
        </is>
      </c>
      <c r="L812" s="188" t="inlineStr">
        <is>
          <t>2026-02-27 20:47</t>
        </is>
      </c>
      <c r="M812" s="188" t="inlineStr">
        <is>
          <t>CHECK_VENDOR</t>
        </is>
      </c>
      <c r="N812" s="188" t="inlineStr">
        <is>
          <t>See NVD references</t>
        </is>
      </c>
      <c r="O812" s="188" t="inlineStr">
        <is>
          <t>Apply vendor patches</t>
        </is>
      </c>
      <c r="P812" s="188" t="inlineStr">
        <is>
          <t>See CVE details</t>
        </is>
      </c>
      <c r="Q812" s="188" t="inlineStr">
        <is>
          <t>P4</t>
        </is>
      </c>
      <c r="R812" s="188" t="inlineStr">
        <is>
          <t>📅 Schedule patch deployment within 30 days | 🔍 Monitor for exploitation attempts</t>
        </is>
      </c>
      <c r="S812" s="188" t="inlineStr">
        <is>
          <t>CVE - IP enrichment n/a</t>
        </is>
      </c>
      <c r="T812" s="188" t="n">
        <v>0.0003</v>
      </c>
      <c r="U812" s="188" t="n">
        <v>0.0706</v>
      </c>
      <c r="V812" s="188" t="inlineStr">
        <is>
          <t>T1189:Drive-by Compromise</t>
        </is>
      </c>
      <c r="W812" s="188" t="n">
        <v>1</v>
      </c>
      <c r="X812" s="188" t="inlineStr">
        <is>
          <t>LOW (40%)</t>
        </is>
      </c>
      <c r="Y812" s="188" t="inlineStr">
        <is>
          <t>UNLIKELY</t>
        </is>
      </c>
      <c r="Z812" s="188" t="inlineStr">
        <is>
          <t>CHECK_VENDOR</t>
        </is>
      </c>
      <c r="AA812" s="188" t="inlineStr">
        <is>
          <t>https://nvd.nist.gov/vuln/detail/CVE-2026-2489</t>
        </is>
      </c>
      <c r="AB812" s="188" t="inlineStr">
        <is>
          <t>NONE</t>
        </is>
      </c>
      <c r="AC812" s="188" t="n">
        <v>0</v>
      </c>
      <c r="AD812" s="188" t="inlineStr"/>
    </row>
    <row r="813">
      <c r="A813" s="188" t="inlineStr">
        <is>
          <t>CVE</t>
        </is>
      </c>
      <c r="B813" s="188" t="inlineStr">
        <is>
          <t>CVE-2026-2498</t>
        </is>
      </c>
      <c r="C813" s="188"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813" s="188" t="n">
        <v>4.4</v>
      </c>
      <c r="E813" s="188" t="inlineStr">
        <is>
          <t>MEDIUM</t>
        </is>
      </c>
      <c r="F813" s="188" t="n">
        <v>2</v>
      </c>
      <c r="G813" s="188" t="n">
        <v>2</v>
      </c>
      <c r="H813" s="188" t="inlineStr">
        <is>
          <t>MEDIUM</t>
        </is>
      </c>
      <c r="I813" s="188" t="n">
        <v>8.4</v>
      </c>
      <c r="J813" s="188" t="inlineStr">
        <is>
          <t>NO</t>
        </is>
      </c>
      <c r="K813" s="188" t="inlineStr">
        <is>
          <t>https://nvd.nist.gov/vuln/detail/CVE-2026-2498</t>
        </is>
      </c>
      <c r="L813" s="188" t="inlineStr">
        <is>
          <t>2026-02-27 20:47</t>
        </is>
      </c>
      <c r="M813" s="188" t="inlineStr">
        <is>
          <t>CHECK_VENDOR</t>
        </is>
      </c>
      <c r="N813" s="188" t="inlineStr">
        <is>
          <t>See NVD references</t>
        </is>
      </c>
      <c r="O813" s="188" t="inlineStr">
        <is>
          <t>Apply vendor patches</t>
        </is>
      </c>
      <c r="P813" s="188" t="inlineStr">
        <is>
          <t>See CVE details</t>
        </is>
      </c>
      <c r="Q813" s="188" t="inlineStr">
        <is>
          <t>P4</t>
        </is>
      </c>
      <c r="R813" s="188" t="inlineStr">
        <is>
          <t>📅 Schedule patch deployment within 30 days | 🔍 Monitor for exploitation attempts</t>
        </is>
      </c>
      <c r="S813" s="188" t="inlineStr">
        <is>
          <t>CVE - IP enrichment n/a</t>
        </is>
      </c>
      <c r="T813" s="188" t="n">
        <v>0.0002</v>
      </c>
      <c r="U813" s="188" t="n">
        <v>0.0583</v>
      </c>
      <c r="V813" s="188" t="inlineStr">
        <is>
          <t>T1189:Drive-by Compromise</t>
        </is>
      </c>
      <c r="W813" s="188" t="n">
        <v>1</v>
      </c>
      <c r="X813" s="188" t="inlineStr">
        <is>
          <t>LOW (40%)</t>
        </is>
      </c>
      <c r="Y813" s="188" t="inlineStr">
        <is>
          <t>UNLIKELY</t>
        </is>
      </c>
      <c r="Z813" s="188" t="inlineStr">
        <is>
          <t>CHECK_VENDOR</t>
        </is>
      </c>
      <c r="AA813" s="188" t="inlineStr">
        <is>
          <t>https://nvd.nist.gov/vuln/detail/CVE-2026-2498</t>
        </is>
      </c>
      <c r="AB813" s="188" t="inlineStr">
        <is>
          <t>NONE</t>
        </is>
      </c>
      <c r="AC813" s="188" t="n">
        <v>0</v>
      </c>
      <c r="AD813" s="188" t="inlineStr"/>
    </row>
    <row r="814">
      <c r="A814" s="188" t="inlineStr">
        <is>
          <t>CVE</t>
        </is>
      </c>
      <c r="B814" s="188" t="inlineStr">
        <is>
          <t>CVE-2026-2499</t>
        </is>
      </c>
      <c r="C814" s="188"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814" s="188" t="n">
        <v>4.4</v>
      </c>
      <c r="E814" s="188" t="inlineStr">
        <is>
          <t>MEDIUM</t>
        </is>
      </c>
      <c r="F814" s="188" t="n">
        <v>2</v>
      </c>
      <c r="G814" s="188" t="n">
        <v>2</v>
      </c>
      <c r="H814" s="188" t="inlineStr">
        <is>
          <t>MEDIUM</t>
        </is>
      </c>
      <c r="I814" s="188" t="n">
        <v>8.4</v>
      </c>
      <c r="J814" s="188" t="inlineStr">
        <is>
          <t>NO</t>
        </is>
      </c>
      <c r="K814" s="188" t="inlineStr">
        <is>
          <t>https://nvd.nist.gov/vuln/detail/CVE-2026-2499</t>
        </is>
      </c>
      <c r="L814" s="188" t="inlineStr">
        <is>
          <t>2026-02-27 20:47</t>
        </is>
      </c>
      <c r="M814" s="188" t="inlineStr">
        <is>
          <t>CHECK_VENDOR</t>
        </is>
      </c>
      <c r="N814" s="188" t="inlineStr">
        <is>
          <t>See NVD references</t>
        </is>
      </c>
      <c r="O814" s="188" t="inlineStr">
        <is>
          <t>Apply vendor patches</t>
        </is>
      </c>
      <c r="P814" s="188" t="inlineStr">
        <is>
          <t>See CVE details</t>
        </is>
      </c>
      <c r="Q814" s="188" t="inlineStr">
        <is>
          <t>P4</t>
        </is>
      </c>
      <c r="R814" s="188" t="inlineStr">
        <is>
          <t>📅 Schedule patch deployment within 30 days | 🔍 Monitor for exploitation attempts</t>
        </is>
      </c>
      <c r="S814" s="188" t="inlineStr">
        <is>
          <t>CVE - IP enrichment n/a</t>
        </is>
      </c>
      <c r="T814" s="188" t="n">
        <v>0.0002</v>
      </c>
      <c r="U814" s="188" t="n">
        <v>0.0547</v>
      </c>
      <c r="V814" s="188" t="inlineStr">
        <is>
          <t>T1189:Drive-by Compromise</t>
        </is>
      </c>
      <c r="W814" s="188" t="n">
        <v>1</v>
      </c>
      <c r="X814" s="188" t="inlineStr">
        <is>
          <t>LOW (40%)</t>
        </is>
      </c>
      <c r="Y814" s="188" t="inlineStr">
        <is>
          <t>UNLIKELY</t>
        </is>
      </c>
      <c r="Z814" s="188" t="inlineStr">
        <is>
          <t>CHECK_VENDOR</t>
        </is>
      </c>
      <c r="AA814" s="188" t="inlineStr">
        <is>
          <t>https://nvd.nist.gov/vuln/detail/CVE-2026-2499</t>
        </is>
      </c>
      <c r="AB814" s="188" t="inlineStr">
        <is>
          <t>NONE</t>
        </is>
      </c>
      <c r="AC814" s="188" t="n">
        <v>0</v>
      </c>
      <c r="AD814" s="188" t="inlineStr"/>
    </row>
    <row r="815">
      <c r="A815" s="188" t="inlineStr">
        <is>
          <t>CVE</t>
        </is>
      </c>
      <c r="B815" s="188" t="inlineStr">
        <is>
          <t>CVE-2026-2506</t>
        </is>
      </c>
      <c r="C815" s="188"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815" s="188" t="n">
        <v>6.1</v>
      </c>
      <c r="E815" s="188" t="inlineStr">
        <is>
          <t>MEDIUM</t>
        </is>
      </c>
      <c r="F815" s="188" t="n">
        <v>2</v>
      </c>
      <c r="G815" s="188" t="n">
        <v>2</v>
      </c>
      <c r="H815" s="188" t="inlineStr">
        <is>
          <t>MEDIUM</t>
        </is>
      </c>
      <c r="I815" s="188" t="n">
        <v>10.1</v>
      </c>
      <c r="J815" s="188" t="inlineStr">
        <is>
          <t>NO</t>
        </is>
      </c>
      <c r="K815" s="188" t="inlineStr">
        <is>
          <t>https://nvd.nist.gov/vuln/detail/CVE-2026-2506</t>
        </is>
      </c>
      <c r="L815" s="188" t="inlineStr">
        <is>
          <t>2026-02-27 20:47</t>
        </is>
      </c>
      <c r="M815" s="188" t="inlineStr">
        <is>
          <t>CHECK_VENDOR</t>
        </is>
      </c>
      <c r="N815" s="188" t="inlineStr">
        <is>
          <t>See NVD references</t>
        </is>
      </c>
      <c r="O815" s="188" t="inlineStr">
        <is>
          <t>Apply vendor patches</t>
        </is>
      </c>
      <c r="P815" s="188" t="inlineStr">
        <is>
          <t>See CVE details</t>
        </is>
      </c>
      <c r="Q815" s="188" t="inlineStr">
        <is>
          <t>P4</t>
        </is>
      </c>
      <c r="R815" s="188" t="inlineStr">
        <is>
          <t>📅 Schedule patch deployment within 30 days | 🔍 Monitor for exploitation attempts</t>
        </is>
      </c>
      <c r="S815" s="188" t="inlineStr">
        <is>
          <t>CVE - IP enrichment n/a</t>
        </is>
      </c>
      <c r="T815" s="188" t="n">
        <v>0.0007</v>
      </c>
      <c r="U815" s="188" t="n">
        <v>0.2129</v>
      </c>
      <c r="V815" s="188" t="inlineStr">
        <is>
          <t>T1189:Drive-by Compromise</t>
        </is>
      </c>
      <c r="W815" s="188" t="n">
        <v>1</v>
      </c>
      <c r="X815" s="188" t="inlineStr">
        <is>
          <t>LOW (40%)</t>
        </is>
      </c>
      <c r="Y815" s="188" t="inlineStr">
        <is>
          <t>UNLIKELY</t>
        </is>
      </c>
      <c r="Z815" s="188" t="inlineStr">
        <is>
          <t>CHECK_VENDOR</t>
        </is>
      </c>
      <c r="AA815" s="188" t="inlineStr">
        <is>
          <t>https://nvd.nist.gov/vuln/detail/CVE-2026-2506</t>
        </is>
      </c>
      <c r="AB815" s="188" t="inlineStr">
        <is>
          <t>NONE</t>
        </is>
      </c>
      <c r="AC815" s="188" t="n">
        <v>0</v>
      </c>
      <c r="AD815" s="188" t="inlineStr"/>
    </row>
    <row r="816">
      <c r="A816" s="187" t="inlineStr">
        <is>
          <t>CVE</t>
        </is>
      </c>
      <c r="B816" s="187" t="inlineStr">
        <is>
          <t>CVE-2026-1779</t>
        </is>
      </c>
      <c r="C816" s="187"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816" s="187" t="n">
        <v>8.1</v>
      </c>
      <c r="E816" s="187" t="inlineStr">
        <is>
          <t>HIGH</t>
        </is>
      </c>
      <c r="F816" s="187" t="n">
        <v>2</v>
      </c>
      <c r="G816" s="187" t="n">
        <v>3</v>
      </c>
      <c r="H816" s="187" t="inlineStr">
        <is>
          <t>HIGH</t>
        </is>
      </c>
      <c r="I816" s="187" t="n">
        <v>14.1</v>
      </c>
      <c r="J816" s="187" t="inlineStr">
        <is>
          <t>NO</t>
        </is>
      </c>
      <c r="K816" s="187" t="inlineStr">
        <is>
          <t>https://nvd.nist.gov/vuln/detail/CVE-2026-1779</t>
        </is>
      </c>
      <c r="L816" s="187" t="inlineStr">
        <is>
          <t>2026-02-27 20:47</t>
        </is>
      </c>
      <c r="M816" s="187" t="inlineStr">
        <is>
          <t>CHECK_VENDOR</t>
        </is>
      </c>
      <c r="N816" s="187" t="inlineStr">
        <is>
          <t>See NVD references</t>
        </is>
      </c>
      <c r="O816" s="187" t="inlineStr">
        <is>
          <t>Apply vendor patches</t>
        </is>
      </c>
      <c r="P816" s="187" t="inlineStr">
        <is>
          <t>See CVE details</t>
        </is>
      </c>
      <c r="Q816" s="187" t="inlineStr">
        <is>
          <t>P3</t>
        </is>
      </c>
      <c r="R816" s="187" t="inlineStr">
        <is>
          <t>🚨 URGENT: Apply vendor patches immediately | 🔒 Isolate affected systems if patch unavailable | 🛡️ Enable additional monitoring/IDS rules</t>
        </is>
      </c>
      <c r="S816" s="187" t="inlineStr">
        <is>
          <t>CVE - IP enrichment n/a</t>
        </is>
      </c>
      <c r="T816" s="187" t="n">
        <v>0.0011</v>
      </c>
      <c r="U816" s="187" t="n">
        <v>0.2948</v>
      </c>
      <c r="V816" s="187" t="inlineStr">
        <is>
          <t>T1078:Valid Accounts</t>
        </is>
      </c>
      <c r="W816" s="187" t="n">
        <v>1</v>
      </c>
      <c r="X816" s="187" t="inlineStr">
        <is>
          <t>LOW (40%)</t>
        </is>
      </c>
      <c r="Y816" s="187" t="inlineStr">
        <is>
          <t>UNLIKELY</t>
        </is>
      </c>
      <c r="Z816" s="187" t="inlineStr">
        <is>
          <t>CHECK_VENDOR</t>
        </is>
      </c>
      <c r="AA816" s="187" t="inlineStr">
        <is>
          <t>https://nvd.nist.gov/vuln/detail/CVE-2026-1779</t>
        </is>
      </c>
      <c r="AB816" s="187" t="inlineStr">
        <is>
          <t>NONE</t>
        </is>
      </c>
      <c r="AC816" s="187" t="n">
        <v>0</v>
      </c>
      <c r="AD816" s="187" t="inlineStr"/>
    </row>
    <row r="817">
      <c r="A817" s="187" t="inlineStr">
        <is>
          <t>CVE</t>
        </is>
      </c>
      <c r="B817" s="187" t="inlineStr">
        <is>
          <t>CVE-2026-23999</t>
        </is>
      </c>
      <c r="C817" s="187"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817" s="187" t="n">
        <v>8.5</v>
      </c>
      <c r="E817" s="187" t="inlineStr">
        <is>
          <t>HIGH</t>
        </is>
      </c>
      <c r="F817" s="187" t="n">
        <v>2</v>
      </c>
      <c r="G817" s="187" t="n">
        <v>3</v>
      </c>
      <c r="H817" s="187" t="inlineStr">
        <is>
          <t>HIGH</t>
        </is>
      </c>
      <c r="I817" s="187" t="n">
        <v>14.5</v>
      </c>
      <c r="J817" s="187" t="inlineStr">
        <is>
          <t>NO</t>
        </is>
      </c>
      <c r="K817" s="187" t="inlineStr">
        <is>
          <t>https://nvd.nist.gov/vuln/detail/CVE-2026-23999</t>
        </is>
      </c>
      <c r="L817" s="187" t="inlineStr">
        <is>
          <t>2026-02-27 20:47</t>
        </is>
      </c>
      <c r="M817" s="187" t="inlineStr">
        <is>
          <t>CHECK_VENDOR</t>
        </is>
      </c>
      <c r="N817" s="187" t="inlineStr">
        <is>
          <t>See NVD references</t>
        </is>
      </c>
      <c r="O817" s="187" t="inlineStr">
        <is>
          <t>Apply vendor patches</t>
        </is>
      </c>
      <c r="P817" s="187" t="inlineStr">
        <is>
          <t>See CVE details</t>
        </is>
      </c>
      <c r="Q817" s="187" t="inlineStr">
        <is>
          <t>P3</t>
        </is>
      </c>
      <c r="R817" s="187" t="inlineStr">
        <is>
          <t>🚨 URGENT: Apply vendor patches immediately | 🔒 Isolate affected systems if patch unavailable | 🛡️ Enable additional monitoring/IDS rules</t>
        </is>
      </c>
      <c r="S817" s="187" t="inlineStr">
        <is>
          <t>CVE - IP enrichment n/a</t>
        </is>
      </c>
      <c r="T817" s="187" t="n">
        <v>0.0004</v>
      </c>
      <c r="U817" s="187" t="n">
        <v>0.1107</v>
      </c>
      <c r="V817" s="187" t="inlineStr">
        <is>
          <t>T1600:Weaken Encryption | T1190:Exploit Public-Facing Application</t>
        </is>
      </c>
      <c r="W817" s="187" t="n">
        <v>1</v>
      </c>
      <c r="X817" s="187" t="inlineStr">
        <is>
          <t>LOW (40%)</t>
        </is>
      </c>
      <c r="Y817" s="187" t="inlineStr">
        <is>
          <t>UNLIKELY</t>
        </is>
      </c>
      <c r="Z817" s="187" t="inlineStr">
        <is>
          <t>CHECK_VENDOR</t>
        </is>
      </c>
      <c r="AA817" s="187" t="inlineStr">
        <is>
          <t>https://nvd.nist.gov/vuln/detail/CVE-2026-23999</t>
        </is>
      </c>
      <c r="AB817" s="187" t="inlineStr">
        <is>
          <t>NONE</t>
        </is>
      </c>
      <c r="AC817" s="187" t="n">
        <v>0</v>
      </c>
      <c r="AD817" s="187" t="inlineStr"/>
    </row>
    <row r="818">
      <c r="A818" s="187" t="inlineStr">
        <is>
          <t>CVE</t>
        </is>
      </c>
      <c r="B818" s="187" t="inlineStr">
        <is>
          <t>CVE-2026-24004</t>
        </is>
      </c>
      <c r="C818" s="187"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818" s="187" t="n">
        <v>8.5</v>
      </c>
      <c r="E818" s="187" t="inlineStr">
        <is>
          <t>HIGH</t>
        </is>
      </c>
      <c r="F818" s="187" t="n">
        <v>2</v>
      </c>
      <c r="G818" s="187" t="n">
        <v>3</v>
      </c>
      <c r="H818" s="187" t="inlineStr">
        <is>
          <t>HIGH</t>
        </is>
      </c>
      <c r="I818" s="187" t="n">
        <v>14.5</v>
      </c>
      <c r="J818" s="187" t="inlineStr">
        <is>
          <t>NO</t>
        </is>
      </c>
      <c r="K818" s="187" t="inlineStr">
        <is>
          <t>https://nvd.nist.gov/vuln/detail/CVE-2026-24004</t>
        </is>
      </c>
      <c r="L818" s="187" t="inlineStr">
        <is>
          <t>2026-02-27 20:47</t>
        </is>
      </c>
      <c r="M818" s="187" t="inlineStr">
        <is>
          <t>CHECK_VENDOR</t>
        </is>
      </c>
      <c r="N818" s="187" t="inlineStr">
        <is>
          <t>See NVD references</t>
        </is>
      </c>
      <c r="O818" s="187" t="inlineStr">
        <is>
          <t>Apply vendor patches</t>
        </is>
      </c>
      <c r="P818" s="187" t="inlineStr">
        <is>
          <t>See CVE details</t>
        </is>
      </c>
      <c r="Q818" s="187" t="inlineStr">
        <is>
          <t>P3</t>
        </is>
      </c>
      <c r="R818" s="187" t="inlineStr">
        <is>
          <t>🚨 URGENT: Apply vendor patches immediately | 🔒 Isolate affected systems if patch unavailable | 🛡️ Enable additional monitoring/IDS rules</t>
        </is>
      </c>
      <c r="S818" s="187" t="inlineStr">
        <is>
          <t>CVE - IP enrichment n/a</t>
        </is>
      </c>
      <c r="T818" s="187" t="n">
        <v>0.001</v>
      </c>
      <c r="U818" s="187" t="n">
        <v>0.2796</v>
      </c>
      <c r="V818" s="187" t="inlineStr">
        <is>
          <t>T1190:Exploit Public-Facing Application</t>
        </is>
      </c>
      <c r="W818" s="187" t="n">
        <v>1</v>
      </c>
      <c r="X818" s="187" t="inlineStr">
        <is>
          <t>LOW (40%)</t>
        </is>
      </c>
      <c r="Y818" s="187" t="inlineStr">
        <is>
          <t>UNLIKELY</t>
        </is>
      </c>
      <c r="Z818" s="187" t="inlineStr">
        <is>
          <t>CHECK_VENDOR</t>
        </is>
      </c>
      <c r="AA818" s="187" t="inlineStr">
        <is>
          <t>https://nvd.nist.gov/vuln/detail/CVE-2026-24004</t>
        </is>
      </c>
      <c r="AB818" s="187" t="inlineStr">
        <is>
          <t>NONE</t>
        </is>
      </c>
      <c r="AC818" s="187" t="n">
        <v>0</v>
      </c>
      <c r="AD818" s="187" t="inlineStr"/>
    </row>
    <row r="819">
      <c r="A819" s="188" t="inlineStr">
        <is>
          <t>CVE</t>
        </is>
      </c>
      <c r="B819" s="188" t="inlineStr">
        <is>
          <t>CVE-2026-25963</t>
        </is>
      </c>
      <c r="C819" s="188"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819" s="188" t="n">
        <v>6.5</v>
      </c>
      <c r="E819" s="188" t="inlineStr">
        <is>
          <t>MEDIUM</t>
        </is>
      </c>
      <c r="F819" s="188" t="n">
        <v>2</v>
      </c>
      <c r="G819" s="188" t="n">
        <v>2</v>
      </c>
      <c r="H819" s="188" t="inlineStr">
        <is>
          <t>MEDIUM</t>
        </is>
      </c>
      <c r="I819" s="188" t="n">
        <v>10.5</v>
      </c>
      <c r="J819" s="188" t="inlineStr">
        <is>
          <t>NO</t>
        </is>
      </c>
      <c r="K819" s="188" t="inlineStr">
        <is>
          <t>https://nvd.nist.gov/vuln/detail/CVE-2026-25963</t>
        </is>
      </c>
      <c r="L819" s="188" t="inlineStr">
        <is>
          <t>2026-02-27 20:47</t>
        </is>
      </c>
      <c r="M819" s="188" t="inlineStr">
        <is>
          <t>YES</t>
        </is>
      </c>
      <c r="N819" s="188" t="inlineStr">
        <is>
          <t>https://github.com/fleetdm/fleet/security/advisories/GHSA-5jvp-m9h4-253h</t>
        </is>
      </c>
      <c r="O819" s="188" t="inlineStr">
        <is>
          <t>Apply vendor patches</t>
        </is>
      </c>
      <c r="P819" s="188" t="inlineStr">
        <is>
          <t>fleetdm fleet *</t>
        </is>
      </c>
      <c r="Q819" s="188" t="inlineStr">
        <is>
          <t>P4</t>
        </is>
      </c>
      <c r="R819" s="188" t="inlineStr">
        <is>
          <t>📅 Schedule patch deployment within 30 days | 🔍 Monitor for exploitation attempts</t>
        </is>
      </c>
      <c r="S819" s="188" t="inlineStr">
        <is>
          <t>CVE - IP enrichment n/a</t>
        </is>
      </c>
      <c r="T819" s="188" t="n">
        <v>0.0003</v>
      </c>
      <c r="U819" s="188" t="n">
        <v>0.08110000000000001</v>
      </c>
      <c r="V819" s="188" t="inlineStr">
        <is>
          <t>T1190:Exploit Public-Facing Application | T1068:Exploitation for Privilege Escalation | T1133:External Remote Services</t>
        </is>
      </c>
      <c r="W819" s="188" t="n">
        <v>1</v>
      </c>
      <c r="X819" s="188" t="inlineStr">
        <is>
          <t>LOW (40%)</t>
        </is>
      </c>
      <c r="Y819" s="188" t="inlineStr">
        <is>
          <t>UNLIKELY</t>
        </is>
      </c>
      <c r="Z819" s="188" t="inlineStr">
        <is>
          <t>PATCH_AVAILABLE</t>
        </is>
      </c>
      <c r="AA819" s="188" t="inlineStr">
        <is>
          <t>https://nvd.nist.gov/vuln/detail/CVE-2026-25963</t>
        </is>
      </c>
      <c r="AB819" s="188" t="inlineStr">
        <is>
          <t>NONE</t>
        </is>
      </c>
      <c r="AC819" s="188" t="n">
        <v>0</v>
      </c>
      <c r="AD819" s="188" t="inlineStr"/>
    </row>
    <row r="820">
      <c r="A820" s="187" t="inlineStr">
        <is>
          <t>CVE</t>
        </is>
      </c>
      <c r="B820" s="187" t="inlineStr">
        <is>
          <t>CVE-2026-27465</t>
        </is>
      </c>
      <c r="C820" s="187"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820" s="187" t="n">
        <v>8.5</v>
      </c>
      <c r="E820" s="187" t="inlineStr">
        <is>
          <t>HIGH</t>
        </is>
      </c>
      <c r="F820" s="187" t="n">
        <v>2</v>
      </c>
      <c r="G820" s="187" t="n">
        <v>3</v>
      </c>
      <c r="H820" s="187" t="inlineStr">
        <is>
          <t>HIGH</t>
        </is>
      </c>
      <c r="I820" s="187" t="n">
        <v>14.5</v>
      </c>
      <c r="J820" s="187" t="inlineStr">
        <is>
          <t>NO</t>
        </is>
      </c>
      <c r="K820" s="187" t="inlineStr">
        <is>
          <t>https://nvd.nist.gov/vuln/detail/CVE-2026-27465</t>
        </is>
      </c>
      <c r="L820" s="187" t="inlineStr">
        <is>
          <t>2026-02-27 20:47</t>
        </is>
      </c>
      <c r="M820" s="187" t="inlineStr">
        <is>
          <t>CHECK_VENDOR</t>
        </is>
      </c>
      <c r="N820" s="187" t="inlineStr">
        <is>
          <t>See NVD references</t>
        </is>
      </c>
      <c r="O820" s="187" t="inlineStr">
        <is>
          <t>Apply vendor patches</t>
        </is>
      </c>
      <c r="P820" s="187" t="inlineStr">
        <is>
          <t>See CVE details</t>
        </is>
      </c>
      <c r="Q820" s="187" t="inlineStr">
        <is>
          <t>P3</t>
        </is>
      </c>
      <c r="R820" s="187" t="inlineStr">
        <is>
          <t>🚨 URGENT: Apply vendor patches immediately | 🔒 Isolate affected systems if patch unavailable | 🛡️ Enable additional monitoring/IDS rules</t>
        </is>
      </c>
      <c r="S820" s="187" t="inlineStr">
        <is>
          <t>CVE - IP enrichment n/a</t>
        </is>
      </c>
      <c r="T820" s="187" t="n">
        <v>0.0005</v>
      </c>
      <c r="U820" s="187" t="n">
        <v>0.1536</v>
      </c>
      <c r="V820" s="187" t="inlineStr">
        <is>
          <t>T1190:Exploit Public-Facing Application | T1552:Unsecured Credentials</t>
        </is>
      </c>
      <c r="W820" s="187" t="n">
        <v>1</v>
      </c>
      <c r="X820" s="187" t="inlineStr">
        <is>
          <t>LOW (40%)</t>
        </is>
      </c>
      <c r="Y820" s="187" t="inlineStr">
        <is>
          <t>UNLIKELY</t>
        </is>
      </c>
      <c r="Z820" s="187" t="inlineStr">
        <is>
          <t>CHECK_VENDOR</t>
        </is>
      </c>
      <c r="AA820" s="187" t="inlineStr">
        <is>
          <t>https://nvd.nist.gov/vuln/detail/CVE-2026-27465</t>
        </is>
      </c>
      <c r="AB820" s="187" t="inlineStr">
        <is>
          <t>NONE</t>
        </is>
      </c>
      <c r="AC820" s="187" t="n">
        <v>0</v>
      </c>
      <c r="AD820" s="187" t="inlineStr"/>
    </row>
    <row r="821">
      <c r="A821" s="188" t="inlineStr">
        <is>
          <t>CVE</t>
        </is>
      </c>
      <c r="B821" s="188" t="inlineStr">
        <is>
          <t>CVE-2026-27963</t>
        </is>
      </c>
      <c r="C821" s="188"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821" s="188" t="n">
        <v>4.8</v>
      </c>
      <c r="E821" s="188" t="inlineStr">
        <is>
          <t>MEDIUM</t>
        </is>
      </c>
      <c r="F821" s="188" t="n">
        <v>2</v>
      </c>
      <c r="G821" s="188" t="n">
        <v>2</v>
      </c>
      <c r="H821" s="188" t="inlineStr">
        <is>
          <t>MEDIUM</t>
        </is>
      </c>
      <c r="I821" s="188" t="n">
        <v>8.800000000000001</v>
      </c>
      <c r="J821" s="188" t="inlineStr">
        <is>
          <t>NO</t>
        </is>
      </c>
      <c r="K821" s="188" t="inlineStr">
        <is>
          <t>https://nvd.nist.gov/vuln/detail/CVE-2026-27963</t>
        </is>
      </c>
      <c r="L821" s="188" t="inlineStr">
        <is>
          <t>2026-02-27 20:47</t>
        </is>
      </c>
      <c r="M821" s="188" t="inlineStr">
        <is>
          <t>YES</t>
        </is>
      </c>
      <c r="N821" s="188" t="inlineStr">
        <is>
          <t>https://github.com/advplyr/audiobookshelf/commit/503f4611b221a5bde19024e657021670df204478 | https://github.com/advplyr/audiobookshelf/security/advisories/GHSA-69cp-m725-wf78</t>
        </is>
      </c>
      <c r="O821" s="188" t="inlineStr">
        <is>
          <t>https://github.com/advplyr/audiobookshelf/security/advisories/GHSA-69cp-m725-wf78</t>
        </is>
      </c>
      <c r="P821" s="188" t="inlineStr">
        <is>
          <t>audiobookshelf audiobookshelf *</t>
        </is>
      </c>
      <c r="Q821" s="188" t="inlineStr">
        <is>
          <t>P4</t>
        </is>
      </c>
      <c r="R821" s="188" t="inlineStr">
        <is>
          <t>📅 Schedule patch deployment within 30 days | 🔍 Monitor for exploitation attempts</t>
        </is>
      </c>
      <c r="S821" s="188" t="inlineStr">
        <is>
          <t>CVE - IP enrichment n/a</t>
        </is>
      </c>
      <c r="T821" s="188" t="n">
        <v>0.0003</v>
      </c>
      <c r="U821" s="188" t="n">
        <v>0.09429999999999999</v>
      </c>
      <c r="V821" s="188" t="inlineStr">
        <is>
          <t>T1189:Drive-by Compromise | T1041:Exfiltration Over C2 Channel</t>
        </is>
      </c>
      <c r="W821" s="188" t="n">
        <v>1</v>
      </c>
      <c r="X821" s="188" t="inlineStr">
        <is>
          <t>LOW (40%)</t>
        </is>
      </c>
      <c r="Y821" s="188" t="inlineStr">
        <is>
          <t>UNLIKELY</t>
        </is>
      </c>
      <c r="Z821" s="188" t="inlineStr">
        <is>
          <t>PATCH_AVAILABLE</t>
        </is>
      </c>
      <c r="AA821" s="188" t="inlineStr">
        <is>
          <t>https://nvd.nist.gov/vuln/detail/CVE-2026-27963</t>
        </is>
      </c>
      <c r="AB821" s="188" t="inlineStr">
        <is>
          <t>NONE</t>
        </is>
      </c>
      <c r="AC821" s="188" t="n">
        <v>0</v>
      </c>
      <c r="AD821" s="188" t="inlineStr"/>
    </row>
    <row r="822">
      <c r="A822" s="188" t="inlineStr">
        <is>
          <t>CVE</t>
        </is>
      </c>
      <c r="B822" s="188" t="inlineStr">
        <is>
          <t>CVE-2026-27974</t>
        </is>
      </c>
      <c r="C822" s="188"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822" s="188" t="n">
        <v>4.8</v>
      </c>
      <c r="E822" s="188" t="inlineStr">
        <is>
          <t>MEDIUM</t>
        </is>
      </c>
      <c r="F822" s="188" t="n">
        <v>2</v>
      </c>
      <c r="G822" s="188" t="n">
        <v>2</v>
      </c>
      <c r="H822" s="188" t="inlineStr">
        <is>
          <t>MEDIUM</t>
        </is>
      </c>
      <c r="I822" s="188" t="n">
        <v>8.800000000000001</v>
      </c>
      <c r="J822" s="188" t="inlineStr">
        <is>
          <t>NO</t>
        </is>
      </c>
      <c r="K822" s="188" t="inlineStr">
        <is>
          <t>https://nvd.nist.gov/vuln/detail/CVE-2026-27974</t>
        </is>
      </c>
      <c r="L822" s="188" t="inlineStr">
        <is>
          <t>2026-02-27 20:47</t>
        </is>
      </c>
      <c r="M822" s="188" t="inlineStr">
        <is>
          <t>CHECK_VENDOR</t>
        </is>
      </c>
      <c r="N822" s="188" t="inlineStr">
        <is>
          <t>See NVD references</t>
        </is>
      </c>
      <c r="O822" s="188" t="inlineStr">
        <is>
          <t>Apply vendor patches</t>
        </is>
      </c>
      <c r="P822" s="188" t="inlineStr">
        <is>
          <t>See CVE details</t>
        </is>
      </c>
      <c r="Q822" s="188" t="inlineStr">
        <is>
          <t>P4</t>
        </is>
      </c>
      <c r="R822" s="188" t="inlineStr">
        <is>
          <t>📅 Schedule patch deployment within 30 days | 🔍 Monitor for exploitation attempts</t>
        </is>
      </c>
      <c r="S822" s="188" t="inlineStr">
        <is>
          <t>CVE - IP enrichment n/a</t>
        </is>
      </c>
      <c r="T822" s="188" t="n">
        <v>0.0004</v>
      </c>
      <c r="U822" s="188" t="n">
        <v>0.1185</v>
      </c>
      <c r="V822" s="188" t="inlineStr">
        <is>
          <t>T1189:Drive-by Compromise | T1041:Exfiltration Over C2 Channel</t>
        </is>
      </c>
      <c r="W822" s="188" t="n">
        <v>1</v>
      </c>
      <c r="X822" s="188" t="inlineStr">
        <is>
          <t>LOW (40%)</t>
        </is>
      </c>
      <c r="Y822" s="188" t="inlineStr">
        <is>
          <t>UNLIKELY</t>
        </is>
      </c>
      <c r="Z822" s="188" t="inlineStr">
        <is>
          <t>CHECK_VENDOR</t>
        </is>
      </c>
      <c r="AA822" s="188" t="inlineStr">
        <is>
          <t>https://nvd.nist.gov/vuln/detail/CVE-2026-27974</t>
        </is>
      </c>
      <c r="AB822" s="188" t="inlineStr">
        <is>
          <t>NONE</t>
        </is>
      </c>
      <c r="AC822" s="188" t="n">
        <v>0</v>
      </c>
      <c r="AD822" s="188" t="inlineStr"/>
    </row>
    <row r="823">
      <c r="A823" s="187" t="inlineStr">
        <is>
          <t>CVE</t>
        </is>
      </c>
      <c r="B823" s="187" t="inlineStr">
        <is>
          <t>CVE-2026-27975</t>
        </is>
      </c>
      <c r="C823" s="187" t="inlineStr">
        <is>
          <t>Ajenti is a Linux and BSD modular server admin panel. Prior to version 2.2.13, an unauthenticated user could gain access to a server to execute arbitrary code on this server. This is fixed in the version 2.2.13.</t>
        </is>
      </c>
      <c r="D823" s="187" t="n">
        <v>8.5</v>
      </c>
      <c r="E823" s="187" t="inlineStr">
        <is>
          <t>HIGH</t>
        </is>
      </c>
      <c r="F823" s="187" t="n">
        <v>2</v>
      </c>
      <c r="G823" s="187" t="n">
        <v>3</v>
      </c>
      <c r="H823" s="187" t="inlineStr">
        <is>
          <t>HIGH</t>
        </is>
      </c>
      <c r="I823" s="187" t="n">
        <v>14.5</v>
      </c>
      <c r="J823" s="187" t="inlineStr">
        <is>
          <t>NO</t>
        </is>
      </c>
      <c r="K823" s="187" t="inlineStr">
        <is>
          <t>https://nvd.nist.gov/vuln/detail/CVE-2026-27975</t>
        </is>
      </c>
      <c r="L823" s="187" t="inlineStr">
        <is>
          <t>2026-02-27 20:47</t>
        </is>
      </c>
      <c r="M823" s="187" t="inlineStr">
        <is>
          <t>CHECK_VENDOR</t>
        </is>
      </c>
      <c r="N823" s="187" t="inlineStr">
        <is>
          <t>See NVD references</t>
        </is>
      </c>
      <c r="O823" s="187" t="inlineStr">
        <is>
          <t>Apply vendor patches</t>
        </is>
      </c>
      <c r="P823" s="187" t="inlineStr">
        <is>
          <t>See CVE details</t>
        </is>
      </c>
      <c r="Q823" s="187" t="inlineStr">
        <is>
          <t>P3</t>
        </is>
      </c>
      <c r="R823" s="187" t="inlineStr">
        <is>
          <t>🚨 URGENT: Apply vendor patches immediately | 🔒 Isolate affected systems if patch unavailable | 🛡️ Enable additional monitoring/IDS rules</t>
        </is>
      </c>
      <c r="S823" s="187" t="inlineStr">
        <is>
          <t>CVE - IP enrichment n/a</t>
        </is>
      </c>
      <c r="T823" s="187" t="n">
        <v>0.0008</v>
      </c>
      <c r="U823" s="187" t="n">
        <v>0.2388</v>
      </c>
      <c r="V823" s="187" t="inlineStr">
        <is>
          <t>T1203:Exploitation for Client Execution</t>
        </is>
      </c>
      <c r="W823" s="187" t="n">
        <v>1</v>
      </c>
      <c r="X823" s="187" t="inlineStr">
        <is>
          <t>LOW (40%)</t>
        </is>
      </c>
      <c r="Y823" s="187" t="inlineStr">
        <is>
          <t>UNLIKELY</t>
        </is>
      </c>
      <c r="Z823" s="187" t="inlineStr">
        <is>
          <t>CHECK_VENDOR</t>
        </is>
      </c>
      <c r="AA823" s="187" t="inlineStr">
        <is>
          <t>https://nvd.nist.gov/vuln/detail/CVE-2026-27975</t>
        </is>
      </c>
      <c r="AB823" s="187" t="inlineStr">
        <is>
          <t>NONE</t>
        </is>
      </c>
      <c r="AC823" s="187" t="n">
        <v>0</v>
      </c>
      <c r="AD823" s="187" t="inlineStr"/>
    </row>
    <row r="824">
      <c r="A824" s="188" t="inlineStr">
        <is>
          <t>CVE</t>
        </is>
      </c>
      <c r="B824" s="188" t="inlineStr">
        <is>
          <t>CVE-2026-2356</t>
        </is>
      </c>
      <c r="C824" s="188"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824" s="188" t="n">
        <v>5.3</v>
      </c>
      <c r="E824" s="188" t="inlineStr">
        <is>
          <t>MEDIUM</t>
        </is>
      </c>
      <c r="F824" s="188" t="n">
        <v>2</v>
      </c>
      <c r="G824" s="188" t="n">
        <v>2</v>
      </c>
      <c r="H824" s="188" t="inlineStr">
        <is>
          <t>MEDIUM</t>
        </is>
      </c>
      <c r="I824" s="188" t="n">
        <v>9.300000000000001</v>
      </c>
      <c r="J824" s="188" t="inlineStr">
        <is>
          <t>NO</t>
        </is>
      </c>
      <c r="K824" s="188" t="inlineStr">
        <is>
          <t>https://nvd.nist.gov/vuln/detail/CVE-2026-2356</t>
        </is>
      </c>
      <c r="L824" s="188" t="inlineStr">
        <is>
          <t>2026-02-27 20:47</t>
        </is>
      </c>
      <c r="M824" s="188" t="inlineStr">
        <is>
          <t>CHECK_VENDOR</t>
        </is>
      </c>
      <c r="N824" s="188" t="inlineStr">
        <is>
          <t>See NVD references</t>
        </is>
      </c>
      <c r="O824" s="188" t="inlineStr">
        <is>
          <t>Apply vendor patches</t>
        </is>
      </c>
      <c r="P824" s="188" t="inlineStr">
        <is>
          <t>See CVE details</t>
        </is>
      </c>
      <c r="Q824" s="188" t="inlineStr">
        <is>
          <t>P4</t>
        </is>
      </c>
      <c r="R824" s="188" t="inlineStr">
        <is>
          <t>📅 Schedule patch deployment within 30 days | 🔍 Monitor for exploitation attempts</t>
        </is>
      </c>
      <c r="S824" s="188" t="inlineStr">
        <is>
          <t>CVE - IP enrichment n/a</t>
        </is>
      </c>
      <c r="T824" s="188" t="n">
        <v>0.0003</v>
      </c>
      <c r="U824" s="188" t="n">
        <v>0.0757</v>
      </c>
      <c r="V824" s="188" t="inlineStr">
        <is>
          <t>T1190:Exploit Public-Facing Application</t>
        </is>
      </c>
      <c r="W824" s="188" t="n">
        <v>1</v>
      </c>
      <c r="X824" s="188" t="inlineStr">
        <is>
          <t>LOW (40%)</t>
        </is>
      </c>
      <c r="Y824" s="188" t="inlineStr">
        <is>
          <t>UNLIKELY</t>
        </is>
      </c>
      <c r="Z824" s="188" t="inlineStr">
        <is>
          <t>CHECK_VENDOR</t>
        </is>
      </c>
      <c r="AA824" s="188" t="inlineStr">
        <is>
          <t>https://nvd.nist.gov/vuln/detail/CVE-2026-2356</t>
        </is>
      </c>
      <c r="AB824" s="188" t="inlineStr">
        <is>
          <t>NONE</t>
        </is>
      </c>
      <c r="AC824" s="188" t="n">
        <v>0</v>
      </c>
      <c r="AD824" s="188" t="inlineStr"/>
    </row>
    <row r="825">
      <c r="A825" s="187" t="inlineStr">
        <is>
          <t>CVE</t>
        </is>
      </c>
      <c r="B825" s="187" t="inlineStr">
        <is>
          <t>CVE-2026-1311</t>
        </is>
      </c>
      <c r="C825" s="187"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825" s="187" t="n">
        <v>8.800000000000001</v>
      </c>
      <c r="E825" s="187" t="inlineStr">
        <is>
          <t>HIGH</t>
        </is>
      </c>
      <c r="F825" s="187" t="n">
        <v>2</v>
      </c>
      <c r="G825" s="187" t="n">
        <v>3</v>
      </c>
      <c r="H825" s="187" t="inlineStr">
        <is>
          <t>HIGH</t>
        </is>
      </c>
      <c r="I825" s="187" t="n">
        <v>14.8</v>
      </c>
      <c r="J825" s="187" t="inlineStr">
        <is>
          <t>NO</t>
        </is>
      </c>
      <c r="K825" s="187" t="inlineStr">
        <is>
          <t>https://nvd.nist.gov/vuln/detail/CVE-2026-1311</t>
        </is>
      </c>
      <c r="L825" s="187" t="inlineStr">
        <is>
          <t>2026-02-27 20:47</t>
        </is>
      </c>
      <c r="M825" s="187" t="inlineStr">
        <is>
          <t>CHECK_VENDOR</t>
        </is>
      </c>
      <c r="N825" s="187" t="inlineStr">
        <is>
          <t>See NVD references</t>
        </is>
      </c>
      <c r="O825" s="187" t="inlineStr">
        <is>
          <t>Apply vendor patches</t>
        </is>
      </c>
      <c r="P825" s="187" t="inlineStr">
        <is>
          <t>See CVE details</t>
        </is>
      </c>
      <c r="Q825" s="187" t="inlineStr">
        <is>
          <t>P3</t>
        </is>
      </c>
      <c r="R825" s="187" t="inlineStr">
        <is>
          <t>🚨 URGENT: Apply vendor patches immediately | 🔒 Isolate affected systems if patch unavailable | 🛡️ Enable additional monitoring/IDS rules</t>
        </is>
      </c>
      <c r="S825" s="187" t="inlineStr">
        <is>
          <t>CVE - IP enrichment n/a</t>
        </is>
      </c>
      <c r="T825" s="187" t="n">
        <v>0.0023</v>
      </c>
      <c r="U825" s="187" t="n">
        <v>0.4525</v>
      </c>
      <c r="V825" s="187" t="inlineStr">
        <is>
          <t>T1083:File and Directory Discovery | T1190:Exploit Public-Facing Application | T1210:Exploitation of Remote Services</t>
        </is>
      </c>
      <c r="W825" s="187" t="n">
        <v>1</v>
      </c>
      <c r="X825" s="187" t="inlineStr">
        <is>
          <t>LOW (40%)</t>
        </is>
      </c>
      <c r="Y825" s="187" t="inlineStr">
        <is>
          <t>UNLIKELY</t>
        </is>
      </c>
      <c r="Z825" s="187" t="inlineStr">
        <is>
          <t>CHECK_VENDOR</t>
        </is>
      </c>
      <c r="AA825" s="187" t="inlineStr">
        <is>
          <t>https://nvd.nist.gov/vuln/detail/CVE-2026-1311</t>
        </is>
      </c>
      <c r="AB825" s="187" t="inlineStr">
        <is>
          <t>NONE</t>
        </is>
      </c>
      <c r="AC825" s="187" t="n">
        <v>0</v>
      </c>
      <c r="AD825" s="187" t="inlineStr"/>
    </row>
    <row r="826">
      <c r="A826" s="187" t="inlineStr">
        <is>
          <t>CVE</t>
        </is>
      </c>
      <c r="B826" s="187" t="inlineStr">
        <is>
          <t>CVE-2026-23703</t>
        </is>
      </c>
      <c r="C826" s="187" t="inlineStr">
        <is>
          <t>The installer of FinalCode Client provided by Digital Arts Inc. contains an incorrect default permissions vulnerability. A non-administrative user may execute arbitrary code with SYSTEM privilege.</t>
        </is>
      </c>
      <c r="D826" s="187" t="n">
        <v>7.8</v>
      </c>
      <c r="E826" s="187" t="inlineStr">
        <is>
          <t>HIGH</t>
        </is>
      </c>
      <c r="F826" s="187" t="n">
        <v>2</v>
      </c>
      <c r="G826" s="187" t="n">
        <v>3</v>
      </c>
      <c r="H826" s="187" t="inlineStr">
        <is>
          <t>HIGH</t>
        </is>
      </c>
      <c r="I826" s="187" t="n">
        <v>13.8</v>
      </c>
      <c r="J826" s="187" t="inlineStr">
        <is>
          <t>NO</t>
        </is>
      </c>
      <c r="K826" s="187" t="inlineStr">
        <is>
          <t>https://nvd.nist.gov/vuln/detail/CVE-2026-23703</t>
        </is>
      </c>
      <c r="L826" s="187" t="inlineStr">
        <is>
          <t>2026-02-27 20:47</t>
        </is>
      </c>
      <c r="M826" s="187" t="inlineStr">
        <is>
          <t>CHECK_VENDOR</t>
        </is>
      </c>
      <c r="N826" s="187" t="inlineStr">
        <is>
          <t>See NVD references</t>
        </is>
      </c>
      <c r="O826" s="187" t="inlineStr">
        <is>
          <t>Apply vendor patches</t>
        </is>
      </c>
      <c r="P826" s="187" t="inlineStr">
        <is>
          <t>See CVE details</t>
        </is>
      </c>
      <c r="Q826" s="187" t="inlineStr">
        <is>
          <t>P3</t>
        </is>
      </c>
      <c r="R826" s="187" t="inlineStr">
        <is>
          <t>🚨 URGENT: Apply vendor patches immediately | 🔒 Isolate affected systems if patch unavailable | 🛡️ Enable additional monitoring/IDS rules</t>
        </is>
      </c>
      <c r="S826" s="187" t="inlineStr">
        <is>
          <t>CVE - IP enrichment n/a</t>
        </is>
      </c>
      <c r="T826" s="187" t="n">
        <v>0.0001</v>
      </c>
      <c r="U826" s="187" t="n">
        <v>0.0142</v>
      </c>
      <c r="V826" s="187" t="inlineStr">
        <is>
          <t>T1222:File and Directory Permissions Modification | T1203:Exploitation for Client Execution</t>
        </is>
      </c>
      <c r="W826" s="187" t="n">
        <v>1</v>
      </c>
      <c r="X826" s="187" t="inlineStr">
        <is>
          <t>LOW (40%)</t>
        </is>
      </c>
      <c r="Y826" s="187" t="inlineStr">
        <is>
          <t>UNLIKELY</t>
        </is>
      </c>
      <c r="Z826" s="187" t="inlineStr">
        <is>
          <t>CHECK_VENDOR</t>
        </is>
      </c>
      <c r="AA826" s="187" t="inlineStr">
        <is>
          <t>https://nvd.nist.gov/vuln/detail/CVE-2026-23703</t>
        </is>
      </c>
      <c r="AB826" s="187" t="inlineStr">
        <is>
          <t>NONE</t>
        </is>
      </c>
      <c r="AC826" s="187" t="n">
        <v>0</v>
      </c>
      <c r="AD826" s="187" t="inlineStr"/>
    </row>
    <row r="827">
      <c r="A827" s="187" t="inlineStr">
        <is>
          <t>CVE</t>
        </is>
      </c>
      <c r="B827" s="187" t="inlineStr">
        <is>
          <t>CVE-2026-25191</t>
        </is>
      </c>
      <c r="C827" s="187"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827" s="187" t="n">
        <v>7.8</v>
      </c>
      <c r="E827" s="187" t="inlineStr">
        <is>
          <t>HIGH</t>
        </is>
      </c>
      <c r="F827" s="187" t="n">
        <v>2</v>
      </c>
      <c r="G827" s="187" t="n">
        <v>3</v>
      </c>
      <c r="H827" s="187" t="inlineStr">
        <is>
          <t>HIGH</t>
        </is>
      </c>
      <c r="I827" s="187" t="n">
        <v>13.8</v>
      </c>
      <c r="J827" s="187" t="inlineStr">
        <is>
          <t>NO</t>
        </is>
      </c>
      <c r="K827" s="187" t="inlineStr">
        <is>
          <t>https://nvd.nist.gov/vuln/detail/CVE-2026-25191</t>
        </is>
      </c>
      <c r="L827" s="187" t="inlineStr">
        <is>
          <t>2026-02-27 20:47</t>
        </is>
      </c>
      <c r="M827" s="187" t="inlineStr">
        <is>
          <t>CHECK_VENDOR</t>
        </is>
      </c>
      <c r="N827" s="187" t="inlineStr">
        <is>
          <t>See NVD references</t>
        </is>
      </c>
      <c r="O827" s="187" t="inlineStr">
        <is>
          <t>Apply vendor patches</t>
        </is>
      </c>
      <c r="P827" s="187" t="inlineStr">
        <is>
          <t>See CVE details</t>
        </is>
      </c>
      <c r="Q827" s="187" t="inlineStr">
        <is>
          <t>P3</t>
        </is>
      </c>
      <c r="R827" s="187" t="inlineStr">
        <is>
          <t>🚨 URGENT: Apply vendor patches immediately | 🔒 Isolate affected systems if patch unavailable | 🛡️ Enable additional monitoring/IDS rules</t>
        </is>
      </c>
      <c r="S827" s="187" t="inlineStr">
        <is>
          <t>CVE - IP enrichment n/a</t>
        </is>
      </c>
      <c r="T827" s="187" t="n">
        <v>0.0002</v>
      </c>
      <c r="U827" s="187" t="n">
        <v>0.0316</v>
      </c>
      <c r="V827" s="187" t="inlineStr">
        <is>
          <t>T1203:Exploitation for Client Execution</t>
        </is>
      </c>
      <c r="W827" s="187" t="n">
        <v>1</v>
      </c>
      <c r="X827" s="187" t="inlineStr">
        <is>
          <t>LOW (40%)</t>
        </is>
      </c>
      <c r="Y827" s="187" t="inlineStr">
        <is>
          <t>UNLIKELY</t>
        </is>
      </c>
      <c r="Z827" s="187" t="inlineStr">
        <is>
          <t>CHECK_VENDOR</t>
        </is>
      </c>
      <c r="AA827" s="187" t="inlineStr">
        <is>
          <t>https://nvd.nist.gov/vuln/detail/CVE-2026-25191</t>
        </is>
      </c>
      <c r="AB827" s="187" t="inlineStr">
        <is>
          <t>NONE</t>
        </is>
      </c>
      <c r="AC827" s="187" t="n">
        <v>0</v>
      </c>
      <c r="AD827" s="187" t="inlineStr"/>
    </row>
    <row r="828">
      <c r="A828" s="188" t="inlineStr">
        <is>
          <t>CVE</t>
        </is>
      </c>
      <c r="B828" s="188" t="inlineStr">
        <is>
          <t>CVE-2026-1692</t>
        </is>
      </c>
      <c r="C828" s="188"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828" s="188" t="n">
        <v>5</v>
      </c>
      <c r="E828" s="188" t="inlineStr">
        <is>
          <t>MEDIUM</t>
        </is>
      </c>
      <c r="F828" s="188" t="n">
        <v>2</v>
      </c>
      <c r="G828" s="188" t="n">
        <v>2</v>
      </c>
      <c r="H828" s="188" t="inlineStr">
        <is>
          <t>MEDIUM</t>
        </is>
      </c>
      <c r="I828" s="188" t="n">
        <v>9</v>
      </c>
      <c r="J828" s="188" t="inlineStr">
        <is>
          <t>NO</t>
        </is>
      </c>
      <c r="K828" s="188" t="inlineStr">
        <is>
          <t>https://nvd.nist.gov/vuln/detail/CVE-2026-1692</t>
        </is>
      </c>
      <c r="L828" s="188" t="inlineStr">
        <is>
          <t>2026-02-27 20:47</t>
        </is>
      </c>
      <c r="M828" s="188" t="inlineStr">
        <is>
          <t>CHECK_VENDOR</t>
        </is>
      </c>
      <c r="N828" s="188" t="inlineStr">
        <is>
          <t>See NVD references</t>
        </is>
      </c>
      <c r="O828" s="188" t="inlineStr">
        <is>
          <t>Apply vendor patches</t>
        </is>
      </c>
      <c r="P828" s="188" t="inlineStr">
        <is>
          <t>See CVE details</t>
        </is>
      </c>
      <c r="Q828" s="188" t="inlineStr">
        <is>
          <t>P4</t>
        </is>
      </c>
      <c r="R828" s="188" t="inlineStr">
        <is>
          <t>📅 Schedule patch deployment within 30 days | 🔍 Monitor for exploitation attempts</t>
        </is>
      </c>
      <c r="S828" s="188" t="inlineStr">
        <is>
          <t>CVE - IP enrichment n/a</t>
        </is>
      </c>
      <c r="T828" s="188" t="n">
        <v>0.0004</v>
      </c>
      <c r="U828" s="188" t="n">
        <v>0.1363</v>
      </c>
      <c r="V828" s="188" t="inlineStr">
        <is>
          <t>T1190:Exploit Public-Facing Application</t>
        </is>
      </c>
      <c r="W828" s="188" t="n">
        <v>1</v>
      </c>
      <c r="X828" s="188" t="inlineStr">
        <is>
          <t>LOW (40%)</t>
        </is>
      </c>
      <c r="Y828" s="188" t="inlineStr">
        <is>
          <t>UNLIKELY</t>
        </is>
      </c>
      <c r="Z828" s="188" t="inlineStr">
        <is>
          <t>CHECK_VENDOR</t>
        </is>
      </c>
      <c r="AA828" s="188" t="inlineStr">
        <is>
          <t>https://nvd.nist.gov/vuln/detail/CVE-2026-1692</t>
        </is>
      </c>
      <c r="AB828" s="188" t="inlineStr">
        <is>
          <t>NONE</t>
        </is>
      </c>
      <c r="AC828" s="188" t="n">
        <v>0</v>
      </c>
      <c r="AD828" s="188" t="inlineStr"/>
    </row>
    <row r="829">
      <c r="A829" s="187" t="inlineStr">
        <is>
          <t>CVE</t>
        </is>
      </c>
      <c r="B829" s="187" t="inlineStr">
        <is>
          <t>CVE-2026-1693</t>
        </is>
      </c>
      <c r="C829" s="187"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829" s="187" t="n">
        <v>8.5</v>
      </c>
      <c r="E829" s="187" t="inlineStr">
        <is>
          <t>HIGH</t>
        </is>
      </c>
      <c r="F829" s="187" t="n">
        <v>2</v>
      </c>
      <c r="G829" s="187" t="n">
        <v>3</v>
      </c>
      <c r="H829" s="187" t="inlineStr">
        <is>
          <t>HIGH</t>
        </is>
      </c>
      <c r="I829" s="187" t="n">
        <v>14.5</v>
      </c>
      <c r="J829" s="187" t="inlineStr">
        <is>
          <t>NO</t>
        </is>
      </c>
      <c r="K829" s="187" t="inlineStr">
        <is>
          <t>https://nvd.nist.gov/vuln/detail/CVE-2026-1693</t>
        </is>
      </c>
      <c r="L829" s="187" t="inlineStr">
        <is>
          <t>2026-02-27 20:47</t>
        </is>
      </c>
      <c r="M829" s="187" t="inlineStr">
        <is>
          <t>CHECK_VENDOR</t>
        </is>
      </c>
      <c r="N829" s="187" t="inlineStr">
        <is>
          <t>See NVD references</t>
        </is>
      </c>
      <c r="O829" s="187" t="inlineStr">
        <is>
          <t>Apply vendor patches</t>
        </is>
      </c>
      <c r="P829" s="187" t="inlineStr">
        <is>
          <t>See CVE details</t>
        </is>
      </c>
      <c r="Q829" s="187" t="inlineStr">
        <is>
          <t>P3</t>
        </is>
      </c>
      <c r="R829" s="187" t="inlineStr">
        <is>
          <t>🚨 URGENT: Apply vendor patches immediately | 🔒 Isolate affected systems if patch unavailable | 🛡️ Enable additional monitoring/IDS rules</t>
        </is>
      </c>
      <c r="S829" s="187" t="inlineStr">
        <is>
          <t>CVE - IP enrichment n/a</t>
        </is>
      </c>
      <c r="T829" s="187" t="n">
        <v>0.0014</v>
      </c>
      <c r="U829" s="187" t="n">
        <v>0.3357</v>
      </c>
      <c r="V829" s="187" t="inlineStr">
        <is>
          <t>T1190:Exploit Public-Facing Application | T1552:Unsecured Credentials</t>
        </is>
      </c>
      <c r="W829" s="187" t="n">
        <v>1</v>
      </c>
      <c r="X829" s="187" t="inlineStr">
        <is>
          <t>LOW (40%)</t>
        </is>
      </c>
      <c r="Y829" s="187" t="inlineStr">
        <is>
          <t>UNLIKELY</t>
        </is>
      </c>
      <c r="Z829" s="187" t="inlineStr">
        <is>
          <t>CHECK_VENDOR</t>
        </is>
      </c>
      <c r="AA829" s="187" t="inlineStr">
        <is>
          <t>https://nvd.nist.gov/vuln/detail/CVE-2026-1693</t>
        </is>
      </c>
      <c r="AB829" s="187" t="inlineStr">
        <is>
          <t>NONE</t>
        </is>
      </c>
      <c r="AC829" s="187" t="n">
        <v>0</v>
      </c>
      <c r="AD829" s="187" t="inlineStr"/>
    </row>
    <row r="830">
      <c r="A830" s="188" t="inlineStr">
        <is>
          <t>CVE</t>
        </is>
      </c>
      <c r="B830" s="188" t="inlineStr">
        <is>
          <t>CVE-2026-1694</t>
        </is>
      </c>
      <c r="C830" s="188"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830" s="188" t="n">
        <v>5</v>
      </c>
      <c r="E830" s="188" t="inlineStr">
        <is>
          <t>MEDIUM</t>
        </is>
      </c>
      <c r="F830" s="188" t="n">
        <v>2</v>
      </c>
      <c r="G830" s="188" t="n">
        <v>2</v>
      </c>
      <c r="H830" s="188" t="inlineStr">
        <is>
          <t>MEDIUM</t>
        </is>
      </c>
      <c r="I830" s="188" t="n">
        <v>9</v>
      </c>
      <c r="J830" s="188" t="inlineStr">
        <is>
          <t>NO</t>
        </is>
      </c>
      <c r="K830" s="188" t="inlineStr">
        <is>
          <t>https://nvd.nist.gov/vuln/detail/CVE-2026-1694</t>
        </is>
      </c>
      <c r="L830" s="188" t="inlineStr">
        <is>
          <t>2026-02-27 20:47</t>
        </is>
      </c>
      <c r="M830" s="188" t="inlineStr">
        <is>
          <t>CHECK_VENDOR</t>
        </is>
      </c>
      <c r="N830" s="188" t="inlineStr">
        <is>
          <t>See NVD references</t>
        </is>
      </c>
      <c r="O830" s="188" t="inlineStr">
        <is>
          <t>Apply vendor patches</t>
        </is>
      </c>
      <c r="P830" s="188" t="inlineStr">
        <is>
          <t>See CVE details</t>
        </is>
      </c>
      <c r="Q830" s="188" t="inlineStr">
        <is>
          <t>P4</t>
        </is>
      </c>
      <c r="R830" s="188" t="inlineStr">
        <is>
          <t>📅 Schedule patch deployment within 30 days | 🔍 Monitor for exploitation attempts</t>
        </is>
      </c>
      <c r="S830" s="188" t="inlineStr">
        <is>
          <t>CVE - IP enrichment n/a</t>
        </is>
      </c>
      <c r="T830" s="188" t="n">
        <v>0.0004</v>
      </c>
      <c r="U830" s="188" t="n">
        <v>0.1273</v>
      </c>
      <c r="V830" s="188" t="inlineStr">
        <is>
          <t>T1190:Exploit Public-Facing Application</t>
        </is>
      </c>
      <c r="W830" s="188" t="n">
        <v>1</v>
      </c>
      <c r="X830" s="188" t="inlineStr">
        <is>
          <t>LOW (40%)</t>
        </is>
      </c>
      <c r="Y830" s="188" t="inlineStr">
        <is>
          <t>UNLIKELY</t>
        </is>
      </c>
      <c r="Z830" s="188" t="inlineStr">
        <is>
          <t>CHECK_VENDOR</t>
        </is>
      </c>
      <c r="AA830" s="188" t="inlineStr">
        <is>
          <t>https://nvd.nist.gov/vuln/detail/CVE-2026-1694</t>
        </is>
      </c>
      <c r="AB830" s="188" t="inlineStr">
        <is>
          <t>NONE</t>
        </is>
      </c>
      <c r="AC830" s="188" t="n">
        <v>0</v>
      </c>
      <c r="AD830" s="188" t="inlineStr"/>
    </row>
    <row r="831">
      <c r="A831" s="188" t="inlineStr">
        <is>
          <t>CVE</t>
        </is>
      </c>
      <c r="B831" s="188" t="inlineStr">
        <is>
          <t>CVE-2026-1695</t>
        </is>
      </c>
      <c r="C831" s="188"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831" s="188" t="n">
        <v>5</v>
      </c>
      <c r="E831" s="188" t="inlineStr">
        <is>
          <t>MEDIUM</t>
        </is>
      </c>
      <c r="F831" s="188" t="n">
        <v>2</v>
      </c>
      <c r="G831" s="188" t="n">
        <v>2</v>
      </c>
      <c r="H831" s="188" t="inlineStr">
        <is>
          <t>MEDIUM</t>
        </is>
      </c>
      <c r="I831" s="188" t="n">
        <v>9</v>
      </c>
      <c r="J831" s="188" t="inlineStr">
        <is>
          <t>NO</t>
        </is>
      </c>
      <c r="K831" s="188" t="inlineStr">
        <is>
          <t>https://nvd.nist.gov/vuln/detail/CVE-2026-1695</t>
        </is>
      </c>
      <c r="L831" s="188" t="inlineStr">
        <is>
          <t>2026-02-27 20:47</t>
        </is>
      </c>
      <c r="M831" s="188" t="inlineStr">
        <is>
          <t>CHECK_VENDOR</t>
        </is>
      </c>
      <c r="N831" s="188" t="inlineStr">
        <is>
          <t>See NVD references</t>
        </is>
      </c>
      <c r="O831" s="188" t="inlineStr">
        <is>
          <t>Apply vendor patches</t>
        </is>
      </c>
      <c r="P831" s="188" t="inlineStr">
        <is>
          <t>See CVE details</t>
        </is>
      </c>
      <c r="Q831" s="188" t="inlineStr">
        <is>
          <t>P4</t>
        </is>
      </c>
      <c r="R831" s="188" t="inlineStr">
        <is>
          <t>📅 Schedule patch deployment within 30 days | 🔍 Monitor for exploitation attempts</t>
        </is>
      </c>
      <c r="S831" s="188" t="inlineStr">
        <is>
          <t>CVE - IP enrichment n/a</t>
        </is>
      </c>
      <c r="T831" s="188" t="n">
        <v>0.0021</v>
      </c>
      <c r="U831" s="188" t="n">
        <v>0.4374</v>
      </c>
      <c r="V831" s="188" t="inlineStr">
        <is>
          <t>T1189:Drive-by Compromise</t>
        </is>
      </c>
      <c r="W831" s="188" t="n">
        <v>1</v>
      </c>
      <c r="X831" s="188" t="inlineStr">
        <is>
          <t>LOW (40%)</t>
        </is>
      </c>
      <c r="Y831" s="188" t="inlineStr">
        <is>
          <t>UNLIKELY</t>
        </is>
      </c>
      <c r="Z831" s="188" t="inlineStr">
        <is>
          <t>CHECK_VENDOR</t>
        </is>
      </c>
      <c r="AA831" s="188" t="inlineStr">
        <is>
          <t>https://nvd.nist.gov/vuln/detail/CVE-2026-1695</t>
        </is>
      </c>
      <c r="AB831" s="188" t="inlineStr">
        <is>
          <t>NONE</t>
        </is>
      </c>
      <c r="AC831" s="188" t="n">
        <v>0</v>
      </c>
      <c r="AD831" s="188" t="inlineStr"/>
    </row>
    <row r="832">
      <c r="A832" s="188" t="inlineStr">
        <is>
          <t>CVE</t>
        </is>
      </c>
      <c r="B832" s="188" t="inlineStr">
        <is>
          <t>CVE-2026-1696</t>
        </is>
      </c>
      <c r="C832" s="188" t="inlineStr">
        <is>
          <t>Some HTTP security headers are not properly set by the web server when sending responses to the client application.</t>
        </is>
      </c>
      <c r="D832" s="188" t="n">
        <v>5</v>
      </c>
      <c r="E832" s="188" t="inlineStr">
        <is>
          <t>MEDIUM</t>
        </is>
      </c>
      <c r="F832" s="188" t="n">
        <v>2</v>
      </c>
      <c r="G832" s="188" t="n">
        <v>2</v>
      </c>
      <c r="H832" s="188" t="inlineStr">
        <is>
          <t>MEDIUM</t>
        </is>
      </c>
      <c r="I832" s="188" t="n">
        <v>9</v>
      </c>
      <c r="J832" s="188" t="inlineStr">
        <is>
          <t>NO</t>
        </is>
      </c>
      <c r="K832" s="188" t="inlineStr">
        <is>
          <t>https://nvd.nist.gov/vuln/detail/CVE-2026-1696</t>
        </is>
      </c>
      <c r="L832" s="188" t="inlineStr">
        <is>
          <t>2026-02-27 20:47</t>
        </is>
      </c>
      <c r="M832" s="188" t="inlineStr">
        <is>
          <t>CHECK_VENDOR</t>
        </is>
      </c>
      <c r="N832" s="188" t="inlineStr">
        <is>
          <t>See NVD references</t>
        </is>
      </c>
      <c r="O832" s="188" t="inlineStr">
        <is>
          <t>Apply vendor patches</t>
        </is>
      </c>
      <c r="P832" s="188" t="inlineStr">
        <is>
          <t>See CVE details</t>
        </is>
      </c>
      <c r="Q832" s="188" t="inlineStr">
        <is>
          <t>P4</t>
        </is>
      </c>
      <c r="R832" s="188" t="inlineStr">
        <is>
          <t>📅 Schedule patch deployment within 30 days | 🔍 Monitor for exploitation attempts</t>
        </is>
      </c>
      <c r="S832" s="188" t="inlineStr">
        <is>
          <t>CVE - IP enrichment n/a</t>
        </is>
      </c>
      <c r="T832" s="188" t="n">
        <v>0.0005</v>
      </c>
      <c r="U832" s="188" t="n">
        <v>0.1447</v>
      </c>
      <c r="V832" s="188" t="inlineStr">
        <is>
          <t>T1189:Drive-by Compromise</t>
        </is>
      </c>
      <c r="W832" s="188" t="n">
        <v>1</v>
      </c>
      <c r="X832" s="188" t="inlineStr">
        <is>
          <t>LOW (40%)</t>
        </is>
      </c>
      <c r="Y832" s="188" t="inlineStr">
        <is>
          <t>UNLIKELY</t>
        </is>
      </c>
      <c r="Z832" s="188" t="inlineStr">
        <is>
          <t>CHECK_VENDOR</t>
        </is>
      </c>
      <c r="AA832" s="188" t="inlineStr">
        <is>
          <t>https://nvd.nist.gov/vuln/detail/CVE-2026-1696</t>
        </is>
      </c>
      <c r="AB832" s="188" t="inlineStr">
        <is>
          <t>NONE</t>
        </is>
      </c>
      <c r="AC832" s="188" t="n">
        <v>0</v>
      </c>
      <c r="AD832" s="188" t="inlineStr"/>
    </row>
    <row r="833">
      <c r="A833" s="188" t="inlineStr">
        <is>
          <t>CVE</t>
        </is>
      </c>
      <c r="B833" s="188" t="inlineStr">
        <is>
          <t>CVE-2026-1697</t>
        </is>
      </c>
      <c r="C833" s="188" t="inlineStr">
        <is>
          <t>The Secure and SameSite attribute are missing in the GraphicalData web services and WebClient web app of PcVue in version 12.0.0 through 16.3.3 included.</t>
        </is>
      </c>
      <c r="D833" s="188" t="n">
        <v>5</v>
      </c>
      <c r="E833" s="188" t="inlineStr">
        <is>
          <t>MEDIUM</t>
        </is>
      </c>
      <c r="F833" s="188" t="n">
        <v>2</v>
      </c>
      <c r="G833" s="188" t="n">
        <v>2</v>
      </c>
      <c r="H833" s="188" t="inlineStr">
        <is>
          <t>MEDIUM</t>
        </is>
      </c>
      <c r="I833" s="188" t="n">
        <v>9</v>
      </c>
      <c r="J833" s="188" t="inlineStr">
        <is>
          <t>NO</t>
        </is>
      </c>
      <c r="K833" s="188" t="inlineStr">
        <is>
          <t>https://nvd.nist.gov/vuln/detail/CVE-2026-1697</t>
        </is>
      </c>
      <c r="L833" s="188" t="inlineStr">
        <is>
          <t>2026-02-27 20:47</t>
        </is>
      </c>
      <c r="M833" s="188" t="inlineStr">
        <is>
          <t>CHECK_VENDOR</t>
        </is>
      </c>
      <c r="N833" s="188" t="inlineStr">
        <is>
          <t>See NVD references</t>
        </is>
      </c>
      <c r="O833" s="188" t="inlineStr">
        <is>
          <t>Apply vendor patches</t>
        </is>
      </c>
      <c r="P833" s="188" t="inlineStr">
        <is>
          <t>See CVE details</t>
        </is>
      </c>
      <c r="Q833" s="188" t="inlineStr">
        <is>
          <t>P4</t>
        </is>
      </c>
      <c r="R833" s="188" t="inlineStr">
        <is>
          <t>📅 Schedule patch deployment within 30 days | 🔍 Monitor for exploitation attempts</t>
        </is>
      </c>
      <c r="S833" s="188" t="inlineStr">
        <is>
          <t>CVE - IP enrichment n/a</t>
        </is>
      </c>
      <c r="T833" s="188" t="n">
        <v>0.0003</v>
      </c>
      <c r="U833" s="188" t="n">
        <v>0.0776</v>
      </c>
      <c r="V833" s="188" t="inlineStr">
        <is>
          <t>T1190:Exploit Public-Facing Application</t>
        </is>
      </c>
      <c r="W833" s="188" t="n">
        <v>1</v>
      </c>
      <c r="X833" s="188" t="inlineStr">
        <is>
          <t>LOW (40%)</t>
        </is>
      </c>
      <c r="Y833" s="188" t="inlineStr">
        <is>
          <t>UNLIKELY</t>
        </is>
      </c>
      <c r="Z833" s="188" t="inlineStr">
        <is>
          <t>CHECK_VENDOR</t>
        </is>
      </c>
      <c r="AA833" s="188" t="inlineStr">
        <is>
          <t>https://nvd.nist.gov/vuln/detail/CVE-2026-1697</t>
        </is>
      </c>
      <c r="AB833" s="188" t="inlineStr">
        <is>
          <t>NONE</t>
        </is>
      </c>
      <c r="AC833" s="188" t="n">
        <v>0</v>
      </c>
      <c r="AD833" s="188" t="inlineStr"/>
    </row>
    <row r="834">
      <c r="A834" s="188" t="inlineStr">
        <is>
          <t>CVE</t>
        </is>
      </c>
      <c r="B834" s="188" t="inlineStr">
        <is>
          <t>CVE-2026-1698</t>
        </is>
      </c>
      <c r="C834" s="188"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834" s="188" t="n">
        <v>5</v>
      </c>
      <c r="E834" s="188" t="inlineStr">
        <is>
          <t>MEDIUM</t>
        </is>
      </c>
      <c r="F834" s="188" t="n">
        <v>2</v>
      </c>
      <c r="G834" s="188" t="n">
        <v>2</v>
      </c>
      <c r="H834" s="188" t="inlineStr">
        <is>
          <t>MEDIUM</t>
        </is>
      </c>
      <c r="I834" s="188" t="n">
        <v>9</v>
      </c>
      <c r="J834" s="188" t="inlineStr">
        <is>
          <t>NO</t>
        </is>
      </c>
      <c r="K834" s="188" t="inlineStr">
        <is>
          <t>https://nvd.nist.gov/vuln/detail/CVE-2026-1698</t>
        </is>
      </c>
      <c r="L834" s="188" t="inlineStr">
        <is>
          <t>2026-02-27 20:47</t>
        </is>
      </c>
      <c r="M834" s="188" t="inlineStr">
        <is>
          <t>CHECK_VENDOR</t>
        </is>
      </c>
      <c r="N834" s="188" t="inlineStr">
        <is>
          <t>See NVD references</t>
        </is>
      </c>
      <c r="O834" s="188" t="inlineStr">
        <is>
          <t>Apply vendor patches</t>
        </is>
      </c>
      <c r="P834" s="188" t="inlineStr">
        <is>
          <t>See CVE details</t>
        </is>
      </c>
      <c r="Q834" s="188" t="inlineStr">
        <is>
          <t>P4</t>
        </is>
      </c>
      <c r="R834" s="188" t="inlineStr">
        <is>
          <t>📅 Schedule patch deployment within 30 days | 🔍 Monitor for exploitation attempts</t>
        </is>
      </c>
      <c r="S834" s="188" t="inlineStr">
        <is>
          <t>CVE - IP enrichment n/a</t>
        </is>
      </c>
      <c r="T834" s="188" t="n">
        <v>0.0021</v>
      </c>
      <c r="U834" s="188" t="n">
        <v>0.4371</v>
      </c>
      <c r="V834" s="188" t="inlineStr">
        <is>
          <t>T1190:Exploit Public-Facing Application</t>
        </is>
      </c>
      <c r="W834" s="188" t="n">
        <v>1</v>
      </c>
      <c r="X834" s="188" t="inlineStr">
        <is>
          <t>LOW (40%)</t>
        </is>
      </c>
      <c r="Y834" s="188" t="inlineStr">
        <is>
          <t>UNLIKELY</t>
        </is>
      </c>
      <c r="Z834" s="188" t="inlineStr">
        <is>
          <t>CHECK_VENDOR</t>
        </is>
      </c>
      <c r="AA834" s="188" t="inlineStr">
        <is>
          <t>https://nvd.nist.gov/vuln/detail/CVE-2026-1698</t>
        </is>
      </c>
      <c r="AB834" s="188" t="inlineStr">
        <is>
          <t>NONE</t>
        </is>
      </c>
      <c r="AC834" s="188" t="n">
        <v>0</v>
      </c>
      <c r="AD834" s="188" t="inlineStr"/>
    </row>
    <row r="835">
      <c r="A835" s="188" t="inlineStr">
        <is>
          <t>CVE</t>
        </is>
      </c>
      <c r="B835" s="188" t="inlineStr">
        <is>
          <t>CVE-2026-28083</t>
        </is>
      </c>
      <c r="C835" s="188" t="inlineStr">
        <is>
          <t>Improper Neutralization of Input During Web Page Generation ('Cross-site Scripting') vulnerability in UX-themes Flatsome flatsome allows Stored XSS.This issue affects Flatsome: from n/a through &lt;= 3.20.1.</t>
        </is>
      </c>
      <c r="D835" s="188" t="n">
        <v>6.5</v>
      </c>
      <c r="E835" s="188" t="inlineStr">
        <is>
          <t>MEDIUM</t>
        </is>
      </c>
      <c r="F835" s="188" t="n">
        <v>2</v>
      </c>
      <c r="G835" s="188" t="n">
        <v>2</v>
      </c>
      <c r="H835" s="188" t="inlineStr">
        <is>
          <t>MEDIUM</t>
        </is>
      </c>
      <c r="I835" s="188" t="n">
        <v>10.5</v>
      </c>
      <c r="J835" s="188" t="inlineStr">
        <is>
          <t>NO</t>
        </is>
      </c>
      <c r="K835" s="188" t="inlineStr">
        <is>
          <t>https://nvd.nist.gov/vuln/detail/CVE-2026-28083</t>
        </is>
      </c>
      <c r="L835" s="188" t="inlineStr">
        <is>
          <t>2026-02-27 20:47</t>
        </is>
      </c>
      <c r="M835" s="188" t="inlineStr">
        <is>
          <t>CHECK_VENDOR</t>
        </is>
      </c>
      <c r="N835" s="188" t="inlineStr">
        <is>
          <t>See NVD references</t>
        </is>
      </c>
      <c r="O835" s="188" t="inlineStr">
        <is>
          <t>Apply vendor patches</t>
        </is>
      </c>
      <c r="P835" s="188" t="inlineStr">
        <is>
          <t>See CVE details</t>
        </is>
      </c>
      <c r="Q835" s="188" t="inlineStr">
        <is>
          <t>P4</t>
        </is>
      </c>
      <c r="R835" s="188" t="inlineStr">
        <is>
          <t>📅 Schedule patch deployment within 30 days | 🔍 Monitor for exploitation attempts</t>
        </is>
      </c>
      <c r="S835" s="188" t="inlineStr">
        <is>
          <t>CVE - IP enrichment n/a</t>
        </is>
      </c>
      <c r="T835" s="188" t="n">
        <v>0.0003</v>
      </c>
      <c r="U835" s="188" t="n">
        <v>0.0939</v>
      </c>
      <c r="V835" s="188" t="inlineStr">
        <is>
          <t>T1189:Drive-by Compromise</t>
        </is>
      </c>
      <c r="W835" s="188" t="n">
        <v>1</v>
      </c>
      <c r="X835" s="188" t="inlineStr">
        <is>
          <t>LOW (40%)</t>
        </is>
      </c>
      <c r="Y835" s="188" t="inlineStr">
        <is>
          <t>UNLIKELY</t>
        </is>
      </c>
      <c r="Z835" s="188" t="inlineStr">
        <is>
          <t>CHECK_VENDOR</t>
        </is>
      </c>
      <c r="AA835" s="188" t="inlineStr">
        <is>
          <t>https://nvd.nist.gov/vuln/detail/CVE-2026-28083</t>
        </is>
      </c>
      <c r="AB835" s="188" t="inlineStr">
        <is>
          <t>NONE</t>
        </is>
      </c>
      <c r="AC835" s="188" t="n">
        <v>0</v>
      </c>
      <c r="AD835" s="188" t="inlineStr"/>
    </row>
    <row r="836">
      <c r="A836" s="188" t="inlineStr">
        <is>
          <t>CVE</t>
        </is>
      </c>
      <c r="B836" s="188" t="inlineStr">
        <is>
          <t>CVE-2026-28131</t>
        </is>
      </c>
      <c r="C836" s="188" t="inlineStr">
        <is>
          <t>Insertion of Sensitive Information Into Sent Data vulnerability in WPVibes Elementor Addon Elements addon-elements-for-elementor-page-builder allows Retrieve Embedded Sensitive Data.This issue affects Elementor Addon Elements: from n/a through &lt;= 1.14.4.</t>
        </is>
      </c>
      <c r="D836" s="188" t="n">
        <v>6.5</v>
      </c>
      <c r="E836" s="188" t="inlineStr">
        <is>
          <t>MEDIUM</t>
        </is>
      </c>
      <c r="F836" s="188" t="n">
        <v>2</v>
      </c>
      <c r="G836" s="188" t="n">
        <v>2</v>
      </c>
      <c r="H836" s="188" t="inlineStr">
        <is>
          <t>MEDIUM</t>
        </is>
      </c>
      <c r="I836" s="188" t="n">
        <v>10.5</v>
      </c>
      <c r="J836" s="188" t="inlineStr">
        <is>
          <t>NO</t>
        </is>
      </c>
      <c r="K836" s="188" t="inlineStr">
        <is>
          <t>https://nvd.nist.gov/vuln/detail/CVE-2026-28131</t>
        </is>
      </c>
      <c r="L836" s="188" t="inlineStr">
        <is>
          <t>2026-02-27 20:47</t>
        </is>
      </c>
      <c r="M836" s="188" t="inlineStr">
        <is>
          <t>CHECK_VENDOR</t>
        </is>
      </c>
      <c r="N836" s="188" t="inlineStr">
        <is>
          <t>See NVD references</t>
        </is>
      </c>
      <c r="O836" s="188" t="inlineStr">
        <is>
          <t>Apply vendor patches</t>
        </is>
      </c>
      <c r="P836" s="188" t="inlineStr">
        <is>
          <t>See CVE details</t>
        </is>
      </c>
      <c r="Q836" s="188" t="inlineStr">
        <is>
          <t>P4</t>
        </is>
      </c>
      <c r="R836" s="188" t="inlineStr">
        <is>
          <t>📅 Schedule patch deployment within 30 days | 🔍 Monitor for exploitation attempts</t>
        </is>
      </c>
      <c r="S836" s="188" t="inlineStr">
        <is>
          <t>CVE - IP enrichment n/a</t>
        </is>
      </c>
      <c r="T836" s="188" t="n">
        <v>0.0002</v>
      </c>
      <c r="U836" s="188" t="n">
        <v>0.0449</v>
      </c>
      <c r="V836" s="188" t="inlineStr">
        <is>
          <t>T1190:Exploit Public-Facing Application</t>
        </is>
      </c>
      <c r="W836" s="188" t="n">
        <v>1</v>
      </c>
      <c r="X836" s="188" t="inlineStr">
        <is>
          <t>LOW (40%)</t>
        </is>
      </c>
      <c r="Y836" s="188" t="inlineStr">
        <is>
          <t>UNLIKELY</t>
        </is>
      </c>
      <c r="Z836" s="188" t="inlineStr">
        <is>
          <t>CHECK_VENDOR</t>
        </is>
      </c>
      <c r="AA836" s="188" t="inlineStr">
        <is>
          <t>https://nvd.nist.gov/vuln/detail/CVE-2026-28131</t>
        </is>
      </c>
      <c r="AB836" s="188" t="inlineStr">
        <is>
          <t>NONE</t>
        </is>
      </c>
      <c r="AC836" s="188" t="n">
        <v>0</v>
      </c>
      <c r="AD836" s="188" t="inlineStr"/>
    </row>
    <row r="837">
      <c r="A837" s="188" t="inlineStr">
        <is>
          <t>CVE</t>
        </is>
      </c>
      <c r="B837" s="188" t="inlineStr">
        <is>
          <t>CVE-2026-28132</t>
        </is>
      </c>
      <c r="C837" s="188" t="inlineStr">
        <is>
          <t>Improper Neutralization of Script-Related HTML Tags in a Web Page (Basic XSS) vulnerability in villatheme WooCommerce Photo Reviews woocommerce-photo-reviews allows Code Injection.This issue affects WooCommerce Photo Reviews: from n/a through &lt;= 1.4.4.</t>
        </is>
      </c>
      <c r="D837" s="188" t="n">
        <v>5.3</v>
      </c>
      <c r="E837" s="188" t="inlineStr">
        <is>
          <t>MEDIUM</t>
        </is>
      </c>
      <c r="F837" s="188" t="n">
        <v>2</v>
      </c>
      <c r="G837" s="188" t="n">
        <v>2</v>
      </c>
      <c r="H837" s="188" t="inlineStr">
        <is>
          <t>MEDIUM</t>
        </is>
      </c>
      <c r="I837" s="188" t="n">
        <v>9.300000000000001</v>
      </c>
      <c r="J837" s="188" t="inlineStr">
        <is>
          <t>NO</t>
        </is>
      </c>
      <c r="K837" s="188" t="inlineStr">
        <is>
          <t>https://nvd.nist.gov/vuln/detail/CVE-2026-28132</t>
        </is>
      </c>
      <c r="L837" s="188" t="inlineStr">
        <is>
          <t>2026-02-27 20:47</t>
        </is>
      </c>
      <c r="M837" s="188" t="inlineStr">
        <is>
          <t>CHECK_VENDOR</t>
        </is>
      </c>
      <c r="N837" s="188" t="inlineStr">
        <is>
          <t>See NVD references</t>
        </is>
      </c>
      <c r="O837" s="188" t="inlineStr">
        <is>
          <t>Apply vendor patches</t>
        </is>
      </c>
      <c r="P837" s="188" t="inlineStr">
        <is>
          <t>See CVE details</t>
        </is>
      </c>
      <c r="Q837" s="188" t="inlineStr">
        <is>
          <t>P4</t>
        </is>
      </c>
      <c r="R837" s="188" t="inlineStr">
        <is>
          <t>📅 Schedule patch deployment within 30 days | 🔍 Monitor for exploitation attempts</t>
        </is>
      </c>
      <c r="S837" s="188" t="inlineStr">
        <is>
          <t>CVE - IP enrichment n/a</t>
        </is>
      </c>
      <c r="T837" s="188" t="n">
        <v>0.0004</v>
      </c>
      <c r="U837" s="188" t="n">
        <v>0.1221</v>
      </c>
      <c r="V837" s="188" t="inlineStr">
        <is>
          <t>T1190:Exploit Public-Facing Application | T1189:Drive-by Compromise</t>
        </is>
      </c>
      <c r="W837" s="188" t="n">
        <v>1</v>
      </c>
      <c r="X837" s="188" t="inlineStr">
        <is>
          <t>LOW (40%)</t>
        </is>
      </c>
      <c r="Y837" s="188" t="inlineStr">
        <is>
          <t>UNLIKELY</t>
        </is>
      </c>
      <c r="Z837" s="188" t="inlineStr">
        <is>
          <t>CHECK_VENDOR</t>
        </is>
      </c>
      <c r="AA837" s="188" t="inlineStr">
        <is>
          <t>https://nvd.nist.gov/vuln/detail/CVE-2026-28132</t>
        </is>
      </c>
      <c r="AB837" s="188" t="inlineStr">
        <is>
          <t>NONE</t>
        </is>
      </c>
      <c r="AC837" s="188" t="n">
        <v>0</v>
      </c>
      <c r="AD837" s="188" t="inlineStr"/>
    </row>
    <row r="838">
      <c r="A838" s="187" t="inlineStr">
        <is>
          <t>CVE</t>
        </is>
      </c>
      <c r="B838" s="187" t="inlineStr">
        <is>
          <t>CVE-2026-28136</t>
        </is>
      </c>
      <c r="C838" s="187" t="inlineStr">
        <is>
          <t>Improper Neutralization of Special Elements used in an SQL Command ('SQL Injection') vulnerability in VeronaLabs WP SMS wp-sms allows SQL Injection.This issue affects WP SMS: from n/a through &lt;= 6.9.12.</t>
        </is>
      </c>
      <c r="D838" s="187" t="n">
        <v>7.6</v>
      </c>
      <c r="E838" s="187" t="inlineStr">
        <is>
          <t>HIGH</t>
        </is>
      </c>
      <c r="F838" s="187" t="n">
        <v>2</v>
      </c>
      <c r="G838" s="187" t="n">
        <v>3</v>
      </c>
      <c r="H838" s="187" t="inlineStr">
        <is>
          <t>HIGH</t>
        </is>
      </c>
      <c r="I838" s="187" t="n">
        <v>13.6</v>
      </c>
      <c r="J838" s="187" t="inlineStr">
        <is>
          <t>NO</t>
        </is>
      </c>
      <c r="K838" s="187" t="inlineStr">
        <is>
          <t>https://nvd.nist.gov/vuln/detail/CVE-2026-28136</t>
        </is>
      </c>
      <c r="L838" s="187" t="inlineStr">
        <is>
          <t>2026-02-27 20:47</t>
        </is>
      </c>
      <c r="M838" s="187" t="inlineStr">
        <is>
          <t>CHECK_VENDOR</t>
        </is>
      </c>
      <c r="N838" s="187" t="inlineStr">
        <is>
          <t>See NVD references</t>
        </is>
      </c>
      <c r="O838" s="187" t="inlineStr">
        <is>
          <t>Apply vendor patches</t>
        </is>
      </c>
      <c r="P838" s="187" t="inlineStr">
        <is>
          <t>See CVE details</t>
        </is>
      </c>
      <c r="Q838" s="187" t="inlineStr">
        <is>
          <t>P3</t>
        </is>
      </c>
      <c r="R838" s="187" t="inlineStr">
        <is>
          <t>🚨 URGENT: Apply vendor patches immediately | 🔒 Isolate affected systems if patch unavailable | 🛡️ Enable additional monitoring/IDS rules</t>
        </is>
      </c>
      <c r="S838" s="187" t="inlineStr">
        <is>
          <t>CVE - IP enrichment n/a</t>
        </is>
      </c>
      <c r="T838" s="187" t="n">
        <v>0.0003</v>
      </c>
      <c r="U838" s="187" t="n">
        <v>0.074</v>
      </c>
      <c r="V838" s="187" t="inlineStr">
        <is>
          <t>T1190:Exploit Public-Facing Application</t>
        </is>
      </c>
      <c r="W838" s="187" t="n">
        <v>1</v>
      </c>
      <c r="X838" s="187" t="inlineStr">
        <is>
          <t>LOW (40%)</t>
        </is>
      </c>
      <c r="Y838" s="187" t="inlineStr">
        <is>
          <t>UNLIKELY</t>
        </is>
      </c>
      <c r="Z838" s="187" t="inlineStr">
        <is>
          <t>CHECK_VENDOR</t>
        </is>
      </c>
      <c r="AA838" s="187" t="inlineStr">
        <is>
          <t>https://nvd.nist.gov/vuln/detail/CVE-2026-28136</t>
        </is>
      </c>
      <c r="AB838" s="187" t="inlineStr">
        <is>
          <t>NONE</t>
        </is>
      </c>
      <c r="AC838" s="187" t="n">
        <v>0</v>
      </c>
      <c r="AD838" s="187" t="inlineStr"/>
    </row>
    <row r="839">
      <c r="A839" s="187" t="inlineStr">
        <is>
          <t>CVE</t>
        </is>
      </c>
      <c r="B839" s="187" t="inlineStr">
        <is>
          <t>CVE-2026-28138</t>
        </is>
      </c>
      <c r="C839" s="187" t="inlineStr">
        <is>
          <t>Deserialization of Untrusted Data vulnerability in Stylemix uListing ulisting allows Object Injection.This issue affects uListing: from n/a through &lt;= 2.2.0.</t>
        </is>
      </c>
      <c r="D839" s="187" t="n">
        <v>7.2</v>
      </c>
      <c r="E839" s="187" t="inlineStr">
        <is>
          <t>HIGH</t>
        </is>
      </c>
      <c r="F839" s="187" t="n">
        <v>2</v>
      </c>
      <c r="G839" s="187" t="n">
        <v>3</v>
      </c>
      <c r="H839" s="187" t="inlineStr">
        <is>
          <t>HIGH</t>
        </is>
      </c>
      <c r="I839" s="187" t="n">
        <v>13.2</v>
      </c>
      <c r="J839" s="187" t="inlineStr">
        <is>
          <t>NO</t>
        </is>
      </c>
      <c r="K839" s="187" t="inlineStr">
        <is>
          <t>https://nvd.nist.gov/vuln/detail/CVE-2026-28138</t>
        </is>
      </c>
      <c r="L839" s="187" t="inlineStr">
        <is>
          <t>2026-02-27 20:47</t>
        </is>
      </c>
      <c r="M839" s="187" t="inlineStr">
        <is>
          <t>CHECK_VENDOR</t>
        </is>
      </c>
      <c r="N839" s="187" t="inlineStr">
        <is>
          <t>See NVD references</t>
        </is>
      </c>
      <c r="O839" s="187" t="inlineStr">
        <is>
          <t>Apply vendor patches</t>
        </is>
      </c>
      <c r="P839" s="187" t="inlineStr">
        <is>
          <t>See CVE details</t>
        </is>
      </c>
      <c r="Q839" s="187" t="inlineStr">
        <is>
          <t>P3</t>
        </is>
      </c>
      <c r="R839" s="187" t="inlineStr">
        <is>
          <t>🚨 URGENT: Apply vendor patches immediately | 🔒 Isolate affected systems if patch unavailable | 🛡️ Enable additional monitoring/IDS rules</t>
        </is>
      </c>
      <c r="S839" s="187" t="inlineStr">
        <is>
          <t>CVE - IP enrichment n/a</t>
        </is>
      </c>
      <c r="T839" s="187" t="n">
        <v>0.0004</v>
      </c>
      <c r="U839" s="187" t="n">
        <v>0.1348</v>
      </c>
      <c r="V839" s="187" t="inlineStr">
        <is>
          <t>T1059:Command and Scripting Interpreter</t>
        </is>
      </c>
      <c r="W839" s="187" t="n">
        <v>1</v>
      </c>
      <c r="X839" s="187" t="inlineStr">
        <is>
          <t>LOW (40%)</t>
        </is>
      </c>
      <c r="Y839" s="187" t="inlineStr">
        <is>
          <t>UNLIKELY</t>
        </is>
      </c>
      <c r="Z839" s="187" t="inlineStr">
        <is>
          <t>CHECK_VENDOR</t>
        </is>
      </c>
      <c r="AA839" s="187" t="inlineStr">
        <is>
          <t>https://nvd.nist.gov/vuln/detail/CVE-2026-28138</t>
        </is>
      </c>
      <c r="AB839" s="187" t="inlineStr">
        <is>
          <t>NONE</t>
        </is>
      </c>
      <c r="AC839" s="187" t="n">
        <v>0</v>
      </c>
      <c r="AD839" s="187" t="inlineStr"/>
    </row>
    <row r="840">
      <c r="A840" s="188" t="inlineStr">
        <is>
          <t>CVE</t>
        </is>
      </c>
      <c r="B840" s="188" t="inlineStr">
        <is>
          <t>CVE-2025-64999</t>
        </is>
      </c>
      <c r="C840" s="188"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840" s="188" t="n">
        <v>5</v>
      </c>
      <c r="E840" s="188" t="inlineStr">
        <is>
          <t>MEDIUM</t>
        </is>
      </c>
      <c r="F840" s="188" t="n">
        <v>2</v>
      </c>
      <c r="G840" s="188" t="n">
        <v>2</v>
      </c>
      <c r="H840" s="188" t="inlineStr">
        <is>
          <t>MEDIUM</t>
        </is>
      </c>
      <c r="I840" s="188" t="n">
        <v>9</v>
      </c>
      <c r="J840" s="188" t="inlineStr">
        <is>
          <t>NO</t>
        </is>
      </c>
      <c r="K840" s="188" t="inlineStr">
        <is>
          <t>https://nvd.nist.gov/vuln/detail/CVE-2025-64999</t>
        </is>
      </c>
      <c r="L840" s="188" t="inlineStr">
        <is>
          <t>2026-02-27 20:47</t>
        </is>
      </c>
      <c r="M840" s="188" t="inlineStr">
        <is>
          <t>CHECK_VENDOR</t>
        </is>
      </c>
      <c r="N840" s="188" t="inlineStr">
        <is>
          <t>See NVD references</t>
        </is>
      </c>
      <c r="O840" s="188" t="inlineStr">
        <is>
          <t>Apply vendor patches</t>
        </is>
      </c>
      <c r="P840" s="188" t="inlineStr">
        <is>
          <t>See CVE details</t>
        </is>
      </c>
      <c r="Q840" s="188" t="inlineStr">
        <is>
          <t>P4</t>
        </is>
      </c>
      <c r="R840" s="188" t="inlineStr">
        <is>
          <t>📅 Schedule patch deployment within 30 days | 🔍 Monitor for exploitation attempts</t>
        </is>
      </c>
      <c r="S840" s="188" t="inlineStr">
        <is>
          <t>CVE - IP enrichment n/a</t>
        </is>
      </c>
      <c r="T840" s="188" t="n">
        <v>0.0005</v>
      </c>
      <c r="U840" s="188" t="n">
        <v>0.143</v>
      </c>
      <c r="V840" s="188" t="inlineStr">
        <is>
          <t>T1189:Drive-by Compromise | T1566:Phishing</t>
        </is>
      </c>
      <c r="W840" s="188" t="n">
        <v>1</v>
      </c>
      <c r="X840" s="188" t="inlineStr">
        <is>
          <t>LOW (40%)</t>
        </is>
      </c>
      <c r="Y840" s="188" t="inlineStr">
        <is>
          <t>UNLIKELY</t>
        </is>
      </c>
      <c r="Z840" s="188" t="inlineStr">
        <is>
          <t>CHECK_VENDOR</t>
        </is>
      </c>
      <c r="AA840" s="188" t="inlineStr">
        <is>
          <t>https://nvd.nist.gov/vuln/detail/CVE-2025-64999</t>
        </is>
      </c>
      <c r="AB840" s="188" t="inlineStr">
        <is>
          <t>NONE</t>
        </is>
      </c>
      <c r="AC840" s="188" t="n">
        <v>0</v>
      </c>
      <c r="AD840" s="188" t="inlineStr"/>
    </row>
    <row r="841">
      <c r="A841" s="188" t="inlineStr">
        <is>
          <t>CVE</t>
        </is>
      </c>
      <c r="B841" s="188" t="inlineStr">
        <is>
          <t>CVE-2026-1198</t>
        </is>
      </c>
      <c r="C841" s="188"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841" s="188" t="n">
        <v>5</v>
      </c>
      <c r="E841" s="188" t="inlineStr">
        <is>
          <t>MEDIUM</t>
        </is>
      </c>
      <c r="F841" s="188" t="n">
        <v>2</v>
      </c>
      <c r="G841" s="188" t="n">
        <v>2</v>
      </c>
      <c r="H841" s="188" t="inlineStr">
        <is>
          <t>MEDIUM</t>
        </is>
      </c>
      <c r="I841" s="188" t="n">
        <v>9</v>
      </c>
      <c r="J841" s="188" t="inlineStr">
        <is>
          <t>NO</t>
        </is>
      </c>
      <c r="K841" s="188" t="inlineStr">
        <is>
          <t>https://nvd.nist.gov/vuln/detail/CVE-2026-1198</t>
        </is>
      </c>
      <c r="L841" s="188" t="inlineStr">
        <is>
          <t>2026-02-27 20:47</t>
        </is>
      </c>
      <c r="M841" s="188" t="inlineStr">
        <is>
          <t>CHECK_VENDOR</t>
        </is>
      </c>
      <c r="N841" s="188" t="inlineStr">
        <is>
          <t>See NVD references</t>
        </is>
      </c>
      <c r="O841" s="188" t="inlineStr">
        <is>
          <t>Apply vendor patches</t>
        </is>
      </c>
      <c r="P841" s="188" t="inlineStr">
        <is>
          <t>See CVE details</t>
        </is>
      </c>
      <c r="Q841" s="188" t="inlineStr">
        <is>
          <t>P4</t>
        </is>
      </c>
      <c r="R841" s="188" t="inlineStr">
        <is>
          <t>📅 Schedule patch deployment within 30 days | 🔍 Monitor for exploitation attempts</t>
        </is>
      </c>
      <c r="S841" s="188" t="inlineStr">
        <is>
          <t>CVE - IP enrichment n/a</t>
        </is>
      </c>
      <c r="T841" s="188" t="n">
        <v>0.0003</v>
      </c>
      <c r="U841" s="188" t="n">
        <v>0.0837</v>
      </c>
      <c r="V841" s="188" t="inlineStr">
        <is>
          <t>T1190:Exploit Public-Facing Application</t>
        </is>
      </c>
      <c r="W841" s="188" t="n">
        <v>1</v>
      </c>
      <c r="X841" s="188" t="inlineStr">
        <is>
          <t>LOW (40%)</t>
        </is>
      </c>
      <c r="Y841" s="188" t="inlineStr">
        <is>
          <t>UNLIKELY</t>
        </is>
      </c>
      <c r="Z841" s="188" t="inlineStr">
        <is>
          <t>CHECK_VENDOR</t>
        </is>
      </c>
      <c r="AA841" s="188" t="inlineStr">
        <is>
          <t>https://nvd.nist.gov/vuln/detail/CVE-2026-1198</t>
        </is>
      </c>
      <c r="AB841" s="188" t="inlineStr">
        <is>
          <t>NONE</t>
        </is>
      </c>
      <c r="AC841" s="188" t="n">
        <v>0</v>
      </c>
      <c r="AD841" s="188" t="inlineStr"/>
    </row>
    <row r="842">
      <c r="A842" s="187" t="inlineStr">
        <is>
          <t>CVE</t>
        </is>
      </c>
      <c r="B842" s="187" t="inlineStr">
        <is>
          <t>CVE-2025-14343</t>
        </is>
      </c>
      <c r="C842" s="187" t="inlineStr">
        <is>
          <t>Improper Neutralization of Input During Web Page Generation (XSS or 'Cross-site Scripting') vulnerability in Dokuzsoft Technology Ltd. E-Commerce Product allows Reflected XSS.This issue affects E-Commerce Product: through 10122025.</t>
        </is>
      </c>
      <c r="D842" s="187" t="n">
        <v>7.6</v>
      </c>
      <c r="E842" s="187" t="inlineStr">
        <is>
          <t>HIGH</t>
        </is>
      </c>
      <c r="F842" s="187" t="n">
        <v>2</v>
      </c>
      <c r="G842" s="187" t="n">
        <v>3</v>
      </c>
      <c r="H842" s="187" t="inlineStr">
        <is>
          <t>HIGH</t>
        </is>
      </c>
      <c r="I842" s="187" t="n">
        <v>13.6</v>
      </c>
      <c r="J842" s="187" t="inlineStr">
        <is>
          <t>NO</t>
        </is>
      </c>
      <c r="K842" s="187" t="inlineStr">
        <is>
          <t>https://nvd.nist.gov/vuln/detail/CVE-2025-14343</t>
        </is>
      </c>
      <c r="L842" s="187" t="inlineStr">
        <is>
          <t>2026-02-27 20:47</t>
        </is>
      </c>
      <c r="M842" s="187" t="inlineStr">
        <is>
          <t>CHECK_VENDOR</t>
        </is>
      </c>
      <c r="N842" s="187" t="inlineStr">
        <is>
          <t>See NVD references</t>
        </is>
      </c>
      <c r="O842" s="187" t="inlineStr">
        <is>
          <t>Apply vendor patches</t>
        </is>
      </c>
      <c r="P842" s="187" t="inlineStr">
        <is>
          <t>See CVE details</t>
        </is>
      </c>
      <c r="Q842" s="187" t="inlineStr">
        <is>
          <t>P3</t>
        </is>
      </c>
      <c r="R842" s="187" t="inlineStr">
        <is>
          <t>🚨 URGENT: Apply vendor patches immediately | 🔒 Isolate affected systems if patch unavailable | 🛡️ Enable additional monitoring/IDS rules</t>
        </is>
      </c>
      <c r="S842" s="187" t="inlineStr">
        <is>
          <t>CVE - IP enrichment n/a</t>
        </is>
      </c>
      <c r="T842" s="187" t="n">
        <v>0.0003</v>
      </c>
      <c r="U842" s="187" t="n">
        <v>0.0979</v>
      </c>
      <c r="V842" s="187" t="inlineStr">
        <is>
          <t>T1189:Drive-by Compromise | T1190:Exploit Public-Facing Application</t>
        </is>
      </c>
      <c r="W842" s="187" t="n">
        <v>1</v>
      </c>
      <c r="X842" s="187" t="inlineStr">
        <is>
          <t>LOW (40%)</t>
        </is>
      </c>
      <c r="Y842" s="187" t="inlineStr">
        <is>
          <t>UNLIKELY</t>
        </is>
      </c>
      <c r="Z842" s="187" t="inlineStr">
        <is>
          <t>CHECK_VENDOR</t>
        </is>
      </c>
      <c r="AA842" s="187" t="inlineStr">
        <is>
          <t>https://nvd.nist.gov/vuln/detail/CVE-2025-14343</t>
        </is>
      </c>
      <c r="AB842" s="187" t="inlineStr">
        <is>
          <t>NONE</t>
        </is>
      </c>
      <c r="AC842" s="187" t="n">
        <v>0</v>
      </c>
      <c r="AD842" s="187" t="inlineStr"/>
    </row>
    <row r="843">
      <c r="A843" s="188" t="inlineStr">
        <is>
          <t>CVE</t>
        </is>
      </c>
      <c r="B843" s="188" t="inlineStr">
        <is>
          <t>CVE-2026-2677</t>
        </is>
      </c>
      <c r="C843" s="188" t="inlineStr">
        <is>
          <t>Reflected Cross-Site Scripting (XSS) on the A3factura web platform, in parameter 'name', in 'a3factura-app.wolterskluwer.es/#/incomes/representatives-management' endpoint, which could allow an attacker to execute arbitrary code in the victim's browser.</t>
        </is>
      </c>
      <c r="D843" s="188" t="n">
        <v>5</v>
      </c>
      <c r="E843" s="188" t="inlineStr">
        <is>
          <t>MEDIUM</t>
        </is>
      </c>
      <c r="F843" s="188" t="n">
        <v>2</v>
      </c>
      <c r="G843" s="188" t="n">
        <v>2</v>
      </c>
      <c r="H843" s="188" t="inlineStr">
        <is>
          <t>MEDIUM</t>
        </is>
      </c>
      <c r="I843" s="188" t="n">
        <v>9</v>
      </c>
      <c r="J843" s="188" t="inlineStr">
        <is>
          <t>NO</t>
        </is>
      </c>
      <c r="K843" s="188" t="inlineStr">
        <is>
          <t>https://nvd.nist.gov/vuln/detail/CVE-2026-2677</t>
        </is>
      </c>
      <c r="L843" s="188" t="inlineStr">
        <is>
          <t>2026-02-27 20:47</t>
        </is>
      </c>
      <c r="M843" s="188" t="inlineStr">
        <is>
          <t>CHECK_VENDOR</t>
        </is>
      </c>
      <c r="N843" s="188" t="inlineStr">
        <is>
          <t>See NVD references</t>
        </is>
      </c>
      <c r="O843" s="188" t="inlineStr">
        <is>
          <t>Apply vendor patches</t>
        </is>
      </c>
      <c r="P843" s="188" t="inlineStr">
        <is>
          <t>See CVE details</t>
        </is>
      </c>
      <c r="Q843" s="188" t="inlineStr">
        <is>
          <t>P4</t>
        </is>
      </c>
      <c r="R843" s="188" t="inlineStr">
        <is>
          <t>📅 Schedule patch deployment within 30 days | 🔍 Monitor for exploitation attempts</t>
        </is>
      </c>
      <c r="S843" s="188" t="inlineStr">
        <is>
          <t>CVE - IP enrichment n/a</t>
        </is>
      </c>
      <c r="T843" s="188" t="n">
        <v>0.0007</v>
      </c>
      <c r="U843" s="188" t="n">
        <v>0.2145</v>
      </c>
      <c r="V843" s="188" t="inlineStr">
        <is>
          <t>T1189:Drive-by Compromise | T1203:Exploitation for Client Execution</t>
        </is>
      </c>
      <c r="W843" s="188" t="n">
        <v>1</v>
      </c>
      <c r="X843" s="188" t="inlineStr">
        <is>
          <t>LOW (40%)</t>
        </is>
      </c>
      <c r="Y843" s="188" t="inlineStr">
        <is>
          <t>UNLIKELY</t>
        </is>
      </c>
      <c r="Z843" s="188" t="inlineStr">
        <is>
          <t>CHECK_VENDOR</t>
        </is>
      </c>
      <c r="AA843" s="188" t="inlineStr">
        <is>
          <t>https://nvd.nist.gov/vuln/detail/CVE-2026-2677</t>
        </is>
      </c>
      <c r="AB843" s="188" t="inlineStr">
        <is>
          <t>NONE</t>
        </is>
      </c>
      <c r="AC843" s="188" t="n">
        <v>0</v>
      </c>
      <c r="AD843" s="188" t="inlineStr"/>
    </row>
    <row r="844">
      <c r="A844" s="188" t="inlineStr">
        <is>
          <t>CVE</t>
        </is>
      </c>
      <c r="B844" s="188" t="inlineStr">
        <is>
          <t>CVE-2026-2678</t>
        </is>
      </c>
      <c r="C844" s="188" t="inlineStr">
        <is>
          <t>Reflected Cross-Site Scripting (XSS) on the A3factura web platform, in parameter 'name', parameter 'name', in 'a3factura-app.wolterskluwer.es/#/incomes/customers' endpoint, which could allow an attacker to execute arbitrary code in the victim's browser.</t>
        </is>
      </c>
      <c r="D844" s="188" t="n">
        <v>5</v>
      </c>
      <c r="E844" s="188" t="inlineStr">
        <is>
          <t>MEDIUM</t>
        </is>
      </c>
      <c r="F844" s="188" t="n">
        <v>2</v>
      </c>
      <c r="G844" s="188" t="n">
        <v>2</v>
      </c>
      <c r="H844" s="188" t="inlineStr">
        <is>
          <t>MEDIUM</t>
        </is>
      </c>
      <c r="I844" s="188" t="n">
        <v>9</v>
      </c>
      <c r="J844" s="188" t="inlineStr">
        <is>
          <t>NO</t>
        </is>
      </c>
      <c r="K844" s="188" t="inlineStr">
        <is>
          <t>https://nvd.nist.gov/vuln/detail/CVE-2026-2678</t>
        </is>
      </c>
      <c r="L844" s="188" t="inlineStr">
        <is>
          <t>2026-02-27 20:47</t>
        </is>
      </c>
      <c r="M844" s="188" t="inlineStr">
        <is>
          <t>CHECK_VENDOR</t>
        </is>
      </c>
      <c r="N844" s="188" t="inlineStr">
        <is>
          <t>See NVD references</t>
        </is>
      </c>
      <c r="O844" s="188" t="inlineStr">
        <is>
          <t>Apply vendor patches</t>
        </is>
      </c>
      <c r="P844" s="188" t="inlineStr">
        <is>
          <t>See CVE details</t>
        </is>
      </c>
      <c r="Q844" s="188" t="inlineStr">
        <is>
          <t>P4</t>
        </is>
      </c>
      <c r="R844" s="188" t="inlineStr">
        <is>
          <t>📅 Schedule patch deployment within 30 days | 🔍 Monitor for exploitation attempts</t>
        </is>
      </c>
      <c r="S844" s="188" t="inlineStr">
        <is>
          <t>CVE - IP enrichment n/a</t>
        </is>
      </c>
      <c r="T844" s="188" t="n">
        <v>0.0007</v>
      </c>
      <c r="U844" s="188" t="n">
        <v>0.2145</v>
      </c>
      <c r="V844" s="188" t="inlineStr">
        <is>
          <t>T1189:Drive-by Compromise | T1203:Exploitation for Client Execution</t>
        </is>
      </c>
      <c r="W844" s="188" t="n">
        <v>1</v>
      </c>
      <c r="X844" s="188" t="inlineStr">
        <is>
          <t>LOW (40%)</t>
        </is>
      </c>
      <c r="Y844" s="188" t="inlineStr">
        <is>
          <t>UNLIKELY</t>
        </is>
      </c>
      <c r="Z844" s="188" t="inlineStr">
        <is>
          <t>CHECK_VENDOR</t>
        </is>
      </c>
      <c r="AA844" s="188" t="inlineStr">
        <is>
          <t>https://nvd.nist.gov/vuln/detail/CVE-2026-2678</t>
        </is>
      </c>
      <c r="AB844" s="188" t="inlineStr">
        <is>
          <t>NONE</t>
        </is>
      </c>
      <c r="AC844" s="188" t="n">
        <v>0</v>
      </c>
      <c r="AD844" s="188" t="inlineStr"/>
    </row>
    <row r="845">
      <c r="A845" s="188" t="inlineStr">
        <is>
          <t>CVE</t>
        </is>
      </c>
      <c r="B845" s="188" t="inlineStr">
        <is>
          <t>CVE-2026-2679</t>
        </is>
      </c>
      <c r="C845" s="188" t="inlineStr">
        <is>
          <t>Reflected Cross-Site Scripting (XSS) on the A3factura web platform, in parameter 'customerName', in 'a3factura-app.wolterskluwer.es/#/incomes/salesInvoices' endpoint, which could allow an attacker to execute arbitrary code in the victim's browser.</t>
        </is>
      </c>
      <c r="D845" s="188" t="n">
        <v>5</v>
      </c>
      <c r="E845" s="188" t="inlineStr">
        <is>
          <t>MEDIUM</t>
        </is>
      </c>
      <c r="F845" s="188" t="n">
        <v>2</v>
      </c>
      <c r="G845" s="188" t="n">
        <v>2</v>
      </c>
      <c r="H845" s="188" t="inlineStr">
        <is>
          <t>MEDIUM</t>
        </is>
      </c>
      <c r="I845" s="188" t="n">
        <v>9</v>
      </c>
      <c r="J845" s="188" t="inlineStr">
        <is>
          <t>NO</t>
        </is>
      </c>
      <c r="K845" s="188" t="inlineStr">
        <is>
          <t>https://nvd.nist.gov/vuln/detail/CVE-2026-2679</t>
        </is>
      </c>
      <c r="L845" s="188" t="inlineStr">
        <is>
          <t>2026-02-27 20:47</t>
        </is>
      </c>
      <c r="M845" s="188" t="inlineStr">
        <is>
          <t>CHECK_VENDOR</t>
        </is>
      </c>
      <c r="N845" s="188" t="inlineStr">
        <is>
          <t>See NVD references</t>
        </is>
      </c>
      <c r="O845" s="188" t="inlineStr">
        <is>
          <t>Apply vendor patches</t>
        </is>
      </c>
      <c r="P845" s="188" t="inlineStr">
        <is>
          <t>See CVE details</t>
        </is>
      </c>
      <c r="Q845" s="188" t="inlineStr">
        <is>
          <t>P4</t>
        </is>
      </c>
      <c r="R845" s="188" t="inlineStr">
        <is>
          <t>📅 Schedule patch deployment within 30 days | 🔍 Monitor for exploitation attempts</t>
        </is>
      </c>
      <c r="S845" s="188" t="inlineStr">
        <is>
          <t>CVE - IP enrichment n/a</t>
        </is>
      </c>
      <c r="T845" s="188" t="n">
        <v>0.0007</v>
      </c>
      <c r="U845" s="188" t="n">
        <v>0.2145</v>
      </c>
      <c r="V845" s="188" t="inlineStr">
        <is>
          <t>T1189:Drive-by Compromise | T1203:Exploitation for Client Execution</t>
        </is>
      </c>
      <c r="W845" s="188" t="n">
        <v>1</v>
      </c>
      <c r="X845" s="188" t="inlineStr">
        <is>
          <t>LOW (40%)</t>
        </is>
      </c>
      <c r="Y845" s="188" t="inlineStr">
        <is>
          <t>UNLIKELY</t>
        </is>
      </c>
      <c r="Z845" s="188" t="inlineStr">
        <is>
          <t>CHECK_VENDOR</t>
        </is>
      </c>
      <c r="AA845" s="188" t="inlineStr">
        <is>
          <t>https://nvd.nist.gov/vuln/detail/CVE-2026-2679</t>
        </is>
      </c>
      <c r="AB845" s="188" t="inlineStr">
        <is>
          <t>NONE</t>
        </is>
      </c>
      <c r="AC845" s="188" t="n">
        <v>0</v>
      </c>
      <c r="AD845" s="188" t="inlineStr"/>
    </row>
    <row r="846">
      <c r="A846" s="188" t="inlineStr">
        <is>
          <t>CVE</t>
        </is>
      </c>
      <c r="B846" s="188" t="inlineStr">
        <is>
          <t>CVE-2026-2680</t>
        </is>
      </c>
      <c r="C846" s="188" t="inlineStr">
        <is>
          <t>Reflected Cross-Site Scripting (XSS) on the A3factura web platform, in parameter 'customerVATNumber', in 'a3factura-app.wolterskluwer.es/#/incomes/salesDeliveryNotes' endpoint, which could allow an attacker to execute arbitrary code in the victim's browser.</t>
        </is>
      </c>
      <c r="D846" s="188" t="n">
        <v>5</v>
      </c>
      <c r="E846" s="188" t="inlineStr">
        <is>
          <t>MEDIUM</t>
        </is>
      </c>
      <c r="F846" s="188" t="n">
        <v>2</v>
      </c>
      <c r="G846" s="188" t="n">
        <v>2</v>
      </c>
      <c r="H846" s="188" t="inlineStr">
        <is>
          <t>MEDIUM</t>
        </is>
      </c>
      <c r="I846" s="188" t="n">
        <v>9</v>
      </c>
      <c r="J846" s="188" t="inlineStr">
        <is>
          <t>NO</t>
        </is>
      </c>
      <c r="K846" s="188" t="inlineStr">
        <is>
          <t>https://nvd.nist.gov/vuln/detail/CVE-2026-2680</t>
        </is>
      </c>
      <c r="L846" s="188" t="inlineStr">
        <is>
          <t>2026-02-27 20:47</t>
        </is>
      </c>
      <c r="M846" s="188" t="inlineStr">
        <is>
          <t>CHECK_VENDOR</t>
        </is>
      </c>
      <c r="N846" s="188" t="inlineStr">
        <is>
          <t>See NVD references</t>
        </is>
      </c>
      <c r="O846" s="188" t="inlineStr">
        <is>
          <t>Apply vendor patches</t>
        </is>
      </c>
      <c r="P846" s="188" t="inlineStr">
        <is>
          <t>See CVE details</t>
        </is>
      </c>
      <c r="Q846" s="188" t="inlineStr">
        <is>
          <t>P4</t>
        </is>
      </c>
      <c r="R846" s="188" t="inlineStr">
        <is>
          <t>📅 Schedule patch deployment within 30 days | 🔍 Monitor for exploitation attempts</t>
        </is>
      </c>
      <c r="S846" s="188" t="inlineStr">
        <is>
          <t>CVE - IP enrichment n/a</t>
        </is>
      </c>
      <c r="T846" s="188" t="n">
        <v>0.0007</v>
      </c>
      <c r="U846" s="188" t="n">
        <v>0.2145</v>
      </c>
      <c r="V846" s="188" t="inlineStr">
        <is>
          <t>T1189:Drive-by Compromise | T1203:Exploitation for Client Execution</t>
        </is>
      </c>
      <c r="W846" s="188" t="n">
        <v>1</v>
      </c>
      <c r="X846" s="188" t="inlineStr">
        <is>
          <t>LOW (40%)</t>
        </is>
      </c>
      <c r="Y846" s="188" t="inlineStr">
        <is>
          <t>UNLIKELY</t>
        </is>
      </c>
      <c r="Z846" s="188" t="inlineStr">
        <is>
          <t>CHECK_VENDOR</t>
        </is>
      </c>
      <c r="AA846" s="188" t="inlineStr">
        <is>
          <t>https://nvd.nist.gov/vuln/detail/CVE-2026-2680</t>
        </is>
      </c>
      <c r="AB846" s="188" t="inlineStr">
        <is>
          <t>NONE</t>
        </is>
      </c>
      <c r="AC846" s="188" t="n">
        <v>0</v>
      </c>
      <c r="AD846" s="188" t="inlineStr"/>
    </row>
    <row r="847">
      <c r="A847" s="188" t="inlineStr">
        <is>
          <t>CVE</t>
        </is>
      </c>
      <c r="B847" s="188" t="inlineStr">
        <is>
          <t>CVE-2026-26077</t>
        </is>
      </c>
      <c r="C847" s="188"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847" s="188" t="n">
        <v>6.5</v>
      </c>
      <c r="E847" s="188" t="inlineStr">
        <is>
          <t>MEDIUM</t>
        </is>
      </c>
      <c r="F847" s="188" t="n">
        <v>2</v>
      </c>
      <c r="G847" s="188" t="n">
        <v>2</v>
      </c>
      <c r="H847" s="188" t="inlineStr">
        <is>
          <t>MEDIUM</t>
        </is>
      </c>
      <c r="I847" s="188" t="n">
        <v>10.5</v>
      </c>
      <c r="J847" s="188" t="inlineStr">
        <is>
          <t>NO</t>
        </is>
      </c>
      <c r="K847" s="188" t="inlineStr">
        <is>
          <t>https://nvd.nist.gov/vuln/detail/CVE-2026-26077</t>
        </is>
      </c>
      <c r="L847" s="188" t="inlineStr">
        <is>
          <t>2026-02-27 20:47</t>
        </is>
      </c>
      <c r="M847" s="188" t="inlineStr">
        <is>
          <t>CHECK_VENDOR</t>
        </is>
      </c>
      <c r="N847" s="188" t="inlineStr">
        <is>
          <t>See NVD references</t>
        </is>
      </c>
      <c r="O847" s="188" t="inlineStr">
        <is>
          <t>Apply vendor patches</t>
        </is>
      </c>
      <c r="P847" s="188" t="inlineStr">
        <is>
          <t>See CVE details</t>
        </is>
      </c>
      <c r="Q847" s="188" t="inlineStr">
        <is>
          <t>P4</t>
        </is>
      </c>
      <c r="R847" s="188" t="inlineStr">
        <is>
          <t>📅 Schedule patch deployment within 30 days | 🔍 Monitor for exploitation attempts</t>
        </is>
      </c>
      <c r="S847" s="188" t="inlineStr">
        <is>
          <t>CVE - IP enrichment n/a</t>
        </is>
      </c>
      <c r="T847" s="188" t="n">
        <v>0.0004</v>
      </c>
      <c r="U847" s="188" t="n">
        <v>0.1235</v>
      </c>
      <c r="V847" s="188" t="inlineStr">
        <is>
          <t>T1078:Valid Accounts | T1110:Brute Force | T1190:Exploit Public-Facing Application</t>
        </is>
      </c>
      <c r="W847" s="188" t="n">
        <v>1</v>
      </c>
      <c r="X847" s="188" t="inlineStr">
        <is>
          <t>LOW (40%)</t>
        </is>
      </c>
      <c r="Y847" s="188" t="inlineStr">
        <is>
          <t>UNLIKELY</t>
        </is>
      </c>
      <c r="Z847" s="188" t="inlineStr">
        <is>
          <t>CHECK_VENDOR</t>
        </is>
      </c>
      <c r="AA847" s="188" t="inlineStr">
        <is>
          <t>https://nvd.nist.gov/vuln/detail/CVE-2026-26077</t>
        </is>
      </c>
      <c r="AB847" s="188" t="inlineStr">
        <is>
          <t>NONE</t>
        </is>
      </c>
      <c r="AC847" s="188" t="n">
        <v>0</v>
      </c>
      <c r="AD847" s="188" t="inlineStr"/>
    </row>
    <row r="848">
      <c r="A848" s="188" t="inlineStr">
        <is>
          <t>CVE</t>
        </is>
      </c>
      <c r="B848" s="188" t="inlineStr">
        <is>
          <t>CVE-2026-2244</t>
        </is>
      </c>
      <c r="C848" s="188"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848" s="188" t="n">
        <v>5</v>
      </c>
      <c r="E848" s="188" t="inlineStr">
        <is>
          <t>MEDIUM</t>
        </is>
      </c>
      <c r="F848" s="188" t="n">
        <v>2</v>
      </c>
      <c r="G848" s="188" t="n">
        <v>2</v>
      </c>
      <c r="H848" s="188" t="inlineStr">
        <is>
          <t>MEDIUM</t>
        </is>
      </c>
      <c r="I848" s="188" t="n">
        <v>9</v>
      </c>
      <c r="J848" s="188" t="inlineStr">
        <is>
          <t>NO</t>
        </is>
      </c>
      <c r="K848" s="188" t="inlineStr">
        <is>
          <t>https://nvd.nist.gov/vuln/detail/CVE-2026-2244</t>
        </is>
      </c>
      <c r="L848" s="188" t="inlineStr">
        <is>
          <t>2026-02-27 20:47</t>
        </is>
      </c>
      <c r="M848" s="188" t="inlineStr">
        <is>
          <t>CHECK_VENDOR</t>
        </is>
      </c>
      <c r="N848" s="188" t="inlineStr">
        <is>
          <t>See NVD references</t>
        </is>
      </c>
      <c r="O848" s="188" t="inlineStr">
        <is>
          <t>Apply vendor patches</t>
        </is>
      </c>
      <c r="P848" s="188" t="inlineStr">
        <is>
          <t>See CVE details</t>
        </is>
      </c>
      <c r="Q848" s="188" t="inlineStr">
        <is>
          <t>P4</t>
        </is>
      </c>
      <c r="R848" s="188" t="inlineStr">
        <is>
          <t>📅 Schedule patch deployment within 30 days | 🔍 Monitor for exploitation attempts</t>
        </is>
      </c>
      <c r="S848" s="188" t="inlineStr">
        <is>
          <t>CVE - IP enrichment n/a</t>
        </is>
      </c>
      <c r="T848" s="188" t="n">
        <v>0.0004</v>
      </c>
      <c r="U848" s="188" t="n">
        <v>0.1257</v>
      </c>
      <c r="V848" s="188" t="inlineStr">
        <is>
          <t>T1213:Data from Information Repositories</t>
        </is>
      </c>
      <c r="W848" s="188" t="n">
        <v>1</v>
      </c>
      <c r="X848" s="188" t="inlineStr">
        <is>
          <t>LOW (40%)</t>
        </is>
      </c>
      <c r="Y848" s="188" t="inlineStr">
        <is>
          <t>UNLIKELY</t>
        </is>
      </c>
      <c r="Z848" s="188" t="inlineStr">
        <is>
          <t>CHECK_VENDOR</t>
        </is>
      </c>
      <c r="AA848" s="188" t="inlineStr">
        <is>
          <t>https://nvd.nist.gov/vuln/detail/CVE-2026-2244</t>
        </is>
      </c>
      <c r="AB848" s="188" t="inlineStr">
        <is>
          <t>NONE</t>
        </is>
      </c>
      <c r="AC848" s="188" t="n">
        <v>0</v>
      </c>
      <c r="AD848" s="188" t="inlineStr"/>
    </row>
    <row r="849">
      <c r="A849" s="187" t="inlineStr">
        <is>
          <t>CVE</t>
        </is>
      </c>
      <c r="B849" s="187" t="inlineStr">
        <is>
          <t>CVE-2026-3071</t>
        </is>
      </c>
      <c r="C849" s="187" t="inlineStr">
        <is>
          <t>Deserialization of untrusted data in the LanguageModel class of Flair from versions 0.4.1 to latest are vulnerable to arbitrary code execution when loading a malicious model.</t>
        </is>
      </c>
      <c r="D849" s="187" t="n">
        <v>8.4</v>
      </c>
      <c r="E849" s="187" t="inlineStr">
        <is>
          <t>HIGH</t>
        </is>
      </c>
      <c r="F849" s="187" t="n">
        <v>2</v>
      </c>
      <c r="G849" s="187" t="n">
        <v>3</v>
      </c>
      <c r="H849" s="187" t="inlineStr">
        <is>
          <t>HIGH</t>
        </is>
      </c>
      <c r="I849" s="187" t="n">
        <v>14.4</v>
      </c>
      <c r="J849" s="187" t="inlineStr">
        <is>
          <t>NO</t>
        </is>
      </c>
      <c r="K849" s="187" t="inlineStr">
        <is>
          <t>https://nvd.nist.gov/vuln/detail/CVE-2026-3071</t>
        </is>
      </c>
      <c r="L849" s="187" t="inlineStr">
        <is>
          <t>2026-02-27 20:47</t>
        </is>
      </c>
      <c r="M849" s="187" t="inlineStr">
        <is>
          <t>CHECK_VENDOR</t>
        </is>
      </c>
      <c r="N849" s="187" t="inlineStr">
        <is>
          <t>See NVD references</t>
        </is>
      </c>
      <c r="O849" s="187" t="inlineStr">
        <is>
          <t>Apply vendor patches</t>
        </is>
      </c>
      <c r="P849" s="187" t="inlineStr">
        <is>
          <t>See CVE details</t>
        </is>
      </c>
      <c r="Q849" s="187" t="inlineStr">
        <is>
          <t>P3</t>
        </is>
      </c>
      <c r="R849" s="187" t="inlineStr">
        <is>
          <t>🚨 URGENT: Apply vendor patches immediately | 🔒 Isolate affected systems if patch unavailable | 🛡️ Enable additional monitoring/IDS rules</t>
        </is>
      </c>
      <c r="S849" s="187" t="inlineStr">
        <is>
          <t>CVE - IP enrichment n/a</t>
        </is>
      </c>
      <c r="T849" s="187" t="n">
        <v>0.0005999999999999999</v>
      </c>
      <c r="U849" s="187" t="n">
        <v>0.1747</v>
      </c>
      <c r="V849" s="187" t="inlineStr">
        <is>
          <t>T1059:Command and Scripting Interpreter | T1203:Exploitation for Client Execution</t>
        </is>
      </c>
      <c r="W849" s="187" t="n">
        <v>1</v>
      </c>
      <c r="X849" s="187" t="inlineStr">
        <is>
          <t>LOW (40%)</t>
        </is>
      </c>
      <c r="Y849" s="187" t="inlineStr">
        <is>
          <t>UNLIKELY</t>
        </is>
      </c>
      <c r="Z849" s="187" t="inlineStr">
        <is>
          <t>CHECK_VENDOR</t>
        </is>
      </c>
      <c r="AA849" s="187" t="inlineStr">
        <is>
          <t>https://nvd.nist.gov/vuln/detail/CVE-2026-3071</t>
        </is>
      </c>
      <c r="AB849" s="187" t="inlineStr">
        <is>
          <t>NONE</t>
        </is>
      </c>
      <c r="AC849" s="187" t="n">
        <v>0</v>
      </c>
      <c r="AD849" s="187" t="inlineStr"/>
    </row>
    <row r="850">
      <c r="A850" s="188" t="inlineStr">
        <is>
          <t>CVE</t>
        </is>
      </c>
      <c r="B850" s="188" t="inlineStr">
        <is>
          <t>CVE-2025-56605</t>
        </is>
      </c>
      <c r="C850" s="188"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850" s="188" t="n">
        <v>5.4</v>
      </c>
      <c r="E850" s="188" t="inlineStr">
        <is>
          <t>MEDIUM</t>
        </is>
      </c>
      <c r="F850" s="188" t="n">
        <v>2</v>
      </c>
      <c r="G850" s="188" t="n">
        <v>2</v>
      </c>
      <c r="H850" s="188" t="inlineStr">
        <is>
          <t>MEDIUM</t>
        </is>
      </c>
      <c r="I850" s="188" t="n">
        <v>9.4</v>
      </c>
      <c r="J850" s="188" t="inlineStr">
        <is>
          <t>NO</t>
        </is>
      </c>
      <c r="K850" s="188" t="inlineStr">
        <is>
          <t>https://nvd.nist.gov/vuln/detail/CVE-2025-56605</t>
        </is>
      </c>
      <c r="L850" s="188" t="inlineStr">
        <is>
          <t>2026-02-27 20:47</t>
        </is>
      </c>
      <c r="M850" s="188" t="inlineStr">
        <is>
          <t>CHECK_VENDOR</t>
        </is>
      </c>
      <c r="N850" s="188" t="inlineStr">
        <is>
          <t>See NVD references</t>
        </is>
      </c>
      <c r="O850" s="188" t="inlineStr">
        <is>
          <t>Apply vendor patches</t>
        </is>
      </c>
      <c r="P850" s="188" t="inlineStr">
        <is>
          <t>See CVE details</t>
        </is>
      </c>
      <c r="Q850" s="188" t="inlineStr">
        <is>
          <t>P4</t>
        </is>
      </c>
      <c r="R850" s="188" t="inlineStr">
        <is>
          <t>📅 Schedule patch deployment within 30 days | 🔍 Monitor for exploitation attempts</t>
        </is>
      </c>
      <c r="S850" s="188" t="inlineStr">
        <is>
          <t>CVE - IP enrichment n/a</t>
        </is>
      </c>
      <c r="T850" s="188" t="n">
        <v>0.0001</v>
      </c>
      <c r="U850" s="188" t="n">
        <v>0.0266</v>
      </c>
      <c r="V850" s="188" t="inlineStr">
        <is>
          <t>T1189:Drive-by Compromise</t>
        </is>
      </c>
      <c r="W850" s="188" t="n">
        <v>1</v>
      </c>
      <c r="X850" s="188" t="inlineStr">
        <is>
          <t>LOW (40%)</t>
        </is>
      </c>
      <c r="Y850" s="188" t="inlineStr">
        <is>
          <t>UNLIKELY</t>
        </is>
      </c>
      <c r="Z850" s="188" t="inlineStr">
        <is>
          <t>CHECK_VENDOR</t>
        </is>
      </c>
      <c r="AA850" s="188" t="inlineStr">
        <is>
          <t>https://nvd.nist.gov/vuln/detail/CVE-2025-56605</t>
        </is>
      </c>
      <c r="AB850" s="188" t="inlineStr">
        <is>
          <t>NONE</t>
        </is>
      </c>
      <c r="AC850" s="188" t="n">
        <v>0</v>
      </c>
      <c r="AD850" s="188" t="inlineStr"/>
    </row>
    <row r="851">
      <c r="A851" s="187" t="inlineStr">
        <is>
          <t>CVE</t>
        </is>
      </c>
      <c r="B851" s="187" t="inlineStr">
        <is>
          <t>CVE-2025-71057</t>
        </is>
      </c>
      <c r="C851" s="187" t="inlineStr">
        <is>
          <t>Improper session management in D-Link Wireless N 300 ADSL2+ Modem Router DSL-124 ME_1.00 allows attackers to execute a session hijacking attack via spoofing the IP address of an authenticated user.</t>
        </is>
      </c>
      <c r="D851" s="187" t="n">
        <v>8.199999999999999</v>
      </c>
      <c r="E851" s="187" t="inlineStr">
        <is>
          <t>HIGH</t>
        </is>
      </c>
      <c r="F851" s="187" t="n">
        <v>2</v>
      </c>
      <c r="G851" s="187" t="n">
        <v>3</v>
      </c>
      <c r="H851" s="187" t="inlineStr">
        <is>
          <t>HIGH</t>
        </is>
      </c>
      <c r="I851" s="187" t="n">
        <v>14.2</v>
      </c>
      <c r="J851" s="187" t="inlineStr">
        <is>
          <t>NO</t>
        </is>
      </c>
      <c r="K851" s="187" t="inlineStr">
        <is>
          <t>https://nvd.nist.gov/vuln/detail/CVE-2025-71057</t>
        </is>
      </c>
      <c r="L851" s="187" t="inlineStr">
        <is>
          <t>2026-02-27 20:47</t>
        </is>
      </c>
      <c r="M851" s="187" t="inlineStr">
        <is>
          <t>CHECK_VENDOR</t>
        </is>
      </c>
      <c r="N851" s="187" t="inlineStr">
        <is>
          <t>See NVD references</t>
        </is>
      </c>
      <c r="O851" s="187" t="inlineStr">
        <is>
          <t>Apply vendor patches</t>
        </is>
      </c>
      <c r="P851" s="187" t="inlineStr">
        <is>
          <t>See CVE details</t>
        </is>
      </c>
      <c r="Q851" s="187" t="inlineStr">
        <is>
          <t>P3</t>
        </is>
      </c>
      <c r="R851" s="187" t="inlineStr">
        <is>
          <t>🚨 URGENT: Apply vendor patches immediately | 🔒 Isolate affected systems if patch unavailable | 🛡️ Enable additional monitoring/IDS rules</t>
        </is>
      </c>
      <c r="S851" s="187" t="inlineStr">
        <is>
          <t>CVE - IP enrichment n/a</t>
        </is>
      </c>
      <c r="T851" s="187" t="n">
        <v>0.0001</v>
      </c>
      <c r="U851" s="187" t="n">
        <v>0.0227</v>
      </c>
      <c r="V851" s="187" t="inlineStr">
        <is>
          <t>T1078:Valid Accounts | T1110:Brute Force</t>
        </is>
      </c>
      <c r="W851" s="187" t="n">
        <v>1</v>
      </c>
      <c r="X851" s="187" t="inlineStr">
        <is>
          <t>LOW (40%)</t>
        </is>
      </c>
      <c r="Y851" s="187" t="inlineStr">
        <is>
          <t>UNLIKELY</t>
        </is>
      </c>
      <c r="Z851" s="187" t="inlineStr">
        <is>
          <t>CHECK_VENDOR</t>
        </is>
      </c>
      <c r="AA851" s="187" t="inlineStr">
        <is>
          <t>https://nvd.nist.gov/vuln/detail/CVE-2025-71057</t>
        </is>
      </c>
      <c r="AB851" s="187" t="inlineStr">
        <is>
          <t>NONE</t>
        </is>
      </c>
      <c r="AC851" s="187" t="n">
        <v>0</v>
      </c>
      <c r="AD851" s="187" t="inlineStr"/>
    </row>
    <row r="852">
      <c r="A852" s="187" t="inlineStr">
        <is>
          <t>CVE</t>
        </is>
      </c>
      <c r="B852" s="187" t="inlineStr">
        <is>
          <t>CVE-2026-26078</t>
        </is>
      </c>
      <c r="C852" s="187"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852" s="187" t="n">
        <v>7.5</v>
      </c>
      <c r="E852" s="187" t="inlineStr">
        <is>
          <t>HIGH</t>
        </is>
      </c>
      <c r="F852" s="187" t="n">
        <v>2</v>
      </c>
      <c r="G852" s="187" t="n">
        <v>3</v>
      </c>
      <c r="H852" s="187" t="inlineStr">
        <is>
          <t>HIGH</t>
        </is>
      </c>
      <c r="I852" s="187" t="n">
        <v>13.5</v>
      </c>
      <c r="J852" s="187" t="inlineStr">
        <is>
          <t>NO</t>
        </is>
      </c>
      <c r="K852" s="187" t="inlineStr">
        <is>
          <t>https://nvd.nist.gov/vuln/detail/CVE-2026-26078</t>
        </is>
      </c>
      <c r="L852" s="187" t="inlineStr">
        <is>
          <t>2026-02-27 20:47</t>
        </is>
      </c>
      <c r="M852" s="187" t="inlineStr">
        <is>
          <t>CHECK_VENDOR</t>
        </is>
      </c>
      <c r="N852" s="187" t="inlineStr">
        <is>
          <t>See NVD references</t>
        </is>
      </c>
      <c r="O852" s="187" t="inlineStr">
        <is>
          <t>Apply vendor patches</t>
        </is>
      </c>
      <c r="P852" s="187" t="inlineStr">
        <is>
          <t>See CVE details</t>
        </is>
      </c>
      <c r="Q852" s="187" t="inlineStr">
        <is>
          <t>P3</t>
        </is>
      </c>
      <c r="R852" s="187" t="inlineStr">
        <is>
          <t>🚨 URGENT: Apply vendor patches immediately | 🔒 Isolate affected systems if patch unavailable | 🛡️ Enable additional monitoring/IDS rules</t>
        </is>
      </c>
      <c r="S852" s="187" t="inlineStr">
        <is>
          <t>CVE - IP enrichment n/a</t>
        </is>
      </c>
      <c r="T852" s="187" t="n">
        <v>0.0003</v>
      </c>
      <c r="U852" s="187" t="n">
        <v>0.0762</v>
      </c>
      <c r="V852" s="187" t="inlineStr">
        <is>
          <t>T1190:Exploit Public-Facing Application</t>
        </is>
      </c>
      <c r="W852" s="187" t="n">
        <v>1</v>
      </c>
      <c r="X852" s="187" t="inlineStr">
        <is>
          <t>LOW (40%)</t>
        </is>
      </c>
      <c r="Y852" s="187" t="inlineStr">
        <is>
          <t>UNLIKELY</t>
        </is>
      </c>
      <c r="Z852" s="187" t="inlineStr">
        <is>
          <t>CHECK_VENDOR</t>
        </is>
      </c>
      <c r="AA852" s="187" t="inlineStr">
        <is>
          <t>https://nvd.nist.gov/vuln/detail/CVE-2026-26078</t>
        </is>
      </c>
      <c r="AB852" s="187" t="inlineStr">
        <is>
          <t>NONE</t>
        </is>
      </c>
      <c r="AC852" s="187" t="n">
        <v>0</v>
      </c>
      <c r="AD852" s="187" t="inlineStr"/>
    </row>
    <row r="853">
      <c r="A853" s="188" t="inlineStr">
        <is>
          <t>CVE</t>
        </is>
      </c>
      <c r="B853" s="188" t="inlineStr">
        <is>
          <t>CVE-2026-26207</t>
        </is>
      </c>
      <c r="C853" s="188"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853" s="188" t="n">
        <v>5.4</v>
      </c>
      <c r="E853" s="188" t="inlineStr">
        <is>
          <t>MEDIUM</t>
        </is>
      </c>
      <c r="F853" s="188" t="n">
        <v>2</v>
      </c>
      <c r="G853" s="188" t="n">
        <v>2</v>
      </c>
      <c r="H853" s="188" t="inlineStr">
        <is>
          <t>MEDIUM</t>
        </is>
      </c>
      <c r="I853" s="188" t="n">
        <v>9.4</v>
      </c>
      <c r="J853" s="188" t="inlineStr">
        <is>
          <t>NO</t>
        </is>
      </c>
      <c r="K853" s="188" t="inlineStr">
        <is>
          <t>https://nvd.nist.gov/vuln/detail/CVE-2026-26207</t>
        </is>
      </c>
      <c r="L853" s="188" t="inlineStr">
        <is>
          <t>2026-02-27 20:47</t>
        </is>
      </c>
      <c r="M853" s="188" t="inlineStr">
        <is>
          <t>CHECK_VENDOR</t>
        </is>
      </c>
      <c r="N853" s="188" t="inlineStr">
        <is>
          <t>See NVD references</t>
        </is>
      </c>
      <c r="O853" s="188" t="inlineStr">
        <is>
          <t>Apply vendor patches</t>
        </is>
      </c>
      <c r="P853" s="188" t="inlineStr">
        <is>
          <t>See CVE details</t>
        </is>
      </c>
      <c r="Q853" s="188" t="inlineStr">
        <is>
          <t>P1</t>
        </is>
      </c>
      <c r="R853" s="188" t="inlineStr">
        <is>
          <t>📅 Schedule patch deployment within 30 days | 🔍 Monitor for exploitation attempts</t>
        </is>
      </c>
      <c r="S853" s="188" t="inlineStr">
        <is>
          <t>CVE - IP enrichment n/a</t>
        </is>
      </c>
      <c r="T853" s="188" t="n">
        <v>0.0003</v>
      </c>
      <c r="U853" s="188" t="n">
        <v>0.0665</v>
      </c>
      <c r="V853" s="188" t="inlineStr">
        <is>
          <t>T1190:Exploit Public-Facing Application | T1213:Data from Information Repositories</t>
        </is>
      </c>
      <c r="W853" s="188" t="n">
        <v>2</v>
      </c>
      <c r="X853" s="188" t="inlineStr">
        <is>
          <t>HIGH (72%)</t>
        </is>
      </c>
      <c r="Y853" s="188" t="inlineStr">
        <is>
          <t>HIGH</t>
        </is>
      </c>
      <c r="Z853" s="188" t="inlineStr">
        <is>
          <t>CHECK_VENDOR</t>
        </is>
      </c>
      <c r="AA853" s="188" t="inlineStr">
        <is>
          <t>https://nvd.nist.gov/vuln/detail/CVE-2026-26207</t>
        </is>
      </c>
      <c r="AB853" s="188" t="inlineStr">
        <is>
          <t>http://www.zerodayinitiative.com/advisories/ZDI-26-123/</t>
        </is>
      </c>
      <c r="AC853" s="188" t="n">
        <v>0</v>
      </c>
      <c r="AD853" s="188" t="inlineStr"/>
    </row>
    <row r="854">
      <c r="A854" s="188" t="inlineStr">
        <is>
          <t>CVE</t>
        </is>
      </c>
      <c r="B854" s="188" t="inlineStr">
        <is>
          <t>CVE-2026-26228</t>
        </is>
      </c>
      <c r="C854" s="188"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854" s="188" t="n">
        <v>5</v>
      </c>
      <c r="E854" s="188" t="inlineStr">
        <is>
          <t>MEDIUM</t>
        </is>
      </c>
      <c r="F854" s="188" t="n">
        <v>2</v>
      </c>
      <c r="G854" s="188" t="n">
        <v>2</v>
      </c>
      <c r="H854" s="188" t="inlineStr">
        <is>
          <t>MEDIUM</t>
        </is>
      </c>
      <c r="I854" s="188" t="n">
        <v>9</v>
      </c>
      <c r="J854" s="188" t="inlineStr">
        <is>
          <t>NO</t>
        </is>
      </c>
      <c r="K854" s="188" t="inlineStr">
        <is>
          <t>https://nvd.nist.gov/vuln/detail/CVE-2026-26228</t>
        </is>
      </c>
      <c r="L854" s="188" t="inlineStr">
        <is>
          <t>2026-02-27 20:47</t>
        </is>
      </c>
      <c r="M854" s="188" t="inlineStr">
        <is>
          <t>CHECK_VENDOR</t>
        </is>
      </c>
      <c r="N854" s="188" t="inlineStr">
        <is>
          <t>See NVD references</t>
        </is>
      </c>
      <c r="O854" s="188" t="inlineStr">
        <is>
          <t>Apply vendor patches</t>
        </is>
      </c>
      <c r="P854" s="188" t="inlineStr">
        <is>
          <t>See CVE details</t>
        </is>
      </c>
      <c r="Q854" s="188" t="inlineStr">
        <is>
          <t>P4</t>
        </is>
      </c>
      <c r="R854" s="188" t="inlineStr">
        <is>
          <t>📅 Schedule patch deployment within 30 days | 🔍 Monitor for exploitation attempts</t>
        </is>
      </c>
      <c r="S854" s="188" t="inlineStr">
        <is>
          <t>CVE - IP enrichment n/a</t>
        </is>
      </c>
      <c r="T854" s="188" t="n">
        <v>0.0004</v>
      </c>
      <c r="U854" s="188" t="n">
        <v>0.1308</v>
      </c>
      <c r="V854" s="188" t="inlineStr">
        <is>
          <t>T1083:File and Directory Discovery</t>
        </is>
      </c>
      <c r="W854" s="188" t="n">
        <v>1</v>
      </c>
      <c r="X854" s="188" t="inlineStr">
        <is>
          <t>LOW (40%)</t>
        </is>
      </c>
      <c r="Y854" s="188" t="inlineStr">
        <is>
          <t>UNLIKELY</t>
        </is>
      </c>
      <c r="Z854" s="188" t="inlineStr">
        <is>
          <t>CHECK_VENDOR</t>
        </is>
      </c>
      <c r="AA854" s="188" t="inlineStr">
        <is>
          <t>https://nvd.nist.gov/vuln/detail/CVE-2026-26228</t>
        </is>
      </c>
      <c r="AB854" s="188" t="inlineStr">
        <is>
          <t>NONE</t>
        </is>
      </c>
      <c r="AC854" s="188" t="n">
        <v>0</v>
      </c>
      <c r="AD854" s="188" t="inlineStr"/>
    </row>
    <row r="855">
      <c r="A855" s="187" t="inlineStr">
        <is>
          <t>CVE</t>
        </is>
      </c>
      <c r="B855" s="187" t="inlineStr">
        <is>
          <t>CVE-2026-26265</t>
        </is>
      </c>
      <c r="C855" s="187"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855" s="187" t="n">
        <v>7.5</v>
      </c>
      <c r="E855" s="187" t="inlineStr">
        <is>
          <t>HIGH</t>
        </is>
      </c>
      <c r="F855" s="187" t="n">
        <v>2</v>
      </c>
      <c r="G855" s="187" t="n">
        <v>3</v>
      </c>
      <c r="H855" s="187" t="inlineStr">
        <is>
          <t>HIGH</t>
        </is>
      </c>
      <c r="I855" s="187" t="n">
        <v>13.5</v>
      </c>
      <c r="J855" s="187" t="inlineStr">
        <is>
          <t>NO</t>
        </is>
      </c>
      <c r="K855" s="187" t="inlineStr">
        <is>
          <t>https://nvd.nist.gov/vuln/detail/CVE-2026-26265</t>
        </is>
      </c>
      <c r="L855" s="187" t="inlineStr">
        <is>
          <t>2026-02-27 20:47</t>
        </is>
      </c>
      <c r="M855" s="187" t="inlineStr">
        <is>
          <t>CHECK_VENDOR</t>
        </is>
      </c>
      <c r="N855" s="187" t="inlineStr">
        <is>
          <t>See NVD references</t>
        </is>
      </c>
      <c r="O855" s="187" t="inlineStr">
        <is>
          <t>Apply vendor patches</t>
        </is>
      </c>
      <c r="P855" s="187" t="inlineStr">
        <is>
          <t>See CVE details</t>
        </is>
      </c>
      <c r="Q855" s="187" t="inlineStr">
        <is>
          <t>P3</t>
        </is>
      </c>
      <c r="R855" s="187" t="inlineStr">
        <is>
          <t>🚨 URGENT: Apply vendor patches immediately | 🔒 Isolate affected systems if patch unavailable | 🛡️ Enable additional monitoring/IDS rules</t>
        </is>
      </c>
      <c r="S855" s="187" t="inlineStr">
        <is>
          <t>CVE - IP enrichment n/a</t>
        </is>
      </c>
      <c r="T855" s="187" t="n">
        <v>0.0003</v>
      </c>
      <c r="U855" s="187" t="n">
        <v>0.0887</v>
      </c>
      <c r="V855" s="187" t="inlineStr">
        <is>
          <t>T1190:Exploit Public-Facing Application</t>
        </is>
      </c>
      <c r="W855" s="187" t="n">
        <v>1</v>
      </c>
      <c r="X855" s="187" t="inlineStr">
        <is>
          <t>LOW (40%)</t>
        </is>
      </c>
      <c r="Y855" s="187" t="inlineStr">
        <is>
          <t>UNLIKELY</t>
        </is>
      </c>
      <c r="Z855" s="187" t="inlineStr">
        <is>
          <t>CHECK_VENDOR</t>
        </is>
      </c>
      <c r="AA855" s="187" t="inlineStr">
        <is>
          <t>https://nvd.nist.gov/vuln/detail/CVE-2026-26265</t>
        </is>
      </c>
      <c r="AB855" s="187" t="inlineStr">
        <is>
          <t>NONE</t>
        </is>
      </c>
      <c r="AC855" s="187" t="n">
        <v>0</v>
      </c>
      <c r="AD855" s="187" t="inlineStr"/>
    </row>
    <row r="856">
      <c r="A856" s="188" t="inlineStr">
        <is>
          <t>CVE</t>
        </is>
      </c>
      <c r="B856" s="188" t="inlineStr">
        <is>
          <t>CVE-2026-28295</t>
        </is>
      </c>
      <c r="C856" s="188"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856" s="188" t="n">
        <v>4.3</v>
      </c>
      <c r="E856" s="188" t="inlineStr">
        <is>
          <t>MEDIUM</t>
        </is>
      </c>
      <c r="F856" s="188" t="n">
        <v>2</v>
      </c>
      <c r="G856" s="188" t="n">
        <v>2</v>
      </c>
      <c r="H856" s="188" t="inlineStr">
        <is>
          <t>MEDIUM</t>
        </is>
      </c>
      <c r="I856" s="188" t="n">
        <v>8.300000000000001</v>
      </c>
      <c r="J856" s="188" t="inlineStr">
        <is>
          <t>NO</t>
        </is>
      </c>
      <c r="K856" s="188" t="inlineStr">
        <is>
          <t>https://nvd.nist.gov/vuln/detail/CVE-2026-28295</t>
        </is>
      </c>
      <c r="L856" s="188" t="inlineStr">
        <is>
          <t>2026-02-27 20:47</t>
        </is>
      </c>
      <c r="M856" s="188" t="inlineStr">
        <is>
          <t>CHECK_VENDOR</t>
        </is>
      </c>
      <c r="N856" s="188" t="inlineStr">
        <is>
          <t>See NVD references</t>
        </is>
      </c>
      <c r="O856" s="188" t="inlineStr">
        <is>
          <t>Apply vendor patches</t>
        </is>
      </c>
      <c r="P856" s="188" t="inlineStr">
        <is>
          <t>See CVE details</t>
        </is>
      </c>
      <c r="Q856" s="188" t="inlineStr">
        <is>
          <t>P4</t>
        </is>
      </c>
      <c r="R856" s="188" t="inlineStr">
        <is>
          <t>📅 Schedule patch deployment within 30 days | 🔍 Monitor for exploitation attempts</t>
        </is>
      </c>
      <c r="S856" s="188" t="inlineStr">
        <is>
          <t>CVE - IP enrichment n/a</t>
        </is>
      </c>
      <c r="T856" s="188" t="n">
        <v>0.0003</v>
      </c>
      <c r="U856" s="188" t="n">
        <v>0.0772</v>
      </c>
      <c r="V856" s="188" t="inlineStr">
        <is>
          <t>T1090:Proxy</t>
        </is>
      </c>
      <c r="W856" s="188" t="n">
        <v>1</v>
      </c>
      <c r="X856" s="188" t="inlineStr">
        <is>
          <t>LOW (40%)</t>
        </is>
      </c>
      <c r="Y856" s="188" t="inlineStr">
        <is>
          <t>UNLIKELY</t>
        </is>
      </c>
      <c r="Z856" s="188" t="inlineStr">
        <is>
          <t>CHECK_VENDOR</t>
        </is>
      </c>
      <c r="AA856" s="188" t="inlineStr">
        <is>
          <t>https://nvd.nist.gov/vuln/detail/CVE-2026-28295</t>
        </is>
      </c>
      <c r="AB856" s="188" t="inlineStr">
        <is>
          <t>NONE</t>
        </is>
      </c>
      <c r="AC856" s="188" t="n">
        <v>0</v>
      </c>
      <c r="AD856" s="188" t="inlineStr"/>
    </row>
    <row r="857">
      <c r="A857" s="188" t="inlineStr">
        <is>
          <t>CVE</t>
        </is>
      </c>
      <c r="B857" s="188" t="inlineStr">
        <is>
          <t>CVE-2026-28296</t>
        </is>
      </c>
      <c r="C857" s="188"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857" s="188" t="n">
        <v>4.3</v>
      </c>
      <c r="E857" s="188" t="inlineStr">
        <is>
          <t>MEDIUM</t>
        </is>
      </c>
      <c r="F857" s="188" t="n">
        <v>2</v>
      </c>
      <c r="G857" s="188" t="n">
        <v>2</v>
      </c>
      <c r="H857" s="188" t="inlineStr">
        <is>
          <t>MEDIUM</t>
        </is>
      </c>
      <c r="I857" s="188" t="n">
        <v>8.300000000000001</v>
      </c>
      <c r="J857" s="188" t="inlineStr">
        <is>
          <t>NO</t>
        </is>
      </c>
      <c r="K857" s="188" t="inlineStr">
        <is>
          <t>https://nvd.nist.gov/vuln/detail/CVE-2026-28296</t>
        </is>
      </c>
      <c r="L857" s="188" t="inlineStr">
        <is>
          <t>2026-02-27 20:47</t>
        </is>
      </c>
      <c r="M857" s="188" t="inlineStr">
        <is>
          <t>CHECK_VENDOR</t>
        </is>
      </c>
      <c r="N857" s="188" t="inlineStr">
        <is>
          <t>See NVD references</t>
        </is>
      </c>
      <c r="O857" s="188" t="inlineStr">
        <is>
          <t>Apply vendor patches</t>
        </is>
      </c>
      <c r="P857" s="188" t="inlineStr">
        <is>
          <t>See CVE details</t>
        </is>
      </c>
      <c r="Q857" s="188" t="inlineStr">
        <is>
          <t>P4</t>
        </is>
      </c>
      <c r="R857" s="188" t="inlineStr">
        <is>
          <t>📅 Schedule patch deployment within 30 days | 🔍 Monitor for exploitation attempts</t>
        </is>
      </c>
      <c r="S857" s="188" t="inlineStr">
        <is>
          <t>CVE - IP enrichment n/a</t>
        </is>
      </c>
      <c r="T857" s="188" t="n">
        <v>0.0005999999999999999</v>
      </c>
      <c r="U857" s="188" t="n">
        <v>0.1726</v>
      </c>
      <c r="V857" s="188" t="inlineStr">
        <is>
          <t>T1203:Exploitation for Client Execution</t>
        </is>
      </c>
      <c r="W857" s="188" t="n">
        <v>1</v>
      </c>
      <c r="X857" s="188" t="inlineStr">
        <is>
          <t>LOW (40%)</t>
        </is>
      </c>
      <c r="Y857" s="188" t="inlineStr">
        <is>
          <t>UNLIKELY</t>
        </is>
      </c>
      <c r="Z857" s="188" t="inlineStr">
        <is>
          <t>CHECK_VENDOR</t>
        </is>
      </c>
      <c r="AA857" s="188" t="inlineStr">
        <is>
          <t>https://nvd.nist.gov/vuln/detail/CVE-2026-28296</t>
        </is>
      </c>
      <c r="AB857" s="188" t="inlineStr">
        <is>
          <t>NONE</t>
        </is>
      </c>
      <c r="AC857" s="188" t="n">
        <v>0</v>
      </c>
      <c r="AD857" s="188" t="inlineStr"/>
    </row>
    <row r="858">
      <c r="A858" s="189" t="inlineStr">
        <is>
          <t>CVE</t>
        </is>
      </c>
      <c r="B858" s="189" t="inlineStr">
        <is>
          <t>CVE-2025-50857</t>
        </is>
      </c>
      <c r="C858" s="189" t="inlineStr">
        <is>
          <t>ZenTaoPMS v18.11 through v21.6.beta is vulnerable to Directory Traversal in /module/ai/control.php. This allows attackers to execute arbitrary code via a crafted file upload</t>
        </is>
      </c>
      <c r="D858" s="189" t="n">
        <v>9.800000000000001</v>
      </c>
      <c r="E858" s="189" t="inlineStr">
        <is>
          <t>CRITICAL</t>
        </is>
      </c>
      <c r="F858" s="189" t="n">
        <v>2</v>
      </c>
      <c r="G858" s="189" t="n">
        <v>3</v>
      </c>
      <c r="H858" s="189" t="inlineStr">
        <is>
          <t>HIGH</t>
        </is>
      </c>
      <c r="I858" s="189" t="n">
        <v>15.8</v>
      </c>
      <c r="J858" s="189" t="inlineStr">
        <is>
          <t>NO</t>
        </is>
      </c>
      <c r="K858" s="189" t="inlineStr">
        <is>
          <t>https://nvd.nist.gov/vuln/detail/CVE-2025-50857</t>
        </is>
      </c>
      <c r="L858" s="189" t="inlineStr">
        <is>
          <t>2026-02-27 20:47</t>
        </is>
      </c>
      <c r="M858" s="189" t="inlineStr">
        <is>
          <t>CHECK_VENDOR</t>
        </is>
      </c>
      <c r="N858" s="189" t="inlineStr">
        <is>
          <t>See NVD references</t>
        </is>
      </c>
      <c r="O858" s="189" t="inlineStr">
        <is>
          <t>Apply vendor patches</t>
        </is>
      </c>
      <c r="P858" s="189" t="inlineStr">
        <is>
          <t>See CVE details</t>
        </is>
      </c>
      <c r="Q858" s="189" t="inlineStr">
        <is>
          <t>P3</t>
        </is>
      </c>
      <c r="R858" s="189" t="inlineStr">
        <is>
          <t>🚨 URGENT: Apply vendor patches immediately | 🔒 Isolate affected systems if patch unavailable | 🛡️ Enable additional monitoring/IDS rules</t>
        </is>
      </c>
      <c r="S858" s="189" t="inlineStr">
        <is>
          <t>CVE - IP enrichment n/a</t>
        </is>
      </c>
      <c r="T858" s="189" t="n">
        <v>0.0058</v>
      </c>
      <c r="U858" s="189" t="n">
        <v>0.6846</v>
      </c>
      <c r="V858" s="189" t="inlineStr">
        <is>
          <t>T1083:File and Directory Discovery | T1203:Exploitation for Client Execution</t>
        </is>
      </c>
      <c r="W858" s="189" t="n">
        <v>1</v>
      </c>
      <c r="X858" s="189" t="inlineStr">
        <is>
          <t>LOW (40%)</t>
        </is>
      </c>
      <c r="Y858" s="189" t="inlineStr">
        <is>
          <t>UNLIKELY</t>
        </is>
      </c>
      <c r="Z858" s="189" t="inlineStr">
        <is>
          <t>CHECK_VENDOR</t>
        </is>
      </c>
      <c r="AA858" s="189" t="inlineStr">
        <is>
          <t>https://nvd.nist.gov/vuln/detail/CVE-2025-50857</t>
        </is>
      </c>
      <c r="AB858" s="189" t="inlineStr">
        <is>
          <t>NONE</t>
        </is>
      </c>
      <c r="AC858" s="189" t="n">
        <v>0</v>
      </c>
      <c r="AD858" s="189" t="inlineStr"/>
    </row>
    <row r="859">
      <c r="A859" s="190" t="inlineStr">
        <is>
          <t>CVE</t>
        </is>
      </c>
      <c r="B859" s="190" t="inlineStr">
        <is>
          <t>CVE-2026-23747</t>
        </is>
      </c>
      <c r="C859" s="190"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859" s="190" t="n">
        <v>3.7</v>
      </c>
      <c r="E859" s="190" t="inlineStr">
        <is>
          <t>LOW</t>
        </is>
      </c>
      <c r="F859" s="190" t="n">
        <v>2</v>
      </c>
      <c r="G859" s="190" t="n">
        <v>1</v>
      </c>
      <c r="H859" s="190" t="inlineStr">
        <is>
          <t>LOW</t>
        </is>
      </c>
      <c r="I859" s="190" t="n">
        <v>5.7</v>
      </c>
      <c r="J859" s="190" t="inlineStr">
        <is>
          <t>NO</t>
        </is>
      </c>
      <c r="K859" s="190" t="inlineStr">
        <is>
          <t>https://nvd.nist.gov/vuln/detail/CVE-2026-23747</t>
        </is>
      </c>
      <c r="L859" s="190" t="inlineStr">
        <is>
          <t>2026-02-27 20:47</t>
        </is>
      </c>
      <c r="M859" s="190" t="inlineStr">
        <is>
          <t>CHECK_VENDOR</t>
        </is>
      </c>
      <c r="N859" s="190" t="inlineStr">
        <is>
          <t>See NVD references</t>
        </is>
      </c>
      <c r="O859" s="190" t="inlineStr">
        <is>
          <t>Apply vendor patches</t>
        </is>
      </c>
      <c r="P859" s="190" t="inlineStr">
        <is>
          <t>See CVE details</t>
        </is>
      </c>
      <c r="Q859" s="190" t="inlineStr">
        <is>
          <t>P4</t>
        </is>
      </c>
      <c r="R859" s="190" t="inlineStr">
        <is>
          <t>📅 Schedule patch deployment within 30 days | 🔍 Monitor for exploitation attempts</t>
        </is>
      </c>
      <c r="S859" s="190" t="inlineStr">
        <is>
          <t>CVE - IP enrichment n/a</t>
        </is>
      </c>
      <c r="T859" s="190" t="n">
        <v>0.0004</v>
      </c>
      <c r="U859" s="190" t="n">
        <v>0.1157</v>
      </c>
      <c r="V859" s="190" t="inlineStr">
        <is>
          <t>T1190:Exploit Public-Facing Application | T1203:Exploitation for Client Execution | T1499:Endpoint Denial of Service</t>
        </is>
      </c>
      <c r="W859" s="190" t="n">
        <v>1</v>
      </c>
      <c r="X859" s="190" t="inlineStr">
        <is>
          <t>LOW (40%)</t>
        </is>
      </c>
      <c r="Y859" s="190" t="inlineStr">
        <is>
          <t>UNLIKELY</t>
        </is>
      </c>
      <c r="Z859" s="190" t="inlineStr">
        <is>
          <t>CHECK_VENDOR</t>
        </is>
      </c>
      <c r="AA859" s="190" t="inlineStr">
        <is>
          <t>https://nvd.nist.gov/vuln/detail/CVE-2026-23747</t>
        </is>
      </c>
      <c r="AB859" s="190" t="inlineStr">
        <is>
          <t>NONE</t>
        </is>
      </c>
      <c r="AC859" s="190" t="n">
        <v>0</v>
      </c>
      <c r="AD859" s="190" t="inlineStr"/>
    </row>
    <row r="860">
      <c r="A860" s="190" t="inlineStr">
        <is>
          <t>CVE</t>
        </is>
      </c>
      <c r="B860" s="190" t="inlineStr">
        <is>
          <t>CVE-2026-23748</t>
        </is>
      </c>
      <c r="C860" s="190"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860" s="190" t="n">
        <v>3.7</v>
      </c>
      <c r="E860" s="190" t="inlineStr">
        <is>
          <t>LOW</t>
        </is>
      </c>
      <c r="F860" s="190" t="n">
        <v>2</v>
      </c>
      <c r="G860" s="190" t="n">
        <v>1</v>
      </c>
      <c r="H860" s="190" t="inlineStr">
        <is>
          <t>LOW</t>
        </is>
      </c>
      <c r="I860" s="190" t="n">
        <v>5.7</v>
      </c>
      <c r="J860" s="190" t="inlineStr">
        <is>
          <t>NO</t>
        </is>
      </c>
      <c r="K860" s="190" t="inlineStr">
        <is>
          <t>https://nvd.nist.gov/vuln/detail/CVE-2026-23748</t>
        </is>
      </c>
      <c r="L860" s="190" t="inlineStr">
        <is>
          <t>2026-02-27 20:47</t>
        </is>
      </c>
      <c r="M860" s="190" t="inlineStr">
        <is>
          <t>CHECK_VENDOR</t>
        </is>
      </c>
      <c r="N860" s="190" t="inlineStr">
        <is>
          <t>See NVD references</t>
        </is>
      </c>
      <c r="O860" s="190" t="inlineStr">
        <is>
          <t>Apply vendor patches</t>
        </is>
      </c>
      <c r="P860" s="190" t="inlineStr">
        <is>
          <t>See CVE details</t>
        </is>
      </c>
      <c r="Q860" s="190" t="inlineStr">
        <is>
          <t>P4</t>
        </is>
      </c>
      <c r="R860" s="190" t="inlineStr">
        <is>
          <t>📅 Schedule patch deployment within 30 days | 🔍 Monitor for exploitation attempts</t>
        </is>
      </c>
      <c r="S860" s="190" t="inlineStr">
        <is>
          <t>CVE - IP enrichment n/a</t>
        </is>
      </c>
      <c r="T860" s="190" t="n">
        <v>0.0003</v>
      </c>
      <c r="U860" s="190" t="n">
        <v>0.09329999999999999</v>
      </c>
      <c r="V860" s="190" t="inlineStr">
        <is>
          <t>T1499:Endpoint Denial of Service | T1203:Exploitation for Client Execution | T1557:Adversary-in-the-Middle</t>
        </is>
      </c>
      <c r="W860" s="190" t="n">
        <v>1</v>
      </c>
      <c r="X860" s="190" t="inlineStr">
        <is>
          <t>LOW (40%)</t>
        </is>
      </c>
      <c r="Y860" s="190" t="inlineStr">
        <is>
          <t>UNLIKELY</t>
        </is>
      </c>
      <c r="Z860" s="190" t="inlineStr">
        <is>
          <t>CHECK_VENDOR</t>
        </is>
      </c>
      <c r="AA860" s="190" t="inlineStr">
        <is>
          <t>https://nvd.nist.gov/vuln/detail/CVE-2026-23748</t>
        </is>
      </c>
      <c r="AB860" s="190" t="inlineStr">
        <is>
          <t>NONE</t>
        </is>
      </c>
      <c r="AC860" s="190" t="n">
        <v>0</v>
      </c>
      <c r="AD860" s="190" t="inlineStr"/>
    </row>
    <row r="861">
      <c r="A861" s="190" t="inlineStr">
        <is>
          <t>CVE</t>
        </is>
      </c>
      <c r="B861" s="190" t="inlineStr">
        <is>
          <t>CVE-2026-23749</t>
        </is>
      </c>
      <c r="C861" s="190"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861" s="190" t="n">
        <v>2.9</v>
      </c>
      <c r="E861" s="190" t="inlineStr">
        <is>
          <t>LOW</t>
        </is>
      </c>
      <c r="F861" s="190" t="n">
        <v>2</v>
      </c>
      <c r="G861" s="190" t="n">
        <v>1</v>
      </c>
      <c r="H861" s="190" t="inlineStr">
        <is>
          <t>LOW</t>
        </is>
      </c>
      <c r="I861" s="190" t="n">
        <v>4.9</v>
      </c>
      <c r="J861" s="190" t="inlineStr">
        <is>
          <t>NO</t>
        </is>
      </c>
      <c r="K861" s="190" t="inlineStr">
        <is>
          <t>https://nvd.nist.gov/vuln/detail/CVE-2026-23749</t>
        </is>
      </c>
      <c r="L861" s="190" t="inlineStr">
        <is>
          <t>2026-02-27 20:47</t>
        </is>
      </c>
      <c r="M861" s="190" t="inlineStr">
        <is>
          <t>CHECK_VENDOR</t>
        </is>
      </c>
      <c r="N861" s="190" t="inlineStr">
        <is>
          <t>See NVD references</t>
        </is>
      </c>
      <c r="O861" s="190" t="inlineStr">
        <is>
          <t>Apply vendor patches</t>
        </is>
      </c>
      <c r="P861" s="190" t="inlineStr">
        <is>
          <t>See CVE details</t>
        </is>
      </c>
      <c r="Q861" s="190" t="inlineStr">
        <is>
          <t>P4</t>
        </is>
      </c>
      <c r="R861" s="190" t="inlineStr">
        <is>
          <t>📅 Schedule patch deployment within 30 days | 🔍 Monitor for exploitation attempts</t>
        </is>
      </c>
      <c r="S861" s="190" t="inlineStr">
        <is>
          <t>CVE - IP enrichment n/a</t>
        </is>
      </c>
      <c r="T861" s="190" t="n">
        <v>0.0001</v>
      </c>
      <c r="U861" s="190" t="n">
        <v>0.0189</v>
      </c>
      <c r="V861" s="190" t="inlineStr">
        <is>
          <t>T1499:Endpoint Denial of Service | T1203:Exploitation for Client Execution</t>
        </is>
      </c>
      <c r="W861" s="190" t="n">
        <v>1</v>
      </c>
      <c r="X861" s="190" t="inlineStr">
        <is>
          <t>LOW (40%)</t>
        </is>
      </c>
      <c r="Y861" s="190" t="inlineStr">
        <is>
          <t>UNLIKELY</t>
        </is>
      </c>
      <c r="Z861" s="190" t="inlineStr">
        <is>
          <t>CHECK_VENDOR</t>
        </is>
      </c>
      <c r="AA861" s="190" t="inlineStr">
        <is>
          <t>https://nvd.nist.gov/vuln/detail/CVE-2026-23749</t>
        </is>
      </c>
      <c r="AB861" s="190" t="inlineStr">
        <is>
          <t>NONE</t>
        </is>
      </c>
      <c r="AC861" s="190" t="n">
        <v>0</v>
      </c>
      <c r="AD861" s="190" t="inlineStr"/>
    </row>
    <row r="862">
      <c r="A862" s="187" t="inlineStr">
        <is>
          <t>CVE</t>
        </is>
      </c>
      <c r="B862" s="187" t="inlineStr">
        <is>
          <t>CVE-2026-23750</t>
        </is>
      </c>
      <c r="C862" s="187"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862" s="187" t="n">
        <v>8.1</v>
      </c>
      <c r="E862" s="187" t="inlineStr">
        <is>
          <t>HIGH</t>
        </is>
      </c>
      <c r="F862" s="187" t="n">
        <v>2</v>
      </c>
      <c r="G862" s="187" t="n">
        <v>3</v>
      </c>
      <c r="H862" s="187" t="inlineStr">
        <is>
          <t>HIGH</t>
        </is>
      </c>
      <c r="I862" s="187" t="n">
        <v>14.1</v>
      </c>
      <c r="J862" s="187" t="inlineStr">
        <is>
          <t>NO</t>
        </is>
      </c>
      <c r="K862" s="187" t="inlineStr">
        <is>
          <t>https://nvd.nist.gov/vuln/detail/CVE-2026-23750</t>
        </is>
      </c>
      <c r="L862" s="187" t="inlineStr">
        <is>
          <t>2026-02-27 20:47</t>
        </is>
      </c>
      <c r="M862" s="187" t="inlineStr">
        <is>
          <t>CHECK_VENDOR</t>
        </is>
      </c>
      <c r="N862" s="187" t="inlineStr">
        <is>
          <t>See NVD references</t>
        </is>
      </c>
      <c r="O862" s="187" t="inlineStr">
        <is>
          <t>Apply vendor patches</t>
        </is>
      </c>
      <c r="P862" s="187" t="inlineStr">
        <is>
          <t>See CVE details</t>
        </is>
      </c>
      <c r="Q862" s="187" t="inlineStr">
        <is>
          <t>P3</t>
        </is>
      </c>
      <c r="R862" s="187" t="inlineStr">
        <is>
          <t>🚨 URGENT: Apply vendor patches immediately | 🔒 Isolate affected systems if patch unavailable | 🛡️ Enable additional monitoring/IDS rules</t>
        </is>
      </c>
      <c r="S862" s="187" t="inlineStr">
        <is>
          <t>CVE - IP enrichment n/a</t>
        </is>
      </c>
      <c r="T862" s="187" t="n">
        <v>0.0001</v>
      </c>
      <c r="U862" s="187" t="n">
        <v>0.0127</v>
      </c>
      <c r="V862" s="187" t="inlineStr">
        <is>
          <t>T1203:Exploitation for Client Execution</t>
        </is>
      </c>
      <c r="W862" s="187" t="n">
        <v>1</v>
      </c>
      <c r="X862" s="187" t="inlineStr">
        <is>
          <t>LOW (40%)</t>
        </is>
      </c>
      <c r="Y862" s="187" t="inlineStr">
        <is>
          <t>UNLIKELY</t>
        </is>
      </c>
      <c r="Z862" s="187" t="inlineStr">
        <is>
          <t>CHECK_VENDOR</t>
        </is>
      </c>
      <c r="AA862" s="187" t="inlineStr">
        <is>
          <t>https://nvd.nist.gov/vuln/detail/CVE-2026-23750</t>
        </is>
      </c>
      <c r="AB862" s="187" t="inlineStr">
        <is>
          <t>NONE</t>
        </is>
      </c>
      <c r="AC862" s="187" t="n">
        <v>0</v>
      </c>
      <c r="AD862" s="187" t="inlineStr"/>
    </row>
    <row r="863">
      <c r="A863" s="187" t="inlineStr">
        <is>
          <t>CVE</t>
        </is>
      </c>
      <c r="B863" s="187" t="inlineStr">
        <is>
          <t>CVE-2026-26227</t>
        </is>
      </c>
      <c r="C863" s="187"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863" s="187" t="n">
        <v>8.5</v>
      </c>
      <c r="E863" s="187" t="inlineStr">
        <is>
          <t>HIGH</t>
        </is>
      </c>
      <c r="F863" s="187" t="n">
        <v>2</v>
      </c>
      <c r="G863" s="187" t="n">
        <v>3</v>
      </c>
      <c r="H863" s="187" t="inlineStr">
        <is>
          <t>HIGH</t>
        </is>
      </c>
      <c r="I863" s="187" t="n">
        <v>14.5</v>
      </c>
      <c r="J863" s="187" t="inlineStr">
        <is>
          <t>NO</t>
        </is>
      </c>
      <c r="K863" s="187" t="inlineStr">
        <is>
          <t>https://nvd.nist.gov/vuln/detail/CVE-2026-26227</t>
        </is>
      </c>
      <c r="L863" s="187" t="inlineStr">
        <is>
          <t>2026-02-27 20:47</t>
        </is>
      </c>
      <c r="M863" s="187" t="inlineStr">
        <is>
          <t>CHECK_VENDOR</t>
        </is>
      </c>
      <c r="N863" s="187" t="inlineStr">
        <is>
          <t>See NVD references</t>
        </is>
      </c>
      <c r="O863" s="187" t="inlineStr">
        <is>
          <t>Apply vendor patches</t>
        </is>
      </c>
      <c r="P863" s="187" t="inlineStr">
        <is>
          <t>See CVE details</t>
        </is>
      </c>
      <c r="Q863" s="187" t="inlineStr">
        <is>
          <t>P3</t>
        </is>
      </c>
      <c r="R863" s="187" t="inlineStr">
        <is>
          <t>🚨 URGENT: Apply vendor patches immediately | 🔒 Isolate affected systems if patch unavailable | 🛡️ Enable additional monitoring/IDS rules</t>
        </is>
      </c>
      <c r="S863" s="187" t="inlineStr">
        <is>
          <t>CVE - IP enrichment n/a</t>
        </is>
      </c>
      <c r="T863" s="187" t="n">
        <v>0.0013</v>
      </c>
      <c r="U863" s="187" t="n">
        <v>0.321</v>
      </c>
      <c r="V863" s="187" t="inlineStr">
        <is>
          <t>T1190:Exploit Public-Facing Application | T1078:Valid Accounts</t>
        </is>
      </c>
      <c r="W863" s="187" t="n">
        <v>1</v>
      </c>
      <c r="X863" s="187" t="inlineStr">
        <is>
          <t>LOW (40%)</t>
        </is>
      </c>
      <c r="Y863" s="187" t="inlineStr">
        <is>
          <t>UNLIKELY</t>
        </is>
      </c>
      <c r="Z863" s="187" t="inlineStr">
        <is>
          <t>CHECK_VENDOR</t>
        </is>
      </c>
      <c r="AA863" s="187" t="inlineStr">
        <is>
          <t>https://nvd.nist.gov/vuln/detail/CVE-2026-26227</t>
        </is>
      </c>
      <c r="AB863" s="187" t="inlineStr">
        <is>
          <t>NONE</t>
        </is>
      </c>
      <c r="AC863" s="187" t="n">
        <v>0</v>
      </c>
      <c r="AD863" s="187" t="inlineStr"/>
    </row>
    <row r="864">
      <c r="A864" s="187" t="inlineStr">
        <is>
          <t>CVE</t>
        </is>
      </c>
      <c r="B864" s="187" t="inlineStr">
        <is>
          <t>CVE-2026-26682</t>
        </is>
      </c>
      <c r="C864" s="187" t="inlineStr">
        <is>
          <t>An issue in fastCMS before v.0.1.6 allows a local attacker to execute arbitrary code via the PluginController.java component</t>
        </is>
      </c>
      <c r="D864" s="187" t="n">
        <v>7.8</v>
      </c>
      <c r="E864" s="187" t="inlineStr">
        <is>
          <t>HIGH</t>
        </is>
      </c>
      <c r="F864" s="187" t="n">
        <v>2</v>
      </c>
      <c r="G864" s="187" t="n">
        <v>3</v>
      </c>
      <c r="H864" s="187" t="inlineStr">
        <is>
          <t>HIGH</t>
        </is>
      </c>
      <c r="I864" s="187" t="n">
        <v>13.8</v>
      </c>
      <c r="J864" s="187" t="inlineStr">
        <is>
          <t>NO</t>
        </is>
      </c>
      <c r="K864" s="187" t="inlineStr">
        <is>
          <t>https://nvd.nist.gov/vuln/detail/CVE-2026-26682</t>
        </is>
      </c>
      <c r="L864" s="187" t="inlineStr">
        <is>
          <t>2026-02-27 20:47</t>
        </is>
      </c>
      <c r="M864" s="187" t="inlineStr">
        <is>
          <t>CHECK_VENDOR</t>
        </is>
      </c>
      <c r="N864" s="187" t="inlineStr">
        <is>
          <t>See NVD references</t>
        </is>
      </c>
      <c r="O864" s="187" t="inlineStr">
        <is>
          <t>Apply vendor patches</t>
        </is>
      </c>
      <c r="P864" s="187" t="inlineStr">
        <is>
          <t>See CVE details</t>
        </is>
      </c>
      <c r="Q864" s="187" t="inlineStr">
        <is>
          <t>P3</t>
        </is>
      </c>
      <c r="R864" s="187" t="inlineStr">
        <is>
          <t>🚨 URGENT: Apply vendor patches immediately | 🔒 Isolate affected systems if patch unavailable | 🛡️ Enable additional monitoring/IDS rules</t>
        </is>
      </c>
      <c r="S864" s="187" t="inlineStr">
        <is>
          <t>CVE - IP enrichment n/a</t>
        </is>
      </c>
      <c r="T864" s="187" t="n">
        <v>0.0002</v>
      </c>
      <c r="U864" s="187" t="n">
        <v>0.0532</v>
      </c>
      <c r="V864" s="187" t="inlineStr">
        <is>
          <t>T1059:Command and Scripting Interpreter | T1203:Exploitation for Client Execution</t>
        </is>
      </c>
      <c r="W864" s="187" t="n">
        <v>1</v>
      </c>
      <c r="X864" s="187" t="inlineStr">
        <is>
          <t>LOW (40%)</t>
        </is>
      </c>
      <c r="Y864" s="187" t="inlineStr">
        <is>
          <t>UNLIKELY</t>
        </is>
      </c>
      <c r="Z864" s="187" t="inlineStr">
        <is>
          <t>CHECK_VENDOR</t>
        </is>
      </c>
      <c r="AA864" s="187" t="inlineStr">
        <is>
          <t>https://nvd.nist.gov/vuln/detail/CVE-2026-26682</t>
        </is>
      </c>
      <c r="AB864" s="187" t="inlineStr">
        <is>
          <t>NONE</t>
        </is>
      </c>
      <c r="AC864" s="187" t="n">
        <v>0</v>
      </c>
      <c r="AD864" s="187" t="inlineStr"/>
    </row>
    <row r="865">
      <c r="A865" s="188" t="inlineStr">
        <is>
          <t>CVE</t>
        </is>
      </c>
      <c r="B865" s="188" t="inlineStr">
        <is>
          <t>CVE-2026-26932</t>
        </is>
      </c>
      <c r="C865" s="188"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865" s="188" t="n">
        <v>5.7</v>
      </c>
      <c r="E865" s="188" t="inlineStr">
        <is>
          <t>MEDIUM</t>
        </is>
      </c>
      <c r="F865" s="188" t="n">
        <v>2</v>
      </c>
      <c r="G865" s="188" t="n">
        <v>2</v>
      </c>
      <c r="H865" s="188" t="inlineStr">
        <is>
          <t>MEDIUM</t>
        </is>
      </c>
      <c r="I865" s="188" t="n">
        <v>9.699999999999999</v>
      </c>
      <c r="J865" s="188" t="inlineStr">
        <is>
          <t>NO</t>
        </is>
      </c>
      <c r="K865" s="188" t="inlineStr">
        <is>
          <t>https://nvd.nist.gov/vuln/detail/CVE-2026-26932</t>
        </is>
      </c>
      <c r="L865" s="188" t="inlineStr">
        <is>
          <t>2026-02-27 20:47</t>
        </is>
      </c>
      <c r="M865" s="188" t="inlineStr">
        <is>
          <t>CHECK_VENDOR</t>
        </is>
      </c>
      <c r="N865" s="188" t="inlineStr">
        <is>
          <t>See NVD references</t>
        </is>
      </c>
      <c r="O865" s="188" t="inlineStr">
        <is>
          <t>Apply vendor patches</t>
        </is>
      </c>
      <c r="P865" s="188" t="inlineStr">
        <is>
          <t>See CVE details</t>
        </is>
      </c>
      <c r="Q865" s="188" t="inlineStr">
        <is>
          <t>P4</t>
        </is>
      </c>
      <c r="R865" s="188" t="inlineStr">
        <is>
          <t>📅 Schedule patch deployment within 30 days | 🔍 Monitor for exploitation attempts</t>
        </is>
      </c>
      <c r="S865" s="188" t="inlineStr">
        <is>
          <t>CVE - IP enrichment n/a</t>
        </is>
      </c>
      <c r="T865" s="188" t="n">
        <v>0.0001</v>
      </c>
      <c r="U865" s="188" t="n">
        <v>0.007900000000000001</v>
      </c>
      <c r="V865" s="188" t="inlineStr">
        <is>
          <t>T1499:Endpoint Denial of Service</t>
        </is>
      </c>
      <c r="W865" s="188" t="n">
        <v>1</v>
      </c>
      <c r="X865" s="188" t="inlineStr">
        <is>
          <t>LOW (40%)</t>
        </is>
      </c>
      <c r="Y865" s="188" t="inlineStr">
        <is>
          <t>UNLIKELY</t>
        </is>
      </c>
      <c r="Z865" s="188" t="inlineStr">
        <is>
          <t>CHECK_VENDOR</t>
        </is>
      </c>
      <c r="AA865" s="188" t="inlineStr">
        <is>
          <t>https://nvd.nist.gov/vuln/detail/CVE-2026-26932</t>
        </is>
      </c>
      <c r="AB865" s="188" t="inlineStr">
        <is>
          <t>NONE</t>
        </is>
      </c>
      <c r="AC865" s="188" t="n">
        <v>0</v>
      </c>
      <c r="AD865" s="188" t="inlineStr"/>
    </row>
    <row r="866">
      <c r="A866" s="188" t="inlineStr">
        <is>
          <t>CVE</t>
        </is>
      </c>
      <c r="B866" s="188" t="inlineStr">
        <is>
          <t>CVE-2026-26934</t>
        </is>
      </c>
      <c r="C866" s="188"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866" s="188" t="n">
        <v>6.5</v>
      </c>
      <c r="E866" s="188" t="inlineStr">
        <is>
          <t>MEDIUM</t>
        </is>
      </c>
      <c r="F866" s="188" t="n">
        <v>2</v>
      </c>
      <c r="G866" s="188" t="n">
        <v>2</v>
      </c>
      <c r="H866" s="188" t="inlineStr">
        <is>
          <t>MEDIUM</t>
        </is>
      </c>
      <c r="I866" s="188" t="n">
        <v>10.5</v>
      </c>
      <c r="J866" s="188" t="inlineStr">
        <is>
          <t>NO</t>
        </is>
      </c>
      <c r="K866" s="188" t="inlineStr">
        <is>
          <t>https://nvd.nist.gov/vuln/detail/CVE-2026-26934</t>
        </is>
      </c>
      <c r="L866" s="188" t="inlineStr">
        <is>
          <t>2026-02-27 20:47</t>
        </is>
      </c>
      <c r="M866" s="188" t="inlineStr">
        <is>
          <t>CHECK_VENDOR</t>
        </is>
      </c>
      <c r="N866" s="188" t="inlineStr">
        <is>
          <t>See NVD references</t>
        </is>
      </c>
      <c r="O866" s="188" t="inlineStr">
        <is>
          <t>Apply vendor patches</t>
        </is>
      </c>
      <c r="P866" s="188" t="inlineStr">
        <is>
          <t>See CVE details</t>
        </is>
      </c>
      <c r="Q866" s="188" t="inlineStr">
        <is>
          <t>P4</t>
        </is>
      </c>
      <c r="R866" s="188" t="inlineStr">
        <is>
          <t>📅 Schedule patch deployment within 30 days | 🔍 Monitor for exploitation attempts</t>
        </is>
      </c>
      <c r="S866" s="188" t="inlineStr">
        <is>
          <t>CVE - IP enrichment n/a</t>
        </is>
      </c>
      <c r="T866" s="188" t="n">
        <v>0.0004</v>
      </c>
      <c r="U866" s="188" t="n">
        <v>0.1335</v>
      </c>
      <c r="V866" s="188" t="inlineStr">
        <is>
          <t>T1190:Exploit Public-Facing Application | T1499:Endpoint Denial of Service</t>
        </is>
      </c>
      <c r="W866" s="188" t="n">
        <v>1</v>
      </c>
      <c r="X866" s="188" t="inlineStr">
        <is>
          <t>LOW (40%)</t>
        </is>
      </c>
      <c r="Y866" s="188" t="inlineStr">
        <is>
          <t>UNLIKELY</t>
        </is>
      </c>
      <c r="Z866" s="188" t="inlineStr">
        <is>
          <t>CHECK_VENDOR</t>
        </is>
      </c>
      <c r="AA866" s="188" t="inlineStr">
        <is>
          <t>https://nvd.nist.gov/vuln/detail/CVE-2026-26934</t>
        </is>
      </c>
      <c r="AB866" s="188" t="inlineStr">
        <is>
          <t>NONE</t>
        </is>
      </c>
      <c r="AC866" s="188" t="n">
        <v>0</v>
      </c>
      <c r="AD866" s="188" t="inlineStr"/>
    </row>
    <row r="867">
      <c r="A867" s="188" t="inlineStr">
        <is>
          <t>CVE</t>
        </is>
      </c>
      <c r="B867" s="188" t="inlineStr">
        <is>
          <t>CVE-2026-26935</t>
        </is>
      </c>
      <c r="C867" s="188" t="inlineStr">
        <is>
          <t>Improper Input Validation (CWE-20) in the internal Content Connectors search endpoint in Kibana can lead Denial of Service via Input Data Manipulation (CAPEC-153)</t>
        </is>
      </c>
      <c r="D867" s="188" t="n">
        <v>6.5</v>
      </c>
      <c r="E867" s="188" t="inlineStr">
        <is>
          <t>MEDIUM</t>
        </is>
      </c>
      <c r="F867" s="188" t="n">
        <v>2</v>
      </c>
      <c r="G867" s="188" t="n">
        <v>2</v>
      </c>
      <c r="H867" s="188" t="inlineStr">
        <is>
          <t>MEDIUM</t>
        </is>
      </c>
      <c r="I867" s="188" t="n">
        <v>10.5</v>
      </c>
      <c r="J867" s="188" t="inlineStr">
        <is>
          <t>NO</t>
        </is>
      </c>
      <c r="K867" s="188" t="inlineStr">
        <is>
          <t>https://nvd.nist.gov/vuln/detail/CVE-2026-26935</t>
        </is>
      </c>
      <c r="L867" s="188" t="inlineStr">
        <is>
          <t>2026-02-27 20:47</t>
        </is>
      </c>
      <c r="M867" s="188" t="inlineStr">
        <is>
          <t>CHECK_VENDOR</t>
        </is>
      </c>
      <c r="N867" s="188" t="inlineStr">
        <is>
          <t>See NVD references</t>
        </is>
      </c>
      <c r="O867" s="188" t="inlineStr">
        <is>
          <t>Apply vendor patches</t>
        </is>
      </c>
      <c r="P867" s="188" t="inlineStr">
        <is>
          <t>See CVE details</t>
        </is>
      </c>
      <c r="Q867" s="188" t="inlineStr">
        <is>
          <t>P4</t>
        </is>
      </c>
      <c r="R867" s="188" t="inlineStr">
        <is>
          <t>📅 Schedule patch deployment within 30 days | 🔍 Monitor for exploitation attempts</t>
        </is>
      </c>
      <c r="S867" s="188" t="inlineStr">
        <is>
          <t>CVE - IP enrichment n/a</t>
        </is>
      </c>
      <c r="T867" s="188" t="n">
        <v>0.0004</v>
      </c>
      <c r="U867" s="188" t="n">
        <v>0.1335</v>
      </c>
      <c r="V867" s="188" t="inlineStr">
        <is>
          <t>T1499:Endpoint Denial of Service</t>
        </is>
      </c>
      <c r="W867" s="188" t="n">
        <v>1</v>
      </c>
      <c r="X867" s="188" t="inlineStr">
        <is>
          <t>LOW (40%)</t>
        </is>
      </c>
      <c r="Y867" s="188" t="inlineStr">
        <is>
          <t>UNLIKELY</t>
        </is>
      </c>
      <c r="Z867" s="188" t="inlineStr">
        <is>
          <t>CHECK_VENDOR</t>
        </is>
      </c>
      <c r="AA867" s="188" t="inlineStr">
        <is>
          <t>https://nvd.nist.gov/vuln/detail/CVE-2026-26935</t>
        </is>
      </c>
      <c r="AB867" s="188" t="inlineStr">
        <is>
          <t>NONE</t>
        </is>
      </c>
      <c r="AC867" s="188" t="n">
        <v>0</v>
      </c>
      <c r="AD867" s="188" t="inlineStr"/>
    </row>
    <row r="868">
      <c r="A868" s="188" t="inlineStr">
        <is>
          <t>CVE</t>
        </is>
      </c>
      <c r="B868" s="188" t="inlineStr">
        <is>
          <t>CVE-2026-26936</t>
        </is>
      </c>
      <c r="C868" s="188" t="inlineStr">
        <is>
          <t>Inefficient Regular Expression Complexity (CWE-1333) in the AI Inference Anonymization Engine in Kibana can lead Denial of Service via Regular Expression Exponential Blowup (CAPEC-492).</t>
        </is>
      </c>
      <c r="D868" s="188" t="n">
        <v>4.9</v>
      </c>
      <c r="E868" s="188" t="inlineStr">
        <is>
          <t>MEDIUM</t>
        </is>
      </c>
      <c r="F868" s="188" t="n">
        <v>2</v>
      </c>
      <c r="G868" s="188" t="n">
        <v>2</v>
      </c>
      <c r="H868" s="188" t="inlineStr">
        <is>
          <t>MEDIUM</t>
        </is>
      </c>
      <c r="I868" s="188" t="n">
        <v>8.9</v>
      </c>
      <c r="J868" s="188" t="inlineStr">
        <is>
          <t>NO</t>
        </is>
      </c>
      <c r="K868" s="188" t="inlineStr">
        <is>
          <t>https://nvd.nist.gov/vuln/detail/CVE-2026-26936</t>
        </is>
      </c>
      <c r="L868" s="188" t="inlineStr">
        <is>
          <t>2026-02-27 20:47</t>
        </is>
      </c>
      <c r="M868" s="188" t="inlineStr">
        <is>
          <t>CHECK_VENDOR</t>
        </is>
      </c>
      <c r="N868" s="188" t="inlineStr">
        <is>
          <t>See NVD references</t>
        </is>
      </c>
      <c r="O868" s="188" t="inlineStr">
        <is>
          <t>Apply vendor patches</t>
        </is>
      </c>
      <c r="P868" s="188" t="inlineStr">
        <is>
          <t>See CVE details</t>
        </is>
      </c>
      <c r="Q868" s="188" t="inlineStr">
        <is>
          <t>P4</t>
        </is>
      </c>
      <c r="R868" s="188" t="inlineStr">
        <is>
          <t>📅 Schedule patch deployment within 30 days | 🔍 Monitor for exploitation attempts</t>
        </is>
      </c>
      <c r="S868" s="188" t="inlineStr">
        <is>
          <t>CVE - IP enrichment n/a</t>
        </is>
      </c>
      <c r="T868" s="188" t="n">
        <v>0.0004</v>
      </c>
      <c r="U868" s="188" t="n">
        <v>0.1065</v>
      </c>
      <c r="V868" s="188" t="inlineStr">
        <is>
          <t>T1499:Endpoint Denial of Service</t>
        </is>
      </c>
      <c r="W868" s="188" t="n">
        <v>1</v>
      </c>
      <c r="X868" s="188" t="inlineStr">
        <is>
          <t>LOW (40%)</t>
        </is>
      </c>
      <c r="Y868" s="188" t="inlineStr">
        <is>
          <t>UNLIKELY</t>
        </is>
      </c>
      <c r="Z868" s="188" t="inlineStr">
        <is>
          <t>CHECK_VENDOR</t>
        </is>
      </c>
      <c r="AA868" s="188" t="inlineStr">
        <is>
          <t>https://nvd.nist.gov/vuln/detail/CVE-2026-26936</t>
        </is>
      </c>
      <c r="AB868" s="188" t="inlineStr">
        <is>
          <t>NONE</t>
        </is>
      </c>
      <c r="AC868" s="188" t="n">
        <v>0</v>
      </c>
      <c r="AD868" s="188" t="inlineStr"/>
    </row>
    <row r="869">
      <c r="A869" s="188" t="inlineStr">
        <is>
          <t>CVE</t>
        </is>
      </c>
      <c r="B869" s="188" t="inlineStr">
        <is>
          <t>CVE-2026-22715</t>
        </is>
      </c>
      <c r="C869" s="188"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869" s="188" t="n">
        <v>5.9</v>
      </c>
      <c r="E869" s="188" t="inlineStr">
        <is>
          <t>MEDIUM</t>
        </is>
      </c>
      <c r="F869" s="188" t="n">
        <v>2</v>
      </c>
      <c r="G869" s="188" t="n">
        <v>2</v>
      </c>
      <c r="H869" s="188" t="inlineStr">
        <is>
          <t>MEDIUM</t>
        </is>
      </c>
      <c r="I869" s="188" t="n">
        <v>9.9</v>
      </c>
      <c r="J869" s="188" t="inlineStr">
        <is>
          <t>NO</t>
        </is>
      </c>
      <c r="K869" s="188" t="inlineStr">
        <is>
          <t>https://nvd.nist.gov/vuln/detail/CVE-2026-22715</t>
        </is>
      </c>
      <c r="L869" s="188" t="inlineStr">
        <is>
          <t>2026-02-27 20:47</t>
        </is>
      </c>
      <c r="M869" s="188" t="inlineStr">
        <is>
          <t>CHECK_VENDOR</t>
        </is>
      </c>
      <c r="N869" s="188" t="inlineStr">
        <is>
          <t>See NVD references</t>
        </is>
      </c>
      <c r="O869" s="188" t="inlineStr">
        <is>
          <t>Apply vendor patches</t>
        </is>
      </c>
      <c r="P869" s="188" t="inlineStr">
        <is>
          <t>See CVE details</t>
        </is>
      </c>
      <c r="Q869" s="188" t="inlineStr">
        <is>
          <t>P4</t>
        </is>
      </c>
      <c r="R869" s="188" t="inlineStr">
        <is>
          <t>📅 Schedule patch deployment within 30 days | 🔍 Monitor for exploitation attempts</t>
        </is>
      </c>
      <c r="S869" s="188" t="inlineStr">
        <is>
          <t>CVE - IP enrichment n/a</t>
        </is>
      </c>
      <c r="T869" s="188" t="n">
        <v>0.0002</v>
      </c>
      <c r="U869" s="188" t="n">
        <v>0.0416</v>
      </c>
      <c r="V869" s="188" t="inlineStr">
        <is>
          <t>T1190:Exploit Public-Facing Application</t>
        </is>
      </c>
      <c r="W869" s="188" t="n">
        <v>1</v>
      </c>
      <c r="X869" s="188" t="inlineStr">
        <is>
          <t>LOW (40%)</t>
        </is>
      </c>
      <c r="Y869" s="188" t="inlineStr">
        <is>
          <t>UNLIKELY</t>
        </is>
      </c>
      <c r="Z869" s="188" t="inlineStr">
        <is>
          <t>CHECK_VENDOR</t>
        </is>
      </c>
      <c r="AA869" s="188" t="inlineStr">
        <is>
          <t>https://nvd.nist.gov/vuln/detail/CVE-2026-22715</t>
        </is>
      </c>
      <c r="AB869" s="188" t="inlineStr">
        <is>
          <t>NONE</t>
        </is>
      </c>
      <c r="AC869" s="188" t="n">
        <v>0</v>
      </c>
      <c r="AD869" s="188" t="inlineStr"/>
    </row>
    <row r="870">
      <c r="A870" s="188" t="inlineStr">
        <is>
          <t>CVE</t>
        </is>
      </c>
      <c r="B870" s="188" t="inlineStr">
        <is>
          <t>CVE-2026-22722</t>
        </is>
      </c>
      <c r="C870" s="188" t="inlineStr">
        <is>
          <t>A malicious actor with authenticated user privileges on a Windows based Workstation host may be able to cause a null pointer dereference error. To Remediate CVE-2026-22722, apply the patches listed in the "Fixed version" column of the 'Response Matrix'</t>
        </is>
      </c>
      <c r="D870" s="188" t="n">
        <v>6.1</v>
      </c>
      <c r="E870" s="188" t="inlineStr">
        <is>
          <t>MEDIUM</t>
        </is>
      </c>
      <c r="F870" s="188" t="n">
        <v>2</v>
      </c>
      <c r="G870" s="188" t="n">
        <v>2</v>
      </c>
      <c r="H870" s="188" t="inlineStr">
        <is>
          <t>MEDIUM</t>
        </is>
      </c>
      <c r="I870" s="188" t="n">
        <v>10.1</v>
      </c>
      <c r="J870" s="188" t="inlineStr">
        <is>
          <t>NO</t>
        </is>
      </c>
      <c r="K870" s="188" t="inlineStr">
        <is>
          <t>https://nvd.nist.gov/vuln/detail/CVE-2026-22722</t>
        </is>
      </c>
      <c r="L870" s="188" t="inlineStr">
        <is>
          <t>2026-02-27 20:47</t>
        </is>
      </c>
      <c r="M870" s="188" t="inlineStr">
        <is>
          <t>CHECK_VENDOR</t>
        </is>
      </c>
      <c r="N870" s="188" t="inlineStr">
        <is>
          <t>See NVD references</t>
        </is>
      </c>
      <c r="O870" s="188" t="inlineStr">
        <is>
          <t>Apply vendor patches</t>
        </is>
      </c>
      <c r="P870" s="188" t="inlineStr">
        <is>
          <t>See CVE details</t>
        </is>
      </c>
      <c r="Q870" s="188" t="inlineStr">
        <is>
          <t>P4</t>
        </is>
      </c>
      <c r="R870" s="188" t="inlineStr">
        <is>
          <t>📅 Schedule patch deployment within 30 days | 🔍 Monitor for exploitation attempts</t>
        </is>
      </c>
      <c r="S870" s="188" t="inlineStr">
        <is>
          <t>CVE - IP enrichment n/a</t>
        </is>
      </c>
      <c r="T870" s="188" t="n">
        <v>0.0001</v>
      </c>
      <c r="U870" s="188" t="n">
        <v>0.0257</v>
      </c>
      <c r="V870" s="188" t="inlineStr">
        <is>
          <t>T1499:Endpoint Denial of Service</t>
        </is>
      </c>
      <c r="W870" s="188" t="n">
        <v>1</v>
      </c>
      <c r="X870" s="188" t="inlineStr">
        <is>
          <t>LOW (40%)</t>
        </is>
      </c>
      <c r="Y870" s="188" t="inlineStr">
        <is>
          <t>UNLIKELY</t>
        </is>
      </c>
      <c r="Z870" s="188" t="inlineStr">
        <is>
          <t>CHECK_VENDOR</t>
        </is>
      </c>
      <c r="AA870" s="188" t="inlineStr">
        <is>
          <t>https://nvd.nist.gov/vuln/detail/CVE-2026-22722</t>
        </is>
      </c>
      <c r="AB870" s="188" t="inlineStr">
        <is>
          <t>NONE</t>
        </is>
      </c>
      <c r="AC870" s="188" t="n">
        <v>0</v>
      </c>
      <c r="AD870" s="188" t="inlineStr"/>
    </row>
    <row r="871">
      <c r="A871" s="188" t="inlineStr">
        <is>
          <t>CVE</t>
        </is>
      </c>
      <c r="B871" s="188" t="inlineStr">
        <is>
          <t>CVE-2026-26937</t>
        </is>
      </c>
      <c r="C871" s="188" t="inlineStr">
        <is>
          <t>Uncontrolled Resource Consumption (CWE-400) in the Timelion component in Kibana can lead Denial of Service via Input Data Manipulation (CAPEC-153)</t>
        </is>
      </c>
      <c r="D871" s="188" t="n">
        <v>6.5</v>
      </c>
      <c r="E871" s="188" t="inlineStr">
        <is>
          <t>MEDIUM</t>
        </is>
      </c>
      <c r="F871" s="188" t="n">
        <v>2</v>
      </c>
      <c r="G871" s="188" t="n">
        <v>2</v>
      </c>
      <c r="H871" s="188" t="inlineStr">
        <is>
          <t>MEDIUM</t>
        </is>
      </c>
      <c r="I871" s="188" t="n">
        <v>10.5</v>
      </c>
      <c r="J871" s="188" t="inlineStr">
        <is>
          <t>NO</t>
        </is>
      </c>
      <c r="K871" s="188" t="inlineStr">
        <is>
          <t>https://nvd.nist.gov/vuln/detail/CVE-2026-26937</t>
        </is>
      </c>
      <c r="L871" s="188" t="inlineStr">
        <is>
          <t>2026-02-27 20:47</t>
        </is>
      </c>
      <c r="M871" s="188" t="inlineStr">
        <is>
          <t>CHECK_VENDOR</t>
        </is>
      </c>
      <c r="N871" s="188" t="inlineStr">
        <is>
          <t>See NVD references</t>
        </is>
      </c>
      <c r="O871" s="188" t="inlineStr">
        <is>
          <t>Apply vendor patches</t>
        </is>
      </c>
      <c r="P871" s="188" t="inlineStr">
        <is>
          <t>See CVE details</t>
        </is>
      </c>
      <c r="Q871" s="188" t="inlineStr">
        <is>
          <t>P4</t>
        </is>
      </c>
      <c r="R871" s="188" t="inlineStr">
        <is>
          <t>📅 Schedule patch deployment within 30 days | 🔍 Monitor for exploitation attempts</t>
        </is>
      </c>
      <c r="S871" s="188" t="inlineStr">
        <is>
          <t>CVE - IP enrichment n/a</t>
        </is>
      </c>
      <c r="T871" s="188" t="n">
        <v>0.0004</v>
      </c>
      <c r="U871" s="188" t="n">
        <v>0.1178</v>
      </c>
      <c r="V871" s="188" t="inlineStr">
        <is>
          <t>T1190:Exploit Public-Facing Application | T1499:Endpoint Denial of Service</t>
        </is>
      </c>
      <c r="W871" s="188" t="n">
        <v>1</v>
      </c>
      <c r="X871" s="188" t="inlineStr">
        <is>
          <t>LOW (40%)</t>
        </is>
      </c>
      <c r="Y871" s="188" t="inlineStr">
        <is>
          <t>UNLIKELY</t>
        </is>
      </c>
      <c r="Z871" s="188" t="inlineStr">
        <is>
          <t>CHECK_VENDOR</t>
        </is>
      </c>
      <c r="AA871" s="188" t="inlineStr">
        <is>
          <t>https://nvd.nist.gov/vuln/detail/CVE-2026-26937</t>
        </is>
      </c>
      <c r="AB871" s="188" t="inlineStr">
        <is>
          <t>NONE</t>
        </is>
      </c>
      <c r="AC871" s="188" t="n">
        <v>0</v>
      </c>
      <c r="AD871" s="188" t="inlineStr"/>
    </row>
    <row r="872">
      <c r="A872" s="187" t="inlineStr">
        <is>
          <t>CVE</t>
        </is>
      </c>
      <c r="B872" s="187" t="inlineStr">
        <is>
          <t>CVE-2026-26938</t>
        </is>
      </c>
      <c r="C872" s="187"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872" s="187" t="n">
        <v>8.6</v>
      </c>
      <c r="E872" s="187" t="inlineStr">
        <is>
          <t>HIGH</t>
        </is>
      </c>
      <c r="F872" s="187" t="n">
        <v>2</v>
      </c>
      <c r="G872" s="187" t="n">
        <v>3</v>
      </c>
      <c r="H872" s="187" t="inlineStr">
        <is>
          <t>HIGH</t>
        </is>
      </c>
      <c r="I872" s="187" t="n">
        <v>14.6</v>
      </c>
      <c r="J872" s="187" t="inlineStr">
        <is>
          <t>NO</t>
        </is>
      </c>
      <c r="K872" s="187" t="inlineStr">
        <is>
          <t>https://nvd.nist.gov/vuln/detail/CVE-2026-26938</t>
        </is>
      </c>
      <c r="L872" s="187" t="inlineStr">
        <is>
          <t>2026-02-27 20:47</t>
        </is>
      </c>
      <c r="M872" s="187" t="inlineStr">
        <is>
          <t>CHECK_VENDOR</t>
        </is>
      </c>
      <c r="N872" s="187" t="inlineStr">
        <is>
          <t>See NVD references</t>
        </is>
      </c>
      <c r="O872" s="187" t="inlineStr">
        <is>
          <t>Apply vendor patches</t>
        </is>
      </c>
      <c r="P872" s="187" t="inlineStr">
        <is>
          <t>See CVE details</t>
        </is>
      </c>
      <c r="Q872" s="187" t="inlineStr">
        <is>
          <t>P3</t>
        </is>
      </c>
      <c r="R872" s="187" t="inlineStr">
        <is>
          <t>🚨 URGENT: Apply vendor patches immediately | 🔒 Isolate affected systems if patch unavailable | 🛡️ Enable additional monitoring/IDS rules</t>
        </is>
      </c>
      <c r="S872" s="187" t="inlineStr">
        <is>
          <t>CVE - IP enrichment n/a</t>
        </is>
      </c>
      <c r="T872" s="187" t="n">
        <v>0.0004</v>
      </c>
      <c r="U872" s="187" t="n">
        <v>0.1326</v>
      </c>
      <c r="V872" s="187" t="inlineStr">
        <is>
          <t>T1090:Proxy</t>
        </is>
      </c>
      <c r="W872" s="187" t="n">
        <v>1</v>
      </c>
      <c r="X872" s="187" t="inlineStr">
        <is>
          <t>LOW (40%)</t>
        </is>
      </c>
      <c r="Y872" s="187" t="inlineStr">
        <is>
          <t>UNLIKELY</t>
        </is>
      </c>
      <c r="Z872" s="187" t="inlineStr">
        <is>
          <t>CHECK_VENDOR</t>
        </is>
      </c>
      <c r="AA872" s="187" t="inlineStr">
        <is>
          <t>https://nvd.nist.gov/vuln/detail/CVE-2026-26938</t>
        </is>
      </c>
      <c r="AB872" s="187" t="inlineStr">
        <is>
          <t>NONE</t>
        </is>
      </c>
      <c r="AC872" s="187" t="n">
        <v>0</v>
      </c>
      <c r="AD872" s="187" t="inlineStr"/>
    </row>
    <row r="873">
      <c r="A873" s="188" t="inlineStr">
        <is>
          <t>CVE</t>
        </is>
      </c>
      <c r="B873" s="188" t="inlineStr">
        <is>
          <t>CVE-2025-11381</t>
        </is>
      </c>
      <c r="C873" s="188" t="inlineStr">
        <is>
          <t>Rejected reason: This CVE ID has been rejected or withdrawn by its CVE Numbering Authority.</t>
        </is>
      </c>
      <c r="D873" s="188" t="n">
        <v>5</v>
      </c>
      <c r="E873" s="188" t="inlineStr">
        <is>
          <t>MEDIUM</t>
        </is>
      </c>
      <c r="F873" s="188" t="n">
        <v>2</v>
      </c>
      <c r="G873" s="188" t="n">
        <v>2</v>
      </c>
      <c r="H873" s="188" t="inlineStr">
        <is>
          <t>MEDIUM</t>
        </is>
      </c>
      <c r="I873" s="188" t="n">
        <v>9</v>
      </c>
      <c r="J873" s="188" t="inlineStr">
        <is>
          <t>NO</t>
        </is>
      </c>
      <c r="K873" s="188" t="inlineStr">
        <is>
          <t>https://nvd.nist.gov/vuln/detail/CVE-2025-11381</t>
        </is>
      </c>
      <c r="L873" s="188" t="inlineStr">
        <is>
          <t>2026-02-27 20:47</t>
        </is>
      </c>
      <c r="M873" s="188" t="inlineStr">
        <is>
          <t>CHECK_VENDOR</t>
        </is>
      </c>
      <c r="N873" s="188" t="inlineStr">
        <is>
          <t>See NVD references</t>
        </is>
      </c>
      <c r="O873" s="188" t="inlineStr">
        <is>
          <t>Apply vendor patches</t>
        </is>
      </c>
      <c r="P873" s="188" t="inlineStr">
        <is>
          <t>See CVE details</t>
        </is>
      </c>
      <c r="Q873" s="188" t="inlineStr">
        <is>
          <t>P4</t>
        </is>
      </c>
      <c r="R873" s="188" t="inlineStr">
        <is>
          <t>📅 Schedule patch deployment within 30 days | 🔍 Monitor for exploitation attempts</t>
        </is>
      </c>
      <c r="S873" s="188" t="inlineStr">
        <is>
          <t>CVE - IP enrichment n/a</t>
        </is>
      </c>
      <c r="T873" s="188" t="n">
        <v>0</v>
      </c>
      <c r="U873" s="188" t="n">
        <v>0</v>
      </c>
      <c r="V873" s="188" t="inlineStr">
        <is>
          <t>T1190:Exploit Public-Facing Application</t>
        </is>
      </c>
      <c r="W873" s="188" t="n">
        <v>1</v>
      </c>
      <c r="X873" s="188" t="inlineStr">
        <is>
          <t>LOW (40%)</t>
        </is>
      </c>
      <c r="Y873" s="188" t="inlineStr">
        <is>
          <t>UNLIKELY</t>
        </is>
      </c>
      <c r="Z873" s="188" t="inlineStr">
        <is>
          <t>CHECK_VENDOR</t>
        </is>
      </c>
      <c r="AA873" s="188" t="inlineStr">
        <is>
          <t>https://nvd.nist.gov/vuln/detail/CVE-2025-11381</t>
        </is>
      </c>
      <c r="AB873" s="188" t="inlineStr">
        <is>
          <t>NONE</t>
        </is>
      </c>
      <c r="AC873" s="188" t="n">
        <v>0</v>
      </c>
      <c r="AD873" s="188" t="inlineStr"/>
    </row>
    <row r="874">
      <c r="A874" s="188" t="inlineStr">
        <is>
          <t>CVE</t>
        </is>
      </c>
      <c r="B874" s="188" t="inlineStr">
        <is>
          <t>CVE-2025-11382</t>
        </is>
      </c>
      <c r="C874" s="188" t="inlineStr">
        <is>
          <t>Rejected reason: This CVE ID has been rejected or withdrawn by its CVE Numbering Authority.</t>
        </is>
      </c>
      <c r="D874" s="188" t="n">
        <v>5</v>
      </c>
      <c r="E874" s="188" t="inlineStr">
        <is>
          <t>MEDIUM</t>
        </is>
      </c>
      <c r="F874" s="188" t="n">
        <v>2</v>
      </c>
      <c r="G874" s="188" t="n">
        <v>2</v>
      </c>
      <c r="H874" s="188" t="inlineStr">
        <is>
          <t>MEDIUM</t>
        </is>
      </c>
      <c r="I874" s="188" t="n">
        <v>9</v>
      </c>
      <c r="J874" s="188" t="inlineStr">
        <is>
          <t>NO</t>
        </is>
      </c>
      <c r="K874" s="188" t="inlineStr">
        <is>
          <t>https://nvd.nist.gov/vuln/detail/CVE-2025-11382</t>
        </is>
      </c>
      <c r="L874" s="188" t="inlineStr">
        <is>
          <t>2026-02-27 20:47</t>
        </is>
      </c>
      <c r="M874" s="188" t="inlineStr">
        <is>
          <t>CHECK_VENDOR</t>
        </is>
      </c>
      <c r="N874" s="188" t="inlineStr">
        <is>
          <t>See NVD references</t>
        </is>
      </c>
      <c r="O874" s="188" t="inlineStr">
        <is>
          <t>Apply vendor patches</t>
        </is>
      </c>
      <c r="P874" s="188" t="inlineStr">
        <is>
          <t>See CVE details</t>
        </is>
      </c>
      <c r="Q874" s="188" t="inlineStr">
        <is>
          <t>P4</t>
        </is>
      </c>
      <c r="R874" s="188" t="inlineStr">
        <is>
          <t>📅 Schedule patch deployment within 30 days | 🔍 Monitor for exploitation attempts</t>
        </is>
      </c>
      <c r="S874" s="188" t="inlineStr">
        <is>
          <t>CVE - IP enrichment n/a</t>
        </is>
      </c>
      <c r="T874" s="188" t="n">
        <v>0</v>
      </c>
      <c r="U874" s="188" t="n">
        <v>0</v>
      </c>
      <c r="V874" s="188" t="inlineStr">
        <is>
          <t>T1190:Exploit Public-Facing Application</t>
        </is>
      </c>
      <c r="W874" s="188" t="n">
        <v>1</v>
      </c>
      <c r="X874" s="188" t="inlineStr">
        <is>
          <t>LOW (40%)</t>
        </is>
      </c>
      <c r="Y874" s="188" t="inlineStr">
        <is>
          <t>UNLIKELY</t>
        </is>
      </c>
      <c r="Z874" s="188" t="inlineStr">
        <is>
          <t>CHECK_VENDOR</t>
        </is>
      </c>
      <c r="AA874" s="188" t="inlineStr">
        <is>
          <t>https://nvd.nist.gov/vuln/detail/CVE-2025-11382</t>
        </is>
      </c>
      <c r="AB874" s="188" t="inlineStr">
        <is>
          <t>NONE</t>
        </is>
      </c>
      <c r="AC874" s="188" t="n">
        <v>0</v>
      </c>
      <c r="AD874" s="188" t="inlineStr"/>
    </row>
    <row r="875">
      <c r="A875" s="188" t="inlineStr">
        <is>
          <t>CVE</t>
        </is>
      </c>
      <c r="B875" s="188" t="inlineStr">
        <is>
          <t>CVE-2025-11383</t>
        </is>
      </c>
      <c r="C875" s="188" t="inlineStr">
        <is>
          <t>Rejected reason: This CVE ID has been rejected or withdrawn by its CVE Numbering Authority.</t>
        </is>
      </c>
      <c r="D875" s="188" t="n">
        <v>5</v>
      </c>
      <c r="E875" s="188" t="inlineStr">
        <is>
          <t>MEDIUM</t>
        </is>
      </c>
      <c r="F875" s="188" t="n">
        <v>2</v>
      </c>
      <c r="G875" s="188" t="n">
        <v>2</v>
      </c>
      <c r="H875" s="188" t="inlineStr">
        <is>
          <t>MEDIUM</t>
        </is>
      </c>
      <c r="I875" s="188" t="n">
        <v>9</v>
      </c>
      <c r="J875" s="188" t="inlineStr">
        <is>
          <t>NO</t>
        </is>
      </c>
      <c r="K875" s="188" t="inlineStr">
        <is>
          <t>https://nvd.nist.gov/vuln/detail/CVE-2025-11383</t>
        </is>
      </c>
      <c r="L875" s="188" t="inlineStr">
        <is>
          <t>2026-02-27 20:47</t>
        </is>
      </c>
      <c r="M875" s="188" t="inlineStr">
        <is>
          <t>CHECK_VENDOR</t>
        </is>
      </c>
      <c r="N875" s="188" t="inlineStr">
        <is>
          <t>See NVD references</t>
        </is>
      </c>
      <c r="O875" s="188" t="inlineStr">
        <is>
          <t>Apply vendor patches</t>
        </is>
      </c>
      <c r="P875" s="188" t="inlineStr">
        <is>
          <t>See CVE details</t>
        </is>
      </c>
      <c r="Q875" s="188" t="inlineStr">
        <is>
          <t>P4</t>
        </is>
      </c>
      <c r="R875" s="188" t="inlineStr">
        <is>
          <t>📅 Schedule patch deployment within 30 days | 🔍 Monitor for exploitation attempts</t>
        </is>
      </c>
      <c r="S875" s="188" t="inlineStr">
        <is>
          <t>CVE - IP enrichment n/a</t>
        </is>
      </c>
      <c r="T875" s="188" t="n">
        <v>0</v>
      </c>
      <c r="U875" s="188" t="n">
        <v>0</v>
      </c>
      <c r="V875" s="188" t="inlineStr">
        <is>
          <t>T1190:Exploit Public-Facing Application</t>
        </is>
      </c>
      <c r="W875" s="188" t="n">
        <v>1</v>
      </c>
      <c r="X875" s="188" t="inlineStr">
        <is>
          <t>LOW (40%)</t>
        </is>
      </c>
      <c r="Y875" s="188" t="inlineStr">
        <is>
          <t>UNLIKELY</t>
        </is>
      </c>
      <c r="Z875" s="188" t="inlineStr">
        <is>
          <t>CHECK_VENDOR</t>
        </is>
      </c>
      <c r="AA875" s="188" t="inlineStr">
        <is>
          <t>https://nvd.nist.gov/vuln/detail/CVE-2025-11383</t>
        </is>
      </c>
      <c r="AB875" s="188" t="inlineStr">
        <is>
          <t>NONE</t>
        </is>
      </c>
      <c r="AC875" s="188" t="n">
        <v>0</v>
      </c>
      <c r="AD875" s="188" t="inlineStr"/>
    </row>
    <row r="876">
      <c r="A876" s="188" t="inlineStr">
        <is>
          <t>CVE</t>
        </is>
      </c>
      <c r="B876" s="188" t="inlineStr">
        <is>
          <t>CVE-2025-11384</t>
        </is>
      </c>
      <c r="C876" s="188" t="inlineStr">
        <is>
          <t>Rejected reason: This CVE ID has been rejected or withdrawn by its CVE Numbering Authority.</t>
        </is>
      </c>
      <c r="D876" s="188" t="n">
        <v>5</v>
      </c>
      <c r="E876" s="188" t="inlineStr">
        <is>
          <t>MEDIUM</t>
        </is>
      </c>
      <c r="F876" s="188" t="n">
        <v>2</v>
      </c>
      <c r="G876" s="188" t="n">
        <v>2</v>
      </c>
      <c r="H876" s="188" t="inlineStr">
        <is>
          <t>MEDIUM</t>
        </is>
      </c>
      <c r="I876" s="188" t="n">
        <v>9</v>
      </c>
      <c r="J876" s="188" t="inlineStr">
        <is>
          <t>NO</t>
        </is>
      </c>
      <c r="K876" s="188" t="inlineStr">
        <is>
          <t>https://nvd.nist.gov/vuln/detail/CVE-2025-11384</t>
        </is>
      </c>
      <c r="L876" s="188" t="inlineStr">
        <is>
          <t>2026-02-27 20:47</t>
        </is>
      </c>
      <c r="M876" s="188" t="inlineStr">
        <is>
          <t>CHECK_VENDOR</t>
        </is>
      </c>
      <c r="N876" s="188" t="inlineStr">
        <is>
          <t>See NVD references</t>
        </is>
      </c>
      <c r="O876" s="188" t="inlineStr">
        <is>
          <t>Apply vendor patches</t>
        </is>
      </c>
      <c r="P876" s="188" t="inlineStr">
        <is>
          <t>See CVE details</t>
        </is>
      </c>
      <c r="Q876" s="188" t="inlineStr">
        <is>
          <t>P4</t>
        </is>
      </c>
      <c r="R876" s="188" t="inlineStr">
        <is>
          <t>📅 Schedule patch deployment within 30 days | 🔍 Monitor for exploitation attempts</t>
        </is>
      </c>
      <c r="S876" s="188" t="inlineStr">
        <is>
          <t>CVE - IP enrichment n/a</t>
        </is>
      </c>
      <c r="T876" s="188" t="n">
        <v>0</v>
      </c>
      <c r="U876" s="188" t="n">
        <v>0</v>
      </c>
      <c r="V876" s="188" t="inlineStr">
        <is>
          <t>T1190:Exploit Public-Facing Application</t>
        </is>
      </c>
      <c r="W876" s="188" t="n">
        <v>1</v>
      </c>
      <c r="X876" s="188" t="inlineStr">
        <is>
          <t>LOW (40%)</t>
        </is>
      </c>
      <c r="Y876" s="188" t="inlineStr">
        <is>
          <t>UNLIKELY</t>
        </is>
      </c>
      <c r="Z876" s="188" t="inlineStr">
        <is>
          <t>CHECK_VENDOR</t>
        </is>
      </c>
      <c r="AA876" s="188" t="inlineStr">
        <is>
          <t>https://nvd.nist.gov/vuln/detail/CVE-2025-11384</t>
        </is>
      </c>
      <c r="AB876" s="188" t="inlineStr">
        <is>
          <t>NONE</t>
        </is>
      </c>
      <c r="AC876" s="188" t="n">
        <v>0</v>
      </c>
      <c r="AD876" s="188" t="inlineStr"/>
    </row>
    <row r="877">
      <c r="A877" s="187" t="inlineStr">
        <is>
          <t>CVE</t>
        </is>
      </c>
      <c r="B877" s="187" t="inlineStr">
        <is>
          <t>CVE-2026-1241</t>
        </is>
      </c>
      <c r="C877" s="187"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877" s="187" t="n">
        <v>8.5</v>
      </c>
      <c r="E877" s="187" t="inlineStr">
        <is>
          <t>HIGH</t>
        </is>
      </c>
      <c r="F877" s="187" t="n">
        <v>2</v>
      </c>
      <c r="G877" s="187" t="n">
        <v>3</v>
      </c>
      <c r="H877" s="187" t="inlineStr">
        <is>
          <t>HIGH</t>
        </is>
      </c>
      <c r="I877" s="187" t="n">
        <v>14.5</v>
      </c>
      <c r="J877" s="187" t="inlineStr">
        <is>
          <t>NO</t>
        </is>
      </c>
      <c r="K877" s="187" t="inlineStr">
        <is>
          <t>https://nvd.nist.gov/vuln/detail/CVE-2026-1241</t>
        </is>
      </c>
      <c r="L877" s="187" t="inlineStr">
        <is>
          <t>2026-02-27 20:47</t>
        </is>
      </c>
      <c r="M877" s="187" t="inlineStr">
        <is>
          <t>CHECK_VENDOR</t>
        </is>
      </c>
      <c r="N877" s="187" t="inlineStr">
        <is>
          <t>See NVD references</t>
        </is>
      </c>
      <c r="O877" s="187" t="inlineStr">
        <is>
          <t>Apply vendor patches</t>
        </is>
      </c>
      <c r="P877" s="187" t="inlineStr">
        <is>
          <t>See CVE details</t>
        </is>
      </c>
      <c r="Q877" s="187" t="inlineStr">
        <is>
          <t>P3</t>
        </is>
      </c>
      <c r="R877" s="187" t="inlineStr">
        <is>
          <t>🚨 URGENT: Apply vendor patches immediately | 🔒 Isolate affected systems if patch unavailable | 🛡️ Enable additional monitoring/IDS rules</t>
        </is>
      </c>
      <c r="S877" s="187" t="inlineStr">
        <is>
          <t>CVE - IP enrichment n/a</t>
        </is>
      </c>
      <c r="T877" s="187" t="n">
        <v>0.0007</v>
      </c>
      <c r="U877" s="187" t="n">
        <v>0.2201</v>
      </c>
      <c r="V877" s="187" t="inlineStr">
        <is>
          <t>T1190:Exploit Public-Facing Application | T1078:Valid Accounts</t>
        </is>
      </c>
      <c r="W877" s="187" t="n">
        <v>1</v>
      </c>
      <c r="X877" s="187" t="inlineStr">
        <is>
          <t>LOW (40%)</t>
        </is>
      </c>
      <c r="Y877" s="187" t="inlineStr">
        <is>
          <t>UNLIKELY</t>
        </is>
      </c>
      <c r="Z877" s="187" t="inlineStr">
        <is>
          <t>CHECK_VENDOR</t>
        </is>
      </c>
      <c r="AA877" s="187" t="inlineStr">
        <is>
          <t>https://nvd.nist.gov/vuln/detail/CVE-2026-1241</t>
        </is>
      </c>
      <c r="AB877" s="187" t="inlineStr">
        <is>
          <t>NONE</t>
        </is>
      </c>
      <c r="AC877" s="187" t="n">
        <v>0</v>
      </c>
      <c r="AD877" s="187" t="inlineStr"/>
    </row>
    <row r="878">
      <c r="A878" s="187" t="inlineStr">
        <is>
          <t>CVE</t>
        </is>
      </c>
      <c r="B878" s="187" t="inlineStr">
        <is>
          <t>CVE-2026-1565</t>
        </is>
      </c>
      <c r="C878" s="187"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878" s="187" t="n">
        <v>8.800000000000001</v>
      </c>
      <c r="E878" s="187" t="inlineStr">
        <is>
          <t>HIGH</t>
        </is>
      </c>
      <c r="F878" s="187" t="n">
        <v>2</v>
      </c>
      <c r="G878" s="187" t="n">
        <v>3</v>
      </c>
      <c r="H878" s="187" t="inlineStr">
        <is>
          <t>HIGH</t>
        </is>
      </c>
      <c r="I878" s="187" t="n">
        <v>14.8</v>
      </c>
      <c r="J878" s="187" t="inlineStr">
        <is>
          <t>NO</t>
        </is>
      </c>
      <c r="K878" s="187" t="inlineStr">
        <is>
          <t>https://nvd.nist.gov/vuln/detail/CVE-2026-1565</t>
        </is>
      </c>
      <c r="L878" s="187" t="inlineStr">
        <is>
          <t>2026-02-27 20:47</t>
        </is>
      </c>
      <c r="M878" s="187" t="inlineStr">
        <is>
          <t>CHECK_VENDOR</t>
        </is>
      </c>
      <c r="N878" s="187" t="inlineStr">
        <is>
          <t>See NVD references</t>
        </is>
      </c>
      <c r="O878" s="187" t="inlineStr">
        <is>
          <t>Apply vendor patches</t>
        </is>
      </c>
      <c r="P878" s="187" t="inlineStr">
        <is>
          <t>See CVE details</t>
        </is>
      </c>
      <c r="Q878" s="187" t="inlineStr">
        <is>
          <t>P3</t>
        </is>
      </c>
      <c r="R878" s="187" t="inlineStr">
        <is>
          <t>🚨 URGENT: Apply vendor patches immediately | 🔒 Isolate affected systems if patch unavailable | 🛡️ Enable additional monitoring/IDS rules</t>
        </is>
      </c>
      <c r="S878" s="187" t="inlineStr">
        <is>
          <t>CVE - IP enrichment n/a</t>
        </is>
      </c>
      <c r="T878" s="187" t="n">
        <v>0.0028</v>
      </c>
      <c r="U878" s="187" t="n">
        <v>0.5067</v>
      </c>
      <c r="V878" s="187" t="inlineStr">
        <is>
          <t>T1190:Exploit Public-Facing Application | T1210:Exploitation of Remote Services</t>
        </is>
      </c>
      <c r="W878" s="187" t="n">
        <v>1</v>
      </c>
      <c r="X878" s="187" t="inlineStr">
        <is>
          <t>LOW (40%)</t>
        </is>
      </c>
      <c r="Y878" s="187" t="inlineStr">
        <is>
          <t>UNLIKELY</t>
        </is>
      </c>
      <c r="Z878" s="187" t="inlineStr">
        <is>
          <t>CHECK_VENDOR</t>
        </is>
      </c>
      <c r="AA878" s="187" t="inlineStr">
        <is>
          <t>https://nvd.nist.gov/vuln/detail/CVE-2026-1565</t>
        </is>
      </c>
      <c r="AB878" s="187" t="inlineStr">
        <is>
          <t>NONE</t>
        </is>
      </c>
      <c r="AC878" s="187" t="n">
        <v>0</v>
      </c>
      <c r="AD878" s="187" t="inlineStr"/>
    </row>
    <row r="879">
      <c r="A879" s="188" t="inlineStr">
        <is>
          <t>CVE</t>
        </is>
      </c>
      <c r="B879" s="188" t="inlineStr">
        <is>
          <t>CVE-2026-23939</t>
        </is>
      </c>
      <c r="C879" s="188"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879" s="188" t="n">
        <v>5</v>
      </c>
      <c r="E879" s="188" t="inlineStr">
        <is>
          <t>MEDIUM</t>
        </is>
      </c>
      <c r="F879" s="188" t="n">
        <v>2</v>
      </c>
      <c r="G879" s="188" t="n">
        <v>2</v>
      </c>
      <c r="H879" s="188" t="inlineStr">
        <is>
          <t>MEDIUM</t>
        </is>
      </c>
      <c r="I879" s="188" t="n">
        <v>9</v>
      </c>
      <c r="J879" s="188" t="inlineStr">
        <is>
          <t>NO</t>
        </is>
      </c>
      <c r="K879" s="188" t="inlineStr">
        <is>
          <t>https://nvd.nist.gov/vuln/detail/CVE-2026-23939</t>
        </is>
      </c>
      <c r="L879" s="188" t="inlineStr">
        <is>
          <t>2026-02-27 20:47</t>
        </is>
      </c>
      <c r="M879" s="188" t="inlineStr">
        <is>
          <t>CHECK_VENDOR</t>
        </is>
      </c>
      <c r="N879" s="188" t="inlineStr">
        <is>
          <t>See NVD references</t>
        </is>
      </c>
      <c r="O879" s="188" t="inlineStr">
        <is>
          <t>Apply vendor patches</t>
        </is>
      </c>
      <c r="P879" s="188" t="inlineStr">
        <is>
          <t>See CVE details</t>
        </is>
      </c>
      <c r="Q879" s="188" t="inlineStr">
        <is>
          <t>P4</t>
        </is>
      </c>
      <c r="R879" s="188" t="inlineStr">
        <is>
          <t>📅 Schedule patch deployment within 30 days | 🔍 Monitor for exploitation attempts</t>
        </is>
      </c>
      <c r="S879" s="188" t="inlineStr">
        <is>
          <t>CVE - IP enrichment n/a</t>
        </is>
      </c>
      <c r="T879" s="188" t="n">
        <v>0.0005999999999999999</v>
      </c>
      <c r="U879" s="188" t="n">
        <v>0.1942</v>
      </c>
      <c r="V879" s="188" t="inlineStr">
        <is>
          <t>T1083:File and Directory Discovery</t>
        </is>
      </c>
      <c r="W879" s="188" t="n">
        <v>1</v>
      </c>
      <c r="X879" s="188" t="inlineStr">
        <is>
          <t>LOW (40%)</t>
        </is>
      </c>
      <c r="Y879" s="188" t="inlineStr">
        <is>
          <t>UNLIKELY</t>
        </is>
      </c>
      <c r="Z879" s="188" t="inlineStr">
        <is>
          <t>CHECK_VENDOR</t>
        </is>
      </c>
      <c r="AA879" s="188" t="inlineStr">
        <is>
          <t>https://nvd.nist.gov/vuln/detail/CVE-2026-23939</t>
        </is>
      </c>
      <c r="AB879" s="188" t="inlineStr">
        <is>
          <t>NONE</t>
        </is>
      </c>
      <c r="AC879" s="188" t="n">
        <v>0</v>
      </c>
      <c r="AD879" s="188" t="inlineStr"/>
    </row>
    <row r="880">
      <c r="A880" s="188" t="inlineStr">
        <is>
          <t>CVE</t>
        </is>
      </c>
      <c r="B880" s="188" t="inlineStr">
        <is>
          <t>CVE-2026-26973</t>
        </is>
      </c>
      <c r="C880" s="188"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880" s="188" t="n">
        <v>4.3</v>
      </c>
      <c r="E880" s="188" t="inlineStr">
        <is>
          <t>MEDIUM</t>
        </is>
      </c>
      <c r="F880" s="188" t="n">
        <v>2</v>
      </c>
      <c r="G880" s="188" t="n">
        <v>2</v>
      </c>
      <c r="H880" s="188" t="inlineStr">
        <is>
          <t>MEDIUM</t>
        </is>
      </c>
      <c r="I880" s="188" t="n">
        <v>8.300000000000001</v>
      </c>
      <c r="J880" s="188" t="inlineStr">
        <is>
          <t>NO</t>
        </is>
      </c>
      <c r="K880" s="188" t="inlineStr">
        <is>
          <t>https://nvd.nist.gov/vuln/detail/CVE-2026-26973</t>
        </is>
      </c>
      <c r="L880" s="188" t="inlineStr">
        <is>
          <t>2026-02-27 20:47</t>
        </is>
      </c>
      <c r="M880" s="188" t="inlineStr">
        <is>
          <t>CHECK_VENDOR</t>
        </is>
      </c>
      <c r="N880" s="188" t="inlineStr">
        <is>
          <t>See NVD references</t>
        </is>
      </c>
      <c r="O880" s="188" t="inlineStr">
        <is>
          <t>Apply vendor patches</t>
        </is>
      </c>
      <c r="P880" s="188" t="inlineStr">
        <is>
          <t>See CVE details</t>
        </is>
      </c>
      <c r="Q880" s="188" t="inlineStr">
        <is>
          <t>P1</t>
        </is>
      </c>
      <c r="R880" s="188" t="inlineStr">
        <is>
          <t>📅 Schedule patch deployment within 30 days | 🔍 Monitor for exploitation attempts</t>
        </is>
      </c>
      <c r="S880" s="188" t="inlineStr">
        <is>
          <t>CVE - IP enrichment n/a</t>
        </is>
      </c>
      <c r="T880" s="188" t="n">
        <v>0.0003</v>
      </c>
      <c r="U880" s="188" t="n">
        <v>0.07049999999999999</v>
      </c>
      <c r="V880" s="188" t="inlineStr">
        <is>
          <t>T1190:Exploit Public-Facing Application</t>
        </is>
      </c>
      <c r="W880" s="188" t="n">
        <v>2</v>
      </c>
      <c r="X880" s="188" t="inlineStr">
        <is>
          <t>HIGH (72%)</t>
        </is>
      </c>
      <c r="Y880" s="188" t="inlineStr">
        <is>
          <t>HIGH</t>
        </is>
      </c>
      <c r="Z880" s="188" t="inlineStr">
        <is>
          <t>CHECK_VENDOR</t>
        </is>
      </c>
      <c r="AA880" s="188" t="inlineStr">
        <is>
          <t>https://nvd.nist.gov/vuln/detail/CVE-2026-26973</t>
        </is>
      </c>
      <c r="AB880" s="188" t="inlineStr">
        <is>
          <t>http://www.zerodayinitiative.com/advisories/ZDI-26-123/</t>
        </is>
      </c>
      <c r="AC880" s="188" t="n">
        <v>0</v>
      </c>
      <c r="AD880" s="188" t="inlineStr"/>
    </row>
    <row r="881">
      <c r="A881" s="187" t="inlineStr">
        <is>
          <t>CVE</t>
        </is>
      </c>
      <c r="B881" s="187" t="inlineStr">
        <is>
          <t>CVE-2026-26979</t>
        </is>
      </c>
      <c r="C881" s="187"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881" s="187" t="n">
        <v>8.5</v>
      </c>
      <c r="E881" s="187" t="inlineStr">
        <is>
          <t>HIGH</t>
        </is>
      </c>
      <c r="F881" s="187" t="n">
        <v>2</v>
      </c>
      <c r="G881" s="187" t="n">
        <v>3</v>
      </c>
      <c r="H881" s="187" t="inlineStr">
        <is>
          <t>HIGH</t>
        </is>
      </c>
      <c r="I881" s="187" t="n">
        <v>14.5</v>
      </c>
      <c r="J881" s="187" t="inlineStr">
        <is>
          <t>NO</t>
        </is>
      </c>
      <c r="K881" s="187" t="inlineStr">
        <is>
          <t>https://nvd.nist.gov/vuln/detail/CVE-2026-26979</t>
        </is>
      </c>
      <c r="L881" s="187" t="inlineStr">
        <is>
          <t>2026-02-27 20:47</t>
        </is>
      </c>
      <c r="M881" s="187" t="inlineStr">
        <is>
          <t>CHECK_VENDOR</t>
        </is>
      </c>
      <c r="N881" s="187" t="inlineStr">
        <is>
          <t>See NVD references</t>
        </is>
      </c>
      <c r="O881" s="187" t="inlineStr">
        <is>
          <t>Apply vendor patches</t>
        </is>
      </c>
      <c r="P881" s="187" t="inlineStr">
        <is>
          <t>See CVE details</t>
        </is>
      </c>
      <c r="Q881" s="187" t="inlineStr">
        <is>
          <t>P3</t>
        </is>
      </c>
      <c r="R881" s="187" t="inlineStr">
        <is>
          <t>🚨 URGENT: Apply vendor patches immediately | 🔒 Isolate affected systems if patch unavailable | 🛡️ Enable additional monitoring/IDS rules</t>
        </is>
      </c>
      <c r="S881" s="187" t="inlineStr">
        <is>
          <t>CVE - IP enrichment n/a</t>
        </is>
      </c>
      <c r="T881" s="187" t="n">
        <v>0.0004</v>
      </c>
      <c r="U881" s="187" t="n">
        <v>0.1033</v>
      </c>
      <c r="V881" s="187" t="inlineStr">
        <is>
          <t>T1190:Exploit Public-Facing Application</t>
        </is>
      </c>
      <c r="W881" s="187" t="n">
        <v>1</v>
      </c>
      <c r="X881" s="187" t="inlineStr">
        <is>
          <t>LOW (40%)</t>
        </is>
      </c>
      <c r="Y881" s="187" t="inlineStr">
        <is>
          <t>UNLIKELY</t>
        </is>
      </c>
      <c r="Z881" s="187" t="inlineStr">
        <is>
          <t>CHECK_VENDOR</t>
        </is>
      </c>
      <c r="AA881" s="187" t="inlineStr">
        <is>
          <t>https://nvd.nist.gov/vuln/detail/CVE-2026-26979</t>
        </is>
      </c>
      <c r="AB881" s="187" t="inlineStr">
        <is>
          <t>NONE</t>
        </is>
      </c>
      <c r="AC881" s="187" t="n">
        <v>0</v>
      </c>
      <c r="AD881" s="187" t="inlineStr"/>
    </row>
    <row r="882">
      <c r="A882" s="188" t="inlineStr">
        <is>
          <t>CVE</t>
        </is>
      </c>
      <c r="B882" s="188" t="inlineStr">
        <is>
          <t>CVE-2026-27141</t>
        </is>
      </c>
      <c r="C882" s="188" t="inlineStr">
        <is>
          <t>Due to missing nil check, sending 0x0a-0x0f HTTP/2 frames will cause a running server to panic</t>
        </is>
      </c>
      <c r="D882" s="188" t="n">
        <v>5</v>
      </c>
      <c r="E882" s="188" t="inlineStr">
        <is>
          <t>MEDIUM</t>
        </is>
      </c>
      <c r="F882" s="188" t="n">
        <v>2</v>
      </c>
      <c r="G882" s="188" t="n">
        <v>2</v>
      </c>
      <c r="H882" s="188" t="inlineStr">
        <is>
          <t>MEDIUM</t>
        </is>
      </c>
      <c r="I882" s="188" t="n">
        <v>9</v>
      </c>
      <c r="J882" s="188" t="inlineStr">
        <is>
          <t>NO</t>
        </is>
      </c>
      <c r="K882" s="188" t="inlineStr">
        <is>
          <t>https://nvd.nist.gov/vuln/detail/CVE-2026-27141</t>
        </is>
      </c>
      <c r="L882" s="188" t="inlineStr">
        <is>
          <t>2026-02-27 20:47</t>
        </is>
      </c>
      <c r="M882" s="188" t="inlineStr">
        <is>
          <t>CHECK_VENDOR</t>
        </is>
      </c>
      <c r="N882" s="188" t="inlineStr">
        <is>
          <t>See NVD references</t>
        </is>
      </c>
      <c r="O882" s="188" t="inlineStr">
        <is>
          <t>Apply vendor patches</t>
        </is>
      </c>
      <c r="P882" s="188" t="inlineStr">
        <is>
          <t>See CVE details</t>
        </is>
      </c>
      <c r="Q882" s="188" t="inlineStr">
        <is>
          <t>P4</t>
        </is>
      </c>
      <c r="R882" s="188" t="inlineStr">
        <is>
          <t>📅 Schedule patch deployment within 30 days | 🔍 Monitor for exploitation attempts</t>
        </is>
      </c>
      <c r="S882" s="188" t="inlineStr">
        <is>
          <t>CVE - IP enrichment n/a</t>
        </is>
      </c>
      <c r="T882" s="188" t="n">
        <v>0.0002</v>
      </c>
      <c r="U882" s="188" t="n">
        <v>0.0449</v>
      </c>
      <c r="V882" s="188" t="inlineStr">
        <is>
          <t>T1190:Exploit Public-Facing Application</t>
        </is>
      </c>
      <c r="W882" s="188" t="n">
        <v>1</v>
      </c>
      <c r="X882" s="188" t="inlineStr">
        <is>
          <t>LOW (40%)</t>
        </is>
      </c>
      <c r="Y882" s="188" t="inlineStr">
        <is>
          <t>UNLIKELY</t>
        </is>
      </c>
      <c r="Z882" s="188" t="inlineStr">
        <is>
          <t>CHECK_VENDOR</t>
        </is>
      </c>
      <c r="AA882" s="188" t="inlineStr">
        <is>
          <t>https://nvd.nist.gov/vuln/detail/CVE-2026-27141</t>
        </is>
      </c>
      <c r="AB882" s="188" t="inlineStr">
        <is>
          <t>NONE</t>
        </is>
      </c>
      <c r="AC882" s="188" t="n">
        <v>0</v>
      </c>
      <c r="AD882" s="188" t="inlineStr"/>
    </row>
    <row r="883">
      <c r="A883" s="187" t="inlineStr">
        <is>
          <t>CVE</t>
        </is>
      </c>
      <c r="B883" s="187" t="inlineStr">
        <is>
          <t>CVE-2026-27509</t>
        </is>
      </c>
      <c r="C883" s="187"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883" s="187" t="n">
        <v>8.5</v>
      </c>
      <c r="E883" s="187" t="inlineStr">
        <is>
          <t>HIGH</t>
        </is>
      </c>
      <c r="F883" s="187" t="n">
        <v>2</v>
      </c>
      <c r="G883" s="187" t="n">
        <v>3</v>
      </c>
      <c r="H883" s="187" t="inlineStr">
        <is>
          <t>HIGH</t>
        </is>
      </c>
      <c r="I883" s="187" t="n">
        <v>14.5</v>
      </c>
      <c r="J883" s="187" t="inlineStr">
        <is>
          <t>NO</t>
        </is>
      </c>
      <c r="K883" s="187" t="inlineStr">
        <is>
          <t>https://nvd.nist.gov/vuln/detail/CVE-2026-27509</t>
        </is>
      </c>
      <c r="L883" s="187" t="inlineStr">
        <is>
          <t>2026-02-27 20:47</t>
        </is>
      </c>
      <c r="M883" s="187" t="inlineStr">
        <is>
          <t>CHECK_VENDOR</t>
        </is>
      </c>
      <c r="N883" s="187" t="inlineStr">
        <is>
          <t>See NVD references</t>
        </is>
      </c>
      <c r="O883" s="187" t="inlineStr">
        <is>
          <t>Apply vendor patches</t>
        </is>
      </c>
      <c r="P883" s="187" t="inlineStr">
        <is>
          <t>See CVE details</t>
        </is>
      </c>
      <c r="Q883" s="187" t="inlineStr">
        <is>
          <t>P3</t>
        </is>
      </c>
      <c r="R883" s="187" t="inlineStr">
        <is>
          <t>🚨 URGENT: Apply vendor patches immediately | 🔒 Isolate affected systems if patch unavailable | 🛡️ Enable additional monitoring/IDS rules</t>
        </is>
      </c>
      <c r="S883" s="187" t="inlineStr">
        <is>
          <t>CVE - IP enrichment n/a</t>
        </is>
      </c>
      <c r="T883" s="187" t="n">
        <v>0.0004</v>
      </c>
      <c r="U883" s="187" t="n">
        <v>0.1347</v>
      </c>
      <c r="V883" s="187" t="inlineStr">
        <is>
          <t>T1078:Valid Accounts</t>
        </is>
      </c>
      <c r="W883" s="187" t="n">
        <v>1</v>
      </c>
      <c r="X883" s="187" t="inlineStr">
        <is>
          <t>LOW (40%)</t>
        </is>
      </c>
      <c r="Y883" s="187" t="inlineStr">
        <is>
          <t>UNLIKELY</t>
        </is>
      </c>
      <c r="Z883" s="187" t="inlineStr">
        <is>
          <t>CHECK_VENDOR</t>
        </is>
      </c>
      <c r="AA883" s="187" t="inlineStr">
        <is>
          <t>https://nvd.nist.gov/vuln/detail/CVE-2026-27509</t>
        </is>
      </c>
      <c r="AB883" s="187" t="inlineStr">
        <is>
          <t>NONE</t>
        </is>
      </c>
      <c r="AC883" s="187" t="n">
        <v>0</v>
      </c>
      <c r="AD883" s="187" t="inlineStr"/>
    </row>
    <row r="884">
      <c r="A884" s="187" t="inlineStr">
        <is>
          <t>CVE</t>
        </is>
      </c>
      <c r="B884" s="187" t="inlineStr">
        <is>
          <t>CVE-2026-27510</t>
        </is>
      </c>
      <c r="C884" s="187"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884" s="187" t="n">
        <v>8.5</v>
      </c>
      <c r="E884" s="187" t="inlineStr">
        <is>
          <t>HIGH</t>
        </is>
      </c>
      <c r="F884" s="187" t="n">
        <v>2</v>
      </c>
      <c r="G884" s="187" t="n">
        <v>3</v>
      </c>
      <c r="H884" s="187" t="inlineStr">
        <is>
          <t>HIGH</t>
        </is>
      </c>
      <c r="I884" s="187" t="n">
        <v>14.5</v>
      </c>
      <c r="J884" s="187" t="inlineStr">
        <is>
          <t>NO</t>
        </is>
      </c>
      <c r="K884" s="187" t="inlineStr">
        <is>
          <t>https://nvd.nist.gov/vuln/detail/CVE-2026-27510</t>
        </is>
      </c>
      <c r="L884" s="187" t="inlineStr">
        <is>
          <t>2026-02-27 20:47</t>
        </is>
      </c>
      <c r="M884" s="187" t="inlineStr">
        <is>
          <t>CHECK_VENDOR</t>
        </is>
      </c>
      <c r="N884" s="187" t="inlineStr">
        <is>
          <t>See NVD references</t>
        </is>
      </c>
      <c r="O884" s="187" t="inlineStr">
        <is>
          <t>Apply vendor patches</t>
        </is>
      </c>
      <c r="P884" s="187" t="inlineStr">
        <is>
          <t>See CVE details</t>
        </is>
      </c>
      <c r="Q884" s="187" t="inlineStr">
        <is>
          <t>P3</t>
        </is>
      </c>
      <c r="R884" s="187" t="inlineStr">
        <is>
          <t>🚨 URGENT: Apply vendor patches immediately | 🔒 Isolate affected systems if patch unavailable | 🛡️ Enable additional monitoring/IDS rules</t>
        </is>
      </c>
      <c r="S884" s="187" t="inlineStr">
        <is>
          <t>CVE - IP enrichment n/a</t>
        </is>
      </c>
      <c r="T884" s="187" t="n">
        <v>0.001</v>
      </c>
      <c r="U884" s="187" t="n">
        <v>0.2682</v>
      </c>
      <c r="V884" s="187" t="inlineStr">
        <is>
          <t>T1190:Exploit Public-Facing Application | T1210:Exploitation of Remote Services | T1203:Exploitation for Client Execution</t>
        </is>
      </c>
      <c r="W884" s="187" t="n">
        <v>1</v>
      </c>
      <c r="X884" s="187" t="inlineStr">
        <is>
          <t>LOW (40%)</t>
        </is>
      </c>
      <c r="Y884" s="187" t="inlineStr">
        <is>
          <t>UNLIKELY</t>
        </is>
      </c>
      <c r="Z884" s="187" t="inlineStr">
        <is>
          <t>CHECK_VENDOR</t>
        </is>
      </c>
      <c r="AA884" s="187" t="inlineStr">
        <is>
          <t>https://nvd.nist.gov/vuln/detail/CVE-2026-27510</t>
        </is>
      </c>
      <c r="AB884" s="187" t="inlineStr">
        <is>
          <t>NONE</t>
        </is>
      </c>
      <c r="AC884" s="187" t="n">
        <v>0</v>
      </c>
      <c r="AD884" s="187" t="inlineStr"/>
    </row>
    <row r="885">
      <c r="A885" s="188" t="inlineStr">
        <is>
          <t>CVE</t>
        </is>
      </c>
      <c r="B885" s="188" t="inlineStr">
        <is>
          <t>CVE-2023-31364</t>
        </is>
      </c>
      <c r="C885" s="188" t="inlineStr">
        <is>
          <t>Improper handling of direct memory writes in the input-output memory management unit could allow a malicious guest virtual machine (VM) to flood a host with writes, potentially causing a fatal machine check error resulting in denial of service.</t>
        </is>
      </c>
      <c r="D885" s="188" t="n">
        <v>5</v>
      </c>
      <c r="E885" s="188" t="inlineStr">
        <is>
          <t>MEDIUM</t>
        </is>
      </c>
      <c r="F885" s="188" t="n">
        <v>2</v>
      </c>
      <c r="G885" s="188" t="n">
        <v>2</v>
      </c>
      <c r="H885" s="188" t="inlineStr">
        <is>
          <t>MEDIUM</t>
        </is>
      </c>
      <c r="I885" s="188" t="n">
        <v>9</v>
      </c>
      <c r="J885" s="188" t="inlineStr">
        <is>
          <t>NO</t>
        </is>
      </c>
      <c r="K885" s="188" t="inlineStr">
        <is>
          <t>https://nvd.nist.gov/vuln/detail/CVE-2023-31364</t>
        </is>
      </c>
      <c r="L885" s="188" t="inlineStr">
        <is>
          <t>2026-02-27 20:47</t>
        </is>
      </c>
      <c r="M885" s="188" t="inlineStr">
        <is>
          <t>CHECK_VENDOR</t>
        </is>
      </c>
      <c r="N885" s="188" t="inlineStr">
        <is>
          <t>See NVD references</t>
        </is>
      </c>
      <c r="O885" s="188" t="inlineStr">
        <is>
          <t>Apply vendor patches</t>
        </is>
      </c>
      <c r="P885" s="188" t="inlineStr">
        <is>
          <t>See CVE details</t>
        </is>
      </c>
      <c r="Q885" s="188" t="inlineStr">
        <is>
          <t>P4</t>
        </is>
      </c>
      <c r="R885" s="188" t="inlineStr">
        <is>
          <t>📅 Schedule patch deployment within 30 days | 🔍 Monitor for exploitation attempts</t>
        </is>
      </c>
      <c r="S885" s="188" t="inlineStr">
        <is>
          <t>CVE - IP enrichment n/a</t>
        </is>
      </c>
      <c r="T885" s="188" t="n">
        <v>0.0004</v>
      </c>
      <c r="U885" s="188" t="n">
        <v>0.1252</v>
      </c>
      <c r="V885" s="188" t="inlineStr">
        <is>
          <t>T1203:Exploitation for Client Execution | T1499:Endpoint Denial of Service</t>
        </is>
      </c>
      <c r="W885" s="188" t="n">
        <v>1</v>
      </c>
      <c r="X885" s="188" t="inlineStr">
        <is>
          <t>LOW (40%)</t>
        </is>
      </c>
      <c r="Y885" s="188" t="inlineStr">
        <is>
          <t>UNLIKELY</t>
        </is>
      </c>
      <c r="Z885" s="188" t="inlineStr">
        <is>
          <t>CHECK_VENDOR</t>
        </is>
      </c>
      <c r="AA885" s="188" t="inlineStr">
        <is>
          <t>https://nvd.nist.gov/vuln/detail/CVE-2023-31364</t>
        </is>
      </c>
      <c r="AB885" s="188" t="inlineStr">
        <is>
          <t>NONE</t>
        </is>
      </c>
      <c r="AC885" s="188" t="n">
        <v>0</v>
      </c>
      <c r="AD885" s="188" t="inlineStr"/>
    </row>
    <row r="886">
      <c r="A886" s="187" t="inlineStr">
        <is>
          <t>CVE</t>
        </is>
      </c>
      <c r="B886" s="187" t="inlineStr">
        <is>
          <t>CVE-2026-22205</t>
        </is>
      </c>
      <c r="C886" s="187"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886" s="187" t="n">
        <v>8.5</v>
      </c>
      <c r="E886" s="187" t="inlineStr">
        <is>
          <t>HIGH</t>
        </is>
      </c>
      <c r="F886" s="187" t="n">
        <v>2</v>
      </c>
      <c r="G886" s="187" t="n">
        <v>3</v>
      </c>
      <c r="H886" s="187" t="inlineStr">
        <is>
          <t>HIGH</t>
        </is>
      </c>
      <c r="I886" s="187" t="n">
        <v>14.5</v>
      </c>
      <c r="J886" s="187" t="inlineStr">
        <is>
          <t>NO</t>
        </is>
      </c>
      <c r="K886" s="187" t="inlineStr">
        <is>
          <t>https://nvd.nist.gov/vuln/detail/CVE-2026-22205</t>
        </is>
      </c>
      <c r="L886" s="187" t="inlineStr">
        <is>
          <t>2026-02-27 20:47</t>
        </is>
      </c>
      <c r="M886" s="187" t="inlineStr">
        <is>
          <t>CHECK_VENDOR</t>
        </is>
      </c>
      <c r="N886" s="187" t="inlineStr">
        <is>
          <t>See NVD references</t>
        </is>
      </c>
      <c r="O886" s="187" t="inlineStr">
        <is>
          <t>Apply vendor patches</t>
        </is>
      </c>
      <c r="P886" s="187" t="inlineStr">
        <is>
          <t>See CVE details</t>
        </is>
      </c>
      <c r="Q886" s="187" t="inlineStr">
        <is>
          <t>P3</t>
        </is>
      </c>
      <c r="R886" s="187" t="inlineStr">
        <is>
          <t>🚨 URGENT: Apply vendor patches immediately | 🔒 Isolate affected systems if patch unavailable | 🛡️ Enable additional monitoring/IDS rules</t>
        </is>
      </c>
      <c r="S886" s="187" t="inlineStr">
        <is>
          <t>CVE - IP enrichment n/a</t>
        </is>
      </c>
      <c r="T886" s="187" t="n">
        <v>0.003</v>
      </c>
      <c r="U886" s="187" t="n">
        <v>0.5249</v>
      </c>
      <c r="V886" s="187" t="inlineStr">
        <is>
          <t>T1078:Valid Accounts</t>
        </is>
      </c>
      <c r="W886" s="187" t="n">
        <v>1</v>
      </c>
      <c r="X886" s="187" t="inlineStr">
        <is>
          <t>LOW (40%)</t>
        </is>
      </c>
      <c r="Y886" s="187" t="inlineStr">
        <is>
          <t>UNLIKELY</t>
        </is>
      </c>
      <c r="Z886" s="187" t="inlineStr">
        <is>
          <t>CHECK_VENDOR</t>
        </is>
      </c>
      <c r="AA886" s="187" t="inlineStr">
        <is>
          <t>https://nvd.nist.gov/vuln/detail/CVE-2026-22205</t>
        </is>
      </c>
      <c r="AB886" s="187" t="inlineStr">
        <is>
          <t>NONE</t>
        </is>
      </c>
      <c r="AC886" s="187" t="n">
        <v>0</v>
      </c>
      <c r="AD886" s="187" t="inlineStr"/>
    </row>
    <row r="887">
      <c r="A887" s="187" t="inlineStr">
        <is>
          <t>CVE</t>
        </is>
      </c>
      <c r="B887" s="187" t="inlineStr">
        <is>
          <t>CVE-2026-22206</t>
        </is>
      </c>
      <c r="C887" s="187"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887" s="187" t="n">
        <v>8.5</v>
      </c>
      <c r="E887" s="187" t="inlineStr">
        <is>
          <t>HIGH</t>
        </is>
      </c>
      <c r="F887" s="187" t="n">
        <v>2</v>
      </c>
      <c r="G887" s="187" t="n">
        <v>3</v>
      </c>
      <c r="H887" s="187" t="inlineStr">
        <is>
          <t>HIGH</t>
        </is>
      </c>
      <c r="I887" s="187" t="n">
        <v>14.5</v>
      </c>
      <c r="J887" s="187" t="inlineStr">
        <is>
          <t>NO</t>
        </is>
      </c>
      <c r="K887" s="187" t="inlineStr">
        <is>
          <t>https://nvd.nist.gov/vuln/detail/CVE-2026-22206</t>
        </is>
      </c>
      <c r="L887" s="187" t="inlineStr">
        <is>
          <t>2026-02-27 20:47</t>
        </is>
      </c>
      <c r="M887" s="187" t="inlineStr">
        <is>
          <t>CHECK_VENDOR</t>
        </is>
      </c>
      <c r="N887" s="187" t="inlineStr">
        <is>
          <t>See NVD references</t>
        </is>
      </c>
      <c r="O887" s="187" t="inlineStr">
        <is>
          <t>Apply vendor patches</t>
        </is>
      </c>
      <c r="P887" s="187" t="inlineStr">
        <is>
          <t>See CVE details</t>
        </is>
      </c>
      <c r="Q887" s="187" t="inlineStr">
        <is>
          <t>P3</t>
        </is>
      </c>
      <c r="R887" s="187" t="inlineStr">
        <is>
          <t>🚨 URGENT: Apply vendor patches immediately | 🔒 Isolate affected systems if patch unavailable | 🛡️ Enable additional monitoring/IDS rules</t>
        </is>
      </c>
      <c r="S887" s="187" t="inlineStr">
        <is>
          <t>CVE - IP enrichment n/a</t>
        </is>
      </c>
      <c r="T887" s="187" t="n">
        <v>0.0019</v>
      </c>
      <c r="U887" s="187" t="n">
        <v>0.408</v>
      </c>
      <c r="V887" s="187" t="inlineStr">
        <is>
          <t>T1190:Exploit Public-Facing Application | T1210:Exploitation of Remote Services</t>
        </is>
      </c>
      <c r="W887" s="187" t="n">
        <v>1</v>
      </c>
      <c r="X887" s="187" t="inlineStr">
        <is>
          <t>LOW (40%)</t>
        </is>
      </c>
      <c r="Y887" s="187" t="inlineStr">
        <is>
          <t>UNLIKELY</t>
        </is>
      </c>
      <c r="Z887" s="187" t="inlineStr">
        <is>
          <t>CHECK_VENDOR</t>
        </is>
      </c>
      <c r="AA887" s="187" t="inlineStr">
        <is>
          <t>https://nvd.nist.gov/vuln/detail/CVE-2026-22206</t>
        </is>
      </c>
      <c r="AB887" s="187" t="inlineStr">
        <is>
          <t>NONE</t>
        </is>
      </c>
      <c r="AC887" s="187" t="n">
        <v>0</v>
      </c>
      <c r="AD887" s="187" t="inlineStr"/>
    </row>
    <row r="888">
      <c r="A888" s="187" t="inlineStr">
        <is>
          <t>CVE</t>
        </is>
      </c>
      <c r="B888" s="187" t="inlineStr">
        <is>
          <t>CVE-2026-22207</t>
        </is>
      </c>
      <c r="C888" s="187"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888" s="187" t="n">
        <v>8.5</v>
      </c>
      <c r="E888" s="187" t="inlineStr">
        <is>
          <t>HIGH</t>
        </is>
      </c>
      <c r="F888" s="187" t="n">
        <v>2</v>
      </c>
      <c r="G888" s="187" t="n">
        <v>3</v>
      </c>
      <c r="H888" s="187" t="inlineStr">
        <is>
          <t>HIGH</t>
        </is>
      </c>
      <c r="I888" s="187" t="n">
        <v>14.5</v>
      </c>
      <c r="J888" s="187" t="inlineStr">
        <is>
          <t>NO</t>
        </is>
      </c>
      <c r="K888" s="187" t="inlineStr">
        <is>
          <t>https://nvd.nist.gov/vuln/detail/CVE-2026-22207</t>
        </is>
      </c>
      <c r="L888" s="187" t="inlineStr">
        <is>
          <t>2026-02-27 20:47</t>
        </is>
      </c>
      <c r="M888" s="187" t="inlineStr">
        <is>
          <t>CHECK_VENDOR</t>
        </is>
      </c>
      <c r="N888" s="187" t="inlineStr">
        <is>
          <t>See NVD references</t>
        </is>
      </c>
      <c r="O888" s="187" t="inlineStr">
        <is>
          <t>Apply vendor patches</t>
        </is>
      </c>
      <c r="P888" s="187" t="inlineStr">
        <is>
          <t>See CVE details</t>
        </is>
      </c>
      <c r="Q888" s="187" t="inlineStr">
        <is>
          <t>P3</t>
        </is>
      </c>
      <c r="R888" s="187" t="inlineStr">
        <is>
          <t>🚨 URGENT: Apply vendor patches immediately | 🔒 Isolate affected systems if patch unavailable | 🛡️ Enable additional monitoring/IDS rules</t>
        </is>
      </c>
      <c r="S888" s="187" t="inlineStr">
        <is>
          <t>CVE - IP enrichment n/a</t>
        </is>
      </c>
      <c r="T888" s="187" t="n">
        <v>0.0022</v>
      </c>
      <c r="U888" s="187" t="n">
        <v>0.4435</v>
      </c>
      <c r="V888" s="187" t="inlineStr">
        <is>
          <t>T1078:Valid Accounts | T1190:Exploit Public-Facing Application</t>
        </is>
      </c>
      <c r="W888" s="187" t="n">
        <v>1</v>
      </c>
      <c r="X888" s="187" t="inlineStr">
        <is>
          <t>LOW (40%)</t>
        </is>
      </c>
      <c r="Y888" s="187" t="inlineStr">
        <is>
          <t>UNLIKELY</t>
        </is>
      </c>
      <c r="Z888" s="187" t="inlineStr">
        <is>
          <t>CHECK_VENDOR</t>
        </is>
      </c>
      <c r="AA888" s="187" t="inlineStr">
        <is>
          <t>https://nvd.nist.gov/vuln/detail/CVE-2026-22207</t>
        </is>
      </c>
      <c r="AB888" s="187" t="inlineStr">
        <is>
          <t>NONE</t>
        </is>
      </c>
      <c r="AC888" s="187" t="n">
        <v>0</v>
      </c>
      <c r="AD888" s="187" t="inlineStr"/>
    </row>
    <row r="889">
      <c r="A889" s="187" t="inlineStr">
        <is>
          <t>CVE</t>
        </is>
      </c>
      <c r="B889" s="187" t="inlineStr">
        <is>
          <t>CVE-2026-27021</t>
        </is>
      </c>
      <c r="C889" s="187"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889" s="187" t="n">
        <v>8.5</v>
      </c>
      <c r="E889" s="187" t="inlineStr">
        <is>
          <t>HIGH</t>
        </is>
      </c>
      <c r="F889" s="187" t="n">
        <v>2</v>
      </c>
      <c r="G889" s="187" t="n">
        <v>3</v>
      </c>
      <c r="H889" s="187" t="inlineStr">
        <is>
          <t>HIGH</t>
        </is>
      </c>
      <c r="I889" s="187" t="n">
        <v>14.5</v>
      </c>
      <c r="J889" s="187" t="inlineStr">
        <is>
          <t>NO</t>
        </is>
      </c>
      <c r="K889" s="187" t="inlineStr">
        <is>
          <t>https://nvd.nist.gov/vuln/detail/CVE-2026-27021</t>
        </is>
      </c>
      <c r="L889" s="187" t="inlineStr">
        <is>
          <t>2026-02-27 20:47</t>
        </is>
      </c>
      <c r="M889" s="187" t="inlineStr">
        <is>
          <t>CHECK_VENDOR</t>
        </is>
      </c>
      <c r="N889" s="187" t="inlineStr">
        <is>
          <t>See NVD references</t>
        </is>
      </c>
      <c r="O889" s="187" t="inlineStr">
        <is>
          <t>Apply vendor patches</t>
        </is>
      </c>
      <c r="P889" s="187" t="inlineStr">
        <is>
          <t>See CVE details</t>
        </is>
      </c>
      <c r="Q889" s="187" t="inlineStr">
        <is>
          <t>P3</t>
        </is>
      </c>
      <c r="R889" s="187" t="inlineStr">
        <is>
          <t>🚨 URGENT: Apply vendor patches immediately | 🔒 Isolate affected systems if patch unavailable | 🛡️ Enable additional monitoring/IDS rules</t>
        </is>
      </c>
      <c r="S889" s="187" t="inlineStr">
        <is>
          <t>CVE - IP enrichment n/a</t>
        </is>
      </c>
      <c r="T889" s="187" t="n">
        <v>0.0005</v>
      </c>
      <c r="U889" s="187" t="n">
        <v>0.1504</v>
      </c>
      <c r="V889" s="187" t="inlineStr">
        <is>
          <t>T1190:Exploit Public-Facing Application</t>
        </is>
      </c>
      <c r="W889" s="187" t="n">
        <v>1</v>
      </c>
      <c r="X889" s="187" t="inlineStr">
        <is>
          <t>LOW (40%)</t>
        </is>
      </c>
      <c r="Y889" s="187" t="inlineStr">
        <is>
          <t>UNLIKELY</t>
        </is>
      </c>
      <c r="Z889" s="187" t="inlineStr">
        <is>
          <t>CHECK_VENDOR</t>
        </is>
      </c>
      <c r="AA889" s="187" t="inlineStr">
        <is>
          <t>https://nvd.nist.gov/vuln/detail/CVE-2026-27021</t>
        </is>
      </c>
      <c r="AB889" s="187" t="inlineStr">
        <is>
          <t>NONE</t>
        </is>
      </c>
      <c r="AC889" s="187" t="n">
        <v>0</v>
      </c>
      <c r="AD889" s="187" t="inlineStr"/>
    </row>
    <row r="890">
      <c r="A890" s="187" t="inlineStr">
        <is>
          <t>CVE</t>
        </is>
      </c>
      <c r="B890" s="187" t="inlineStr">
        <is>
          <t>CVE-2026-27149</t>
        </is>
      </c>
      <c r="C890" s="187"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890" s="187" t="n">
        <v>8.5</v>
      </c>
      <c r="E890" s="187" t="inlineStr">
        <is>
          <t>HIGH</t>
        </is>
      </c>
      <c r="F890" s="187" t="n">
        <v>2</v>
      </c>
      <c r="G890" s="187" t="n">
        <v>3</v>
      </c>
      <c r="H890" s="187" t="inlineStr">
        <is>
          <t>HIGH</t>
        </is>
      </c>
      <c r="I890" s="187" t="n">
        <v>14.5</v>
      </c>
      <c r="J890" s="187" t="inlineStr">
        <is>
          <t>NO</t>
        </is>
      </c>
      <c r="K890" s="187" t="inlineStr">
        <is>
          <t>https://nvd.nist.gov/vuln/detail/CVE-2026-27149</t>
        </is>
      </c>
      <c r="L890" s="187" t="inlineStr">
        <is>
          <t>2026-02-27 20:47</t>
        </is>
      </c>
      <c r="M890" s="187" t="inlineStr">
        <is>
          <t>CHECK_VENDOR</t>
        </is>
      </c>
      <c r="N890" s="187" t="inlineStr">
        <is>
          <t>See NVD references</t>
        </is>
      </c>
      <c r="O890" s="187" t="inlineStr">
        <is>
          <t>Apply vendor patches</t>
        </is>
      </c>
      <c r="P890" s="187" t="inlineStr">
        <is>
          <t>See CVE details</t>
        </is>
      </c>
      <c r="Q890" s="187" t="inlineStr">
        <is>
          <t>P3</t>
        </is>
      </c>
      <c r="R890" s="187" t="inlineStr">
        <is>
          <t>🚨 URGENT: Apply vendor patches immediately | 🔒 Isolate affected systems if patch unavailable | 🛡️ Enable additional monitoring/IDS rules</t>
        </is>
      </c>
      <c r="S890" s="187" t="inlineStr">
        <is>
          <t>CVE - IP enrichment n/a</t>
        </is>
      </c>
      <c r="T890" s="187" t="n">
        <v>0.0003</v>
      </c>
      <c r="U890" s="187" t="n">
        <v>0.0837</v>
      </c>
      <c r="V890" s="187" t="inlineStr">
        <is>
          <t>T1190:Exploit Public-Facing Application</t>
        </is>
      </c>
      <c r="W890" s="187" t="n">
        <v>1</v>
      </c>
      <c r="X890" s="187" t="inlineStr">
        <is>
          <t>LOW (40%)</t>
        </is>
      </c>
      <c r="Y890" s="187" t="inlineStr">
        <is>
          <t>UNLIKELY</t>
        </is>
      </c>
      <c r="Z890" s="187" t="inlineStr">
        <is>
          <t>CHECK_VENDOR</t>
        </is>
      </c>
      <c r="AA890" s="187" t="inlineStr">
        <is>
          <t>https://nvd.nist.gov/vuln/detail/CVE-2026-27149</t>
        </is>
      </c>
      <c r="AB890" s="187" t="inlineStr">
        <is>
          <t>NONE</t>
        </is>
      </c>
      <c r="AC890" s="187" t="n">
        <v>0</v>
      </c>
      <c r="AD890" s="187" t="inlineStr"/>
    </row>
    <row r="891">
      <c r="A891" s="187" t="inlineStr">
        <is>
          <t>CVE</t>
        </is>
      </c>
      <c r="B891" s="187" t="inlineStr">
        <is>
          <t>CVE-2026-27150</t>
        </is>
      </c>
      <c r="C891" s="187"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891" s="187" t="n">
        <v>8.5</v>
      </c>
      <c r="E891" s="187" t="inlineStr">
        <is>
          <t>HIGH</t>
        </is>
      </c>
      <c r="F891" s="187" t="n">
        <v>2</v>
      </c>
      <c r="G891" s="187" t="n">
        <v>3</v>
      </c>
      <c r="H891" s="187" t="inlineStr">
        <is>
          <t>HIGH</t>
        </is>
      </c>
      <c r="I891" s="187" t="n">
        <v>14.5</v>
      </c>
      <c r="J891" s="187" t="inlineStr">
        <is>
          <t>NO</t>
        </is>
      </c>
      <c r="K891" s="187" t="inlineStr">
        <is>
          <t>https://nvd.nist.gov/vuln/detail/CVE-2026-27150</t>
        </is>
      </c>
      <c r="L891" s="187" t="inlineStr">
        <is>
          <t>2026-02-27 20:47</t>
        </is>
      </c>
      <c r="M891" s="187" t="inlineStr">
        <is>
          <t>CHECK_VENDOR</t>
        </is>
      </c>
      <c r="N891" s="187" t="inlineStr">
        <is>
          <t>See NVD references</t>
        </is>
      </c>
      <c r="O891" s="187" t="inlineStr">
        <is>
          <t>Apply vendor patches</t>
        </is>
      </c>
      <c r="P891" s="187" t="inlineStr">
        <is>
          <t>See CVE details</t>
        </is>
      </c>
      <c r="Q891" s="187" t="inlineStr">
        <is>
          <t>P3</t>
        </is>
      </c>
      <c r="R891" s="187" t="inlineStr">
        <is>
          <t>🚨 URGENT: Apply vendor patches immediately | 🔒 Isolate affected systems if patch unavailable | 🛡️ Enable additional monitoring/IDS rules</t>
        </is>
      </c>
      <c r="S891" s="187" t="inlineStr">
        <is>
          <t>CVE - IP enrichment n/a</t>
        </is>
      </c>
      <c r="T891" s="187" t="n">
        <v>0.0004</v>
      </c>
      <c r="U891" s="187" t="n">
        <v>0.1139</v>
      </c>
      <c r="V891" s="187" t="inlineStr">
        <is>
          <t>T1190:Exploit Public-Facing Application</t>
        </is>
      </c>
      <c r="W891" s="187" t="n">
        <v>1</v>
      </c>
      <c r="X891" s="187" t="inlineStr">
        <is>
          <t>LOW (40%)</t>
        </is>
      </c>
      <c r="Y891" s="187" t="inlineStr">
        <is>
          <t>UNLIKELY</t>
        </is>
      </c>
      <c r="Z891" s="187" t="inlineStr">
        <is>
          <t>CHECK_VENDOR</t>
        </is>
      </c>
      <c r="AA891" s="187" t="inlineStr">
        <is>
          <t>https://nvd.nist.gov/vuln/detail/CVE-2026-27150</t>
        </is>
      </c>
      <c r="AB891" s="187" t="inlineStr">
        <is>
          <t>NONE</t>
        </is>
      </c>
      <c r="AC891" s="187" t="n">
        <v>0</v>
      </c>
      <c r="AD891" s="187" t="inlineStr"/>
    </row>
    <row r="892">
      <c r="A892" s="187" t="inlineStr">
        <is>
          <t>CVE</t>
        </is>
      </c>
      <c r="B892" s="187" t="inlineStr">
        <is>
          <t>CVE-2026-27151</t>
        </is>
      </c>
      <c r="C892" s="187"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892" s="187" t="n">
        <v>8.5</v>
      </c>
      <c r="E892" s="187" t="inlineStr">
        <is>
          <t>HIGH</t>
        </is>
      </c>
      <c r="F892" s="187" t="n">
        <v>2</v>
      </c>
      <c r="G892" s="187" t="n">
        <v>3</v>
      </c>
      <c r="H892" s="187" t="inlineStr">
        <is>
          <t>HIGH</t>
        </is>
      </c>
      <c r="I892" s="187" t="n">
        <v>14.5</v>
      </c>
      <c r="J892" s="187" t="inlineStr">
        <is>
          <t>NO</t>
        </is>
      </c>
      <c r="K892" s="187" t="inlineStr">
        <is>
          <t>https://nvd.nist.gov/vuln/detail/CVE-2026-27151</t>
        </is>
      </c>
      <c r="L892" s="187" t="inlineStr">
        <is>
          <t>2026-02-27 20:47</t>
        </is>
      </c>
      <c r="M892" s="187" t="inlineStr">
        <is>
          <t>CHECK_VENDOR</t>
        </is>
      </c>
      <c r="N892" s="187" t="inlineStr">
        <is>
          <t>See NVD references</t>
        </is>
      </c>
      <c r="O892" s="187" t="inlineStr">
        <is>
          <t>Apply vendor patches</t>
        </is>
      </c>
      <c r="P892" s="187" t="inlineStr">
        <is>
          <t>See CVE details</t>
        </is>
      </c>
      <c r="Q892" s="187" t="inlineStr">
        <is>
          <t>P3</t>
        </is>
      </c>
      <c r="R892" s="187" t="inlineStr">
        <is>
          <t>🚨 URGENT: Apply vendor patches immediately | 🔒 Isolate affected systems if patch unavailable | 🛡️ Enable additional monitoring/IDS rules</t>
        </is>
      </c>
      <c r="S892" s="187" t="inlineStr">
        <is>
          <t>CVE - IP enrichment n/a</t>
        </is>
      </c>
      <c r="T892" s="187" t="n">
        <v>0.0003</v>
      </c>
      <c r="U892" s="187" t="n">
        <v>0.0883</v>
      </c>
      <c r="V892" s="187" t="inlineStr">
        <is>
          <t>T1190:Exploit Public-Facing Application</t>
        </is>
      </c>
      <c r="W892" s="187" t="n">
        <v>1</v>
      </c>
      <c r="X892" s="187" t="inlineStr">
        <is>
          <t>LOW (40%)</t>
        </is>
      </c>
      <c r="Y892" s="187" t="inlineStr">
        <is>
          <t>UNLIKELY</t>
        </is>
      </c>
      <c r="Z892" s="187" t="inlineStr">
        <is>
          <t>CHECK_VENDOR</t>
        </is>
      </c>
      <c r="AA892" s="187" t="inlineStr">
        <is>
          <t>https://nvd.nist.gov/vuln/detail/CVE-2026-27151</t>
        </is>
      </c>
      <c r="AB892" s="187" t="inlineStr">
        <is>
          <t>NONE</t>
        </is>
      </c>
      <c r="AC892" s="187" t="n">
        <v>0</v>
      </c>
      <c r="AD892" s="187" t="inlineStr"/>
    </row>
    <row r="893">
      <c r="A893" s="187" t="inlineStr">
        <is>
          <t>CVE</t>
        </is>
      </c>
      <c r="B893" s="187" t="inlineStr">
        <is>
          <t>CVE-2026-27152</t>
        </is>
      </c>
      <c r="C893" s="187"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893" s="187" t="n">
        <v>8.5</v>
      </c>
      <c r="E893" s="187" t="inlineStr">
        <is>
          <t>HIGH</t>
        </is>
      </c>
      <c r="F893" s="187" t="n">
        <v>2</v>
      </c>
      <c r="G893" s="187" t="n">
        <v>3</v>
      </c>
      <c r="H893" s="187" t="inlineStr">
        <is>
          <t>HIGH</t>
        </is>
      </c>
      <c r="I893" s="187" t="n">
        <v>14.5</v>
      </c>
      <c r="J893" s="187" t="inlineStr">
        <is>
          <t>NO</t>
        </is>
      </c>
      <c r="K893" s="187" t="inlineStr">
        <is>
          <t>https://nvd.nist.gov/vuln/detail/CVE-2026-27152</t>
        </is>
      </c>
      <c r="L893" s="187" t="inlineStr">
        <is>
          <t>2026-02-27 20:47</t>
        </is>
      </c>
      <c r="M893" s="187" t="inlineStr">
        <is>
          <t>CHECK_VENDOR</t>
        </is>
      </c>
      <c r="N893" s="187" t="inlineStr">
        <is>
          <t>See NVD references</t>
        </is>
      </c>
      <c r="O893" s="187" t="inlineStr">
        <is>
          <t>Apply vendor patches</t>
        </is>
      </c>
      <c r="P893" s="187" t="inlineStr">
        <is>
          <t>See CVE details</t>
        </is>
      </c>
      <c r="Q893" s="187" t="inlineStr">
        <is>
          <t>P3</t>
        </is>
      </c>
      <c r="R893" s="187" t="inlineStr">
        <is>
          <t>🚨 URGENT: Apply vendor patches immediately | 🔒 Isolate affected systems if patch unavailable | 🛡️ Enable additional monitoring/IDS rules</t>
        </is>
      </c>
      <c r="S893" s="187" t="inlineStr">
        <is>
          <t>CVE - IP enrichment n/a</t>
        </is>
      </c>
      <c r="T893" s="187" t="n">
        <v>0.0004</v>
      </c>
      <c r="U893" s="187" t="n">
        <v>0.1139</v>
      </c>
      <c r="V893" s="187" t="inlineStr">
        <is>
          <t>T1190:Exploit Public-Facing Application</t>
        </is>
      </c>
      <c r="W893" s="187" t="n">
        <v>1</v>
      </c>
      <c r="X893" s="187" t="inlineStr">
        <is>
          <t>LOW (40%)</t>
        </is>
      </c>
      <c r="Y893" s="187" t="inlineStr">
        <is>
          <t>UNLIKELY</t>
        </is>
      </c>
      <c r="Z893" s="187" t="inlineStr">
        <is>
          <t>CHECK_VENDOR</t>
        </is>
      </c>
      <c r="AA893" s="187" t="inlineStr">
        <is>
          <t>https://nvd.nist.gov/vuln/detail/CVE-2026-27152</t>
        </is>
      </c>
      <c r="AB893" s="187" t="inlineStr">
        <is>
          <t>NONE</t>
        </is>
      </c>
      <c r="AC893" s="187" t="n">
        <v>0</v>
      </c>
      <c r="AD893" s="187" t="inlineStr"/>
    </row>
    <row r="894">
      <c r="A894" s="187" t="inlineStr">
        <is>
          <t>CVE</t>
        </is>
      </c>
      <c r="B894" s="187" t="inlineStr">
        <is>
          <t>CVE-2026-27162</t>
        </is>
      </c>
      <c r="C894" s="187"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894" s="187" t="n">
        <v>8.5</v>
      </c>
      <c r="E894" s="187" t="inlineStr">
        <is>
          <t>HIGH</t>
        </is>
      </c>
      <c r="F894" s="187" t="n">
        <v>2</v>
      </c>
      <c r="G894" s="187" t="n">
        <v>3</v>
      </c>
      <c r="H894" s="187" t="inlineStr">
        <is>
          <t>HIGH</t>
        </is>
      </c>
      <c r="I894" s="187" t="n">
        <v>14.5</v>
      </c>
      <c r="J894" s="187" t="inlineStr">
        <is>
          <t>NO</t>
        </is>
      </c>
      <c r="K894" s="187" t="inlineStr">
        <is>
          <t>https://nvd.nist.gov/vuln/detail/CVE-2026-27162</t>
        </is>
      </c>
      <c r="L894" s="187" t="inlineStr">
        <is>
          <t>2026-02-27 20:47</t>
        </is>
      </c>
      <c r="M894" s="187" t="inlineStr">
        <is>
          <t>CHECK_VENDOR</t>
        </is>
      </c>
      <c r="N894" s="187" t="inlineStr">
        <is>
          <t>See NVD references</t>
        </is>
      </c>
      <c r="O894" s="187" t="inlineStr">
        <is>
          <t>Apply vendor patches</t>
        </is>
      </c>
      <c r="P894" s="187" t="inlineStr">
        <is>
          <t>See CVE details</t>
        </is>
      </c>
      <c r="Q894" s="187" t="inlineStr">
        <is>
          <t>P3</t>
        </is>
      </c>
      <c r="R894" s="187" t="inlineStr">
        <is>
          <t>🚨 URGENT: Apply vendor patches immediately | 🔒 Isolate affected systems if patch unavailable | 🛡️ Enable additional monitoring/IDS rules</t>
        </is>
      </c>
      <c r="S894" s="187" t="inlineStr">
        <is>
          <t>CVE - IP enrichment n/a</t>
        </is>
      </c>
      <c r="T894" s="187" t="n">
        <v>0.0003</v>
      </c>
      <c r="U894" s="187" t="n">
        <v>0.0977</v>
      </c>
      <c r="V894" s="187" t="inlineStr">
        <is>
          <t>T1213:Data from Information Repositories | T1190:Exploit Public-Facing Application</t>
        </is>
      </c>
      <c r="W894" s="187" t="n">
        <v>1</v>
      </c>
      <c r="X894" s="187" t="inlineStr">
        <is>
          <t>LOW (40%)</t>
        </is>
      </c>
      <c r="Y894" s="187" t="inlineStr">
        <is>
          <t>UNLIKELY</t>
        </is>
      </c>
      <c r="Z894" s="187" t="inlineStr">
        <is>
          <t>CHECK_VENDOR</t>
        </is>
      </c>
      <c r="AA894" s="187" t="inlineStr">
        <is>
          <t>https://nvd.nist.gov/vuln/detail/CVE-2026-27162</t>
        </is>
      </c>
      <c r="AB894" s="187" t="inlineStr">
        <is>
          <t>NONE</t>
        </is>
      </c>
      <c r="AC894" s="187" t="n">
        <v>0</v>
      </c>
      <c r="AD894" s="187" t="inlineStr"/>
    </row>
    <row r="895">
      <c r="A895" s="187" t="inlineStr">
        <is>
          <t>CVE</t>
        </is>
      </c>
      <c r="B895" s="187" t="inlineStr">
        <is>
          <t>CVE-2026-25741</t>
        </is>
      </c>
      <c r="C895" s="187"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895" s="187" t="n">
        <v>7.1</v>
      </c>
      <c r="E895" s="187" t="inlineStr">
        <is>
          <t>HIGH</t>
        </is>
      </c>
      <c r="F895" s="187" t="n">
        <v>2</v>
      </c>
      <c r="G895" s="187" t="n">
        <v>3</v>
      </c>
      <c r="H895" s="187" t="inlineStr">
        <is>
          <t>HIGH</t>
        </is>
      </c>
      <c r="I895" s="187" t="n">
        <v>13.1</v>
      </c>
      <c r="J895" s="187" t="inlineStr">
        <is>
          <t>NO</t>
        </is>
      </c>
      <c r="K895" s="187" t="inlineStr">
        <is>
          <t>https://nvd.nist.gov/vuln/detail/CVE-2026-25741</t>
        </is>
      </c>
      <c r="L895" s="187" t="inlineStr">
        <is>
          <t>2026-02-27 20:47</t>
        </is>
      </c>
      <c r="M895" s="187" t="inlineStr">
        <is>
          <t>CHECK_VENDOR</t>
        </is>
      </c>
      <c r="N895" s="187" t="inlineStr">
        <is>
          <t>See NVD references</t>
        </is>
      </c>
      <c r="O895" s="187" t="inlineStr">
        <is>
          <t>Apply vendor patches</t>
        </is>
      </c>
      <c r="P895" s="187" t="inlineStr">
        <is>
          <t>See CVE details</t>
        </is>
      </c>
      <c r="Q895" s="187" t="inlineStr">
        <is>
          <t>P3</t>
        </is>
      </c>
      <c r="R895" s="187" t="inlineStr">
        <is>
          <t>🚨 URGENT: Apply vendor patches immediately | 🔒 Isolate affected systems if patch unavailable | 🛡️ Enable additional monitoring/IDS rules</t>
        </is>
      </c>
      <c r="S895" s="187" t="inlineStr">
        <is>
          <t>CVE - IP enrichment n/a</t>
        </is>
      </c>
      <c r="T895" s="187" t="n">
        <v>0.0004</v>
      </c>
      <c r="U895" s="187" t="n">
        <v>0.103</v>
      </c>
      <c r="V895" s="187" t="inlineStr">
        <is>
          <t>T1190:Exploit Public-Facing Application</t>
        </is>
      </c>
      <c r="W895" s="187" t="n">
        <v>1</v>
      </c>
      <c r="X895" s="187" t="inlineStr">
        <is>
          <t>LOW (40%)</t>
        </is>
      </c>
      <c r="Y895" s="187" t="inlineStr">
        <is>
          <t>UNLIKELY</t>
        </is>
      </c>
      <c r="Z895" s="187" t="inlineStr">
        <is>
          <t>CHECK_VENDOR</t>
        </is>
      </c>
      <c r="AA895" s="187" t="inlineStr">
        <is>
          <t>https://nvd.nist.gov/vuln/detail/CVE-2026-25741</t>
        </is>
      </c>
      <c r="AB895" s="187" t="inlineStr">
        <is>
          <t>NONE</t>
        </is>
      </c>
      <c r="AC895" s="187" t="n">
        <v>0</v>
      </c>
      <c r="AD895" s="187" t="inlineStr"/>
    </row>
    <row r="896">
      <c r="A896" s="187" t="inlineStr">
        <is>
          <t>CVE</t>
        </is>
      </c>
      <c r="B896" s="187" t="inlineStr">
        <is>
          <t>CVE-2026-27153</t>
        </is>
      </c>
      <c r="C896" s="187"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896" s="187" t="n">
        <v>8.5</v>
      </c>
      <c r="E896" s="187" t="inlineStr">
        <is>
          <t>HIGH</t>
        </is>
      </c>
      <c r="F896" s="187" t="n">
        <v>2</v>
      </c>
      <c r="G896" s="187" t="n">
        <v>3</v>
      </c>
      <c r="H896" s="187" t="inlineStr">
        <is>
          <t>HIGH</t>
        </is>
      </c>
      <c r="I896" s="187" t="n">
        <v>14.5</v>
      </c>
      <c r="J896" s="187" t="inlineStr">
        <is>
          <t>NO</t>
        </is>
      </c>
      <c r="K896" s="187" t="inlineStr">
        <is>
          <t>https://nvd.nist.gov/vuln/detail/CVE-2026-27153</t>
        </is>
      </c>
      <c r="L896" s="187" t="inlineStr">
        <is>
          <t>2026-02-27 20:47</t>
        </is>
      </c>
      <c r="M896" s="187" t="inlineStr">
        <is>
          <t>CHECK_VENDOR</t>
        </is>
      </c>
      <c r="N896" s="187" t="inlineStr">
        <is>
          <t>See NVD references</t>
        </is>
      </c>
      <c r="O896" s="187" t="inlineStr">
        <is>
          <t>Apply vendor patches</t>
        </is>
      </c>
      <c r="P896" s="187" t="inlineStr">
        <is>
          <t>See CVE details</t>
        </is>
      </c>
      <c r="Q896" s="187" t="inlineStr">
        <is>
          <t>P3</t>
        </is>
      </c>
      <c r="R896" s="187" t="inlineStr">
        <is>
          <t>🚨 URGENT: Apply vendor patches immediately | 🔒 Isolate affected systems if patch unavailable | 🛡️ Enable additional monitoring/IDS rules</t>
        </is>
      </c>
      <c r="S896" s="187" t="inlineStr">
        <is>
          <t>CVE - IP enrichment n/a</t>
        </is>
      </c>
      <c r="T896" s="187" t="n">
        <v>0.0004</v>
      </c>
      <c r="U896" s="187" t="n">
        <v>0.1139</v>
      </c>
      <c r="V896" s="187" t="inlineStr">
        <is>
          <t>T1190:Exploit Public-Facing Application</t>
        </is>
      </c>
      <c r="W896" s="187" t="n">
        <v>1</v>
      </c>
      <c r="X896" s="187" t="inlineStr">
        <is>
          <t>LOW (40%)</t>
        </is>
      </c>
      <c r="Y896" s="187" t="inlineStr">
        <is>
          <t>UNLIKELY</t>
        </is>
      </c>
      <c r="Z896" s="187" t="inlineStr">
        <is>
          <t>CHECK_VENDOR</t>
        </is>
      </c>
      <c r="AA896" s="187" t="inlineStr">
        <is>
          <t>https://nvd.nist.gov/vuln/detail/CVE-2026-27153</t>
        </is>
      </c>
      <c r="AB896" s="187" t="inlineStr">
        <is>
          <t>NONE</t>
        </is>
      </c>
      <c r="AC896" s="187" t="n">
        <v>0</v>
      </c>
      <c r="AD896" s="187" t="inlineStr"/>
    </row>
    <row r="897">
      <c r="A897" s="187" t="inlineStr">
        <is>
          <t>CVE</t>
        </is>
      </c>
      <c r="B897" s="187" t="inlineStr">
        <is>
          <t>CVE-2026-27154</t>
        </is>
      </c>
      <c r="C897" s="187"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897" s="187" t="n">
        <v>8.5</v>
      </c>
      <c r="E897" s="187" t="inlineStr">
        <is>
          <t>HIGH</t>
        </is>
      </c>
      <c r="F897" s="187" t="n">
        <v>2</v>
      </c>
      <c r="G897" s="187" t="n">
        <v>3</v>
      </c>
      <c r="H897" s="187" t="inlineStr">
        <is>
          <t>HIGH</t>
        </is>
      </c>
      <c r="I897" s="187" t="n">
        <v>14.5</v>
      </c>
      <c r="J897" s="187" t="inlineStr">
        <is>
          <t>NO</t>
        </is>
      </c>
      <c r="K897" s="187" t="inlineStr">
        <is>
          <t>https://nvd.nist.gov/vuln/detail/CVE-2026-27154</t>
        </is>
      </c>
      <c r="L897" s="187" t="inlineStr">
        <is>
          <t>2026-02-27 20:47</t>
        </is>
      </c>
      <c r="M897" s="187" t="inlineStr">
        <is>
          <t>CHECK_VENDOR</t>
        </is>
      </c>
      <c r="N897" s="187" t="inlineStr">
        <is>
          <t>See NVD references</t>
        </is>
      </c>
      <c r="O897" s="187" t="inlineStr">
        <is>
          <t>Apply vendor patches</t>
        </is>
      </c>
      <c r="P897" s="187" t="inlineStr">
        <is>
          <t>See CVE details</t>
        </is>
      </c>
      <c r="Q897" s="187" t="inlineStr">
        <is>
          <t>P3</t>
        </is>
      </c>
      <c r="R897" s="187" t="inlineStr">
        <is>
          <t>🚨 URGENT: Apply vendor patches immediately | 🔒 Isolate affected systems if patch unavailable | 🛡️ Enable additional monitoring/IDS rules</t>
        </is>
      </c>
      <c r="S897" s="187" t="inlineStr">
        <is>
          <t>CVE - IP enrichment n/a</t>
        </is>
      </c>
      <c r="T897" s="187" t="n">
        <v>0.0005</v>
      </c>
      <c r="U897" s="187" t="n">
        <v>0.143</v>
      </c>
      <c r="V897" s="187" t="inlineStr">
        <is>
          <t>T1189:Drive-by Compromise | T1190:Exploit Public-Facing Application</t>
        </is>
      </c>
      <c r="W897" s="187" t="n">
        <v>1</v>
      </c>
      <c r="X897" s="187" t="inlineStr">
        <is>
          <t>LOW (40%)</t>
        </is>
      </c>
      <c r="Y897" s="187" t="inlineStr">
        <is>
          <t>UNLIKELY</t>
        </is>
      </c>
      <c r="Z897" s="187" t="inlineStr">
        <is>
          <t>CHECK_VENDOR</t>
        </is>
      </c>
      <c r="AA897" s="187" t="inlineStr">
        <is>
          <t>https://nvd.nist.gov/vuln/detail/CVE-2026-27154</t>
        </is>
      </c>
      <c r="AB897" s="187" t="inlineStr">
        <is>
          <t>NONE</t>
        </is>
      </c>
      <c r="AC897" s="187" t="n">
        <v>0</v>
      </c>
      <c r="AD897" s="187" t="inlineStr"/>
    </row>
    <row r="898">
      <c r="A898" s="187" t="inlineStr">
        <is>
          <t>CVE</t>
        </is>
      </c>
      <c r="B898" s="187" t="inlineStr">
        <is>
          <t>CVE-2026-27449</t>
        </is>
      </c>
      <c r="C898" s="187"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898" s="187" t="n">
        <v>7.5</v>
      </c>
      <c r="E898" s="187" t="inlineStr">
        <is>
          <t>HIGH</t>
        </is>
      </c>
      <c r="F898" s="187" t="n">
        <v>2</v>
      </c>
      <c r="G898" s="187" t="n">
        <v>3</v>
      </c>
      <c r="H898" s="187" t="inlineStr">
        <is>
          <t>HIGH</t>
        </is>
      </c>
      <c r="I898" s="187" t="n">
        <v>13.5</v>
      </c>
      <c r="J898" s="187" t="inlineStr">
        <is>
          <t>NO</t>
        </is>
      </c>
      <c r="K898" s="187" t="inlineStr">
        <is>
          <t>https://nvd.nist.gov/vuln/detail/CVE-2026-27449</t>
        </is>
      </c>
      <c r="L898" s="187" t="inlineStr">
        <is>
          <t>2026-02-27 20:47</t>
        </is>
      </c>
      <c r="M898" s="187" t="inlineStr">
        <is>
          <t>CHECK_VENDOR</t>
        </is>
      </c>
      <c r="N898" s="187" t="inlineStr">
        <is>
          <t>See NVD references</t>
        </is>
      </c>
      <c r="O898" s="187" t="inlineStr">
        <is>
          <t>Apply vendor patches</t>
        </is>
      </c>
      <c r="P898" s="187" t="inlineStr">
        <is>
          <t>See CVE details</t>
        </is>
      </c>
      <c r="Q898" s="187" t="inlineStr">
        <is>
          <t>P3</t>
        </is>
      </c>
      <c r="R898" s="187" t="inlineStr">
        <is>
          <t>🚨 URGENT: Apply vendor patches immediately | 🔒 Isolate affected systems if patch unavailable | 🛡️ Enable additional monitoring/IDS rules</t>
        </is>
      </c>
      <c r="S898" s="187" t="inlineStr">
        <is>
          <t>CVE - IP enrichment n/a</t>
        </is>
      </c>
      <c r="T898" s="187" t="n">
        <v>0.0005</v>
      </c>
      <c r="U898" s="187" t="n">
        <v>0.1613</v>
      </c>
      <c r="V898" s="187" t="inlineStr">
        <is>
          <t>T1552:Unsecured Credentials</t>
        </is>
      </c>
      <c r="W898" s="187" t="n">
        <v>1</v>
      </c>
      <c r="X898" s="187" t="inlineStr">
        <is>
          <t>LOW (40%)</t>
        </is>
      </c>
      <c r="Y898" s="187" t="inlineStr">
        <is>
          <t>UNLIKELY</t>
        </is>
      </c>
      <c r="Z898" s="187" t="inlineStr">
        <is>
          <t>CHECK_VENDOR</t>
        </is>
      </c>
      <c r="AA898" s="187" t="inlineStr">
        <is>
          <t>https://nvd.nist.gov/vuln/detail/CVE-2026-27449</t>
        </is>
      </c>
      <c r="AB898" s="187" t="inlineStr">
        <is>
          <t>NONE</t>
        </is>
      </c>
      <c r="AC898" s="187" t="n">
        <v>0</v>
      </c>
      <c r="AD898" s="187" t="inlineStr"/>
    </row>
    <row r="899">
      <c r="A899" s="188" t="inlineStr">
        <is>
          <t>CVE</t>
        </is>
      </c>
      <c r="B899" s="188" t="inlineStr">
        <is>
          <t>CVE-2026-27457</t>
        </is>
      </c>
      <c r="C899" s="188"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899" s="188" t="n">
        <v>4.3</v>
      </c>
      <c r="E899" s="188" t="inlineStr">
        <is>
          <t>MEDIUM</t>
        </is>
      </c>
      <c r="F899" s="188" t="n">
        <v>2</v>
      </c>
      <c r="G899" s="188" t="n">
        <v>2</v>
      </c>
      <c r="H899" s="188" t="inlineStr">
        <is>
          <t>MEDIUM</t>
        </is>
      </c>
      <c r="I899" s="188" t="n">
        <v>8.300000000000001</v>
      </c>
      <c r="J899" s="188" t="inlineStr">
        <is>
          <t>NO</t>
        </is>
      </c>
      <c r="K899" s="188" t="inlineStr">
        <is>
          <t>https://nvd.nist.gov/vuln/detail/CVE-2026-27457</t>
        </is>
      </c>
      <c r="L899" s="188" t="inlineStr">
        <is>
          <t>2026-02-27 20:47</t>
        </is>
      </c>
      <c r="M899" s="188" t="inlineStr">
        <is>
          <t>YES</t>
        </is>
      </c>
      <c r="N899" s="188" t="inlineStr">
        <is>
          <t>https://github.com/WeblateOrg/weblate/commit/3f58f9a4152bc0cbdd6eff5954f9c7bc4d9f0af9 | https://github.com/WeblateOrg/weblate/commit/7802c9b121eb407c48d4adddd4f2458fb3efef0f | https://github.com/WeblateOrg/weblate/pull/18107</t>
        </is>
      </c>
      <c r="O899" s="188" t="inlineStr">
        <is>
          <t>Apply vendor patches</t>
        </is>
      </c>
      <c r="P899" s="188" t="inlineStr">
        <is>
          <t>weblate weblate *</t>
        </is>
      </c>
      <c r="Q899" s="188" t="inlineStr">
        <is>
          <t>P4</t>
        </is>
      </c>
      <c r="R899" s="188" t="inlineStr">
        <is>
          <t>📅 Schedule patch deployment within 30 days | 🔍 Monitor for exploitation attempts</t>
        </is>
      </c>
      <c r="S899" s="188" t="inlineStr">
        <is>
          <t>CVE - IP enrichment n/a</t>
        </is>
      </c>
      <c r="T899" s="188" t="n">
        <v>0.0002</v>
      </c>
      <c r="U899" s="188" t="n">
        <v>0.062</v>
      </c>
      <c r="V899" s="188" t="inlineStr">
        <is>
          <t>T1213:Data from Information Repositories</t>
        </is>
      </c>
      <c r="W899" s="188" t="n">
        <v>1</v>
      </c>
      <c r="X899" s="188" t="inlineStr">
        <is>
          <t>LOW (40%)</t>
        </is>
      </c>
      <c r="Y899" s="188" t="inlineStr">
        <is>
          <t>UNLIKELY</t>
        </is>
      </c>
      <c r="Z899" s="188" t="inlineStr">
        <is>
          <t>PATCH_AVAILABLE</t>
        </is>
      </c>
      <c r="AA899" s="188" t="inlineStr">
        <is>
          <t>https://nvd.nist.gov/vuln/detail/CVE-2026-27457</t>
        </is>
      </c>
      <c r="AB899" s="188" t="inlineStr">
        <is>
          <t>NONE</t>
        </is>
      </c>
      <c r="AC899" s="188" t="n">
        <v>0</v>
      </c>
      <c r="AD899" s="188" t="inlineStr"/>
    </row>
    <row r="900">
      <c r="A900" s="188" t="inlineStr">
        <is>
          <t>CVE</t>
        </is>
      </c>
      <c r="B900" s="188" t="inlineStr">
        <is>
          <t>CVE-2026-27835</t>
        </is>
      </c>
      <c r="C900" s="188"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900" s="188" t="n">
        <v>4.3</v>
      </c>
      <c r="E900" s="188" t="inlineStr">
        <is>
          <t>MEDIUM</t>
        </is>
      </c>
      <c r="F900" s="188" t="n">
        <v>2</v>
      </c>
      <c r="G900" s="188" t="n">
        <v>2</v>
      </c>
      <c r="H900" s="188" t="inlineStr">
        <is>
          <t>MEDIUM</t>
        </is>
      </c>
      <c r="I900" s="188" t="n">
        <v>8.300000000000001</v>
      </c>
      <c r="J900" s="188" t="inlineStr">
        <is>
          <t>NO</t>
        </is>
      </c>
      <c r="K900" s="188" t="inlineStr">
        <is>
          <t>https://nvd.nist.gov/vuln/detail/CVE-2026-27835</t>
        </is>
      </c>
      <c r="L900" s="188" t="inlineStr">
        <is>
          <t>2026-02-27 20:47</t>
        </is>
      </c>
      <c r="M900" s="188" t="inlineStr">
        <is>
          <t>CHECK_VENDOR</t>
        </is>
      </c>
      <c r="N900" s="188" t="inlineStr">
        <is>
          <t>See NVD references</t>
        </is>
      </c>
      <c r="O900" s="188" t="inlineStr">
        <is>
          <t>Apply vendor patches</t>
        </is>
      </c>
      <c r="P900" s="188" t="inlineStr">
        <is>
          <t>See CVE details</t>
        </is>
      </c>
      <c r="Q900" s="188" t="inlineStr">
        <is>
          <t>P4</t>
        </is>
      </c>
      <c r="R900" s="188" t="inlineStr">
        <is>
          <t>📅 Schedule patch deployment within 30 days | 🔍 Monitor for exploitation attempts</t>
        </is>
      </c>
      <c r="S900" s="188" t="inlineStr">
        <is>
          <t>CVE - IP enrichment n/a</t>
        </is>
      </c>
      <c r="T900" s="188" t="n">
        <v>0.0003</v>
      </c>
      <c r="U900" s="188" t="n">
        <v>0.0665</v>
      </c>
      <c r="V900" s="188" t="inlineStr">
        <is>
          <t>T1190:Exploit Public-Facing Application</t>
        </is>
      </c>
      <c r="W900" s="188" t="n">
        <v>1</v>
      </c>
      <c r="X900" s="188" t="inlineStr">
        <is>
          <t>LOW (40%)</t>
        </is>
      </c>
      <c r="Y900" s="188" t="inlineStr">
        <is>
          <t>UNLIKELY</t>
        </is>
      </c>
      <c r="Z900" s="188" t="inlineStr">
        <is>
          <t>CHECK_VENDOR</t>
        </is>
      </c>
      <c r="AA900" s="188" t="inlineStr">
        <is>
          <t>https://nvd.nist.gov/vuln/detail/CVE-2026-27835</t>
        </is>
      </c>
      <c r="AB900" s="188" t="inlineStr">
        <is>
          <t>NONE</t>
        </is>
      </c>
      <c r="AC900" s="188" t="n">
        <v>0</v>
      </c>
      <c r="AD900" s="188" t="inlineStr"/>
    </row>
    <row r="901">
      <c r="A901" s="187" t="inlineStr">
        <is>
          <t>CVE</t>
        </is>
      </c>
      <c r="B901" s="187" t="inlineStr">
        <is>
          <t>CVE-2026-28218</t>
        </is>
      </c>
      <c r="C901" s="187"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901" s="187" t="n">
        <v>8.5</v>
      </c>
      <c r="E901" s="187" t="inlineStr">
        <is>
          <t>HIGH</t>
        </is>
      </c>
      <c r="F901" s="187" t="n">
        <v>2</v>
      </c>
      <c r="G901" s="187" t="n">
        <v>3</v>
      </c>
      <c r="H901" s="187" t="inlineStr">
        <is>
          <t>HIGH</t>
        </is>
      </c>
      <c r="I901" s="187" t="n">
        <v>14.5</v>
      </c>
      <c r="J901" s="187" t="inlineStr">
        <is>
          <t>NO</t>
        </is>
      </c>
      <c r="K901" s="187" t="inlineStr">
        <is>
          <t>https://nvd.nist.gov/vuln/detail/CVE-2026-28218</t>
        </is>
      </c>
      <c r="L901" s="187" t="inlineStr">
        <is>
          <t>2026-02-27 20:47</t>
        </is>
      </c>
      <c r="M901" s="187" t="inlineStr">
        <is>
          <t>CHECK_VENDOR</t>
        </is>
      </c>
      <c r="N901" s="187" t="inlineStr">
        <is>
          <t>See NVD references</t>
        </is>
      </c>
      <c r="O901" s="187" t="inlineStr">
        <is>
          <t>Apply vendor patches</t>
        </is>
      </c>
      <c r="P901" s="187" t="inlineStr">
        <is>
          <t>See CVE details</t>
        </is>
      </c>
      <c r="Q901" s="187" t="inlineStr">
        <is>
          <t>P3</t>
        </is>
      </c>
      <c r="R901" s="187" t="inlineStr">
        <is>
          <t>🚨 URGENT: Apply vendor patches immediately | 🔒 Isolate affected systems if patch unavailable | 🛡️ Enable additional monitoring/IDS rules</t>
        </is>
      </c>
      <c r="S901" s="187" t="inlineStr">
        <is>
          <t>CVE - IP enrichment n/a</t>
        </is>
      </c>
      <c r="T901" s="187" t="n">
        <v>0.0003</v>
      </c>
      <c r="U901" s="187" t="n">
        <v>0.0883</v>
      </c>
      <c r="V901" s="187" t="inlineStr">
        <is>
          <t>T1190:Exploit Public-Facing Application</t>
        </is>
      </c>
      <c r="W901" s="187" t="n">
        <v>1</v>
      </c>
      <c r="X901" s="187" t="inlineStr">
        <is>
          <t>LOW (40%)</t>
        </is>
      </c>
      <c r="Y901" s="187" t="inlineStr">
        <is>
          <t>UNLIKELY</t>
        </is>
      </c>
      <c r="Z901" s="187" t="inlineStr">
        <is>
          <t>CHECK_VENDOR</t>
        </is>
      </c>
      <c r="AA901" s="187" t="inlineStr">
        <is>
          <t>https://nvd.nist.gov/vuln/detail/CVE-2026-28218</t>
        </is>
      </c>
      <c r="AB901" s="187" t="inlineStr">
        <is>
          <t>NONE</t>
        </is>
      </c>
      <c r="AC901" s="187" t="n">
        <v>0</v>
      </c>
      <c r="AD901" s="187" t="inlineStr"/>
    </row>
    <row r="902">
      <c r="A902" s="187" t="inlineStr">
        <is>
          <t>CVE</t>
        </is>
      </c>
      <c r="B902" s="187" t="inlineStr">
        <is>
          <t>CVE-2026-28219</t>
        </is>
      </c>
      <c r="C902" s="187"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902" s="187" t="n">
        <v>8.5</v>
      </c>
      <c r="E902" s="187" t="inlineStr">
        <is>
          <t>HIGH</t>
        </is>
      </c>
      <c r="F902" s="187" t="n">
        <v>2</v>
      </c>
      <c r="G902" s="187" t="n">
        <v>3</v>
      </c>
      <c r="H902" s="187" t="inlineStr">
        <is>
          <t>HIGH</t>
        </is>
      </c>
      <c r="I902" s="187" t="n">
        <v>14.5</v>
      </c>
      <c r="J902" s="187" t="inlineStr">
        <is>
          <t>NO</t>
        </is>
      </c>
      <c r="K902" s="187" t="inlineStr">
        <is>
          <t>https://nvd.nist.gov/vuln/detail/CVE-2026-28219</t>
        </is>
      </c>
      <c r="L902" s="187" t="inlineStr">
        <is>
          <t>2026-02-27 20:47</t>
        </is>
      </c>
      <c r="M902" s="187" t="inlineStr">
        <is>
          <t>CHECK_VENDOR</t>
        </is>
      </c>
      <c r="N902" s="187" t="inlineStr">
        <is>
          <t>See NVD references</t>
        </is>
      </c>
      <c r="O902" s="187" t="inlineStr">
        <is>
          <t>Apply vendor patches</t>
        </is>
      </c>
      <c r="P902" s="187" t="inlineStr">
        <is>
          <t>See CVE details</t>
        </is>
      </c>
      <c r="Q902" s="187" t="inlineStr">
        <is>
          <t>P3</t>
        </is>
      </c>
      <c r="R902" s="187" t="inlineStr">
        <is>
          <t>🚨 URGENT: Apply vendor patches immediately | 🔒 Isolate affected systems if patch unavailable | 🛡️ Enable additional monitoring/IDS rules</t>
        </is>
      </c>
      <c r="S902" s="187" t="inlineStr">
        <is>
          <t>CVE - IP enrichment n/a</t>
        </is>
      </c>
      <c r="T902" s="187" t="n">
        <v>0.0005</v>
      </c>
      <c r="U902" s="187" t="n">
        <v>0.1648</v>
      </c>
      <c r="V902" s="187" t="inlineStr">
        <is>
          <t>T1190:Exploit Public-Facing Application</t>
        </is>
      </c>
      <c r="W902" s="187" t="n">
        <v>1</v>
      </c>
      <c r="X902" s="187" t="inlineStr">
        <is>
          <t>LOW (40%)</t>
        </is>
      </c>
      <c r="Y902" s="187" t="inlineStr">
        <is>
          <t>UNLIKELY</t>
        </is>
      </c>
      <c r="Z902" s="187" t="inlineStr">
        <is>
          <t>CHECK_VENDOR</t>
        </is>
      </c>
      <c r="AA902" s="187" t="inlineStr">
        <is>
          <t>https://nvd.nist.gov/vuln/detail/CVE-2026-28219</t>
        </is>
      </c>
      <c r="AB902" s="187" t="inlineStr">
        <is>
          <t>NONE</t>
        </is>
      </c>
      <c r="AC902" s="187" t="n">
        <v>0</v>
      </c>
      <c r="AD902" s="187" t="inlineStr"/>
    </row>
    <row r="903">
      <c r="A903" s="187" t="inlineStr">
        <is>
          <t>CVE</t>
        </is>
      </c>
      <c r="B903" s="187" t="inlineStr">
        <is>
          <t>CVE-2026-28227</t>
        </is>
      </c>
      <c r="C903" s="187"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903" s="187" t="n">
        <v>8.5</v>
      </c>
      <c r="E903" s="187" t="inlineStr">
        <is>
          <t>HIGH</t>
        </is>
      </c>
      <c r="F903" s="187" t="n">
        <v>2</v>
      </c>
      <c r="G903" s="187" t="n">
        <v>3</v>
      </c>
      <c r="H903" s="187" t="inlineStr">
        <is>
          <t>HIGH</t>
        </is>
      </c>
      <c r="I903" s="187" t="n">
        <v>14.5</v>
      </c>
      <c r="J903" s="187" t="inlineStr">
        <is>
          <t>NO</t>
        </is>
      </c>
      <c r="K903" s="187" t="inlineStr">
        <is>
          <t>https://nvd.nist.gov/vuln/detail/CVE-2026-28227</t>
        </is>
      </c>
      <c r="L903" s="187" t="inlineStr">
        <is>
          <t>2026-02-27 20:47</t>
        </is>
      </c>
      <c r="M903" s="187" t="inlineStr">
        <is>
          <t>CHECK_VENDOR</t>
        </is>
      </c>
      <c r="N903" s="187" t="inlineStr">
        <is>
          <t>See NVD references</t>
        </is>
      </c>
      <c r="O903" s="187" t="inlineStr">
        <is>
          <t>Apply vendor patches</t>
        </is>
      </c>
      <c r="P903" s="187" t="inlineStr">
        <is>
          <t>See CVE details</t>
        </is>
      </c>
      <c r="Q903" s="187" t="inlineStr">
        <is>
          <t>P3</t>
        </is>
      </c>
      <c r="R903" s="187" t="inlineStr">
        <is>
          <t>🚨 URGENT: Apply vendor patches immediately | 🔒 Isolate affected systems if patch unavailable | 🛡️ Enable additional monitoring/IDS rules</t>
        </is>
      </c>
      <c r="S903" s="187" t="inlineStr">
        <is>
          <t>CVE - IP enrichment n/a</t>
        </is>
      </c>
      <c r="T903" s="187" t="n">
        <v>0.0004</v>
      </c>
      <c r="U903" s="187" t="n">
        <v>0.1033</v>
      </c>
      <c r="V903" s="187" t="inlineStr">
        <is>
          <t>T1190:Exploit Public-Facing Application</t>
        </is>
      </c>
      <c r="W903" s="187" t="n">
        <v>1</v>
      </c>
      <c r="X903" s="187" t="inlineStr">
        <is>
          <t>LOW (40%)</t>
        </is>
      </c>
      <c r="Y903" s="187" t="inlineStr">
        <is>
          <t>UNLIKELY</t>
        </is>
      </c>
      <c r="Z903" s="187" t="inlineStr">
        <is>
          <t>CHECK_VENDOR</t>
        </is>
      </c>
      <c r="AA903" s="187" t="inlineStr">
        <is>
          <t>https://nvd.nist.gov/vuln/detail/CVE-2026-28227</t>
        </is>
      </c>
      <c r="AB903" s="187" t="inlineStr">
        <is>
          <t>NONE</t>
        </is>
      </c>
      <c r="AC903" s="187" t="n">
        <v>0</v>
      </c>
      <c r="AD903" s="187" t="inlineStr"/>
    </row>
    <row r="904">
      <c r="A904" s="187" t="inlineStr">
        <is>
          <t>CVE</t>
        </is>
      </c>
      <c r="B904" s="187" t="inlineStr">
        <is>
          <t>CVE-2026-3261</t>
        </is>
      </c>
      <c r="C904" s="187"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904" s="187" t="n">
        <v>7.3</v>
      </c>
      <c r="E904" s="187" t="inlineStr">
        <is>
          <t>HIGH</t>
        </is>
      </c>
      <c r="F904" s="187" t="n">
        <v>2</v>
      </c>
      <c r="G904" s="187" t="n">
        <v>3</v>
      </c>
      <c r="H904" s="187" t="inlineStr">
        <is>
          <t>HIGH</t>
        </is>
      </c>
      <c r="I904" s="187" t="n">
        <v>13.3</v>
      </c>
      <c r="J904" s="187" t="inlineStr">
        <is>
          <t>NO</t>
        </is>
      </c>
      <c r="K904" s="187" t="inlineStr">
        <is>
          <t>https://nvd.nist.gov/vuln/detail/CVE-2026-3261</t>
        </is>
      </c>
      <c r="L904" s="187" t="inlineStr">
        <is>
          <t>2026-02-27 20:47</t>
        </is>
      </c>
      <c r="M904" s="187" t="inlineStr">
        <is>
          <t>YES</t>
        </is>
      </c>
      <c r="N904" s="187" t="inlineStr">
        <is>
          <t>https://github.com/Ning-BJ/cve/issues/1</t>
        </is>
      </c>
      <c r="O904" s="187" t="inlineStr">
        <is>
          <t>https://github.com/Ning-BJ/cve/issues/1</t>
        </is>
      </c>
      <c r="P904" s="187" t="inlineStr">
        <is>
          <t>itsourcecode school_management_system 1.0</t>
        </is>
      </c>
      <c r="Q904" s="187" t="inlineStr">
        <is>
          <t>P3</t>
        </is>
      </c>
      <c r="R904" s="187" t="inlineStr">
        <is>
          <t>🚨 URGENT: Apply vendor patches immediately | 🔒 Isolate affected systems if patch unavailable | 🛡️ Enable additional monitoring/IDS rules</t>
        </is>
      </c>
      <c r="S904" s="187" t="inlineStr">
        <is>
          <t>CVE - IP enrichment n/a</t>
        </is>
      </c>
      <c r="T904" s="187" t="n">
        <v>0.0003</v>
      </c>
      <c r="U904" s="187" t="n">
        <v>0.0838</v>
      </c>
      <c r="V904" s="187" t="inlineStr">
        <is>
          <t>T1190:Exploit Public-Facing Application</t>
        </is>
      </c>
      <c r="W904" s="187" t="n">
        <v>1</v>
      </c>
      <c r="X904" s="187" t="inlineStr">
        <is>
          <t>LOW (40%)</t>
        </is>
      </c>
      <c r="Y904" s="187" t="inlineStr">
        <is>
          <t>UNLIKELY</t>
        </is>
      </c>
      <c r="Z904" s="187" t="inlineStr">
        <is>
          <t>PATCH_AVAILABLE</t>
        </is>
      </c>
      <c r="AA904" s="187" t="inlineStr">
        <is>
          <t>https://nvd.nist.gov/vuln/detail/CVE-2026-3261</t>
        </is>
      </c>
      <c r="AB904" s="187" t="inlineStr">
        <is>
          <t>NONE</t>
        </is>
      </c>
      <c r="AC904" s="187" t="n">
        <v>0</v>
      </c>
      <c r="AD904" s="187" t="inlineStr"/>
    </row>
    <row r="905">
      <c r="A905" s="188" t="inlineStr">
        <is>
          <t>CVE</t>
        </is>
      </c>
      <c r="B905" s="188" t="inlineStr">
        <is>
          <t>CVE-2026-3262</t>
        </is>
      </c>
      <c r="C905" s="188"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905" s="188" t="n">
        <v>6.3</v>
      </c>
      <c r="E905" s="188" t="inlineStr">
        <is>
          <t>MEDIUM</t>
        </is>
      </c>
      <c r="F905" s="188" t="n">
        <v>2</v>
      </c>
      <c r="G905" s="188" t="n">
        <v>2</v>
      </c>
      <c r="H905" s="188" t="inlineStr">
        <is>
          <t>MEDIUM</t>
        </is>
      </c>
      <c r="I905" s="188" t="n">
        <v>10.3</v>
      </c>
      <c r="J905" s="188" t="inlineStr">
        <is>
          <t>NO</t>
        </is>
      </c>
      <c r="K905" s="188" t="inlineStr">
        <is>
          <t>https://nvd.nist.gov/vuln/detail/CVE-2026-3262</t>
        </is>
      </c>
      <c r="L905" s="188" t="inlineStr">
        <is>
          <t>2026-02-27 20:47</t>
        </is>
      </c>
      <c r="M905" s="188" t="inlineStr">
        <is>
          <t>CHECK_VENDOR</t>
        </is>
      </c>
      <c r="N905" s="188" t="inlineStr">
        <is>
          <t>See NVD references</t>
        </is>
      </c>
      <c r="O905" s="188" t="inlineStr">
        <is>
          <t>Apply vendor patches</t>
        </is>
      </c>
      <c r="P905" s="188" t="inlineStr">
        <is>
          <t>See CVE details</t>
        </is>
      </c>
      <c r="Q905" s="188" t="inlineStr">
        <is>
          <t>P4</t>
        </is>
      </c>
      <c r="R905" s="188" t="inlineStr">
        <is>
          <t>📅 Schedule patch deployment within 30 days | 🔍 Monitor for exploitation attempts</t>
        </is>
      </c>
      <c r="S905" s="188" t="inlineStr">
        <is>
          <t>CVE - IP enrichment n/a</t>
        </is>
      </c>
      <c r="T905" s="188" t="n">
        <v>0.0005</v>
      </c>
      <c r="U905" s="188" t="n">
        <v>0.1553</v>
      </c>
      <c r="V905" s="188" t="inlineStr">
        <is>
          <t>T1190:Exploit Public-Facing Application</t>
        </is>
      </c>
      <c r="W905" s="188" t="n">
        <v>1</v>
      </c>
      <c r="X905" s="188" t="inlineStr">
        <is>
          <t>LOW (40%)</t>
        </is>
      </c>
      <c r="Y905" s="188" t="inlineStr">
        <is>
          <t>UNLIKELY</t>
        </is>
      </c>
      <c r="Z905" s="188" t="inlineStr">
        <is>
          <t>CHECK_VENDOR</t>
        </is>
      </c>
      <c r="AA905" s="188" t="inlineStr">
        <is>
          <t>https://nvd.nist.gov/vuln/detail/CVE-2026-3262</t>
        </is>
      </c>
      <c r="AB905" s="188" t="inlineStr">
        <is>
          <t>NONE</t>
        </is>
      </c>
      <c r="AC905" s="188" t="n">
        <v>0</v>
      </c>
      <c r="AD905" s="188" t="inlineStr"/>
    </row>
    <row r="906">
      <c r="A906" s="188" t="inlineStr">
        <is>
          <t>CVE</t>
        </is>
      </c>
      <c r="B906" s="188" t="inlineStr">
        <is>
          <t>CVE-2026-3263</t>
        </is>
      </c>
      <c r="C906" s="188"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906" s="188" t="n">
        <v>6.3</v>
      </c>
      <c r="E906" s="188" t="inlineStr">
        <is>
          <t>MEDIUM</t>
        </is>
      </c>
      <c r="F906" s="188" t="n">
        <v>2</v>
      </c>
      <c r="G906" s="188" t="n">
        <v>2</v>
      </c>
      <c r="H906" s="188" t="inlineStr">
        <is>
          <t>MEDIUM</t>
        </is>
      </c>
      <c r="I906" s="188" t="n">
        <v>10.3</v>
      </c>
      <c r="J906" s="188" t="inlineStr">
        <is>
          <t>NO</t>
        </is>
      </c>
      <c r="K906" s="188" t="inlineStr">
        <is>
          <t>https://nvd.nist.gov/vuln/detail/CVE-2026-3263</t>
        </is>
      </c>
      <c r="L906" s="188" t="inlineStr">
        <is>
          <t>2026-02-27 20:47</t>
        </is>
      </c>
      <c r="M906" s="188" t="inlineStr">
        <is>
          <t>CHECK_VENDOR</t>
        </is>
      </c>
      <c r="N906" s="188" t="inlineStr">
        <is>
          <t>See NVD references</t>
        </is>
      </c>
      <c r="O906" s="188" t="inlineStr">
        <is>
          <t>Apply vendor patches</t>
        </is>
      </c>
      <c r="P906" s="188" t="inlineStr">
        <is>
          <t>See CVE details</t>
        </is>
      </c>
      <c r="Q906" s="188" t="inlineStr">
        <is>
          <t>P4</t>
        </is>
      </c>
      <c r="R906" s="188" t="inlineStr">
        <is>
          <t>📅 Schedule patch deployment within 30 days | 🔍 Monitor for exploitation attempts</t>
        </is>
      </c>
      <c r="S906" s="188" t="inlineStr">
        <is>
          <t>CVE - IP enrichment n/a</t>
        </is>
      </c>
      <c r="T906" s="188" t="n">
        <v>0.0003</v>
      </c>
      <c r="U906" s="188" t="n">
        <v>0.0959</v>
      </c>
      <c r="V906" s="188" t="inlineStr">
        <is>
          <t>T1190:Exploit Public-Facing Application</t>
        </is>
      </c>
      <c r="W906" s="188" t="n">
        <v>1</v>
      </c>
      <c r="X906" s="188" t="inlineStr">
        <is>
          <t>LOW (40%)</t>
        </is>
      </c>
      <c r="Y906" s="188" t="inlineStr">
        <is>
          <t>UNLIKELY</t>
        </is>
      </c>
      <c r="Z906" s="188" t="inlineStr">
        <is>
          <t>CHECK_VENDOR</t>
        </is>
      </c>
      <c r="AA906" s="188" t="inlineStr">
        <is>
          <t>https://nvd.nist.gov/vuln/detail/CVE-2026-3263</t>
        </is>
      </c>
      <c r="AB906" s="188" t="inlineStr">
        <is>
          <t>NONE</t>
        </is>
      </c>
      <c r="AC906" s="188" t="n">
        <v>0</v>
      </c>
      <c r="AD906" s="188" t="inlineStr"/>
    </row>
    <row r="907">
      <c r="A907" s="187" t="inlineStr">
        <is>
          <t>CVE</t>
        </is>
      </c>
      <c r="B907" s="187" t="inlineStr">
        <is>
          <t>CVE-2026-27638</t>
        </is>
      </c>
      <c r="C907" s="187"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907" s="187" t="n">
        <v>7.1</v>
      </c>
      <c r="E907" s="187" t="inlineStr">
        <is>
          <t>HIGH</t>
        </is>
      </c>
      <c r="F907" s="187" t="n">
        <v>2</v>
      </c>
      <c r="G907" s="187" t="n">
        <v>3</v>
      </c>
      <c r="H907" s="187" t="inlineStr">
        <is>
          <t>HIGH</t>
        </is>
      </c>
      <c r="I907" s="187" t="n">
        <v>13.1</v>
      </c>
      <c r="J907" s="187" t="inlineStr">
        <is>
          <t>NO</t>
        </is>
      </c>
      <c r="K907" s="187" t="inlineStr">
        <is>
          <t>https://nvd.nist.gov/vuln/detail/CVE-2026-27638</t>
        </is>
      </c>
      <c r="L907" s="187" t="inlineStr">
        <is>
          <t>2026-02-27 20:47</t>
        </is>
      </c>
      <c r="M907" s="187" t="inlineStr">
        <is>
          <t>YES</t>
        </is>
      </c>
      <c r="N907" s="187" t="inlineStr">
        <is>
          <t>https://github.com/actualbudget/actual/commit/9966c024cb75f57943193cac8e42f401efed9d08 | https://github.com/actualbudget/actual/security/advisories/GHSA-qmjj-p7m9-wjrv</t>
        </is>
      </c>
      <c r="O907" s="187" t="inlineStr">
        <is>
          <t>Apply vendor patches</t>
        </is>
      </c>
      <c r="P907" s="187" t="inlineStr">
        <is>
          <t>actualbudget actual *</t>
        </is>
      </c>
      <c r="Q907" s="187" t="inlineStr">
        <is>
          <t>P3</t>
        </is>
      </c>
      <c r="R907" s="187" t="inlineStr">
        <is>
          <t>🚨 URGENT: Apply vendor patches immediately | 🔒 Isolate affected systems if patch unavailable | 🛡️ Enable additional monitoring/IDS rules</t>
        </is>
      </c>
      <c r="S907" s="187" t="inlineStr">
        <is>
          <t>CVE - IP enrichment n/a</t>
        </is>
      </c>
      <c r="T907" s="187" t="n">
        <v>0.0004</v>
      </c>
      <c r="U907" s="187" t="n">
        <v>0.1063</v>
      </c>
      <c r="V907" s="187" t="inlineStr">
        <is>
          <t>T1190:Exploit Public-Facing Application</t>
        </is>
      </c>
      <c r="W907" s="187" t="n">
        <v>1</v>
      </c>
      <c r="X907" s="187" t="inlineStr">
        <is>
          <t>LOW (40%)</t>
        </is>
      </c>
      <c r="Y907" s="187" t="inlineStr">
        <is>
          <t>UNLIKELY</t>
        </is>
      </c>
      <c r="Z907" s="187" t="inlineStr">
        <is>
          <t>PATCH_AVAILABLE</t>
        </is>
      </c>
      <c r="AA907" s="187" t="inlineStr">
        <is>
          <t>https://nvd.nist.gov/vuln/detail/CVE-2026-27638</t>
        </is>
      </c>
      <c r="AB907" s="187" t="inlineStr">
        <is>
          <t>NONE</t>
        </is>
      </c>
      <c r="AC907" s="187" t="n">
        <v>0</v>
      </c>
      <c r="AD907" s="187" t="inlineStr"/>
    </row>
    <row r="908">
      <c r="A908" s="190" t="inlineStr">
        <is>
          <t>CVE</t>
        </is>
      </c>
      <c r="B908" s="190" t="inlineStr">
        <is>
          <t>CVE-2026-27838</t>
        </is>
      </c>
      <c r="C908" s="190"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908" s="190" t="n">
        <v>3.1</v>
      </c>
      <c r="E908" s="190" t="inlineStr">
        <is>
          <t>LOW</t>
        </is>
      </c>
      <c r="F908" s="190" t="n">
        <v>2</v>
      </c>
      <c r="G908" s="190" t="n">
        <v>1</v>
      </c>
      <c r="H908" s="190" t="inlineStr">
        <is>
          <t>LOW</t>
        </is>
      </c>
      <c r="I908" s="190" t="n">
        <v>5.1</v>
      </c>
      <c r="J908" s="190" t="inlineStr">
        <is>
          <t>NO</t>
        </is>
      </c>
      <c r="K908" s="190" t="inlineStr">
        <is>
          <t>https://nvd.nist.gov/vuln/detail/CVE-2026-27838</t>
        </is>
      </c>
      <c r="L908" s="190" t="inlineStr">
        <is>
          <t>2026-02-27 20:47</t>
        </is>
      </c>
      <c r="M908" s="190" t="inlineStr">
        <is>
          <t>CHECK_VENDOR</t>
        </is>
      </c>
      <c r="N908" s="190" t="inlineStr">
        <is>
          <t>See NVD references</t>
        </is>
      </c>
      <c r="O908" s="190" t="inlineStr">
        <is>
          <t>Apply vendor patches</t>
        </is>
      </c>
      <c r="P908" s="190" t="inlineStr">
        <is>
          <t>See CVE details</t>
        </is>
      </c>
      <c r="Q908" s="190" t="inlineStr">
        <is>
          <t>P4</t>
        </is>
      </c>
      <c r="R908" s="190" t="inlineStr">
        <is>
          <t>📅 Schedule patch deployment within 30 days | 🔍 Monitor for exploitation attempts</t>
        </is>
      </c>
      <c r="S908" s="190" t="inlineStr">
        <is>
          <t>CVE - IP enrichment n/a</t>
        </is>
      </c>
      <c r="T908" s="190" t="n">
        <v>0.0003</v>
      </c>
      <c r="U908" s="190" t="n">
        <v>0.0665</v>
      </c>
      <c r="V908" s="190" t="inlineStr">
        <is>
          <t>T1190:Exploit Public-Facing Application</t>
        </is>
      </c>
      <c r="W908" s="190" t="n">
        <v>1</v>
      </c>
      <c r="X908" s="190" t="inlineStr">
        <is>
          <t>LOW (40%)</t>
        </is>
      </c>
      <c r="Y908" s="190" t="inlineStr">
        <is>
          <t>UNLIKELY</t>
        </is>
      </c>
      <c r="Z908" s="190" t="inlineStr">
        <is>
          <t>CHECK_VENDOR</t>
        </is>
      </c>
      <c r="AA908" s="190" t="inlineStr">
        <is>
          <t>https://nvd.nist.gov/vuln/detail/CVE-2026-27838</t>
        </is>
      </c>
      <c r="AB908" s="190" t="inlineStr">
        <is>
          <t>NONE</t>
        </is>
      </c>
      <c r="AC908" s="190" t="n">
        <v>0</v>
      </c>
      <c r="AD908" s="190" t="inlineStr"/>
    </row>
    <row r="909">
      <c r="A909" s="188" t="inlineStr">
        <is>
          <t>CVE</t>
        </is>
      </c>
      <c r="B909" s="188" t="inlineStr">
        <is>
          <t>CVE-2026-27839</t>
        </is>
      </c>
      <c r="C909" s="188"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909" s="188" t="n">
        <v>4.3</v>
      </c>
      <c r="E909" s="188" t="inlineStr">
        <is>
          <t>MEDIUM</t>
        </is>
      </c>
      <c r="F909" s="188" t="n">
        <v>2</v>
      </c>
      <c r="G909" s="188" t="n">
        <v>2</v>
      </c>
      <c r="H909" s="188" t="inlineStr">
        <is>
          <t>MEDIUM</t>
        </is>
      </c>
      <c r="I909" s="188" t="n">
        <v>8.300000000000001</v>
      </c>
      <c r="J909" s="188" t="inlineStr">
        <is>
          <t>NO</t>
        </is>
      </c>
      <c r="K909" s="188" t="inlineStr">
        <is>
          <t>https://nvd.nist.gov/vuln/detail/CVE-2026-27839</t>
        </is>
      </c>
      <c r="L909" s="188" t="inlineStr">
        <is>
          <t>2026-02-27 20:47</t>
        </is>
      </c>
      <c r="M909" s="188" t="inlineStr">
        <is>
          <t>CHECK_VENDOR</t>
        </is>
      </c>
      <c r="N909" s="188" t="inlineStr">
        <is>
          <t>See NVD references</t>
        </is>
      </c>
      <c r="O909" s="188" t="inlineStr">
        <is>
          <t>Apply vendor patches</t>
        </is>
      </c>
      <c r="P909" s="188" t="inlineStr">
        <is>
          <t>See CVE details</t>
        </is>
      </c>
      <c r="Q909" s="188" t="inlineStr">
        <is>
          <t>P4</t>
        </is>
      </c>
      <c r="R909" s="188" t="inlineStr">
        <is>
          <t>📅 Schedule patch deployment within 30 days | 🔍 Monitor for exploitation attempts</t>
        </is>
      </c>
      <c r="S909" s="188" t="inlineStr">
        <is>
          <t>CVE - IP enrichment n/a</t>
        </is>
      </c>
      <c r="T909" s="188" t="n">
        <v>0.0003</v>
      </c>
      <c r="U909" s="188" t="n">
        <v>0.0665</v>
      </c>
      <c r="V909" s="188" t="inlineStr">
        <is>
          <t>T1190:Exploit Public-Facing Application</t>
        </is>
      </c>
      <c r="W909" s="188" t="n">
        <v>1</v>
      </c>
      <c r="X909" s="188" t="inlineStr">
        <is>
          <t>LOW (40%)</t>
        </is>
      </c>
      <c r="Y909" s="188" t="inlineStr">
        <is>
          <t>UNLIKELY</t>
        </is>
      </c>
      <c r="Z909" s="188" t="inlineStr">
        <is>
          <t>CHECK_VENDOR</t>
        </is>
      </c>
      <c r="AA909" s="188" t="inlineStr">
        <is>
          <t>https://nvd.nist.gov/vuln/detail/CVE-2026-27839</t>
        </is>
      </c>
      <c r="AB909" s="188" t="inlineStr">
        <is>
          <t>NONE</t>
        </is>
      </c>
      <c r="AC909" s="188" t="n">
        <v>0</v>
      </c>
      <c r="AD909" s="188" t="inlineStr"/>
    </row>
    <row r="910">
      <c r="A910" s="188" t="inlineStr">
        <is>
          <t>CVE</t>
        </is>
      </c>
      <c r="B910" s="188" t="inlineStr">
        <is>
          <t>CVE-2026-28207</t>
        </is>
      </c>
      <c r="C910" s="188"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910" s="188" t="n">
        <v>6.6</v>
      </c>
      <c r="E910" s="188" t="inlineStr">
        <is>
          <t>MEDIUM</t>
        </is>
      </c>
      <c r="F910" s="188" t="n">
        <v>2</v>
      </c>
      <c r="G910" s="188" t="n">
        <v>2</v>
      </c>
      <c r="H910" s="188" t="inlineStr">
        <is>
          <t>MEDIUM</t>
        </is>
      </c>
      <c r="I910" s="188" t="n">
        <v>10.6</v>
      </c>
      <c r="J910" s="188" t="inlineStr">
        <is>
          <t>NO</t>
        </is>
      </c>
      <c r="K910" s="188" t="inlineStr">
        <is>
          <t>https://nvd.nist.gov/vuln/detail/CVE-2026-28207</t>
        </is>
      </c>
      <c r="L910" s="188" t="inlineStr">
        <is>
          <t>2026-02-27 20:47</t>
        </is>
      </c>
      <c r="M910" s="188" t="inlineStr">
        <is>
          <t>CHECK_VENDOR</t>
        </is>
      </c>
      <c r="N910" s="188" t="inlineStr">
        <is>
          <t>See NVD references</t>
        </is>
      </c>
      <c r="O910" s="188" t="inlineStr">
        <is>
          <t>Apply vendor patches</t>
        </is>
      </c>
      <c r="P910" s="188" t="inlineStr">
        <is>
          <t>See CVE details</t>
        </is>
      </c>
      <c r="Q910" s="188" t="inlineStr">
        <is>
          <t>P4</t>
        </is>
      </c>
      <c r="R910" s="188" t="inlineStr">
        <is>
          <t>📅 Schedule patch deployment within 30 days | 🔍 Monitor for exploitation attempts</t>
        </is>
      </c>
      <c r="S910" s="188" t="inlineStr">
        <is>
          <t>CVE - IP enrichment n/a</t>
        </is>
      </c>
      <c r="T910" s="188" t="n">
        <v>0.0005</v>
      </c>
      <c r="U910" s="188" t="n">
        <v>0.1561</v>
      </c>
      <c r="V910" s="188" t="inlineStr">
        <is>
          <t>T1059:Command and Scripting Interpreter</t>
        </is>
      </c>
      <c r="W910" s="188" t="n">
        <v>1</v>
      </c>
      <c r="X910" s="188" t="inlineStr">
        <is>
          <t>LOW (40%)</t>
        </is>
      </c>
      <c r="Y910" s="188" t="inlineStr">
        <is>
          <t>UNLIKELY</t>
        </is>
      </c>
      <c r="Z910" s="188" t="inlineStr">
        <is>
          <t>CHECK_VENDOR</t>
        </is>
      </c>
      <c r="AA910" s="188" t="inlineStr">
        <is>
          <t>https://nvd.nist.gov/vuln/detail/CVE-2026-28207</t>
        </is>
      </c>
      <c r="AB910" s="188" t="inlineStr">
        <is>
          <t>NONE</t>
        </is>
      </c>
      <c r="AC910" s="188" t="n">
        <v>0</v>
      </c>
      <c r="AD910" s="188" t="inlineStr"/>
    </row>
    <row r="911">
      <c r="A911" s="188" t="inlineStr">
        <is>
          <t>CVE</t>
        </is>
      </c>
      <c r="B911" s="188" t="inlineStr">
        <is>
          <t>CVE-2026-28208</t>
        </is>
      </c>
      <c r="C911" s="188"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911" s="188" t="n">
        <v>5.9</v>
      </c>
      <c r="E911" s="188" t="inlineStr">
        <is>
          <t>MEDIUM</t>
        </is>
      </c>
      <c r="F911" s="188" t="n">
        <v>2</v>
      </c>
      <c r="G911" s="188" t="n">
        <v>2</v>
      </c>
      <c r="H911" s="188" t="inlineStr">
        <is>
          <t>MEDIUM</t>
        </is>
      </c>
      <c r="I911" s="188" t="n">
        <v>9.9</v>
      </c>
      <c r="J911" s="188" t="inlineStr">
        <is>
          <t>NO</t>
        </is>
      </c>
      <c r="K911" s="188" t="inlineStr">
        <is>
          <t>https://nvd.nist.gov/vuln/detail/CVE-2026-28208</t>
        </is>
      </c>
      <c r="L911" s="188" t="inlineStr">
        <is>
          <t>2026-02-27 20:47</t>
        </is>
      </c>
      <c r="M911" s="188" t="inlineStr">
        <is>
          <t>YES</t>
        </is>
      </c>
      <c r="N911" s="188" t="inlineStr">
        <is>
          <t>https://github.com/junrar/junrar/commit/947ff1d33f00f940aa68ae2593500291d799d954 | https://github.com/junrar/junrar/security/advisories/GHSA-j273-m5qq-6825</t>
        </is>
      </c>
      <c r="O911" s="188" t="inlineStr">
        <is>
          <t>Apply vendor patches</t>
        </is>
      </c>
      <c r="P911" s="188" t="inlineStr">
        <is>
          <t>junrar_project junrar *</t>
        </is>
      </c>
      <c r="Q911" s="188" t="inlineStr">
        <is>
          <t>P4</t>
        </is>
      </c>
      <c r="R911" s="188" t="inlineStr">
        <is>
          <t>📅 Schedule patch deployment within 30 days | 🔍 Monitor for exploitation attempts</t>
        </is>
      </c>
      <c r="S911" s="188" t="inlineStr">
        <is>
          <t>CVE - IP enrichment n/a</t>
        </is>
      </c>
      <c r="T911" s="188" t="n">
        <v>0.0011</v>
      </c>
      <c r="U911" s="188" t="n">
        <v>0.2904</v>
      </c>
      <c r="V911" s="188" t="inlineStr">
        <is>
          <t>T1083:File and Directory Discovery | T1190:Exploit Public-Facing Application | T1210:Exploitation of Remote Services</t>
        </is>
      </c>
      <c r="W911" s="188" t="n">
        <v>1</v>
      </c>
      <c r="X911" s="188" t="inlineStr">
        <is>
          <t>LOW (40%)</t>
        </is>
      </c>
      <c r="Y911" s="188" t="inlineStr">
        <is>
          <t>UNLIKELY</t>
        </is>
      </c>
      <c r="Z911" s="188" t="inlineStr">
        <is>
          <t>PATCH_AVAILABLE</t>
        </is>
      </c>
      <c r="AA911" s="188" t="inlineStr">
        <is>
          <t>https://nvd.nist.gov/vuln/detail/CVE-2026-28208</t>
        </is>
      </c>
      <c r="AB911" s="188" t="inlineStr">
        <is>
          <t>NONE</t>
        </is>
      </c>
      <c r="AC911" s="188" t="n">
        <v>0</v>
      </c>
      <c r="AD911" s="188" t="inlineStr"/>
    </row>
    <row r="912">
      <c r="A912" s="187" t="inlineStr">
        <is>
          <t>CVE</t>
        </is>
      </c>
      <c r="B912" s="187" t="inlineStr">
        <is>
          <t>CVE-2026-28211</t>
        </is>
      </c>
      <c r="C912" s="187"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912" s="187" t="n">
        <v>7.8</v>
      </c>
      <c r="E912" s="187" t="inlineStr">
        <is>
          <t>HIGH</t>
        </is>
      </c>
      <c r="F912" s="187" t="n">
        <v>2</v>
      </c>
      <c r="G912" s="187" t="n">
        <v>3</v>
      </c>
      <c r="H912" s="187" t="inlineStr">
        <is>
          <t>HIGH</t>
        </is>
      </c>
      <c r="I912" s="187" t="n">
        <v>13.8</v>
      </c>
      <c r="J912" s="187" t="inlineStr">
        <is>
          <t>NO</t>
        </is>
      </c>
      <c r="K912" s="187" t="inlineStr">
        <is>
          <t>https://nvd.nist.gov/vuln/detail/CVE-2026-28211</t>
        </is>
      </c>
      <c r="L912" s="187" t="inlineStr">
        <is>
          <t>2026-02-27 20:47</t>
        </is>
      </c>
      <c r="M912" s="187" t="inlineStr">
        <is>
          <t>CHECK_VENDOR</t>
        </is>
      </c>
      <c r="N912" s="187" t="inlineStr">
        <is>
          <t>See NVD references</t>
        </is>
      </c>
      <c r="O912" s="187" t="inlineStr">
        <is>
          <t>Apply vendor patches</t>
        </is>
      </c>
      <c r="P912" s="187" t="inlineStr">
        <is>
          <t>See CVE details</t>
        </is>
      </c>
      <c r="Q912" s="187" t="inlineStr">
        <is>
          <t>P3</t>
        </is>
      </c>
      <c r="R912" s="187" t="inlineStr">
        <is>
          <t>🚨 URGENT: Apply vendor patches immediately | 🔒 Isolate affected systems if patch unavailable | 🛡️ Enable additional monitoring/IDS rules</t>
        </is>
      </c>
      <c r="S912" s="187" t="inlineStr">
        <is>
          <t>CVE - IP enrichment n/a</t>
        </is>
      </c>
      <c r="T912" s="187" t="n">
        <v>0.0001</v>
      </c>
      <c r="U912" s="187" t="n">
        <v>0.0058</v>
      </c>
      <c r="V912" s="187" t="inlineStr">
        <is>
          <t>T1203:Exploitation for Client Execution</t>
        </is>
      </c>
      <c r="W912" s="187" t="n">
        <v>1</v>
      </c>
      <c r="X912" s="187" t="inlineStr">
        <is>
          <t>LOW (40%)</t>
        </is>
      </c>
      <c r="Y912" s="187" t="inlineStr">
        <is>
          <t>UNLIKELY</t>
        </is>
      </c>
      <c r="Z912" s="187" t="inlineStr">
        <is>
          <t>CHECK_VENDOR</t>
        </is>
      </c>
      <c r="AA912" s="187" t="inlineStr">
        <is>
          <t>https://nvd.nist.gov/vuln/detail/CVE-2026-28211</t>
        </is>
      </c>
      <c r="AB912" s="187" t="inlineStr">
        <is>
          <t>NONE</t>
        </is>
      </c>
      <c r="AC912" s="187" t="n">
        <v>0</v>
      </c>
      <c r="AD912" s="187" t="inlineStr"/>
    </row>
    <row r="913">
      <c r="A913" s="189" t="inlineStr">
        <is>
          <t>CVE</t>
        </is>
      </c>
      <c r="B913" s="189" t="inlineStr">
        <is>
          <t>CVE-2026-28213</t>
        </is>
      </c>
      <c r="C913" s="189"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913" s="189" t="n">
        <v>9.800000000000001</v>
      </c>
      <c r="E913" s="189" t="inlineStr">
        <is>
          <t>CRITICAL</t>
        </is>
      </c>
      <c r="F913" s="189" t="n">
        <v>2</v>
      </c>
      <c r="G913" s="189" t="n">
        <v>3</v>
      </c>
      <c r="H913" s="189" t="inlineStr">
        <is>
          <t>HIGH</t>
        </is>
      </c>
      <c r="I913" s="189" t="n">
        <v>15.8</v>
      </c>
      <c r="J913" s="189" t="inlineStr">
        <is>
          <t>NO</t>
        </is>
      </c>
      <c r="K913" s="189" t="inlineStr">
        <is>
          <t>https://nvd.nist.gov/vuln/detail/CVE-2026-28213</t>
        </is>
      </c>
      <c r="L913" s="189" t="inlineStr">
        <is>
          <t>2026-02-27 20:47</t>
        </is>
      </c>
      <c r="M913" s="189" t="inlineStr">
        <is>
          <t>CHECK_VENDOR</t>
        </is>
      </c>
      <c r="N913" s="189" t="inlineStr">
        <is>
          <t>See NVD references</t>
        </is>
      </c>
      <c r="O913" s="189" t="inlineStr">
        <is>
          <t>Apply vendor patches</t>
        </is>
      </c>
      <c r="P913" s="189" t="inlineStr">
        <is>
          <t>See CVE details</t>
        </is>
      </c>
      <c r="Q913" s="189" t="inlineStr">
        <is>
          <t>P3</t>
        </is>
      </c>
      <c r="R913" s="189" t="inlineStr">
        <is>
          <t>🚨 URGENT: Apply vendor patches immediately | 🔒 Isolate affected systems if patch unavailable | 🛡️ Enable additional monitoring/IDS rules</t>
        </is>
      </c>
      <c r="S913" s="189" t="inlineStr">
        <is>
          <t>CVE - IP enrichment n/a</t>
        </is>
      </c>
      <c r="T913" s="189" t="n">
        <v>0.0004</v>
      </c>
      <c r="U913" s="189" t="n">
        <v>0.1245</v>
      </c>
      <c r="V913" s="189" t="inlineStr">
        <is>
          <t>T1213:Data from Information Repositories | T1190:Exploit Public-Facing Application</t>
        </is>
      </c>
      <c r="W913" s="189" t="n">
        <v>1</v>
      </c>
      <c r="X913" s="189" t="inlineStr">
        <is>
          <t>LOW (40%)</t>
        </is>
      </c>
      <c r="Y913" s="189" t="inlineStr">
        <is>
          <t>UNLIKELY</t>
        </is>
      </c>
      <c r="Z913" s="189" t="inlineStr">
        <is>
          <t>CHECK_VENDOR</t>
        </is>
      </c>
      <c r="AA913" s="189" t="inlineStr">
        <is>
          <t>https://nvd.nist.gov/vuln/detail/CVE-2026-28213</t>
        </is>
      </c>
      <c r="AB913" s="189" t="inlineStr">
        <is>
          <t>NONE</t>
        </is>
      </c>
      <c r="AC913" s="189" t="n">
        <v>0</v>
      </c>
      <c r="AD913" s="189" t="inlineStr"/>
    </row>
    <row r="914">
      <c r="A914" s="189" t="inlineStr">
        <is>
          <t>CVE</t>
        </is>
      </c>
      <c r="B914" s="189" t="inlineStr">
        <is>
          <t>CVE-2026-28215</t>
        </is>
      </c>
      <c r="C914" s="189"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914" s="189" t="n">
        <v>9.1</v>
      </c>
      <c r="E914" s="189" t="inlineStr">
        <is>
          <t>CRITICAL</t>
        </is>
      </c>
      <c r="F914" s="189" t="n">
        <v>2</v>
      </c>
      <c r="G914" s="189" t="n">
        <v>3</v>
      </c>
      <c r="H914" s="189" t="inlineStr">
        <is>
          <t>HIGH</t>
        </is>
      </c>
      <c r="I914" s="189" t="n">
        <v>15.1</v>
      </c>
      <c r="J914" s="189" t="inlineStr">
        <is>
          <t>NO</t>
        </is>
      </c>
      <c r="K914" s="189" t="inlineStr">
        <is>
          <t>https://nvd.nist.gov/vuln/detail/CVE-2026-28215</t>
        </is>
      </c>
      <c r="L914" s="189" t="inlineStr">
        <is>
          <t>2026-02-27 20:47</t>
        </is>
      </c>
      <c r="M914" s="189" t="inlineStr">
        <is>
          <t>YES</t>
        </is>
      </c>
      <c r="N914" s="189" t="inlineStr">
        <is>
          <t>https://github.com/hoppscotch/hoppscotch/security/advisories/GHSA-jwv8-867r-q9fg</t>
        </is>
      </c>
      <c r="O914" s="189" t="inlineStr">
        <is>
          <t>Apply vendor patches</t>
        </is>
      </c>
      <c r="P914" s="189" t="inlineStr">
        <is>
          <t>hoppscotch hoppscotch *</t>
        </is>
      </c>
      <c r="Q914" s="189" t="inlineStr">
        <is>
          <t>P3</t>
        </is>
      </c>
      <c r="R914" s="189" t="inlineStr">
        <is>
          <t>🚨 URGENT: Apply vendor patches immediately | 🔒 Isolate affected systems if patch unavailable | 🛡️ Enable additional monitoring/IDS rules</t>
        </is>
      </c>
      <c r="S914" s="189" t="inlineStr">
        <is>
          <t>CVE - IP enrichment n/a</t>
        </is>
      </c>
      <c r="T914" s="189" t="n">
        <v>0.0009</v>
      </c>
      <c r="U914" s="189" t="n">
        <v>0.2471</v>
      </c>
      <c r="V914" s="189" t="inlineStr">
        <is>
          <t>T1190:Exploit Public-Facing Application | T1552:Unsecured Credentials</t>
        </is>
      </c>
      <c r="W914" s="189" t="n">
        <v>1</v>
      </c>
      <c r="X914" s="189" t="inlineStr">
        <is>
          <t>LOW (40%)</t>
        </is>
      </c>
      <c r="Y914" s="189" t="inlineStr">
        <is>
          <t>UNLIKELY</t>
        </is>
      </c>
      <c r="Z914" s="189" t="inlineStr">
        <is>
          <t>PATCH_AVAILABLE</t>
        </is>
      </c>
      <c r="AA914" s="189" t="inlineStr">
        <is>
          <t>https://nvd.nist.gov/vuln/detail/CVE-2026-28215</t>
        </is>
      </c>
      <c r="AB914" s="189" t="inlineStr">
        <is>
          <t>NONE</t>
        </is>
      </c>
      <c r="AC914" s="189" t="n">
        <v>0</v>
      </c>
      <c r="AD914" s="189" t="inlineStr"/>
    </row>
    <row r="915">
      <c r="A915" s="187" t="inlineStr">
        <is>
          <t>CVE</t>
        </is>
      </c>
      <c r="B915" s="187" t="inlineStr">
        <is>
          <t>CVE-2026-28216</t>
        </is>
      </c>
      <c r="C915" s="187"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915" s="187" t="n">
        <v>8.300000000000001</v>
      </c>
      <c r="E915" s="187" t="inlineStr">
        <is>
          <t>HIGH</t>
        </is>
      </c>
      <c r="F915" s="187" t="n">
        <v>2</v>
      </c>
      <c r="G915" s="187" t="n">
        <v>3</v>
      </c>
      <c r="H915" s="187" t="inlineStr">
        <is>
          <t>HIGH</t>
        </is>
      </c>
      <c r="I915" s="187" t="n">
        <v>14.3</v>
      </c>
      <c r="J915" s="187" t="inlineStr">
        <is>
          <t>NO</t>
        </is>
      </c>
      <c r="K915" s="187" t="inlineStr">
        <is>
          <t>https://nvd.nist.gov/vuln/detail/CVE-2026-28216</t>
        </is>
      </c>
      <c r="L915" s="187" t="inlineStr">
        <is>
          <t>2026-02-27 20:47</t>
        </is>
      </c>
      <c r="M915" s="187" t="inlineStr">
        <is>
          <t>YES</t>
        </is>
      </c>
      <c r="N915" s="187" t="inlineStr">
        <is>
          <t>https://github.com/hoppscotch/hoppscotch/security/advisories/GHSA-72rv-vc3j-5vqr</t>
        </is>
      </c>
      <c r="O915" s="187" t="inlineStr">
        <is>
          <t>Apply vendor patches</t>
        </is>
      </c>
      <c r="P915" s="187" t="inlineStr">
        <is>
          <t>hoppscotch hoppscotch *</t>
        </is>
      </c>
      <c r="Q915" s="187" t="inlineStr">
        <is>
          <t>P3</t>
        </is>
      </c>
      <c r="R915" s="187" t="inlineStr">
        <is>
          <t>🚨 URGENT: Apply vendor patches immediately | 🔒 Isolate affected systems if patch unavailable | 🛡️ Enable additional monitoring/IDS rules</t>
        </is>
      </c>
      <c r="S915" s="187" t="inlineStr">
        <is>
          <t>CVE - IP enrichment n/a</t>
        </is>
      </c>
      <c r="T915" s="187" t="n">
        <v>0.0004</v>
      </c>
      <c r="U915" s="187" t="n">
        <v>0.1121</v>
      </c>
      <c r="V915" s="187" t="inlineStr">
        <is>
          <t>T1190:Exploit Public-Facing Application</t>
        </is>
      </c>
      <c r="W915" s="187" t="n">
        <v>1</v>
      </c>
      <c r="X915" s="187" t="inlineStr">
        <is>
          <t>LOW (40%)</t>
        </is>
      </c>
      <c r="Y915" s="187" t="inlineStr">
        <is>
          <t>UNLIKELY</t>
        </is>
      </c>
      <c r="Z915" s="187" t="inlineStr">
        <is>
          <t>PATCH_AVAILABLE</t>
        </is>
      </c>
      <c r="AA915" s="187" t="inlineStr">
        <is>
          <t>https://nvd.nist.gov/vuln/detail/CVE-2026-28216</t>
        </is>
      </c>
      <c r="AB915" s="187" t="inlineStr">
        <is>
          <t>NONE</t>
        </is>
      </c>
      <c r="AC915" s="187" t="n">
        <v>0</v>
      </c>
      <c r="AD915" s="187" t="inlineStr"/>
    </row>
    <row r="916">
      <c r="A916" s="188" t="inlineStr">
        <is>
          <t>CVE</t>
        </is>
      </c>
      <c r="B916" s="188" t="inlineStr">
        <is>
          <t>CVE-2026-28217</t>
        </is>
      </c>
      <c r="C916" s="188"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916" s="188" t="n">
        <v>6.5</v>
      </c>
      <c r="E916" s="188" t="inlineStr">
        <is>
          <t>MEDIUM</t>
        </is>
      </c>
      <c r="F916" s="188" t="n">
        <v>2</v>
      </c>
      <c r="G916" s="188" t="n">
        <v>2</v>
      </c>
      <c r="H916" s="188" t="inlineStr">
        <is>
          <t>MEDIUM</t>
        </is>
      </c>
      <c r="I916" s="188" t="n">
        <v>10.5</v>
      </c>
      <c r="J916" s="188" t="inlineStr">
        <is>
          <t>NO</t>
        </is>
      </c>
      <c r="K916" s="188" t="inlineStr">
        <is>
          <t>https://nvd.nist.gov/vuln/detail/CVE-2026-28217</t>
        </is>
      </c>
      <c r="L916" s="188" t="inlineStr">
        <is>
          <t>2026-02-27 20:47</t>
        </is>
      </c>
      <c r="M916" s="188" t="inlineStr">
        <is>
          <t>YES</t>
        </is>
      </c>
      <c r="N916" s="188" t="inlineStr">
        <is>
          <t>https://github.com/hoppscotch/hoppscotch/security/advisories/GHSA-m5pg-r4jp-qq75</t>
        </is>
      </c>
      <c r="O916" s="188" t="inlineStr">
        <is>
          <t>https://github.com/hoppscotch/hoppscotch/security/advisories/GHSA-m5pg-r4jp-qq75</t>
        </is>
      </c>
      <c r="P916" s="188" t="inlineStr">
        <is>
          <t>hoppscotch hoppscotch *</t>
        </is>
      </c>
      <c r="Q916" s="188" t="inlineStr">
        <is>
          <t>P4</t>
        </is>
      </c>
      <c r="R916" s="188" t="inlineStr">
        <is>
          <t>📅 Schedule patch deployment within 30 days | 🔍 Monitor for exploitation attempts</t>
        </is>
      </c>
      <c r="S916" s="188" t="inlineStr">
        <is>
          <t>CVE - IP enrichment n/a</t>
        </is>
      </c>
      <c r="T916" s="188" t="n">
        <v>0.0003</v>
      </c>
      <c r="U916" s="188" t="n">
        <v>0.0772</v>
      </c>
      <c r="V916" s="188" t="inlineStr">
        <is>
          <t>T1190:Exploit Public-Facing Application</t>
        </is>
      </c>
      <c r="W916" s="188" t="n">
        <v>1</v>
      </c>
      <c r="X916" s="188" t="inlineStr">
        <is>
          <t>LOW (40%)</t>
        </is>
      </c>
      <c r="Y916" s="188" t="inlineStr">
        <is>
          <t>UNLIKELY</t>
        </is>
      </c>
      <c r="Z916" s="188" t="inlineStr">
        <is>
          <t>PATCH_AVAILABLE</t>
        </is>
      </c>
      <c r="AA916" s="188" t="inlineStr">
        <is>
          <t>https://nvd.nist.gov/vuln/detail/CVE-2026-28217</t>
        </is>
      </c>
      <c r="AB916" s="188" t="inlineStr">
        <is>
          <t>NONE</t>
        </is>
      </c>
      <c r="AC916" s="188" t="n">
        <v>0</v>
      </c>
      <c r="AD916" s="188" t="inlineStr"/>
    </row>
    <row r="917">
      <c r="A917" s="188" t="inlineStr">
        <is>
          <t>CVE</t>
        </is>
      </c>
      <c r="B917" s="188" t="inlineStr">
        <is>
          <t>CVE-2026-28225</t>
        </is>
      </c>
      <c r="C917" s="188"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917" s="188" t="n">
        <v>5.3</v>
      </c>
      <c r="E917" s="188" t="inlineStr">
        <is>
          <t>MEDIUM</t>
        </is>
      </c>
      <c r="F917" s="188" t="n">
        <v>2</v>
      </c>
      <c r="G917" s="188" t="n">
        <v>2</v>
      </c>
      <c r="H917" s="188" t="inlineStr">
        <is>
          <t>MEDIUM</t>
        </is>
      </c>
      <c r="I917" s="188" t="n">
        <v>9.300000000000001</v>
      </c>
      <c r="J917" s="188" t="inlineStr">
        <is>
          <t>NO</t>
        </is>
      </c>
      <c r="K917" s="188" t="inlineStr">
        <is>
          <t>https://nvd.nist.gov/vuln/detail/CVE-2026-28225</t>
        </is>
      </c>
      <c r="L917" s="188" t="inlineStr">
        <is>
          <t>2026-02-27 20:47</t>
        </is>
      </c>
      <c r="M917" s="188" t="inlineStr">
        <is>
          <t>YES</t>
        </is>
      </c>
      <c r="N917" s="188" t="inlineStr">
        <is>
          <t>https://github.com/manyfold3d/manyfold/security/advisories/GHSA-v8pw-3r2f-3fqm</t>
        </is>
      </c>
      <c r="O917" s="188" t="inlineStr">
        <is>
          <t>https://github.com/manyfold3d/manyfold/security/advisories/GHSA-v8pw-3r2f-3fqm</t>
        </is>
      </c>
      <c r="P917" s="188" t="inlineStr">
        <is>
          <t>manyfold manyfold *</t>
        </is>
      </c>
      <c r="Q917" s="188" t="inlineStr">
        <is>
          <t>P4</t>
        </is>
      </c>
      <c r="R917" s="188" t="inlineStr">
        <is>
          <t>📅 Schedule patch deployment within 30 days | 🔍 Monitor for exploitation attempts</t>
        </is>
      </c>
      <c r="S917" s="188" t="inlineStr">
        <is>
          <t>CVE - IP enrichment n/a</t>
        </is>
      </c>
      <c r="T917" s="188" t="n">
        <v>0.0003</v>
      </c>
      <c r="U917" s="188" t="n">
        <v>0.0762</v>
      </c>
      <c r="V917" s="188" t="inlineStr">
        <is>
          <t>T1190:Exploit Public-Facing Application</t>
        </is>
      </c>
      <c r="W917" s="188" t="n">
        <v>1</v>
      </c>
      <c r="X917" s="188" t="inlineStr">
        <is>
          <t>LOW (40%)</t>
        </is>
      </c>
      <c r="Y917" s="188" t="inlineStr">
        <is>
          <t>UNLIKELY</t>
        </is>
      </c>
      <c r="Z917" s="188" t="inlineStr">
        <is>
          <t>PATCH_AVAILABLE</t>
        </is>
      </c>
      <c r="AA917" s="188" t="inlineStr">
        <is>
          <t>https://nvd.nist.gov/vuln/detail/CVE-2026-28225</t>
        </is>
      </c>
      <c r="AB917" s="188" t="inlineStr">
        <is>
          <t>NONE</t>
        </is>
      </c>
      <c r="AC917" s="188" t="n">
        <v>0</v>
      </c>
      <c r="AD917" s="188" t="inlineStr"/>
    </row>
    <row r="918">
      <c r="A918" s="188" t="inlineStr">
        <is>
          <t>CVE</t>
        </is>
      </c>
      <c r="B918" s="188" t="inlineStr">
        <is>
          <t>CVE-2026-28226</t>
        </is>
      </c>
      <c r="C918" s="188"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918" s="188" t="n">
        <v>6.5</v>
      </c>
      <c r="E918" s="188" t="inlineStr">
        <is>
          <t>MEDIUM</t>
        </is>
      </c>
      <c r="F918" s="188" t="n">
        <v>2</v>
      </c>
      <c r="G918" s="188" t="n">
        <v>2</v>
      </c>
      <c r="H918" s="188" t="inlineStr">
        <is>
          <t>MEDIUM</t>
        </is>
      </c>
      <c r="I918" s="188" t="n">
        <v>10.5</v>
      </c>
      <c r="J918" s="188" t="inlineStr">
        <is>
          <t>NO</t>
        </is>
      </c>
      <c r="K918" s="188" t="inlineStr">
        <is>
          <t>https://nvd.nist.gov/vuln/detail/CVE-2026-28226</t>
        </is>
      </c>
      <c r="L918" s="188" t="inlineStr">
        <is>
          <t>2026-02-27 20:47</t>
        </is>
      </c>
      <c r="M918" s="188" t="inlineStr">
        <is>
          <t>CHECK_VENDOR</t>
        </is>
      </c>
      <c r="N918" s="188" t="inlineStr">
        <is>
          <t>See NVD references</t>
        </is>
      </c>
      <c r="O918" s="188" t="inlineStr">
        <is>
          <t>Apply vendor patches</t>
        </is>
      </c>
      <c r="P918" s="188" t="inlineStr">
        <is>
          <t>See CVE details</t>
        </is>
      </c>
      <c r="Q918" s="188" t="inlineStr">
        <is>
          <t>P4</t>
        </is>
      </c>
      <c r="R918" s="188" t="inlineStr">
        <is>
          <t>📅 Schedule patch deployment within 30 days | 🔍 Monitor for exploitation attempts</t>
        </is>
      </c>
      <c r="S918" s="188" t="inlineStr">
        <is>
          <t>CVE - IP enrichment n/a</t>
        </is>
      </c>
      <c r="T918" s="188" t="n">
        <v>0.0002</v>
      </c>
      <c r="U918" s="188" t="n">
        <v>0.0574</v>
      </c>
      <c r="V918" s="188" t="inlineStr">
        <is>
          <t>T1190:Exploit Public-Facing Application | T1566:Phishing | T1557:Adversary-in-the-Middle</t>
        </is>
      </c>
      <c r="W918" s="188" t="n">
        <v>1</v>
      </c>
      <c r="X918" s="188" t="inlineStr">
        <is>
          <t>LOW (40%)</t>
        </is>
      </c>
      <c r="Y918" s="188" t="inlineStr">
        <is>
          <t>UNLIKELY</t>
        </is>
      </c>
      <c r="Z918" s="188" t="inlineStr">
        <is>
          <t>CHECK_VENDOR</t>
        </is>
      </c>
      <c r="AA918" s="188" t="inlineStr">
        <is>
          <t>https://nvd.nist.gov/vuln/detail/CVE-2026-28226</t>
        </is>
      </c>
      <c r="AB918" s="188" t="inlineStr">
        <is>
          <t>NONE</t>
        </is>
      </c>
      <c r="AC918" s="188" t="n">
        <v>0</v>
      </c>
      <c r="AD918" s="188" t="inlineStr"/>
    </row>
    <row r="919">
      <c r="A919" s="187" t="inlineStr">
        <is>
          <t>CVE</t>
        </is>
      </c>
      <c r="B919" s="187" t="inlineStr">
        <is>
          <t>CVE-2026-28230</t>
        </is>
      </c>
      <c r="C919" s="187"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919" s="187" t="n">
        <v>8.5</v>
      </c>
      <c r="E919" s="187" t="inlineStr">
        <is>
          <t>HIGH</t>
        </is>
      </c>
      <c r="F919" s="187" t="n">
        <v>2</v>
      </c>
      <c r="G919" s="187" t="n">
        <v>3</v>
      </c>
      <c r="H919" s="187" t="inlineStr">
        <is>
          <t>HIGH</t>
        </is>
      </c>
      <c r="I919" s="187" t="n">
        <v>14.5</v>
      </c>
      <c r="J919" s="187" t="inlineStr">
        <is>
          <t>NO</t>
        </is>
      </c>
      <c r="K919" s="187" t="inlineStr">
        <is>
          <t>https://nvd.nist.gov/vuln/detail/CVE-2026-28230</t>
        </is>
      </c>
      <c r="L919" s="187" t="inlineStr">
        <is>
          <t>2026-02-27 20:47</t>
        </is>
      </c>
      <c r="M919" s="187" t="inlineStr">
        <is>
          <t>CHECK_VENDOR</t>
        </is>
      </c>
      <c r="N919" s="187" t="inlineStr">
        <is>
          <t>See NVD references</t>
        </is>
      </c>
      <c r="O919" s="187" t="inlineStr">
        <is>
          <t>Apply vendor patches</t>
        </is>
      </c>
      <c r="P919" s="187" t="inlineStr">
        <is>
          <t>See CVE details</t>
        </is>
      </c>
      <c r="Q919" s="187" t="inlineStr">
        <is>
          <t>P3</t>
        </is>
      </c>
      <c r="R919" s="187" t="inlineStr">
        <is>
          <t>🚨 URGENT: Apply vendor patches immediately | 🔒 Isolate affected systems if patch unavailable | 🛡️ Enable additional monitoring/IDS rules</t>
        </is>
      </c>
      <c r="S919" s="187" t="inlineStr">
        <is>
          <t>CVE - IP enrichment n/a</t>
        </is>
      </c>
      <c r="T919" s="187" t="n">
        <v>0.0004</v>
      </c>
      <c r="U919" s="187" t="n">
        <v>0.1139</v>
      </c>
      <c r="V919" s="187" t="inlineStr">
        <is>
          <t>T1190:Exploit Public-Facing Application</t>
        </is>
      </c>
      <c r="W919" s="187" t="n">
        <v>1</v>
      </c>
      <c r="X919" s="187" t="inlineStr">
        <is>
          <t>LOW (40%)</t>
        </is>
      </c>
      <c r="Y919" s="187" t="inlineStr">
        <is>
          <t>UNLIKELY</t>
        </is>
      </c>
      <c r="Z919" s="187" t="inlineStr">
        <is>
          <t>CHECK_VENDOR</t>
        </is>
      </c>
      <c r="AA919" s="187" t="inlineStr">
        <is>
          <t>https://nvd.nist.gov/vuln/detail/CVE-2026-28230</t>
        </is>
      </c>
      <c r="AB919" s="187" t="inlineStr">
        <is>
          <t>NONE</t>
        </is>
      </c>
      <c r="AC919" s="187" t="n">
        <v>0</v>
      </c>
      <c r="AD919" s="187" t="inlineStr"/>
    </row>
    <row r="920">
      <c r="A920" s="188" t="inlineStr">
        <is>
          <t>CVE</t>
        </is>
      </c>
      <c r="B920" s="188" t="inlineStr">
        <is>
          <t>CVE-2026-28269</t>
        </is>
      </c>
      <c r="C920" s="188"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920" s="188" t="n">
        <v>5.9</v>
      </c>
      <c r="E920" s="188" t="inlineStr">
        <is>
          <t>MEDIUM</t>
        </is>
      </c>
      <c r="F920" s="188" t="n">
        <v>2</v>
      </c>
      <c r="G920" s="188" t="n">
        <v>2</v>
      </c>
      <c r="H920" s="188" t="inlineStr">
        <is>
          <t>MEDIUM</t>
        </is>
      </c>
      <c r="I920" s="188" t="n">
        <v>9.9</v>
      </c>
      <c r="J920" s="188" t="inlineStr">
        <is>
          <t>NO</t>
        </is>
      </c>
      <c r="K920" s="188" t="inlineStr">
        <is>
          <t>https://nvd.nist.gov/vuln/detail/CVE-2026-28269</t>
        </is>
      </c>
      <c r="L920" s="188" t="inlineStr">
        <is>
          <t>2026-02-27 20:47</t>
        </is>
      </c>
      <c r="M920" s="188" t="inlineStr">
        <is>
          <t>CHECK_VENDOR</t>
        </is>
      </c>
      <c r="N920" s="188" t="inlineStr">
        <is>
          <t>See NVD references</t>
        </is>
      </c>
      <c r="O920" s="188" t="inlineStr">
        <is>
          <t>Apply vendor patches</t>
        </is>
      </c>
      <c r="P920" s="188" t="inlineStr">
        <is>
          <t>See CVE details</t>
        </is>
      </c>
      <c r="Q920" s="188" t="inlineStr">
        <is>
          <t>P4</t>
        </is>
      </c>
      <c r="R920" s="188" t="inlineStr">
        <is>
          <t>📅 Schedule patch deployment within 30 days | 🔍 Monitor for exploitation attempts</t>
        </is>
      </c>
      <c r="S920" s="188" t="inlineStr">
        <is>
          <t>CVE - IP enrichment n/a</t>
        </is>
      </c>
      <c r="T920" s="188" t="n">
        <v>0.0003</v>
      </c>
      <c r="U920" s="188" t="n">
        <v>0.0983</v>
      </c>
      <c r="V920" s="188" t="inlineStr">
        <is>
          <t>T1059:Command and Scripting Interpreter</t>
        </is>
      </c>
      <c r="W920" s="188" t="n">
        <v>1</v>
      </c>
      <c r="X920" s="188" t="inlineStr">
        <is>
          <t>LOW (40%)</t>
        </is>
      </c>
      <c r="Y920" s="188" t="inlineStr">
        <is>
          <t>UNLIKELY</t>
        </is>
      </c>
      <c r="Z920" s="188" t="inlineStr">
        <is>
          <t>CHECK_VENDOR</t>
        </is>
      </c>
      <c r="AA920" s="188" t="inlineStr">
        <is>
          <t>https://nvd.nist.gov/vuln/detail/CVE-2026-28269</t>
        </is>
      </c>
      <c r="AB920" s="188" t="inlineStr">
        <is>
          <t>NONE</t>
        </is>
      </c>
      <c r="AC920" s="188" t="n">
        <v>0</v>
      </c>
      <c r="AD920" s="188" t="inlineStr"/>
    </row>
    <row r="921">
      <c r="A921" s="187" t="inlineStr">
        <is>
          <t>CVE</t>
        </is>
      </c>
      <c r="B921" s="187" t="inlineStr">
        <is>
          <t>CVE-2026-28274</t>
        </is>
      </c>
      <c r="C921" s="187"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921" s="187" t="n">
        <v>8.699999999999999</v>
      </c>
      <c r="E921" s="187" t="inlineStr">
        <is>
          <t>HIGH</t>
        </is>
      </c>
      <c r="F921" s="187" t="n">
        <v>2</v>
      </c>
      <c r="G921" s="187" t="n">
        <v>3</v>
      </c>
      <c r="H921" s="187" t="inlineStr">
        <is>
          <t>HIGH</t>
        </is>
      </c>
      <c r="I921" s="187" t="n">
        <v>14.7</v>
      </c>
      <c r="J921" s="187" t="inlineStr">
        <is>
          <t>NO</t>
        </is>
      </c>
      <c r="K921" s="187" t="inlineStr">
        <is>
          <t>https://nvd.nist.gov/vuln/detail/CVE-2026-28274</t>
        </is>
      </c>
      <c r="L921" s="187" t="inlineStr">
        <is>
          <t>2026-02-27 20:47</t>
        </is>
      </c>
      <c r="M921" s="187" t="inlineStr">
        <is>
          <t>CHECK_VENDOR</t>
        </is>
      </c>
      <c r="N921" s="187" t="inlineStr">
        <is>
          <t>See NVD references</t>
        </is>
      </c>
      <c r="O921" s="187" t="inlineStr">
        <is>
          <t>Apply vendor patches</t>
        </is>
      </c>
      <c r="P921" s="187" t="inlineStr">
        <is>
          <t>See CVE details</t>
        </is>
      </c>
      <c r="Q921" s="187" t="inlineStr">
        <is>
          <t>P3</t>
        </is>
      </c>
      <c r="R921" s="187" t="inlineStr">
        <is>
          <t>🚨 URGENT: Apply vendor patches immediately | 🔒 Isolate affected systems if patch unavailable | 🛡️ Enable additional monitoring/IDS rules</t>
        </is>
      </c>
      <c r="S921" s="187" t="inlineStr">
        <is>
          <t>CVE - IP enrichment n/a</t>
        </is>
      </c>
      <c r="T921" s="187" t="n">
        <v>0.0005999999999999999</v>
      </c>
      <c r="U921" s="187" t="n">
        <v>0.1911</v>
      </c>
      <c r="V921" s="187" t="inlineStr">
        <is>
          <t>T1189:Drive-by Compromise</t>
        </is>
      </c>
      <c r="W921" s="187" t="n">
        <v>1</v>
      </c>
      <c r="X921" s="187" t="inlineStr">
        <is>
          <t>LOW (40%)</t>
        </is>
      </c>
      <c r="Y921" s="187" t="inlineStr">
        <is>
          <t>UNLIKELY</t>
        </is>
      </c>
      <c r="Z921" s="187" t="inlineStr">
        <is>
          <t>CHECK_VENDOR</t>
        </is>
      </c>
      <c r="AA921" s="187" t="inlineStr">
        <is>
          <t>https://nvd.nist.gov/vuln/detail/CVE-2026-28274</t>
        </is>
      </c>
      <c r="AB921" s="187" t="inlineStr">
        <is>
          <t>NONE</t>
        </is>
      </c>
      <c r="AC921" s="187" t="n">
        <v>0</v>
      </c>
      <c r="AD921" s="187" t="inlineStr"/>
    </row>
    <row r="922">
      <c r="A922" s="187" t="inlineStr">
        <is>
          <t>CVE</t>
        </is>
      </c>
      <c r="B922" s="187" t="inlineStr">
        <is>
          <t>CVE-2026-28275</t>
        </is>
      </c>
      <c r="C922" s="187"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922" s="187" t="n">
        <v>8.1</v>
      </c>
      <c r="E922" s="187" t="inlineStr">
        <is>
          <t>HIGH</t>
        </is>
      </c>
      <c r="F922" s="187" t="n">
        <v>2</v>
      </c>
      <c r="G922" s="187" t="n">
        <v>3</v>
      </c>
      <c r="H922" s="187" t="inlineStr">
        <is>
          <t>HIGH</t>
        </is>
      </c>
      <c r="I922" s="187" t="n">
        <v>14.1</v>
      </c>
      <c r="J922" s="187" t="inlineStr">
        <is>
          <t>NO</t>
        </is>
      </c>
      <c r="K922" s="187" t="inlineStr">
        <is>
          <t>https://nvd.nist.gov/vuln/detail/CVE-2026-28275</t>
        </is>
      </c>
      <c r="L922" s="187" t="inlineStr">
        <is>
          <t>2026-02-27 20:47</t>
        </is>
      </c>
      <c r="M922" s="187" t="inlineStr">
        <is>
          <t>CHECK_VENDOR</t>
        </is>
      </c>
      <c r="N922" s="187" t="inlineStr">
        <is>
          <t>See NVD references</t>
        </is>
      </c>
      <c r="O922" s="187" t="inlineStr">
        <is>
          <t>Apply vendor patches</t>
        </is>
      </c>
      <c r="P922" s="187" t="inlineStr">
        <is>
          <t>See CVE details</t>
        </is>
      </c>
      <c r="Q922" s="187" t="inlineStr">
        <is>
          <t>P3</t>
        </is>
      </c>
      <c r="R922" s="187" t="inlineStr">
        <is>
          <t>🚨 URGENT: Apply vendor patches immediately | 🔒 Isolate affected systems if patch unavailable | 🛡️ Enable additional monitoring/IDS rules</t>
        </is>
      </c>
      <c r="S922" s="187" t="inlineStr">
        <is>
          <t>CVE - IP enrichment n/a</t>
        </is>
      </c>
      <c r="T922" s="187" t="n">
        <v>0.0003</v>
      </c>
      <c r="U922" s="187" t="n">
        <v>0.0772</v>
      </c>
      <c r="V922" s="187" t="inlineStr">
        <is>
          <t>T1190:Exploit Public-Facing Application</t>
        </is>
      </c>
      <c r="W922" s="187" t="n">
        <v>1</v>
      </c>
      <c r="X922" s="187" t="inlineStr">
        <is>
          <t>LOW (40%)</t>
        </is>
      </c>
      <c r="Y922" s="187" t="inlineStr">
        <is>
          <t>UNLIKELY</t>
        </is>
      </c>
      <c r="Z922" s="187" t="inlineStr">
        <is>
          <t>CHECK_VENDOR</t>
        </is>
      </c>
      <c r="AA922" s="187" t="inlineStr">
        <is>
          <t>https://nvd.nist.gov/vuln/detail/CVE-2026-28275</t>
        </is>
      </c>
      <c r="AB922" s="187" t="inlineStr">
        <is>
          <t>NONE</t>
        </is>
      </c>
      <c r="AC922" s="187" t="n">
        <v>0</v>
      </c>
      <c r="AD922" s="187" t="inlineStr"/>
    </row>
    <row r="923">
      <c r="A923" s="187" t="inlineStr">
        <is>
          <t>CVE</t>
        </is>
      </c>
      <c r="B923" s="187" t="inlineStr">
        <is>
          <t>CVE-2026-28276</t>
        </is>
      </c>
      <c r="C923" s="187"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923" s="187" t="n">
        <v>7.5</v>
      </c>
      <c r="E923" s="187" t="inlineStr">
        <is>
          <t>HIGH</t>
        </is>
      </c>
      <c r="F923" s="187" t="n">
        <v>2</v>
      </c>
      <c r="G923" s="187" t="n">
        <v>3</v>
      </c>
      <c r="H923" s="187" t="inlineStr">
        <is>
          <t>HIGH</t>
        </is>
      </c>
      <c r="I923" s="187" t="n">
        <v>13.5</v>
      </c>
      <c r="J923" s="187" t="inlineStr">
        <is>
          <t>NO</t>
        </is>
      </c>
      <c r="K923" s="187" t="inlineStr">
        <is>
          <t>https://nvd.nist.gov/vuln/detail/CVE-2026-28276</t>
        </is>
      </c>
      <c r="L923" s="187" t="inlineStr">
        <is>
          <t>2026-02-27 20:47</t>
        </is>
      </c>
      <c r="M923" s="187" t="inlineStr">
        <is>
          <t>CHECK_VENDOR</t>
        </is>
      </c>
      <c r="N923" s="187" t="inlineStr">
        <is>
          <t>See NVD references</t>
        </is>
      </c>
      <c r="O923" s="187" t="inlineStr">
        <is>
          <t>Apply vendor patches</t>
        </is>
      </c>
      <c r="P923" s="187" t="inlineStr">
        <is>
          <t>See CVE details</t>
        </is>
      </c>
      <c r="Q923" s="187" t="inlineStr">
        <is>
          <t>P3</t>
        </is>
      </c>
      <c r="R923" s="187" t="inlineStr">
        <is>
          <t>🚨 URGENT: Apply vendor patches immediately | 🔒 Isolate affected systems if patch unavailable | 🛡️ Enable additional monitoring/IDS rules</t>
        </is>
      </c>
      <c r="S923" s="187" t="inlineStr">
        <is>
          <t>CVE - IP enrichment n/a</t>
        </is>
      </c>
      <c r="T923" s="187" t="n">
        <v>0.0012</v>
      </c>
      <c r="U923" s="187" t="n">
        <v>0.3051</v>
      </c>
      <c r="V923" s="187" t="inlineStr">
        <is>
          <t>T1213:Data from Information Repositories</t>
        </is>
      </c>
      <c r="W923" s="187" t="n">
        <v>1</v>
      </c>
      <c r="X923" s="187" t="inlineStr">
        <is>
          <t>LOW (40%)</t>
        </is>
      </c>
      <c r="Y923" s="187" t="inlineStr">
        <is>
          <t>UNLIKELY</t>
        </is>
      </c>
      <c r="Z923" s="187" t="inlineStr">
        <is>
          <t>CHECK_VENDOR</t>
        </is>
      </c>
      <c r="AA923" s="187" t="inlineStr">
        <is>
          <t>https://nvd.nist.gov/vuln/detail/CVE-2026-28276</t>
        </is>
      </c>
      <c r="AB923" s="187" t="inlineStr">
        <is>
          <t>NONE</t>
        </is>
      </c>
      <c r="AC923" s="187" t="n">
        <v>0</v>
      </c>
      <c r="AD923" s="187" t="inlineStr"/>
    </row>
    <row r="924">
      <c r="A924" s="187" t="inlineStr">
        <is>
          <t>CVE</t>
        </is>
      </c>
      <c r="B924" s="187" t="inlineStr">
        <is>
          <t>CVE-2026-28279</t>
        </is>
      </c>
      <c r="C924" s="187"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924" s="187" t="n">
        <v>7.3</v>
      </c>
      <c r="E924" s="187" t="inlineStr">
        <is>
          <t>HIGH</t>
        </is>
      </c>
      <c r="F924" s="187" t="n">
        <v>2</v>
      </c>
      <c r="G924" s="187" t="n">
        <v>3</v>
      </c>
      <c r="H924" s="187" t="inlineStr">
        <is>
          <t>HIGH</t>
        </is>
      </c>
      <c r="I924" s="187" t="n">
        <v>13.3</v>
      </c>
      <c r="J924" s="187" t="inlineStr">
        <is>
          <t>NO</t>
        </is>
      </c>
      <c r="K924" s="187" t="inlineStr">
        <is>
          <t>https://nvd.nist.gov/vuln/detail/CVE-2026-28279</t>
        </is>
      </c>
      <c r="L924" s="187" t="inlineStr">
        <is>
          <t>2026-02-27 20:47</t>
        </is>
      </c>
      <c r="M924" s="187" t="inlineStr">
        <is>
          <t>CHECK_VENDOR</t>
        </is>
      </c>
      <c r="N924" s="187" t="inlineStr">
        <is>
          <t>See NVD references</t>
        </is>
      </c>
      <c r="O924" s="187" t="inlineStr">
        <is>
          <t>Apply vendor patches</t>
        </is>
      </c>
      <c r="P924" s="187" t="inlineStr">
        <is>
          <t>See CVE details</t>
        </is>
      </c>
      <c r="Q924" s="187" t="inlineStr">
        <is>
          <t>P3</t>
        </is>
      </c>
      <c r="R924" s="187" t="inlineStr">
        <is>
          <t>🚨 URGENT: Apply vendor patches immediately | 🔒 Isolate affected systems if patch unavailable | 🛡️ Enable additional monitoring/IDS rules</t>
        </is>
      </c>
      <c r="S924" s="187" t="inlineStr">
        <is>
          <t>CVE - IP enrichment n/a</t>
        </is>
      </c>
      <c r="T924" s="187" t="n">
        <v>0.0011</v>
      </c>
      <c r="U924" s="187" t="n">
        <v>0.2983</v>
      </c>
      <c r="V924" s="187" t="inlineStr">
        <is>
          <t>T1059:Command and Scripting Interpreter | T1190:Exploit Public-Facing Application | T1210:Exploitation of Remote Services</t>
        </is>
      </c>
      <c r="W924" s="187" t="n">
        <v>1</v>
      </c>
      <c r="X924" s="187" t="inlineStr">
        <is>
          <t>LOW (40%)</t>
        </is>
      </c>
      <c r="Y924" s="187" t="inlineStr">
        <is>
          <t>UNLIKELY</t>
        </is>
      </c>
      <c r="Z924" s="187" t="inlineStr">
        <is>
          <t>CHECK_VENDOR</t>
        </is>
      </c>
      <c r="AA924" s="187" t="inlineStr">
        <is>
          <t>https://nvd.nist.gov/vuln/detail/CVE-2026-28279</t>
        </is>
      </c>
      <c r="AB924" s="187" t="inlineStr">
        <is>
          <t>NONE</t>
        </is>
      </c>
      <c r="AC924" s="187" t="n">
        <v>0</v>
      </c>
      <c r="AD924" s="187" t="inlineStr"/>
    </row>
    <row r="925">
      <c r="A925" s="188" t="inlineStr">
        <is>
          <t>CVE</t>
        </is>
      </c>
      <c r="B925" s="188" t="inlineStr">
        <is>
          <t>CVE-2026-28280</t>
        </is>
      </c>
      <c r="C925" s="188"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925" s="188" t="n">
        <v>6.1</v>
      </c>
      <c r="E925" s="188" t="inlineStr">
        <is>
          <t>MEDIUM</t>
        </is>
      </c>
      <c r="F925" s="188" t="n">
        <v>2</v>
      </c>
      <c r="G925" s="188" t="n">
        <v>2</v>
      </c>
      <c r="H925" s="188" t="inlineStr">
        <is>
          <t>MEDIUM</t>
        </is>
      </c>
      <c r="I925" s="188" t="n">
        <v>10.1</v>
      </c>
      <c r="J925" s="188" t="inlineStr">
        <is>
          <t>NO</t>
        </is>
      </c>
      <c r="K925" s="188" t="inlineStr">
        <is>
          <t>https://nvd.nist.gov/vuln/detail/CVE-2026-28280</t>
        </is>
      </c>
      <c r="L925" s="188" t="inlineStr">
        <is>
          <t>2026-02-27 20:47</t>
        </is>
      </c>
      <c r="M925" s="188" t="inlineStr">
        <is>
          <t>CHECK_VENDOR</t>
        </is>
      </c>
      <c r="N925" s="188" t="inlineStr">
        <is>
          <t>See NVD references</t>
        </is>
      </c>
      <c r="O925" s="188" t="inlineStr">
        <is>
          <t>Apply vendor patches</t>
        </is>
      </c>
      <c r="P925" s="188" t="inlineStr">
        <is>
          <t>See CVE details</t>
        </is>
      </c>
      <c r="Q925" s="188" t="inlineStr">
        <is>
          <t>P4</t>
        </is>
      </c>
      <c r="R925" s="188" t="inlineStr">
        <is>
          <t>📅 Schedule patch deployment within 30 days | 🔍 Monitor for exploitation attempts</t>
        </is>
      </c>
      <c r="S925" s="188" t="inlineStr">
        <is>
          <t>CVE - IP enrichment n/a</t>
        </is>
      </c>
      <c r="T925" s="188" t="n">
        <v>0.0002</v>
      </c>
      <c r="U925" s="188" t="n">
        <v>0.0594</v>
      </c>
      <c r="V925" s="188" t="inlineStr">
        <is>
          <t>T1189:Drive-by Compromise</t>
        </is>
      </c>
      <c r="W925" s="188" t="n">
        <v>1</v>
      </c>
      <c r="X925" s="188" t="inlineStr">
        <is>
          <t>LOW (40%)</t>
        </is>
      </c>
      <c r="Y925" s="188" t="inlineStr">
        <is>
          <t>UNLIKELY</t>
        </is>
      </c>
      <c r="Z925" s="188" t="inlineStr">
        <is>
          <t>CHECK_VENDOR</t>
        </is>
      </c>
      <c r="AA925" s="188" t="inlineStr">
        <is>
          <t>https://nvd.nist.gov/vuln/detail/CVE-2026-28280</t>
        </is>
      </c>
      <c r="AB925" s="188" t="inlineStr">
        <is>
          <t>NONE</t>
        </is>
      </c>
      <c r="AC925" s="188" t="n">
        <v>0</v>
      </c>
      <c r="AD925" s="188" t="inlineStr"/>
    </row>
    <row r="926">
      <c r="A926" s="188" t="inlineStr">
        <is>
          <t>CVE</t>
        </is>
      </c>
      <c r="B926" s="188" t="inlineStr">
        <is>
          <t>CVE-2026-3264</t>
        </is>
      </c>
      <c r="C926" s="188"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926" s="188" t="n">
        <v>6.3</v>
      </c>
      <c r="E926" s="188" t="inlineStr">
        <is>
          <t>MEDIUM</t>
        </is>
      </c>
      <c r="F926" s="188" t="n">
        <v>2</v>
      </c>
      <c r="G926" s="188" t="n">
        <v>2</v>
      </c>
      <c r="H926" s="188" t="inlineStr">
        <is>
          <t>MEDIUM</t>
        </is>
      </c>
      <c r="I926" s="188" t="n">
        <v>10.3</v>
      </c>
      <c r="J926" s="188" t="inlineStr">
        <is>
          <t>NO</t>
        </is>
      </c>
      <c r="K926" s="188" t="inlineStr">
        <is>
          <t>https://nvd.nist.gov/vuln/detail/CVE-2026-3264</t>
        </is>
      </c>
      <c r="L926" s="188" t="inlineStr">
        <is>
          <t>2026-02-27 20:47</t>
        </is>
      </c>
      <c r="M926" s="188" t="inlineStr">
        <is>
          <t>CHECK_VENDOR</t>
        </is>
      </c>
      <c r="N926" s="188" t="inlineStr">
        <is>
          <t>See NVD references</t>
        </is>
      </c>
      <c r="O926" s="188" t="inlineStr">
        <is>
          <t>Apply vendor patches</t>
        </is>
      </c>
      <c r="P926" s="188" t="inlineStr">
        <is>
          <t>See CVE details</t>
        </is>
      </c>
      <c r="Q926" s="188" t="inlineStr">
        <is>
          <t>P4</t>
        </is>
      </c>
      <c r="R926" s="188" t="inlineStr">
        <is>
          <t>📅 Schedule patch deployment within 30 days | 🔍 Monitor for exploitation attempts</t>
        </is>
      </c>
      <c r="S926" s="188" t="inlineStr">
        <is>
          <t>CVE - IP enrichment n/a</t>
        </is>
      </c>
      <c r="T926" s="188" t="n">
        <v>0.0005</v>
      </c>
      <c r="U926" s="188" t="n">
        <v>0.1553</v>
      </c>
      <c r="V926" s="188" t="inlineStr">
        <is>
          <t>T1190:Exploit Public-Facing Application</t>
        </is>
      </c>
      <c r="W926" s="188" t="n">
        <v>1</v>
      </c>
      <c r="X926" s="188" t="inlineStr">
        <is>
          <t>LOW (40%)</t>
        </is>
      </c>
      <c r="Y926" s="188" t="inlineStr">
        <is>
          <t>UNLIKELY</t>
        </is>
      </c>
      <c r="Z926" s="188" t="inlineStr">
        <is>
          <t>CHECK_VENDOR</t>
        </is>
      </c>
      <c r="AA926" s="188" t="inlineStr">
        <is>
          <t>https://nvd.nist.gov/vuln/detail/CVE-2026-3264</t>
        </is>
      </c>
      <c r="AB926" s="188" t="inlineStr">
        <is>
          <t>NONE</t>
        </is>
      </c>
      <c r="AC926" s="188" t="n">
        <v>0</v>
      </c>
      <c r="AD926" s="188" t="inlineStr"/>
    </row>
    <row r="927">
      <c r="A927" s="188" t="inlineStr">
        <is>
          <t>CVE</t>
        </is>
      </c>
      <c r="B927" s="188" t="inlineStr">
        <is>
          <t>CVE-2026-3265</t>
        </is>
      </c>
      <c r="C927" s="188"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927" s="188" t="n">
        <v>6.3</v>
      </c>
      <c r="E927" s="188" t="inlineStr">
        <is>
          <t>MEDIUM</t>
        </is>
      </c>
      <c r="F927" s="188" t="n">
        <v>2</v>
      </c>
      <c r="G927" s="188" t="n">
        <v>2</v>
      </c>
      <c r="H927" s="188" t="inlineStr">
        <is>
          <t>MEDIUM</t>
        </is>
      </c>
      <c r="I927" s="188" t="n">
        <v>10.3</v>
      </c>
      <c r="J927" s="188" t="inlineStr">
        <is>
          <t>NO</t>
        </is>
      </c>
      <c r="K927" s="188" t="inlineStr">
        <is>
          <t>https://nvd.nist.gov/vuln/detail/CVE-2026-3265</t>
        </is>
      </c>
      <c r="L927" s="188" t="inlineStr">
        <is>
          <t>2026-02-27 20:47</t>
        </is>
      </c>
      <c r="M927" s="188" t="inlineStr">
        <is>
          <t>CHECK_VENDOR</t>
        </is>
      </c>
      <c r="N927" s="188" t="inlineStr">
        <is>
          <t>See NVD references</t>
        </is>
      </c>
      <c r="O927" s="188" t="inlineStr">
        <is>
          <t>Apply vendor patches</t>
        </is>
      </c>
      <c r="P927" s="188" t="inlineStr">
        <is>
          <t>See CVE details</t>
        </is>
      </c>
      <c r="Q927" s="188" t="inlineStr">
        <is>
          <t>P4</t>
        </is>
      </c>
      <c r="R927" s="188" t="inlineStr">
        <is>
          <t>📅 Schedule patch deployment within 30 days | 🔍 Monitor for exploitation attempts</t>
        </is>
      </c>
      <c r="S927" s="188" t="inlineStr">
        <is>
          <t>CVE - IP enrichment n/a</t>
        </is>
      </c>
      <c r="T927" s="188" t="n">
        <v>0.0003</v>
      </c>
      <c r="U927" s="188" t="n">
        <v>0.0959</v>
      </c>
      <c r="V927" s="188" t="inlineStr">
        <is>
          <t>T1190:Exploit Public-Facing Application</t>
        </is>
      </c>
      <c r="W927" s="188" t="n">
        <v>1</v>
      </c>
      <c r="X927" s="188" t="inlineStr">
        <is>
          <t>LOW (40%)</t>
        </is>
      </c>
      <c r="Y927" s="188" t="inlineStr">
        <is>
          <t>UNLIKELY</t>
        </is>
      </c>
      <c r="Z927" s="188" t="inlineStr">
        <is>
          <t>CHECK_VENDOR</t>
        </is>
      </c>
      <c r="AA927" s="188" t="inlineStr">
        <is>
          <t>https://nvd.nist.gov/vuln/detail/CVE-2026-3265</t>
        </is>
      </c>
      <c r="AB927" s="188" t="inlineStr">
        <is>
          <t>NONE</t>
        </is>
      </c>
      <c r="AC927" s="188" t="n">
        <v>0</v>
      </c>
      <c r="AD927" s="188" t="inlineStr"/>
    </row>
    <row r="928">
      <c r="A928" s="188" t="inlineStr">
        <is>
          <t>CVE</t>
        </is>
      </c>
      <c r="B928" s="188" t="inlineStr">
        <is>
          <t>CVE-2026-3268</t>
        </is>
      </c>
      <c r="C928" s="188"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928" s="188" t="n">
        <v>5.4</v>
      </c>
      <c r="E928" s="188" t="inlineStr">
        <is>
          <t>MEDIUM</t>
        </is>
      </c>
      <c r="F928" s="188" t="n">
        <v>2</v>
      </c>
      <c r="G928" s="188" t="n">
        <v>2</v>
      </c>
      <c r="H928" s="188" t="inlineStr">
        <is>
          <t>MEDIUM</t>
        </is>
      </c>
      <c r="I928" s="188" t="n">
        <v>9.4</v>
      </c>
      <c r="J928" s="188" t="inlineStr">
        <is>
          <t>NO</t>
        </is>
      </c>
      <c r="K928" s="188" t="inlineStr">
        <is>
          <t>https://nvd.nist.gov/vuln/detail/CVE-2026-3268</t>
        </is>
      </c>
      <c r="L928" s="188" t="inlineStr">
        <is>
          <t>2026-02-27 20:47</t>
        </is>
      </c>
      <c r="M928" s="188" t="inlineStr">
        <is>
          <t>CHECK_VENDOR</t>
        </is>
      </c>
      <c r="N928" s="188" t="inlineStr">
        <is>
          <t>See NVD references</t>
        </is>
      </c>
      <c r="O928" s="188" t="inlineStr">
        <is>
          <t>Apply vendor patches</t>
        </is>
      </c>
      <c r="P928" s="188" t="inlineStr">
        <is>
          <t>See CVE details</t>
        </is>
      </c>
      <c r="Q928" s="188" t="inlineStr">
        <is>
          <t>P4</t>
        </is>
      </c>
      <c r="R928" s="188" t="inlineStr">
        <is>
          <t>📅 Schedule patch deployment within 30 days | 🔍 Monitor for exploitation attempts</t>
        </is>
      </c>
      <c r="S928" s="188" t="inlineStr">
        <is>
          <t>CVE - IP enrichment n/a</t>
        </is>
      </c>
      <c r="T928" s="188" t="n">
        <v>0.0003</v>
      </c>
      <c r="U928" s="188" t="n">
        <v>0.0963</v>
      </c>
      <c r="V928" s="188" t="inlineStr">
        <is>
          <t>T1190:Exploit Public-Facing Application</t>
        </is>
      </c>
      <c r="W928" s="188" t="n">
        <v>1</v>
      </c>
      <c r="X928" s="188" t="inlineStr">
        <is>
          <t>LOW (40%)</t>
        </is>
      </c>
      <c r="Y928" s="188" t="inlineStr">
        <is>
          <t>UNLIKELY</t>
        </is>
      </c>
      <c r="Z928" s="188" t="inlineStr">
        <is>
          <t>CHECK_VENDOR</t>
        </is>
      </c>
      <c r="AA928" s="188" t="inlineStr">
        <is>
          <t>https://nvd.nist.gov/vuln/detail/CVE-2026-3268</t>
        </is>
      </c>
      <c r="AB928" s="188" t="inlineStr">
        <is>
          <t>NONE</t>
        </is>
      </c>
      <c r="AC928" s="188" t="n">
        <v>0</v>
      </c>
      <c r="AD928" s="188" t="inlineStr"/>
    </row>
    <row r="929">
      <c r="A929" s="188" t="inlineStr">
        <is>
          <t>CVE</t>
        </is>
      </c>
      <c r="B929" s="188" t="inlineStr">
        <is>
          <t>CVE-2025-40932</t>
        </is>
      </c>
      <c r="C929" s="188"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929" s="188" t="n">
        <v>5</v>
      </c>
      <c r="E929" s="188" t="inlineStr">
        <is>
          <t>MEDIUM</t>
        </is>
      </c>
      <c r="F929" s="188" t="n">
        <v>2</v>
      </c>
      <c r="G929" s="188" t="n">
        <v>2</v>
      </c>
      <c r="H929" s="188" t="inlineStr">
        <is>
          <t>MEDIUM</t>
        </is>
      </c>
      <c r="I929" s="188" t="n">
        <v>9</v>
      </c>
      <c r="J929" s="188" t="inlineStr">
        <is>
          <t>NO</t>
        </is>
      </c>
      <c r="K929" s="188" t="inlineStr">
        <is>
          <t>https://nvd.nist.gov/vuln/detail/CVE-2025-40932</t>
        </is>
      </c>
      <c r="L929" s="188" t="inlineStr">
        <is>
          <t>2026-02-27 20:47</t>
        </is>
      </c>
      <c r="M929" s="188" t="inlineStr">
        <is>
          <t>CHECK_VENDOR</t>
        </is>
      </c>
      <c r="N929" s="188" t="inlineStr">
        <is>
          <t>See NVD references</t>
        </is>
      </c>
      <c r="O929" s="188" t="inlineStr">
        <is>
          <t>Apply vendor patches</t>
        </is>
      </c>
      <c r="P929" s="188" t="inlineStr">
        <is>
          <t>See CVE details</t>
        </is>
      </c>
      <c r="Q929" s="188" t="inlineStr">
        <is>
          <t>P1</t>
        </is>
      </c>
      <c r="R929" s="188" t="inlineStr">
        <is>
          <t>📅 Schedule patch deployment within 30 days | 🔍 Monitor for exploitation attempts</t>
        </is>
      </c>
      <c r="S929" s="188" t="inlineStr">
        <is>
          <t>CVE - IP enrichment n/a</t>
        </is>
      </c>
      <c r="T929" s="188" t="n">
        <v>0.0002</v>
      </c>
      <c r="U929" s="188" t="n">
        <v>0.0449</v>
      </c>
      <c r="V929" s="188" t="inlineStr">
        <is>
          <t>T1600:Weaken Encryption</t>
        </is>
      </c>
      <c r="W929" s="188" t="n">
        <v>2</v>
      </c>
      <c r="X929" s="188" t="inlineStr">
        <is>
          <t>HIGH (72%)</t>
        </is>
      </c>
      <c r="Y929" s="188" t="inlineStr">
        <is>
          <t>HIGH</t>
        </is>
      </c>
      <c r="Z929" s="188" t="inlineStr">
        <is>
          <t>CHECK_VENDOR</t>
        </is>
      </c>
      <c r="AA929" s="188" t="inlineStr">
        <is>
          <t>https://nvd.nist.gov/vuln/detail/CVE-2025-40932</t>
        </is>
      </c>
      <c r="AB929" s="188" t="inlineStr">
        <is>
          <t>http://www.zerodayinitiative.com/advisories/ZDI-26-123/</t>
        </is>
      </c>
      <c r="AC929" s="188" t="n">
        <v>0</v>
      </c>
      <c r="AD929" s="188" t="inlineStr"/>
    </row>
    <row r="930">
      <c r="A930" s="188" t="inlineStr">
        <is>
          <t>CVE</t>
        </is>
      </c>
      <c r="B930" s="188" t="inlineStr">
        <is>
          <t>CVE-2026-1585</t>
        </is>
      </c>
      <c r="C930" s="188" t="inlineStr">
        <is>
          <t>An unquoted Windows service executable path vulnerability in IJ Scan Utility for Windows versions 1.1.2 through 1.5.0 may allow a local attacker to execute a malicious file with the privileges of the affected service.</t>
        </is>
      </c>
      <c r="D930" s="188" t="n">
        <v>6.7</v>
      </c>
      <c r="E930" s="188" t="inlineStr">
        <is>
          <t>MEDIUM</t>
        </is>
      </c>
      <c r="F930" s="188" t="n">
        <v>2</v>
      </c>
      <c r="G930" s="188" t="n">
        <v>2</v>
      </c>
      <c r="H930" s="188" t="inlineStr">
        <is>
          <t>MEDIUM</t>
        </is>
      </c>
      <c r="I930" s="188" t="n">
        <v>10.7</v>
      </c>
      <c r="J930" s="188" t="inlineStr">
        <is>
          <t>NO</t>
        </is>
      </c>
      <c r="K930" s="188" t="inlineStr">
        <is>
          <t>https://nvd.nist.gov/vuln/detail/CVE-2026-1585</t>
        </is>
      </c>
      <c r="L930" s="188" t="inlineStr">
        <is>
          <t>2026-02-27 20:47</t>
        </is>
      </c>
      <c r="M930" s="188" t="inlineStr">
        <is>
          <t>CHECK_VENDOR</t>
        </is>
      </c>
      <c r="N930" s="188" t="inlineStr">
        <is>
          <t>See NVD references</t>
        </is>
      </c>
      <c r="O930" s="188" t="inlineStr">
        <is>
          <t>Apply vendor patches</t>
        </is>
      </c>
      <c r="P930" s="188" t="inlineStr">
        <is>
          <t>See CVE details</t>
        </is>
      </c>
      <c r="Q930" s="188" t="inlineStr">
        <is>
          <t>P4</t>
        </is>
      </c>
      <c r="R930" s="188" t="inlineStr">
        <is>
          <t>📅 Schedule patch deployment within 30 days | 🔍 Monitor for exploitation attempts</t>
        </is>
      </c>
      <c r="S930" s="188" t="inlineStr">
        <is>
          <t>CVE - IP enrichment n/a</t>
        </is>
      </c>
      <c r="T930" s="188" t="n">
        <v>0.0001</v>
      </c>
      <c r="U930" s="188" t="n">
        <v>0.0132</v>
      </c>
      <c r="V930" s="188" t="inlineStr">
        <is>
          <t>T1190:Exploit Public-Facing Application</t>
        </is>
      </c>
      <c r="W930" s="188" t="n">
        <v>1</v>
      </c>
      <c r="X930" s="188" t="inlineStr">
        <is>
          <t>LOW (40%)</t>
        </is>
      </c>
      <c r="Y930" s="188" t="inlineStr">
        <is>
          <t>UNLIKELY</t>
        </is>
      </c>
      <c r="Z930" s="188" t="inlineStr">
        <is>
          <t>CHECK_VENDOR</t>
        </is>
      </c>
      <c r="AA930" s="188" t="inlineStr">
        <is>
          <t>https://nvd.nist.gov/vuln/detail/CVE-2026-1585</t>
        </is>
      </c>
      <c r="AB930" s="188" t="inlineStr">
        <is>
          <t>NONE</t>
        </is>
      </c>
      <c r="AC930" s="188" t="n">
        <v>0</v>
      </c>
      <c r="AD930" s="188" t="inlineStr"/>
    </row>
    <row r="931">
      <c r="A931" s="188" t="inlineStr">
        <is>
          <t>CVE</t>
        </is>
      </c>
      <c r="B931" s="188" t="inlineStr">
        <is>
          <t>CVE-2026-20733</t>
        </is>
      </c>
      <c r="C931" s="188" t="inlineStr">
        <is>
          <t>Charging station authentication identifiers are publicly accessible via web-based mapping platforms.</t>
        </is>
      </c>
      <c r="D931" s="188" t="n">
        <v>6.5</v>
      </c>
      <c r="E931" s="188" t="inlineStr">
        <is>
          <t>MEDIUM</t>
        </is>
      </c>
      <c r="F931" s="188" t="n">
        <v>2</v>
      </c>
      <c r="G931" s="188" t="n">
        <v>2</v>
      </c>
      <c r="H931" s="188" t="inlineStr">
        <is>
          <t>MEDIUM</t>
        </is>
      </c>
      <c r="I931" s="188" t="n">
        <v>10.5</v>
      </c>
      <c r="J931" s="188" t="inlineStr">
        <is>
          <t>NO</t>
        </is>
      </c>
      <c r="K931" s="188" t="inlineStr">
        <is>
          <t>https://nvd.nist.gov/vuln/detail/CVE-2026-20733</t>
        </is>
      </c>
      <c r="L931" s="188" t="inlineStr">
        <is>
          <t>2026-02-27 20:47</t>
        </is>
      </c>
      <c r="M931" s="188" t="inlineStr">
        <is>
          <t>CHECK_VENDOR</t>
        </is>
      </c>
      <c r="N931" s="188" t="inlineStr">
        <is>
          <t>See NVD references</t>
        </is>
      </c>
      <c r="O931" s="188" t="inlineStr">
        <is>
          <t>Apply vendor patches</t>
        </is>
      </c>
      <c r="P931" s="188" t="inlineStr">
        <is>
          <t>See CVE details</t>
        </is>
      </c>
      <c r="Q931" s="188" t="inlineStr">
        <is>
          <t>P4</t>
        </is>
      </c>
      <c r="R931" s="188" t="inlineStr">
        <is>
          <t>📅 Schedule patch deployment within 30 days | 🔍 Monitor for exploitation attempts</t>
        </is>
      </c>
      <c r="S931" s="188" t="inlineStr">
        <is>
          <t>CVE - IP enrichment n/a</t>
        </is>
      </c>
      <c r="T931" s="188" t="n">
        <v>0.0004</v>
      </c>
      <c r="U931" s="188" t="n">
        <v>0.1304</v>
      </c>
      <c r="V931" s="188" t="inlineStr">
        <is>
          <t>T1190:Exploit Public-Facing Application</t>
        </is>
      </c>
      <c r="W931" s="188" t="n">
        <v>1</v>
      </c>
      <c r="X931" s="188" t="inlineStr">
        <is>
          <t>LOW (40%)</t>
        </is>
      </c>
      <c r="Y931" s="188" t="inlineStr">
        <is>
          <t>UNLIKELY</t>
        </is>
      </c>
      <c r="Z931" s="188" t="inlineStr">
        <is>
          <t>CHECK_VENDOR</t>
        </is>
      </c>
      <c r="AA931" s="188" t="inlineStr">
        <is>
          <t>https://nvd.nist.gov/vuln/detail/CVE-2026-20733</t>
        </is>
      </c>
      <c r="AB931" s="188" t="inlineStr">
        <is>
          <t>NONE</t>
        </is>
      </c>
      <c r="AC931" s="188" t="n">
        <v>0</v>
      </c>
      <c r="AD931" s="188" t="inlineStr"/>
    </row>
    <row r="932">
      <c r="A932" s="189" t="inlineStr">
        <is>
          <t>CVE</t>
        </is>
      </c>
      <c r="B932" s="189" t="inlineStr">
        <is>
          <t>CVE-2026-20781</t>
        </is>
      </c>
      <c r="C932"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32" s="189" t="n">
        <v>9.4</v>
      </c>
      <c r="E932" s="189" t="inlineStr">
        <is>
          <t>CRITICAL</t>
        </is>
      </c>
      <c r="F932" s="189" t="n">
        <v>2</v>
      </c>
      <c r="G932" s="189" t="n">
        <v>3</v>
      </c>
      <c r="H932" s="189" t="inlineStr">
        <is>
          <t>HIGH</t>
        </is>
      </c>
      <c r="I932" s="189" t="n">
        <v>15.4</v>
      </c>
      <c r="J932" s="189" t="inlineStr">
        <is>
          <t>NO</t>
        </is>
      </c>
      <c r="K932" s="189" t="inlineStr">
        <is>
          <t>https://nvd.nist.gov/vuln/detail/CVE-2026-20781</t>
        </is>
      </c>
      <c r="L932" s="189" t="inlineStr">
        <is>
          <t>2026-02-27 20:47</t>
        </is>
      </c>
      <c r="M932" s="189" t="inlineStr">
        <is>
          <t>CHECK_VENDOR</t>
        </is>
      </c>
      <c r="N932" s="189" t="inlineStr">
        <is>
          <t>See NVD references</t>
        </is>
      </c>
      <c r="O932" s="189" t="inlineStr">
        <is>
          <t>Apply vendor patches</t>
        </is>
      </c>
      <c r="P932" s="189" t="inlineStr">
        <is>
          <t>See CVE details</t>
        </is>
      </c>
      <c r="Q932" s="189" t="inlineStr">
        <is>
          <t>P3</t>
        </is>
      </c>
      <c r="R932" s="189" t="inlineStr">
        <is>
          <t>🚨 URGENT: Apply vendor patches immediately | 🔒 Isolate affected systems if patch unavailable | 🛡️ Enable additional monitoring/IDS rules</t>
        </is>
      </c>
      <c r="S932" s="189" t="inlineStr">
        <is>
          <t>CVE - IP enrichment n/a</t>
        </is>
      </c>
      <c r="T932" s="189" t="n">
        <v>0.0013</v>
      </c>
      <c r="U932" s="189" t="n">
        <v>0.3289</v>
      </c>
      <c r="V932" s="189" t="inlineStr">
        <is>
          <t>T1078:Valid Accounts</t>
        </is>
      </c>
      <c r="W932" s="189" t="n">
        <v>1</v>
      </c>
      <c r="X932" s="189" t="inlineStr">
        <is>
          <t>LOW (40%)</t>
        </is>
      </c>
      <c r="Y932" s="189" t="inlineStr">
        <is>
          <t>UNLIKELY</t>
        </is>
      </c>
      <c r="Z932" s="189" t="inlineStr">
        <is>
          <t>CHECK_VENDOR</t>
        </is>
      </c>
      <c r="AA932" s="189" t="inlineStr">
        <is>
          <t>https://nvd.nist.gov/vuln/detail/CVE-2026-20781</t>
        </is>
      </c>
      <c r="AB932" s="189" t="inlineStr">
        <is>
          <t>NONE</t>
        </is>
      </c>
      <c r="AC932" s="189" t="n">
        <v>0</v>
      </c>
      <c r="AD932" s="189" t="inlineStr"/>
    </row>
    <row r="933">
      <c r="A933" s="188" t="inlineStr">
        <is>
          <t>CVE</t>
        </is>
      </c>
      <c r="B933" s="188" t="inlineStr">
        <is>
          <t>CVE-2026-20791</t>
        </is>
      </c>
      <c r="C933" s="188" t="inlineStr">
        <is>
          <t>Charging station authentication identifiers are publicly accessible via web-based mapping platforms.</t>
        </is>
      </c>
      <c r="D933" s="188" t="n">
        <v>6.5</v>
      </c>
      <c r="E933" s="188" t="inlineStr">
        <is>
          <t>MEDIUM</t>
        </is>
      </c>
      <c r="F933" s="188" t="n">
        <v>2</v>
      </c>
      <c r="G933" s="188" t="n">
        <v>2</v>
      </c>
      <c r="H933" s="188" t="inlineStr">
        <is>
          <t>MEDIUM</t>
        </is>
      </c>
      <c r="I933" s="188" t="n">
        <v>10.5</v>
      </c>
      <c r="J933" s="188" t="inlineStr">
        <is>
          <t>NO</t>
        </is>
      </c>
      <c r="K933" s="188" t="inlineStr">
        <is>
          <t>https://nvd.nist.gov/vuln/detail/CVE-2026-20791</t>
        </is>
      </c>
      <c r="L933" s="188" t="inlineStr">
        <is>
          <t>2026-02-27 20:47</t>
        </is>
      </c>
      <c r="M933" s="188" t="inlineStr">
        <is>
          <t>CHECK_VENDOR</t>
        </is>
      </c>
      <c r="N933" s="188" t="inlineStr">
        <is>
          <t>See NVD references</t>
        </is>
      </c>
      <c r="O933" s="188" t="inlineStr">
        <is>
          <t>Apply vendor patches</t>
        </is>
      </c>
      <c r="P933" s="188" t="inlineStr">
        <is>
          <t>See CVE details</t>
        </is>
      </c>
      <c r="Q933" s="188" t="inlineStr">
        <is>
          <t>P4</t>
        </is>
      </c>
      <c r="R933" s="188" t="inlineStr">
        <is>
          <t>📅 Schedule patch deployment within 30 days | 🔍 Monitor for exploitation attempts</t>
        </is>
      </c>
      <c r="S933" s="188" t="inlineStr">
        <is>
          <t>CVE - IP enrichment n/a</t>
        </is>
      </c>
      <c r="T933" s="188" t="n">
        <v>0.0004</v>
      </c>
      <c r="U933" s="188" t="n">
        <v>0.1304</v>
      </c>
      <c r="V933" s="188" t="inlineStr">
        <is>
          <t>T1190:Exploit Public-Facing Application</t>
        </is>
      </c>
      <c r="W933" s="188" t="n">
        <v>1</v>
      </c>
      <c r="X933" s="188" t="inlineStr">
        <is>
          <t>LOW (40%)</t>
        </is>
      </c>
      <c r="Y933" s="188" t="inlineStr">
        <is>
          <t>UNLIKELY</t>
        </is>
      </c>
      <c r="Z933" s="188" t="inlineStr">
        <is>
          <t>CHECK_VENDOR</t>
        </is>
      </c>
      <c r="AA933" s="188" t="inlineStr">
        <is>
          <t>https://nvd.nist.gov/vuln/detail/CVE-2026-20791</t>
        </is>
      </c>
      <c r="AB933" s="188" t="inlineStr">
        <is>
          <t>NONE</t>
        </is>
      </c>
      <c r="AC933" s="188" t="n">
        <v>0</v>
      </c>
      <c r="AD933" s="188" t="inlineStr"/>
    </row>
    <row r="934">
      <c r="A934" s="187" t="inlineStr">
        <is>
          <t>CVE</t>
        </is>
      </c>
      <c r="B934" s="187" t="inlineStr">
        <is>
          <t>CVE-2026-20792</t>
        </is>
      </c>
      <c r="C934"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4" s="187" t="n">
        <v>7.5</v>
      </c>
      <c r="E934" s="187" t="inlineStr">
        <is>
          <t>HIGH</t>
        </is>
      </c>
      <c r="F934" s="187" t="n">
        <v>2</v>
      </c>
      <c r="G934" s="187" t="n">
        <v>3</v>
      </c>
      <c r="H934" s="187" t="inlineStr">
        <is>
          <t>HIGH</t>
        </is>
      </c>
      <c r="I934" s="187" t="n">
        <v>13.5</v>
      </c>
      <c r="J934" s="187" t="inlineStr">
        <is>
          <t>NO</t>
        </is>
      </c>
      <c r="K934" s="187" t="inlineStr">
        <is>
          <t>https://nvd.nist.gov/vuln/detail/CVE-2026-20792</t>
        </is>
      </c>
      <c r="L934" s="187" t="inlineStr">
        <is>
          <t>2026-02-27 20:47</t>
        </is>
      </c>
      <c r="M934" s="187" t="inlineStr">
        <is>
          <t>CHECK_VENDOR</t>
        </is>
      </c>
      <c r="N934" s="187" t="inlineStr">
        <is>
          <t>See NVD references</t>
        </is>
      </c>
      <c r="O934" s="187" t="inlineStr">
        <is>
          <t>Apply vendor patches</t>
        </is>
      </c>
      <c r="P934" s="187" t="inlineStr">
        <is>
          <t>See CVE details</t>
        </is>
      </c>
      <c r="Q934" s="187" t="inlineStr">
        <is>
          <t>P3</t>
        </is>
      </c>
      <c r="R934" s="187" t="inlineStr">
        <is>
          <t>🚨 URGENT: Apply vendor patches immediately | 🔒 Isolate affected systems if patch unavailable | 🛡️ Enable additional monitoring/IDS rules</t>
        </is>
      </c>
      <c r="S934" s="187" t="inlineStr">
        <is>
          <t>CVE - IP enrichment n/a</t>
        </is>
      </c>
      <c r="T934" s="187" t="n">
        <v>0.0005999999999999999</v>
      </c>
      <c r="U934" s="187" t="n">
        <v>0.1779</v>
      </c>
      <c r="V934" s="187" t="inlineStr">
        <is>
          <t>T1190:Exploit Public-Facing Application</t>
        </is>
      </c>
      <c r="W934" s="187" t="n">
        <v>1</v>
      </c>
      <c r="X934" s="187" t="inlineStr">
        <is>
          <t>LOW (40%)</t>
        </is>
      </c>
      <c r="Y934" s="187" t="inlineStr">
        <is>
          <t>UNLIKELY</t>
        </is>
      </c>
      <c r="Z934" s="187" t="inlineStr">
        <is>
          <t>CHECK_VENDOR</t>
        </is>
      </c>
      <c r="AA934" s="187" t="inlineStr">
        <is>
          <t>https://nvd.nist.gov/vuln/detail/CVE-2026-20792</t>
        </is>
      </c>
      <c r="AB934" s="187" t="inlineStr">
        <is>
          <t>NONE</t>
        </is>
      </c>
      <c r="AC934" s="187" t="n">
        <v>0</v>
      </c>
      <c r="AD934" s="187" t="inlineStr"/>
    </row>
    <row r="935">
      <c r="A935" s="187" t="inlineStr">
        <is>
          <t>CVE</t>
        </is>
      </c>
      <c r="B935" s="187" t="inlineStr">
        <is>
          <t>CVE-2026-20895</t>
        </is>
      </c>
      <c r="C935"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35" s="187" t="n">
        <v>7.3</v>
      </c>
      <c r="E935" s="187" t="inlineStr">
        <is>
          <t>HIGH</t>
        </is>
      </c>
      <c r="F935" s="187" t="n">
        <v>2</v>
      </c>
      <c r="G935" s="187" t="n">
        <v>3</v>
      </c>
      <c r="H935" s="187" t="inlineStr">
        <is>
          <t>HIGH</t>
        </is>
      </c>
      <c r="I935" s="187" t="n">
        <v>13.3</v>
      </c>
      <c r="J935" s="187" t="inlineStr">
        <is>
          <t>NO</t>
        </is>
      </c>
      <c r="K935" s="187" t="inlineStr">
        <is>
          <t>https://nvd.nist.gov/vuln/detail/CVE-2026-20895</t>
        </is>
      </c>
      <c r="L935" s="187" t="inlineStr">
        <is>
          <t>2026-02-27 20:47</t>
        </is>
      </c>
      <c r="M935" s="187" t="inlineStr">
        <is>
          <t>CHECK_VENDOR</t>
        </is>
      </c>
      <c r="N935" s="187" t="inlineStr">
        <is>
          <t>See NVD references</t>
        </is>
      </c>
      <c r="O935" s="187" t="inlineStr">
        <is>
          <t>Apply vendor patches</t>
        </is>
      </c>
      <c r="P935" s="187" t="inlineStr">
        <is>
          <t>See CVE details</t>
        </is>
      </c>
      <c r="Q935" s="187" t="inlineStr">
        <is>
          <t>P3</t>
        </is>
      </c>
      <c r="R935" s="187" t="inlineStr">
        <is>
          <t>🚨 URGENT: Apply vendor patches immediately | 🔒 Isolate affected systems if patch unavailable | 🛡️ Enable additional monitoring/IDS rules</t>
        </is>
      </c>
      <c r="S935" s="187" t="inlineStr">
        <is>
          <t>CVE - IP enrichment n/a</t>
        </is>
      </c>
      <c r="T935" s="187" t="n">
        <v>0.0004</v>
      </c>
      <c r="U935" s="187" t="n">
        <v>0.1036</v>
      </c>
      <c r="V935" s="187" t="inlineStr">
        <is>
          <t>T1190:Exploit Public-Facing Application</t>
        </is>
      </c>
      <c r="W935" s="187" t="n">
        <v>1</v>
      </c>
      <c r="X935" s="187" t="inlineStr">
        <is>
          <t>LOW (40%)</t>
        </is>
      </c>
      <c r="Y935" s="187" t="inlineStr">
        <is>
          <t>UNLIKELY</t>
        </is>
      </c>
      <c r="Z935" s="187" t="inlineStr">
        <is>
          <t>CHECK_VENDOR</t>
        </is>
      </c>
      <c r="AA935" s="187" t="inlineStr">
        <is>
          <t>https://nvd.nist.gov/vuln/detail/CVE-2026-20895</t>
        </is>
      </c>
      <c r="AB935" s="187" t="inlineStr">
        <is>
          <t>NONE</t>
        </is>
      </c>
      <c r="AC935" s="187" t="n">
        <v>0</v>
      </c>
      <c r="AD935" s="187" t="inlineStr"/>
    </row>
    <row r="936">
      <c r="A936" s="188" t="inlineStr">
        <is>
          <t>CVE</t>
        </is>
      </c>
      <c r="B936" s="188" t="inlineStr">
        <is>
          <t>CVE-2026-22890</t>
        </is>
      </c>
      <c r="C936" s="188" t="inlineStr">
        <is>
          <t>Charging station authentication identifiers are publicly accessible via web-based mapping platforms.</t>
        </is>
      </c>
      <c r="D936" s="188" t="n">
        <v>6.5</v>
      </c>
      <c r="E936" s="188" t="inlineStr">
        <is>
          <t>MEDIUM</t>
        </is>
      </c>
      <c r="F936" s="188" t="n">
        <v>2</v>
      </c>
      <c r="G936" s="188" t="n">
        <v>2</v>
      </c>
      <c r="H936" s="188" t="inlineStr">
        <is>
          <t>MEDIUM</t>
        </is>
      </c>
      <c r="I936" s="188" t="n">
        <v>10.5</v>
      </c>
      <c r="J936" s="188" t="inlineStr">
        <is>
          <t>NO</t>
        </is>
      </c>
      <c r="K936" s="188" t="inlineStr">
        <is>
          <t>https://nvd.nist.gov/vuln/detail/CVE-2026-22890</t>
        </is>
      </c>
      <c r="L936" s="188" t="inlineStr">
        <is>
          <t>2026-02-27 20:47</t>
        </is>
      </c>
      <c r="M936" s="188" t="inlineStr">
        <is>
          <t>CHECK_VENDOR</t>
        </is>
      </c>
      <c r="N936" s="188" t="inlineStr">
        <is>
          <t>See NVD references</t>
        </is>
      </c>
      <c r="O936" s="188" t="inlineStr">
        <is>
          <t>Apply vendor patches</t>
        </is>
      </c>
      <c r="P936" s="188" t="inlineStr">
        <is>
          <t>See CVE details</t>
        </is>
      </c>
      <c r="Q936" s="188" t="inlineStr">
        <is>
          <t>P4</t>
        </is>
      </c>
      <c r="R936" s="188" t="inlineStr">
        <is>
          <t>📅 Schedule patch deployment within 30 days | 🔍 Monitor for exploitation attempts</t>
        </is>
      </c>
      <c r="S936" s="188" t="inlineStr">
        <is>
          <t>CVE - IP enrichment n/a</t>
        </is>
      </c>
      <c r="T936" s="188" t="n">
        <v>0.0004</v>
      </c>
      <c r="U936" s="188" t="n">
        <v>0.1304</v>
      </c>
      <c r="V936" s="188" t="inlineStr">
        <is>
          <t>T1190:Exploit Public-Facing Application</t>
        </is>
      </c>
      <c r="W936" s="188" t="n">
        <v>1</v>
      </c>
      <c r="X936" s="188" t="inlineStr">
        <is>
          <t>LOW (40%)</t>
        </is>
      </c>
      <c r="Y936" s="188" t="inlineStr">
        <is>
          <t>UNLIKELY</t>
        </is>
      </c>
      <c r="Z936" s="188" t="inlineStr">
        <is>
          <t>CHECK_VENDOR</t>
        </is>
      </c>
      <c r="AA936" s="188" t="inlineStr">
        <is>
          <t>https://nvd.nist.gov/vuln/detail/CVE-2026-22890</t>
        </is>
      </c>
      <c r="AB936" s="188" t="inlineStr">
        <is>
          <t>NONE</t>
        </is>
      </c>
      <c r="AC936" s="188" t="n">
        <v>0</v>
      </c>
      <c r="AD936" s="188" t="inlineStr"/>
    </row>
    <row r="937">
      <c r="A937" s="189" t="inlineStr">
        <is>
          <t>CVE</t>
        </is>
      </c>
      <c r="B937" s="189" t="inlineStr">
        <is>
          <t>CVE-2026-24731</t>
        </is>
      </c>
      <c r="C937"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37" s="189" t="n">
        <v>9.4</v>
      </c>
      <c r="E937" s="189" t="inlineStr">
        <is>
          <t>CRITICAL</t>
        </is>
      </c>
      <c r="F937" s="189" t="n">
        <v>2</v>
      </c>
      <c r="G937" s="189" t="n">
        <v>3</v>
      </c>
      <c r="H937" s="189" t="inlineStr">
        <is>
          <t>HIGH</t>
        </is>
      </c>
      <c r="I937" s="189" t="n">
        <v>15.4</v>
      </c>
      <c r="J937" s="189" t="inlineStr">
        <is>
          <t>NO</t>
        </is>
      </c>
      <c r="K937" s="189" t="inlineStr">
        <is>
          <t>https://nvd.nist.gov/vuln/detail/CVE-2026-24731</t>
        </is>
      </c>
      <c r="L937" s="189" t="inlineStr">
        <is>
          <t>2026-02-27 20:47</t>
        </is>
      </c>
      <c r="M937" s="189" t="inlineStr">
        <is>
          <t>CHECK_VENDOR</t>
        </is>
      </c>
      <c r="N937" s="189" t="inlineStr">
        <is>
          <t>See NVD references</t>
        </is>
      </c>
      <c r="O937" s="189" t="inlineStr">
        <is>
          <t>Apply vendor patches</t>
        </is>
      </c>
      <c r="P937" s="189" t="inlineStr">
        <is>
          <t>See CVE details</t>
        </is>
      </c>
      <c r="Q937" s="189" t="inlineStr">
        <is>
          <t>P3</t>
        </is>
      </c>
      <c r="R937" s="189" t="inlineStr">
        <is>
          <t>🚨 URGENT: Apply vendor patches immediately | 🔒 Isolate affected systems if patch unavailable | 🛡️ Enable additional monitoring/IDS rules</t>
        </is>
      </c>
      <c r="S937" s="189" t="inlineStr">
        <is>
          <t>CVE - IP enrichment n/a</t>
        </is>
      </c>
      <c r="T937" s="189" t="n">
        <v>0.0013</v>
      </c>
      <c r="U937" s="189" t="n">
        <v>0.3289</v>
      </c>
      <c r="V937" s="189" t="inlineStr">
        <is>
          <t>T1078:Valid Accounts</t>
        </is>
      </c>
      <c r="W937" s="189" t="n">
        <v>1</v>
      </c>
      <c r="X937" s="189" t="inlineStr">
        <is>
          <t>LOW (40%)</t>
        </is>
      </c>
      <c r="Y937" s="189" t="inlineStr">
        <is>
          <t>UNLIKELY</t>
        </is>
      </c>
      <c r="Z937" s="189" t="inlineStr">
        <is>
          <t>CHECK_VENDOR</t>
        </is>
      </c>
      <c r="AA937" s="189" t="inlineStr">
        <is>
          <t>https://nvd.nist.gov/vuln/detail/CVE-2026-24731</t>
        </is>
      </c>
      <c r="AB937" s="189" t="inlineStr">
        <is>
          <t>NONE</t>
        </is>
      </c>
      <c r="AC937" s="189" t="n">
        <v>0</v>
      </c>
      <c r="AD937" s="189" t="inlineStr"/>
    </row>
    <row r="938">
      <c r="A938" s="187" t="inlineStr">
        <is>
          <t>CVE</t>
        </is>
      </c>
      <c r="B938" s="187" t="inlineStr">
        <is>
          <t>CVE-2026-25113</t>
        </is>
      </c>
      <c r="C938"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8" s="187" t="n">
        <v>7.5</v>
      </c>
      <c r="E938" s="187" t="inlineStr">
        <is>
          <t>HIGH</t>
        </is>
      </c>
      <c r="F938" s="187" t="n">
        <v>2</v>
      </c>
      <c r="G938" s="187" t="n">
        <v>3</v>
      </c>
      <c r="H938" s="187" t="inlineStr">
        <is>
          <t>HIGH</t>
        </is>
      </c>
      <c r="I938" s="187" t="n">
        <v>13.5</v>
      </c>
      <c r="J938" s="187" t="inlineStr">
        <is>
          <t>NO</t>
        </is>
      </c>
      <c r="K938" s="187" t="inlineStr">
        <is>
          <t>https://nvd.nist.gov/vuln/detail/CVE-2026-25113</t>
        </is>
      </c>
      <c r="L938" s="187" t="inlineStr">
        <is>
          <t>2026-02-27 20:47</t>
        </is>
      </c>
      <c r="M938" s="187" t="inlineStr">
        <is>
          <t>CHECK_VENDOR</t>
        </is>
      </c>
      <c r="N938" s="187" t="inlineStr">
        <is>
          <t>See NVD references</t>
        </is>
      </c>
      <c r="O938" s="187" t="inlineStr">
        <is>
          <t>Apply vendor patches</t>
        </is>
      </c>
      <c r="P938" s="187" t="inlineStr">
        <is>
          <t>See CVE details</t>
        </is>
      </c>
      <c r="Q938" s="187" t="inlineStr">
        <is>
          <t>P3</t>
        </is>
      </c>
      <c r="R938" s="187" t="inlineStr">
        <is>
          <t>🚨 URGENT: Apply vendor patches immediately | 🔒 Isolate affected systems if patch unavailable | 🛡️ Enable additional monitoring/IDS rules</t>
        </is>
      </c>
      <c r="S938" s="187" t="inlineStr">
        <is>
          <t>CVE - IP enrichment n/a</t>
        </is>
      </c>
      <c r="T938" s="187" t="n">
        <v>0.0005999999999999999</v>
      </c>
      <c r="U938" s="187" t="n">
        <v>0.1779</v>
      </c>
      <c r="V938" s="187" t="inlineStr">
        <is>
          <t>T1190:Exploit Public-Facing Application</t>
        </is>
      </c>
      <c r="W938" s="187" t="n">
        <v>1</v>
      </c>
      <c r="X938" s="187" t="inlineStr">
        <is>
          <t>LOW (40%)</t>
        </is>
      </c>
      <c r="Y938" s="187" t="inlineStr">
        <is>
          <t>UNLIKELY</t>
        </is>
      </c>
      <c r="Z938" s="187" t="inlineStr">
        <is>
          <t>CHECK_VENDOR</t>
        </is>
      </c>
      <c r="AA938" s="187" t="inlineStr">
        <is>
          <t>https://nvd.nist.gov/vuln/detail/CVE-2026-25113</t>
        </is>
      </c>
      <c r="AB938" s="187" t="inlineStr">
        <is>
          <t>NONE</t>
        </is>
      </c>
      <c r="AC938" s="187" t="n">
        <v>0</v>
      </c>
      <c r="AD938" s="187" t="inlineStr"/>
    </row>
    <row r="939">
      <c r="A939" s="187" t="inlineStr">
        <is>
          <t>CVE</t>
        </is>
      </c>
      <c r="B939" s="187" t="inlineStr">
        <is>
          <t>CVE-2026-25114</t>
        </is>
      </c>
      <c r="C939"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9" s="187" t="n">
        <v>7.5</v>
      </c>
      <c r="E939" s="187" t="inlineStr">
        <is>
          <t>HIGH</t>
        </is>
      </c>
      <c r="F939" s="187" t="n">
        <v>2</v>
      </c>
      <c r="G939" s="187" t="n">
        <v>3</v>
      </c>
      <c r="H939" s="187" t="inlineStr">
        <is>
          <t>HIGH</t>
        </is>
      </c>
      <c r="I939" s="187" t="n">
        <v>13.5</v>
      </c>
      <c r="J939" s="187" t="inlineStr">
        <is>
          <t>NO</t>
        </is>
      </c>
      <c r="K939" s="187" t="inlineStr">
        <is>
          <t>https://nvd.nist.gov/vuln/detail/CVE-2026-25114</t>
        </is>
      </c>
      <c r="L939" s="187" t="inlineStr">
        <is>
          <t>2026-02-27 20:47</t>
        </is>
      </c>
      <c r="M939" s="187" t="inlineStr">
        <is>
          <t>CHECK_VENDOR</t>
        </is>
      </c>
      <c r="N939" s="187" t="inlineStr">
        <is>
          <t>See NVD references</t>
        </is>
      </c>
      <c r="O939" s="187" t="inlineStr">
        <is>
          <t>Apply vendor patches</t>
        </is>
      </c>
      <c r="P939" s="187" t="inlineStr">
        <is>
          <t>See CVE details</t>
        </is>
      </c>
      <c r="Q939" s="187" t="inlineStr">
        <is>
          <t>P3</t>
        </is>
      </c>
      <c r="R939" s="187" t="inlineStr">
        <is>
          <t>🚨 URGENT: Apply vendor patches immediately | 🔒 Isolate affected systems if patch unavailable | 🛡️ Enable additional monitoring/IDS rules</t>
        </is>
      </c>
      <c r="S939" s="187" t="inlineStr">
        <is>
          <t>CVE - IP enrichment n/a</t>
        </is>
      </c>
      <c r="T939" s="187" t="n">
        <v>0.0005999999999999999</v>
      </c>
      <c r="U939" s="187" t="n">
        <v>0.1779</v>
      </c>
      <c r="V939" s="187" t="inlineStr">
        <is>
          <t>T1190:Exploit Public-Facing Application</t>
        </is>
      </c>
      <c r="W939" s="187" t="n">
        <v>1</v>
      </c>
      <c r="X939" s="187" t="inlineStr">
        <is>
          <t>LOW (40%)</t>
        </is>
      </c>
      <c r="Y939" s="187" t="inlineStr">
        <is>
          <t>UNLIKELY</t>
        </is>
      </c>
      <c r="Z939" s="187" t="inlineStr">
        <is>
          <t>CHECK_VENDOR</t>
        </is>
      </c>
      <c r="AA939" s="187" t="inlineStr">
        <is>
          <t>https://nvd.nist.gov/vuln/detail/CVE-2026-25114</t>
        </is>
      </c>
      <c r="AB939" s="187" t="inlineStr">
        <is>
          <t>NONE</t>
        </is>
      </c>
      <c r="AC939" s="187" t="n">
        <v>0</v>
      </c>
      <c r="AD939" s="187" t="inlineStr"/>
    </row>
    <row r="940">
      <c r="A940" s="187" t="inlineStr">
        <is>
          <t>CVE</t>
        </is>
      </c>
      <c r="B940" s="187" t="inlineStr">
        <is>
          <t>CVE-2026-25711</t>
        </is>
      </c>
      <c r="C940"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0" s="187" t="n">
        <v>7.3</v>
      </c>
      <c r="E940" s="187" t="inlineStr">
        <is>
          <t>HIGH</t>
        </is>
      </c>
      <c r="F940" s="187" t="n">
        <v>2</v>
      </c>
      <c r="G940" s="187" t="n">
        <v>3</v>
      </c>
      <c r="H940" s="187" t="inlineStr">
        <is>
          <t>HIGH</t>
        </is>
      </c>
      <c r="I940" s="187" t="n">
        <v>13.3</v>
      </c>
      <c r="J940" s="187" t="inlineStr">
        <is>
          <t>NO</t>
        </is>
      </c>
      <c r="K940" s="187" t="inlineStr">
        <is>
          <t>https://nvd.nist.gov/vuln/detail/CVE-2026-25711</t>
        </is>
      </c>
      <c r="L940" s="187" t="inlineStr">
        <is>
          <t>2026-02-27 20:47</t>
        </is>
      </c>
      <c r="M940" s="187" t="inlineStr">
        <is>
          <t>CHECK_VENDOR</t>
        </is>
      </c>
      <c r="N940" s="187" t="inlineStr">
        <is>
          <t>See NVD references</t>
        </is>
      </c>
      <c r="O940" s="187" t="inlineStr">
        <is>
          <t>Apply vendor patches</t>
        </is>
      </c>
      <c r="P940" s="187" t="inlineStr">
        <is>
          <t>See CVE details</t>
        </is>
      </c>
      <c r="Q940" s="187" t="inlineStr">
        <is>
          <t>P3</t>
        </is>
      </c>
      <c r="R940" s="187" t="inlineStr">
        <is>
          <t>🚨 URGENT: Apply vendor patches immediately | 🔒 Isolate affected systems if patch unavailable | 🛡️ Enable additional monitoring/IDS rules</t>
        </is>
      </c>
      <c r="S940" s="187" t="inlineStr">
        <is>
          <t>CVE - IP enrichment n/a</t>
        </is>
      </c>
      <c r="T940" s="187" t="n">
        <v>0.0004</v>
      </c>
      <c r="U940" s="187" t="n">
        <v>0.1036</v>
      </c>
      <c r="V940" s="187" t="inlineStr">
        <is>
          <t>T1190:Exploit Public-Facing Application</t>
        </is>
      </c>
      <c r="W940" s="187" t="n">
        <v>1</v>
      </c>
      <c r="X940" s="187" t="inlineStr">
        <is>
          <t>LOW (40%)</t>
        </is>
      </c>
      <c r="Y940" s="187" t="inlineStr">
        <is>
          <t>UNLIKELY</t>
        </is>
      </c>
      <c r="Z940" s="187" t="inlineStr">
        <is>
          <t>CHECK_VENDOR</t>
        </is>
      </c>
      <c r="AA940" s="187" t="inlineStr">
        <is>
          <t>https://nvd.nist.gov/vuln/detail/CVE-2026-25711</t>
        </is>
      </c>
      <c r="AB940" s="187" t="inlineStr">
        <is>
          <t>NONE</t>
        </is>
      </c>
      <c r="AC940" s="187" t="n">
        <v>0</v>
      </c>
      <c r="AD940" s="187" t="inlineStr"/>
    </row>
    <row r="941">
      <c r="A941" s="187" t="inlineStr">
        <is>
          <t>CVE</t>
        </is>
      </c>
      <c r="B941" s="187" t="inlineStr">
        <is>
          <t>CVE-2026-25778</t>
        </is>
      </c>
      <c r="C941"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1" s="187" t="n">
        <v>7.3</v>
      </c>
      <c r="E941" s="187" t="inlineStr">
        <is>
          <t>HIGH</t>
        </is>
      </c>
      <c r="F941" s="187" t="n">
        <v>2</v>
      </c>
      <c r="G941" s="187" t="n">
        <v>3</v>
      </c>
      <c r="H941" s="187" t="inlineStr">
        <is>
          <t>HIGH</t>
        </is>
      </c>
      <c r="I941" s="187" t="n">
        <v>13.3</v>
      </c>
      <c r="J941" s="187" t="inlineStr">
        <is>
          <t>NO</t>
        </is>
      </c>
      <c r="K941" s="187" t="inlineStr">
        <is>
          <t>https://nvd.nist.gov/vuln/detail/CVE-2026-25778</t>
        </is>
      </c>
      <c r="L941" s="187" t="inlineStr">
        <is>
          <t>2026-02-27 20:47</t>
        </is>
      </c>
      <c r="M941" s="187" t="inlineStr">
        <is>
          <t>CHECK_VENDOR</t>
        </is>
      </c>
      <c r="N941" s="187" t="inlineStr">
        <is>
          <t>See NVD references</t>
        </is>
      </c>
      <c r="O941" s="187" t="inlineStr">
        <is>
          <t>Apply vendor patches</t>
        </is>
      </c>
      <c r="P941" s="187" t="inlineStr">
        <is>
          <t>See CVE details</t>
        </is>
      </c>
      <c r="Q941" s="187" t="inlineStr">
        <is>
          <t>P3</t>
        </is>
      </c>
      <c r="R941" s="187" t="inlineStr">
        <is>
          <t>🚨 URGENT: Apply vendor patches immediately | 🔒 Isolate affected systems if patch unavailable | 🛡️ Enable additional monitoring/IDS rules</t>
        </is>
      </c>
      <c r="S941" s="187" t="inlineStr">
        <is>
          <t>CVE - IP enrichment n/a</t>
        </is>
      </c>
      <c r="T941" s="187" t="n">
        <v>0.0004</v>
      </c>
      <c r="U941" s="187" t="n">
        <v>0.1036</v>
      </c>
      <c r="V941" s="187" t="inlineStr">
        <is>
          <t>T1190:Exploit Public-Facing Application</t>
        </is>
      </c>
      <c r="W941" s="187" t="n">
        <v>1</v>
      </c>
      <c r="X941" s="187" t="inlineStr">
        <is>
          <t>LOW (40%)</t>
        </is>
      </c>
      <c r="Y941" s="187" t="inlineStr">
        <is>
          <t>UNLIKELY</t>
        </is>
      </c>
      <c r="Z941" s="187" t="inlineStr">
        <is>
          <t>CHECK_VENDOR</t>
        </is>
      </c>
      <c r="AA941" s="187" t="inlineStr">
        <is>
          <t>https://nvd.nist.gov/vuln/detail/CVE-2026-25778</t>
        </is>
      </c>
      <c r="AB941" s="187" t="inlineStr">
        <is>
          <t>NONE</t>
        </is>
      </c>
      <c r="AC941" s="187" t="n">
        <v>0</v>
      </c>
      <c r="AD941" s="187" t="inlineStr"/>
    </row>
    <row r="942">
      <c r="A942" s="189" t="inlineStr">
        <is>
          <t>CVE</t>
        </is>
      </c>
      <c r="B942" s="189" t="inlineStr">
        <is>
          <t>CVE-2026-25851</t>
        </is>
      </c>
      <c r="C942"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2" s="189" t="n">
        <v>9.4</v>
      </c>
      <c r="E942" s="189" t="inlineStr">
        <is>
          <t>CRITICAL</t>
        </is>
      </c>
      <c r="F942" s="189" t="n">
        <v>2</v>
      </c>
      <c r="G942" s="189" t="n">
        <v>3</v>
      </c>
      <c r="H942" s="189" t="inlineStr">
        <is>
          <t>HIGH</t>
        </is>
      </c>
      <c r="I942" s="189" t="n">
        <v>15.4</v>
      </c>
      <c r="J942" s="189" t="inlineStr">
        <is>
          <t>NO</t>
        </is>
      </c>
      <c r="K942" s="189" t="inlineStr">
        <is>
          <t>https://nvd.nist.gov/vuln/detail/CVE-2026-25851</t>
        </is>
      </c>
      <c r="L942" s="189" t="inlineStr">
        <is>
          <t>2026-02-27 20:47</t>
        </is>
      </c>
      <c r="M942" s="189" t="inlineStr">
        <is>
          <t>CHECK_VENDOR</t>
        </is>
      </c>
      <c r="N942" s="189" t="inlineStr">
        <is>
          <t>See NVD references</t>
        </is>
      </c>
      <c r="O942" s="189" t="inlineStr">
        <is>
          <t>Apply vendor patches</t>
        </is>
      </c>
      <c r="P942" s="189" t="inlineStr">
        <is>
          <t>See CVE details</t>
        </is>
      </c>
      <c r="Q942" s="189" t="inlineStr">
        <is>
          <t>P3</t>
        </is>
      </c>
      <c r="R942" s="189" t="inlineStr">
        <is>
          <t>🚨 URGENT: Apply vendor patches immediately | 🔒 Isolate affected systems if patch unavailable | 🛡️ Enable additional monitoring/IDS rules</t>
        </is>
      </c>
      <c r="S942" s="189" t="inlineStr">
        <is>
          <t>CVE - IP enrichment n/a</t>
        </is>
      </c>
      <c r="T942" s="189" t="n">
        <v>0.0013</v>
      </c>
      <c r="U942" s="189" t="n">
        <v>0.3289</v>
      </c>
      <c r="V942" s="189" t="inlineStr">
        <is>
          <t>T1078:Valid Accounts</t>
        </is>
      </c>
      <c r="W942" s="189" t="n">
        <v>1</v>
      </c>
      <c r="X942" s="189" t="inlineStr">
        <is>
          <t>LOW (40%)</t>
        </is>
      </c>
      <c r="Y942" s="189" t="inlineStr">
        <is>
          <t>UNLIKELY</t>
        </is>
      </c>
      <c r="Z942" s="189" t="inlineStr">
        <is>
          <t>CHECK_VENDOR</t>
        </is>
      </c>
      <c r="AA942" s="189" t="inlineStr">
        <is>
          <t>https://nvd.nist.gov/vuln/detail/CVE-2026-25851</t>
        </is>
      </c>
      <c r="AB942" s="189" t="inlineStr">
        <is>
          <t>NONE</t>
        </is>
      </c>
      <c r="AC942" s="189" t="n">
        <v>0</v>
      </c>
      <c r="AD942" s="189" t="inlineStr"/>
    </row>
    <row r="943">
      <c r="A943" s="187" t="inlineStr">
        <is>
          <t>CVE</t>
        </is>
      </c>
      <c r="B943" s="187" t="inlineStr">
        <is>
          <t>CVE-2026-25945</t>
        </is>
      </c>
      <c r="C943"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43" s="187" t="n">
        <v>7.5</v>
      </c>
      <c r="E943" s="187" t="inlineStr">
        <is>
          <t>HIGH</t>
        </is>
      </c>
      <c r="F943" s="187" t="n">
        <v>2</v>
      </c>
      <c r="G943" s="187" t="n">
        <v>3</v>
      </c>
      <c r="H943" s="187" t="inlineStr">
        <is>
          <t>HIGH</t>
        </is>
      </c>
      <c r="I943" s="187" t="n">
        <v>13.5</v>
      </c>
      <c r="J943" s="187" t="inlineStr">
        <is>
          <t>NO</t>
        </is>
      </c>
      <c r="K943" s="187" t="inlineStr">
        <is>
          <t>https://nvd.nist.gov/vuln/detail/CVE-2026-25945</t>
        </is>
      </c>
      <c r="L943" s="187" t="inlineStr">
        <is>
          <t>2026-02-27 20:47</t>
        </is>
      </c>
      <c r="M943" s="187" t="inlineStr">
        <is>
          <t>CHECK_VENDOR</t>
        </is>
      </c>
      <c r="N943" s="187" t="inlineStr">
        <is>
          <t>See NVD references</t>
        </is>
      </c>
      <c r="O943" s="187" t="inlineStr">
        <is>
          <t>Apply vendor patches</t>
        </is>
      </c>
      <c r="P943" s="187" t="inlineStr">
        <is>
          <t>See CVE details</t>
        </is>
      </c>
      <c r="Q943" s="187" t="inlineStr">
        <is>
          <t>P3</t>
        </is>
      </c>
      <c r="R943" s="187" t="inlineStr">
        <is>
          <t>🚨 URGENT: Apply vendor patches immediately | 🔒 Isolate affected systems if patch unavailable | 🛡️ Enable additional monitoring/IDS rules</t>
        </is>
      </c>
      <c r="S943" s="187" t="inlineStr">
        <is>
          <t>CVE - IP enrichment n/a</t>
        </is>
      </c>
      <c r="T943" s="187" t="n">
        <v>0.0005999999999999999</v>
      </c>
      <c r="U943" s="187" t="n">
        <v>0.1779</v>
      </c>
      <c r="V943" s="187" t="inlineStr">
        <is>
          <t>T1190:Exploit Public-Facing Application</t>
        </is>
      </c>
      <c r="W943" s="187" t="n">
        <v>1</v>
      </c>
      <c r="X943" s="187" t="inlineStr">
        <is>
          <t>LOW (40%)</t>
        </is>
      </c>
      <c r="Y943" s="187" t="inlineStr">
        <is>
          <t>UNLIKELY</t>
        </is>
      </c>
      <c r="Z943" s="187" t="inlineStr">
        <is>
          <t>CHECK_VENDOR</t>
        </is>
      </c>
      <c r="AA943" s="187" t="inlineStr">
        <is>
          <t>https://nvd.nist.gov/vuln/detail/CVE-2026-25945</t>
        </is>
      </c>
      <c r="AB943" s="187" t="inlineStr">
        <is>
          <t>NONE</t>
        </is>
      </c>
      <c r="AC943" s="187" t="n">
        <v>0</v>
      </c>
      <c r="AD943" s="187" t="inlineStr"/>
    </row>
    <row r="944">
      <c r="A944" s="187" t="inlineStr">
        <is>
          <t>CVE</t>
        </is>
      </c>
      <c r="B944" s="187" t="inlineStr">
        <is>
          <t>CVE-2026-27652</t>
        </is>
      </c>
      <c r="C944"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4" s="187" t="n">
        <v>7.3</v>
      </c>
      <c r="E944" s="187" t="inlineStr">
        <is>
          <t>HIGH</t>
        </is>
      </c>
      <c r="F944" s="187" t="n">
        <v>2</v>
      </c>
      <c r="G944" s="187" t="n">
        <v>3</v>
      </c>
      <c r="H944" s="187" t="inlineStr">
        <is>
          <t>HIGH</t>
        </is>
      </c>
      <c r="I944" s="187" t="n">
        <v>13.3</v>
      </c>
      <c r="J944" s="187" t="inlineStr">
        <is>
          <t>NO</t>
        </is>
      </c>
      <c r="K944" s="187" t="inlineStr">
        <is>
          <t>https://nvd.nist.gov/vuln/detail/CVE-2026-27652</t>
        </is>
      </c>
      <c r="L944" s="187" t="inlineStr">
        <is>
          <t>2026-02-27 20:47</t>
        </is>
      </c>
      <c r="M944" s="187" t="inlineStr">
        <is>
          <t>CHECK_VENDOR</t>
        </is>
      </c>
      <c r="N944" s="187" t="inlineStr">
        <is>
          <t>See NVD references</t>
        </is>
      </c>
      <c r="O944" s="187" t="inlineStr">
        <is>
          <t>Apply vendor patches</t>
        </is>
      </c>
      <c r="P944" s="187" t="inlineStr">
        <is>
          <t>See CVE details</t>
        </is>
      </c>
      <c r="Q944" s="187" t="inlineStr">
        <is>
          <t>P3</t>
        </is>
      </c>
      <c r="R944" s="187" t="inlineStr">
        <is>
          <t>🚨 URGENT: Apply vendor patches immediately | 🔒 Isolate affected systems if patch unavailable | 🛡️ Enable additional monitoring/IDS rules</t>
        </is>
      </c>
      <c r="S944" s="187" t="inlineStr">
        <is>
          <t>CVE - IP enrichment n/a</t>
        </is>
      </c>
      <c r="T944" s="187" t="n">
        <v>0.0004</v>
      </c>
      <c r="U944" s="187" t="n">
        <v>0.1036</v>
      </c>
      <c r="V944" s="187" t="inlineStr">
        <is>
          <t>T1190:Exploit Public-Facing Application</t>
        </is>
      </c>
      <c r="W944" s="187" t="n">
        <v>1</v>
      </c>
      <c r="X944" s="187" t="inlineStr">
        <is>
          <t>LOW (40%)</t>
        </is>
      </c>
      <c r="Y944" s="187" t="inlineStr">
        <is>
          <t>UNLIKELY</t>
        </is>
      </c>
      <c r="Z944" s="187" t="inlineStr">
        <is>
          <t>CHECK_VENDOR</t>
        </is>
      </c>
      <c r="AA944" s="187" t="inlineStr">
        <is>
          <t>https://nvd.nist.gov/vuln/detail/CVE-2026-27652</t>
        </is>
      </c>
      <c r="AB944" s="187" t="inlineStr">
        <is>
          <t>NONE</t>
        </is>
      </c>
      <c r="AC944" s="187" t="n">
        <v>0</v>
      </c>
      <c r="AD944" s="187" t="inlineStr"/>
    </row>
    <row r="945">
      <c r="A945" s="189" t="inlineStr">
        <is>
          <t>CVE</t>
        </is>
      </c>
      <c r="B945" s="189" t="inlineStr">
        <is>
          <t>CVE-2026-27767</t>
        </is>
      </c>
      <c r="C945"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5" s="189" t="n">
        <v>9.4</v>
      </c>
      <c r="E945" s="189" t="inlineStr">
        <is>
          <t>CRITICAL</t>
        </is>
      </c>
      <c r="F945" s="189" t="n">
        <v>2</v>
      </c>
      <c r="G945" s="189" t="n">
        <v>3</v>
      </c>
      <c r="H945" s="189" t="inlineStr">
        <is>
          <t>HIGH</t>
        </is>
      </c>
      <c r="I945" s="189" t="n">
        <v>15.4</v>
      </c>
      <c r="J945" s="189" t="inlineStr">
        <is>
          <t>NO</t>
        </is>
      </c>
      <c r="K945" s="189" t="inlineStr">
        <is>
          <t>https://nvd.nist.gov/vuln/detail/CVE-2026-27767</t>
        </is>
      </c>
      <c r="L945" s="189" t="inlineStr">
        <is>
          <t>2026-02-27 20:47</t>
        </is>
      </c>
      <c r="M945" s="189" t="inlineStr">
        <is>
          <t>CHECK_VENDOR</t>
        </is>
      </c>
      <c r="N945" s="189" t="inlineStr">
        <is>
          <t>See NVD references</t>
        </is>
      </c>
      <c r="O945" s="189" t="inlineStr">
        <is>
          <t>Apply vendor patches</t>
        </is>
      </c>
      <c r="P945" s="189" t="inlineStr">
        <is>
          <t>See CVE details</t>
        </is>
      </c>
      <c r="Q945" s="189" t="inlineStr">
        <is>
          <t>P3</t>
        </is>
      </c>
      <c r="R945" s="189" t="inlineStr">
        <is>
          <t>🚨 URGENT: Apply vendor patches immediately | 🔒 Isolate affected systems if patch unavailable | 🛡️ Enable additional monitoring/IDS rules</t>
        </is>
      </c>
      <c r="S945" s="189" t="inlineStr">
        <is>
          <t>CVE - IP enrichment n/a</t>
        </is>
      </c>
      <c r="T945" s="189" t="n">
        <v>0.0013</v>
      </c>
      <c r="U945" s="189" t="n">
        <v>0.3289</v>
      </c>
      <c r="V945" s="189" t="inlineStr">
        <is>
          <t>T1078:Valid Accounts</t>
        </is>
      </c>
      <c r="W945" s="189" t="n">
        <v>1</v>
      </c>
      <c r="X945" s="189" t="inlineStr">
        <is>
          <t>LOW (40%)</t>
        </is>
      </c>
      <c r="Y945" s="189" t="inlineStr">
        <is>
          <t>UNLIKELY</t>
        </is>
      </c>
      <c r="Z945" s="189" t="inlineStr">
        <is>
          <t>CHECK_VENDOR</t>
        </is>
      </c>
      <c r="AA945" s="189" t="inlineStr">
        <is>
          <t>https://nvd.nist.gov/vuln/detail/CVE-2026-27767</t>
        </is>
      </c>
      <c r="AB945" s="189" t="inlineStr">
        <is>
          <t>NONE</t>
        </is>
      </c>
      <c r="AC945" s="189" t="n">
        <v>0</v>
      </c>
      <c r="AD945" s="189" t="inlineStr"/>
    </row>
    <row r="946">
      <c r="A946" s="189" t="inlineStr">
        <is>
          <t>CVE</t>
        </is>
      </c>
      <c r="B946" s="189" t="inlineStr">
        <is>
          <t>CVE-2026-27772</t>
        </is>
      </c>
      <c r="C946"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6" s="189" t="n">
        <v>9.4</v>
      </c>
      <c r="E946" s="189" t="inlineStr">
        <is>
          <t>CRITICAL</t>
        </is>
      </c>
      <c r="F946" s="189" t="n">
        <v>2</v>
      </c>
      <c r="G946" s="189" t="n">
        <v>3</v>
      </c>
      <c r="H946" s="189" t="inlineStr">
        <is>
          <t>HIGH</t>
        </is>
      </c>
      <c r="I946" s="189" t="n">
        <v>15.4</v>
      </c>
      <c r="J946" s="189" t="inlineStr">
        <is>
          <t>NO</t>
        </is>
      </c>
      <c r="K946" s="189" t="inlineStr">
        <is>
          <t>https://nvd.nist.gov/vuln/detail/CVE-2026-27772</t>
        </is>
      </c>
      <c r="L946" s="189" t="inlineStr">
        <is>
          <t>2026-02-27 20:47</t>
        </is>
      </c>
      <c r="M946" s="189" t="inlineStr">
        <is>
          <t>CHECK_VENDOR</t>
        </is>
      </c>
      <c r="N946" s="189" t="inlineStr">
        <is>
          <t>See NVD references</t>
        </is>
      </c>
      <c r="O946" s="189" t="inlineStr">
        <is>
          <t>Apply vendor patches</t>
        </is>
      </c>
      <c r="P946" s="189" t="inlineStr">
        <is>
          <t>See CVE details</t>
        </is>
      </c>
      <c r="Q946" s="189" t="inlineStr">
        <is>
          <t>P3</t>
        </is>
      </c>
      <c r="R946" s="189" t="inlineStr">
        <is>
          <t>🚨 URGENT: Apply vendor patches immediately | 🔒 Isolate affected systems if patch unavailable | 🛡️ Enable additional monitoring/IDS rules</t>
        </is>
      </c>
      <c r="S946" s="189" t="inlineStr">
        <is>
          <t>CVE - IP enrichment n/a</t>
        </is>
      </c>
      <c r="T946" s="189" t="n">
        <v>0.0013</v>
      </c>
      <c r="U946" s="189" t="n">
        <v>0.3289</v>
      </c>
      <c r="V946" s="189" t="inlineStr">
        <is>
          <t>T1078:Valid Accounts</t>
        </is>
      </c>
      <c r="W946" s="189" t="n">
        <v>1</v>
      </c>
      <c r="X946" s="189" t="inlineStr">
        <is>
          <t>LOW (40%)</t>
        </is>
      </c>
      <c r="Y946" s="189" t="inlineStr">
        <is>
          <t>UNLIKELY</t>
        </is>
      </c>
      <c r="Z946" s="189" t="inlineStr">
        <is>
          <t>CHECK_VENDOR</t>
        </is>
      </c>
      <c r="AA946" s="189" t="inlineStr">
        <is>
          <t>https://nvd.nist.gov/vuln/detail/CVE-2026-27772</t>
        </is>
      </c>
      <c r="AB946" s="189" t="inlineStr">
        <is>
          <t>NONE</t>
        </is>
      </c>
      <c r="AC946" s="189" t="n">
        <v>0</v>
      </c>
      <c r="AD946" s="189" t="inlineStr"/>
    </row>
    <row r="947">
      <c r="A947" s="188" t="inlineStr">
        <is>
          <t>CVE</t>
        </is>
      </c>
      <c r="B947" s="188" t="inlineStr">
        <is>
          <t>CVE-2026-27773</t>
        </is>
      </c>
      <c r="C947" s="188" t="inlineStr">
        <is>
          <t>Charging station authentication identifiers are publicly accessible via web-based mapping platforms.</t>
        </is>
      </c>
      <c r="D947" s="188" t="n">
        <v>6.5</v>
      </c>
      <c r="E947" s="188" t="inlineStr">
        <is>
          <t>MEDIUM</t>
        </is>
      </c>
      <c r="F947" s="188" t="n">
        <v>2</v>
      </c>
      <c r="G947" s="188" t="n">
        <v>2</v>
      </c>
      <c r="H947" s="188" t="inlineStr">
        <is>
          <t>MEDIUM</t>
        </is>
      </c>
      <c r="I947" s="188" t="n">
        <v>10.5</v>
      </c>
      <c r="J947" s="188" t="inlineStr">
        <is>
          <t>NO</t>
        </is>
      </c>
      <c r="K947" s="188" t="inlineStr">
        <is>
          <t>https://nvd.nist.gov/vuln/detail/CVE-2026-27773</t>
        </is>
      </c>
      <c r="L947" s="188" t="inlineStr">
        <is>
          <t>2026-02-27 20:47</t>
        </is>
      </c>
      <c r="M947" s="188" t="inlineStr">
        <is>
          <t>CHECK_VENDOR</t>
        </is>
      </c>
      <c r="N947" s="188" t="inlineStr">
        <is>
          <t>See NVD references</t>
        </is>
      </c>
      <c r="O947" s="188" t="inlineStr">
        <is>
          <t>Apply vendor patches</t>
        </is>
      </c>
      <c r="P947" s="188" t="inlineStr">
        <is>
          <t>See CVE details</t>
        </is>
      </c>
      <c r="Q947" s="188" t="inlineStr">
        <is>
          <t>P4</t>
        </is>
      </c>
      <c r="R947" s="188" t="inlineStr">
        <is>
          <t>📅 Schedule patch deployment within 30 days | 🔍 Monitor for exploitation attempts</t>
        </is>
      </c>
      <c r="S947" s="188" t="inlineStr">
        <is>
          <t>CVE - IP enrichment n/a</t>
        </is>
      </c>
      <c r="T947" s="188" t="n">
        <v>0.0004</v>
      </c>
      <c r="U947" s="188" t="n">
        <v>0.1304</v>
      </c>
      <c r="V947" s="188" t="inlineStr">
        <is>
          <t>T1190:Exploit Public-Facing Application</t>
        </is>
      </c>
      <c r="W947" s="188" t="n">
        <v>1</v>
      </c>
      <c r="X947" s="188" t="inlineStr">
        <is>
          <t>LOW (40%)</t>
        </is>
      </c>
      <c r="Y947" s="188" t="inlineStr">
        <is>
          <t>UNLIKELY</t>
        </is>
      </c>
      <c r="Z947" s="188" t="inlineStr">
        <is>
          <t>CHECK_VENDOR</t>
        </is>
      </c>
      <c r="AA947" s="188" t="inlineStr">
        <is>
          <t>https://nvd.nist.gov/vuln/detail/CVE-2026-27773</t>
        </is>
      </c>
      <c r="AB947" s="188" t="inlineStr">
        <is>
          <t>NONE</t>
        </is>
      </c>
      <c r="AC947" s="188" t="n">
        <v>0</v>
      </c>
      <c r="AD947" s="188" t="inlineStr"/>
    </row>
    <row r="948">
      <c r="A948" s="188" t="inlineStr">
        <is>
          <t>CVE</t>
        </is>
      </c>
      <c r="B948" s="188" t="inlineStr">
        <is>
          <t>CVE-2026-2597</t>
        </is>
      </c>
      <c r="C948" s="188"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948" s="188" t="n">
        <v>5</v>
      </c>
      <c r="E948" s="188" t="inlineStr">
        <is>
          <t>MEDIUM</t>
        </is>
      </c>
      <c r="F948" s="188" t="n">
        <v>2</v>
      </c>
      <c r="G948" s="188" t="n">
        <v>2</v>
      </c>
      <c r="H948" s="188" t="inlineStr">
        <is>
          <t>MEDIUM</t>
        </is>
      </c>
      <c r="I948" s="188" t="n">
        <v>9</v>
      </c>
      <c r="J948" s="188" t="inlineStr">
        <is>
          <t>NO</t>
        </is>
      </c>
      <c r="K948" s="188" t="inlineStr">
        <is>
          <t>https://nvd.nist.gov/vuln/detail/CVE-2026-2597</t>
        </is>
      </c>
      <c r="L948" s="188" t="inlineStr">
        <is>
          <t>2026-02-27 20:47</t>
        </is>
      </c>
      <c r="M948" s="188" t="inlineStr">
        <is>
          <t>CHECK_VENDOR</t>
        </is>
      </c>
      <c r="N948" s="188" t="inlineStr">
        <is>
          <t>See NVD references</t>
        </is>
      </c>
      <c r="O948" s="188" t="inlineStr">
        <is>
          <t>Apply vendor patches</t>
        </is>
      </c>
      <c r="P948" s="188" t="inlineStr">
        <is>
          <t>See CVE details</t>
        </is>
      </c>
      <c r="Q948" s="188" t="inlineStr">
        <is>
          <t>P4</t>
        </is>
      </c>
      <c r="R948" s="188" t="inlineStr">
        <is>
          <t>📅 Schedule patch deployment within 30 days | 🔍 Monitor for exploitation attempts</t>
        </is>
      </c>
      <c r="S948" s="188" t="inlineStr">
        <is>
          <t>CVE - IP enrichment n/a</t>
        </is>
      </c>
      <c r="T948" s="188" t="n">
        <v>0.0003</v>
      </c>
      <c r="U948" s="188" t="n">
        <v>0.0752</v>
      </c>
      <c r="V948" s="188" t="inlineStr">
        <is>
          <t>T1203:Exploitation for Client Execution | T1552:Unsecured Credentials | T1499:Endpoint Denial of Service</t>
        </is>
      </c>
      <c r="W948" s="188" t="n">
        <v>1</v>
      </c>
      <c r="X948" s="188" t="inlineStr">
        <is>
          <t>LOW (40%)</t>
        </is>
      </c>
      <c r="Y948" s="188" t="inlineStr">
        <is>
          <t>UNLIKELY</t>
        </is>
      </c>
      <c r="Z948" s="188" t="inlineStr">
        <is>
          <t>CHECK_VENDOR</t>
        </is>
      </c>
      <c r="AA948" s="188" t="inlineStr">
        <is>
          <t>https://nvd.nist.gov/vuln/detail/CVE-2026-2597</t>
        </is>
      </c>
      <c r="AB948" s="188" t="inlineStr">
        <is>
          <t>NONE</t>
        </is>
      </c>
      <c r="AC948" s="188" t="n">
        <v>0</v>
      </c>
      <c r="AD948" s="188" t="inlineStr"/>
    </row>
    <row r="949">
      <c r="A949" s="188" t="inlineStr">
        <is>
          <t>CVE</t>
        </is>
      </c>
      <c r="B949" s="188" t="inlineStr">
        <is>
          <t>CVE-2026-3269</t>
        </is>
      </c>
      <c r="C949" s="188"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949" s="188" t="n">
        <v>4.3</v>
      </c>
      <c r="E949" s="188" t="inlineStr">
        <is>
          <t>MEDIUM</t>
        </is>
      </c>
      <c r="F949" s="188" t="n">
        <v>2</v>
      </c>
      <c r="G949" s="188" t="n">
        <v>2</v>
      </c>
      <c r="H949" s="188" t="inlineStr">
        <is>
          <t>MEDIUM</t>
        </is>
      </c>
      <c r="I949" s="188" t="n">
        <v>8.300000000000001</v>
      </c>
      <c r="J949" s="188" t="inlineStr">
        <is>
          <t>NO</t>
        </is>
      </c>
      <c r="K949" s="188" t="inlineStr">
        <is>
          <t>https://nvd.nist.gov/vuln/detail/CVE-2026-3269</t>
        </is>
      </c>
      <c r="L949" s="188" t="inlineStr">
        <is>
          <t>2026-02-27 20:47</t>
        </is>
      </c>
      <c r="M949" s="188" t="inlineStr">
        <is>
          <t>CHECK_VENDOR</t>
        </is>
      </c>
      <c r="N949" s="188" t="inlineStr">
        <is>
          <t>See NVD references</t>
        </is>
      </c>
      <c r="O949" s="188" t="inlineStr">
        <is>
          <t>Apply vendor patches</t>
        </is>
      </c>
      <c r="P949" s="188" t="inlineStr">
        <is>
          <t>See CVE details</t>
        </is>
      </c>
      <c r="Q949" s="188" t="inlineStr">
        <is>
          <t>P4</t>
        </is>
      </c>
      <c r="R949" s="188" t="inlineStr">
        <is>
          <t>📅 Schedule patch deployment within 30 days | 🔍 Monitor for exploitation attempts</t>
        </is>
      </c>
      <c r="S949" s="188" t="inlineStr">
        <is>
          <t>CVE - IP enrichment n/a</t>
        </is>
      </c>
      <c r="T949" s="188" t="n">
        <v>0.0004</v>
      </c>
      <c r="U949" s="188" t="n">
        <v>0.1069</v>
      </c>
      <c r="V949" s="188" t="inlineStr">
        <is>
          <t>T1499:Endpoint Denial of Service</t>
        </is>
      </c>
      <c r="W949" s="188" t="n">
        <v>1</v>
      </c>
      <c r="X949" s="188" t="inlineStr">
        <is>
          <t>LOW (40%)</t>
        </is>
      </c>
      <c r="Y949" s="188" t="inlineStr">
        <is>
          <t>UNLIKELY</t>
        </is>
      </c>
      <c r="Z949" s="188" t="inlineStr">
        <is>
          <t>CHECK_VENDOR</t>
        </is>
      </c>
      <c r="AA949" s="188" t="inlineStr">
        <is>
          <t>https://nvd.nist.gov/vuln/detail/CVE-2026-3269</t>
        </is>
      </c>
      <c r="AB949" s="188" t="inlineStr">
        <is>
          <t>NONE</t>
        </is>
      </c>
      <c r="AC949" s="188" t="n">
        <v>0</v>
      </c>
      <c r="AD949" s="188" t="inlineStr"/>
    </row>
    <row r="950">
      <c r="A950" s="188" t="inlineStr">
        <is>
          <t>CVE</t>
        </is>
      </c>
      <c r="B950" s="188" t="inlineStr">
        <is>
          <t>CVE-2026-3270</t>
        </is>
      </c>
      <c r="C950" s="188"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950" s="188" t="n">
        <v>6.3</v>
      </c>
      <c r="E950" s="188" t="inlineStr">
        <is>
          <t>MEDIUM</t>
        </is>
      </c>
      <c r="F950" s="188" t="n">
        <v>2</v>
      </c>
      <c r="G950" s="188" t="n">
        <v>2</v>
      </c>
      <c r="H950" s="188" t="inlineStr">
        <is>
          <t>MEDIUM</t>
        </is>
      </c>
      <c r="I950" s="188" t="n">
        <v>10.3</v>
      </c>
      <c r="J950" s="188" t="inlineStr">
        <is>
          <t>NO</t>
        </is>
      </c>
      <c r="K950" s="188" t="inlineStr">
        <is>
          <t>https://nvd.nist.gov/vuln/detail/CVE-2026-3270</t>
        </is>
      </c>
      <c r="L950" s="188" t="inlineStr">
        <is>
          <t>2026-02-27 20:47</t>
        </is>
      </c>
      <c r="M950" s="188" t="inlineStr">
        <is>
          <t>CHECK_VENDOR</t>
        </is>
      </c>
      <c r="N950" s="188" t="inlineStr">
        <is>
          <t>See NVD references</t>
        </is>
      </c>
      <c r="O950" s="188" t="inlineStr">
        <is>
          <t>Apply vendor patches</t>
        </is>
      </c>
      <c r="P950" s="188" t="inlineStr">
        <is>
          <t>See CVE details</t>
        </is>
      </c>
      <c r="Q950" s="188" t="inlineStr">
        <is>
          <t>P4</t>
        </is>
      </c>
      <c r="R950" s="188" t="inlineStr">
        <is>
          <t>📅 Schedule patch deployment within 30 days | 🔍 Monitor for exploitation attempts</t>
        </is>
      </c>
      <c r="S950" s="188" t="inlineStr">
        <is>
          <t>CVE - IP enrichment n/a</t>
        </is>
      </c>
      <c r="T950" s="188" t="n">
        <v>0.0003</v>
      </c>
      <c r="U950" s="188" t="n">
        <v>0.0959</v>
      </c>
      <c r="V950" s="188" t="inlineStr">
        <is>
          <t>T1090:Proxy</t>
        </is>
      </c>
      <c r="W950" s="188" t="n">
        <v>1</v>
      </c>
      <c r="X950" s="188" t="inlineStr">
        <is>
          <t>LOW (40%)</t>
        </is>
      </c>
      <c r="Y950" s="188" t="inlineStr">
        <is>
          <t>UNLIKELY</t>
        </is>
      </c>
      <c r="Z950" s="188" t="inlineStr">
        <is>
          <t>CHECK_VENDOR</t>
        </is>
      </c>
      <c r="AA950" s="188" t="inlineStr">
        <is>
          <t>https://nvd.nist.gov/vuln/detail/CVE-2026-3270</t>
        </is>
      </c>
      <c r="AB950" s="188" t="inlineStr">
        <is>
          <t>NONE</t>
        </is>
      </c>
      <c r="AC950" s="188" t="n">
        <v>0</v>
      </c>
      <c r="AD950" s="188" t="inlineStr"/>
    </row>
    <row r="951">
      <c r="A951" s="187" t="inlineStr">
        <is>
          <t>CVE</t>
        </is>
      </c>
      <c r="B951" s="187" t="inlineStr">
        <is>
          <t>CVE-2026-3271</t>
        </is>
      </c>
      <c r="C951" s="187"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951" s="187" t="n">
        <v>8.800000000000001</v>
      </c>
      <c r="E951" s="187" t="inlineStr">
        <is>
          <t>HIGH</t>
        </is>
      </c>
      <c r="F951" s="187" t="n">
        <v>2</v>
      </c>
      <c r="G951" s="187" t="n">
        <v>3</v>
      </c>
      <c r="H951" s="187" t="inlineStr">
        <is>
          <t>HIGH</t>
        </is>
      </c>
      <c r="I951" s="187" t="n">
        <v>14.8</v>
      </c>
      <c r="J951" s="187" t="inlineStr">
        <is>
          <t>NO</t>
        </is>
      </c>
      <c r="K951" s="187" t="inlineStr">
        <is>
          <t>https://nvd.nist.gov/vuln/detail/CVE-2026-3271</t>
        </is>
      </c>
      <c r="L951" s="187" t="inlineStr">
        <is>
          <t>2026-02-27 20:47</t>
        </is>
      </c>
      <c r="M951" s="187" t="inlineStr">
        <is>
          <t>CHECK_VENDOR</t>
        </is>
      </c>
      <c r="N951" s="187" t="inlineStr">
        <is>
          <t>See NVD references</t>
        </is>
      </c>
      <c r="O951" s="187" t="inlineStr">
        <is>
          <t>Apply vendor patches</t>
        </is>
      </c>
      <c r="P951" s="187" t="inlineStr">
        <is>
          <t>See CVE details</t>
        </is>
      </c>
      <c r="Q951" s="187" t="inlineStr">
        <is>
          <t>P3</t>
        </is>
      </c>
      <c r="R951" s="187" t="inlineStr">
        <is>
          <t>🚨 URGENT: Apply vendor patches immediately | 🔒 Isolate affected systems if patch unavailable | 🛡️ Enable additional monitoring/IDS rules</t>
        </is>
      </c>
      <c r="S951" s="187" t="inlineStr">
        <is>
          <t>CVE - IP enrichment n/a</t>
        </is>
      </c>
      <c r="T951" s="187" t="n">
        <v>0.0005</v>
      </c>
      <c r="U951" s="187" t="n">
        <v>0.1424</v>
      </c>
      <c r="V951" s="187" t="inlineStr">
        <is>
          <t>T1203:Exploitation for Client Execution</t>
        </is>
      </c>
      <c r="W951" s="187" t="n">
        <v>1</v>
      </c>
      <c r="X951" s="187" t="inlineStr">
        <is>
          <t>LOW (40%)</t>
        </is>
      </c>
      <c r="Y951" s="187" t="inlineStr">
        <is>
          <t>UNLIKELY</t>
        </is>
      </c>
      <c r="Z951" s="187" t="inlineStr">
        <is>
          <t>CHECK_VENDOR</t>
        </is>
      </c>
      <c r="AA951" s="187" t="inlineStr">
        <is>
          <t>https://nvd.nist.gov/vuln/detail/CVE-2026-3271</t>
        </is>
      </c>
      <c r="AB951" s="187" t="inlineStr">
        <is>
          <t>NONE</t>
        </is>
      </c>
      <c r="AC951" s="187" t="n">
        <v>0</v>
      </c>
      <c r="AD951" s="187" t="inlineStr"/>
    </row>
    <row r="952">
      <c r="A952" s="187" t="inlineStr">
        <is>
          <t>CVE</t>
        </is>
      </c>
      <c r="B952" s="187" t="inlineStr">
        <is>
          <t>CVE-2026-3272</t>
        </is>
      </c>
      <c r="C952" s="187"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952" s="187" t="n">
        <v>8.800000000000001</v>
      </c>
      <c r="E952" s="187" t="inlineStr">
        <is>
          <t>HIGH</t>
        </is>
      </c>
      <c r="F952" s="187" t="n">
        <v>2</v>
      </c>
      <c r="G952" s="187" t="n">
        <v>3</v>
      </c>
      <c r="H952" s="187" t="inlineStr">
        <is>
          <t>HIGH</t>
        </is>
      </c>
      <c r="I952" s="187" t="n">
        <v>14.8</v>
      </c>
      <c r="J952" s="187" t="inlineStr">
        <is>
          <t>NO</t>
        </is>
      </c>
      <c r="K952" s="187" t="inlineStr">
        <is>
          <t>https://nvd.nist.gov/vuln/detail/CVE-2026-3272</t>
        </is>
      </c>
      <c r="L952" s="187" t="inlineStr">
        <is>
          <t>2026-02-27 20:47</t>
        </is>
      </c>
      <c r="M952" s="187" t="inlineStr">
        <is>
          <t>CHECK_VENDOR</t>
        </is>
      </c>
      <c r="N952" s="187" t="inlineStr">
        <is>
          <t>See NVD references</t>
        </is>
      </c>
      <c r="O952" s="187" t="inlineStr">
        <is>
          <t>Apply vendor patches</t>
        </is>
      </c>
      <c r="P952" s="187" t="inlineStr">
        <is>
          <t>tenda f453 - | tenda f453_firmware 1.0.0.3</t>
        </is>
      </c>
      <c r="Q952" s="187" t="inlineStr">
        <is>
          <t>P3</t>
        </is>
      </c>
      <c r="R952" s="187" t="inlineStr">
        <is>
          <t>🚨 URGENT: Apply vendor patches immediately | 🔒 Isolate affected systems if patch unavailable | 🛡️ Enable additional monitoring/IDS rules</t>
        </is>
      </c>
      <c r="S952" s="187" t="inlineStr">
        <is>
          <t>CVE - IP enrichment n/a</t>
        </is>
      </c>
      <c r="T952" s="187" t="n">
        <v>0.0005</v>
      </c>
      <c r="U952" s="187" t="n">
        <v>0.1424</v>
      </c>
      <c r="V952" s="187" t="inlineStr">
        <is>
          <t>T1203:Exploitation for Client Execution</t>
        </is>
      </c>
      <c r="W952" s="187" t="n">
        <v>1</v>
      </c>
      <c r="X952" s="187" t="inlineStr">
        <is>
          <t>LOW (40%)</t>
        </is>
      </c>
      <c r="Y952" s="187" t="inlineStr">
        <is>
          <t>UNLIKELY</t>
        </is>
      </c>
      <c r="Z952" s="187" t="inlineStr">
        <is>
          <t>CHECK_VENDOR</t>
        </is>
      </c>
      <c r="AA952" s="187" t="inlineStr">
        <is>
          <t>https://nvd.nist.gov/vuln/detail/CVE-2026-3272</t>
        </is>
      </c>
      <c r="AB952" s="187" t="inlineStr">
        <is>
          <t>NONE</t>
        </is>
      </c>
      <c r="AC952" s="187" t="n">
        <v>0</v>
      </c>
      <c r="AD952" s="187" t="inlineStr"/>
    </row>
    <row r="953">
      <c r="A953" s="188" t="inlineStr">
        <is>
          <t>CVE</t>
        </is>
      </c>
      <c r="B953" s="188" t="inlineStr">
        <is>
          <t>CVE-2021-4456</t>
        </is>
      </c>
      <c r="C953" s="188"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953" s="188" t="n">
        <v>6.5</v>
      </c>
      <c r="E953" s="188" t="inlineStr">
        <is>
          <t>MEDIUM</t>
        </is>
      </c>
      <c r="F953" s="188" t="n">
        <v>2</v>
      </c>
      <c r="G953" s="188" t="n">
        <v>2</v>
      </c>
      <c r="H953" s="188" t="inlineStr">
        <is>
          <t>MEDIUM</t>
        </is>
      </c>
      <c r="I953" s="188" t="n">
        <v>10.5</v>
      </c>
      <c r="J953" s="188" t="inlineStr">
        <is>
          <t>NO</t>
        </is>
      </c>
      <c r="K953" s="188" t="inlineStr">
        <is>
          <t>https://nvd.nist.gov/vuln/detail/CVE-2021-4456</t>
        </is>
      </c>
      <c r="L953" s="188" t="inlineStr">
        <is>
          <t>2026-02-27 20:47</t>
        </is>
      </c>
      <c r="M953" s="188" t="inlineStr">
        <is>
          <t>CHECK_VENDOR</t>
        </is>
      </c>
      <c r="N953" s="188" t="inlineStr">
        <is>
          <t>See NVD references</t>
        </is>
      </c>
      <c r="O953" s="188" t="inlineStr">
        <is>
          <t>Apply vendor patches</t>
        </is>
      </c>
      <c r="P953" s="188" t="inlineStr">
        <is>
          <t>See CVE details</t>
        </is>
      </c>
      <c r="Q953" s="188" t="inlineStr">
        <is>
          <t>P4</t>
        </is>
      </c>
      <c r="R953" s="188" t="inlineStr">
        <is>
          <t>📅 Schedule patch deployment within 30 days | 🔍 Monitor for exploitation attempts</t>
        </is>
      </c>
      <c r="S953" s="188" t="inlineStr">
        <is>
          <t>CVE - IP enrichment n/a</t>
        </is>
      </c>
      <c r="T953" s="188" t="n">
        <v>0.0003</v>
      </c>
      <c r="U953" s="188" t="n">
        <v>0.0982</v>
      </c>
      <c r="V953" s="188" t="inlineStr">
        <is>
          <t>T1190:Exploit Public-Facing Application</t>
        </is>
      </c>
      <c r="W953" s="188" t="n">
        <v>1</v>
      </c>
      <c r="X953" s="188" t="inlineStr">
        <is>
          <t>LOW (40%)</t>
        </is>
      </c>
      <c r="Y953" s="188" t="inlineStr">
        <is>
          <t>UNLIKELY</t>
        </is>
      </c>
      <c r="Z953" s="188" t="inlineStr">
        <is>
          <t>CHECK_VENDOR</t>
        </is>
      </c>
      <c r="AA953" s="188" t="inlineStr">
        <is>
          <t>https://nvd.nist.gov/vuln/detail/CVE-2021-4456</t>
        </is>
      </c>
      <c r="AB953" s="188" t="inlineStr">
        <is>
          <t>NONE</t>
        </is>
      </c>
      <c r="AC953" s="188" t="n">
        <v>0</v>
      </c>
      <c r="AD953" s="188" t="inlineStr"/>
    </row>
    <row r="954">
      <c r="A954" s="187" t="inlineStr">
        <is>
          <t>CVE</t>
        </is>
      </c>
      <c r="B954" s="187" t="inlineStr">
        <is>
          <t>CVE-2026-20742</t>
        </is>
      </c>
      <c r="C954" s="187" t="inlineStr">
        <is>
          <t>An OS command injection 
vulnerability exists in XWEB Pro version 1.12.1 and prior, enabling an 
authenticated attacker to achieve remote code execution on the system by
 injecting malicious input into requests sent to the templates route.</t>
        </is>
      </c>
      <c r="D954" s="187" t="n">
        <v>8</v>
      </c>
      <c r="E954" s="187" t="inlineStr">
        <is>
          <t>HIGH</t>
        </is>
      </c>
      <c r="F954" s="187" t="n">
        <v>2</v>
      </c>
      <c r="G954" s="187" t="n">
        <v>3</v>
      </c>
      <c r="H954" s="187" t="inlineStr">
        <is>
          <t>HIGH</t>
        </is>
      </c>
      <c r="I954" s="187" t="n">
        <v>14</v>
      </c>
      <c r="J954" s="187" t="inlineStr">
        <is>
          <t>NO</t>
        </is>
      </c>
      <c r="K954" s="187" t="inlineStr">
        <is>
          <t>https://nvd.nist.gov/vuln/detail/CVE-2026-20742</t>
        </is>
      </c>
      <c r="L954" s="187" t="inlineStr">
        <is>
          <t>2026-02-27 20:47</t>
        </is>
      </c>
      <c r="M954" s="187" t="inlineStr">
        <is>
          <t>CHECK_VENDOR</t>
        </is>
      </c>
      <c r="N954" s="187" t="inlineStr">
        <is>
          <t>See NVD references</t>
        </is>
      </c>
      <c r="O954" s="187" t="inlineStr">
        <is>
          <t>Apply vendor patches</t>
        </is>
      </c>
      <c r="P954" s="187" t="inlineStr">
        <is>
          <t>See CVE details</t>
        </is>
      </c>
      <c r="Q954" s="187" t="inlineStr">
        <is>
          <t>P3</t>
        </is>
      </c>
      <c r="R954" s="187" t="inlineStr">
        <is>
          <t>🚨 URGENT: Apply vendor patches immediately | 🔒 Isolate affected systems if patch unavailable | 🛡️ Enable additional monitoring/IDS rules</t>
        </is>
      </c>
      <c r="S954" s="187" t="inlineStr">
        <is>
          <t>CVE - IP enrichment n/a</t>
        </is>
      </c>
      <c r="T954" s="187" t="n">
        <v>0.0022</v>
      </c>
      <c r="U954" s="187" t="n">
        <v>0.4456</v>
      </c>
      <c r="V954" s="187" t="inlineStr">
        <is>
          <t>T1059:Command and Scripting Interpreter | T1190:Exploit Public-Facing Application | T1210:Exploitation of Remote Services</t>
        </is>
      </c>
      <c r="W954" s="187" t="n">
        <v>1</v>
      </c>
      <c r="X954" s="187" t="inlineStr">
        <is>
          <t>LOW (40%)</t>
        </is>
      </c>
      <c r="Y954" s="187" t="inlineStr">
        <is>
          <t>UNLIKELY</t>
        </is>
      </c>
      <c r="Z954" s="187" t="inlineStr">
        <is>
          <t>CHECK_VENDOR</t>
        </is>
      </c>
      <c r="AA954" s="187" t="inlineStr">
        <is>
          <t>https://nvd.nist.gov/vuln/detail/CVE-2026-20742</t>
        </is>
      </c>
      <c r="AB954" s="187" t="inlineStr">
        <is>
          <t>NONE</t>
        </is>
      </c>
      <c r="AC954" s="187" t="n">
        <v>0</v>
      </c>
      <c r="AD954" s="187" t="inlineStr"/>
    </row>
    <row r="955">
      <c r="A955" s="187" t="inlineStr">
        <is>
          <t>CVE</t>
        </is>
      </c>
      <c r="B955" s="187" t="inlineStr">
        <is>
          <t>CVE-2026-20902</t>
        </is>
      </c>
      <c r="C955" s="187"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955" s="187" t="n">
        <v>8</v>
      </c>
      <c r="E955" s="187" t="inlineStr">
        <is>
          <t>HIGH</t>
        </is>
      </c>
      <c r="F955" s="187" t="n">
        <v>2</v>
      </c>
      <c r="G955" s="187" t="n">
        <v>3</v>
      </c>
      <c r="H955" s="187" t="inlineStr">
        <is>
          <t>HIGH</t>
        </is>
      </c>
      <c r="I955" s="187" t="n">
        <v>14</v>
      </c>
      <c r="J955" s="187" t="inlineStr">
        <is>
          <t>NO</t>
        </is>
      </c>
      <c r="K955" s="187" t="inlineStr">
        <is>
          <t>https://nvd.nist.gov/vuln/detail/CVE-2026-20902</t>
        </is>
      </c>
      <c r="L955" s="187" t="inlineStr">
        <is>
          <t>2026-02-27 20:47</t>
        </is>
      </c>
      <c r="M955" s="187" t="inlineStr">
        <is>
          <t>CHECK_VENDOR</t>
        </is>
      </c>
      <c r="N955" s="187" t="inlineStr">
        <is>
          <t>See NVD references</t>
        </is>
      </c>
      <c r="O955" s="187" t="inlineStr">
        <is>
          <t>Apply vendor patches</t>
        </is>
      </c>
      <c r="P955" s="187" t="inlineStr">
        <is>
          <t>See CVE details</t>
        </is>
      </c>
      <c r="Q955" s="187" t="inlineStr">
        <is>
          <t>P3</t>
        </is>
      </c>
      <c r="R955" s="187" t="inlineStr">
        <is>
          <t>🚨 URGENT: Apply vendor patches immediately | 🔒 Isolate affected systems if patch unavailable | 🛡️ Enable additional monitoring/IDS rules</t>
        </is>
      </c>
      <c r="S955" s="187" t="inlineStr">
        <is>
          <t>CVE - IP enrichment n/a</t>
        </is>
      </c>
      <c r="T955" s="187" t="n">
        <v>0.0022</v>
      </c>
      <c r="U955" s="187" t="n">
        <v>0.4456</v>
      </c>
      <c r="V955" s="187" t="inlineStr">
        <is>
          <t>T1059:Command and Scripting Interpreter | T1190:Exploit Public-Facing Application | T1210:Exploitation of Remote Services</t>
        </is>
      </c>
      <c r="W955" s="187" t="n">
        <v>1</v>
      </c>
      <c r="X955" s="187" t="inlineStr">
        <is>
          <t>LOW (40%)</t>
        </is>
      </c>
      <c r="Y955" s="187" t="inlineStr">
        <is>
          <t>UNLIKELY</t>
        </is>
      </c>
      <c r="Z955" s="187" t="inlineStr">
        <is>
          <t>CHECK_VENDOR</t>
        </is>
      </c>
      <c r="AA955" s="187" t="inlineStr">
        <is>
          <t>https://nvd.nist.gov/vuln/detail/CVE-2026-20902</t>
        </is>
      </c>
      <c r="AB955" s="187" t="inlineStr">
        <is>
          <t>NONE</t>
        </is>
      </c>
      <c r="AC955" s="187" t="n">
        <v>0</v>
      </c>
      <c r="AD955" s="187" t="inlineStr"/>
    </row>
    <row r="956">
      <c r="A956" s="187" t="inlineStr">
        <is>
          <t>CVE</t>
        </is>
      </c>
      <c r="B956" s="187" t="inlineStr">
        <is>
          <t>CVE-2026-20910</t>
        </is>
      </c>
      <c r="C956" s="187"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956" s="187" t="n">
        <v>8</v>
      </c>
      <c r="E956" s="187" t="inlineStr">
        <is>
          <t>HIGH</t>
        </is>
      </c>
      <c r="F956" s="187" t="n">
        <v>2</v>
      </c>
      <c r="G956" s="187" t="n">
        <v>3</v>
      </c>
      <c r="H956" s="187" t="inlineStr">
        <is>
          <t>HIGH</t>
        </is>
      </c>
      <c r="I956" s="187" t="n">
        <v>14</v>
      </c>
      <c r="J956" s="187" t="inlineStr">
        <is>
          <t>NO</t>
        </is>
      </c>
      <c r="K956" s="187" t="inlineStr">
        <is>
          <t>https://nvd.nist.gov/vuln/detail/CVE-2026-20910</t>
        </is>
      </c>
      <c r="L956" s="187" t="inlineStr">
        <is>
          <t>2026-02-27 20:47</t>
        </is>
      </c>
      <c r="M956" s="187" t="inlineStr">
        <is>
          <t>CHECK_VENDOR</t>
        </is>
      </c>
      <c r="N956" s="187" t="inlineStr">
        <is>
          <t>See NVD references</t>
        </is>
      </c>
      <c r="O956" s="187" t="inlineStr">
        <is>
          <t>Apply vendor patches</t>
        </is>
      </c>
      <c r="P956" s="187" t="inlineStr">
        <is>
          <t>See CVE details</t>
        </is>
      </c>
      <c r="Q956" s="187" t="inlineStr">
        <is>
          <t>P3</t>
        </is>
      </c>
      <c r="R956" s="187" t="inlineStr">
        <is>
          <t>🚨 URGENT: Apply vendor patches immediately | 🔒 Isolate affected systems if patch unavailable | 🛡️ Enable additional monitoring/IDS rules</t>
        </is>
      </c>
      <c r="S956" s="187" t="inlineStr">
        <is>
          <t>CVE - IP enrichment n/a</t>
        </is>
      </c>
      <c r="T956" s="187" t="n">
        <v>0.0022</v>
      </c>
      <c r="U956" s="187" t="n">
        <v>0.4456</v>
      </c>
      <c r="V956" s="187" t="inlineStr">
        <is>
          <t>T1059:Command and Scripting Interpreter | T1190:Exploit Public-Facing Application | T1210:Exploitation of Remote Services</t>
        </is>
      </c>
      <c r="W956" s="187" t="n">
        <v>1</v>
      </c>
      <c r="X956" s="187" t="inlineStr">
        <is>
          <t>LOW (40%)</t>
        </is>
      </c>
      <c r="Y956" s="187" t="inlineStr">
        <is>
          <t>UNLIKELY</t>
        </is>
      </c>
      <c r="Z956" s="187" t="inlineStr">
        <is>
          <t>CHECK_VENDOR</t>
        </is>
      </c>
      <c r="AA956" s="187" t="inlineStr">
        <is>
          <t>https://nvd.nist.gov/vuln/detail/CVE-2026-20910</t>
        </is>
      </c>
      <c r="AB956" s="187" t="inlineStr">
        <is>
          <t>NONE</t>
        </is>
      </c>
      <c r="AC956" s="187" t="n">
        <v>0</v>
      </c>
      <c r="AD956" s="187" t="inlineStr"/>
    </row>
    <row r="957">
      <c r="A957" s="187" t="inlineStr">
        <is>
          <t>CVE</t>
        </is>
      </c>
      <c r="B957" s="187" t="inlineStr">
        <is>
          <t>CVE-2026-21389</t>
        </is>
      </c>
      <c r="C957" s="187" t="inlineStr">
        <is>
          <t>An OS command injection 
vulnerability exists in XWEB Pro version 1.12.1 and prior, enabling an 
authenticated attacker to achieve remote code execution on the system by
 injecting malicious input into the request body sent to the contacts 
import route.</t>
        </is>
      </c>
      <c r="D957" s="187" t="n">
        <v>8</v>
      </c>
      <c r="E957" s="187" t="inlineStr">
        <is>
          <t>HIGH</t>
        </is>
      </c>
      <c r="F957" s="187" t="n">
        <v>2</v>
      </c>
      <c r="G957" s="187" t="n">
        <v>3</v>
      </c>
      <c r="H957" s="187" t="inlineStr">
        <is>
          <t>HIGH</t>
        </is>
      </c>
      <c r="I957" s="187" t="n">
        <v>14</v>
      </c>
      <c r="J957" s="187" t="inlineStr">
        <is>
          <t>NO</t>
        </is>
      </c>
      <c r="K957" s="187" t="inlineStr">
        <is>
          <t>https://nvd.nist.gov/vuln/detail/CVE-2026-21389</t>
        </is>
      </c>
      <c r="L957" s="187" t="inlineStr">
        <is>
          <t>2026-02-27 20:47</t>
        </is>
      </c>
      <c r="M957" s="187" t="inlineStr">
        <is>
          <t>CHECK_VENDOR</t>
        </is>
      </c>
      <c r="N957" s="187" t="inlineStr">
        <is>
          <t>See NVD references</t>
        </is>
      </c>
      <c r="O957" s="187" t="inlineStr">
        <is>
          <t>Apply vendor patches</t>
        </is>
      </c>
      <c r="P957" s="187" t="inlineStr">
        <is>
          <t>See CVE details</t>
        </is>
      </c>
      <c r="Q957" s="187" t="inlineStr">
        <is>
          <t>P3</t>
        </is>
      </c>
      <c r="R957" s="187" t="inlineStr">
        <is>
          <t>🚨 URGENT: Apply vendor patches immediately | 🔒 Isolate affected systems if patch unavailable | 🛡️ Enable additional monitoring/IDS rules</t>
        </is>
      </c>
      <c r="S957" s="187" t="inlineStr">
        <is>
          <t>CVE - IP enrichment n/a</t>
        </is>
      </c>
      <c r="T957" s="187" t="n">
        <v>0.0022</v>
      </c>
      <c r="U957" s="187" t="n">
        <v>0.4456</v>
      </c>
      <c r="V957" s="187" t="inlineStr">
        <is>
          <t>T1059:Command and Scripting Interpreter | T1190:Exploit Public-Facing Application | T1210:Exploitation of Remote Services</t>
        </is>
      </c>
      <c r="W957" s="187" t="n">
        <v>1</v>
      </c>
      <c r="X957" s="187" t="inlineStr">
        <is>
          <t>LOW (40%)</t>
        </is>
      </c>
      <c r="Y957" s="187" t="inlineStr">
        <is>
          <t>UNLIKELY</t>
        </is>
      </c>
      <c r="Z957" s="187" t="inlineStr">
        <is>
          <t>CHECK_VENDOR</t>
        </is>
      </c>
      <c r="AA957" s="187" t="inlineStr">
        <is>
          <t>https://nvd.nist.gov/vuln/detail/CVE-2026-21389</t>
        </is>
      </c>
      <c r="AB957" s="187" t="inlineStr">
        <is>
          <t>NONE</t>
        </is>
      </c>
      <c r="AC957" s="187" t="n">
        <v>0</v>
      </c>
      <c r="AD957" s="187" t="inlineStr"/>
    </row>
    <row r="958">
      <c r="A958" s="189" t="inlineStr">
        <is>
          <t>CVE</t>
        </is>
      </c>
      <c r="B958" s="189" t="inlineStr">
        <is>
          <t>CVE-2026-21718</t>
        </is>
      </c>
      <c r="C958" s="189" t="inlineStr">
        <is>
          <t>An authentication bypass vulnerability exists in Copeland XWEB Pro 
version 1.12.1 and prior, enabling any attackers to bypass the 
authentication requirement and achieve pre-authenticated code execution 
on the system.</t>
        </is>
      </c>
      <c r="D958" s="189" t="n">
        <v>10</v>
      </c>
      <c r="E958" s="189" t="inlineStr">
        <is>
          <t>CRITICAL</t>
        </is>
      </c>
      <c r="F958" s="189" t="n">
        <v>2</v>
      </c>
      <c r="G958" s="189" t="n">
        <v>3</v>
      </c>
      <c r="H958" s="189" t="inlineStr">
        <is>
          <t>HIGH</t>
        </is>
      </c>
      <c r="I958" s="189" t="n">
        <v>16</v>
      </c>
      <c r="J958" s="189" t="inlineStr">
        <is>
          <t>NO</t>
        </is>
      </c>
      <c r="K958" s="189" t="inlineStr">
        <is>
          <t>https://nvd.nist.gov/vuln/detail/CVE-2026-21718</t>
        </is>
      </c>
      <c r="L958" s="189" t="inlineStr">
        <is>
          <t>2026-02-27 20:47</t>
        </is>
      </c>
      <c r="M958" s="189" t="inlineStr">
        <is>
          <t>CHECK_VENDOR</t>
        </is>
      </c>
      <c r="N958" s="189" t="inlineStr">
        <is>
          <t>See NVD references</t>
        </is>
      </c>
      <c r="O958" s="189" t="inlineStr">
        <is>
          <t>Apply vendor patches</t>
        </is>
      </c>
      <c r="P958" s="189" t="inlineStr">
        <is>
          <t>See CVE details</t>
        </is>
      </c>
      <c r="Q958" s="189" t="inlineStr">
        <is>
          <t>P3</t>
        </is>
      </c>
      <c r="R958" s="189" t="inlineStr">
        <is>
          <t>🚨 URGENT: Apply vendor patches immediately | 🔒 Isolate affected systems if patch unavailable | 🛡️ Enable additional monitoring/IDS rules</t>
        </is>
      </c>
      <c r="S958" s="189" t="inlineStr">
        <is>
          <t>CVE - IP enrichment n/a</t>
        </is>
      </c>
      <c r="T958" s="189" t="n">
        <v>0.0007</v>
      </c>
      <c r="U958" s="189" t="n">
        <v>0.219</v>
      </c>
      <c r="V958" s="189" t="inlineStr">
        <is>
          <t>T1078:Valid Accounts</t>
        </is>
      </c>
      <c r="W958" s="189" t="n">
        <v>1</v>
      </c>
      <c r="X958" s="189" t="inlineStr">
        <is>
          <t>LOW (40%)</t>
        </is>
      </c>
      <c r="Y958" s="189" t="inlineStr">
        <is>
          <t>UNLIKELY</t>
        </is>
      </c>
      <c r="Z958" s="189" t="inlineStr">
        <is>
          <t>CHECK_VENDOR</t>
        </is>
      </c>
      <c r="AA958" s="189" t="inlineStr">
        <is>
          <t>https://nvd.nist.gov/vuln/detail/CVE-2026-21718</t>
        </is>
      </c>
      <c r="AB958" s="189" t="inlineStr">
        <is>
          <t>NONE</t>
        </is>
      </c>
      <c r="AC958" s="189" t="n">
        <v>0</v>
      </c>
      <c r="AD958" s="189" t="inlineStr"/>
    </row>
    <row r="959">
      <c r="A959" s="188" t="inlineStr">
        <is>
          <t>CVE</t>
        </is>
      </c>
      <c r="B959" s="188" t="inlineStr">
        <is>
          <t>CVE-2026-22878</t>
        </is>
      </c>
      <c r="C959" s="188" t="inlineStr">
        <is>
          <t>Charging station authentication identifiers are publicly accessible via web-based mapping platforms.</t>
        </is>
      </c>
      <c r="D959" s="188" t="n">
        <v>6.5</v>
      </c>
      <c r="E959" s="188" t="inlineStr">
        <is>
          <t>MEDIUM</t>
        </is>
      </c>
      <c r="F959" s="188" t="n">
        <v>2</v>
      </c>
      <c r="G959" s="188" t="n">
        <v>2</v>
      </c>
      <c r="H959" s="188" t="inlineStr">
        <is>
          <t>MEDIUM</t>
        </is>
      </c>
      <c r="I959" s="188" t="n">
        <v>10.5</v>
      </c>
      <c r="J959" s="188" t="inlineStr">
        <is>
          <t>NO</t>
        </is>
      </c>
      <c r="K959" s="188" t="inlineStr">
        <is>
          <t>https://nvd.nist.gov/vuln/detail/CVE-2026-22878</t>
        </is>
      </c>
      <c r="L959" s="188" t="inlineStr">
        <is>
          <t>2026-02-27 20:47</t>
        </is>
      </c>
      <c r="M959" s="188" t="inlineStr">
        <is>
          <t>CHECK_VENDOR</t>
        </is>
      </c>
      <c r="N959" s="188" t="inlineStr">
        <is>
          <t>See NVD references</t>
        </is>
      </c>
      <c r="O959" s="188" t="inlineStr">
        <is>
          <t>Apply vendor patches</t>
        </is>
      </c>
      <c r="P959" s="188" t="inlineStr">
        <is>
          <t>See CVE details</t>
        </is>
      </c>
      <c r="Q959" s="188" t="inlineStr">
        <is>
          <t>P4</t>
        </is>
      </c>
      <c r="R959" s="188" t="inlineStr">
        <is>
          <t>📅 Schedule patch deployment within 30 days | 🔍 Monitor for exploitation attempts</t>
        </is>
      </c>
      <c r="S959" s="188" t="inlineStr">
        <is>
          <t>CVE - IP enrichment n/a</t>
        </is>
      </c>
      <c r="T959" s="188" t="n">
        <v>0.0005999999999999999</v>
      </c>
      <c r="U959" s="188" t="n">
        <v>0.1777</v>
      </c>
      <c r="V959" s="188" t="inlineStr">
        <is>
          <t>T1190:Exploit Public-Facing Application</t>
        </is>
      </c>
      <c r="W959" s="188" t="n">
        <v>1</v>
      </c>
      <c r="X959" s="188" t="inlineStr">
        <is>
          <t>LOW (40%)</t>
        </is>
      </c>
      <c r="Y959" s="188" t="inlineStr">
        <is>
          <t>UNLIKELY</t>
        </is>
      </c>
      <c r="Z959" s="188" t="inlineStr">
        <is>
          <t>CHECK_VENDOR</t>
        </is>
      </c>
      <c r="AA959" s="188" t="inlineStr">
        <is>
          <t>https://nvd.nist.gov/vuln/detail/CVE-2026-22878</t>
        </is>
      </c>
      <c r="AB959" s="188" t="inlineStr">
        <is>
          <t>NONE</t>
        </is>
      </c>
      <c r="AC959" s="188" t="n">
        <v>0</v>
      </c>
      <c r="AD959" s="188" t="inlineStr"/>
    </row>
    <row r="960">
      <c r="A960" s="187" t="inlineStr">
        <is>
          <t>CVE</t>
        </is>
      </c>
      <c r="B960" s="187" t="inlineStr">
        <is>
          <t>CVE-2026-24445</t>
        </is>
      </c>
      <c r="C960"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60" s="187" t="n">
        <v>7.5</v>
      </c>
      <c r="E960" s="187" t="inlineStr">
        <is>
          <t>HIGH</t>
        </is>
      </c>
      <c r="F960" s="187" t="n">
        <v>2</v>
      </c>
      <c r="G960" s="187" t="n">
        <v>3</v>
      </c>
      <c r="H960" s="187" t="inlineStr">
        <is>
          <t>HIGH</t>
        </is>
      </c>
      <c r="I960" s="187" t="n">
        <v>13.5</v>
      </c>
      <c r="J960" s="187" t="inlineStr">
        <is>
          <t>NO</t>
        </is>
      </c>
      <c r="K960" s="187" t="inlineStr">
        <is>
          <t>https://nvd.nist.gov/vuln/detail/CVE-2026-24445</t>
        </is>
      </c>
      <c r="L960" s="187" t="inlineStr">
        <is>
          <t>2026-02-27 20:47</t>
        </is>
      </c>
      <c r="M960" s="187" t="inlineStr">
        <is>
          <t>CHECK_VENDOR</t>
        </is>
      </c>
      <c r="N960" s="187" t="inlineStr">
        <is>
          <t>See NVD references</t>
        </is>
      </c>
      <c r="O960" s="187" t="inlineStr">
        <is>
          <t>Apply vendor patches</t>
        </is>
      </c>
      <c r="P960" s="187" t="inlineStr">
        <is>
          <t>See CVE details</t>
        </is>
      </c>
      <c r="Q960" s="187" t="inlineStr">
        <is>
          <t>P3</t>
        </is>
      </c>
      <c r="R960" s="187" t="inlineStr">
        <is>
          <t>🚨 URGENT: Apply vendor patches immediately | 🔒 Isolate affected systems if patch unavailable | 🛡️ Enable additional monitoring/IDS rules</t>
        </is>
      </c>
      <c r="S960" s="187" t="inlineStr">
        <is>
          <t>CVE - IP enrichment n/a</t>
        </is>
      </c>
      <c r="T960" s="187" t="n">
        <v>0.0005999999999999999</v>
      </c>
      <c r="U960" s="187" t="n">
        <v>0.1779</v>
      </c>
      <c r="V960" s="187" t="inlineStr">
        <is>
          <t>T1190:Exploit Public-Facing Application</t>
        </is>
      </c>
      <c r="W960" s="187" t="n">
        <v>1</v>
      </c>
      <c r="X960" s="187" t="inlineStr">
        <is>
          <t>LOW (40%)</t>
        </is>
      </c>
      <c r="Y960" s="187" t="inlineStr">
        <is>
          <t>UNLIKELY</t>
        </is>
      </c>
      <c r="Z960" s="187" t="inlineStr">
        <is>
          <t>CHECK_VENDOR</t>
        </is>
      </c>
      <c r="AA960" s="187" t="inlineStr">
        <is>
          <t>https://nvd.nist.gov/vuln/detail/CVE-2026-24445</t>
        </is>
      </c>
      <c r="AB960" s="187" t="inlineStr">
        <is>
          <t>NONE</t>
        </is>
      </c>
      <c r="AC960" s="187" t="n">
        <v>0</v>
      </c>
      <c r="AD960" s="187" t="inlineStr"/>
    </row>
    <row r="961">
      <c r="A961" s="187" t="inlineStr">
        <is>
          <t>CVE</t>
        </is>
      </c>
      <c r="B961" s="187" t="inlineStr">
        <is>
          <t>CVE-2026-24517</t>
        </is>
      </c>
      <c r="C961" s="187" t="inlineStr">
        <is>
          <t>An OS command injection 
vulnerability exists in XWEB Pro version 1.12.1 and prior, enabling an 
authenticated attacker to achieve remote code execution on the system by
 injecting malicious input into requests sent to the firmware update 
route.</t>
        </is>
      </c>
      <c r="D961" s="187" t="n">
        <v>8</v>
      </c>
      <c r="E961" s="187" t="inlineStr">
        <is>
          <t>HIGH</t>
        </is>
      </c>
      <c r="F961" s="187" t="n">
        <v>2</v>
      </c>
      <c r="G961" s="187" t="n">
        <v>3</v>
      </c>
      <c r="H961" s="187" t="inlineStr">
        <is>
          <t>HIGH</t>
        </is>
      </c>
      <c r="I961" s="187" t="n">
        <v>14</v>
      </c>
      <c r="J961" s="187" t="inlineStr">
        <is>
          <t>NO</t>
        </is>
      </c>
      <c r="K961" s="187" t="inlineStr">
        <is>
          <t>https://nvd.nist.gov/vuln/detail/CVE-2026-24517</t>
        </is>
      </c>
      <c r="L961" s="187" t="inlineStr">
        <is>
          <t>2026-02-27 20:47</t>
        </is>
      </c>
      <c r="M961" s="187" t="inlineStr">
        <is>
          <t>CHECK_VENDOR</t>
        </is>
      </c>
      <c r="N961" s="187" t="inlineStr">
        <is>
          <t>See NVD references</t>
        </is>
      </c>
      <c r="O961" s="187" t="inlineStr">
        <is>
          <t>Apply vendor patches</t>
        </is>
      </c>
      <c r="P961" s="187" t="inlineStr">
        <is>
          <t>See CVE details</t>
        </is>
      </c>
      <c r="Q961" s="187" t="inlineStr">
        <is>
          <t>P3</t>
        </is>
      </c>
      <c r="R961" s="187" t="inlineStr">
        <is>
          <t>🚨 URGENT: Apply vendor patches immediately | 🔒 Isolate affected systems if patch unavailable | 🛡️ Enable additional monitoring/IDS rules</t>
        </is>
      </c>
      <c r="S961" s="187" t="inlineStr">
        <is>
          <t>CVE - IP enrichment n/a</t>
        </is>
      </c>
      <c r="T961" s="187" t="n">
        <v>0.0022</v>
      </c>
      <c r="U961" s="187" t="n">
        <v>0.4456</v>
      </c>
      <c r="V961" s="187" t="inlineStr">
        <is>
          <t>T1059:Command and Scripting Interpreter | T1190:Exploit Public-Facing Application | T1210:Exploitation of Remote Services</t>
        </is>
      </c>
      <c r="W961" s="187" t="n">
        <v>1</v>
      </c>
      <c r="X961" s="187" t="inlineStr">
        <is>
          <t>LOW (40%)</t>
        </is>
      </c>
      <c r="Y961" s="187" t="inlineStr">
        <is>
          <t>UNLIKELY</t>
        </is>
      </c>
      <c r="Z961" s="187" t="inlineStr">
        <is>
          <t>CHECK_VENDOR</t>
        </is>
      </c>
      <c r="AA961" s="187" t="inlineStr">
        <is>
          <t>https://nvd.nist.gov/vuln/detail/CVE-2026-24517</t>
        </is>
      </c>
      <c r="AB961" s="187" t="inlineStr">
        <is>
          <t>NONE</t>
        </is>
      </c>
      <c r="AC961" s="187" t="n">
        <v>0</v>
      </c>
      <c r="AD961" s="187" t="inlineStr"/>
    </row>
    <row r="962">
      <c r="A962" s="189" t="inlineStr">
        <is>
          <t>CVE</t>
        </is>
      </c>
      <c r="B962" s="189" t="inlineStr">
        <is>
          <t>CVE-2026-24663</t>
        </is>
      </c>
      <c r="C962" s="189"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962" s="189" t="n">
        <v>9</v>
      </c>
      <c r="E962" s="189" t="inlineStr">
        <is>
          <t>CRITICAL</t>
        </is>
      </c>
      <c r="F962" s="189" t="n">
        <v>2</v>
      </c>
      <c r="G962" s="189" t="n">
        <v>3</v>
      </c>
      <c r="H962" s="189" t="inlineStr">
        <is>
          <t>HIGH</t>
        </is>
      </c>
      <c r="I962" s="189" t="n">
        <v>15</v>
      </c>
      <c r="J962" s="189" t="inlineStr">
        <is>
          <t>NO</t>
        </is>
      </c>
      <c r="K962" s="189" t="inlineStr">
        <is>
          <t>https://nvd.nist.gov/vuln/detail/CVE-2026-24663</t>
        </is>
      </c>
      <c r="L962" s="189" t="inlineStr">
        <is>
          <t>2026-02-27 20:47</t>
        </is>
      </c>
      <c r="M962" s="189" t="inlineStr">
        <is>
          <t>CHECK_VENDOR</t>
        </is>
      </c>
      <c r="N962" s="189" t="inlineStr">
        <is>
          <t>See NVD references</t>
        </is>
      </c>
      <c r="O962" s="189" t="inlineStr">
        <is>
          <t>Apply vendor patches</t>
        </is>
      </c>
      <c r="P962" s="189" t="inlineStr">
        <is>
          <t>See CVE details</t>
        </is>
      </c>
      <c r="Q962" s="189" t="inlineStr">
        <is>
          <t>P2</t>
        </is>
      </c>
      <c r="R962" s="189" t="inlineStr">
        <is>
          <t>🚨 URGENT: Apply vendor patches immediately | 🔒 Isolate affected systems if patch unavailable | 🛡️ Enable additional monitoring/IDS rules</t>
        </is>
      </c>
      <c r="S962" s="189" t="inlineStr">
        <is>
          <t>CVE - IP enrichment n/a</t>
        </is>
      </c>
      <c r="T962" s="189" t="n">
        <v>0.0135</v>
      </c>
      <c r="U962" s="189" t="n">
        <v>0.799</v>
      </c>
      <c r="V962" s="189" t="inlineStr">
        <is>
          <t>T1059:Command and Scripting Interpreter</t>
        </is>
      </c>
      <c r="W962" s="189" t="n">
        <v>1</v>
      </c>
      <c r="X962" s="189" t="inlineStr">
        <is>
          <t>LOW (40%)</t>
        </is>
      </c>
      <c r="Y962" s="189" t="inlineStr">
        <is>
          <t>UNLIKELY</t>
        </is>
      </c>
      <c r="Z962" s="189" t="inlineStr">
        <is>
          <t>CHECK_VENDOR</t>
        </is>
      </c>
      <c r="AA962" s="189" t="inlineStr">
        <is>
          <t>https://nvd.nist.gov/vuln/detail/CVE-2026-24663</t>
        </is>
      </c>
      <c r="AB962" s="189" t="inlineStr">
        <is>
          <t>NONE</t>
        </is>
      </c>
      <c r="AC962" s="189" t="n">
        <v>0</v>
      </c>
      <c r="AD962" s="189" t="inlineStr"/>
    </row>
    <row r="963">
      <c r="A963" s="187" t="inlineStr">
        <is>
          <t>CVE</t>
        </is>
      </c>
      <c r="B963" s="187" t="inlineStr">
        <is>
          <t>CVE-2026-24689</t>
        </is>
      </c>
      <c r="C963" s="187" t="inlineStr">
        <is>
          <t>An OS command injection 
vulnerability exists in XWEB Pro version 1.12.1 and prior, enabling an 
authenticated attacker to achieve remote code execution on the system by
 injecting malicious input into the devices field of the firmware update
 apply action.</t>
        </is>
      </c>
      <c r="D963" s="187" t="n">
        <v>8</v>
      </c>
      <c r="E963" s="187" t="inlineStr">
        <is>
          <t>HIGH</t>
        </is>
      </c>
      <c r="F963" s="187" t="n">
        <v>2</v>
      </c>
      <c r="G963" s="187" t="n">
        <v>3</v>
      </c>
      <c r="H963" s="187" t="inlineStr">
        <is>
          <t>HIGH</t>
        </is>
      </c>
      <c r="I963" s="187" t="n">
        <v>14</v>
      </c>
      <c r="J963" s="187" t="inlineStr">
        <is>
          <t>NO</t>
        </is>
      </c>
      <c r="K963" s="187" t="inlineStr">
        <is>
          <t>https://nvd.nist.gov/vuln/detail/CVE-2026-24689</t>
        </is>
      </c>
      <c r="L963" s="187" t="inlineStr">
        <is>
          <t>2026-02-27 20:47</t>
        </is>
      </c>
      <c r="M963" s="187" t="inlineStr">
        <is>
          <t>CHECK_VENDOR</t>
        </is>
      </c>
      <c r="N963" s="187" t="inlineStr">
        <is>
          <t>See NVD references</t>
        </is>
      </c>
      <c r="O963" s="187" t="inlineStr">
        <is>
          <t>Apply vendor patches</t>
        </is>
      </c>
      <c r="P963" s="187" t="inlineStr">
        <is>
          <t>See CVE details</t>
        </is>
      </c>
      <c r="Q963" s="187" t="inlineStr">
        <is>
          <t>P3</t>
        </is>
      </c>
      <c r="R963" s="187" t="inlineStr">
        <is>
          <t>🚨 URGENT: Apply vendor patches immediately | 🔒 Isolate affected systems if patch unavailable | 🛡️ Enable additional monitoring/IDS rules</t>
        </is>
      </c>
      <c r="S963" s="187" t="inlineStr">
        <is>
          <t>CVE - IP enrichment n/a</t>
        </is>
      </c>
      <c r="T963" s="187" t="n">
        <v>0.0022</v>
      </c>
      <c r="U963" s="187" t="n">
        <v>0.4456</v>
      </c>
      <c r="V963" s="187" t="inlineStr">
        <is>
          <t>T1059:Command and Scripting Interpreter | T1190:Exploit Public-Facing Application | T1210:Exploitation of Remote Services</t>
        </is>
      </c>
      <c r="W963" s="187" t="n">
        <v>1</v>
      </c>
      <c r="X963" s="187" t="inlineStr">
        <is>
          <t>LOW (40%)</t>
        </is>
      </c>
      <c r="Y963" s="187" t="inlineStr">
        <is>
          <t>UNLIKELY</t>
        </is>
      </c>
      <c r="Z963" s="187" t="inlineStr">
        <is>
          <t>CHECK_VENDOR</t>
        </is>
      </c>
      <c r="AA963" s="187" t="inlineStr">
        <is>
          <t>https://nvd.nist.gov/vuln/detail/CVE-2026-24689</t>
        </is>
      </c>
      <c r="AB963" s="187" t="inlineStr">
        <is>
          <t>NONE</t>
        </is>
      </c>
      <c r="AC963" s="187" t="n">
        <v>0</v>
      </c>
      <c r="AD963" s="187" t="inlineStr"/>
    </row>
    <row r="964">
      <c r="A964" s="187" t="inlineStr">
        <is>
          <t>CVE</t>
        </is>
      </c>
      <c r="B964" s="187" t="inlineStr">
        <is>
          <t>CVE-2026-24695</t>
        </is>
      </c>
      <c r="C964" s="187"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964" s="187" t="n">
        <v>8</v>
      </c>
      <c r="E964" s="187" t="inlineStr">
        <is>
          <t>HIGH</t>
        </is>
      </c>
      <c r="F964" s="187" t="n">
        <v>2</v>
      </c>
      <c r="G964" s="187" t="n">
        <v>3</v>
      </c>
      <c r="H964" s="187" t="inlineStr">
        <is>
          <t>HIGH</t>
        </is>
      </c>
      <c r="I964" s="187" t="n">
        <v>14</v>
      </c>
      <c r="J964" s="187" t="inlineStr">
        <is>
          <t>NO</t>
        </is>
      </c>
      <c r="K964" s="187" t="inlineStr">
        <is>
          <t>https://nvd.nist.gov/vuln/detail/CVE-2026-24695</t>
        </is>
      </c>
      <c r="L964" s="187" t="inlineStr">
        <is>
          <t>2026-02-27 20:47</t>
        </is>
      </c>
      <c r="M964" s="187" t="inlineStr">
        <is>
          <t>CHECK_VENDOR</t>
        </is>
      </c>
      <c r="N964" s="187" t="inlineStr">
        <is>
          <t>See NVD references</t>
        </is>
      </c>
      <c r="O964" s="187" t="inlineStr">
        <is>
          <t>Apply vendor patches</t>
        </is>
      </c>
      <c r="P964" s="187" t="inlineStr">
        <is>
          <t>See CVE details</t>
        </is>
      </c>
      <c r="Q964" s="187" t="inlineStr">
        <is>
          <t>P3</t>
        </is>
      </c>
      <c r="R964" s="187" t="inlineStr">
        <is>
          <t>🚨 URGENT: Apply vendor patches immediately | 🔒 Isolate affected systems if patch unavailable | 🛡️ Enable additional monitoring/IDS rules</t>
        </is>
      </c>
      <c r="S964" s="187" t="inlineStr">
        <is>
          <t>CVE - IP enrichment n/a</t>
        </is>
      </c>
      <c r="T964" s="187" t="n">
        <v>0.0022</v>
      </c>
      <c r="U964" s="187" t="n">
        <v>0.4456</v>
      </c>
      <c r="V964" s="187" t="inlineStr">
        <is>
          <t>T1059:Command and Scripting Interpreter | T1190:Exploit Public-Facing Application | T1210:Exploitation of Remote Services</t>
        </is>
      </c>
      <c r="W964" s="187" t="n">
        <v>1</v>
      </c>
      <c r="X964" s="187" t="inlineStr">
        <is>
          <t>LOW (40%)</t>
        </is>
      </c>
      <c r="Y964" s="187" t="inlineStr">
        <is>
          <t>UNLIKELY</t>
        </is>
      </c>
      <c r="Z964" s="187" t="inlineStr">
        <is>
          <t>CHECK_VENDOR</t>
        </is>
      </c>
      <c r="AA964" s="187" t="inlineStr">
        <is>
          <t>https://nvd.nist.gov/vuln/detail/CVE-2026-24695</t>
        </is>
      </c>
      <c r="AB964" s="187" t="inlineStr">
        <is>
          <t>NONE</t>
        </is>
      </c>
      <c r="AC964" s="187" t="n">
        <v>0</v>
      </c>
      <c r="AD964" s="187" t="inlineStr"/>
    </row>
    <row r="965">
      <c r="A965" s="187" t="inlineStr">
        <is>
          <t>CVE</t>
        </is>
      </c>
      <c r="B965" s="187" t="inlineStr">
        <is>
          <t>CVE-2026-25085</t>
        </is>
      </c>
      <c r="C965" s="187" t="inlineStr">
        <is>
          <t>A vulnerability exists in Copeland XWEB Pro version 1.12.1 and prior, in
 which an unexpected return value from the authentication routine is 
later on processed as a legitimate value, resulting in an authentication
 bypass.</t>
        </is>
      </c>
      <c r="D965" s="187" t="n">
        <v>8.6</v>
      </c>
      <c r="E965" s="187" t="inlineStr">
        <is>
          <t>HIGH</t>
        </is>
      </c>
      <c r="F965" s="187" t="n">
        <v>2</v>
      </c>
      <c r="G965" s="187" t="n">
        <v>3</v>
      </c>
      <c r="H965" s="187" t="inlineStr">
        <is>
          <t>HIGH</t>
        </is>
      </c>
      <c r="I965" s="187" t="n">
        <v>14.6</v>
      </c>
      <c r="J965" s="187" t="inlineStr">
        <is>
          <t>NO</t>
        </is>
      </c>
      <c r="K965" s="187" t="inlineStr">
        <is>
          <t>https://nvd.nist.gov/vuln/detail/CVE-2026-25085</t>
        </is>
      </c>
      <c r="L965" s="187" t="inlineStr">
        <is>
          <t>2026-02-27 20:47</t>
        </is>
      </c>
      <c r="M965" s="187" t="inlineStr">
        <is>
          <t>CHECK_VENDOR</t>
        </is>
      </c>
      <c r="N965" s="187" t="inlineStr">
        <is>
          <t>See NVD references</t>
        </is>
      </c>
      <c r="O965" s="187" t="inlineStr">
        <is>
          <t>Apply vendor patches</t>
        </is>
      </c>
      <c r="P965" s="187" t="inlineStr">
        <is>
          <t>See CVE details</t>
        </is>
      </c>
      <c r="Q965" s="187" t="inlineStr">
        <is>
          <t>P3</t>
        </is>
      </c>
      <c r="R965" s="187" t="inlineStr">
        <is>
          <t>🚨 URGENT: Apply vendor patches immediately | 🔒 Isolate affected systems if patch unavailable | 🛡️ Enable additional monitoring/IDS rules</t>
        </is>
      </c>
      <c r="S965" s="187" t="inlineStr">
        <is>
          <t>CVE - IP enrichment n/a</t>
        </is>
      </c>
      <c r="T965" s="187" t="n">
        <v>0.0007</v>
      </c>
      <c r="U965" s="187" t="n">
        <v>0.2026</v>
      </c>
      <c r="V965" s="187" t="inlineStr">
        <is>
          <t>T1190:Exploit Public-Facing Application</t>
        </is>
      </c>
      <c r="W965" s="187" t="n">
        <v>1</v>
      </c>
      <c r="X965" s="187" t="inlineStr">
        <is>
          <t>LOW (40%)</t>
        </is>
      </c>
      <c r="Y965" s="187" t="inlineStr">
        <is>
          <t>UNLIKELY</t>
        </is>
      </c>
      <c r="Z965" s="187" t="inlineStr">
        <is>
          <t>CHECK_VENDOR</t>
        </is>
      </c>
      <c r="AA965" s="187" t="inlineStr">
        <is>
          <t>https://nvd.nist.gov/vuln/detail/CVE-2026-25085</t>
        </is>
      </c>
      <c r="AB965" s="187" t="inlineStr">
        <is>
          <t>NONE</t>
        </is>
      </c>
      <c r="AC965" s="187" t="n">
        <v>0</v>
      </c>
      <c r="AD965" s="187" t="inlineStr"/>
    </row>
    <row r="966">
      <c r="A966" s="187" t="inlineStr">
        <is>
          <t>CVE</t>
        </is>
      </c>
      <c r="B966" s="187" t="inlineStr">
        <is>
          <t>CVE-2026-25109</t>
        </is>
      </c>
      <c r="C966" s="187"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966" s="187" t="n">
        <v>8</v>
      </c>
      <c r="E966" s="187" t="inlineStr">
        <is>
          <t>HIGH</t>
        </is>
      </c>
      <c r="F966" s="187" t="n">
        <v>2</v>
      </c>
      <c r="G966" s="187" t="n">
        <v>3</v>
      </c>
      <c r="H966" s="187" t="inlineStr">
        <is>
          <t>HIGH</t>
        </is>
      </c>
      <c r="I966" s="187" t="n">
        <v>14</v>
      </c>
      <c r="J966" s="187" t="inlineStr">
        <is>
          <t>NO</t>
        </is>
      </c>
      <c r="K966" s="187" t="inlineStr">
        <is>
          <t>https://nvd.nist.gov/vuln/detail/CVE-2026-25109</t>
        </is>
      </c>
      <c r="L966" s="187" t="inlineStr">
        <is>
          <t>2026-02-27 20:47</t>
        </is>
      </c>
      <c r="M966" s="187" t="inlineStr">
        <is>
          <t>CHECK_VENDOR</t>
        </is>
      </c>
      <c r="N966" s="187" t="inlineStr">
        <is>
          <t>See NVD references</t>
        </is>
      </c>
      <c r="O966" s="187" t="inlineStr">
        <is>
          <t>Apply vendor patches</t>
        </is>
      </c>
      <c r="P966" s="187" t="inlineStr">
        <is>
          <t>See CVE details</t>
        </is>
      </c>
      <c r="Q966" s="187" t="inlineStr">
        <is>
          <t>P3</t>
        </is>
      </c>
      <c r="R966" s="187" t="inlineStr">
        <is>
          <t>🚨 URGENT: Apply vendor patches immediately | 🔒 Isolate affected systems if patch unavailable | 🛡️ Enable additional monitoring/IDS rules</t>
        </is>
      </c>
      <c r="S966" s="187" t="inlineStr">
        <is>
          <t>CVE - IP enrichment n/a</t>
        </is>
      </c>
      <c r="T966" s="187" t="n">
        <v>0.0022</v>
      </c>
      <c r="U966" s="187" t="n">
        <v>0.4456</v>
      </c>
      <c r="V966" s="187" t="inlineStr">
        <is>
          <t>T1059:Command and Scripting Interpreter | T1190:Exploit Public-Facing Application | T1210:Exploitation of Remote Services</t>
        </is>
      </c>
      <c r="W966" s="187" t="n">
        <v>1</v>
      </c>
      <c r="X966" s="187" t="inlineStr">
        <is>
          <t>LOW (40%)</t>
        </is>
      </c>
      <c r="Y966" s="187" t="inlineStr">
        <is>
          <t>UNLIKELY</t>
        </is>
      </c>
      <c r="Z966" s="187" t="inlineStr">
        <is>
          <t>CHECK_VENDOR</t>
        </is>
      </c>
      <c r="AA966" s="187" t="inlineStr">
        <is>
          <t>https://nvd.nist.gov/vuln/detail/CVE-2026-25109</t>
        </is>
      </c>
      <c r="AB966" s="187" t="inlineStr">
        <is>
          <t>NONE</t>
        </is>
      </c>
      <c r="AC966" s="187" t="n">
        <v>0</v>
      </c>
      <c r="AD966" s="187" t="inlineStr"/>
    </row>
    <row r="967">
      <c r="A967" s="187" t="inlineStr">
        <is>
          <t>CVE</t>
        </is>
      </c>
      <c r="B967" s="187" t="inlineStr">
        <is>
          <t>CVE-2026-25111</t>
        </is>
      </c>
      <c r="C967" s="187" t="inlineStr">
        <is>
          <t>An OS command injection 
vulnerability exists in XWEB Pro version 1.12.1 and prior, enabling an 
authenticated attacker to achieve remote code execution on the system by
 injecting malicious input into requests sent to the restore route.</t>
        </is>
      </c>
      <c r="D967" s="187" t="n">
        <v>8</v>
      </c>
      <c r="E967" s="187" t="inlineStr">
        <is>
          <t>HIGH</t>
        </is>
      </c>
      <c r="F967" s="187" t="n">
        <v>2</v>
      </c>
      <c r="G967" s="187" t="n">
        <v>3</v>
      </c>
      <c r="H967" s="187" t="inlineStr">
        <is>
          <t>HIGH</t>
        </is>
      </c>
      <c r="I967" s="187" t="n">
        <v>14</v>
      </c>
      <c r="J967" s="187" t="inlineStr">
        <is>
          <t>NO</t>
        </is>
      </c>
      <c r="K967" s="187" t="inlineStr">
        <is>
          <t>https://nvd.nist.gov/vuln/detail/CVE-2026-25111</t>
        </is>
      </c>
      <c r="L967" s="187" t="inlineStr">
        <is>
          <t>2026-02-27 20:47</t>
        </is>
      </c>
      <c r="M967" s="187" t="inlineStr">
        <is>
          <t>CHECK_VENDOR</t>
        </is>
      </c>
      <c r="N967" s="187" t="inlineStr">
        <is>
          <t>See NVD references</t>
        </is>
      </c>
      <c r="O967" s="187" t="inlineStr">
        <is>
          <t>Apply vendor patches</t>
        </is>
      </c>
      <c r="P967" s="187" t="inlineStr">
        <is>
          <t>See CVE details</t>
        </is>
      </c>
      <c r="Q967" s="187" t="inlineStr">
        <is>
          <t>P3</t>
        </is>
      </c>
      <c r="R967" s="187" t="inlineStr">
        <is>
          <t>🚨 URGENT: Apply vendor patches immediately | 🔒 Isolate affected systems if patch unavailable | 🛡️ Enable additional monitoring/IDS rules</t>
        </is>
      </c>
      <c r="S967" s="187" t="inlineStr">
        <is>
          <t>CVE - IP enrichment n/a</t>
        </is>
      </c>
      <c r="T967" s="187" t="n">
        <v>0.0022</v>
      </c>
      <c r="U967" s="187" t="n">
        <v>0.4456</v>
      </c>
      <c r="V967" s="187" t="inlineStr">
        <is>
          <t>T1059:Command and Scripting Interpreter | T1190:Exploit Public-Facing Application | T1210:Exploitation of Remote Services</t>
        </is>
      </c>
      <c r="W967" s="187" t="n">
        <v>1</v>
      </c>
      <c r="X967" s="187" t="inlineStr">
        <is>
          <t>LOW (40%)</t>
        </is>
      </c>
      <c r="Y967" s="187" t="inlineStr">
        <is>
          <t>UNLIKELY</t>
        </is>
      </c>
      <c r="Z967" s="187" t="inlineStr">
        <is>
          <t>CHECK_VENDOR</t>
        </is>
      </c>
      <c r="AA967" s="187" t="inlineStr">
        <is>
          <t>https://nvd.nist.gov/vuln/detail/CVE-2026-25111</t>
        </is>
      </c>
      <c r="AB967" s="187" t="inlineStr">
        <is>
          <t>NONE</t>
        </is>
      </c>
      <c r="AC967" s="187" t="n">
        <v>0</v>
      </c>
      <c r="AD967" s="187" t="inlineStr"/>
    </row>
    <row r="968">
      <c r="A968" s="187" t="inlineStr">
        <is>
          <t>CVE</t>
        </is>
      </c>
      <c r="B968" s="187" t="inlineStr">
        <is>
          <t>CVE-2026-25195</t>
        </is>
      </c>
      <c r="C968" s="187" t="inlineStr">
        <is>
          <t>An OS command injection 
vulnerability exists in XWEB Pro version 1.12.1 and prior, enabling an 
authenticated attacker to achieve remote code execution on the system by
 supplying a crafted firmware update file via the firmware update route.</t>
        </is>
      </c>
      <c r="D968" s="187" t="n">
        <v>8</v>
      </c>
      <c r="E968" s="187" t="inlineStr">
        <is>
          <t>HIGH</t>
        </is>
      </c>
      <c r="F968" s="187" t="n">
        <v>2</v>
      </c>
      <c r="G968" s="187" t="n">
        <v>3</v>
      </c>
      <c r="H968" s="187" t="inlineStr">
        <is>
          <t>HIGH</t>
        </is>
      </c>
      <c r="I968" s="187" t="n">
        <v>14</v>
      </c>
      <c r="J968" s="187" t="inlineStr">
        <is>
          <t>NO</t>
        </is>
      </c>
      <c r="K968" s="187" t="inlineStr">
        <is>
          <t>https://nvd.nist.gov/vuln/detail/CVE-2026-25195</t>
        </is>
      </c>
      <c r="L968" s="187" t="inlineStr">
        <is>
          <t>2026-02-27 20:47</t>
        </is>
      </c>
      <c r="M968" s="187" t="inlineStr">
        <is>
          <t>CHECK_VENDOR</t>
        </is>
      </c>
      <c r="N968" s="187" t="inlineStr">
        <is>
          <t>See NVD references</t>
        </is>
      </c>
      <c r="O968" s="187" t="inlineStr">
        <is>
          <t>Apply vendor patches</t>
        </is>
      </c>
      <c r="P968" s="187" t="inlineStr">
        <is>
          <t>See CVE details</t>
        </is>
      </c>
      <c r="Q968" s="187" t="inlineStr">
        <is>
          <t>P3</t>
        </is>
      </c>
      <c r="R968" s="187" t="inlineStr">
        <is>
          <t>🚨 URGENT: Apply vendor patches immediately | 🔒 Isolate affected systems if patch unavailable | 🛡️ Enable additional monitoring/IDS rules</t>
        </is>
      </c>
      <c r="S968" s="187" t="inlineStr">
        <is>
          <t>CVE - IP enrichment n/a</t>
        </is>
      </c>
      <c r="T968" s="187" t="n">
        <v>0.0022</v>
      </c>
      <c r="U968" s="187" t="n">
        <v>0.4456</v>
      </c>
      <c r="V968" s="187" t="inlineStr">
        <is>
          <t>T1059:Command and Scripting Interpreter | T1190:Exploit Public-Facing Application | T1210:Exploitation of Remote Services</t>
        </is>
      </c>
      <c r="W968" s="187" t="n">
        <v>1</v>
      </c>
      <c r="X968" s="187" t="inlineStr">
        <is>
          <t>LOW (40%)</t>
        </is>
      </c>
      <c r="Y968" s="187" t="inlineStr">
        <is>
          <t>UNLIKELY</t>
        </is>
      </c>
      <c r="Z968" s="187" t="inlineStr">
        <is>
          <t>CHECK_VENDOR</t>
        </is>
      </c>
      <c r="AA968" s="187" t="inlineStr">
        <is>
          <t>https://nvd.nist.gov/vuln/detail/CVE-2026-25195</t>
        </is>
      </c>
      <c r="AB968" s="187" t="inlineStr">
        <is>
          <t>NONE</t>
        </is>
      </c>
      <c r="AC968" s="187" t="n">
        <v>0</v>
      </c>
      <c r="AD968" s="187" t="inlineStr"/>
    </row>
    <row r="969">
      <c r="A969" s="188" t="inlineStr">
        <is>
          <t>CVE</t>
        </is>
      </c>
      <c r="B969" s="188" t="inlineStr">
        <is>
          <t>CVE-2026-25774</t>
        </is>
      </c>
      <c r="C969" s="188" t="inlineStr">
        <is>
          <t>Charging station authentication identifiers are publicly accessible via web-based mapping platforms.</t>
        </is>
      </c>
      <c r="D969" s="188" t="n">
        <v>6.5</v>
      </c>
      <c r="E969" s="188" t="inlineStr">
        <is>
          <t>MEDIUM</t>
        </is>
      </c>
      <c r="F969" s="188" t="n">
        <v>2</v>
      </c>
      <c r="G969" s="188" t="n">
        <v>2</v>
      </c>
      <c r="H969" s="188" t="inlineStr">
        <is>
          <t>MEDIUM</t>
        </is>
      </c>
      <c r="I969" s="188" t="n">
        <v>10.5</v>
      </c>
      <c r="J969" s="188" t="inlineStr">
        <is>
          <t>NO</t>
        </is>
      </c>
      <c r="K969" s="188" t="inlineStr">
        <is>
          <t>https://nvd.nist.gov/vuln/detail/CVE-2026-25774</t>
        </is>
      </c>
      <c r="L969" s="188" t="inlineStr">
        <is>
          <t>2026-02-27 20:47</t>
        </is>
      </c>
      <c r="M969" s="188" t="inlineStr">
        <is>
          <t>CHECK_VENDOR</t>
        </is>
      </c>
      <c r="N969" s="188" t="inlineStr">
        <is>
          <t>See NVD references</t>
        </is>
      </c>
      <c r="O969" s="188" t="inlineStr">
        <is>
          <t>Apply vendor patches</t>
        </is>
      </c>
      <c r="P969" s="188" t="inlineStr">
        <is>
          <t>See CVE details</t>
        </is>
      </c>
      <c r="Q969" s="188" t="inlineStr">
        <is>
          <t>P4</t>
        </is>
      </c>
      <c r="R969" s="188" t="inlineStr">
        <is>
          <t>📅 Schedule patch deployment within 30 days | 🔍 Monitor for exploitation attempts</t>
        </is>
      </c>
      <c r="S969" s="188" t="inlineStr">
        <is>
          <t>CVE - IP enrichment n/a</t>
        </is>
      </c>
      <c r="T969" s="188" t="n">
        <v>0.0004</v>
      </c>
      <c r="U969" s="188" t="n">
        <v>0.1304</v>
      </c>
      <c r="V969" s="188" t="inlineStr">
        <is>
          <t>T1190:Exploit Public-Facing Application</t>
        </is>
      </c>
      <c r="W969" s="188" t="n">
        <v>1</v>
      </c>
      <c r="X969" s="188" t="inlineStr">
        <is>
          <t>LOW (40%)</t>
        </is>
      </c>
      <c r="Y969" s="188" t="inlineStr">
        <is>
          <t>UNLIKELY</t>
        </is>
      </c>
      <c r="Z969" s="188" t="inlineStr">
        <is>
          <t>CHECK_VENDOR</t>
        </is>
      </c>
      <c r="AA969" s="188" t="inlineStr">
        <is>
          <t>https://nvd.nist.gov/vuln/detail/CVE-2026-25774</t>
        </is>
      </c>
      <c r="AB969" s="188" t="inlineStr">
        <is>
          <t>NONE</t>
        </is>
      </c>
      <c r="AC969" s="188" t="n">
        <v>0</v>
      </c>
      <c r="AD969" s="188" t="inlineStr"/>
    </row>
    <row r="970">
      <c r="A970" s="187" t="inlineStr">
        <is>
          <t>CVE</t>
        </is>
      </c>
      <c r="B970" s="187" t="inlineStr">
        <is>
          <t>CVE-2026-26290</t>
        </is>
      </c>
      <c r="C970"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70" s="187" t="n">
        <v>7.3</v>
      </c>
      <c r="E970" s="187" t="inlineStr">
        <is>
          <t>HIGH</t>
        </is>
      </c>
      <c r="F970" s="187" t="n">
        <v>2</v>
      </c>
      <c r="G970" s="187" t="n">
        <v>3</v>
      </c>
      <c r="H970" s="187" t="inlineStr">
        <is>
          <t>HIGH</t>
        </is>
      </c>
      <c r="I970" s="187" t="n">
        <v>13.3</v>
      </c>
      <c r="J970" s="187" t="inlineStr">
        <is>
          <t>NO</t>
        </is>
      </c>
      <c r="K970" s="187" t="inlineStr">
        <is>
          <t>https://nvd.nist.gov/vuln/detail/CVE-2026-26290</t>
        </is>
      </c>
      <c r="L970" s="187" t="inlineStr">
        <is>
          <t>2026-02-27 20:47</t>
        </is>
      </c>
      <c r="M970" s="187" t="inlineStr">
        <is>
          <t>CHECK_VENDOR</t>
        </is>
      </c>
      <c r="N970" s="187" t="inlineStr">
        <is>
          <t>See NVD references</t>
        </is>
      </c>
      <c r="O970" s="187" t="inlineStr">
        <is>
          <t>Apply vendor patches</t>
        </is>
      </c>
      <c r="P970" s="187" t="inlineStr">
        <is>
          <t>See CVE details</t>
        </is>
      </c>
      <c r="Q970" s="187" t="inlineStr">
        <is>
          <t>P3</t>
        </is>
      </c>
      <c r="R970" s="187" t="inlineStr">
        <is>
          <t>🚨 URGENT: Apply vendor patches immediately | 🔒 Isolate affected systems if patch unavailable | 🛡️ Enable additional monitoring/IDS rules</t>
        </is>
      </c>
      <c r="S970" s="187" t="inlineStr">
        <is>
          <t>CVE - IP enrichment n/a</t>
        </is>
      </c>
      <c r="T970" s="187" t="n">
        <v>0.0004</v>
      </c>
      <c r="U970" s="187" t="n">
        <v>0.1036</v>
      </c>
      <c r="V970" s="187" t="inlineStr">
        <is>
          <t>T1190:Exploit Public-Facing Application</t>
        </is>
      </c>
      <c r="W970" s="187" t="n">
        <v>1</v>
      </c>
      <c r="X970" s="187" t="inlineStr">
        <is>
          <t>LOW (40%)</t>
        </is>
      </c>
      <c r="Y970" s="187" t="inlineStr">
        <is>
          <t>UNLIKELY</t>
        </is>
      </c>
      <c r="Z970" s="187" t="inlineStr">
        <is>
          <t>CHECK_VENDOR</t>
        </is>
      </c>
      <c r="AA970" s="187" t="inlineStr">
        <is>
          <t>https://nvd.nist.gov/vuln/detail/CVE-2026-26290</t>
        </is>
      </c>
      <c r="AB970" s="187" t="inlineStr">
        <is>
          <t>NONE</t>
        </is>
      </c>
      <c r="AC970" s="187" t="n">
        <v>0</v>
      </c>
      <c r="AD970" s="187" t="inlineStr"/>
    </row>
    <row r="971">
      <c r="A971" s="187" t="inlineStr">
        <is>
          <t>CVE</t>
        </is>
      </c>
      <c r="B971" s="187" t="inlineStr">
        <is>
          <t>CVE-2026-26305</t>
        </is>
      </c>
      <c r="C971" s="18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71" s="187" t="n">
        <v>7.5</v>
      </c>
      <c r="E971" s="187" t="inlineStr">
        <is>
          <t>HIGH</t>
        </is>
      </c>
      <c r="F971" s="187" t="n">
        <v>2</v>
      </c>
      <c r="G971" s="187" t="n">
        <v>3</v>
      </c>
      <c r="H971" s="187" t="inlineStr">
        <is>
          <t>HIGH</t>
        </is>
      </c>
      <c r="I971" s="187" t="n">
        <v>13.5</v>
      </c>
      <c r="J971" s="187" t="inlineStr">
        <is>
          <t>NO</t>
        </is>
      </c>
      <c r="K971" s="187" t="inlineStr">
        <is>
          <t>https://nvd.nist.gov/vuln/detail/CVE-2026-26305</t>
        </is>
      </c>
      <c r="L971" s="187" t="inlineStr">
        <is>
          <t>2026-02-27 20:47</t>
        </is>
      </c>
      <c r="M971" s="187" t="inlineStr">
        <is>
          <t>CHECK_VENDOR</t>
        </is>
      </c>
      <c r="N971" s="187" t="inlineStr">
        <is>
          <t>See NVD references</t>
        </is>
      </c>
      <c r="O971" s="187" t="inlineStr">
        <is>
          <t>Apply vendor patches</t>
        </is>
      </c>
      <c r="P971" s="187" t="inlineStr">
        <is>
          <t>See CVE details</t>
        </is>
      </c>
      <c r="Q971" s="187" t="inlineStr">
        <is>
          <t>P3</t>
        </is>
      </c>
      <c r="R971" s="187" t="inlineStr">
        <is>
          <t>🚨 URGENT: Apply vendor patches immediately | 🔒 Isolate affected systems if patch unavailable | 🛡️ Enable additional monitoring/IDS rules</t>
        </is>
      </c>
      <c r="S971" s="187" t="inlineStr">
        <is>
          <t>CVE - IP enrichment n/a</t>
        </is>
      </c>
      <c r="T971" s="187" t="n">
        <v>0.0008</v>
      </c>
      <c r="U971" s="187" t="n">
        <v>0.2276</v>
      </c>
      <c r="V971" s="187" t="inlineStr">
        <is>
          <t>T1190:Exploit Public-Facing Application</t>
        </is>
      </c>
      <c r="W971" s="187" t="n">
        <v>1</v>
      </c>
      <c r="X971" s="187" t="inlineStr">
        <is>
          <t>LOW (40%)</t>
        </is>
      </c>
      <c r="Y971" s="187" t="inlineStr">
        <is>
          <t>UNLIKELY</t>
        </is>
      </c>
      <c r="Z971" s="187" t="inlineStr">
        <is>
          <t>CHECK_VENDOR</t>
        </is>
      </c>
      <c r="AA971" s="187" t="inlineStr">
        <is>
          <t>https://nvd.nist.gov/vuln/detail/CVE-2026-26305</t>
        </is>
      </c>
      <c r="AB971" s="187" t="inlineStr">
        <is>
          <t>NONE</t>
        </is>
      </c>
      <c r="AC971" s="187" t="n">
        <v>0</v>
      </c>
      <c r="AD971" s="187" t="inlineStr"/>
    </row>
    <row r="972">
      <c r="A972" s="189" t="inlineStr">
        <is>
          <t>CVE</t>
        </is>
      </c>
      <c r="B972" s="189" t="inlineStr">
        <is>
          <t>CVE-2026-27028</t>
        </is>
      </c>
      <c r="C972" s="18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72" s="189" t="n">
        <v>9.4</v>
      </c>
      <c r="E972" s="189" t="inlineStr">
        <is>
          <t>CRITICAL</t>
        </is>
      </c>
      <c r="F972" s="189" t="n">
        <v>2</v>
      </c>
      <c r="G972" s="189" t="n">
        <v>3</v>
      </c>
      <c r="H972" s="189" t="inlineStr">
        <is>
          <t>HIGH</t>
        </is>
      </c>
      <c r="I972" s="189" t="n">
        <v>15.4</v>
      </c>
      <c r="J972" s="189" t="inlineStr">
        <is>
          <t>NO</t>
        </is>
      </c>
      <c r="K972" s="189" t="inlineStr">
        <is>
          <t>https://nvd.nist.gov/vuln/detail/CVE-2026-27028</t>
        </is>
      </c>
      <c r="L972" s="189" t="inlineStr">
        <is>
          <t>2026-02-27 20:47</t>
        </is>
      </c>
      <c r="M972" s="189" t="inlineStr">
        <is>
          <t>CHECK_VENDOR</t>
        </is>
      </c>
      <c r="N972" s="189" t="inlineStr">
        <is>
          <t>See NVD references</t>
        </is>
      </c>
      <c r="O972" s="189" t="inlineStr">
        <is>
          <t>Apply vendor patches</t>
        </is>
      </c>
      <c r="P972" s="189" t="inlineStr">
        <is>
          <t>See CVE details</t>
        </is>
      </c>
      <c r="Q972" s="189" t="inlineStr">
        <is>
          <t>P3</t>
        </is>
      </c>
      <c r="R972" s="189" t="inlineStr">
        <is>
          <t>🚨 URGENT: Apply vendor patches immediately | 🔒 Isolate affected systems if patch unavailable | 🛡️ Enable additional monitoring/IDS rules</t>
        </is>
      </c>
      <c r="S972" s="189" t="inlineStr">
        <is>
          <t>CVE - IP enrichment n/a</t>
        </is>
      </c>
      <c r="T972" s="189" t="n">
        <v>0.0018</v>
      </c>
      <c r="U972" s="189" t="n">
        <v>0.3909</v>
      </c>
      <c r="V972" s="189" t="inlineStr">
        <is>
          <t>T1078:Valid Accounts</t>
        </is>
      </c>
      <c r="W972" s="189" t="n">
        <v>1</v>
      </c>
      <c r="X972" s="189" t="inlineStr">
        <is>
          <t>LOW (40%)</t>
        </is>
      </c>
      <c r="Y972" s="189" t="inlineStr">
        <is>
          <t>UNLIKELY</t>
        </is>
      </c>
      <c r="Z972" s="189" t="inlineStr">
        <is>
          <t>CHECK_VENDOR</t>
        </is>
      </c>
      <c r="AA972" s="189" t="inlineStr">
        <is>
          <t>https://nvd.nist.gov/vuln/detail/CVE-2026-27028</t>
        </is>
      </c>
      <c r="AB972" s="189" t="inlineStr">
        <is>
          <t>NONE</t>
        </is>
      </c>
      <c r="AC972" s="189" t="n">
        <v>0</v>
      </c>
      <c r="AD972" s="189" t="inlineStr"/>
    </row>
    <row r="973">
      <c r="A973" s="187" t="inlineStr">
        <is>
          <t>CVE</t>
        </is>
      </c>
      <c r="B973" s="187" t="inlineStr">
        <is>
          <t>CVE-2026-27647</t>
        </is>
      </c>
      <c r="C973" s="18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73" s="187" t="n">
        <v>7.3</v>
      </c>
      <c r="E973" s="187" t="inlineStr">
        <is>
          <t>HIGH</t>
        </is>
      </c>
      <c r="F973" s="187" t="n">
        <v>2</v>
      </c>
      <c r="G973" s="187" t="n">
        <v>3</v>
      </c>
      <c r="H973" s="187" t="inlineStr">
        <is>
          <t>HIGH</t>
        </is>
      </c>
      <c r="I973" s="187" t="n">
        <v>13.3</v>
      </c>
      <c r="J973" s="187" t="inlineStr">
        <is>
          <t>NO</t>
        </is>
      </c>
      <c r="K973" s="187" t="inlineStr">
        <is>
          <t>https://nvd.nist.gov/vuln/detail/CVE-2026-27647</t>
        </is>
      </c>
      <c r="L973" s="187" t="inlineStr">
        <is>
          <t>2026-02-27 20:47</t>
        </is>
      </c>
      <c r="M973" s="187" t="inlineStr">
        <is>
          <t>CHECK_VENDOR</t>
        </is>
      </c>
      <c r="N973" s="187" t="inlineStr">
        <is>
          <t>See NVD references</t>
        </is>
      </c>
      <c r="O973" s="187" t="inlineStr">
        <is>
          <t>Apply vendor patches</t>
        </is>
      </c>
      <c r="P973" s="187" t="inlineStr">
        <is>
          <t>See CVE details</t>
        </is>
      </c>
      <c r="Q973" s="187" t="inlineStr">
        <is>
          <t>P3</t>
        </is>
      </c>
      <c r="R973" s="187" t="inlineStr">
        <is>
          <t>🚨 URGENT: Apply vendor patches immediately | 🔒 Isolate affected systems if patch unavailable | 🛡️ Enable additional monitoring/IDS rules</t>
        </is>
      </c>
      <c r="S973" s="187" t="inlineStr">
        <is>
          <t>CVE - IP enrichment n/a</t>
        </is>
      </c>
      <c r="T973" s="187" t="n">
        <v>0.0004</v>
      </c>
      <c r="U973" s="187" t="n">
        <v>0.1036</v>
      </c>
      <c r="V973" s="187" t="inlineStr">
        <is>
          <t>T1190:Exploit Public-Facing Application</t>
        </is>
      </c>
      <c r="W973" s="187" t="n">
        <v>1</v>
      </c>
      <c r="X973" s="187" t="inlineStr">
        <is>
          <t>LOW (40%)</t>
        </is>
      </c>
      <c r="Y973" s="187" t="inlineStr">
        <is>
          <t>UNLIKELY</t>
        </is>
      </c>
      <c r="Z973" s="187" t="inlineStr">
        <is>
          <t>CHECK_VENDOR</t>
        </is>
      </c>
      <c r="AA973" s="187" t="inlineStr">
        <is>
          <t>https://nvd.nist.gov/vuln/detail/CVE-2026-27647</t>
        </is>
      </c>
      <c r="AB973" s="187" t="inlineStr">
        <is>
          <t>NONE</t>
        </is>
      </c>
      <c r="AC973" s="187" t="n">
        <v>0</v>
      </c>
      <c r="AD973" s="187" t="inlineStr"/>
    </row>
    <row r="974">
      <c r="A974" s="187" t="inlineStr">
        <is>
          <t>CVE</t>
        </is>
      </c>
      <c r="B974" s="187" t="inlineStr">
        <is>
          <t>CVE-2026-3273</t>
        </is>
      </c>
      <c r="C974" s="187"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974" s="187" t="n">
        <v>8.800000000000001</v>
      </c>
      <c r="E974" s="187" t="inlineStr">
        <is>
          <t>HIGH</t>
        </is>
      </c>
      <c r="F974" s="187" t="n">
        <v>2</v>
      </c>
      <c r="G974" s="187" t="n">
        <v>3</v>
      </c>
      <c r="H974" s="187" t="inlineStr">
        <is>
          <t>HIGH</t>
        </is>
      </c>
      <c r="I974" s="187" t="n">
        <v>14.8</v>
      </c>
      <c r="J974" s="187" t="inlineStr">
        <is>
          <t>NO</t>
        </is>
      </c>
      <c r="K974" s="187" t="inlineStr">
        <is>
          <t>https://nvd.nist.gov/vuln/detail/CVE-2026-3273</t>
        </is>
      </c>
      <c r="L974" s="187" t="inlineStr">
        <is>
          <t>2026-02-27 20:47</t>
        </is>
      </c>
      <c r="M974" s="187" t="inlineStr">
        <is>
          <t>CHECK_VENDOR</t>
        </is>
      </c>
      <c r="N974" s="187" t="inlineStr">
        <is>
          <t>See NVD references</t>
        </is>
      </c>
      <c r="O974" s="187" t="inlineStr">
        <is>
          <t>Apply vendor patches</t>
        </is>
      </c>
      <c r="P974" s="187" t="inlineStr">
        <is>
          <t>tenda f453 - | tenda f453_firmware 1.0.0.3</t>
        </is>
      </c>
      <c r="Q974" s="187" t="inlineStr">
        <is>
          <t>P3</t>
        </is>
      </c>
      <c r="R974" s="187" t="inlineStr">
        <is>
          <t>🚨 URGENT: Apply vendor patches immediately | 🔒 Isolate affected systems if patch unavailable | 🛡️ Enable additional monitoring/IDS rules</t>
        </is>
      </c>
      <c r="S974" s="187" t="inlineStr">
        <is>
          <t>CVE - IP enrichment n/a</t>
        </is>
      </c>
      <c r="T974" s="187" t="n">
        <v>0.0005</v>
      </c>
      <c r="U974" s="187" t="n">
        <v>0.1424</v>
      </c>
      <c r="V974" s="187" t="inlineStr">
        <is>
          <t>T1203:Exploitation for Client Execution</t>
        </is>
      </c>
      <c r="W974" s="187" t="n">
        <v>1</v>
      </c>
      <c r="X974" s="187" t="inlineStr">
        <is>
          <t>LOW (40%)</t>
        </is>
      </c>
      <c r="Y974" s="187" t="inlineStr">
        <is>
          <t>UNLIKELY</t>
        </is>
      </c>
      <c r="Z974" s="187" t="inlineStr">
        <is>
          <t>CHECK_VENDOR</t>
        </is>
      </c>
      <c r="AA974" s="187" t="inlineStr">
        <is>
          <t>https://nvd.nist.gov/vuln/detail/CVE-2026-3273</t>
        </is>
      </c>
      <c r="AB974" s="187" t="inlineStr">
        <is>
          <t>NONE</t>
        </is>
      </c>
      <c r="AC974" s="187" t="n">
        <v>0</v>
      </c>
      <c r="AD974" s="187" t="inlineStr"/>
    </row>
    <row r="975">
      <c r="A975" s="187" t="inlineStr">
        <is>
          <t>CVE</t>
        </is>
      </c>
      <c r="B975" s="187" t="inlineStr">
        <is>
          <t>CVE-2026-20764</t>
        </is>
      </c>
      <c r="C975" s="187"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975" s="187" t="n">
        <v>8</v>
      </c>
      <c r="E975" s="187" t="inlineStr">
        <is>
          <t>HIGH</t>
        </is>
      </c>
      <c r="F975" s="187" t="n">
        <v>2</v>
      </c>
      <c r="G975" s="187" t="n">
        <v>3</v>
      </c>
      <c r="H975" s="187" t="inlineStr">
        <is>
          <t>HIGH</t>
        </is>
      </c>
      <c r="I975" s="187" t="n">
        <v>14</v>
      </c>
      <c r="J975" s="187" t="inlineStr">
        <is>
          <t>NO</t>
        </is>
      </c>
      <c r="K975" s="187" t="inlineStr">
        <is>
          <t>https://nvd.nist.gov/vuln/detail/CVE-2026-20764</t>
        </is>
      </c>
      <c r="L975" s="187" t="inlineStr">
        <is>
          <t>2026-02-27 20:47</t>
        </is>
      </c>
      <c r="M975" s="187" t="inlineStr">
        <is>
          <t>CHECK_VENDOR</t>
        </is>
      </c>
      <c r="N975" s="187" t="inlineStr">
        <is>
          <t>See NVD references</t>
        </is>
      </c>
      <c r="O975" s="187" t="inlineStr">
        <is>
          <t>Apply vendor patches</t>
        </is>
      </c>
      <c r="P975" s="187" t="inlineStr">
        <is>
          <t>See CVE details</t>
        </is>
      </c>
      <c r="Q975" s="187" t="inlineStr">
        <is>
          <t>P3</t>
        </is>
      </c>
      <c r="R975" s="187" t="inlineStr">
        <is>
          <t>🚨 URGENT: Apply vendor patches immediately | 🔒 Isolate affected systems if patch unavailable | 🛡️ Enable additional monitoring/IDS rules</t>
        </is>
      </c>
      <c r="S975" s="187" t="inlineStr">
        <is>
          <t>CVE - IP enrichment n/a</t>
        </is>
      </c>
      <c r="T975" s="187" t="n">
        <v>0.0022</v>
      </c>
      <c r="U975" s="187" t="n">
        <v>0.4456</v>
      </c>
      <c r="V975" s="187" t="inlineStr">
        <is>
          <t>T1059:Command and Scripting Interpreter | T1190:Exploit Public-Facing Application | T1210:Exploitation of Remote Services</t>
        </is>
      </c>
      <c r="W975" s="187" t="n">
        <v>1</v>
      </c>
      <c r="X975" s="187" t="inlineStr">
        <is>
          <t>LOW (40%)</t>
        </is>
      </c>
      <c r="Y975" s="187" t="inlineStr">
        <is>
          <t>UNLIKELY</t>
        </is>
      </c>
      <c r="Z975" s="187" t="inlineStr">
        <is>
          <t>CHECK_VENDOR</t>
        </is>
      </c>
      <c r="AA975" s="187" t="inlineStr">
        <is>
          <t>https://nvd.nist.gov/vuln/detail/CVE-2026-20764</t>
        </is>
      </c>
      <c r="AB975" s="187" t="inlineStr">
        <is>
          <t>NONE</t>
        </is>
      </c>
      <c r="AC975" s="187" t="n">
        <v>0</v>
      </c>
      <c r="AD975" s="187" t="inlineStr"/>
    </row>
    <row r="976">
      <c r="A976" s="188" t="inlineStr">
        <is>
          <t>CVE</t>
        </is>
      </c>
      <c r="B976" s="188" t="inlineStr">
        <is>
          <t>CVE-2026-20797</t>
        </is>
      </c>
      <c r="C976" s="188" t="inlineStr">
        <is>
          <t>A stack based buffer overflow exists in an API route of XWEB Pro version
 1.12.1 and prior, enabling unauthenticated attackers to cause stack 
corruption and a termination of the program.</t>
        </is>
      </c>
      <c r="D976" s="188" t="n">
        <v>4.3</v>
      </c>
      <c r="E976" s="188" t="inlineStr">
        <is>
          <t>MEDIUM</t>
        </is>
      </c>
      <c r="F976" s="188" t="n">
        <v>2</v>
      </c>
      <c r="G976" s="188" t="n">
        <v>2</v>
      </c>
      <c r="H976" s="188" t="inlineStr">
        <is>
          <t>MEDIUM</t>
        </is>
      </c>
      <c r="I976" s="188" t="n">
        <v>8.300000000000001</v>
      </c>
      <c r="J976" s="188" t="inlineStr">
        <is>
          <t>NO</t>
        </is>
      </c>
      <c r="K976" s="188" t="inlineStr">
        <is>
          <t>https://nvd.nist.gov/vuln/detail/CVE-2026-20797</t>
        </is>
      </c>
      <c r="L976" s="188" t="inlineStr">
        <is>
          <t>2026-02-27 20:47</t>
        </is>
      </c>
      <c r="M976" s="188" t="inlineStr">
        <is>
          <t>CHECK_VENDOR</t>
        </is>
      </c>
      <c r="N976" s="188" t="inlineStr">
        <is>
          <t>See NVD references</t>
        </is>
      </c>
      <c r="O976" s="188" t="inlineStr">
        <is>
          <t>Apply vendor patches</t>
        </is>
      </c>
      <c r="P976" s="188" t="inlineStr">
        <is>
          <t>See CVE details</t>
        </is>
      </c>
      <c r="Q976" s="188" t="inlineStr">
        <is>
          <t>P4</t>
        </is>
      </c>
      <c r="R976" s="188" t="inlineStr">
        <is>
          <t>📅 Schedule patch deployment within 30 days | 🔍 Monitor for exploitation attempts</t>
        </is>
      </c>
      <c r="S976" s="188" t="inlineStr">
        <is>
          <t>CVE - IP enrichment n/a</t>
        </is>
      </c>
      <c r="T976" s="188" t="n">
        <v>0.0002</v>
      </c>
      <c r="U976" s="188" t="n">
        <v>0.0328</v>
      </c>
      <c r="V976" s="188" t="inlineStr">
        <is>
          <t>T1203:Exploitation for Client Execution</t>
        </is>
      </c>
      <c r="W976" s="188" t="n">
        <v>1</v>
      </c>
      <c r="X976" s="188" t="inlineStr">
        <is>
          <t>LOW (40%)</t>
        </is>
      </c>
      <c r="Y976" s="188" t="inlineStr">
        <is>
          <t>UNLIKELY</t>
        </is>
      </c>
      <c r="Z976" s="188" t="inlineStr">
        <is>
          <t>CHECK_VENDOR</t>
        </is>
      </c>
      <c r="AA976" s="188" t="inlineStr">
        <is>
          <t>https://nvd.nist.gov/vuln/detail/CVE-2026-20797</t>
        </is>
      </c>
      <c r="AB976" s="188" t="inlineStr">
        <is>
          <t>NONE</t>
        </is>
      </c>
      <c r="AC976" s="188" t="n">
        <v>0</v>
      </c>
      <c r="AD976" s="188" t="inlineStr"/>
    </row>
    <row r="977">
      <c r="A977" s="190" t="inlineStr">
        <is>
          <t>CVE</t>
        </is>
      </c>
      <c r="B977" s="190" t="inlineStr">
        <is>
          <t>CVE-2026-22877</t>
        </is>
      </c>
      <c r="C977" s="190" t="inlineStr">
        <is>
          <t>An arbitrary file-read vulnerability exists in XWEB Pro version 1.12.1 
and prior, enabling unauthenticated attackers to read arbitrary files on
 the system, and potentially causing a denial-of-service attack.</t>
        </is>
      </c>
      <c r="D977" s="190" t="n">
        <v>3.7</v>
      </c>
      <c r="E977" s="190" t="inlineStr">
        <is>
          <t>LOW</t>
        </is>
      </c>
      <c r="F977" s="190" t="n">
        <v>2</v>
      </c>
      <c r="G977" s="190" t="n">
        <v>1</v>
      </c>
      <c r="H977" s="190" t="inlineStr">
        <is>
          <t>LOW</t>
        </is>
      </c>
      <c r="I977" s="190" t="n">
        <v>5.7</v>
      </c>
      <c r="J977" s="190" t="inlineStr">
        <is>
          <t>NO</t>
        </is>
      </c>
      <c r="K977" s="190" t="inlineStr">
        <is>
          <t>https://nvd.nist.gov/vuln/detail/CVE-2026-22877</t>
        </is>
      </c>
      <c r="L977" s="190" t="inlineStr">
        <is>
          <t>2026-02-27 20:47</t>
        </is>
      </c>
      <c r="M977" s="190" t="inlineStr">
        <is>
          <t>CHECK_VENDOR</t>
        </is>
      </c>
      <c r="N977" s="190" t="inlineStr">
        <is>
          <t>See NVD references</t>
        </is>
      </c>
      <c r="O977" s="190" t="inlineStr">
        <is>
          <t>Apply vendor patches</t>
        </is>
      </c>
      <c r="P977" s="190" t="inlineStr">
        <is>
          <t>See CVE details</t>
        </is>
      </c>
      <c r="Q977" s="190" t="inlineStr">
        <is>
          <t>P4</t>
        </is>
      </c>
      <c r="R977" s="190" t="inlineStr">
        <is>
          <t>📅 Schedule patch deployment within 30 days | 🔍 Monitor for exploitation attempts</t>
        </is>
      </c>
      <c r="S977" s="190" t="inlineStr">
        <is>
          <t>CVE - IP enrichment n/a</t>
        </is>
      </c>
      <c r="T977" s="190" t="n">
        <v>0.0009</v>
      </c>
      <c r="U977" s="190" t="n">
        <v>0.2585</v>
      </c>
      <c r="V977" s="190" t="inlineStr">
        <is>
          <t>T1083:File and Directory Discovery</t>
        </is>
      </c>
      <c r="W977" s="190" t="n">
        <v>1</v>
      </c>
      <c r="X977" s="190" t="inlineStr">
        <is>
          <t>LOW (40%)</t>
        </is>
      </c>
      <c r="Y977" s="190" t="inlineStr">
        <is>
          <t>UNLIKELY</t>
        </is>
      </c>
      <c r="Z977" s="190" t="inlineStr">
        <is>
          <t>CHECK_VENDOR</t>
        </is>
      </c>
      <c r="AA977" s="190" t="inlineStr">
        <is>
          <t>https://nvd.nist.gov/vuln/detail/CVE-2026-22877</t>
        </is>
      </c>
      <c r="AB977" s="190" t="inlineStr">
        <is>
          <t>NONE</t>
        </is>
      </c>
      <c r="AC977" s="190" t="n">
        <v>0</v>
      </c>
      <c r="AD977" s="190" t="inlineStr"/>
    </row>
    <row r="978">
      <c r="A978" s="187" t="inlineStr">
        <is>
          <t>CVE</t>
        </is>
      </c>
      <c r="B978" s="187" t="inlineStr">
        <is>
          <t>CVE-2026-23702</t>
        </is>
      </c>
      <c r="C978" s="187"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978" s="187" t="n">
        <v>8</v>
      </c>
      <c r="E978" s="187" t="inlineStr">
        <is>
          <t>HIGH</t>
        </is>
      </c>
      <c r="F978" s="187" t="n">
        <v>2</v>
      </c>
      <c r="G978" s="187" t="n">
        <v>3</v>
      </c>
      <c r="H978" s="187" t="inlineStr">
        <is>
          <t>HIGH</t>
        </is>
      </c>
      <c r="I978" s="187" t="n">
        <v>14</v>
      </c>
      <c r="J978" s="187" t="inlineStr">
        <is>
          <t>NO</t>
        </is>
      </c>
      <c r="K978" s="187" t="inlineStr">
        <is>
          <t>https://nvd.nist.gov/vuln/detail/CVE-2026-23702</t>
        </is>
      </c>
      <c r="L978" s="187" t="inlineStr">
        <is>
          <t>2026-02-27 20:47</t>
        </is>
      </c>
      <c r="M978" s="187" t="inlineStr">
        <is>
          <t>CHECK_VENDOR</t>
        </is>
      </c>
      <c r="N978" s="187" t="inlineStr">
        <is>
          <t>See NVD references</t>
        </is>
      </c>
      <c r="O978" s="187" t="inlineStr">
        <is>
          <t>Apply vendor patches</t>
        </is>
      </c>
      <c r="P978" s="187" t="inlineStr">
        <is>
          <t>See CVE details</t>
        </is>
      </c>
      <c r="Q978" s="187" t="inlineStr">
        <is>
          <t>P3</t>
        </is>
      </c>
      <c r="R978" s="187" t="inlineStr">
        <is>
          <t>🚨 URGENT: Apply vendor patches immediately | 🔒 Isolate affected systems if patch unavailable | 🛡️ Enable additional monitoring/IDS rules</t>
        </is>
      </c>
      <c r="S978" s="187" t="inlineStr">
        <is>
          <t>CVE - IP enrichment n/a</t>
        </is>
      </c>
      <c r="T978" s="187" t="n">
        <v>0.0022</v>
      </c>
      <c r="U978" s="187" t="n">
        <v>0.4456</v>
      </c>
      <c r="V978" s="187" t="inlineStr">
        <is>
          <t>T1059:Command and Scripting Interpreter | T1190:Exploit Public-Facing Application | T1210:Exploitation of Remote Services</t>
        </is>
      </c>
      <c r="W978" s="187" t="n">
        <v>1</v>
      </c>
      <c r="X978" s="187" t="inlineStr">
        <is>
          <t>LOW (40%)</t>
        </is>
      </c>
      <c r="Y978" s="187" t="inlineStr">
        <is>
          <t>UNLIKELY</t>
        </is>
      </c>
      <c r="Z978" s="187" t="inlineStr">
        <is>
          <t>CHECK_VENDOR</t>
        </is>
      </c>
      <c r="AA978" s="187" t="inlineStr">
        <is>
          <t>https://nvd.nist.gov/vuln/detail/CVE-2026-23702</t>
        </is>
      </c>
      <c r="AB978" s="187" t="inlineStr">
        <is>
          <t>NONE</t>
        </is>
      </c>
      <c r="AC978" s="187" t="n">
        <v>0</v>
      </c>
      <c r="AD978" s="187" t="inlineStr"/>
    </row>
    <row r="979">
      <c r="A979" s="187" t="inlineStr">
        <is>
          <t>CVE</t>
        </is>
      </c>
      <c r="B979" s="187" t="inlineStr">
        <is>
          <t>CVE-2026-24452</t>
        </is>
      </c>
      <c r="C979" s="187" t="inlineStr">
        <is>
          <t>An OS command injection 
 vulnerability exists in XWEB Pro version 1.12.1 and prior, enabling an 
authenticated attacker to achieve remote code execution on the system by
 supplying a crafted template file to the devices route.</t>
        </is>
      </c>
      <c r="D979" s="187" t="n">
        <v>8</v>
      </c>
      <c r="E979" s="187" t="inlineStr">
        <is>
          <t>HIGH</t>
        </is>
      </c>
      <c r="F979" s="187" t="n">
        <v>2</v>
      </c>
      <c r="G979" s="187" t="n">
        <v>3</v>
      </c>
      <c r="H979" s="187" t="inlineStr">
        <is>
          <t>HIGH</t>
        </is>
      </c>
      <c r="I979" s="187" t="n">
        <v>14</v>
      </c>
      <c r="J979" s="187" t="inlineStr">
        <is>
          <t>NO</t>
        </is>
      </c>
      <c r="K979" s="187" t="inlineStr">
        <is>
          <t>https://nvd.nist.gov/vuln/detail/CVE-2026-24452</t>
        </is>
      </c>
      <c r="L979" s="187" t="inlineStr">
        <is>
          <t>2026-02-27 20:47</t>
        </is>
      </c>
      <c r="M979" s="187" t="inlineStr">
        <is>
          <t>CHECK_VENDOR</t>
        </is>
      </c>
      <c r="N979" s="187" t="inlineStr">
        <is>
          <t>See NVD references</t>
        </is>
      </c>
      <c r="O979" s="187" t="inlineStr">
        <is>
          <t>Apply vendor patches</t>
        </is>
      </c>
      <c r="P979" s="187" t="inlineStr">
        <is>
          <t>See CVE details</t>
        </is>
      </c>
      <c r="Q979" s="187" t="inlineStr">
        <is>
          <t>P3</t>
        </is>
      </c>
      <c r="R979" s="187" t="inlineStr">
        <is>
          <t>🚨 URGENT: Apply vendor patches immediately | 🔒 Isolate affected systems if patch unavailable | 🛡️ Enable additional monitoring/IDS rules</t>
        </is>
      </c>
      <c r="S979" s="187" t="inlineStr">
        <is>
          <t>CVE - IP enrichment n/a</t>
        </is>
      </c>
      <c r="T979" s="187" t="n">
        <v>0.0022</v>
      </c>
      <c r="U979" s="187" t="n">
        <v>0.4456</v>
      </c>
      <c r="V979" s="187" t="inlineStr">
        <is>
          <t>T1059:Command and Scripting Interpreter | T1190:Exploit Public-Facing Application | T1210:Exploitation of Remote Services</t>
        </is>
      </c>
      <c r="W979" s="187" t="n">
        <v>1</v>
      </c>
      <c r="X979" s="187" t="inlineStr">
        <is>
          <t>LOW (40%)</t>
        </is>
      </c>
      <c r="Y979" s="187" t="inlineStr">
        <is>
          <t>UNLIKELY</t>
        </is>
      </c>
      <c r="Z979" s="187" t="inlineStr">
        <is>
          <t>CHECK_VENDOR</t>
        </is>
      </c>
      <c r="AA979" s="187" t="inlineStr">
        <is>
          <t>https://nvd.nist.gov/vuln/detail/CVE-2026-24452</t>
        </is>
      </c>
      <c r="AB979" s="187" t="inlineStr">
        <is>
          <t>NONE</t>
        </is>
      </c>
      <c r="AC979" s="187" t="n">
        <v>0</v>
      </c>
      <c r="AD979" s="187" t="inlineStr"/>
    </row>
    <row r="980">
      <c r="A980" s="188" t="inlineStr">
        <is>
          <t>CVE</t>
        </is>
      </c>
      <c r="B980" s="188" t="inlineStr">
        <is>
          <t>CVE-2026-24497</t>
        </is>
      </c>
      <c r="C980" s="188" t="inlineStr">
        <is>
          <t>Stack-based Buffer Overflow vulnerability in SimTech Systems, Inc. ThinkWise allows Remote Code Inclusion.This issue affects ThinkWise: from 7 through 23.</t>
        </is>
      </c>
      <c r="D980" s="188" t="n">
        <v>5</v>
      </c>
      <c r="E980" s="188" t="inlineStr">
        <is>
          <t>MEDIUM</t>
        </is>
      </c>
      <c r="F980" s="188" t="n">
        <v>2</v>
      </c>
      <c r="G980" s="188" t="n">
        <v>2</v>
      </c>
      <c r="H980" s="188" t="inlineStr">
        <is>
          <t>MEDIUM</t>
        </is>
      </c>
      <c r="I980" s="188" t="n">
        <v>9</v>
      </c>
      <c r="J980" s="188" t="inlineStr">
        <is>
          <t>NO</t>
        </is>
      </c>
      <c r="K980" s="188" t="inlineStr">
        <is>
          <t>https://nvd.nist.gov/vuln/detail/CVE-2026-24497</t>
        </is>
      </c>
      <c r="L980" s="188" t="inlineStr">
        <is>
          <t>2026-02-27 20:47</t>
        </is>
      </c>
      <c r="M980" s="188" t="inlineStr">
        <is>
          <t>CHECK_VENDOR</t>
        </is>
      </c>
      <c r="N980" s="188" t="inlineStr">
        <is>
          <t>See NVD references</t>
        </is>
      </c>
      <c r="O980" s="188" t="inlineStr">
        <is>
          <t>Apply vendor patches</t>
        </is>
      </c>
      <c r="P980" s="188" t="inlineStr">
        <is>
          <t>See CVE details</t>
        </is>
      </c>
      <c r="Q980" s="188" t="inlineStr">
        <is>
          <t>P4</t>
        </is>
      </c>
      <c r="R980" s="188" t="inlineStr">
        <is>
          <t>📅 Schedule patch deployment within 30 days | 🔍 Monitor for exploitation attempts</t>
        </is>
      </c>
      <c r="S980" s="188" t="inlineStr">
        <is>
          <t>CVE - IP enrichment n/a</t>
        </is>
      </c>
      <c r="T980" s="188" t="n">
        <v>0.0001</v>
      </c>
      <c r="U980" s="188" t="n">
        <v>0.0257</v>
      </c>
      <c r="V980" s="188" t="inlineStr">
        <is>
          <t>T1190:Exploit Public-Facing Application | T1203:Exploitation for Client Execution</t>
        </is>
      </c>
      <c r="W980" s="188" t="n">
        <v>1</v>
      </c>
      <c r="X980" s="188" t="inlineStr">
        <is>
          <t>LOW (40%)</t>
        </is>
      </c>
      <c r="Y980" s="188" t="inlineStr">
        <is>
          <t>UNLIKELY</t>
        </is>
      </c>
      <c r="Z980" s="188" t="inlineStr">
        <is>
          <t>CHECK_VENDOR</t>
        </is>
      </c>
      <c r="AA980" s="188" t="inlineStr">
        <is>
          <t>https://nvd.nist.gov/vuln/detail/CVE-2026-24497</t>
        </is>
      </c>
      <c r="AB980" s="188" t="inlineStr">
        <is>
          <t>NONE</t>
        </is>
      </c>
      <c r="AC980" s="188" t="n">
        <v>0</v>
      </c>
      <c r="AD980" s="188" t="inlineStr"/>
    </row>
    <row r="981">
      <c r="A981" s="188" t="inlineStr">
        <is>
          <t>CVE</t>
        </is>
      </c>
      <c r="B981" s="188" t="inlineStr">
        <is>
          <t>CVE-2026-24498</t>
        </is>
      </c>
      <c r="C981" s="188"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981" s="188" t="n">
        <v>5</v>
      </c>
      <c r="E981" s="188" t="inlineStr">
        <is>
          <t>MEDIUM</t>
        </is>
      </c>
      <c r="F981" s="188" t="n">
        <v>2</v>
      </c>
      <c r="G981" s="188" t="n">
        <v>2</v>
      </c>
      <c r="H981" s="188" t="inlineStr">
        <is>
          <t>MEDIUM</t>
        </is>
      </c>
      <c r="I981" s="188" t="n">
        <v>9</v>
      </c>
      <c r="J981" s="188" t="inlineStr">
        <is>
          <t>NO</t>
        </is>
      </c>
      <c r="K981" s="188" t="inlineStr">
        <is>
          <t>https://nvd.nist.gov/vuln/detail/CVE-2026-24498</t>
        </is>
      </c>
      <c r="L981" s="188" t="inlineStr">
        <is>
          <t>2026-02-27 20:47</t>
        </is>
      </c>
      <c r="M981" s="188" t="inlineStr">
        <is>
          <t>CHECK_VENDOR</t>
        </is>
      </c>
      <c r="N981" s="188" t="inlineStr">
        <is>
          <t>See NVD references</t>
        </is>
      </c>
      <c r="O981" s="188" t="inlineStr">
        <is>
          <t>Apply vendor patches</t>
        </is>
      </c>
      <c r="P981" s="188" t="inlineStr">
        <is>
          <t>See CVE details</t>
        </is>
      </c>
      <c r="Q981" s="188" t="inlineStr">
        <is>
          <t>P4</t>
        </is>
      </c>
      <c r="R981" s="188" t="inlineStr">
        <is>
          <t>📅 Schedule patch deployment within 30 days | 🔍 Monitor for exploitation attempts</t>
        </is>
      </c>
      <c r="S981" s="188" t="inlineStr">
        <is>
          <t>CVE - IP enrichment n/a</t>
        </is>
      </c>
      <c r="T981" s="188" t="n">
        <v>0.0003</v>
      </c>
      <c r="U981" s="188" t="n">
        <v>0.0701</v>
      </c>
      <c r="V981" s="188" t="inlineStr">
        <is>
          <t>T1213:Data from Information Repositories | T1078:Valid Accounts</t>
        </is>
      </c>
      <c r="W981" s="188" t="n">
        <v>1</v>
      </c>
      <c r="X981" s="188" t="inlineStr">
        <is>
          <t>LOW (40%)</t>
        </is>
      </c>
      <c r="Y981" s="188" t="inlineStr">
        <is>
          <t>UNLIKELY</t>
        </is>
      </c>
      <c r="Z981" s="188" t="inlineStr">
        <is>
          <t>CHECK_VENDOR</t>
        </is>
      </c>
      <c r="AA981" s="188" t="inlineStr">
        <is>
          <t>https://nvd.nist.gov/vuln/detail/CVE-2026-24498</t>
        </is>
      </c>
      <c r="AB981" s="188" t="inlineStr">
        <is>
          <t>NONE</t>
        </is>
      </c>
      <c r="AC981" s="188" t="n">
        <v>0</v>
      </c>
      <c r="AD981" s="188" t="inlineStr"/>
    </row>
    <row r="982">
      <c r="A982" s="187" t="inlineStr">
        <is>
          <t>CVE</t>
        </is>
      </c>
      <c r="B982" s="187" t="inlineStr">
        <is>
          <t>CVE-2026-25037</t>
        </is>
      </c>
      <c r="C982" s="187"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982" s="187" t="n">
        <v>8</v>
      </c>
      <c r="E982" s="187" t="inlineStr">
        <is>
          <t>HIGH</t>
        </is>
      </c>
      <c r="F982" s="187" t="n">
        <v>2</v>
      </c>
      <c r="G982" s="187" t="n">
        <v>3</v>
      </c>
      <c r="H982" s="187" t="inlineStr">
        <is>
          <t>HIGH</t>
        </is>
      </c>
      <c r="I982" s="187" t="n">
        <v>14</v>
      </c>
      <c r="J982" s="187" t="inlineStr">
        <is>
          <t>NO</t>
        </is>
      </c>
      <c r="K982" s="187" t="inlineStr">
        <is>
          <t>https://nvd.nist.gov/vuln/detail/CVE-2026-25037</t>
        </is>
      </c>
      <c r="L982" s="187" t="inlineStr">
        <is>
          <t>2026-02-27 20:47</t>
        </is>
      </c>
      <c r="M982" s="187" t="inlineStr">
        <is>
          <t>CHECK_VENDOR</t>
        </is>
      </c>
      <c r="N982" s="187" t="inlineStr">
        <is>
          <t>See NVD references</t>
        </is>
      </c>
      <c r="O982" s="187" t="inlineStr">
        <is>
          <t>Apply vendor patches</t>
        </is>
      </c>
      <c r="P982" s="187" t="inlineStr">
        <is>
          <t>See CVE details</t>
        </is>
      </c>
      <c r="Q982" s="187" t="inlineStr">
        <is>
          <t>P3</t>
        </is>
      </c>
      <c r="R982" s="187" t="inlineStr">
        <is>
          <t>🚨 URGENT: Apply vendor patches immediately | 🔒 Isolate affected systems if patch unavailable | 🛡️ Enable additional monitoring/IDS rules</t>
        </is>
      </c>
      <c r="S982" s="187" t="inlineStr">
        <is>
          <t>CVE - IP enrichment n/a</t>
        </is>
      </c>
      <c r="T982" s="187" t="n">
        <v>0.0022</v>
      </c>
      <c r="U982" s="187" t="n">
        <v>0.4456</v>
      </c>
      <c r="V982" s="187" t="inlineStr">
        <is>
          <t>T1059:Command and Scripting Interpreter | T1190:Exploit Public-Facing Application | T1210:Exploitation of Remote Services</t>
        </is>
      </c>
      <c r="W982" s="187" t="n">
        <v>1</v>
      </c>
      <c r="X982" s="187" t="inlineStr">
        <is>
          <t>LOW (40%)</t>
        </is>
      </c>
      <c r="Y982" s="187" t="inlineStr">
        <is>
          <t>UNLIKELY</t>
        </is>
      </c>
      <c r="Z982" s="187" t="inlineStr">
        <is>
          <t>CHECK_VENDOR</t>
        </is>
      </c>
      <c r="AA982" s="187" t="inlineStr">
        <is>
          <t>https://nvd.nist.gov/vuln/detail/CVE-2026-25037</t>
        </is>
      </c>
      <c r="AB982" s="187" t="inlineStr">
        <is>
          <t>NONE</t>
        </is>
      </c>
      <c r="AC982" s="187" t="n">
        <v>0</v>
      </c>
      <c r="AD982" s="187" t="inlineStr"/>
    </row>
    <row r="983">
      <c r="A983" s="187" t="inlineStr">
        <is>
          <t>CVE</t>
        </is>
      </c>
      <c r="B983" s="187" t="inlineStr">
        <is>
          <t>CVE-2026-25105</t>
        </is>
      </c>
      <c r="C983" s="187" t="inlineStr">
        <is>
          <t>An OS command injection 
vulnerability exists in XWEB Pro version 1.12.1 and prior, enabling an 
authenticated attacker to achieve remote code execution on the system by
 injecting malicious input into parameters of the Modbus command tool in
 the debug route.</t>
        </is>
      </c>
      <c r="D983" s="187" t="n">
        <v>8</v>
      </c>
      <c r="E983" s="187" t="inlineStr">
        <is>
          <t>HIGH</t>
        </is>
      </c>
      <c r="F983" s="187" t="n">
        <v>2</v>
      </c>
      <c r="G983" s="187" t="n">
        <v>3</v>
      </c>
      <c r="H983" s="187" t="inlineStr">
        <is>
          <t>HIGH</t>
        </is>
      </c>
      <c r="I983" s="187" t="n">
        <v>14</v>
      </c>
      <c r="J983" s="187" t="inlineStr">
        <is>
          <t>NO</t>
        </is>
      </c>
      <c r="K983" s="187" t="inlineStr">
        <is>
          <t>https://nvd.nist.gov/vuln/detail/CVE-2026-25105</t>
        </is>
      </c>
      <c r="L983" s="187" t="inlineStr">
        <is>
          <t>2026-02-27 20:47</t>
        </is>
      </c>
      <c r="M983" s="187" t="inlineStr">
        <is>
          <t>CHECK_VENDOR</t>
        </is>
      </c>
      <c r="N983" s="187" t="inlineStr">
        <is>
          <t>See NVD references</t>
        </is>
      </c>
      <c r="O983" s="187" t="inlineStr">
        <is>
          <t>Apply vendor patches</t>
        </is>
      </c>
      <c r="P983" s="187" t="inlineStr">
        <is>
          <t>See CVE details</t>
        </is>
      </c>
      <c r="Q983" s="187" t="inlineStr">
        <is>
          <t>P3</t>
        </is>
      </c>
      <c r="R983" s="187" t="inlineStr">
        <is>
          <t>🚨 URGENT: Apply vendor patches immediately | 🔒 Isolate affected systems if patch unavailable | 🛡️ Enable additional monitoring/IDS rules</t>
        </is>
      </c>
      <c r="S983" s="187" t="inlineStr">
        <is>
          <t>CVE - IP enrichment n/a</t>
        </is>
      </c>
      <c r="T983" s="187" t="n">
        <v>0.0022</v>
      </c>
      <c r="U983" s="187" t="n">
        <v>0.4456</v>
      </c>
      <c r="V983" s="187" t="inlineStr">
        <is>
          <t>T1059:Command and Scripting Interpreter | T1190:Exploit Public-Facing Application | T1210:Exploitation of Remote Services</t>
        </is>
      </c>
      <c r="W983" s="187" t="n">
        <v>1</v>
      </c>
      <c r="X983" s="187" t="inlineStr">
        <is>
          <t>LOW (40%)</t>
        </is>
      </c>
      <c r="Y983" s="187" t="inlineStr">
        <is>
          <t>UNLIKELY</t>
        </is>
      </c>
      <c r="Z983" s="187" t="inlineStr">
        <is>
          <t>CHECK_VENDOR</t>
        </is>
      </c>
      <c r="AA983" s="187" t="inlineStr">
        <is>
          <t>https://nvd.nist.gov/vuln/detail/CVE-2026-25105</t>
        </is>
      </c>
      <c r="AB983" s="187" t="inlineStr">
        <is>
          <t>NONE</t>
        </is>
      </c>
      <c r="AC983" s="187" t="n">
        <v>0</v>
      </c>
      <c r="AD983" s="187" t="inlineStr"/>
    </row>
    <row r="984">
      <c r="A984" s="187" t="inlineStr">
        <is>
          <t>CVE</t>
        </is>
      </c>
      <c r="B984" s="187" t="inlineStr">
        <is>
          <t>CVE-2026-25196</t>
        </is>
      </c>
      <c r="C984" s="187"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984" s="187" t="n">
        <v>8</v>
      </c>
      <c r="E984" s="187" t="inlineStr">
        <is>
          <t>HIGH</t>
        </is>
      </c>
      <c r="F984" s="187" t="n">
        <v>2</v>
      </c>
      <c r="G984" s="187" t="n">
        <v>3</v>
      </c>
      <c r="H984" s="187" t="inlineStr">
        <is>
          <t>HIGH</t>
        </is>
      </c>
      <c r="I984" s="187" t="n">
        <v>14</v>
      </c>
      <c r="J984" s="187" t="inlineStr">
        <is>
          <t>NO</t>
        </is>
      </c>
      <c r="K984" s="187" t="inlineStr">
        <is>
          <t>https://nvd.nist.gov/vuln/detail/CVE-2026-25196</t>
        </is>
      </c>
      <c r="L984" s="187" t="inlineStr">
        <is>
          <t>2026-02-27 20:47</t>
        </is>
      </c>
      <c r="M984" s="187" t="inlineStr">
        <is>
          <t>CHECK_VENDOR</t>
        </is>
      </c>
      <c r="N984" s="187" t="inlineStr">
        <is>
          <t>See NVD references</t>
        </is>
      </c>
      <c r="O984" s="187" t="inlineStr">
        <is>
          <t>Apply vendor patches</t>
        </is>
      </c>
      <c r="P984" s="187" t="inlineStr">
        <is>
          <t>See CVE details</t>
        </is>
      </c>
      <c r="Q984" s="187" t="inlineStr">
        <is>
          <t>P3</t>
        </is>
      </c>
      <c r="R984" s="187" t="inlineStr">
        <is>
          <t>🚨 URGENT: Apply vendor patches immediately | 🔒 Isolate affected systems if patch unavailable | 🛡️ Enable additional monitoring/IDS rules</t>
        </is>
      </c>
      <c r="S984" s="187" t="inlineStr">
        <is>
          <t>CVE - IP enrichment n/a</t>
        </is>
      </c>
      <c r="T984" s="187" t="n">
        <v>0.0022</v>
      </c>
      <c r="U984" s="187" t="n">
        <v>0.4456</v>
      </c>
      <c r="V984" s="187" t="inlineStr">
        <is>
          <t>T1059:Command and Scripting Interpreter | T1190:Exploit Public-Facing Application | T1210:Exploitation of Remote Services</t>
        </is>
      </c>
      <c r="W984" s="187" t="n">
        <v>1</v>
      </c>
      <c r="X984" s="187" t="inlineStr">
        <is>
          <t>LOW (40%)</t>
        </is>
      </c>
      <c r="Y984" s="187" t="inlineStr">
        <is>
          <t>UNLIKELY</t>
        </is>
      </c>
      <c r="Z984" s="187" t="inlineStr">
        <is>
          <t>CHECK_VENDOR</t>
        </is>
      </c>
      <c r="AA984" s="187" t="inlineStr">
        <is>
          <t>https://nvd.nist.gov/vuln/detail/CVE-2026-25196</t>
        </is>
      </c>
      <c r="AB984" s="187" t="inlineStr">
        <is>
          <t>NONE</t>
        </is>
      </c>
      <c r="AC984" s="187" t="n">
        <v>0</v>
      </c>
      <c r="AD984" s="187" t="inlineStr"/>
    </row>
    <row r="985">
      <c r="A985" s="187" t="inlineStr">
        <is>
          <t>CVE</t>
        </is>
      </c>
      <c r="B985" s="187" t="inlineStr">
        <is>
          <t>CVE-2026-25721</t>
        </is>
      </c>
      <c r="C985" s="187"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985" s="187" t="n">
        <v>8</v>
      </c>
      <c r="E985" s="187" t="inlineStr">
        <is>
          <t>HIGH</t>
        </is>
      </c>
      <c r="F985" s="187" t="n">
        <v>2</v>
      </c>
      <c r="G985" s="187" t="n">
        <v>3</v>
      </c>
      <c r="H985" s="187" t="inlineStr">
        <is>
          <t>HIGH</t>
        </is>
      </c>
      <c r="I985" s="187" t="n">
        <v>14</v>
      </c>
      <c r="J985" s="187" t="inlineStr">
        <is>
          <t>NO</t>
        </is>
      </c>
      <c r="K985" s="187" t="inlineStr">
        <is>
          <t>https://nvd.nist.gov/vuln/detail/CVE-2026-25721</t>
        </is>
      </c>
      <c r="L985" s="187" t="inlineStr">
        <is>
          <t>2026-02-27 20:47</t>
        </is>
      </c>
      <c r="M985" s="187" t="inlineStr">
        <is>
          <t>CHECK_VENDOR</t>
        </is>
      </c>
      <c r="N985" s="187" t="inlineStr">
        <is>
          <t>See NVD references</t>
        </is>
      </c>
      <c r="O985" s="187" t="inlineStr">
        <is>
          <t>Apply vendor patches</t>
        </is>
      </c>
      <c r="P985" s="187" t="inlineStr">
        <is>
          <t>See CVE details</t>
        </is>
      </c>
      <c r="Q985" s="187" t="inlineStr">
        <is>
          <t>P3</t>
        </is>
      </c>
      <c r="R985" s="187" t="inlineStr">
        <is>
          <t>🚨 URGENT: Apply vendor patches immediately | 🔒 Isolate affected systems if patch unavailable | 🛡️ Enable additional monitoring/IDS rules</t>
        </is>
      </c>
      <c r="S985" s="187" t="inlineStr">
        <is>
          <t>CVE - IP enrichment n/a</t>
        </is>
      </c>
      <c r="T985" s="187" t="n">
        <v>0.0022</v>
      </c>
      <c r="U985" s="187" t="n">
        <v>0.4456</v>
      </c>
      <c r="V985" s="187" t="inlineStr">
        <is>
          <t>T1059:Command and Scripting Interpreter | T1190:Exploit Public-Facing Application | T1210:Exploitation of Remote Services</t>
        </is>
      </c>
      <c r="W985" s="187" t="n">
        <v>1</v>
      </c>
      <c r="X985" s="187" t="inlineStr">
        <is>
          <t>LOW (40%)</t>
        </is>
      </c>
      <c r="Y985" s="187" t="inlineStr">
        <is>
          <t>UNLIKELY</t>
        </is>
      </c>
      <c r="Z985" s="187" t="inlineStr">
        <is>
          <t>CHECK_VENDOR</t>
        </is>
      </c>
      <c r="AA985" s="187" t="inlineStr">
        <is>
          <t>https://nvd.nist.gov/vuln/detail/CVE-2026-25721</t>
        </is>
      </c>
      <c r="AB985" s="187" t="inlineStr">
        <is>
          <t>NONE</t>
        </is>
      </c>
      <c r="AC985" s="187" t="n">
        <v>0</v>
      </c>
      <c r="AD985" s="187" t="inlineStr"/>
    </row>
    <row r="986">
      <c r="A986" s="187" t="inlineStr">
        <is>
          <t>CVE</t>
        </is>
      </c>
      <c r="B986" s="187" t="inlineStr">
        <is>
          <t>CVE-2026-3037</t>
        </is>
      </c>
      <c r="C986" s="187"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986" s="187" t="n">
        <v>8</v>
      </c>
      <c r="E986" s="187" t="inlineStr">
        <is>
          <t>HIGH</t>
        </is>
      </c>
      <c r="F986" s="187" t="n">
        <v>2</v>
      </c>
      <c r="G986" s="187" t="n">
        <v>3</v>
      </c>
      <c r="H986" s="187" t="inlineStr">
        <is>
          <t>HIGH</t>
        </is>
      </c>
      <c r="I986" s="187" t="n">
        <v>14</v>
      </c>
      <c r="J986" s="187" t="inlineStr">
        <is>
          <t>NO</t>
        </is>
      </c>
      <c r="K986" s="187" t="inlineStr">
        <is>
          <t>https://nvd.nist.gov/vuln/detail/CVE-2026-3037</t>
        </is>
      </c>
      <c r="L986" s="187" t="inlineStr">
        <is>
          <t>2026-02-27 20:47</t>
        </is>
      </c>
      <c r="M986" s="187" t="inlineStr">
        <is>
          <t>CHECK_VENDOR</t>
        </is>
      </c>
      <c r="N986" s="187" t="inlineStr">
        <is>
          <t>See NVD references</t>
        </is>
      </c>
      <c r="O986" s="187" t="inlineStr">
        <is>
          <t>Apply vendor patches</t>
        </is>
      </c>
      <c r="P986" s="187" t="inlineStr">
        <is>
          <t>See CVE details</t>
        </is>
      </c>
      <c r="Q986" s="187" t="inlineStr">
        <is>
          <t>P3</t>
        </is>
      </c>
      <c r="R986" s="187" t="inlineStr">
        <is>
          <t>🚨 URGENT: Apply vendor patches immediately | 🔒 Isolate affected systems if patch unavailable | 🛡️ Enable additional monitoring/IDS rules</t>
        </is>
      </c>
      <c r="S986" s="187" t="inlineStr">
        <is>
          <t>CVE - IP enrichment n/a</t>
        </is>
      </c>
      <c r="T986" s="187" t="n">
        <v>0.0022</v>
      </c>
      <c r="U986" s="187" t="n">
        <v>0.4456</v>
      </c>
      <c r="V986" s="187" t="inlineStr">
        <is>
          <t>T1059:Command and Scripting Interpreter | T1190:Exploit Public-Facing Application | T1210:Exploitation of Remote Services</t>
        </is>
      </c>
      <c r="W986" s="187" t="n">
        <v>1</v>
      </c>
      <c r="X986" s="187" t="inlineStr">
        <is>
          <t>LOW (40%)</t>
        </is>
      </c>
      <c r="Y986" s="187" t="inlineStr">
        <is>
          <t>UNLIKELY</t>
        </is>
      </c>
      <c r="Z986" s="187" t="inlineStr">
        <is>
          <t>CHECK_VENDOR</t>
        </is>
      </c>
      <c r="AA986" s="187" t="inlineStr">
        <is>
          <t>https://nvd.nist.gov/vuln/detail/CVE-2026-3037</t>
        </is>
      </c>
      <c r="AB986" s="187" t="inlineStr">
        <is>
          <t>NONE</t>
        </is>
      </c>
      <c r="AC986" s="187" t="n">
        <v>0</v>
      </c>
      <c r="AD986" s="187" t="inlineStr"/>
    </row>
    <row r="987">
      <c r="A987" s="187" t="inlineStr">
        <is>
          <t>CVE</t>
        </is>
      </c>
      <c r="B987" s="187" t="inlineStr">
        <is>
          <t>CVE-2026-3274</t>
        </is>
      </c>
      <c r="C987" s="187"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987" s="187" t="n">
        <v>8.800000000000001</v>
      </c>
      <c r="E987" s="187" t="inlineStr">
        <is>
          <t>HIGH</t>
        </is>
      </c>
      <c r="F987" s="187" t="n">
        <v>2</v>
      </c>
      <c r="G987" s="187" t="n">
        <v>3</v>
      </c>
      <c r="H987" s="187" t="inlineStr">
        <is>
          <t>HIGH</t>
        </is>
      </c>
      <c r="I987" s="187" t="n">
        <v>14.8</v>
      </c>
      <c r="J987" s="187" t="inlineStr">
        <is>
          <t>NO</t>
        </is>
      </c>
      <c r="K987" s="187" t="inlineStr">
        <is>
          <t>https://nvd.nist.gov/vuln/detail/CVE-2026-3274</t>
        </is>
      </c>
      <c r="L987" s="187" t="inlineStr">
        <is>
          <t>2026-02-27 20:47</t>
        </is>
      </c>
      <c r="M987" s="187" t="inlineStr">
        <is>
          <t>CHECK_VENDOR</t>
        </is>
      </c>
      <c r="N987" s="187" t="inlineStr">
        <is>
          <t>See NVD references</t>
        </is>
      </c>
      <c r="O987" s="187" t="inlineStr">
        <is>
          <t>Apply vendor patches</t>
        </is>
      </c>
      <c r="P987" s="187" t="inlineStr">
        <is>
          <t>tenda f453 - | tenda f453_firmware 1.0.0.3</t>
        </is>
      </c>
      <c r="Q987" s="187" t="inlineStr">
        <is>
          <t>P3</t>
        </is>
      </c>
      <c r="R987" s="187" t="inlineStr">
        <is>
          <t>🚨 URGENT: Apply vendor patches immediately | 🔒 Isolate affected systems if patch unavailable | 🛡️ Enable additional monitoring/IDS rules</t>
        </is>
      </c>
      <c r="S987" s="187" t="inlineStr">
        <is>
          <t>CVE - IP enrichment n/a</t>
        </is>
      </c>
      <c r="T987" s="187" t="n">
        <v>0.0005</v>
      </c>
      <c r="U987" s="187" t="n">
        <v>0.1424</v>
      </c>
      <c r="V987" s="187" t="inlineStr">
        <is>
          <t>T1203:Exploitation for Client Execution</t>
        </is>
      </c>
      <c r="W987" s="187" t="n">
        <v>1</v>
      </c>
      <c r="X987" s="187" t="inlineStr">
        <is>
          <t>LOW (40%)</t>
        </is>
      </c>
      <c r="Y987" s="187" t="inlineStr">
        <is>
          <t>UNLIKELY</t>
        </is>
      </c>
      <c r="Z987" s="187" t="inlineStr">
        <is>
          <t>CHECK_VENDOR</t>
        </is>
      </c>
      <c r="AA987" s="187" t="inlineStr">
        <is>
          <t>https://nvd.nist.gov/vuln/detail/CVE-2026-3274</t>
        </is>
      </c>
      <c r="AB987" s="187" t="inlineStr">
        <is>
          <t>NONE</t>
        </is>
      </c>
      <c r="AC987" s="187" t="n">
        <v>0</v>
      </c>
      <c r="AD987" s="187" t="inlineStr"/>
    </row>
    <row r="988">
      <c r="A988" s="187" t="inlineStr">
        <is>
          <t>CVE</t>
        </is>
      </c>
      <c r="B988" s="187" t="inlineStr">
        <is>
          <t>CVE-2026-3275</t>
        </is>
      </c>
      <c r="C988" s="187"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988" s="187" t="n">
        <v>8.800000000000001</v>
      </c>
      <c r="E988" s="187" t="inlineStr">
        <is>
          <t>HIGH</t>
        </is>
      </c>
      <c r="F988" s="187" t="n">
        <v>2</v>
      </c>
      <c r="G988" s="187" t="n">
        <v>3</v>
      </c>
      <c r="H988" s="187" t="inlineStr">
        <is>
          <t>HIGH</t>
        </is>
      </c>
      <c r="I988" s="187" t="n">
        <v>14.8</v>
      </c>
      <c r="J988" s="187" t="inlineStr">
        <is>
          <t>NO</t>
        </is>
      </c>
      <c r="K988" s="187" t="inlineStr">
        <is>
          <t>https://nvd.nist.gov/vuln/detail/CVE-2026-3275</t>
        </is>
      </c>
      <c r="L988" s="187" t="inlineStr">
        <is>
          <t>2026-02-27 20:47</t>
        </is>
      </c>
      <c r="M988" s="187" t="inlineStr">
        <is>
          <t>CHECK_VENDOR</t>
        </is>
      </c>
      <c r="N988" s="187" t="inlineStr">
        <is>
          <t>See NVD references</t>
        </is>
      </c>
      <c r="O988" s="187" t="inlineStr">
        <is>
          <t>Apply vendor patches</t>
        </is>
      </c>
      <c r="P988" s="187" t="inlineStr">
        <is>
          <t>tenda f453 - | tenda f453_firmware 1.0.0.3</t>
        </is>
      </c>
      <c r="Q988" s="187" t="inlineStr">
        <is>
          <t>P3</t>
        </is>
      </c>
      <c r="R988" s="187" t="inlineStr">
        <is>
          <t>🚨 URGENT: Apply vendor patches immediately | 🔒 Isolate affected systems if patch unavailable | 🛡️ Enable additional monitoring/IDS rules</t>
        </is>
      </c>
      <c r="S988" s="187" t="inlineStr">
        <is>
          <t>CVE - IP enrichment n/a</t>
        </is>
      </c>
      <c r="T988" s="187" t="n">
        <v>0.0005</v>
      </c>
      <c r="U988" s="187" t="n">
        <v>0.1424</v>
      </c>
      <c r="V988" s="187" t="inlineStr">
        <is>
          <t>T1203:Exploitation for Client Execution</t>
        </is>
      </c>
      <c r="W988" s="187" t="n">
        <v>1</v>
      </c>
      <c r="X988" s="187" t="inlineStr">
        <is>
          <t>LOW (40%)</t>
        </is>
      </c>
      <c r="Y988" s="187" t="inlineStr">
        <is>
          <t>UNLIKELY</t>
        </is>
      </c>
      <c r="Z988" s="187" t="inlineStr">
        <is>
          <t>CHECK_VENDOR</t>
        </is>
      </c>
      <c r="AA988" s="187" t="inlineStr">
        <is>
          <t>https://nvd.nist.gov/vuln/detail/CVE-2026-3275</t>
        </is>
      </c>
      <c r="AB988" s="187" t="inlineStr">
        <is>
          <t>NONE</t>
        </is>
      </c>
      <c r="AC988" s="187" t="n">
        <v>0</v>
      </c>
      <c r="AD988" s="187" t="inlineStr"/>
    </row>
    <row r="989">
      <c r="A989" s="188" t="inlineStr">
        <is>
          <t>CVE</t>
        </is>
      </c>
      <c r="B989" s="188" t="inlineStr">
        <is>
          <t>CVE-2026-3281</t>
        </is>
      </c>
      <c r="C989" s="188"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989" s="188" t="n">
        <v>5.3</v>
      </c>
      <c r="E989" s="188" t="inlineStr">
        <is>
          <t>MEDIUM</t>
        </is>
      </c>
      <c r="F989" s="188" t="n">
        <v>2</v>
      </c>
      <c r="G989" s="188" t="n">
        <v>2</v>
      </c>
      <c r="H989" s="188" t="inlineStr">
        <is>
          <t>MEDIUM</t>
        </is>
      </c>
      <c r="I989" s="188" t="n">
        <v>9.300000000000001</v>
      </c>
      <c r="J989" s="188" t="inlineStr">
        <is>
          <t>NO</t>
        </is>
      </c>
      <c r="K989" s="188" t="inlineStr">
        <is>
          <t>https://nvd.nist.gov/vuln/detail/CVE-2026-3281</t>
        </is>
      </c>
      <c r="L989" s="188" t="inlineStr">
        <is>
          <t>2026-02-27 20:47</t>
        </is>
      </c>
      <c r="M989" s="188" t="inlineStr">
        <is>
          <t>CHECK_VENDOR</t>
        </is>
      </c>
      <c r="N989" s="188" t="inlineStr">
        <is>
          <t>See NVD references</t>
        </is>
      </c>
      <c r="O989" s="188" t="inlineStr">
        <is>
          <t>Apply vendor patches</t>
        </is>
      </c>
      <c r="P989" s="188" t="inlineStr">
        <is>
          <t>See CVE details</t>
        </is>
      </c>
      <c r="Q989" s="188" t="inlineStr">
        <is>
          <t>P4</t>
        </is>
      </c>
      <c r="R989" s="188" t="inlineStr">
        <is>
          <t>📅 Schedule patch deployment within 30 days | 🔍 Monitor for exploitation attempts</t>
        </is>
      </c>
      <c r="S989" s="188" t="inlineStr">
        <is>
          <t>CVE - IP enrichment n/a</t>
        </is>
      </c>
      <c r="T989" s="188" t="n">
        <v>0.0001</v>
      </c>
      <c r="U989" s="188" t="n">
        <v>0.0196</v>
      </c>
      <c r="V989" s="188" t="inlineStr">
        <is>
          <t>T1203:Exploitation for Client Execution</t>
        </is>
      </c>
      <c r="W989" s="188" t="n">
        <v>1</v>
      </c>
      <c r="X989" s="188" t="inlineStr">
        <is>
          <t>LOW (40%)</t>
        </is>
      </c>
      <c r="Y989" s="188" t="inlineStr">
        <is>
          <t>UNLIKELY</t>
        </is>
      </c>
      <c r="Z989" s="188" t="inlineStr">
        <is>
          <t>CHECK_VENDOR</t>
        </is>
      </c>
      <c r="AA989" s="188" t="inlineStr">
        <is>
          <t>https://nvd.nist.gov/vuln/detail/CVE-2026-3281</t>
        </is>
      </c>
      <c r="AB989" s="188" t="inlineStr">
        <is>
          <t>NONE</t>
        </is>
      </c>
      <c r="AC989" s="188" t="n">
        <v>0</v>
      </c>
      <c r="AD989" s="188" t="inlineStr"/>
    </row>
    <row r="990">
      <c r="A990" s="190" t="inlineStr">
        <is>
          <t>CVE</t>
        </is>
      </c>
      <c r="B990" s="190" t="inlineStr">
        <is>
          <t>CVE-2026-3282</t>
        </is>
      </c>
      <c r="C990" s="190"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990" s="190" t="n">
        <v>3.3</v>
      </c>
      <c r="E990" s="190" t="inlineStr">
        <is>
          <t>LOW</t>
        </is>
      </c>
      <c r="F990" s="190" t="n">
        <v>2</v>
      </c>
      <c r="G990" s="190" t="n">
        <v>1</v>
      </c>
      <c r="H990" s="190" t="inlineStr">
        <is>
          <t>LOW</t>
        </is>
      </c>
      <c r="I990" s="190" t="n">
        <v>5.3</v>
      </c>
      <c r="J990" s="190" t="inlineStr">
        <is>
          <t>NO</t>
        </is>
      </c>
      <c r="K990" s="190" t="inlineStr">
        <is>
          <t>https://nvd.nist.gov/vuln/detail/CVE-2026-3282</t>
        </is>
      </c>
      <c r="L990" s="190" t="inlineStr">
        <is>
          <t>2026-02-27 20:47</t>
        </is>
      </c>
      <c r="M990" s="190" t="inlineStr">
        <is>
          <t>CHECK_VENDOR</t>
        </is>
      </c>
      <c r="N990" s="190" t="inlineStr">
        <is>
          <t>See NVD references</t>
        </is>
      </c>
      <c r="O990" s="190" t="inlineStr">
        <is>
          <t>Apply vendor patches</t>
        </is>
      </c>
      <c r="P990" s="190" t="inlineStr">
        <is>
          <t>See CVE details</t>
        </is>
      </c>
      <c r="Q990" s="190" t="inlineStr">
        <is>
          <t>P4</t>
        </is>
      </c>
      <c r="R990" s="190" t="inlineStr">
        <is>
          <t>📅 Schedule patch deployment within 30 days | 🔍 Monitor for exploitation attempts</t>
        </is>
      </c>
      <c r="S990" s="190" t="inlineStr">
        <is>
          <t>CVE - IP enrichment n/a</t>
        </is>
      </c>
      <c r="T990" s="190" t="n">
        <v>0.0001</v>
      </c>
      <c r="U990" s="190" t="n">
        <v>0.0166</v>
      </c>
      <c r="V990" s="190" t="inlineStr">
        <is>
          <t>T1203:Exploitation for Client Execution</t>
        </is>
      </c>
      <c r="W990" s="190" t="n">
        <v>1</v>
      </c>
      <c r="X990" s="190" t="inlineStr">
        <is>
          <t>LOW (40%)</t>
        </is>
      </c>
      <c r="Y990" s="190" t="inlineStr">
        <is>
          <t>UNLIKELY</t>
        </is>
      </c>
      <c r="Z990" s="190" t="inlineStr">
        <is>
          <t>CHECK_VENDOR</t>
        </is>
      </c>
      <c r="AA990" s="190" t="inlineStr">
        <is>
          <t>https://nvd.nist.gov/vuln/detail/CVE-2026-3282</t>
        </is>
      </c>
      <c r="AB990" s="190" t="inlineStr">
        <is>
          <t>NONE</t>
        </is>
      </c>
      <c r="AC990" s="190" t="n">
        <v>0</v>
      </c>
      <c r="AD990" s="190" t="inlineStr"/>
    </row>
    <row r="991">
      <c r="A991" s="190" t="inlineStr">
        <is>
          <t>CVE</t>
        </is>
      </c>
      <c r="B991" s="190" t="inlineStr">
        <is>
          <t>CVE-2026-3283</t>
        </is>
      </c>
      <c r="C991" s="190"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991" s="190" t="n">
        <v>3.3</v>
      </c>
      <c r="E991" s="190" t="inlineStr">
        <is>
          <t>LOW</t>
        </is>
      </c>
      <c r="F991" s="190" t="n">
        <v>2</v>
      </c>
      <c r="G991" s="190" t="n">
        <v>1</v>
      </c>
      <c r="H991" s="190" t="inlineStr">
        <is>
          <t>LOW</t>
        </is>
      </c>
      <c r="I991" s="190" t="n">
        <v>5.3</v>
      </c>
      <c r="J991" s="190" t="inlineStr">
        <is>
          <t>NO</t>
        </is>
      </c>
      <c r="K991" s="190" t="inlineStr">
        <is>
          <t>https://nvd.nist.gov/vuln/detail/CVE-2026-3283</t>
        </is>
      </c>
      <c r="L991" s="190" t="inlineStr">
        <is>
          <t>2026-02-27 20:47</t>
        </is>
      </c>
      <c r="M991" s="190" t="inlineStr">
        <is>
          <t>CHECK_VENDOR</t>
        </is>
      </c>
      <c r="N991" s="190" t="inlineStr">
        <is>
          <t>See NVD references</t>
        </is>
      </c>
      <c r="O991" s="190" t="inlineStr">
        <is>
          <t>Apply vendor patches</t>
        </is>
      </c>
      <c r="P991" s="190" t="inlineStr">
        <is>
          <t>See CVE details</t>
        </is>
      </c>
      <c r="Q991" s="190" t="inlineStr">
        <is>
          <t>P4</t>
        </is>
      </c>
      <c r="R991" s="190" t="inlineStr">
        <is>
          <t>📅 Schedule patch deployment within 30 days | 🔍 Monitor for exploitation attempts</t>
        </is>
      </c>
      <c r="S991" s="190" t="inlineStr">
        <is>
          <t>CVE - IP enrichment n/a</t>
        </is>
      </c>
      <c r="T991" s="190" t="n">
        <v>0.0001</v>
      </c>
      <c r="U991" s="190" t="n">
        <v>0.0166</v>
      </c>
      <c r="V991" s="190" t="inlineStr">
        <is>
          <t>T1203:Exploitation for Client Execution</t>
        </is>
      </c>
      <c r="W991" s="190" t="n">
        <v>1</v>
      </c>
      <c r="X991" s="190" t="inlineStr">
        <is>
          <t>LOW (40%)</t>
        </is>
      </c>
      <c r="Y991" s="190" t="inlineStr">
        <is>
          <t>UNLIKELY</t>
        </is>
      </c>
      <c r="Z991" s="190" t="inlineStr">
        <is>
          <t>CHECK_VENDOR</t>
        </is>
      </c>
      <c r="AA991" s="190" t="inlineStr">
        <is>
          <t>https://nvd.nist.gov/vuln/detail/CVE-2026-3283</t>
        </is>
      </c>
      <c r="AB991" s="190" t="inlineStr">
        <is>
          <t>NONE</t>
        </is>
      </c>
      <c r="AC991" s="190" t="n">
        <v>0</v>
      </c>
      <c r="AD991" s="190" t="inlineStr"/>
    </row>
    <row r="992">
      <c r="A992" s="190" t="inlineStr">
        <is>
          <t>CVE</t>
        </is>
      </c>
      <c r="B992" s="190" t="inlineStr">
        <is>
          <t>CVE-2026-3284</t>
        </is>
      </c>
      <c r="C992" s="190"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992" s="190" t="n">
        <v>3.3</v>
      </c>
      <c r="E992" s="190" t="inlineStr">
        <is>
          <t>LOW</t>
        </is>
      </c>
      <c r="F992" s="190" t="n">
        <v>2</v>
      </c>
      <c r="G992" s="190" t="n">
        <v>1</v>
      </c>
      <c r="H992" s="190" t="inlineStr">
        <is>
          <t>LOW</t>
        </is>
      </c>
      <c r="I992" s="190" t="n">
        <v>5.3</v>
      </c>
      <c r="J992" s="190" t="inlineStr">
        <is>
          <t>NO</t>
        </is>
      </c>
      <c r="K992" s="190" t="inlineStr">
        <is>
          <t>https://nvd.nist.gov/vuln/detail/CVE-2026-3284</t>
        </is>
      </c>
      <c r="L992" s="190" t="inlineStr">
        <is>
          <t>2026-02-27 20:47</t>
        </is>
      </c>
      <c r="M992" s="190" t="inlineStr">
        <is>
          <t>CHECK_VENDOR</t>
        </is>
      </c>
      <c r="N992" s="190" t="inlineStr">
        <is>
          <t>See NVD references</t>
        </is>
      </c>
      <c r="O992" s="190" t="inlineStr">
        <is>
          <t>Apply vendor patches</t>
        </is>
      </c>
      <c r="P992" s="190" t="inlineStr">
        <is>
          <t>See CVE details</t>
        </is>
      </c>
      <c r="Q992" s="190" t="inlineStr">
        <is>
          <t>P4</t>
        </is>
      </c>
      <c r="R992" s="190" t="inlineStr">
        <is>
          <t>📅 Schedule patch deployment within 30 days | 🔍 Monitor for exploitation attempts</t>
        </is>
      </c>
      <c r="S992" s="190" t="inlineStr">
        <is>
          <t>CVE - IP enrichment n/a</t>
        </is>
      </c>
      <c r="T992" s="190" t="n">
        <v>0.0001</v>
      </c>
      <c r="U992" s="190" t="n">
        <v>0.0197</v>
      </c>
      <c r="V992" s="190" t="inlineStr">
        <is>
          <t>T1203:Exploitation for Client Execution</t>
        </is>
      </c>
      <c r="W992" s="190" t="n">
        <v>1</v>
      </c>
      <c r="X992" s="190" t="inlineStr">
        <is>
          <t>LOW (40%)</t>
        </is>
      </c>
      <c r="Y992" s="190" t="inlineStr">
        <is>
          <t>UNLIKELY</t>
        </is>
      </c>
      <c r="Z992" s="190" t="inlineStr">
        <is>
          <t>CHECK_VENDOR</t>
        </is>
      </c>
      <c r="AA992" s="190" t="inlineStr">
        <is>
          <t>https://nvd.nist.gov/vuln/detail/CVE-2026-3284</t>
        </is>
      </c>
      <c r="AB992" s="190" t="inlineStr">
        <is>
          <t>NONE</t>
        </is>
      </c>
      <c r="AC992" s="190" t="n">
        <v>0</v>
      </c>
      <c r="AD992" s="190" t="inlineStr"/>
    </row>
    <row r="993">
      <c r="A993" s="190" t="inlineStr">
        <is>
          <t>CVE</t>
        </is>
      </c>
      <c r="B993" s="190" t="inlineStr">
        <is>
          <t>CVE-2026-3285</t>
        </is>
      </c>
      <c r="C993" s="190"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993" s="190" t="n">
        <v>3.3</v>
      </c>
      <c r="E993" s="190" t="inlineStr">
        <is>
          <t>LOW</t>
        </is>
      </c>
      <c r="F993" s="190" t="n">
        <v>2</v>
      </c>
      <c r="G993" s="190" t="n">
        <v>1</v>
      </c>
      <c r="H993" s="190" t="inlineStr">
        <is>
          <t>LOW</t>
        </is>
      </c>
      <c r="I993" s="190" t="n">
        <v>5.3</v>
      </c>
      <c r="J993" s="190" t="inlineStr">
        <is>
          <t>NO</t>
        </is>
      </c>
      <c r="K993" s="190" t="inlineStr">
        <is>
          <t>https://nvd.nist.gov/vuln/detail/CVE-2026-3285</t>
        </is>
      </c>
      <c r="L993" s="190" t="inlineStr">
        <is>
          <t>2026-02-27 20:47</t>
        </is>
      </c>
      <c r="M993" s="190" t="inlineStr">
        <is>
          <t>CHECK_VENDOR</t>
        </is>
      </c>
      <c r="N993" s="190" t="inlineStr">
        <is>
          <t>See NVD references</t>
        </is>
      </c>
      <c r="O993" s="190" t="inlineStr">
        <is>
          <t>Apply vendor patches</t>
        </is>
      </c>
      <c r="P993" s="190" t="inlineStr">
        <is>
          <t>See CVE details</t>
        </is>
      </c>
      <c r="Q993" s="190" t="inlineStr">
        <is>
          <t>P4</t>
        </is>
      </c>
      <c r="R993" s="190" t="inlineStr">
        <is>
          <t>📅 Schedule patch deployment within 30 days | 🔍 Monitor for exploitation attempts</t>
        </is>
      </c>
      <c r="S993" s="190" t="inlineStr">
        <is>
          <t>CVE - IP enrichment n/a</t>
        </is>
      </c>
      <c r="T993" s="190" t="n">
        <v>0.0001</v>
      </c>
      <c r="U993" s="190" t="n">
        <v>0.0166</v>
      </c>
      <c r="V993" s="190" t="inlineStr">
        <is>
          <t>T1203:Exploitation for Client Execution</t>
        </is>
      </c>
      <c r="W993" s="190" t="n">
        <v>1</v>
      </c>
      <c r="X993" s="190" t="inlineStr">
        <is>
          <t>LOW (40%)</t>
        </is>
      </c>
      <c r="Y993" s="190" t="inlineStr">
        <is>
          <t>UNLIKELY</t>
        </is>
      </c>
      <c r="Z993" s="190" t="inlineStr">
        <is>
          <t>CHECK_VENDOR</t>
        </is>
      </c>
      <c r="AA993" s="190" t="inlineStr">
        <is>
          <t>https://nvd.nist.gov/vuln/detail/CVE-2026-3285</t>
        </is>
      </c>
      <c r="AB993" s="190" t="inlineStr">
        <is>
          <t>NONE</t>
        </is>
      </c>
      <c r="AC993" s="190" t="n">
        <v>0</v>
      </c>
      <c r="AD993" s="190" t="inlineStr"/>
    </row>
    <row r="994">
      <c r="A994" s="189" t="inlineStr">
        <is>
          <t>CVE</t>
        </is>
      </c>
      <c r="B994" s="189" t="inlineStr">
        <is>
          <t>CVE-2026-28363</t>
        </is>
      </c>
      <c r="C994" s="189"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994" s="189" t="n">
        <v>9.9</v>
      </c>
      <c r="E994" s="189" t="inlineStr">
        <is>
          <t>CRITICAL</t>
        </is>
      </c>
      <c r="F994" s="189" t="n">
        <v>2</v>
      </c>
      <c r="G994" s="189" t="n">
        <v>3</v>
      </c>
      <c r="H994" s="189" t="inlineStr">
        <is>
          <t>HIGH</t>
        </is>
      </c>
      <c r="I994" s="189" t="n">
        <v>15.9</v>
      </c>
      <c r="J994" s="189" t="inlineStr">
        <is>
          <t>NO</t>
        </is>
      </c>
      <c r="K994" s="189" t="inlineStr">
        <is>
          <t>https://nvd.nist.gov/vuln/detail/CVE-2026-28363</t>
        </is>
      </c>
      <c r="L994" s="189" t="inlineStr">
        <is>
          <t>2026-02-27 20:47</t>
        </is>
      </c>
      <c r="M994" s="189" t="inlineStr">
        <is>
          <t>CHECK_VENDOR</t>
        </is>
      </c>
      <c r="N994" s="189" t="inlineStr">
        <is>
          <t>See NVD references</t>
        </is>
      </c>
      <c r="O994" s="189" t="inlineStr">
        <is>
          <t>Apply vendor patches</t>
        </is>
      </c>
      <c r="P994" s="189" t="inlineStr">
        <is>
          <t>See CVE details</t>
        </is>
      </c>
      <c r="Q994" s="189" t="inlineStr">
        <is>
          <t>P3</t>
        </is>
      </c>
      <c r="R994" s="189" t="inlineStr">
        <is>
          <t>🚨 URGENT: Apply vendor patches immediately | 🔒 Isolate affected systems if patch unavailable | 🛡️ Enable additional monitoring/IDS rules</t>
        </is>
      </c>
      <c r="S994" s="189" t="inlineStr">
        <is>
          <t>CVE - IP enrichment n/a</t>
        </is>
      </c>
      <c r="T994" s="189" t="n">
        <v>0.0008</v>
      </c>
      <c r="U994" s="189" t="n">
        <v>0.2442</v>
      </c>
      <c r="V994" s="189" t="inlineStr">
        <is>
          <t>T1190:Exploit Public-Facing Application</t>
        </is>
      </c>
      <c r="W994" s="189" t="n">
        <v>1</v>
      </c>
      <c r="X994" s="189" t="inlineStr">
        <is>
          <t>LOW (40%)</t>
        </is>
      </c>
      <c r="Y994" s="189" t="inlineStr">
        <is>
          <t>UNLIKELY</t>
        </is>
      </c>
      <c r="Z994" s="189" t="inlineStr">
        <is>
          <t>CHECK_VENDOR</t>
        </is>
      </c>
      <c r="AA994" s="189" t="inlineStr">
        <is>
          <t>https://nvd.nist.gov/vuln/detail/CVE-2026-28363</t>
        </is>
      </c>
      <c r="AB994" s="189" t="inlineStr">
        <is>
          <t>NONE</t>
        </is>
      </c>
      <c r="AC994" s="189" t="n">
        <v>0</v>
      </c>
      <c r="AD994" s="189" t="inlineStr"/>
    </row>
    <row r="995">
      <c r="A995" s="187" t="inlineStr">
        <is>
          <t>CVE</t>
        </is>
      </c>
      <c r="B995" s="187" t="inlineStr">
        <is>
          <t>CVE-2026-28364</t>
        </is>
      </c>
      <c r="C995" s="187"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995" s="187" t="n">
        <v>7.9</v>
      </c>
      <c r="E995" s="187" t="inlineStr">
        <is>
          <t>HIGH</t>
        </is>
      </c>
      <c r="F995" s="187" t="n">
        <v>2</v>
      </c>
      <c r="G995" s="187" t="n">
        <v>3</v>
      </c>
      <c r="H995" s="187" t="inlineStr">
        <is>
          <t>HIGH</t>
        </is>
      </c>
      <c r="I995" s="187" t="n">
        <v>13.9</v>
      </c>
      <c r="J995" s="187" t="inlineStr">
        <is>
          <t>NO</t>
        </is>
      </c>
      <c r="K995" s="187" t="inlineStr">
        <is>
          <t>https://nvd.nist.gov/vuln/detail/CVE-2026-28364</t>
        </is>
      </c>
      <c r="L995" s="187" t="inlineStr">
        <is>
          <t>2026-02-27 20:47</t>
        </is>
      </c>
      <c r="M995" s="187" t="inlineStr">
        <is>
          <t>CHECK_VENDOR</t>
        </is>
      </c>
      <c r="N995" s="187" t="inlineStr">
        <is>
          <t>See NVD references</t>
        </is>
      </c>
      <c r="O995" s="187" t="inlineStr">
        <is>
          <t>Apply vendor patches</t>
        </is>
      </c>
      <c r="P995" s="187" t="inlineStr">
        <is>
          <t>See CVE details</t>
        </is>
      </c>
      <c r="Q995" s="187" t="inlineStr">
        <is>
          <t>P3</t>
        </is>
      </c>
      <c r="R995" s="187" t="inlineStr">
        <is>
          <t>🚨 URGENT: Apply vendor patches immediately | 🔒 Isolate affected systems if patch unavailable | 🛡️ Enable additional monitoring/IDS rules</t>
        </is>
      </c>
      <c r="S995" s="187" t="inlineStr">
        <is>
          <t>CVE - IP enrichment n/a</t>
        </is>
      </c>
      <c r="T995" s="187" t="n">
        <v>0.0004</v>
      </c>
      <c r="U995" s="187" t="n">
        <v>0.1136</v>
      </c>
      <c r="V995" s="187" t="inlineStr">
        <is>
          <t>T1190:Exploit Public-Facing Application | T1210:Exploitation of Remote Services | T1059:Command and Scripting Interpreter</t>
        </is>
      </c>
      <c r="W995" s="187" t="n">
        <v>1</v>
      </c>
      <c r="X995" s="187" t="inlineStr">
        <is>
          <t>LOW (40%)</t>
        </is>
      </c>
      <c r="Y995" s="187" t="inlineStr">
        <is>
          <t>UNLIKELY</t>
        </is>
      </c>
      <c r="Z995" s="187" t="inlineStr">
        <is>
          <t>CHECK_VENDOR</t>
        </is>
      </c>
      <c r="AA995" s="187" t="inlineStr">
        <is>
          <t>https://nvd.nist.gov/vuln/detail/CVE-2026-28364</t>
        </is>
      </c>
      <c r="AB995" s="187" t="inlineStr">
        <is>
          <t>NONE</t>
        </is>
      </c>
      <c r="AC995" s="187" t="n">
        <v>0</v>
      </c>
      <c r="AD995" s="187" t="inlineStr"/>
    </row>
    <row r="996">
      <c r="A996" s="187" t="inlineStr">
        <is>
          <t>CVE</t>
        </is>
      </c>
      <c r="B996" s="187" t="inlineStr">
        <is>
          <t>CVE-2026-2428</t>
        </is>
      </c>
      <c r="C996" s="187"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996" s="187" t="n">
        <v>7.5</v>
      </c>
      <c r="E996" s="187" t="inlineStr">
        <is>
          <t>HIGH</t>
        </is>
      </c>
      <c r="F996" s="187" t="n">
        <v>2</v>
      </c>
      <c r="G996" s="187" t="n">
        <v>3</v>
      </c>
      <c r="H996" s="187" t="inlineStr">
        <is>
          <t>HIGH</t>
        </is>
      </c>
      <c r="I996" s="187" t="n">
        <v>13.5</v>
      </c>
      <c r="J996" s="187" t="inlineStr">
        <is>
          <t>NO</t>
        </is>
      </c>
      <c r="K996" s="187" t="inlineStr">
        <is>
          <t>https://nvd.nist.gov/vuln/detail/CVE-2026-2428</t>
        </is>
      </c>
      <c r="L996" s="187" t="inlineStr">
        <is>
          <t>2026-02-27 20:47</t>
        </is>
      </c>
      <c r="M996" s="187" t="inlineStr">
        <is>
          <t>CHECK_VENDOR</t>
        </is>
      </c>
      <c r="N996" s="187" t="inlineStr">
        <is>
          <t>See NVD references</t>
        </is>
      </c>
      <c r="O996" s="187" t="inlineStr">
        <is>
          <t>Apply vendor patches</t>
        </is>
      </c>
      <c r="P996" s="187" t="inlineStr">
        <is>
          <t>See CVE details</t>
        </is>
      </c>
      <c r="Q996" s="187" t="inlineStr">
        <is>
          <t>P3</t>
        </is>
      </c>
      <c r="R996" s="187" t="inlineStr">
        <is>
          <t>🚨 URGENT: Apply vendor patches immediately | 🔒 Isolate affected systems if patch unavailable | 🛡️ Enable additional monitoring/IDS rules</t>
        </is>
      </c>
      <c r="S996" s="187" t="inlineStr">
        <is>
          <t>CVE - IP enrichment n/a</t>
        </is>
      </c>
      <c r="T996" s="187" t="n">
        <v>0.0002</v>
      </c>
      <c r="U996" s="187" t="n">
        <v>0.0405</v>
      </c>
      <c r="V996" s="187" t="inlineStr">
        <is>
          <t>T1190:Exploit Public-Facing Application</t>
        </is>
      </c>
      <c r="W996" s="187" t="n">
        <v>1</v>
      </c>
      <c r="X996" s="187" t="inlineStr">
        <is>
          <t>LOW (40%)</t>
        </is>
      </c>
      <c r="Y996" s="187" t="inlineStr">
        <is>
          <t>UNLIKELY</t>
        </is>
      </c>
      <c r="Z996" s="187" t="inlineStr">
        <is>
          <t>CHECK_VENDOR</t>
        </is>
      </c>
      <c r="AA996" s="187" t="inlineStr">
        <is>
          <t>https://nvd.nist.gov/vuln/detail/CVE-2026-2428</t>
        </is>
      </c>
      <c r="AB996" s="187" t="inlineStr">
        <is>
          <t>NONE</t>
        </is>
      </c>
      <c r="AC996" s="187" t="n">
        <v>0</v>
      </c>
      <c r="AD996" s="187" t="inlineStr"/>
    </row>
    <row r="997">
      <c r="A997" s="188" t="inlineStr">
        <is>
          <t>CVE</t>
        </is>
      </c>
      <c r="B997" s="188" t="inlineStr">
        <is>
          <t>CVE-2026-3286</t>
        </is>
      </c>
      <c r="C997" s="188"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997" s="188" t="n">
        <v>6.3</v>
      </c>
      <c r="E997" s="188" t="inlineStr">
        <is>
          <t>MEDIUM</t>
        </is>
      </c>
      <c r="F997" s="188" t="n">
        <v>2</v>
      </c>
      <c r="G997" s="188" t="n">
        <v>2</v>
      </c>
      <c r="H997" s="188" t="inlineStr">
        <is>
          <t>MEDIUM</t>
        </is>
      </c>
      <c r="I997" s="188" t="n">
        <v>10.3</v>
      </c>
      <c r="J997" s="188" t="inlineStr">
        <is>
          <t>NO</t>
        </is>
      </c>
      <c r="K997" s="188" t="inlineStr">
        <is>
          <t>https://nvd.nist.gov/vuln/detail/CVE-2026-3286</t>
        </is>
      </c>
      <c r="L997" s="188" t="inlineStr">
        <is>
          <t>2026-02-27 20:47</t>
        </is>
      </c>
      <c r="M997" s="188" t="inlineStr">
        <is>
          <t>CHECK_VENDOR</t>
        </is>
      </c>
      <c r="N997" s="188" t="inlineStr">
        <is>
          <t>See NVD references</t>
        </is>
      </c>
      <c r="O997" s="188" t="inlineStr">
        <is>
          <t>Apply vendor patches</t>
        </is>
      </c>
      <c r="P997" s="188" t="inlineStr">
        <is>
          <t>See CVE details</t>
        </is>
      </c>
      <c r="Q997" s="188" t="inlineStr">
        <is>
          <t>P4</t>
        </is>
      </c>
      <c r="R997" s="188" t="inlineStr">
        <is>
          <t>📅 Schedule patch deployment within 30 days | 🔍 Monitor for exploitation attempts</t>
        </is>
      </c>
      <c r="S997" s="188" t="inlineStr">
        <is>
          <t>CVE - IP enrichment n/a</t>
        </is>
      </c>
      <c r="T997" s="188" t="n">
        <v>0.0003</v>
      </c>
      <c r="U997" s="188" t="n">
        <v>0.0959</v>
      </c>
      <c r="V997" s="188" t="inlineStr">
        <is>
          <t>T1090:Proxy</t>
        </is>
      </c>
      <c r="W997" s="188" t="n">
        <v>1</v>
      </c>
      <c r="X997" s="188" t="inlineStr">
        <is>
          <t>LOW (40%)</t>
        </is>
      </c>
      <c r="Y997" s="188" t="inlineStr">
        <is>
          <t>UNLIKELY</t>
        </is>
      </c>
      <c r="Z997" s="188" t="inlineStr">
        <is>
          <t>CHECK_VENDOR</t>
        </is>
      </c>
      <c r="AA997" s="188" t="inlineStr">
        <is>
          <t>https://nvd.nist.gov/vuln/detail/CVE-2026-3286</t>
        </is>
      </c>
      <c r="AB997" s="188" t="inlineStr">
        <is>
          <t>NONE</t>
        </is>
      </c>
      <c r="AC997" s="188" t="n">
        <v>0</v>
      </c>
      <c r="AD997" s="188" t="inlineStr"/>
    </row>
    <row r="998">
      <c r="A998" s="187" t="inlineStr">
        <is>
          <t>CVE</t>
        </is>
      </c>
      <c r="B998" s="187" t="inlineStr">
        <is>
          <t>CVE-2026-1442</t>
        </is>
      </c>
      <c r="C998" s="187"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998" s="187" t="n">
        <v>7.8</v>
      </c>
      <c r="E998" s="187" t="inlineStr">
        <is>
          <t>HIGH</t>
        </is>
      </c>
      <c r="F998" s="187" t="n">
        <v>2</v>
      </c>
      <c r="G998" s="187" t="n">
        <v>3</v>
      </c>
      <c r="H998" s="187" t="inlineStr">
        <is>
          <t>HIGH</t>
        </is>
      </c>
      <c r="I998" s="187" t="n">
        <v>13.8</v>
      </c>
      <c r="J998" s="187" t="inlineStr">
        <is>
          <t>NO</t>
        </is>
      </c>
      <c r="K998" s="187" t="inlineStr">
        <is>
          <t>https://nvd.nist.gov/vuln/detail/CVE-2026-1442</t>
        </is>
      </c>
      <c r="L998" s="187" t="inlineStr">
        <is>
          <t>2026-02-27 20:47</t>
        </is>
      </c>
      <c r="M998" s="187" t="inlineStr">
        <is>
          <t>CHECK_VENDOR</t>
        </is>
      </c>
      <c r="N998" s="187" t="inlineStr">
        <is>
          <t>See NVD references</t>
        </is>
      </c>
      <c r="O998" s="187" t="inlineStr">
        <is>
          <t>Apply vendor patches</t>
        </is>
      </c>
      <c r="P998" s="187" t="inlineStr">
        <is>
          <t>See CVE details</t>
        </is>
      </c>
      <c r="Q998" s="187" t="inlineStr">
        <is>
          <t>P3</t>
        </is>
      </c>
      <c r="R998" s="187" t="inlineStr">
        <is>
          <t>🚨 URGENT: Apply vendor patches immediately | 🔒 Isolate affected systems if patch unavailable | 🛡️ Enable additional monitoring/IDS rules</t>
        </is>
      </c>
      <c r="S998" s="187" t="inlineStr">
        <is>
          <t>CVE - IP enrichment n/a</t>
        </is>
      </c>
      <c r="T998" s="187" t="n">
        <v>0.0001</v>
      </c>
      <c r="U998" s="187" t="n">
        <v>0.0052</v>
      </c>
      <c r="V998" s="187" t="inlineStr">
        <is>
          <t>T1190:Exploit Public-Facing Application</t>
        </is>
      </c>
      <c r="W998" s="187" t="n">
        <v>1</v>
      </c>
      <c r="X998" s="187" t="inlineStr">
        <is>
          <t>LOW (40%)</t>
        </is>
      </c>
      <c r="Y998" s="187" t="inlineStr">
        <is>
          <t>UNLIKELY</t>
        </is>
      </c>
      <c r="Z998" s="187" t="inlineStr">
        <is>
          <t>CHECK_VENDOR</t>
        </is>
      </c>
      <c r="AA998" s="187" t="inlineStr">
        <is>
          <t>https://nvd.nist.gov/vuln/detail/CVE-2026-1442</t>
        </is>
      </c>
      <c r="AB998" s="187" t="inlineStr">
        <is>
          <t>NONE</t>
        </is>
      </c>
      <c r="AC998" s="187" t="n">
        <v>0</v>
      </c>
      <c r="AD998" s="187" t="inlineStr"/>
    </row>
    <row r="999">
      <c r="A999" s="188" t="inlineStr">
        <is>
          <t>CVE</t>
        </is>
      </c>
      <c r="B999" s="188" t="inlineStr">
        <is>
          <t>CVE-2026-1558</t>
        </is>
      </c>
      <c r="C999" s="188"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999" s="188" t="n">
        <v>5.3</v>
      </c>
      <c r="E999" s="188" t="inlineStr">
        <is>
          <t>MEDIUM</t>
        </is>
      </c>
      <c r="F999" s="188" t="n">
        <v>2</v>
      </c>
      <c r="G999" s="188" t="n">
        <v>2</v>
      </c>
      <c r="H999" s="188" t="inlineStr">
        <is>
          <t>MEDIUM</t>
        </is>
      </c>
      <c r="I999" s="188" t="n">
        <v>9.300000000000001</v>
      </c>
      <c r="J999" s="188" t="inlineStr">
        <is>
          <t>NO</t>
        </is>
      </c>
      <c r="K999" s="188" t="inlineStr">
        <is>
          <t>https://nvd.nist.gov/vuln/detail/CVE-2026-1558</t>
        </is>
      </c>
      <c r="L999" s="188" t="inlineStr">
        <is>
          <t>2026-02-27 20:47</t>
        </is>
      </c>
      <c r="M999" s="188" t="inlineStr">
        <is>
          <t>CHECK_VENDOR</t>
        </is>
      </c>
      <c r="N999" s="188" t="inlineStr">
        <is>
          <t>See NVD references</t>
        </is>
      </c>
      <c r="O999" s="188" t="inlineStr">
        <is>
          <t>Apply vendor patches</t>
        </is>
      </c>
      <c r="P999" s="188" t="inlineStr">
        <is>
          <t>See CVE details</t>
        </is>
      </c>
      <c r="Q999" s="188" t="inlineStr">
        <is>
          <t>P4</t>
        </is>
      </c>
      <c r="R999" s="188" t="inlineStr">
        <is>
          <t>📅 Schedule patch deployment within 30 days | 🔍 Monitor for exploitation attempts</t>
        </is>
      </c>
      <c r="S999" s="188" t="inlineStr">
        <is>
          <t>CVE - IP enrichment n/a</t>
        </is>
      </c>
      <c r="T999" s="188" t="n">
        <v>0.0005</v>
      </c>
      <c r="U999" s="188" t="n">
        <v>0.1473</v>
      </c>
      <c r="V999" s="188" t="inlineStr">
        <is>
          <t>T1190:Exploit Public-Facing Application</t>
        </is>
      </c>
      <c r="W999" s="188" t="n">
        <v>1</v>
      </c>
      <c r="X999" s="188" t="inlineStr">
        <is>
          <t>LOW (40%)</t>
        </is>
      </c>
      <c r="Y999" s="188" t="inlineStr">
        <is>
          <t>UNLIKELY</t>
        </is>
      </c>
      <c r="Z999" s="188" t="inlineStr">
        <is>
          <t>CHECK_VENDOR</t>
        </is>
      </c>
      <c r="AA999" s="188" t="inlineStr">
        <is>
          <t>https://nvd.nist.gov/vuln/detail/CVE-2026-1558</t>
        </is>
      </c>
      <c r="AB999" s="188" t="inlineStr">
        <is>
          <t>NONE</t>
        </is>
      </c>
      <c r="AC999" s="188" t="n">
        <v>0</v>
      </c>
      <c r="AD999" s="188" t="inlineStr"/>
    </row>
    <row r="1000">
      <c r="A1000" s="189" t="inlineStr">
        <is>
          <t>CVE</t>
        </is>
      </c>
      <c r="B1000" s="189" t="inlineStr">
        <is>
          <t>CVE-2026-28370</t>
        </is>
      </c>
      <c r="C1000" s="189"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1000" s="189" t="n">
        <v>9.1</v>
      </c>
      <c r="E1000" s="189" t="inlineStr">
        <is>
          <t>CRITICAL</t>
        </is>
      </c>
      <c r="F1000" s="189" t="n">
        <v>2</v>
      </c>
      <c r="G1000" s="189" t="n">
        <v>3</v>
      </c>
      <c r="H1000" s="189" t="inlineStr">
        <is>
          <t>HIGH</t>
        </is>
      </c>
      <c r="I1000" s="189" t="n">
        <v>15.1</v>
      </c>
      <c r="J1000" s="189" t="inlineStr">
        <is>
          <t>NO</t>
        </is>
      </c>
      <c r="K1000" s="189" t="inlineStr">
        <is>
          <t>https://nvd.nist.gov/vuln/detail/CVE-2026-28370</t>
        </is>
      </c>
      <c r="L1000" s="189" t="inlineStr">
        <is>
          <t>2026-02-27 20:47</t>
        </is>
      </c>
      <c r="M1000" s="189" t="inlineStr">
        <is>
          <t>YES</t>
        </is>
      </c>
      <c r="N1000" s="189" t="inlineStr">
        <is>
          <t>https://storyboard.openstack.org/#%21/story/2011539</t>
        </is>
      </c>
      <c r="O1000" s="189" t="inlineStr">
        <is>
          <t>Apply vendor patches</t>
        </is>
      </c>
      <c r="P1000" s="189" t="inlineStr">
        <is>
          <t>openstack vitrage *</t>
        </is>
      </c>
      <c r="Q1000" s="189" t="inlineStr">
        <is>
          <t>P3</t>
        </is>
      </c>
      <c r="R1000" s="189" t="inlineStr">
        <is>
          <t>🚨 URGENT: Apply vendor patches immediately | 🔒 Isolate affected systems if patch unavailable | 🛡️ Enable additional monitoring/IDS rules</t>
        </is>
      </c>
      <c r="S1000" s="189" t="inlineStr">
        <is>
          <t>CVE - IP enrichment n/a</t>
        </is>
      </c>
      <c r="T1000" s="189" t="n">
        <v>0.0008</v>
      </c>
      <c r="U1000" s="189" t="n">
        <v>0.2462</v>
      </c>
      <c r="V1000" s="189" t="inlineStr">
        <is>
          <t>T1190:Exploit Public-Facing Application</t>
        </is>
      </c>
      <c r="W1000" s="189" t="n">
        <v>1</v>
      </c>
      <c r="X1000" s="189" t="inlineStr">
        <is>
          <t>LOW (40%)</t>
        </is>
      </c>
      <c r="Y1000" s="189" t="inlineStr">
        <is>
          <t>UNLIKELY</t>
        </is>
      </c>
      <c r="Z1000" s="189" t="inlineStr">
        <is>
          <t>PATCH_AVAILABLE</t>
        </is>
      </c>
      <c r="AA1000" s="189" t="inlineStr">
        <is>
          <t>https://nvd.nist.gov/vuln/detail/CVE-2026-28370</t>
        </is>
      </c>
      <c r="AB1000" s="189" t="inlineStr">
        <is>
          <t>NONE</t>
        </is>
      </c>
      <c r="AC1000" s="189" t="n">
        <v>0</v>
      </c>
      <c r="AD1000" s="189" t="inlineStr"/>
    </row>
    <row r="1001">
      <c r="A1001" s="188" t="inlineStr">
        <is>
          <t>CVE</t>
        </is>
      </c>
      <c r="B1001" s="188" t="inlineStr">
        <is>
          <t>CVE-2026-3287</t>
        </is>
      </c>
      <c r="C1001" s="188"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1001" s="188" t="n">
        <v>6.3</v>
      </c>
      <c r="E1001" s="188" t="inlineStr">
        <is>
          <t>MEDIUM</t>
        </is>
      </c>
      <c r="F1001" s="188" t="n">
        <v>2</v>
      </c>
      <c r="G1001" s="188" t="n">
        <v>2</v>
      </c>
      <c r="H1001" s="188" t="inlineStr">
        <is>
          <t>MEDIUM</t>
        </is>
      </c>
      <c r="I1001" s="188" t="n">
        <v>10.3</v>
      </c>
      <c r="J1001" s="188" t="inlineStr">
        <is>
          <t>NO</t>
        </is>
      </c>
      <c r="K1001" s="188" t="inlineStr">
        <is>
          <t>https://nvd.nist.gov/vuln/detail/CVE-2026-3287</t>
        </is>
      </c>
      <c r="L1001" s="188" t="inlineStr">
        <is>
          <t>2026-02-27 20:47</t>
        </is>
      </c>
      <c r="M1001" s="188" t="inlineStr">
        <is>
          <t>CHECK_VENDOR</t>
        </is>
      </c>
      <c r="N1001" s="188" t="inlineStr">
        <is>
          <t>See NVD references</t>
        </is>
      </c>
      <c r="O1001" s="188" t="inlineStr">
        <is>
          <t>Apply vendor patches</t>
        </is>
      </c>
      <c r="P1001" s="188" t="inlineStr">
        <is>
          <t>See CVE details</t>
        </is>
      </c>
      <c r="Q1001" s="188" t="inlineStr">
        <is>
          <t>P4</t>
        </is>
      </c>
      <c r="R1001" s="188" t="inlineStr">
        <is>
          <t>📅 Schedule patch deployment within 30 days | 🔍 Monitor for exploitation attempts</t>
        </is>
      </c>
      <c r="S1001" s="188" t="inlineStr">
        <is>
          <t>CVE - IP enrichment n/a</t>
        </is>
      </c>
      <c r="T1001" s="188" t="n">
        <v>0.0003</v>
      </c>
      <c r="U1001" s="188" t="n">
        <v>0.0701</v>
      </c>
      <c r="V1001" s="188" t="inlineStr">
        <is>
          <t>T1190:Exploit Public-Facing Application</t>
        </is>
      </c>
      <c r="W1001" s="188" t="n">
        <v>1</v>
      </c>
      <c r="X1001" s="188" t="inlineStr">
        <is>
          <t>LOW (40%)</t>
        </is>
      </c>
      <c r="Y1001" s="188" t="inlineStr">
        <is>
          <t>UNLIKELY</t>
        </is>
      </c>
      <c r="Z1001" s="188" t="inlineStr">
        <is>
          <t>CHECK_VENDOR</t>
        </is>
      </c>
      <c r="AA1001" s="188" t="inlineStr">
        <is>
          <t>https://nvd.nist.gov/vuln/detail/CVE-2026-3287</t>
        </is>
      </c>
      <c r="AB1001" s="188" t="inlineStr">
        <is>
          <t>NONE</t>
        </is>
      </c>
      <c r="AC1001" s="188" t="n">
        <v>0</v>
      </c>
      <c r="AD1001" s="188" t="inlineStr"/>
    </row>
    <row r="1002">
      <c r="A1002" s="188" t="inlineStr">
        <is>
          <t>CVE</t>
        </is>
      </c>
      <c r="B1002" s="188" t="inlineStr">
        <is>
          <t>CVE-2026-3289</t>
        </is>
      </c>
      <c r="C1002" s="188"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1002" s="188" t="n">
        <v>6.3</v>
      </c>
      <c r="E1002" s="188" t="inlineStr">
        <is>
          <t>MEDIUM</t>
        </is>
      </c>
      <c r="F1002" s="188" t="n">
        <v>2</v>
      </c>
      <c r="G1002" s="188" t="n">
        <v>2</v>
      </c>
      <c r="H1002" s="188" t="inlineStr">
        <is>
          <t>MEDIUM</t>
        </is>
      </c>
      <c r="I1002" s="188" t="n">
        <v>10.3</v>
      </c>
      <c r="J1002" s="188" t="inlineStr">
        <is>
          <t>NO</t>
        </is>
      </c>
      <c r="K1002" s="188" t="inlineStr">
        <is>
          <t>https://nvd.nist.gov/vuln/detail/CVE-2026-3289</t>
        </is>
      </c>
      <c r="L1002" s="188" t="inlineStr">
        <is>
          <t>2026-02-27 20:47</t>
        </is>
      </c>
      <c r="M1002" s="188" t="inlineStr">
        <is>
          <t>CHECK_VENDOR</t>
        </is>
      </c>
      <c r="N1002" s="188" t="inlineStr">
        <is>
          <t>See NVD references</t>
        </is>
      </c>
      <c r="O1002" s="188" t="inlineStr">
        <is>
          <t>Apply vendor patches</t>
        </is>
      </c>
      <c r="P1002" s="188" t="inlineStr">
        <is>
          <t>See CVE details</t>
        </is>
      </c>
      <c r="Q1002" s="188" t="inlineStr">
        <is>
          <t>P4</t>
        </is>
      </c>
      <c r="R1002" s="188" t="inlineStr">
        <is>
          <t>📅 Schedule patch deployment within 30 days | 🔍 Monitor for exploitation attempts</t>
        </is>
      </c>
      <c r="S1002" s="188" t="inlineStr">
        <is>
          <t>CVE - IP enrichment n/a</t>
        </is>
      </c>
      <c r="T1002" s="188" t="n">
        <v>0.0005999999999999999</v>
      </c>
      <c r="U1002" s="188" t="n">
        <v>0.19</v>
      </c>
      <c r="V1002" s="188" t="inlineStr">
        <is>
          <t>T1083:File and Directory Discovery</t>
        </is>
      </c>
      <c r="W1002" s="188" t="n">
        <v>1</v>
      </c>
      <c r="X1002" s="188" t="inlineStr">
        <is>
          <t>LOW (40%)</t>
        </is>
      </c>
      <c r="Y1002" s="188" t="inlineStr">
        <is>
          <t>UNLIKELY</t>
        </is>
      </c>
      <c r="Z1002" s="188" t="inlineStr">
        <is>
          <t>CHECK_VENDOR</t>
        </is>
      </c>
      <c r="AA1002" s="188" t="inlineStr">
        <is>
          <t>https://nvd.nist.gov/vuln/detail/CVE-2026-3289</t>
        </is>
      </c>
      <c r="AB1002" s="188" t="inlineStr">
        <is>
          <t>NONE</t>
        </is>
      </c>
      <c r="AC1002" s="188" t="n">
        <v>0</v>
      </c>
      <c r="AD1002" s="188" t="inlineStr"/>
    </row>
    <row r="1003">
      <c r="A1003" s="188" t="inlineStr">
        <is>
          <t>CVE</t>
        </is>
      </c>
      <c r="B1003" s="188" t="inlineStr">
        <is>
          <t>CVE-2026-3292</t>
        </is>
      </c>
      <c r="C1003" s="188"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1003" s="188" t="n">
        <v>6.3</v>
      </c>
      <c r="E1003" s="188" t="inlineStr">
        <is>
          <t>MEDIUM</t>
        </is>
      </c>
      <c r="F1003" s="188" t="n">
        <v>2</v>
      </c>
      <c r="G1003" s="188" t="n">
        <v>2</v>
      </c>
      <c r="H1003" s="188" t="inlineStr">
        <is>
          <t>MEDIUM</t>
        </is>
      </c>
      <c r="I1003" s="188" t="n">
        <v>10.3</v>
      </c>
      <c r="J1003" s="188" t="inlineStr">
        <is>
          <t>NO</t>
        </is>
      </c>
      <c r="K1003" s="188" t="inlineStr">
        <is>
          <t>https://nvd.nist.gov/vuln/detail/CVE-2026-3292</t>
        </is>
      </c>
      <c r="L1003" s="188" t="inlineStr">
        <is>
          <t>2026-02-27 20:47</t>
        </is>
      </c>
      <c r="M1003" s="188" t="inlineStr">
        <is>
          <t>CHECK_VENDOR</t>
        </is>
      </c>
      <c r="N1003" s="188" t="inlineStr">
        <is>
          <t>See NVD references</t>
        </is>
      </c>
      <c r="O1003" s="188" t="inlineStr">
        <is>
          <t>Apply vendor patches</t>
        </is>
      </c>
      <c r="P1003" s="188" t="inlineStr">
        <is>
          <t>See CVE details</t>
        </is>
      </c>
      <c r="Q1003" s="188" t="inlineStr">
        <is>
          <t>P4</t>
        </is>
      </c>
      <c r="R1003" s="188" t="inlineStr">
        <is>
          <t>📅 Schedule patch deployment within 30 days | 🔍 Monitor for exploitation attempts</t>
        </is>
      </c>
      <c r="S1003" s="188" t="inlineStr">
        <is>
          <t>CVE - IP enrichment n/a</t>
        </is>
      </c>
      <c r="T1003" s="188" t="n">
        <v>0.0003</v>
      </c>
      <c r="U1003" s="188" t="n">
        <v>0.0701</v>
      </c>
      <c r="V1003" s="188" t="inlineStr">
        <is>
          <t>T1190:Exploit Public-Facing Application</t>
        </is>
      </c>
      <c r="W1003" s="188" t="n">
        <v>1</v>
      </c>
      <c r="X1003" s="188" t="inlineStr">
        <is>
          <t>LOW (40%)</t>
        </is>
      </c>
      <c r="Y1003" s="188" t="inlineStr">
        <is>
          <t>UNLIKELY</t>
        </is>
      </c>
      <c r="Z1003" s="188" t="inlineStr">
        <is>
          <t>CHECK_VENDOR</t>
        </is>
      </c>
      <c r="AA1003" s="188" t="inlineStr">
        <is>
          <t>https://nvd.nist.gov/vuln/detail/CVE-2026-3292</t>
        </is>
      </c>
      <c r="AB1003" s="188" t="inlineStr">
        <is>
          <t>NONE</t>
        </is>
      </c>
      <c r="AC1003" s="188" t="n">
        <v>0</v>
      </c>
      <c r="AD1003" s="188" t="inlineStr"/>
    </row>
    <row r="1004">
      <c r="A1004" s="188" t="inlineStr">
        <is>
          <t>CVE</t>
        </is>
      </c>
      <c r="B1004" s="188" t="inlineStr">
        <is>
          <t>CVE-2026-27653</t>
        </is>
      </c>
      <c r="C1004" s="188" t="inlineStr">
        <is>
          <t>The installers for multiple products provided by Soliton Systems K.K. contain an issue with incorrect default permissions, which may allow arbitrary code to be executed with SYSTEM privileges.</t>
        </is>
      </c>
      <c r="D1004" s="188" t="n">
        <v>6.7</v>
      </c>
      <c r="E1004" s="188" t="inlineStr">
        <is>
          <t>MEDIUM</t>
        </is>
      </c>
      <c r="F1004" s="188" t="n">
        <v>2</v>
      </c>
      <c r="G1004" s="188" t="n">
        <v>2</v>
      </c>
      <c r="H1004" s="188" t="inlineStr">
        <is>
          <t>MEDIUM</t>
        </is>
      </c>
      <c r="I1004" s="188" t="n">
        <v>10.7</v>
      </c>
      <c r="J1004" s="188" t="inlineStr">
        <is>
          <t>NO</t>
        </is>
      </c>
      <c r="K1004" s="188" t="inlineStr">
        <is>
          <t>https://nvd.nist.gov/vuln/detail/CVE-2026-27653</t>
        </is>
      </c>
      <c r="L1004" s="188" t="inlineStr">
        <is>
          <t>2026-02-27 20:47</t>
        </is>
      </c>
      <c r="M1004" s="188" t="inlineStr">
        <is>
          <t>CHECK_VENDOR</t>
        </is>
      </c>
      <c r="N1004" s="188" t="inlineStr">
        <is>
          <t>See NVD references</t>
        </is>
      </c>
      <c r="O1004" s="188" t="inlineStr">
        <is>
          <t>Apply vendor patches</t>
        </is>
      </c>
      <c r="P1004" s="188" t="inlineStr">
        <is>
          <t>See CVE details</t>
        </is>
      </c>
      <c r="Q1004" s="188" t="inlineStr">
        <is>
          <t>P4</t>
        </is>
      </c>
      <c r="R1004" s="188" t="inlineStr">
        <is>
          <t>📅 Schedule patch deployment within 30 days | 🔍 Monitor for exploitation attempts</t>
        </is>
      </c>
      <c r="S1004" s="188" t="inlineStr">
        <is>
          <t>CVE - IP enrichment n/a</t>
        </is>
      </c>
      <c r="T1004" s="188" t="n">
        <v>0.0001</v>
      </c>
      <c r="U1004" s="188" t="n">
        <v>0.0117</v>
      </c>
      <c r="V1004" s="188" t="inlineStr">
        <is>
          <t>T1222:File and Directory Permissions Modification | T1203:Exploitation for Client Execution</t>
        </is>
      </c>
      <c r="W1004" s="188" t="n">
        <v>1</v>
      </c>
      <c r="X1004" s="188" t="inlineStr">
        <is>
          <t>LOW (40%)</t>
        </is>
      </c>
      <c r="Y1004" s="188" t="inlineStr">
        <is>
          <t>UNLIKELY</t>
        </is>
      </c>
      <c r="Z1004" s="188" t="inlineStr">
        <is>
          <t>CHECK_VENDOR</t>
        </is>
      </c>
      <c r="AA1004" s="188" t="inlineStr">
        <is>
          <t>https://nvd.nist.gov/vuln/detail/CVE-2026-27653</t>
        </is>
      </c>
      <c r="AB1004" s="188" t="inlineStr">
        <is>
          <t>NONE</t>
        </is>
      </c>
      <c r="AC1004" s="188" t="n">
        <v>0</v>
      </c>
      <c r="AD1004" s="188" t="inlineStr"/>
    </row>
    <row r="1005">
      <c r="A1005" s="187" t="inlineStr">
        <is>
          <t>CVE</t>
        </is>
      </c>
      <c r="B1005" s="187" t="inlineStr">
        <is>
          <t>CVE-2026-28372</t>
        </is>
      </c>
      <c r="C1005" s="187"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1005" s="187" t="n">
        <v>7.4</v>
      </c>
      <c r="E1005" s="187" t="inlineStr">
        <is>
          <t>HIGH</t>
        </is>
      </c>
      <c r="F1005" s="187" t="n">
        <v>2</v>
      </c>
      <c r="G1005" s="187" t="n">
        <v>3</v>
      </c>
      <c r="H1005" s="187" t="inlineStr">
        <is>
          <t>HIGH</t>
        </is>
      </c>
      <c r="I1005" s="187" t="n">
        <v>13.4</v>
      </c>
      <c r="J1005" s="187" t="inlineStr">
        <is>
          <t>NO</t>
        </is>
      </c>
      <c r="K1005" s="187" t="inlineStr">
        <is>
          <t>https://nvd.nist.gov/vuln/detail/CVE-2026-28372</t>
        </is>
      </c>
      <c r="L1005" s="187" t="inlineStr">
        <is>
          <t>2026-02-27 20:47</t>
        </is>
      </c>
      <c r="M1005" s="187" t="inlineStr">
        <is>
          <t>CHECK_VENDOR</t>
        </is>
      </c>
      <c r="N1005" s="187" t="inlineStr">
        <is>
          <t>See NVD references</t>
        </is>
      </c>
      <c r="O1005" s="187" t="inlineStr">
        <is>
          <t>Apply vendor patches</t>
        </is>
      </c>
      <c r="P1005" s="187" t="inlineStr">
        <is>
          <t>See CVE details</t>
        </is>
      </c>
      <c r="Q1005" s="187" t="inlineStr">
        <is>
          <t>P3</t>
        </is>
      </c>
      <c r="R1005" s="187" t="inlineStr">
        <is>
          <t>🚨 URGENT: Apply vendor patches immediately | 🔒 Isolate affected systems if patch unavailable | 🛡️ Enable additional monitoring/IDS rules</t>
        </is>
      </c>
      <c r="S1005" s="187" t="inlineStr">
        <is>
          <t>CVE - IP enrichment n/a</t>
        </is>
      </c>
      <c r="T1005" s="187" t="n">
        <v>0.0001</v>
      </c>
      <c r="U1005" s="187" t="n">
        <v>0.0165</v>
      </c>
      <c r="V1005" s="187" t="inlineStr">
        <is>
          <t>T1068:Exploitation for Privilege Escalation | T1552:Unsecured Credentials</t>
        </is>
      </c>
      <c r="W1005" s="187" t="n">
        <v>1</v>
      </c>
      <c r="X1005" s="187" t="inlineStr">
        <is>
          <t>LOW (40%)</t>
        </is>
      </c>
      <c r="Y1005" s="187" t="inlineStr">
        <is>
          <t>UNLIKELY</t>
        </is>
      </c>
      <c r="Z1005" s="187" t="inlineStr">
        <is>
          <t>CHECK_VENDOR</t>
        </is>
      </c>
      <c r="AA1005" s="187" t="inlineStr">
        <is>
          <t>https://nvd.nist.gov/vuln/detail/CVE-2026-28372</t>
        </is>
      </c>
      <c r="AB1005" s="187" t="inlineStr">
        <is>
          <t>NONE</t>
        </is>
      </c>
      <c r="AC1005" s="187" t="n">
        <v>0</v>
      </c>
      <c r="AD1005" s="187" t="inlineStr"/>
    </row>
    <row r="1006">
      <c r="A1006" s="190" t="inlineStr">
        <is>
          <t>CVE</t>
        </is>
      </c>
      <c r="B1006" s="190" t="inlineStr">
        <is>
          <t>CVE-2026-3293</t>
        </is>
      </c>
      <c r="C1006" s="190"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1006" s="190" t="n">
        <v>3.3</v>
      </c>
      <c r="E1006" s="190" t="inlineStr">
        <is>
          <t>LOW</t>
        </is>
      </c>
      <c r="F1006" s="190" t="n">
        <v>2</v>
      </c>
      <c r="G1006" s="190" t="n">
        <v>1</v>
      </c>
      <c r="H1006" s="190" t="inlineStr">
        <is>
          <t>LOW</t>
        </is>
      </c>
      <c r="I1006" s="190" t="n">
        <v>5.3</v>
      </c>
      <c r="J1006" s="190" t="inlineStr">
        <is>
          <t>NO</t>
        </is>
      </c>
      <c r="K1006" s="190" t="inlineStr">
        <is>
          <t>https://nvd.nist.gov/vuln/detail/CVE-2026-3293</t>
        </is>
      </c>
      <c r="L1006" s="190" t="inlineStr">
        <is>
          <t>2026-02-27 20:47</t>
        </is>
      </c>
      <c r="M1006" s="190" t="inlineStr">
        <is>
          <t>CHECK_VENDOR</t>
        </is>
      </c>
      <c r="N1006" s="190" t="inlineStr">
        <is>
          <t>See NVD references</t>
        </is>
      </c>
      <c r="O1006" s="190" t="inlineStr">
        <is>
          <t>Apply vendor patches</t>
        </is>
      </c>
      <c r="P1006" s="190" t="inlineStr">
        <is>
          <t>See CVE details</t>
        </is>
      </c>
      <c r="Q1006" s="190" t="inlineStr">
        <is>
          <t>P4</t>
        </is>
      </c>
      <c r="R1006" s="190" t="inlineStr">
        <is>
          <t>📅 Schedule patch deployment within 30 days | 🔍 Monitor for exploitation attempts</t>
        </is>
      </c>
      <c r="S1006" s="190" t="inlineStr">
        <is>
          <t>CVE - IP enrichment n/a</t>
        </is>
      </c>
      <c r="T1006" s="190" t="n">
        <v>0.0001</v>
      </c>
      <c r="U1006" s="190" t="n">
        <v>0.0197</v>
      </c>
      <c r="V1006" s="190" t="inlineStr">
        <is>
          <t>T1190:Exploit Public-Facing Application</t>
        </is>
      </c>
      <c r="W1006" s="190" t="n">
        <v>1</v>
      </c>
      <c r="X1006" s="190" t="inlineStr">
        <is>
          <t>LOW (40%)</t>
        </is>
      </c>
      <c r="Y1006" s="190" t="inlineStr">
        <is>
          <t>UNLIKELY</t>
        </is>
      </c>
      <c r="Z1006" s="190" t="inlineStr">
        <is>
          <t>CHECK_VENDOR</t>
        </is>
      </c>
      <c r="AA1006" s="190" t="inlineStr">
        <is>
          <t>https://nvd.nist.gov/vuln/detail/CVE-2026-3293</t>
        </is>
      </c>
      <c r="AB1006" s="190" t="inlineStr">
        <is>
          <t>NONE</t>
        </is>
      </c>
      <c r="AC1006" s="190" t="n">
        <v>0</v>
      </c>
      <c r="AD1006" s="190" t="inlineStr"/>
    </row>
    <row r="1007">
      <c r="A1007" s="189" t="inlineStr">
        <is>
          <t>CVE</t>
        </is>
      </c>
      <c r="B1007" s="189" t="inlineStr">
        <is>
          <t>CVE-2026-3301</t>
        </is>
      </c>
      <c r="C1007" s="189"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1007" s="189" t="n">
        <v>9.800000000000001</v>
      </c>
      <c r="E1007" s="189" t="inlineStr">
        <is>
          <t>CRITICAL</t>
        </is>
      </c>
      <c r="F1007" s="189" t="n">
        <v>2</v>
      </c>
      <c r="G1007" s="189" t="n">
        <v>3</v>
      </c>
      <c r="H1007" s="189" t="inlineStr">
        <is>
          <t>HIGH</t>
        </is>
      </c>
      <c r="I1007" s="189" t="n">
        <v>15.8</v>
      </c>
      <c r="J1007" s="189" t="inlineStr">
        <is>
          <t>NO</t>
        </is>
      </c>
      <c r="K1007" s="189" t="inlineStr">
        <is>
          <t>https://nvd.nist.gov/vuln/detail/CVE-2026-3301</t>
        </is>
      </c>
      <c r="L1007" s="189" t="inlineStr">
        <is>
          <t>2026-02-27 20:47</t>
        </is>
      </c>
      <c r="M1007" s="189" t="inlineStr">
        <is>
          <t>CHECK_VENDOR</t>
        </is>
      </c>
      <c r="N1007" s="189" t="inlineStr">
        <is>
          <t>See NVD references</t>
        </is>
      </c>
      <c r="O1007" s="189" t="inlineStr">
        <is>
          <t>Apply vendor patches</t>
        </is>
      </c>
      <c r="P1007" s="189" t="inlineStr">
        <is>
          <t>totolink n300rh 4.0 | totolink n300rh_firmware 6.1c.1353_b20190305 | totolink n300rh_firmware 6.1c.1349_b20181018</t>
        </is>
      </c>
      <c r="Q1007" s="189" t="inlineStr">
        <is>
          <t>P2</t>
        </is>
      </c>
      <c r="R1007" s="189" t="inlineStr">
        <is>
          <t>🚨 URGENT: Apply vendor patches immediately | 🔒 Isolate affected systems if patch unavailable | 🛡️ Enable additional monitoring/IDS rules</t>
        </is>
      </c>
      <c r="S1007" s="189" t="inlineStr">
        <is>
          <t>CVE - IP enrichment n/a</t>
        </is>
      </c>
      <c r="T1007" s="189" t="n">
        <v>0.0089</v>
      </c>
      <c r="U1007" s="189" t="n">
        <v>0.7524</v>
      </c>
      <c r="V1007" s="189" t="inlineStr">
        <is>
          <t>T1059:Command and Scripting Interpreter</t>
        </is>
      </c>
      <c r="W1007" s="189" t="n">
        <v>1</v>
      </c>
      <c r="X1007" s="189" t="inlineStr">
        <is>
          <t>LOW (40%)</t>
        </is>
      </c>
      <c r="Y1007" s="189" t="inlineStr">
        <is>
          <t>UNLIKELY</t>
        </is>
      </c>
      <c r="Z1007" s="189" t="inlineStr">
        <is>
          <t>CHECK_VENDOR</t>
        </is>
      </c>
      <c r="AA1007" s="189" t="inlineStr">
        <is>
          <t>https://nvd.nist.gov/vuln/detail/CVE-2026-3301</t>
        </is>
      </c>
      <c r="AB1007" s="189" t="inlineStr">
        <is>
          <t>NONE</t>
        </is>
      </c>
      <c r="AC1007" s="189" t="n">
        <v>0</v>
      </c>
      <c r="AD1007" s="189" t="inlineStr"/>
    </row>
    <row r="1008">
      <c r="A1008" s="189" t="inlineStr">
        <is>
          <t>CVE</t>
        </is>
      </c>
      <c r="B1008" s="189" t="inlineStr">
        <is>
          <t>CVE-2025-12981</t>
        </is>
      </c>
      <c r="C1008" s="189"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1008" s="189" t="n">
        <v>9.800000000000001</v>
      </c>
      <c r="E1008" s="189" t="inlineStr">
        <is>
          <t>CRITICAL</t>
        </is>
      </c>
      <c r="F1008" s="189" t="n">
        <v>2</v>
      </c>
      <c r="G1008" s="189" t="n">
        <v>3</v>
      </c>
      <c r="H1008" s="189" t="inlineStr">
        <is>
          <t>HIGH</t>
        </is>
      </c>
      <c r="I1008" s="189" t="n">
        <v>15.8</v>
      </c>
      <c r="J1008" s="189" t="inlineStr">
        <is>
          <t>NO</t>
        </is>
      </c>
      <c r="K1008" s="189" t="inlineStr">
        <is>
          <t>https://nvd.nist.gov/vuln/detail/CVE-2025-12981</t>
        </is>
      </c>
      <c r="L1008" s="189" t="inlineStr">
        <is>
          <t>2026-02-27 20:47</t>
        </is>
      </c>
      <c r="M1008" s="189" t="inlineStr">
        <is>
          <t>CHECK_VENDOR</t>
        </is>
      </c>
      <c r="N1008" s="189" t="inlineStr">
        <is>
          <t>See NVD references</t>
        </is>
      </c>
      <c r="O1008" s="189" t="inlineStr">
        <is>
          <t>Apply vendor patches</t>
        </is>
      </c>
      <c r="P1008" s="189" t="inlineStr">
        <is>
          <t>See CVE details</t>
        </is>
      </c>
      <c r="Q1008" s="189" t="inlineStr">
        <is>
          <t>P3</t>
        </is>
      </c>
      <c r="R1008" s="189" t="inlineStr">
        <is>
          <t>🚨 URGENT: Apply vendor patches immediately | 🔒 Isolate affected systems if patch unavailable | 🛡️ Enable additional monitoring/IDS rules</t>
        </is>
      </c>
      <c r="S1008" s="189" t="inlineStr">
        <is>
          <t>CVE - IP enrichment n/a</t>
        </is>
      </c>
      <c r="T1008" s="189" t="n">
        <v>0.0004</v>
      </c>
      <c r="U1008" s="189" t="n">
        <v>0.1245</v>
      </c>
      <c r="V1008" s="189" t="inlineStr">
        <is>
          <t>T1068:Exploitation for Privilege Escalation</t>
        </is>
      </c>
      <c r="W1008" s="189" t="n">
        <v>1</v>
      </c>
      <c r="X1008" s="189" t="inlineStr">
        <is>
          <t>LOW (40%)</t>
        </is>
      </c>
      <c r="Y1008" s="189" t="inlineStr">
        <is>
          <t>UNLIKELY</t>
        </is>
      </c>
      <c r="Z1008" s="189" t="inlineStr">
        <is>
          <t>CHECK_VENDOR</t>
        </is>
      </c>
      <c r="AA1008" s="189" t="inlineStr">
        <is>
          <t>https://nvd.nist.gov/vuln/detail/CVE-2025-12981</t>
        </is>
      </c>
      <c r="AB1008" s="189" t="inlineStr">
        <is>
          <t>NONE</t>
        </is>
      </c>
      <c r="AC1008" s="189" t="n">
        <v>0</v>
      </c>
      <c r="AD1008" s="189" t="inlineStr"/>
    </row>
    <row r="1009">
      <c r="A1009" s="188" t="inlineStr">
        <is>
          <t>CVE</t>
        </is>
      </c>
      <c r="B1009" s="188" t="inlineStr">
        <is>
          <t>CVE-2025-14040</t>
        </is>
      </c>
      <c r="C1009" s="188"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1009" s="188" t="n">
        <v>6.4</v>
      </c>
      <c r="E1009" s="188" t="inlineStr">
        <is>
          <t>MEDIUM</t>
        </is>
      </c>
      <c r="F1009" s="188" t="n">
        <v>2</v>
      </c>
      <c r="G1009" s="188" t="n">
        <v>2</v>
      </c>
      <c r="H1009" s="188" t="inlineStr">
        <is>
          <t>MEDIUM</t>
        </is>
      </c>
      <c r="I1009" s="188" t="n">
        <v>10.4</v>
      </c>
      <c r="J1009" s="188" t="inlineStr">
        <is>
          <t>NO</t>
        </is>
      </c>
      <c r="K1009" s="188" t="inlineStr">
        <is>
          <t>https://nvd.nist.gov/vuln/detail/CVE-2025-14040</t>
        </is>
      </c>
      <c r="L1009" s="188" t="inlineStr">
        <is>
          <t>2026-02-27 20:47</t>
        </is>
      </c>
      <c r="M1009" s="188" t="inlineStr">
        <is>
          <t>CHECK_VENDOR</t>
        </is>
      </c>
      <c r="N1009" s="188" t="inlineStr">
        <is>
          <t>See NVD references</t>
        </is>
      </c>
      <c r="O1009" s="188" t="inlineStr">
        <is>
          <t>Apply vendor patches</t>
        </is>
      </c>
      <c r="P1009" s="188" t="inlineStr">
        <is>
          <t>See CVE details</t>
        </is>
      </c>
      <c r="Q1009" s="188" t="inlineStr">
        <is>
          <t>P4</t>
        </is>
      </c>
      <c r="R1009" s="188" t="inlineStr">
        <is>
          <t>📅 Schedule patch deployment within 30 days | 🔍 Monitor for exploitation attempts</t>
        </is>
      </c>
      <c r="S1009" s="188" t="inlineStr">
        <is>
          <t>CVE - IP enrichment n/a</t>
        </is>
      </c>
      <c r="T1009" s="188" t="n">
        <v>0.0002</v>
      </c>
      <c r="U1009" s="188" t="n">
        <v>0.0602</v>
      </c>
      <c r="V1009" s="188" t="inlineStr">
        <is>
          <t>T1189:Drive-by Compromise</t>
        </is>
      </c>
      <c r="W1009" s="188" t="n">
        <v>1</v>
      </c>
      <c r="X1009" s="188" t="inlineStr">
        <is>
          <t>LOW (40%)</t>
        </is>
      </c>
      <c r="Y1009" s="188" t="inlineStr">
        <is>
          <t>UNLIKELY</t>
        </is>
      </c>
      <c r="Z1009" s="188" t="inlineStr">
        <is>
          <t>CHECK_VENDOR</t>
        </is>
      </c>
      <c r="AA1009" s="188" t="inlineStr">
        <is>
          <t>https://nvd.nist.gov/vuln/detail/CVE-2025-14040</t>
        </is>
      </c>
      <c r="AB1009" s="188" t="inlineStr">
        <is>
          <t>NONE</t>
        </is>
      </c>
      <c r="AC1009" s="188" t="n">
        <v>0</v>
      </c>
      <c r="AD1009" s="188" t="inlineStr"/>
    </row>
    <row r="1010">
      <c r="A1010" s="188" t="inlineStr">
        <is>
          <t>CVE</t>
        </is>
      </c>
      <c r="B1010" s="188" t="inlineStr">
        <is>
          <t>CVE-2025-14149</t>
        </is>
      </c>
      <c r="C1010" s="188"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10" s="188" t="n">
        <v>6.4</v>
      </c>
      <c r="E1010" s="188" t="inlineStr">
        <is>
          <t>MEDIUM</t>
        </is>
      </c>
      <c r="F1010" s="188" t="n">
        <v>2</v>
      </c>
      <c r="G1010" s="188" t="n">
        <v>2</v>
      </c>
      <c r="H1010" s="188" t="inlineStr">
        <is>
          <t>MEDIUM</t>
        </is>
      </c>
      <c r="I1010" s="188" t="n">
        <v>10.4</v>
      </c>
      <c r="J1010" s="188" t="inlineStr">
        <is>
          <t>NO</t>
        </is>
      </c>
      <c r="K1010" s="188" t="inlineStr">
        <is>
          <t>https://nvd.nist.gov/vuln/detail/CVE-2025-14149</t>
        </is>
      </c>
      <c r="L1010" s="188" t="inlineStr">
        <is>
          <t>2026-02-27 20:47</t>
        </is>
      </c>
      <c r="M1010" s="188" t="inlineStr">
        <is>
          <t>CHECK_VENDOR</t>
        </is>
      </c>
      <c r="N1010" s="188" t="inlineStr">
        <is>
          <t>See NVD references</t>
        </is>
      </c>
      <c r="O1010" s="188" t="inlineStr">
        <is>
          <t>Apply vendor patches</t>
        </is>
      </c>
      <c r="P1010" s="188" t="inlineStr">
        <is>
          <t>See CVE details</t>
        </is>
      </c>
      <c r="Q1010" s="188" t="inlineStr">
        <is>
          <t>P4</t>
        </is>
      </c>
      <c r="R1010" s="188" t="inlineStr">
        <is>
          <t>📅 Schedule patch deployment within 30 days | 🔍 Monitor for exploitation attempts</t>
        </is>
      </c>
      <c r="S1010" s="188" t="inlineStr">
        <is>
          <t>CVE - IP enrichment n/a</t>
        </is>
      </c>
      <c r="T1010" s="188" t="n">
        <v>0.0003</v>
      </c>
      <c r="U1010" s="188" t="n">
        <v>0.0788</v>
      </c>
      <c r="V1010" s="188" t="inlineStr">
        <is>
          <t>T1189:Drive-by Compromise</t>
        </is>
      </c>
      <c r="W1010" s="188" t="n">
        <v>1</v>
      </c>
      <c r="X1010" s="188" t="inlineStr">
        <is>
          <t>LOW (40%)</t>
        </is>
      </c>
      <c r="Y1010" s="188" t="inlineStr">
        <is>
          <t>UNLIKELY</t>
        </is>
      </c>
      <c r="Z1010" s="188" t="inlineStr">
        <is>
          <t>CHECK_VENDOR</t>
        </is>
      </c>
      <c r="AA1010" s="188" t="inlineStr">
        <is>
          <t>https://nvd.nist.gov/vuln/detail/CVE-2025-14149</t>
        </is>
      </c>
      <c r="AB1010" s="188" t="inlineStr">
        <is>
          <t>NONE</t>
        </is>
      </c>
      <c r="AC1010" s="188" t="n">
        <v>0</v>
      </c>
      <c r="AD1010" s="188" t="inlineStr"/>
    </row>
    <row r="1011">
      <c r="A1011" s="188" t="inlineStr">
        <is>
          <t>CVE</t>
        </is>
      </c>
      <c r="B1011" s="188" t="inlineStr">
        <is>
          <t>CVE-2025-15509</t>
        </is>
      </c>
      <c r="C1011" s="188" t="inlineStr">
        <is>
          <t>The SmartRemote module has insufficient restrictions on loading URLs, which may lead to some information leakage.</t>
        </is>
      </c>
      <c r="D1011" s="188" t="n">
        <v>5</v>
      </c>
      <c r="E1011" s="188" t="inlineStr">
        <is>
          <t>MEDIUM</t>
        </is>
      </c>
      <c r="F1011" s="188" t="n">
        <v>2</v>
      </c>
      <c r="G1011" s="188" t="n">
        <v>2</v>
      </c>
      <c r="H1011" s="188" t="inlineStr">
        <is>
          <t>MEDIUM</t>
        </is>
      </c>
      <c r="I1011" s="188" t="n">
        <v>9</v>
      </c>
      <c r="J1011" s="188" t="inlineStr">
        <is>
          <t>NO</t>
        </is>
      </c>
      <c r="K1011" s="188" t="inlineStr">
        <is>
          <t>https://nvd.nist.gov/vuln/detail/CVE-2025-15509</t>
        </is>
      </c>
      <c r="L1011" s="188" t="inlineStr">
        <is>
          <t>2026-02-27 20:47</t>
        </is>
      </c>
      <c r="M1011" s="188" t="inlineStr">
        <is>
          <t>CHECK_VENDOR</t>
        </is>
      </c>
      <c r="N1011" s="188" t="inlineStr">
        <is>
          <t>See NVD references</t>
        </is>
      </c>
      <c r="O1011" s="188" t="inlineStr">
        <is>
          <t>Apply vendor patches</t>
        </is>
      </c>
      <c r="P1011" s="188" t="inlineStr">
        <is>
          <t>See CVE details</t>
        </is>
      </c>
      <c r="Q1011" s="188" t="inlineStr">
        <is>
          <t>P4</t>
        </is>
      </c>
      <c r="R1011" s="188" t="inlineStr">
        <is>
          <t>📅 Schedule patch deployment within 30 days | 🔍 Monitor for exploitation attempts</t>
        </is>
      </c>
      <c r="S1011" s="188" t="inlineStr">
        <is>
          <t>CVE - IP enrichment n/a</t>
        </is>
      </c>
      <c r="T1011" s="188" t="n">
        <v>0.0004</v>
      </c>
      <c r="U1011" s="188" t="n">
        <v>0.1229</v>
      </c>
      <c r="V1011" s="188" t="inlineStr">
        <is>
          <t>T1078:Valid Accounts</t>
        </is>
      </c>
      <c r="W1011" s="188" t="n">
        <v>1</v>
      </c>
      <c r="X1011" s="188" t="inlineStr">
        <is>
          <t>LOW (40%)</t>
        </is>
      </c>
      <c r="Y1011" s="188" t="inlineStr">
        <is>
          <t>UNLIKELY</t>
        </is>
      </c>
      <c r="Z1011" s="188" t="inlineStr">
        <is>
          <t>CHECK_VENDOR</t>
        </is>
      </c>
      <c r="AA1011" s="188" t="inlineStr">
        <is>
          <t>https://nvd.nist.gov/vuln/detail/CVE-2025-15509</t>
        </is>
      </c>
      <c r="AB1011" s="188" t="inlineStr">
        <is>
          <t>NONE</t>
        </is>
      </c>
      <c r="AC1011" s="188" t="n">
        <v>0</v>
      </c>
      <c r="AD1011" s="188" t="inlineStr"/>
    </row>
    <row r="1012">
      <c r="A1012" s="188" t="inlineStr">
        <is>
          <t>CVE</t>
        </is>
      </c>
      <c r="B1012" s="188" t="inlineStr">
        <is>
          <t>CVE-2025-15567</t>
        </is>
      </c>
      <c r="C1012" s="188" t="inlineStr">
        <is>
          <t>Insufficient protection mechanisms in the Health Module may lead to partial information disclosure.</t>
        </is>
      </c>
      <c r="D1012" s="188" t="n">
        <v>5</v>
      </c>
      <c r="E1012" s="188" t="inlineStr">
        <is>
          <t>MEDIUM</t>
        </is>
      </c>
      <c r="F1012" s="188" t="n">
        <v>2</v>
      </c>
      <c r="G1012" s="188" t="n">
        <v>2</v>
      </c>
      <c r="H1012" s="188" t="inlineStr">
        <is>
          <t>MEDIUM</t>
        </is>
      </c>
      <c r="I1012" s="188" t="n">
        <v>9</v>
      </c>
      <c r="J1012" s="188" t="inlineStr">
        <is>
          <t>NO</t>
        </is>
      </c>
      <c r="K1012" s="188" t="inlineStr">
        <is>
          <t>https://nvd.nist.gov/vuln/detail/CVE-2025-15567</t>
        </is>
      </c>
      <c r="L1012" s="188" t="inlineStr">
        <is>
          <t>2026-02-27 20:47</t>
        </is>
      </c>
      <c r="M1012" s="188" t="inlineStr">
        <is>
          <t>CHECK_VENDOR</t>
        </is>
      </c>
      <c r="N1012" s="188" t="inlineStr">
        <is>
          <t>See NVD references</t>
        </is>
      </c>
      <c r="O1012" s="188" t="inlineStr">
        <is>
          <t>Apply vendor patches</t>
        </is>
      </c>
      <c r="P1012" s="188" t="inlineStr">
        <is>
          <t>See CVE details</t>
        </is>
      </c>
      <c r="Q1012" s="188" t="inlineStr">
        <is>
          <t>P4</t>
        </is>
      </c>
      <c r="R1012" s="188" t="inlineStr">
        <is>
          <t>📅 Schedule patch deployment within 30 days | 🔍 Monitor for exploitation attempts</t>
        </is>
      </c>
      <c r="S1012" s="188" t="inlineStr">
        <is>
          <t>CVE - IP enrichment n/a</t>
        </is>
      </c>
      <c r="T1012" s="188" t="n">
        <v>0.0001</v>
      </c>
      <c r="U1012" s="188" t="n">
        <v>0.0235</v>
      </c>
      <c r="V1012" s="188" t="inlineStr">
        <is>
          <t>T1078:Valid Accounts | T1213:Data from Information Repositories</t>
        </is>
      </c>
      <c r="W1012" s="188" t="n">
        <v>1</v>
      </c>
      <c r="X1012" s="188" t="inlineStr">
        <is>
          <t>LOW (40%)</t>
        </is>
      </c>
      <c r="Y1012" s="188" t="inlineStr">
        <is>
          <t>UNLIKELY</t>
        </is>
      </c>
      <c r="Z1012" s="188" t="inlineStr">
        <is>
          <t>CHECK_VENDOR</t>
        </is>
      </c>
      <c r="AA1012" s="188" t="inlineStr">
        <is>
          <t>https://nvd.nist.gov/vuln/detail/CVE-2025-15567</t>
        </is>
      </c>
      <c r="AB1012" s="188" t="inlineStr">
        <is>
          <t>NONE</t>
        </is>
      </c>
      <c r="AC1012" s="188" t="n">
        <v>0</v>
      </c>
      <c r="AD1012" s="188" t="inlineStr"/>
    </row>
    <row r="1013">
      <c r="A1013" s="188" t="inlineStr">
        <is>
          <t>CVE</t>
        </is>
      </c>
      <c r="B1013" s="188" t="inlineStr">
        <is>
          <t>CVE-2026-3302</t>
        </is>
      </c>
      <c r="C1013" s="188"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1013" s="188" t="n">
        <v>4.3</v>
      </c>
      <c r="E1013" s="188" t="inlineStr">
        <is>
          <t>MEDIUM</t>
        </is>
      </c>
      <c r="F1013" s="188" t="n">
        <v>2</v>
      </c>
      <c r="G1013" s="188" t="n">
        <v>2</v>
      </c>
      <c r="H1013" s="188" t="inlineStr">
        <is>
          <t>MEDIUM</t>
        </is>
      </c>
      <c r="I1013" s="188" t="n">
        <v>8.300000000000001</v>
      </c>
      <c r="J1013" s="188" t="inlineStr">
        <is>
          <t>NO</t>
        </is>
      </c>
      <c r="K1013" s="188" t="inlineStr">
        <is>
          <t>https://nvd.nist.gov/vuln/detail/CVE-2026-3302</t>
        </is>
      </c>
      <c r="L1013" s="188" t="inlineStr">
        <is>
          <t>2026-02-27 20:47</t>
        </is>
      </c>
      <c r="M1013" s="188" t="inlineStr">
        <is>
          <t>CHECK_VENDOR</t>
        </is>
      </c>
      <c r="N1013" s="188" t="inlineStr">
        <is>
          <t>See NVD references</t>
        </is>
      </c>
      <c r="O1013" s="188" t="inlineStr">
        <is>
          <t>Apply vendor patches</t>
        </is>
      </c>
      <c r="P1013" s="188" t="inlineStr">
        <is>
          <t>remyandrade doctor_appointment_system 1.0</t>
        </is>
      </c>
      <c r="Q1013" s="188" t="inlineStr">
        <is>
          <t>P4</t>
        </is>
      </c>
      <c r="R1013" s="188" t="inlineStr">
        <is>
          <t>📅 Schedule patch deployment within 30 days | 🔍 Monitor for exploitation attempts</t>
        </is>
      </c>
      <c r="S1013" s="188" t="inlineStr">
        <is>
          <t>CVE - IP enrichment n/a</t>
        </is>
      </c>
      <c r="T1013" s="188" t="n">
        <v>0.0003</v>
      </c>
      <c r="U1013" s="188" t="n">
        <v>0.0927</v>
      </c>
      <c r="V1013" s="188" t="inlineStr">
        <is>
          <t>T1189:Drive-by Compromise | T1190:Exploit Public-Facing Application</t>
        </is>
      </c>
      <c r="W1013" s="188" t="n">
        <v>1</v>
      </c>
      <c r="X1013" s="188" t="inlineStr">
        <is>
          <t>LOW (40%)</t>
        </is>
      </c>
      <c r="Y1013" s="188" t="inlineStr">
        <is>
          <t>UNLIKELY</t>
        </is>
      </c>
      <c r="Z1013" s="188" t="inlineStr">
        <is>
          <t>CHECK_VENDOR</t>
        </is>
      </c>
      <c r="AA1013" s="188" t="inlineStr">
        <is>
          <t>https://nvd.nist.gov/vuln/detail/CVE-2026-3302</t>
        </is>
      </c>
      <c r="AB1013" s="188" t="inlineStr">
        <is>
          <t>NONE</t>
        </is>
      </c>
      <c r="AC1013" s="188" t="n">
        <v>0</v>
      </c>
      <c r="AD1013" s="188" t="inlineStr"/>
    </row>
    <row r="1014">
      <c r="A1014" s="188" t="inlineStr">
        <is>
          <t>CVE</t>
        </is>
      </c>
      <c r="B1014" s="188" t="inlineStr">
        <is>
          <t>CVE-2025-13327</t>
        </is>
      </c>
      <c r="C1014" s="188"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1014" s="188" t="n">
        <v>6.3</v>
      </c>
      <c r="E1014" s="188" t="inlineStr">
        <is>
          <t>MEDIUM</t>
        </is>
      </c>
      <c r="F1014" s="188" t="n">
        <v>2</v>
      </c>
      <c r="G1014" s="188" t="n">
        <v>2</v>
      </c>
      <c r="H1014" s="188" t="inlineStr">
        <is>
          <t>MEDIUM</t>
        </is>
      </c>
      <c r="I1014" s="188" t="n">
        <v>10.3</v>
      </c>
      <c r="J1014" s="188" t="inlineStr">
        <is>
          <t>NO</t>
        </is>
      </c>
      <c r="K1014" s="188" t="inlineStr">
        <is>
          <t>https://nvd.nist.gov/vuln/detail/CVE-2025-13327</t>
        </is>
      </c>
      <c r="L1014" s="188" t="inlineStr">
        <is>
          <t>2026-02-27 20:47</t>
        </is>
      </c>
      <c r="M1014" s="188" t="inlineStr">
        <is>
          <t>CHECK_VENDOR</t>
        </is>
      </c>
      <c r="N1014" s="188" t="inlineStr">
        <is>
          <t>See NVD references</t>
        </is>
      </c>
      <c r="O1014" s="188" t="inlineStr">
        <is>
          <t>Apply vendor patches</t>
        </is>
      </c>
      <c r="P1014" s="188" t="inlineStr">
        <is>
          <t>See CVE details</t>
        </is>
      </c>
      <c r="Q1014" s="188" t="inlineStr">
        <is>
          <t>P4</t>
        </is>
      </c>
      <c r="R1014" s="188" t="inlineStr">
        <is>
          <t>📅 Schedule patch deployment within 30 days | 🔍 Monitor for exploitation attempts</t>
        </is>
      </c>
      <c r="S1014" s="188" t="inlineStr">
        <is>
          <t>CVE - IP enrichment n/a</t>
        </is>
      </c>
      <c r="T1014" s="188" t="n">
        <v>0.0002</v>
      </c>
      <c r="U1014" s="188" t="n">
        <v>0.035</v>
      </c>
      <c r="V1014" s="188" t="inlineStr">
        <is>
          <t>T1190:Exploit Public-Facing Application</t>
        </is>
      </c>
      <c r="W1014" s="188" t="n">
        <v>1</v>
      </c>
      <c r="X1014" s="188" t="inlineStr">
        <is>
          <t>LOW (40%)</t>
        </is>
      </c>
      <c r="Y1014" s="188" t="inlineStr">
        <is>
          <t>UNLIKELY</t>
        </is>
      </c>
      <c r="Z1014" s="188" t="inlineStr">
        <is>
          <t>CHECK_VENDOR</t>
        </is>
      </c>
      <c r="AA1014" s="188" t="inlineStr">
        <is>
          <t>https://nvd.nist.gov/vuln/detail/CVE-2025-13327</t>
        </is>
      </c>
      <c r="AB1014" s="188" t="inlineStr">
        <is>
          <t>NONE</t>
        </is>
      </c>
      <c r="AC1014" s="188" t="n">
        <v>0</v>
      </c>
      <c r="AD1014" s="188" t="inlineStr"/>
    </row>
    <row r="1015">
      <c r="A1015" s="188" t="inlineStr">
        <is>
          <t>CVE</t>
        </is>
      </c>
      <c r="B1015" s="188" t="inlineStr">
        <is>
          <t>CVE-2025-9572</t>
        </is>
      </c>
      <c r="C1015" s="188"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1015" s="188" t="n">
        <v>5</v>
      </c>
      <c r="E1015" s="188" t="inlineStr">
        <is>
          <t>MEDIUM</t>
        </is>
      </c>
      <c r="F1015" s="188" t="n">
        <v>2</v>
      </c>
      <c r="G1015" s="188" t="n">
        <v>2</v>
      </c>
      <c r="H1015" s="188" t="inlineStr">
        <is>
          <t>MEDIUM</t>
        </is>
      </c>
      <c r="I1015" s="188" t="n">
        <v>9</v>
      </c>
      <c r="J1015" s="188" t="inlineStr">
        <is>
          <t>NO</t>
        </is>
      </c>
      <c r="K1015" s="188" t="inlineStr">
        <is>
          <t>https://nvd.nist.gov/vuln/detail/CVE-2025-9572</t>
        </is>
      </c>
      <c r="L1015" s="188" t="inlineStr">
        <is>
          <t>2026-02-27 20:47</t>
        </is>
      </c>
      <c r="M1015" s="188" t="inlineStr">
        <is>
          <t>CHECK_VENDOR</t>
        </is>
      </c>
      <c r="N1015" s="188" t="inlineStr">
        <is>
          <t>See NVD references</t>
        </is>
      </c>
      <c r="O1015" s="188" t="inlineStr">
        <is>
          <t>Apply vendor patches</t>
        </is>
      </c>
      <c r="P1015" s="188" t="inlineStr">
        <is>
          <t>See CVE details</t>
        </is>
      </c>
      <c r="Q1015" s="188" t="inlineStr">
        <is>
          <t>P4</t>
        </is>
      </c>
      <c r="R1015" s="188" t="inlineStr">
        <is>
          <t>📅 Schedule patch deployment within 30 days | 🔍 Monitor for exploitation attempts</t>
        </is>
      </c>
      <c r="S1015" s="188" t="inlineStr">
        <is>
          <t>CVE - IP enrichment n/a</t>
        </is>
      </c>
      <c r="T1015" s="188" t="n">
        <v>0.0002</v>
      </c>
      <c r="U1015" s="188" t="n">
        <v>0.0488</v>
      </c>
      <c r="V1015" s="188" t="inlineStr">
        <is>
          <t>T1213:Data from Information Repositories | T1190:Exploit Public-Facing Application</t>
        </is>
      </c>
      <c r="W1015" s="188" t="n">
        <v>1</v>
      </c>
      <c r="X1015" s="188" t="inlineStr">
        <is>
          <t>LOW (40%)</t>
        </is>
      </c>
      <c r="Y1015" s="188" t="inlineStr">
        <is>
          <t>UNLIKELY</t>
        </is>
      </c>
      <c r="Z1015" s="188" t="inlineStr">
        <is>
          <t>CHECK_VENDOR</t>
        </is>
      </c>
      <c r="AA1015" s="188" t="inlineStr">
        <is>
          <t>https://nvd.nist.gov/vuln/detail/CVE-2025-9572</t>
        </is>
      </c>
      <c r="AB1015" s="188" t="inlineStr">
        <is>
          <t>NONE</t>
        </is>
      </c>
      <c r="AC1015" s="188" t="n">
        <v>0</v>
      </c>
      <c r="AD1015" s="188" t="inlineStr"/>
    </row>
    <row r="1016">
      <c r="A1016" s="188" t="inlineStr">
        <is>
          <t>CVE</t>
        </is>
      </c>
      <c r="B1016" s="188" t="inlineStr">
        <is>
          <t>CVE-2025-9907</t>
        </is>
      </c>
      <c r="C1016" s="188"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1016" s="188" t="n">
        <v>6.7</v>
      </c>
      <c r="E1016" s="188" t="inlineStr">
        <is>
          <t>MEDIUM</t>
        </is>
      </c>
      <c r="F1016" s="188" t="n">
        <v>2</v>
      </c>
      <c r="G1016" s="188" t="n">
        <v>2</v>
      </c>
      <c r="H1016" s="188" t="inlineStr">
        <is>
          <t>MEDIUM</t>
        </is>
      </c>
      <c r="I1016" s="188" t="n">
        <v>10.7</v>
      </c>
      <c r="J1016" s="188" t="inlineStr">
        <is>
          <t>NO</t>
        </is>
      </c>
      <c r="K1016" s="188" t="inlineStr">
        <is>
          <t>https://nvd.nist.gov/vuln/detail/CVE-2025-9907</t>
        </is>
      </c>
      <c r="L1016" s="188" t="inlineStr">
        <is>
          <t>2026-02-27 20:47</t>
        </is>
      </c>
      <c r="M1016" s="188" t="inlineStr">
        <is>
          <t>CHECK_VENDOR</t>
        </is>
      </c>
      <c r="N1016" s="188" t="inlineStr">
        <is>
          <t>See NVD references</t>
        </is>
      </c>
      <c r="O1016" s="188" t="inlineStr">
        <is>
          <t>Apply vendor patches</t>
        </is>
      </c>
      <c r="P1016" s="188" t="inlineStr">
        <is>
          <t>See CVE details</t>
        </is>
      </c>
      <c r="Q1016" s="188" t="inlineStr">
        <is>
          <t>P4</t>
        </is>
      </c>
      <c r="R1016" s="188" t="inlineStr">
        <is>
          <t>📅 Schedule patch deployment within 30 days | 🔍 Monitor for exploitation attempts</t>
        </is>
      </c>
      <c r="S1016" s="188" t="inlineStr">
        <is>
          <t>CVE - IP enrichment n/a</t>
        </is>
      </c>
      <c r="T1016" s="188" t="n">
        <v>0.0001</v>
      </c>
      <c r="U1016" s="188" t="n">
        <v>0.0065</v>
      </c>
      <c r="V1016" s="188" t="inlineStr">
        <is>
          <t>T1213:Data from Information Repositories | T1068:Exploitation for Privilege Escalation | T1552:Unsecured Credentials</t>
        </is>
      </c>
      <c r="W1016" s="188" t="n">
        <v>1</v>
      </c>
      <c r="X1016" s="188" t="inlineStr">
        <is>
          <t>LOW (40%)</t>
        </is>
      </c>
      <c r="Y1016" s="188" t="inlineStr">
        <is>
          <t>UNLIKELY</t>
        </is>
      </c>
      <c r="Z1016" s="188" t="inlineStr">
        <is>
          <t>CHECK_VENDOR</t>
        </is>
      </c>
      <c r="AA1016" s="188" t="inlineStr">
        <is>
          <t>https://nvd.nist.gov/vuln/detail/CVE-2025-9907</t>
        </is>
      </c>
      <c r="AB1016" s="188" t="inlineStr">
        <is>
          <t>NONE</t>
        </is>
      </c>
      <c r="AC1016" s="188" t="n">
        <v>0</v>
      </c>
      <c r="AD1016" s="188" t="inlineStr"/>
    </row>
    <row r="1017">
      <c r="A1017" s="188" t="inlineStr">
        <is>
          <t>CVE</t>
        </is>
      </c>
      <c r="B1017" s="188" t="inlineStr">
        <is>
          <t>CVE-2025-9908</t>
        </is>
      </c>
      <c r="C1017" s="188"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1017" s="188" t="n">
        <v>6.7</v>
      </c>
      <c r="E1017" s="188" t="inlineStr">
        <is>
          <t>MEDIUM</t>
        </is>
      </c>
      <c r="F1017" s="188" t="n">
        <v>2</v>
      </c>
      <c r="G1017" s="188" t="n">
        <v>2</v>
      </c>
      <c r="H1017" s="188" t="inlineStr">
        <is>
          <t>MEDIUM</t>
        </is>
      </c>
      <c r="I1017" s="188" t="n">
        <v>10.7</v>
      </c>
      <c r="J1017" s="188" t="inlineStr">
        <is>
          <t>NO</t>
        </is>
      </c>
      <c r="K1017" s="188" t="inlineStr">
        <is>
          <t>https://nvd.nist.gov/vuln/detail/CVE-2025-9908</t>
        </is>
      </c>
      <c r="L1017" s="188" t="inlineStr">
        <is>
          <t>2026-02-27 20:47</t>
        </is>
      </c>
      <c r="M1017" s="188" t="inlineStr">
        <is>
          <t>CHECK_VENDOR</t>
        </is>
      </c>
      <c r="N1017" s="188" t="inlineStr">
        <is>
          <t>See NVD references</t>
        </is>
      </c>
      <c r="O1017" s="188" t="inlineStr">
        <is>
          <t>Apply vendor patches</t>
        </is>
      </c>
      <c r="P1017" s="188" t="inlineStr">
        <is>
          <t>See CVE details</t>
        </is>
      </c>
      <c r="Q1017" s="188" t="inlineStr">
        <is>
          <t>P4</t>
        </is>
      </c>
      <c r="R1017" s="188" t="inlineStr">
        <is>
          <t>📅 Schedule patch deployment within 30 days | 🔍 Monitor for exploitation attempts</t>
        </is>
      </c>
      <c r="S1017" s="188" t="inlineStr">
        <is>
          <t>CVE - IP enrichment n/a</t>
        </is>
      </c>
      <c r="T1017" s="188" t="n">
        <v>0.0001</v>
      </c>
      <c r="U1017" s="188" t="n">
        <v>0.0108</v>
      </c>
      <c r="V1017" s="188" t="inlineStr">
        <is>
          <t>T1213:Data from Information Repositories</t>
        </is>
      </c>
      <c r="W1017" s="188" t="n">
        <v>1</v>
      </c>
      <c r="X1017" s="188" t="inlineStr">
        <is>
          <t>LOW (40%)</t>
        </is>
      </c>
      <c r="Y1017" s="188" t="inlineStr">
        <is>
          <t>UNLIKELY</t>
        </is>
      </c>
      <c r="Z1017" s="188" t="inlineStr">
        <is>
          <t>CHECK_VENDOR</t>
        </is>
      </c>
      <c r="AA1017" s="188" t="inlineStr">
        <is>
          <t>https://nvd.nist.gov/vuln/detail/CVE-2025-9908</t>
        </is>
      </c>
      <c r="AB1017" s="188" t="inlineStr">
        <is>
          <t>NONE</t>
        </is>
      </c>
      <c r="AC1017" s="188" t="n">
        <v>0</v>
      </c>
      <c r="AD1017" s="188" t="inlineStr"/>
    </row>
    <row r="1018">
      <c r="A1018" s="188" t="inlineStr">
        <is>
          <t>CVE</t>
        </is>
      </c>
      <c r="B1018" s="188" t="inlineStr">
        <is>
          <t>CVE-2025-9909</t>
        </is>
      </c>
      <c r="C1018" s="188"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1018" s="188" t="n">
        <v>6.7</v>
      </c>
      <c r="E1018" s="188" t="inlineStr">
        <is>
          <t>MEDIUM</t>
        </is>
      </c>
      <c r="F1018" s="188" t="n">
        <v>2</v>
      </c>
      <c r="G1018" s="188" t="n">
        <v>2</v>
      </c>
      <c r="H1018" s="188" t="inlineStr">
        <is>
          <t>MEDIUM</t>
        </is>
      </c>
      <c r="I1018" s="188" t="n">
        <v>10.7</v>
      </c>
      <c r="J1018" s="188" t="inlineStr">
        <is>
          <t>NO</t>
        </is>
      </c>
      <c r="K1018" s="188" t="inlineStr">
        <is>
          <t>https://nvd.nist.gov/vuln/detail/CVE-2025-9909</t>
        </is>
      </c>
      <c r="L1018" s="188" t="inlineStr">
        <is>
          <t>2026-02-27 20:47</t>
        </is>
      </c>
      <c r="M1018" s="188" t="inlineStr">
        <is>
          <t>CHECK_VENDOR</t>
        </is>
      </c>
      <c r="N1018" s="188" t="inlineStr">
        <is>
          <t>See NVD references</t>
        </is>
      </c>
      <c r="O1018" s="188" t="inlineStr">
        <is>
          <t>Apply vendor patches</t>
        </is>
      </c>
      <c r="P1018" s="188" t="inlineStr">
        <is>
          <t>See CVE details</t>
        </is>
      </c>
      <c r="Q1018" s="188" t="inlineStr">
        <is>
          <t>P4</t>
        </is>
      </c>
      <c r="R1018" s="188" t="inlineStr">
        <is>
          <t>📅 Schedule patch deployment within 30 days | 🔍 Monitor for exploitation attempts</t>
        </is>
      </c>
      <c r="S1018" s="188" t="inlineStr">
        <is>
          <t>CVE - IP enrichment n/a</t>
        </is>
      </c>
      <c r="T1018" s="188" t="n">
        <v>0.0001</v>
      </c>
      <c r="U1018" s="188" t="n">
        <v>0.0115</v>
      </c>
      <c r="V1018" s="188" t="inlineStr">
        <is>
          <t>T1190:Exploit Public-Facing Application | T1552:Unsecured Credentials | T1543:Create or Modify System Process</t>
        </is>
      </c>
      <c r="W1018" s="188" t="n">
        <v>1</v>
      </c>
      <c r="X1018" s="188" t="inlineStr">
        <is>
          <t>LOW (40%)</t>
        </is>
      </c>
      <c r="Y1018" s="188" t="inlineStr">
        <is>
          <t>UNLIKELY</t>
        </is>
      </c>
      <c r="Z1018" s="188" t="inlineStr">
        <is>
          <t>CHECK_VENDOR</t>
        </is>
      </c>
      <c r="AA1018" s="188" t="inlineStr">
        <is>
          <t>https://nvd.nist.gov/vuln/detail/CVE-2025-9909</t>
        </is>
      </c>
      <c r="AB1018" s="188" t="inlineStr">
        <is>
          <t>NONE</t>
        </is>
      </c>
      <c r="AC1018" s="188" t="n">
        <v>0</v>
      </c>
      <c r="AD1018" s="188" t="inlineStr"/>
    </row>
    <row r="1019">
      <c r="A1019" s="188" t="inlineStr">
        <is>
          <t>CVE</t>
        </is>
      </c>
      <c r="B1019" s="188" t="inlineStr">
        <is>
          <t>CVE-2026-0871</t>
        </is>
      </c>
      <c r="C1019" s="188"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1019" s="188" t="n">
        <v>4.9</v>
      </c>
      <c r="E1019" s="188" t="inlineStr">
        <is>
          <t>MEDIUM</t>
        </is>
      </c>
      <c r="F1019" s="188" t="n">
        <v>2</v>
      </c>
      <c r="G1019" s="188" t="n">
        <v>2</v>
      </c>
      <c r="H1019" s="188" t="inlineStr">
        <is>
          <t>MEDIUM</t>
        </is>
      </c>
      <c r="I1019" s="188" t="n">
        <v>8.9</v>
      </c>
      <c r="J1019" s="188" t="inlineStr">
        <is>
          <t>NO</t>
        </is>
      </c>
      <c r="K1019" s="188" t="inlineStr">
        <is>
          <t>https://nvd.nist.gov/vuln/detail/CVE-2026-0871</t>
        </is>
      </c>
      <c r="L1019" s="188" t="inlineStr">
        <is>
          <t>2026-02-27 20:47</t>
        </is>
      </c>
      <c r="M1019" s="188" t="inlineStr">
        <is>
          <t>CHECK_VENDOR</t>
        </is>
      </c>
      <c r="N1019" s="188" t="inlineStr">
        <is>
          <t>See NVD references</t>
        </is>
      </c>
      <c r="O1019" s="188" t="inlineStr">
        <is>
          <t>Apply vendor patches</t>
        </is>
      </c>
      <c r="P1019" s="188" t="inlineStr">
        <is>
          <t>See CVE details</t>
        </is>
      </c>
      <c r="Q1019" s="188" t="inlineStr">
        <is>
          <t>P4</t>
        </is>
      </c>
      <c r="R1019" s="188" t="inlineStr">
        <is>
          <t>📅 Schedule patch deployment within 30 days | 🔍 Monitor for exploitation attempts</t>
        </is>
      </c>
      <c r="S1019" s="188" t="inlineStr">
        <is>
          <t>CVE - IP enrichment n/a</t>
        </is>
      </c>
      <c r="T1019" s="188" t="n">
        <v>0.0002</v>
      </c>
      <c r="U1019" s="188" t="n">
        <v>0.06419999999999999</v>
      </c>
      <c r="V1019" s="188" t="inlineStr">
        <is>
          <t>T1190:Exploit Public-Facing Application</t>
        </is>
      </c>
      <c r="W1019" s="188" t="n">
        <v>1</v>
      </c>
      <c r="X1019" s="188" t="inlineStr">
        <is>
          <t>LOW (40%)</t>
        </is>
      </c>
      <c r="Y1019" s="188" t="inlineStr">
        <is>
          <t>UNLIKELY</t>
        </is>
      </c>
      <c r="Z1019" s="188" t="inlineStr">
        <is>
          <t>CHECK_VENDOR</t>
        </is>
      </c>
      <c r="AA1019" s="188" t="inlineStr">
        <is>
          <t>https://nvd.nist.gov/vuln/detail/CVE-2026-0871</t>
        </is>
      </c>
      <c r="AB1019" s="188" t="inlineStr">
        <is>
          <t>NONE</t>
        </is>
      </c>
      <c r="AC1019" s="188" t="n">
        <v>0</v>
      </c>
      <c r="AD1019" s="188" t="inlineStr"/>
    </row>
    <row r="1020">
      <c r="A1020" s="187" t="inlineStr">
        <is>
          <t>CVE</t>
        </is>
      </c>
      <c r="B1020" s="187" t="inlineStr">
        <is>
          <t>CVE-2026-0980</t>
        </is>
      </c>
      <c r="C1020" s="187"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1020" s="187" t="n">
        <v>8.300000000000001</v>
      </c>
      <c r="E1020" s="187" t="inlineStr">
        <is>
          <t>HIGH</t>
        </is>
      </c>
      <c r="F1020" s="187" t="n">
        <v>2</v>
      </c>
      <c r="G1020" s="187" t="n">
        <v>3</v>
      </c>
      <c r="H1020" s="187" t="inlineStr">
        <is>
          <t>HIGH</t>
        </is>
      </c>
      <c r="I1020" s="187" t="n">
        <v>14.3</v>
      </c>
      <c r="J1020" s="187" t="inlineStr">
        <is>
          <t>NO</t>
        </is>
      </c>
      <c r="K1020" s="187" t="inlineStr">
        <is>
          <t>https://nvd.nist.gov/vuln/detail/CVE-2026-0980</t>
        </is>
      </c>
      <c r="L1020" s="187" t="inlineStr">
        <is>
          <t>2026-02-27 20:47</t>
        </is>
      </c>
      <c r="M1020" s="187" t="inlineStr">
        <is>
          <t>CHECK_VENDOR</t>
        </is>
      </c>
      <c r="N1020" s="187" t="inlineStr">
        <is>
          <t>See NVD references</t>
        </is>
      </c>
      <c r="O1020" s="187" t="inlineStr">
        <is>
          <t>Apply vendor patches</t>
        </is>
      </c>
      <c r="P1020" s="187" t="inlineStr">
        <is>
          <t>See CVE details</t>
        </is>
      </c>
      <c r="Q1020" s="187" t="inlineStr">
        <is>
          <t>P3</t>
        </is>
      </c>
      <c r="R1020" s="187" t="inlineStr">
        <is>
          <t>🚨 URGENT: Apply vendor patches immediately | 🔒 Isolate affected systems if patch unavailable | 🛡️ Enable additional monitoring/IDS rules</t>
        </is>
      </c>
      <c r="S1020" s="187" t="inlineStr">
        <is>
          <t>CVE - IP enrichment n/a</t>
        </is>
      </c>
      <c r="T1020" s="187" t="n">
        <v>0.0022</v>
      </c>
      <c r="U1020" s="187" t="n">
        <v>0.4405</v>
      </c>
      <c r="V1020" s="187" t="inlineStr">
        <is>
          <t>T1059:Command and Scripting Interpreter | T1190:Exploit Public-Facing Application | T1210:Exploitation of Remote Services</t>
        </is>
      </c>
      <c r="W1020" s="187" t="n">
        <v>1</v>
      </c>
      <c r="X1020" s="187" t="inlineStr">
        <is>
          <t>LOW (40%)</t>
        </is>
      </c>
      <c r="Y1020" s="187" t="inlineStr">
        <is>
          <t>UNLIKELY</t>
        </is>
      </c>
      <c r="Z1020" s="187" t="inlineStr">
        <is>
          <t>CHECK_VENDOR</t>
        </is>
      </c>
      <c r="AA1020" s="187" t="inlineStr">
        <is>
          <t>https://nvd.nist.gov/vuln/detail/CVE-2026-0980</t>
        </is>
      </c>
      <c r="AB1020" s="187" t="inlineStr">
        <is>
          <t>NONE</t>
        </is>
      </c>
      <c r="AC1020" s="187" t="n">
        <v>0</v>
      </c>
      <c r="AD1020" s="187" t="inlineStr"/>
    </row>
    <row r="1021">
      <c r="A1021" s="187" t="inlineStr">
        <is>
          <t>CVE</t>
        </is>
      </c>
      <c r="B1021" s="187" t="inlineStr">
        <is>
          <t>CVE-2026-27776</t>
        </is>
      </c>
      <c r="C1021" s="187"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1021" s="187" t="n">
        <v>7.2</v>
      </c>
      <c r="E1021" s="187" t="inlineStr">
        <is>
          <t>HIGH</t>
        </is>
      </c>
      <c r="F1021" s="187" t="n">
        <v>2</v>
      </c>
      <c r="G1021" s="187" t="n">
        <v>3</v>
      </c>
      <c r="H1021" s="187" t="inlineStr">
        <is>
          <t>HIGH</t>
        </is>
      </c>
      <c r="I1021" s="187" t="n">
        <v>13.2</v>
      </c>
      <c r="J1021" s="187" t="inlineStr">
        <is>
          <t>NO</t>
        </is>
      </c>
      <c r="K1021" s="187" t="inlineStr">
        <is>
          <t>https://nvd.nist.gov/vuln/detail/CVE-2026-27776</t>
        </is>
      </c>
      <c r="L1021" s="187" t="inlineStr">
        <is>
          <t>2026-02-27 20:47</t>
        </is>
      </c>
      <c r="M1021" s="187" t="inlineStr">
        <is>
          <t>CHECK_VENDOR</t>
        </is>
      </c>
      <c r="N1021" s="187" t="inlineStr">
        <is>
          <t>See NVD references</t>
        </is>
      </c>
      <c r="O1021" s="187" t="inlineStr">
        <is>
          <t>Apply vendor patches</t>
        </is>
      </c>
      <c r="P1021" s="187" t="inlineStr">
        <is>
          <t>See CVE details</t>
        </is>
      </c>
      <c r="Q1021" s="187" t="inlineStr">
        <is>
          <t>P3</t>
        </is>
      </c>
      <c r="R1021" s="187" t="inlineStr">
        <is>
          <t>🚨 URGENT: Apply vendor patches immediately | 🔒 Isolate affected systems if patch unavailable | 🛡️ Enable additional monitoring/IDS rules</t>
        </is>
      </c>
      <c r="S1021" s="187" t="inlineStr">
        <is>
          <t>CVE - IP enrichment n/a</t>
        </is>
      </c>
      <c r="T1021" s="187" t="n">
        <v>0.0005</v>
      </c>
      <c r="U1021" s="187" t="n">
        <v>0.1478</v>
      </c>
      <c r="V1021" s="187" t="inlineStr">
        <is>
          <t>T1059:Command and Scripting Interpreter | T1203:Exploitation for Client Execution</t>
        </is>
      </c>
      <c r="W1021" s="187" t="n">
        <v>1</v>
      </c>
      <c r="X1021" s="187" t="inlineStr">
        <is>
          <t>LOW (40%)</t>
        </is>
      </c>
      <c r="Y1021" s="187" t="inlineStr">
        <is>
          <t>UNLIKELY</t>
        </is>
      </c>
      <c r="Z1021" s="187" t="inlineStr">
        <is>
          <t>CHECK_VENDOR</t>
        </is>
      </c>
      <c r="AA1021" s="187" t="inlineStr">
        <is>
          <t>https://nvd.nist.gov/vuln/detail/CVE-2026-27776</t>
        </is>
      </c>
      <c r="AB1021" s="187" t="inlineStr">
        <is>
          <t>NONE</t>
        </is>
      </c>
      <c r="AC1021" s="187" t="n">
        <v>0</v>
      </c>
      <c r="AD1021" s="187" t="inlineStr"/>
    </row>
    <row r="1022">
      <c r="A1022" s="190" t="inlineStr">
        <is>
          <t>CVE</t>
        </is>
      </c>
      <c r="B1022" s="190" t="inlineStr">
        <is>
          <t>CVE-2025-12150</t>
        </is>
      </c>
      <c r="C1022" s="190"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1022" s="190" t="n">
        <v>3.1</v>
      </c>
      <c r="E1022" s="190" t="inlineStr">
        <is>
          <t>LOW</t>
        </is>
      </c>
      <c r="F1022" s="190" t="n">
        <v>2</v>
      </c>
      <c r="G1022" s="190" t="n">
        <v>1</v>
      </c>
      <c r="H1022" s="190" t="inlineStr">
        <is>
          <t>LOW</t>
        </is>
      </c>
      <c r="I1022" s="190" t="n">
        <v>5.1</v>
      </c>
      <c r="J1022" s="190" t="inlineStr">
        <is>
          <t>NO</t>
        </is>
      </c>
      <c r="K1022" s="190" t="inlineStr">
        <is>
          <t>https://nvd.nist.gov/vuln/detail/CVE-2025-12150</t>
        </is>
      </c>
      <c r="L1022" s="190" t="inlineStr">
        <is>
          <t>2026-02-27 20:47</t>
        </is>
      </c>
      <c r="M1022" s="190" t="inlineStr">
        <is>
          <t>CHECK_VENDOR</t>
        </is>
      </c>
      <c r="N1022" s="190" t="inlineStr">
        <is>
          <t>See NVD references</t>
        </is>
      </c>
      <c r="O1022" s="190" t="inlineStr">
        <is>
          <t>Apply vendor patches</t>
        </is>
      </c>
      <c r="P1022" s="190" t="inlineStr">
        <is>
          <t>See CVE details</t>
        </is>
      </c>
      <c r="Q1022" s="190" t="inlineStr">
        <is>
          <t>P4</t>
        </is>
      </c>
      <c r="R1022" s="190" t="inlineStr">
        <is>
          <t>📅 Schedule patch deployment within 30 days | 🔍 Monitor for exploitation attempts</t>
        </is>
      </c>
      <c r="S1022" s="190" t="inlineStr">
        <is>
          <t>CVE - IP enrichment n/a</t>
        </is>
      </c>
      <c r="T1022" s="190" t="n">
        <v>0.0005</v>
      </c>
      <c r="U1022" s="190" t="n">
        <v>0.1441</v>
      </c>
      <c r="V1022" s="190" t="inlineStr">
        <is>
          <t>T1190:Exploit Public-Facing Application</t>
        </is>
      </c>
      <c r="W1022" s="190" t="n">
        <v>1</v>
      </c>
      <c r="X1022" s="190" t="inlineStr">
        <is>
          <t>LOW (40%)</t>
        </is>
      </c>
      <c r="Y1022" s="190" t="inlineStr">
        <is>
          <t>UNLIKELY</t>
        </is>
      </c>
      <c r="Z1022" s="190" t="inlineStr">
        <is>
          <t>CHECK_VENDOR</t>
        </is>
      </c>
      <c r="AA1022" s="190" t="inlineStr">
        <is>
          <t>https://nvd.nist.gov/vuln/detail/CVE-2025-12150</t>
        </is>
      </c>
      <c r="AB1022" s="190" t="inlineStr">
        <is>
          <t>NONE</t>
        </is>
      </c>
      <c r="AC1022" s="190" t="n">
        <v>0</v>
      </c>
      <c r="AD1022" s="190" t="inlineStr"/>
    </row>
    <row r="1023">
      <c r="A1023" s="188" t="inlineStr">
        <is>
          <t>CVE</t>
        </is>
      </c>
      <c r="B1023" s="188" t="inlineStr">
        <is>
          <t>CVE-2026-1626</t>
        </is>
      </c>
      <c r="C1023" s="188" t="inlineStr">
        <is>
          <t>An attacker may exploit the use of weak CBC-based cipher suites in the device’s SSH service to potentially observe or manipulate parts of the encrypted SSH communication, if they are able to intercept or interact with the network traffic.</t>
        </is>
      </c>
      <c r="D1023" s="188" t="n">
        <v>6.5</v>
      </c>
      <c r="E1023" s="188" t="inlineStr">
        <is>
          <t>MEDIUM</t>
        </is>
      </c>
      <c r="F1023" s="188" t="n">
        <v>2</v>
      </c>
      <c r="G1023" s="188" t="n">
        <v>2</v>
      </c>
      <c r="H1023" s="188" t="inlineStr">
        <is>
          <t>MEDIUM</t>
        </is>
      </c>
      <c r="I1023" s="188" t="n">
        <v>10.5</v>
      </c>
      <c r="J1023" s="188" t="inlineStr">
        <is>
          <t>NO</t>
        </is>
      </c>
      <c r="K1023" s="188" t="inlineStr">
        <is>
          <t>https://nvd.nist.gov/vuln/detail/CVE-2026-1626</t>
        </is>
      </c>
      <c r="L1023" s="188" t="inlineStr">
        <is>
          <t>2026-02-27 20:47</t>
        </is>
      </c>
      <c r="M1023" s="188" t="inlineStr">
        <is>
          <t>CHECK_VENDOR</t>
        </is>
      </c>
      <c r="N1023" s="188" t="inlineStr">
        <is>
          <t>See NVD references</t>
        </is>
      </c>
      <c r="O1023" s="188" t="inlineStr">
        <is>
          <t>Apply vendor patches</t>
        </is>
      </c>
      <c r="P1023" s="188" t="inlineStr">
        <is>
          <t>See CVE details</t>
        </is>
      </c>
      <c r="Q1023" s="188" t="inlineStr">
        <is>
          <t>P4</t>
        </is>
      </c>
      <c r="R1023" s="188" t="inlineStr">
        <is>
          <t>📅 Schedule patch deployment within 30 days | 🔍 Monitor for exploitation attempts</t>
        </is>
      </c>
      <c r="S1023" s="188" t="inlineStr">
        <is>
          <t>CVE - IP enrichment n/a</t>
        </is>
      </c>
      <c r="T1023" s="188" t="n">
        <v>0.0002</v>
      </c>
      <c r="U1023" s="188" t="n">
        <v>0.0623</v>
      </c>
      <c r="V1023" s="188" t="inlineStr">
        <is>
          <t>T1190:Exploit Public-Facing Application</t>
        </is>
      </c>
      <c r="W1023" s="188" t="n">
        <v>1</v>
      </c>
      <c r="X1023" s="188" t="inlineStr">
        <is>
          <t>LOW (40%)</t>
        </is>
      </c>
      <c r="Y1023" s="188" t="inlineStr">
        <is>
          <t>UNLIKELY</t>
        </is>
      </c>
      <c r="Z1023" s="188" t="inlineStr">
        <is>
          <t>CHECK_VENDOR</t>
        </is>
      </c>
      <c r="AA1023" s="188" t="inlineStr">
        <is>
          <t>https://nvd.nist.gov/vuln/detail/CVE-2026-1626</t>
        </is>
      </c>
      <c r="AB1023" s="188" t="inlineStr">
        <is>
          <t>NONE</t>
        </is>
      </c>
      <c r="AC1023" s="188" t="n">
        <v>0</v>
      </c>
      <c r="AD1023" s="188" t="inlineStr"/>
    </row>
    <row r="1024">
      <c r="A1024" s="188" t="inlineStr">
        <is>
          <t>CVE</t>
        </is>
      </c>
      <c r="B1024" s="188" t="inlineStr">
        <is>
          <t>CVE-2026-1627</t>
        </is>
      </c>
      <c r="C1024" s="188" t="inlineStr">
        <is>
          <t>An attacker may exploit the use of outdated and weak MAC algorithms in the device’s SSH service to potentially compromise the integrity of the SSH session, allowing manipulation of transmitted data if the attacker can interact with the network traffic.</t>
        </is>
      </c>
      <c r="D1024" s="188" t="n">
        <v>6.5</v>
      </c>
      <c r="E1024" s="188" t="inlineStr">
        <is>
          <t>MEDIUM</t>
        </is>
      </c>
      <c r="F1024" s="188" t="n">
        <v>2</v>
      </c>
      <c r="G1024" s="188" t="n">
        <v>2</v>
      </c>
      <c r="H1024" s="188" t="inlineStr">
        <is>
          <t>MEDIUM</t>
        </is>
      </c>
      <c r="I1024" s="188" t="n">
        <v>10.5</v>
      </c>
      <c r="J1024" s="188" t="inlineStr">
        <is>
          <t>NO</t>
        </is>
      </c>
      <c r="K1024" s="188" t="inlineStr">
        <is>
          <t>https://nvd.nist.gov/vuln/detail/CVE-2026-1627</t>
        </is>
      </c>
      <c r="L1024" s="188" t="inlineStr">
        <is>
          <t>2026-02-27 20:47</t>
        </is>
      </c>
      <c r="M1024" s="188" t="inlineStr">
        <is>
          <t>CHECK_VENDOR</t>
        </is>
      </c>
      <c r="N1024" s="188" t="inlineStr">
        <is>
          <t>See NVD references</t>
        </is>
      </c>
      <c r="O1024" s="188" t="inlineStr">
        <is>
          <t>Apply vendor patches</t>
        </is>
      </c>
      <c r="P1024" s="188" t="inlineStr">
        <is>
          <t>See CVE details</t>
        </is>
      </c>
      <c r="Q1024" s="188" t="inlineStr">
        <is>
          <t>P4</t>
        </is>
      </c>
      <c r="R1024" s="188" t="inlineStr">
        <is>
          <t>📅 Schedule patch deployment within 30 days | 🔍 Monitor for exploitation attempts</t>
        </is>
      </c>
      <c r="S1024" s="188" t="inlineStr">
        <is>
          <t>CVE - IP enrichment n/a</t>
        </is>
      </c>
      <c r="T1024" s="188" t="n">
        <v>0.0002</v>
      </c>
      <c r="U1024" s="188" t="n">
        <v>0.06</v>
      </c>
      <c r="V1024" s="188" t="inlineStr">
        <is>
          <t>T1190:Exploit Public-Facing Application</t>
        </is>
      </c>
      <c r="W1024" s="188" t="n">
        <v>1</v>
      </c>
      <c r="X1024" s="188" t="inlineStr">
        <is>
          <t>LOW (40%)</t>
        </is>
      </c>
      <c r="Y1024" s="188" t="inlineStr">
        <is>
          <t>UNLIKELY</t>
        </is>
      </c>
      <c r="Z1024" s="188" t="inlineStr">
        <is>
          <t>CHECK_VENDOR</t>
        </is>
      </c>
      <c r="AA1024" s="188" t="inlineStr">
        <is>
          <t>https://nvd.nist.gov/vuln/detail/CVE-2026-1627</t>
        </is>
      </c>
      <c r="AB1024" s="188" t="inlineStr">
        <is>
          <t>NONE</t>
        </is>
      </c>
      <c r="AC1024" s="188" t="n">
        <v>0</v>
      </c>
      <c r="AD1024" s="188" t="inlineStr"/>
    </row>
    <row r="1025">
      <c r="A1025" s="188" t="inlineStr">
        <is>
          <t>CVE</t>
        </is>
      </c>
      <c r="B1025" s="188" t="inlineStr">
        <is>
          <t>CVE-2026-21654</t>
        </is>
      </c>
      <c r="C1025" s="188"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1025" s="188" t="n">
        <v>5</v>
      </c>
      <c r="E1025" s="188" t="inlineStr">
        <is>
          <t>MEDIUM</t>
        </is>
      </c>
      <c r="F1025" s="188" t="n">
        <v>2</v>
      </c>
      <c r="G1025" s="188" t="n">
        <v>2</v>
      </c>
      <c r="H1025" s="188" t="inlineStr">
        <is>
          <t>MEDIUM</t>
        </is>
      </c>
      <c r="I1025" s="188" t="n">
        <v>9</v>
      </c>
      <c r="J1025" s="188" t="inlineStr">
        <is>
          <t>NO</t>
        </is>
      </c>
      <c r="K1025" s="188" t="inlineStr">
        <is>
          <t>https://nvd.nist.gov/vuln/detail/CVE-2026-21654</t>
        </is>
      </c>
      <c r="L1025" s="188" t="inlineStr">
        <is>
          <t>2026-02-27 20:47</t>
        </is>
      </c>
      <c r="M1025" s="188" t="inlineStr">
        <is>
          <t>CHECK_VENDOR</t>
        </is>
      </c>
      <c r="N1025" s="188" t="inlineStr">
        <is>
          <t>See NVD references</t>
        </is>
      </c>
      <c r="O1025" s="188" t="inlineStr">
        <is>
          <t>Apply vendor patches</t>
        </is>
      </c>
      <c r="P1025" s="188" t="inlineStr">
        <is>
          <t>See CVE details</t>
        </is>
      </c>
      <c r="Q1025" s="188" t="inlineStr">
        <is>
          <t>P4</t>
        </is>
      </c>
      <c r="R1025" s="188" t="inlineStr">
        <is>
          <t>📅 Schedule patch deployment within 30 days | 🔍 Monitor for exploitation attempts</t>
        </is>
      </c>
      <c r="S1025" s="188" t="inlineStr">
        <is>
          <t>CVE - IP enrichment n/a</t>
        </is>
      </c>
      <c r="T1025" s="188" t="n">
        <v>0.0036</v>
      </c>
      <c r="U1025" s="188" t="n">
        <v>0.5738</v>
      </c>
      <c r="V1025" s="188" t="inlineStr">
        <is>
          <t>T1059:Command and Scripting Interpreter</t>
        </is>
      </c>
      <c r="W1025" s="188" t="n">
        <v>1</v>
      </c>
      <c r="X1025" s="188" t="inlineStr">
        <is>
          <t>LOW (40%)</t>
        </is>
      </c>
      <c r="Y1025" s="188" t="inlineStr">
        <is>
          <t>UNLIKELY</t>
        </is>
      </c>
      <c r="Z1025" s="188" t="inlineStr">
        <is>
          <t>CHECK_VENDOR</t>
        </is>
      </c>
      <c r="AA1025" s="188" t="inlineStr">
        <is>
          <t>https://nvd.nist.gov/vuln/detail/CVE-2026-21654</t>
        </is>
      </c>
      <c r="AB1025" s="188" t="inlineStr">
        <is>
          <t>NONE</t>
        </is>
      </c>
      <c r="AC1025" s="188" t="n">
        <v>0</v>
      </c>
      <c r="AD1025" s="188" t="inlineStr"/>
    </row>
    <row r="1026">
      <c r="A1026" s="188" t="inlineStr">
        <is>
          <t>CVE</t>
        </is>
      </c>
      <c r="B1026" s="188" t="inlineStr">
        <is>
          <t>CVE-2026-21656</t>
        </is>
      </c>
      <c r="C1026" s="188"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6" s="188" t="n">
        <v>5</v>
      </c>
      <c r="E1026" s="188" t="inlineStr">
        <is>
          <t>MEDIUM</t>
        </is>
      </c>
      <c r="F1026" s="188" t="n">
        <v>2</v>
      </c>
      <c r="G1026" s="188" t="n">
        <v>2</v>
      </c>
      <c r="H1026" s="188" t="inlineStr">
        <is>
          <t>MEDIUM</t>
        </is>
      </c>
      <c r="I1026" s="188" t="n">
        <v>9</v>
      </c>
      <c r="J1026" s="188" t="inlineStr">
        <is>
          <t>NO</t>
        </is>
      </c>
      <c r="K1026" s="188" t="inlineStr">
        <is>
          <t>https://nvd.nist.gov/vuln/detail/CVE-2026-21656</t>
        </is>
      </c>
      <c r="L1026" s="188" t="inlineStr">
        <is>
          <t>2026-02-27 20:47</t>
        </is>
      </c>
      <c r="M1026" s="188" t="inlineStr">
        <is>
          <t>CHECK_VENDOR</t>
        </is>
      </c>
      <c r="N1026" s="188" t="inlineStr">
        <is>
          <t>See NVD references</t>
        </is>
      </c>
      <c r="O1026" s="188" t="inlineStr">
        <is>
          <t>Apply vendor patches</t>
        </is>
      </c>
      <c r="P1026" s="188" t="inlineStr">
        <is>
          <t>See CVE details</t>
        </is>
      </c>
      <c r="Q1026" s="188" t="inlineStr">
        <is>
          <t>P4</t>
        </is>
      </c>
      <c r="R1026" s="188" t="inlineStr">
        <is>
          <t>📅 Schedule patch deployment within 30 days | 🔍 Monitor for exploitation attempts</t>
        </is>
      </c>
      <c r="S1026" s="188" t="inlineStr">
        <is>
          <t>CVE - IP enrichment n/a</t>
        </is>
      </c>
      <c r="T1026" s="188" t="n">
        <v>0.0008</v>
      </c>
      <c r="U1026" s="188" t="n">
        <v>0.233</v>
      </c>
      <c r="V1026" s="188" t="inlineStr">
        <is>
          <t>T1059:Command and Scripting Interpreter</t>
        </is>
      </c>
      <c r="W1026" s="188" t="n">
        <v>1</v>
      </c>
      <c r="X1026" s="188" t="inlineStr">
        <is>
          <t>LOW (40%)</t>
        </is>
      </c>
      <c r="Y1026" s="188" t="inlineStr">
        <is>
          <t>UNLIKELY</t>
        </is>
      </c>
      <c r="Z1026" s="188" t="inlineStr">
        <is>
          <t>CHECK_VENDOR</t>
        </is>
      </c>
      <c r="AA1026" s="188" t="inlineStr">
        <is>
          <t>https://nvd.nist.gov/vuln/detail/CVE-2026-21656</t>
        </is>
      </c>
      <c r="AB1026" s="188" t="inlineStr">
        <is>
          <t>NONE</t>
        </is>
      </c>
      <c r="AC1026" s="188" t="n">
        <v>0</v>
      </c>
      <c r="AD1026" s="188" t="inlineStr"/>
    </row>
    <row r="1027">
      <c r="A1027" s="188" t="inlineStr">
        <is>
          <t>CVE</t>
        </is>
      </c>
      <c r="B1027" s="188" t="inlineStr">
        <is>
          <t>CVE-2026-21657</t>
        </is>
      </c>
      <c r="C1027" s="188"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7" s="188" t="n">
        <v>5</v>
      </c>
      <c r="E1027" s="188" t="inlineStr">
        <is>
          <t>MEDIUM</t>
        </is>
      </c>
      <c r="F1027" s="188" t="n">
        <v>2</v>
      </c>
      <c r="G1027" s="188" t="n">
        <v>2</v>
      </c>
      <c r="H1027" s="188" t="inlineStr">
        <is>
          <t>MEDIUM</t>
        </is>
      </c>
      <c r="I1027" s="188" t="n">
        <v>9</v>
      </c>
      <c r="J1027" s="188" t="inlineStr">
        <is>
          <t>NO</t>
        </is>
      </c>
      <c r="K1027" s="188" t="inlineStr">
        <is>
          <t>https://nvd.nist.gov/vuln/detail/CVE-2026-21657</t>
        </is>
      </c>
      <c r="L1027" s="188" t="inlineStr">
        <is>
          <t>2026-02-27 20:47</t>
        </is>
      </c>
      <c r="M1027" s="188" t="inlineStr">
        <is>
          <t>CHECK_VENDOR</t>
        </is>
      </c>
      <c r="N1027" s="188" t="inlineStr">
        <is>
          <t>See NVD references</t>
        </is>
      </c>
      <c r="O1027" s="188" t="inlineStr">
        <is>
          <t>Apply vendor patches</t>
        </is>
      </c>
      <c r="P1027" s="188" t="inlineStr">
        <is>
          <t>See CVE details</t>
        </is>
      </c>
      <c r="Q1027" s="188" t="inlineStr">
        <is>
          <t>P4</t>
        </is>
      </c>
      <c r="R1027" s="188" t="inlineStr">
        <is>
          <t>📅 Schedule patch deployment within 30 days | 🔍 Monitor for exploitation attempts</t>
        </is>
      </c>
      <c r="S1027" s="188" t="inlineStr">
        <is>
          <t>CVE - IP enrichment n/a</t>
        </is>
      </c>
      <c r="T1027" s="188" t="n">
        <v>0.0008</v>
      </c>
      <c r="U1027" s="188" t="n">
        <v>0.233</v>
      </c>
      <c r="V1027" s="188" t="inlineStr">
        <is>
          <t>T1059:Command and Scripting Interpreter</t>
        </is>
      </c>
      <c r="W1027" s="188" t="n">
        <v>1</v>
      </c>
      <c r="X1027" s="188" t="inlineStr">
        <is>
          <t>LOW (40%)</t>
        </is>
      </c>
      <c r="Y1027" s="188" t="inlineStr">
        <is>
          <t>UNLIKELY</t>
        </is>
      </c>
      <c r="Z1027" s="188" t="inlineStr">
        <is>
          <t>CHECK_VENDOR</t>
        </is>
      </c>
      <c r="AA1027" s="188" t="inlineStr">
        <is>
          <t>https://nvd.nist.gov/vuln/detail/CVE-2026-21657</t>
        </is>
      </c>
      <c r="AB1027" s="188" t="inlineStr">
        <is>
          <t>NONE</t>
        </is>
      </c>
      <c r="AC1027" s="188" t="n">
        <v>0</v>
      </c>
      <c r="AD1027" s="188" t="inlineStr"/>
    </row>
    <row r="1028">
      <c r="A1028" s="187" t="inlineStr">
        <is>
          <t>CVE</t>
        </is>
      </c>
      <c r="B1028" s="187" t="inlineStr">
        <is>
          <t>CVE-2026-21658</t>
        </is>
      </c>
      <c r="C1028" s="187"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8" s="187" t="n">
        <v>8.5</v>
      </c>
      <c r="E1028" s="187" t="inlineStr">
        <is>
          <t>HIGH</t>
        </is>
      </c>
      <c r="F1028" s="187" t="n">
        <v>2</v>
      </c>
      <c r="G1028" s="187" t="n">
        <v>3</v>
      </c>
      <c r="H1028" s="187" t="inlineStr">
        <is>
          <t>HIGH</t>
        </is>
      </c>
      <c r="I1028" s="187" t="n">
        <v>14.5</v>
      </c>
      <c r="J1028" s="187" t="inlineStr">
        <is>
          <t>NO</t>
        </is>
      </c>
      <c r="K1028" s="187" t="inlineStr">
        <is>
          <t>https://nvd.nist.gov/vuln/detail/CVE-2026-21658</t>
        </is>
      </c>
      <c r="L1028" s="187" t="inlineStr">
        <is>
          <t>2026-02-27 20:47</t>
        </is>
      </c>
      <c r="M1028" s="187" t="inlineStr">
        <is>
          <t>CHECK_VENDOR</t>
        </is>
      </c>
      <c r="N1028" s="187" t="inlineStr">
        <is>
          <t>See NVD references</t>
        </is>
      </c>
      <c r="O1028" s="187" t="inlineStr">
        <is>
          <t>Apply vendor patches</t>
        </is>
      </c>
      <c r="P1028" s="187" t="inlineStr">
        <is>
          <t>See CVE details</t>
        </is>
      </c>
      <c r="Q1028" s="187" t="inlineStr">
        <is>
          <t>P3</t>
        </is>
      </c>
      <c r="R1028" s="187" t="inlineStr">
        <is>
          <t>🚨 URGENT: Apply vendor patches immediately | 🔒 Isolate affected systems if patch unavailable | 🛡️ Enable additional monitoring/IDS rules</t>
        </is>
      </c>
      <c r="S1028" s="187" t="inlineStr">
        <is>
          <t>CVE - IP enrichment n/a</t>
        </is>
      </c>
      <c r="T1028" s="187" t="n">
        <v>0.0059</v>
      </c>
      <c r="U1028" s="187" t="n">
        <v>0.6884</v>
      </c>
      <c r="V1028" s="187" t="inlineStr">
        <is>
          <t>T1059:Command and Scripting Interpreter | T1190:Exploit Public-Facing Application | T1210:Exploitation of Remote Services</t>
        </is>
      </c>
      <c r="W1028" s="187" t="n">
        <v>1</v>
      </c>
      <c r="X1028" s="187" t="inlineStr">
        <is>
          <t>LOW (40%)</t>
        </is>
      </c>
      <c r="Y1028" s="187" t="inlineStr">
        <is>
          <t>UNLIKELY</t>
        </is>
      </c>
      <c r="Z1028" s="187" t="inlineStr">
        <is>
          <t>CHECK_VENDOR</t>
        </is>
      </c>
      <c r="AA1028" s="187" t="inlineStr">
        <is>
          <t>https://nvd.nist.gov/vuln/detail/CVE-2026-21658</t>
        </is>
      </c>
      <c r="AB1028" s="187" t="inlineStr">
        <is>
          <t>NONE</t>
        </is>
      </c>
      <c r="AC1028" s="187" t="n">
        <v>0</v>
      </c>
      <c r="AD1028" s="187" t="inlineStr"/>
    </row>
    <row r="1029">
      <c r="A1029" s="189" t="inlineStr">
        <is>
          <t>CVE</t>
        </is>
      </c>
      <c r="B1029" s="189" t="inlineStr">
        <is>
          <t>CVE-2026-2251</t>
        </is>
      </c>
      <c r="C1029" s="189"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1029" s="189" t="n">
        <v>9.800000000000001</v>
      </c>
      <c r="E1029" s="189" t="inlineStr">
        <is>
          <t>CRITICAL</t>
        </is>
      </c>
      <c r="F1029" s="189" t="n">
        <v>2</v>
      </c>
      <c r="G1029" s="189" t="n">
        <v>3</v>
      </c>
      <c r="H1029" s="189" t="inlineStr">
        <is>
          <t>HIGH</t>
        </is>
      </c>
      <c r="I1029" s="189" t="n">
        <v>15.8</v>
      </c>
      <c r="J1029" s="189" t="inlineStr">
        <is>
          <t>NO</t>
        </is>
      </c>
      <c r="K1029" s="189" t="inlineStr">
        <is>
          <t>https://nvd.nist.gov/vuln/detail/CVE-2026-2251</t>
        </is>
      </c>
      <c r="L1029" s="189" t="inlineStr">
        <is>
          <t>2026-02-27 20:47</t>
        </is>
      </c>
      <c r="M1029" s="189" t="inlineStr">
        <is>
          <t>CHECK_VENDOR</t>
        </is>
      </c>
      <c r="N1029" s="189" t="inlineStr">
        <is>
          <t>See NVD references</t>
        </is>
      </c>
      <c r="O1029" s="189" t="inlineStr">
        <is>
          <t>Apply vendor patches</t>
        </is>
      </c>
      <c r="P1029" s="189" t="inlineStr">
        <is>
          <t>See CVE details</t>
        </is>
      </c>
      <c r="Q1029" s="189" t="inlineStr">
        <is>
          <t>P3</t>
        </is>
      </c>
      <c r="R1029" s="189" t="inlineStr">
        <is>
          <t>🚨 URGENT: Apply vendor patches immediately | 🔒 Isolate affected systems if patch unavailable | 🛡️ Enable additional monitoring/IDS rules</t>
        </is>
      </c>
      <c r="S1029" s="189" t="inlineStr">
        <is>
          <t>CVE - IP enrichment n/a</t>
        </is>
      </c>
      <c r="T1029" s="189" t="n">
        <v>0.0005</v>
      </c>
      <c r="U1029" s="189" t="n">
        <v>0.1682</v>
      </c>
      <c r="V1029" s="189" t="inlineStr">
        <is>
          <t>T1083:File and Directory Discovery | T1190:Exploit Public-Facing Application</t>
        </is>
      </c>
      <c r="W1029" s="189" t="n">
        <v>1</v>
      </c>
      <c r="X1029" s="189" t="inlineStr">
        <is>
          <t>LOW (40%)</t>
        </is>
      </c>
      <c r="Y1029" s="189" t="inlineStr">
        <is>
          <t>UNLIKELY</t>
        </is>
      </c>
      <c r="Z1029" s="189" t="inlineStr">
        <is>
          <t>CHECK_VENDOR</t>
        </is>
      </c>
      <c r="AA1029" s="189" t="inlineStr">
        <is>
          <t>https://nvd.nist.gov/vuln/detail/CVE-2026-2251</t>
        </is>
      </c>
      <c r="AB1029" s="189" t="inlineStr">
        <is>
          <t>NONE</t>
        </is>
      </c>
      <c r="AC1029" s="189" t="n">
        <v>0</v>
      </c>
      <c r="AD1029" s="189" t="inlineStr"/>
    </row>
    <row r="1030">
      <c r="A1030" s="187" t="inlineStr">
        <is>
          <t>CVE</t>
        </is>
      </c>
      <c r="B1030" s="187" t="inlineStr">
        <is>
          <t>CVE-2026-2252</t>
        </is>
      </c>
      <c r="C1030" s="187"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1030" s="187" t="n">
        <v>7.5</v>
      </c>
      <c r="E1030" s="187" t="inlineStr">
        <is>
          <t>HIGH</t>
        </is>
      </c>
      <c r="F1030" s="187" t="n">
        <v>2</v>
      </c>
      <c r="G1030" s="187" t="n">
        <v>3</v>
      </c>
      <c r="H1030" s="187" t="inlineStr">
        <is>
          <t>HIGH</t>
        </is>
      </c>
      <c r="I1030" s="187" t="n">
        <v>13.5</v>
      </c>
      <c r="J1030" s="187" t="inlineStr">
        <is>
          <t>NO</t>
        </is>
      </c>
      <c r="K1030" s="187" t="inlineStr">
        <is>
          <t>https://nvd.nist.gov/vuln/detail/CVE-2026-2252</t>
        </is>
      </c>
      <c r="L1030" s="187" t="inlineStr">
        <is>
          <t>2026-02-27 20:47</t>
        </is>
      </c>
      <c r="M1030" s="187" t="inlineStr">
        <is>
          <t>CHECK_VENDOR</t>
        </is>
      </c>
      <c r="N1030" s="187" t="inlineStr">
        <is>
          <t>See NVD references</t>
        </is>
      </c>
      <c r="O1030" s="187" t="inlineStr">
        <is>
          <t>Apply vendor patches</t>
        </is>
      </c>
      <c r="P1030" s="187" t="inlineStr">
        <is>
          <t>See CVE details</t>
        </is>
      </c>
      <c r="Q1030" s="187" t="inlineStr">
        <is>
          <t>P3</t>
        </is>
      </c>
      <c r="R1030" s="187" t="inlineStr">
        <is>
          <t>🚨 URGENT: Apply vendor patches immediately | 🔒 Isolate affected systems if patch unavailable | 🛡️ Enable additional monitoring/IDS rules</t>
        </is>
      </c>
      <c r="S1030" s="187" t="inlineStr">
        <is>
          <t>CVE - IP enrichment n/a</t>
        </is>
      </c>
      <c r="T1030" s="187" t="n">
        <v>0.0004</v>
      </c>
      <c r="U1030" s="187" t="n">
        <v>0.1109</v>
      </c>
      <c r="V1030" s="187" t="inlineStr">
        <is>
          <t>T1059.003:Windows Command Shell | T1090:Proxy</t>
        </is>
      </c>
      <c r="W1030" s="187" t="n">
        <v>1</v>
      </c>
      <c r="X1030" s="187" t="inlineStr">
        <is>
          <t>LOW (40%)</t>
        </is>
      </c>
      <c r="Y1030" s="187" t="inlineStr">
        <is>
          <t>UNLIKELY</t>
        </is>
      </c>
      <c r="Z1030" s="187" t="inlineStr">
        <is>
          <t>CHECK_VENDOR</t>
        </is>
      </c>
      <c r="AA1030" s="187" t="inlineStr">
        <is>
          <t>https://nvd.nist.gov/vuln/detail/CVE-2026-2252</t>
        </is>
      </c>
      <c r="AB1030" s="187" t="inlineStr">
        <is>
          <t>NONE</t>
        </is>
      </c>
      <c r="AC1030" s="187" t="n">
        <v>0</v>
      </c>
      <c r="AD1030" s="187" t="inlineStr"/>
    </row>
    <row r="1031">
      <c r="A1031" s="188" t="inlineStr">
        <is>
          <t>CVE</t>
        </is>
      </c>
      <c r="B1031" s="188" t="inlineStr">
        <is>
          <t>CVE-2026-2362</t>
        </is>
      </c>
      <c r="C1031" s="188"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1031" s="188" t="n">
        <v>6.4</v>
      </c>
      <c r="E1031" s="188" t="inlineStr">
        <is>
          <t>MEDIUM</t>
        </is>
      </c>
      <c r="F1031" s="188" t="n">
        <v>2</v>
      </c>
      <c r="G1031" s="188" t="n">
        <v>2</v>
      </c>
      <c r="H1031" s="188" t="inlineStr">
        <is>
          <t>MEDIUM</t>
        </is>
      </c>
      <c r="I1031" s="188" t="n">
        <v>10.4</v>
      </c>
      <c r="J1031" s="188" t="inlineStr">
        <is>
          <t>NO</t>
        </is>
      </c>
      <c r="K1031" s="188" t="inlineStr">
        <is>
          <t>https://nvd.nist.gov/vuln/detail/CVE-2026-2362</t>
        </is>
      </c>
      <c r="L1031" s="188" t="inlineStr">
        <is>
          <t>2026-02-27 20:47</t>
        </is>
      </c>
      <c r="M1031" s="188" t="inlineStr">
        <is>
          <t>CHECK_VENDOR</t>
        </is>
      </c>
      <c r="N1031" s="188" t="inlineStr">
        <is>
          <t>See NVD references</t>
        </is>
      </c>
      <c r="O1031" s="188" t="inlineStr">
        <is>
          <t>Apply vendor patches</t>
        </is>
      </c>
      <c r="P1031" s="188" t="inlineStr">
        <is>
          <t>See CVE details</t>
        </is>
      </c>
      <c r="Q1031" s="188" t="inlineStr">
        <is>
          <t>P4</t>
        </is>
      </c>
      <c r="R1031" s="188" t="inlineStr">
        <is>
          <t>📅 Schedule patch deployment within 30 days | 🔍 Monitor for exploitation attempts</t>
        </is>
      </c>
      <c r="S1031" s="188" t="inlineStr">
        <is>
          <t>CVE - IP enrichment n/a</t>
        </is>
      </c>
      <c r="T1031" s="188" t="n">
        <v>0.0004</v>
      </c>
      <c r="U1031" s="188" t="n">
        <v>0.1049</v>
      </c>
      <c r="V1031" s="188" t="inlineStr">
        <is>
          <t>T1189:Drive-by Compromise</t>
        </is>
      </c>
      <c r="W1031" s="188" t="n">
        <v>1</v>
      </c>
      <c r="X1031" s="188" t="inlineStr">
        <is>
          <t>LOW (40%)</t>
        </is>
      </c>
      <c r="Y1031" s="188" t="inlineStr">
        <is>
          <t>UNLIKELY</t>
        </is>
      </c>
      <c r="Z1031" s="188" t="inlineStr">
        <is>
          <t>CHECK_VENDOR</t>
        </is>
      </c>
      <c r="AA1031" s="188" t="inlineStr">
        <is>
          <t>https://nvd.nist.gov/vuln/detail/CVE-2026-2362</t>
        </is>
      </c>
      <c r="AB1031" s="188" t="inlineStr">
        <is>
          <t>NONE</t>
        </is>
      </c>
      <c r="AC1031" s="188" t="n">
        <v>0</v>
      </c>
      <c r="AD1031" s="188" t="inlineStr"/>
    </row>
    <row r="1032">
      <c r="A1032" s="188" t="inlineStr">
        <is>
          <t>CVE</t>
        </is>
      </c>
      <c r="B1032" s="188" t="inlineStr">
        <is>
          <t>CVE-2026-2383</t>
        </is>
      </c>
      <c r="C1032" s="188"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1032" s="188" t="n">
        <v>6.4</v>
      </c>
      <c r="E1032" s="188" t="inlineStr">
        <is>
          <t>MEDIUM</t>
        </is>
      </c>
      <c r="F1032" s="188" t="n">
        <v>2</v>
      </c>
      <c r="G1032" s="188" t="n">
        <v>2</v>
      </c>
      <c r="H1032" s="188" t="inlineStr">
        <is>
          <t>MEDIUM</t>
        </is>
      </c>
      <c r="I1032" s="188" t="n">
        <v>10.4</v>
      </c>
      <c r="J1032" s="188" t="inlineStr">
        <is>
          <t>NO</t>
        </is>
      </c>
      <c r="K1032" s="188" t="inlineStr">
        <is>
          <t>https://nvd.nist.gov/vuln/detail/CVE-2026-2383</t>
        </is>
      </c>
      <c r="L1032" s="188" t="inlineStr">
        <is>
          <t>2026-02-27 20:47</t>
        </is>
      </c>
      <c r="M1032" s="188" t="inlineStr">
        <is>
          <t>CHECK_VENDOR</t>
        </is>
      </c>
      <c r="N1032" s="188" t="inlineStr">
        <is>
          <t>See NVD references</t>
        </is>
      </c>
      <c r="O1032" s="188" t="inlineStr">
        <is>
          <t>Apply vendor patches</t>
        </is>
      </c>
      <c r="P1032" s="188" t="inlineStr">
        <is>
          <t>See CVE details</t>
        </is>
      </c>
      <c r="Q1032" s="188" t="inlineStr">
        <is>
          <t>P4</t>
        </is>
      </c>
      <c r="R1032" s="188" t="inlineStr">
        <is>
          <t>📅 Schedule patch deployment within 30 days | 🔍 Monitor for exploitation attempts</t>
        </is>
      </c>
      <c r="S1032" s="188" t="inlineStr">
        <is>
          <t>CVE - IP enrichment n/a</t>
        </is>
      </c>
      <c r="T1032" s="188" t="n">
        <v>0.0003</v>
      </c>
      <c r="U1032" s="188" t="n">
        <v>0.08459999999999999</v>
      </c>
      <c r="V1032" s="188" t="inlineStr">
        <is>
          <t>T1189:Drive-by Compromise</t>
        </is>
      </c>
      <c r="W1032" s="188" t="n">
        <v>1</v>
      </c>
      <c r="X1032" s="188" t="inlineStr">
        <is>
          <t>LOW (40%)</t>
        </is>
      </c>
      <c r="Y1032" s="188" t="inlineStr">
        <is>
          <t>UNLIKELY</t>
        </is>
      </c>
      <c r="Z1032" s="188" t="inlineStr">
        <is>
          <t>CHECK_VENDOR</t>
        </is>
      </c>
      <c r="AA1032" s="188" t="inlineStr">
        <is>
          <t>https://nvd.nist.gov/vuln/detail/CVE-2026-2383</t>
        </is>
      </c>
      <c r="AB1032" s="188" t="inlineStr">
        <is>
          <t>NONE</t>
        </is>
      </c>
      <c r="AC1032" s="188" t="n">
        <v>0</v>
      </c>
      <c r="AD1032" s="188" t="inlineStr"/>
    </row>
    <row r="1033">
      <c r="A1033" s="188" t="inlineStr">
        <is>
          <t>CVE</t>
        </is>
      </c>
      <c r="B1033" s="188" t="inlineStr">
        <is>
          <t>CVE-2024-10938</t>
        </is>
      </c>
      <c r="C1033" s="188"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1033" s="188" t="n">
        <v>6.5</v>
      </c>
      <c r="E1033" s="188" t="inlineStr">
        <is>
          <t>MEDIUM</t>
        </is>
      </c>
      <c r="F1033" s="188" t="n">
        <v>2</v>
      </c>
      <c r="G1033" s="188" t="n">
        <v>2</v>
      </c>
      <c r="H1033" s="188" t="inlineStr">
        <is>
          <t>MEDIUM</t>
        </is>
      </c>
      <c r="I1033" s="188" t="n">
        <v>10.5</v>
      </c>
      <c r="J1033" s="188" t="inlineStr">
        <is>
          <t>NO</t>
        </is>
      </c>
      <c r="K1033" s="188" t="inlineStr">
        <is>
          <t>https://nvd.nist.gov/vuln/detail/CVE-2024-10938</t>
        </is>
      </c>
      <c r="L1033" s="188" t="inlineStr">
        <is>
          <t>2026-02-27 20:47</t>
        </is>
      </c>
      <c r="M1033" s="188" t="inlineStr">
        <is>
          <t>CHECK_VENDOR</t>
        </is>
      </c>
      <c r="N1033" s="188" t="inlineStr">
        <is>
          <t>See NVD references</t>
        </is>
      </c>
      <c r="O1033" s="188" t="inlineStr">
        <is>
          <t>Apply vendor patches</t>
        </is>
      </c>
      <c r="P1033" s="188" t="inlineStr">
        <is>
          <t>See CVE details</t>
        </is>
      </c>
      <c r="Q1033" s="188" t="inlineStr">
        <is>
          <t>P4</t>
        </is>
      </c>
      <c r="R1033" s="188" t="inlineStr">
        <is>
          <t>📅 Schedule patch deployment within 30 days | 🔍 Monitor for exploitation attempts</t>
        </is>
      </c>
      <c r="S1033" s="188" t="inlineStr">
        <is>
          <t>CVE - IP enrichment n/a</t>
        </is>
      </c>
      <c r="T1033" s="188" t="n">
        <v>0.0005</v>
      </c>
      <c r="U1033" s="188" t="n">
        <v>0.1464</v>
      </c>
      <c r="V1033" s="188" t="inlineStr">
        <is>
          <t>T1190:Exploit Public-Facing Application</t>
        </is>
      </c>
      <c r="W1033" s="188" t="n">
        <v>1</v>
      </c>
      <c r="X1033" s="188" t="inlineStr">
        <is>
          <t>LOW (40%)</t>
        </is>
      </c>
      <c r="Y1033" s="188" t="inlineStr">
        <is>
          <t>UNLIKELY</t>
        </is>
      </c>
      <c r="Z1033" s="188" t="inlineStr">
        <is>
          <t>CHECK_VENDOR</t>
        </is>
      </c>
      <c r="AA1033" s="188" t="inlineStr">
        <is>
          <t>https://nvd.nist.gov/vuln/detail/CVE-2024-10938</t>
        </is>
      </c>
      <c r="AB1033" s="188" t="inlineStr">
        <is>
          <t>NONE</t>
        </is>
      </c>
      <c r="AC1033" s="188" t="n">
        <v>0</v>
      </c>
      <c r="AD1033" s="188" t="inlineStr"/>
    </row>
    <row r="1034">
      <c r="A1034" s="188" t="inlineStr">
        <is>
          <t>CVE</t>
        </is>
      </c>
      <c r="B1034" s="188" t="inlineStr">
        <is>
          <t>CVE-2025-14142</t>
        </is>
      </c>
      <c r="C1034" s="188"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1034" s="188" t="n">
        <v>6.4</v>
      </c>
      <c r="E1034" s="188" t="inlineStr">
        <is>
          <t>MEDIUM</t>
        </is>
      </c>
      <c r="F1034" s="188" t="n">
        <v>2</v>
      </c>
      <c r="G1034" s="188" t="n">
        <v>2</v>
      </c>
      <c r="H1034" s="188" t="inlineStr">
        <is>
          <t>MEDIUM</t>
        </is>
      </c>
      <c r="I1034" s="188" t="n">
        <v>10.4</v>
      </c>
      <c r="J1034" s="188" t="inlineStr">
        <is>
          <t>NO</t>
        </is>
      </c>
      <c r="K1034" s="188" t="inlineStr">
        <is>
          <t>https://nvd.nist.gov/vuln/detail/CVE-2025-14142</t>
        </is>
      </c>
      <c r="L1034" s="188" t="inlineStr">
        <is>
          <t>2026-02-27 20:47</t>
        </is>
      </c>
      <c r="M1034" s="188" t="inlineStr">
        <is>
          <t>CHECK_VENDOR</t>
        </is>
      </c>
      <c r="N1034" s="188" t="inlineStr">
        <is>
          <t>See NVD references</t>
        </is>
      </c>
      <c r="O1034" s="188" t="inlineStr">
        <is>
          <t>Apply vendor patches</t>
        </is>
      </c>
      <c r="P1034" s="188" t="inlineStr">
        <is>
          <t>See CVE details</t>
        </is>
      </c>
      <c r="Q1034" s="188" t="inlineStr">
        <is>
          <t>P4</t>
        </is>
      </c>
      <c r="R1034" s="188" t="inlineStr">
        <is>
          <t>📅 Schedule patch deployment within 30 days | 🔍 Monitor for exploitation attempts</t>
        </is>
      </c>
      <c r="S1034" s="188" t="inlineStr">
        <is>
          <t>CVE - IP enrichment n/a</t>
        </is>
      </c>
      <c r="T1034" s="188" t="n">
        <v>0.0003</v>
      </c>
      <c r="U1034" s="188" t="n">
        <v>0.07820000000000001</v>
      </c>
      <c r="V1034" s="188" t="inlineStr">
        <is>
          <t>T1189:Drive-by Compromise</t>
        </is>
      </c>
      <c r="W1034" s="188" t="n">
        <v>1</v>
      </c>
      <c r="X1034" s="188" t="inlineStr">
        <is>
          <t>LOW (40%)</t>
        </is>
      </c>
      <c r="Y1034" s="188" t="inlineStr">
        <is>
          <t>UNLIKELY</t>
        </is>
      </c>
      <c r="Z1034" s="188" t="inlineStr">
        <is>
          <t>CHECK_VENDOR</t>
        </is>
      </c>
      <c r="AA1034" s="188" t="inlineStr">
        <is>
          <t>https://nvd.nist.gov/vuln/detail/CVE-2025-14142</t>
        </is>
      </c>
      <c r="AB1034" s="188" t="inlineStr">
        <is>
          <t>NONE</t>
        </is>
      </c>
      <c r="AC1034" s="188" t="n">
        <v>0</v>
      </c>
      <c r="AD1034" s="188" t="inlineStr"/>
    </row>
    <row r="1035">
      <c r="A1035" s="188" t="inlineStr">
        <is>
          <t>CVE</t>
        </is>
      </c>
      <c r="B1035" s="188" t="inlineStr">
        <is>
          <t>CVE-2026-1305</t>
        </is>
      </c>
      <c r="C1035" s="188"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1035" s="188" t="n">
        <v>5.3</v>
      </c>
      <c r="E1035" s="188" t="inlineStr">
        <is>
          <t>MEDIUM</t>
        </is>
      </c>
      <c r="F1035" s="188" t="n">
        <v>2</v>
      </c>
      <c r="G1035" s="188" t="n">
        <v>2</v>
      </c>
      <c r="H1035" s="188" t="inlineStr">
        <is>
          <t>MEDIUM</t>
        </is>
      </c>
      <c r="I1035" s="188" t="n">
        <v>9.300000000000001</v>
      </c>
      <c r="J1035" s="188" t="inlineStr">
        <is>
          <t>NO</t>
        </is>
      </c>
      <c r="K1035" s="188" t="inlineStr">
        <is>
          <t>https://nvd.nist.gov/vuln/detail/CVE-2026-1305</t>
        </is>
      </c>
      <c r="L1035" s="188" t="inlineStr">
        <is>
          <t>2026-02-27 20:47</t>
        </is>
      </c>
      <c r="M1035" s="188" t="inlineStr">
        <is>
          <t>CHECK_VENDOR</t>
        </is>
      </c>
      <c r="N1035" s="188" t="inlineStr">
        <is>
          <t>See NVD references</t>
        </is>
      </c>
      <c r="O1035" s="188" t="inlineStr">
        <is>
          <t>Apply vendor patches</t>
        </is>
      </c>
      <c r="P1035" s="188" t="inlineStr">
        <is>
          <t>See CVE details</t>
        </is>
      </c>
      <c r="Q1035" s="188" t="inlineStr">
        <is>
          <t>P4</t>
        </is>
      </c>
      <c r="R1035" s="188" t="inlineStr">
        <is>
          <t>📅 Schedule patch deployment within 30 days | 🔍 Monitor for exploitation attempts</t>
        </is>
      </c>
      <c r="S1035" s="188" t="inlineStr">
        <is>
          <t>CVE - IP enrichment n/a</t>
        </is>
      </c>
      <c r="T1035" s="188" t="n">
        <v>0.0019</v>
      </c>
      <c r="U1035" s="188" t="n">
        <v>0.4099</v>
      </c>
      <c r="V1035" s="188" t="inlineStr">
        <is>
          <t>T1078:Valid Accounts | T1110:Brute Force | T1190:Exploit Public-Facing Application</t>
        </is>
      </c>
      <c r="W1035" s="188" t="n">
        <v>1</v>
      </c>
      <c r="X1035" s="188" t="inlineStr">
        <is>
          <t>LOW (40%)</t>
        </is>
      </c>
      <c r="Y1035" s="188" t="inlineStr">
        <is>
          <t>UNLIKELY</t>
        </is>
      </c>
      <c r="Z1035" s="188" t="inlineStr">
        <is>
          <t>CHECK_VENDOR</t>
        </is>
      </c>
      <c r="AA1035" s="188" t="inlineStr">
        <is>
          <t>https://nvd.nist.gov/vuln/detail/CVE-2026-1305</t>
        </is>
      </c>
      <c r="AB1035" s="188" t="inlineStr">
        <is>
          <t>NONE</t>
        </is>
      </c>
      <c r="AC1035" s="188" t="n">
        <v>0</v>
      </c>
      <c r="AD1035" s="188" t="inlineStr"/>
    </row>
    <row r="1036">
      <c r="A1036" s="187" t="inlineStr">
        <is>
          <t>CVE</t>
        </is>
      </c>
      <c r="B1036" s="187" t="inlineStr">
        <is>
          <t>CVE-2026-21659</t>
        </is>
      </c>
      <c r="C1036" s="187"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1036" s="187" t="n">
        <v>8.5</v>
      </c>
      <c r="E1036" s="187" t="inlineStr">
        <is>
          <t>HIGH</t>
        </is>
      </c>
      <c r="F1036" s="187" t="n">
        <v>2</v>
      </c>
      <c r="G1036" s="187" t="n">
        <v>3</v>
      </c>
      <c r="H1036" s="187" t="inlineStr">
        <is>
          <t>HIGH</t>
        </is>
      </c>
      <c r="I1036" s="187" t="n">
        <v>14.5</v>
      </c>
      <c r="J1036" s="187" t="inlineStr">
        <is>
          <t>NO</t>
        </is>
      </c>
      <c r="K1036" s="187" t="inlineStr">
        <is>
          <t>https://nvd.nist.gov/vuln/detail/CVE-2026-21659</t>
        </is>
      </c>
      <c r="L1036" s="187" t="inlineStr">
        <is>
          <t>2026-02-27 20:47</t>
        </is>
      </c>
      <c r="M1036" s="187" t="inlineStr">
        <is>
          <t>CHECK_VENDOR</t>
        </is>
      </c>
      <c r="N1036" s="187" t="inlineStr">
        <is>
          <t>See NVD references</t>
        </is>
      </c>
      <c r="O1036" s="187" t="inlineStr">
        <is>
          <t>Apply vendor patches</t>
        </is>
      </c>
      <c r="P1036" s="187" t="inlineStr">
        <is>
          <t>See CVE details</t>
        </is>
      </c>
      <c r="Q1036" s="187" t="inlineStr">
        <is>
          <t>P3</t>
        </is>
      </c>
      <c r="R1036" s="187" t="inlineStr">
        <is>
          <t>🚨 URGENT: Apply vendor patches immediately | 🔒 Isolate affected systems if patch unavailable | 🛡️ Enable additional monitoring/IDS rules</t>
        </is>
      </c>
      <c r="S1036" s="187" t="inlineStr">
        <is>
          <t>CVE - IP enrichment n/a</t>
        </is>
      </c>
      <c r="T1036" s="187" t="n">
        <v>0.0052</v>
      </c>
      <c r="U1036" s="187" t="n">
        <v>0.6627999999999999</v>
      </c>
      <c r="V1036" s="187" t="inlineStr">
        <is>
          <t>T1190:Exploit Public-Facing Application | T1210:Exploitation of Remote Services | T1203:Exploitation for Client Execution</t>
        </is>
      </c>
      <c r="W1036" s="187" t="n">
        <v>1</v>
      </c>
      <c r="X1036" s="187" t="inlineStr">
        <is>
          <t>LOW (40%)</t>
        </is>
      </c>
      <c r="Y1036" s="187" t="inlineStr">
        <is>
          <t>UNLIKELY</t>
        </is>
      </c>
      <c r="Z1036" s="187" t="inlineStr">
        <is>
          <t>CHECK_VENDOR</t>
        </is>
      </c>
      <c r="AA1036" s="187" t="inlineStr">
        <is>
          <t>https://nvd.nist.gov/vuln/detail/CVE-2026-21659</t>
        </is>
      </c>
      <c r="AB1036" s="187" t="inlineStr">
        <is>
          <t>NONE</t>
        </is>
      </c>
      <c r="AC1036" s="187" t="n">
        <v>0</v>
      </c>
      <c r="AD1036" s="187" t="inlineStr"/>
    </row>
    <row r="1037">
      <c r="A1037" s="188" t="inlineStr">
        <is>
          <t>CVE</t>
        </is>
      </c>
      <c r="B1037" s="188" t="inlineStr">
        <is>
          <t>CVE-2026-21660</t>
        </is>
      </c>
      <c r="C1037" s="188"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1037" s="188" t="n">
        <v>5</v>
      </c>
      <c r="E1037" s="188" t="inlineStr">
        <is>
          <t>MEDIUM</t>
        </is>
      </c>
      <c r="F1037" s="188" t="n">
        <v>2</v>
      </c>
      <c r="G1037" s="188" t="n">
        <v>2</v>
      </c>
      <c r="H1037" s="188" t="inlineStr">
        <is>
          <t>MEDIUM</t>
        </is>
      </c>
      <c r="I1037" s="188" t="n">
        <v>9</v>
      </c>
      <c r="J1037" s="188" t="inlineStr">
        <is>
          <t>NO</t>
        </is>
      </c>
      <c r="K1037" s="188" t="inlineStr">
        <is>
          <t>https://nvd.nist.gov/vuln/detail/CVE-2026-21660</t>
        </is>
      </c>
      <c r="L1037" s="188" t="inlineStr">
        <is>
          <t>2026-02-27 20:47</t>
        </is>
      </c>
      <c r="M1037" s="188" t="inlineStr">
        <is>
          <t>CHECK_VENDOR</t>
        </is>
      </c>
      <c r="N1037" s="188" t="inlineStr">
        <is>
          <t>See NVD references</t>
        </is>
      </c>
      <c r="O1037" s="188" t="inlineStr">
        <is>
          <t>Apply vendor patches</t>
        </is>
      </c>
      <c r="P1037" s="188" t="inlineStr">
        <is>
          <t>See CVE details</t>
        </is>
      </c>
      <c r="Q1037" s="188" t="inlineStr">
        <is>
          <t>P4</t>
        </is>
      </c>
      <c r="R1037" s="188" t="inlineStr">
        <is>
          <t>📅 Schedule patch deployment within 30 days | 🔍 Monitor for exploitation attempts</t>
        </is>
      </c>
      <c r="S1037" s="188" t="inlineStr">
        <is>
          <t>CVE - IP enrichment n/a</t>
        </is>
      </c>
      <c r="T1037" s="188" t="n">
        <v>0.0002</v>
      </c>
      <c r="U1037" s="188" t="n">
        <v>0.0363</v>
      </c>
      <c r="V1037" s="188" t="inlineStr">
        <is>
          <t>T1552:Unsecured Credentials</t>
        </is>
      </c>
      <c r="W1037" s="188" t="n">
        <v>1</v>
      </c>
      <c r="X1037" s="188" t="inlineStr">
        <is>
          <t>LOW (40%)</t>
        </is>
      </c>
      <c r="Y1037" s="188" t="inlineStr">
        <is>
          <t>UNLIKELY</t>
        </is>
      </c>
      <c r="Z1037" s="188" t="inlineStr">
        <is>
          <t>CHECK_VENDOR</t>
        </is>
      </c>
      <c r="AA1037" s="188" t="inlineStr">
        <is>
          <t>https://nvd.nist.gov/vuln/detail/CVE-2026-21660</t>
        </is>
      </c>
      <c r="AB1037" s="188" t="inlineStr">
        <is>
          <t>NONE</t>
        </is>
      </c>
      <c r="AC1037" s="188" t="n">
        <v>0</v>
      </c>
      <c r="AD1037" s="188" t="inlineStr"/>
    </row>
    <row r="1038">
      <c r="A1038" s="188" t="inlineStr">
        <is>
          <t>CVE</t>
        </is>
      </c>
      <c r="B1038" s="188" t="inlineStr">
        <is>
          <t>CVE-2026-1434</t>
        </is>
      </c>
      <c r="C1038" s="188" t="inlineStr">
        <is>
          <t>Omega-PSIR is vulnerable to Reflected XSS via the lang parameter. An attacker can craft a malicious URL that, when opened, causes arbitrary JavaScript to execute in the victim’s browser.
This issue was fixed in 4.6.7.</t>
        </is>
      </c>
      <c r="D1038" s="188" t="n">
        <v>6.1</v>
      </c>
      <c r="E1038" s="188" t="inlineStr">
        <is>
          <t>MEDIUM</t>
        </is>
      </c>
      <c r="F1038" s="188" t="n">
        <v>2</v>
      </c>
      <c r="G1038" s="188" t="n">
        <v>2</v>
      </c>
      <c r="H1038" s="188" t="inlineStr">
        <is>
          <t>MEDIUM</t>
        </is>
      </c>
      <c r="I1038" s="188" t="n">
        <v>10.1</v>
      </c>
      <c r="J1038" s="188" t="inlineStr">
        <is>
          <t>NO</t>
        </is>
      </c>
      <c r="K1038" s="188" t="inlineStr">
        <is>
          <t>https://nvd.nist.gov/vuln/detail/CVE-2026-1434</t>
        </is>
      </c>
      <c r="L1038" s="188" t="inlineStr">
        <is>
          <t>2026-02-27 20:47</t>
        </is>
      </c>
      <c r="M1038" s="188" t="inlineStr">
        <is>
          <t>CHECK_VENDOR</t>
        </is>
      </c>
      <c r="N1038" s="188" t="inlineStr">
        <is>
          <t>See NVD references</t>
        </is>
      </c>
      <c r="O1038" s="188" t="inlineStr">
        <is>
          <t>Apply vendor patches</t>
        </is>
      </c>
      <c r="P1038" s="188" t="inlineStr">
        <is>
          <t>pw omega-psir *</t>
        </is>
      </c>
      <c r="Q1038" s="188" t="inlineStr">
        <is>
          <t>P4</t>
        </is>
      </c>
      <c r="R1038" s="188" t="inlineStr">
        <is>
          <t>📅 Schedule patch deployment within 30 days | 🔍 Monitor for exploitation attempts</t>
        </is>
      </c>
      <c r="S1038" s="188" t="inlineStr">
        <is>
          <t>CVE - IP enrichment n/a</t>
        </is>
      </c>
      <c r="T1038" s="188" t="n">
        <v>0.0005</v>
      </c>
      <c r="U1038" s="188" t="n">
        <v>0.1447</v>
      </c>
      <c r="V1038" s="188" t="inlineStr">
        <is>
          <t>T1189:Drive-by Compromise</t>
        </is>
      </c>
      <c r="W1038" s="188" t="n">
        <v>1</v>
      </c>
      <c r="X1038" s="188" t="inlineStr">
        <is>
          <t>LOW (40%)</t>
        </is>
      </c>
      <c r="Y1038" s="188" t="inlineStr">
        <is>
          <t>UNLIKELY</t>
        </is>
      </c>
      <c r="Z1038" s="188" t="inlineStr">
        <is>
          <t>CHECK_VENDOR</t>
        </is>
      </c>
      <c r="AA1038" s="188" t="inlineStr">
        <is>
          <t>https://nvd.nist.gov/vuln/detail/CVE-2026-1434</t>
        </is>
      </c>
      <c r="AB1038" s="188" t="inlineStr">
        <is>
          <t>NONE</t>
        </is>
      </c>
      <c r="AC1038" s="188" t="n">
        <v>0</v>
      </c>
      <c r="AD1038" s="188" t="inlineStr"/>
    </row>
    <row r="1039">
      <c r="A1039" s="189" t="inlineStr">
        <is>
          <t>CVE</t>
        </is>
      </c>
      <c r="B1039" s="189" t="inlineStr">
        <is>
          <t>CVE-2025-11251</t>
        </is>
      </c>
      <c r="C1039" s="189"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1039" s="189" t="n">
        <v>9.800000000000001</v>
      </c>
      <c r="E1039" s="189" t="inlineStr">
        <is>
          <t>CRITICAL</t>
        </is>
      </c>
      <c r="F1039" s="189" t="n">
        <v>2</v>
      </c>
      <c r="G1039" s="189" t="n">
        <v>3</v>
      </c>
      <c r="H1039" s="189" t="inlineStr">
        <is>
          <t>HIGH</t>
        </is>
      </c>
      <c r="I1039" s="189" t="n">
        <v>15.8</v>
      </c>
      <c r="J1039" s="189" t="inlineStr">
        <is>
          <t>NO</t>
        </is>
      </c>
      <c r="K1039" s="189" t="inlineStr">
        <is>
          <t>https://nvd.nist.gov/vuln/detail/CVE-2025-11251</t>
        </is>
      </c>
      <c r="L1039" s="189" t="inlineStr">
        <is>
          <t>2026-02-27 20:47</t>
        </is>
      </c>
      <c r="M1039" s="189" t="inlineStr">
        <is>
          <t>CHECK_VENDOR</t>
        </is>
      </c>
      <c r="N1039" s="189" t="inlineStr">
        <is>
          <t>See NVD references</t>
        </is>
      </c>
      <c r="O1039" s="189" t="inlineStr">
        <is>
          <t>Apply vendor patches</t>
        </is>
      </c>
      <c r="P1039" s="189" t="inlineStr">
        <is>
          <t>daynex woyio -</t>
        </is>
      </c>
      <c r="Q1039" s="189" t="inlineStr">
        <is>
          <t>P3</t>
        </is>
      </c>
      <c r="R1039" s="189" t="inlineStr">
        <is>
          <t>🚨 URGENT: Apply vendor patches immediately | 🔒 Isolate affected systems if patch unavailable | 🛡️ Enable additional monitoring/IDS rules</t>
        </is>
      </c>
      <c r="S1039" s="189" t="inlineStr">
        <is>
          <t>CVE - IP enrichment n/a</t>
        </is>
      </c>
      <c r="T1039" s="189" t="n">
        <v>0.0003</v>
      </c>
      <c r="U1039" s="189" t="n">
        <v>0.0853</v>
      </c>
      <c r="V1039" s="189" t="inlineStr">
        <is>
          <t>T1190:Exploit Public-Facing Application</t>
        </is>
      </c>
      <c r="W1039" s="189" t="n">
        <v>1</v>
      </c>
      <c r="X1039" s="189" t="inlineStr">
        <is>
          <t>LOW (40%)</t>
        </is>
      </c>
      <c r="Y1039" s="189" t="inlineStr">
        <is>
          <t>UNLIKELY</t>
        </is>
      </c>
      <c r="Z1039" s="189" t="inlineStr">
        <is>
          <t>CHECK_VENDOR</t>
        </is>
      </c>
      <c r="AA1039" s="189" t="inlineStr">
        <is>
          <t>https://nvd.nist.gov/vuln/detail/CVE-2025-11251</t>
        </is>
      </c>
      <c r="AB1039" s="189" t="inlineStr">
        <is>
          <t>NONE</t>
        </is>
      </c>
      <c r="AC1039" s="189" t="n">
        <v>0</v>
      </c>
      <c r="AD1039" s="189" t="inlineStr"/>
    </row>
    <row r="1040">
      <c r="A1040" s="188" t="inlineStr">
        <is>
          <t>CVE</t>
        </is>
      </c>
      <c r="B1040" s="188" t="inlineStr">
        <is>
          <t>CVE-2026-24350</t>
        </is>
      </c>
      <c r="C1040" s="188"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1040" s="188" t="n">
        <v>5</v>
      </c>
      <c r="E1040" s="188" t="inlineStr">
        <is>
          <t>MEDIUM</t>
        </is>
      </c>
      <c r="F1040" s="188" t="n">
        <v>2</v>
      </c>
      <c r="G1040" s="188" t="n">
        <v>2</v>
      </c>
      <c r="H1040" s="188" t="inlineStr">
        <is>
          <t>MEDIUM</t>
        </is>
      </c>
      <c r="I1040" s="188" t="n">
        <v>9</v>
      </c>
      <c r="J1040" s="188" t="inlineStr">
        <is>
          <t>NO</t>
        </is>
      </c>
      <c r="K1040" s="188" t="inlineStr">
        <is>
          <t>https://nvd.nist.gov/vuln/detail/CVE-2026-24350</t>
        </is>
      </c>
      <c r="L1040" s="188" t="inlineStr">
        <is>
          <t>2026-02-27 20:47</t>
        </is>
      </c>
      <c r="M1040" s="188" t="inlineStr">
        <is>
          <t>CHECK_VENDOR</t>
        </is>
      </c>
      <c r="N1040" s="188" t="inlineStr">
        <is>
          <t>See NVD references</t>
        </is>
      </c>
      <c r="O1040" s="188" t="inlineStr">
        <is>
          <t>Apply vendor patches</t>
        </is>
      </c>
      <c r="P1040" s="188" t="inlineStr">
        <is>
          <t>See CVE details</t>
        </is>
      </c>
      <c r="Q1040" s="188" t="inlineStr">
        <is>
          <t>P4</t>
        </is>
      </c>
      <c r="R1040" s="188" t="inlineStr">
        <is>
          <t>📅 Schedule patch deployment within 30 days | 🔍 Monitor for exploitation attempts</t>
        </is>
      </c>
      <c r="S1040" s="188" t="inlineStr">
        <is>
          <t>CVE - IP enrichment n/a</t>
        </is>
      </c>
      <c r="T1040" s="188" t="n">
        <v>0.0005</v>
      </c>
      <c r="U1040" s="188" t="n">
        <v>0.143</v>
      </c>
      <c r="V1040" s="188" t="inlineStr">
        <is>
          <t>T1189:Drive-by Compromise</t>
        </is>
      </c>
      <c r="W1040" s="188" t="n">
        <v>1</v>
      </c>
      <c r="X1040" s="188" t="inlineStr">
        <is>
          <t>LOW (40%)</t>
        </is>
      </c>
      <c r="Y1040" s="188" t="inlineStr">
        <is>
          <t>UNLIKELY</t>
        </is>
      </c>
      <c r="Z1040" s="188" t="inlineStr">
        <is>
          <t>CHECK_VENDOR</t>
        </is>
      </c>
      <c r="AA1040" s="188" t="inlineStr">
        <is>
          <t>https://nvd.nist.gov/vuln/detail/CVE-2026-24350</t>
        </is>
      </c>
      <c r="AB1040" s="188" t="inlineStr">
        <is>
          <t>NONE</t>
        </is>
      </c>
      <c r="AC1040" s="188" t="n">
        <v>0</v>
      </c>
      <c r="AD1040" s="188" t="inlineStr"/>
    </row>
    <row r="1041">
      <c r="A1041" s="188" t="inlineStr">
        <is>
          <t>CVE</t>
        </is>
      </c>
      <c r="B1041" s="188" t="inlineStr">
        <is>
          <t>CVE-2026-24351</t>
        </is>
      </c>
      <c r="C1041" s="188"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1041" s="188" t="n">
        <v>5</v>
      </c>
      <c r="E1041" s="188" t="inlineStr">
        <is>
          <t>MEDIUM</t>
        </is>
      </c>
      <c r="F1041" s="188" t="n">
        <v>2</v>
      </c>
      <c r="G1041" s="188" t="n">
        <v>2</v>
      </c>
      <c r="H1041" s="188" t="inlineStr">
        <is>
          <t>MEDIUM</t>
        </is>
      </c>
      <c r="I1041" s="188" t="n">
        <v>9</v>
      </c>
      <c r="J1041" s="188" t="inlineStr">
        <is>
          <t>NO</t>
        </is>
      </c>
      <c r="K1041" s="188" t="inlineStr">
        <is>
          <t>https://nvd.nist.gov/vuln/detail/CVE-2026-24351</t>
        </is>
      </c>
      <c r="L1041" s="188" t="inlineStr">
        <is>
          <t>2026-02-27 20:47</t>
        </is>
      </c>
      <c r="M1041" s="188" t="inlineStr">
        <is>
          <t>CHECK_VENDOR</t>
        </is>
      </c>
      <c r="N1041" s="188" t="inlineStr">
        <is>
          <t>See NVD references</t>
        </is>
      </c>
      <c r="O1041" s="188" t="inlineStr">
        <is>
          <t>Apply vendor patches</t>
        </is>
      </c>
      <c r="P1041" s="188" t="inlineStr">
        <is>
          <t>See CVE details</t>
        </is>
      </c>
      <c r="Q1041" s="188" t="inlineStr">
        <is>
          <t>P4</t>
        </is>
      </c>
      <c r="R1041" s="188" t="inlineStr">
        <is>
          <t>📅 Schedule patch deployment within 30 days | 🔍 Monitor for exploitation attempts</t>
        </is>
      </c>
      <c r="S1041" s="188" t="inlineStr">
        <is>
          <t>CVE - IP enrichment n/a</t>
        </is>
      </c>
      <c r="T1041" s="188" t="n">
        <v>0.0005</v>
      </c>
      <c r="U1041" s="188" t="n">
        <v>0.143</v>
      </c>
      <c r="V1041" s="188" t="inlineStr">
        <is>
          <t>T1189:Drive-by Compromise</t>
        </is>
      </c>
      <c r="W1041" s="188" t="n">
        <v>1</v>
      </c>
      <c r="X1041" s="188" t="inlineStr">
        <is>
          <t>LOW (40%)</t>
        </is>
      </c>
      <c r="Y1041" s="188" t="inlineStr">
        <is>
          <t>UNLIKELY</t>
        </is>
      </c>
      <c r="Z1041" s="188" t="inlineStr">
        <is>
          <t>CHECK_VENDOR</t>
        </is>
      </c>
      <c r="AA1041" s="188" t="inlineStr">
        <is>
          <t>https://nvd.nist.gov/vuln/detail/CVE-2026-24351</t>
        </is>
      </c>
      <c r="AB1041" s="188" t="inlineStr">
        <is>
          <t>NONE</t>
        </is>
      </c>
      <c r="AC1041" s="188" t="n">
        <v>0</v>
      </c>
      <c r="AD1041" s="188" t="inlineStr"/>
    </row>
    <row r="1042">
      <c r="A1042" s="188" t="inlineStr">
        <is>
          <t>CVE</t>
        </is>
      </c>
      <c r="B1042" s="188" t="inlineStr">
        <is>
          <t>CVE-2026-24352</t>
        </is>
      </c>
      <c r="C1042" s="188"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1042" s="188" t="n">
        <v>5</v>
      </c>
      <c r="E1042" s="188" t="inlineStr">
        <is>
          <t>MEDIUM</t>
        </is>
      </c>
      <c r="F1042" s="188" t="n">
        <v>2</v>
      </c>
      <c r="G1042" s="188" t="n">
        <v>2</v>
      </c>
      <c r="H1042" s="188" t="inlineStr">
        <is>
          <t>MEDIUM</t>
        </is>
      </c>
      <c r="I1042" s="188" t="n">
        <v>9</v>
      </c>
      <c r="J1042" s="188" t="inlineStr">
        <is>
          <t>NO</t>
        </is>
      </c>
      <c r="K1042" s="188" t="inlineStr">
        <is>
          <t>https://nvd.nist.gov/vuln/detail/CVE-2026-24352</t>
        </is>
      </c>
      <c r="L1042" s="188" t="inlineStr">
        <is>
          <t>2026-02-27 20:47</t>
        </is>
      </c>
      <c r="M1042" s="188" t="inlineStr">
        <is>
          <t>CHECK_VENDOR</t>
        </is>
      </c>
      <c r="N1042" s="188" t="inlineStr">
        <is>
          <t>See NVD references</t>
        </is>
      </c>
      <c r="O1042" s="188" t="inlineStr">
        <is>
          <t>Apply vendor patches</t>
        </is>
      </c>
      <c r="P1042" s="188" t="inlineStr">
        <is>
          <t>See CVE details</t>
        </is>
      </c>
      <c r="Q1042" s="188" t="inlineStr">
        <is>
          <t>P4</t>
        </is>
      </c>
      <c r="R1042" s="188" t="inlineStr">
        <is>
          <t>📅 Schedule patch deployment within 30 days | 🔍 Monitor for exploitation attempts</t>
        </is>
      </c>
      <c r="S1042" s="188" t="inlineStr">
        <is>
          <t>CVE - IP enrichment n/a</t>
        </is>
      </c>
      <c r="T1042" s="188" t="n">
        <v>0.0002</v>
      </c>
      <c r="U1042" s="188" t="n">
        <v>0.0544</v>
      </c>
      <c r="V1042" s="188" t="inlineStr">
        <is>
          <t>T1185:Browser Session Hijacking</t>
        </is>
      </c>
      <c r="W1042" s="188" t="n">
        <v>1</v>
      </c>
      <c r="X1042" s="188" t="inlineStr">
        <is>
          <t>LOW (40%)</t>
        </is>
      </c>
      <c r="Y1042" s="188" t="inlineStr">
        <is>
          <t>UNLIKELY</t>
        </is>
      </c>
      <c r="Z1042" s="188" t="inlineStr">
        <is>
          <t>CHECK_VENDOR</t>
        </is>
      </c>
      <c r="AA1042" s="188" t="inlineStr">
        <is>
          <t>https://nvd.nist.gov/vuln/detail/CVE-2026-24352</t>
        </is>
      </c>
      <c r="AB1042" s="188" t="inlineStr">
        <is>
          <t>NONE</t>
        </is>
      </c>
      <c r="AC1042" s="188" t="n">
        <v>0</v>
      </c>
      <c r="AD1042" s="188" t="inlineStr"/>
    </row>
    <row r="1043">
      <c r="A1043" s="188" t="inlineStr">
        <is>
          <t>CVE</t>
        </is>
      </c>
      <c r="B1043" s="188" t="inlineStr">
        <is>
          <t>CVE-2026-2831</t>
        </is>
      </c>
      <c r="C1043" s="188"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1043" s="188" t="n">
        <v>4.9</v>
      </c>
      <c r="E1043" s="188" t="inlineStr">
        <is>
          <t>MEDIUM</t>
        </is>
      </c>
      <c r="F1043" s="188" t="n">
        <v>2</v>
      </c>
      <c r="G1043" s="188" t="n">
        <v>2</v>
      </c>
      <c r="H1043" s="188" t="inlineStr">
        <is>
          <t>MEDIUM</t>
        </is>
      </c>
      <c r="I1043" s="188" t="n">
        <v>8.9</v>
      </c>
      <c r="J1043" s="188" t="inlineStr">
        <is>
          <t>NO</t>
        </is>
      </c>
      <c r="K1043" s="188" t="inlineStr">
        <is>
          <t>https://nvd.nist.gov/vuln/detail/CVE-2026-2831</t>
        </is>
      </c>
      <c r="L1043" s="188" t="inlineStr">
        <is>
          <t>2026-02-27 20:47</t>
        </is>
      </c>
      <c r="M1043" s="188" t="inlineStr">
        <is>
          <t>CHECK_VENDOR</t>
        </is>
      </c>
      <c r="N1043" s="188" t="inlineStr">
        <is>
          <t>See NVD references</t>
        </is>
      </c>
      <c r="O1043" s="188" t="inlineStr">
        <is>
          <t>Apply vendor patches</t>
        </is>
      </c>
      <c r="P1043" s="188" t="inlineStr">
        <is>
          <t>See CVE details</t>
        </is>
      </c>
      <c r="Q1043" s="188" t="inlineStr">
        <is>
          <t>P4</t>
        </is>
      </c>
      <c r="R1043" s="188" t="inlineStr">
        <is>
          <t>📅 Schedule patch deployment within 30 days | 🔍 Monitor for exploitation attempts</t>
        </is>
      </c>
      <c r="S1043" s="188" t="inlineStr">
        <is>
          <t>CVE - IP enrichment n/a</t>
        </is>
      </c>
      <c r="T1043" s="188" t="n">
        <v>0.0002</v>
      </c>
      <c r="U1043" s="188" t="n">
        <v>0.0578</v>
      </c>
      <c r="V1043" s="188" t="inlineStr">
        <is>
          <t>T1190:Exploit Public-Facing Application</t>
        </is>
      </c>
      <c r="W1043" s="188" t="n">
        <v>1</v>
      </c>
      <c r="X1043" s="188" t="inlineStr">
        <is>
          <t>LOW (40%)</t>
        </is>
      </c>
      <c r="Y1043" s="188" t="inlineStr">
        <is>
          <t>UNLIKELY</t>
        </is>
      </c>
      <c r="Z1043" s="188" t="inlineStr">
        <is>
          <t>CHECK_VENDOR</t>
        </is>
      </c>
      <c r="AA1043" s="188" t="inlineStr">
        <is>
          <t>https://nvd.nist.gov/vuln/detail/CVE-2026-2831</t>
        </is>
      </c>
      <c r="AB1043" s="188" t="inlineStr">
        <is>
          <t>NONE</t>
        </is>
      </c>
      <c r="AC1043" s="188" t="n">
        <v>0</v>
      </c>
      <c r="AD1043" s="188" t="inlineStr"/>
    </row>
    <row r="1044">
      <c r="A1044" s="189" t="inlineStr">
        <is>
          <t>CVE</t>
        </is>
      </c>
      <c r="B1044" s="189" t="inlineStr">
        <is>
          <t>CVE-2025-11252</t>
        </is>
      </c>
      <c r="C1044" s="189"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1044" s="189" t="n">
        <v>9.800000000000001</v>
      </c>
      <c r="E1044" s="189" t="inlineStr">
        <is>
          <t>CRITICAL</t>
        </is>
      </c>
      <c r="F1044" s="189" t="n">
        <v>2</v>
      </c>
      <c r="G1044" s="189" t="n">
        <v>3</v>
      </c>
      <c r="H1044" s="189" t="inlineStr">
        <is>
          <t>HIGH</t>
        </is>
      </c>
      <c r="I1044" s="189" t="n">
        <v>15.8</v>
      </c>
      <c r="J1044" s="189" t="inlineStr">
        <is>
          <t>NO</t>
        </is>
      </c>
      <c r="K1044" s="189" t="inlineStr">
        <is>
          <t>https://nvd.nist.gov/vuln/detail/CVE-2025-11252</t>
        </is>
      </c>
      <c r="L1044" s="189" t="inlineStr">
        <is>
          <t>2026-02-27 20:47</t>
        </is>
      </c>
      <c r="M1044" s="189" t="inlineStr">
        <is>
          <t>CHECK_VENDOR</t>
        </is>
      </c>
      <c r="N1044" s="189" t="inlineStr">
        <is>
          <t>See NVD references</t>
        </is>
      </c>
      <c r="O1044" s="189" t="inlineStr">
        <is>
          <t>Apply vendor patches</t>
        </is>
      </c>
      <c r="P1044" s="189" t="inlineStr">
        <is>
          <t>See CVE details</t>
        </is>
      </c>
      <c r="Q1044" s="189" t="inlineStr">
        <is>
          <t>P3</t>
        </is>
      </c>
      <c r="R1044" s="189" t="inlineStr">
        <is>
          <t>🚨 URGENT: Apply vendor patches immediately | 🔒 Isolate affected systems if patch unavailable | 🛡️ Enable additional monitoring/IDS rules</t>
        </is>
      </c>
      <c r="S1044" s="189" t="inlineStr">
        <is>
          <t>CVE - IP enrichment n/a</t>
        </is>
      </c>
      <c r="T1044" s="189" t="n">
        <v>0</v>
      </c>
      <c r="U1044" s="189" t="n">
        <v>0</v>
      </c>
      <c r="V1044" s="189" t="inlineStr">
        <is>
          <t>T1190:Exploit Public-Facing Application</t>
        </is>
      </c>
      <c r="W1044" s="189" t="n">
        <v>1</v>
      </c>
      <c r="X1044" s="189" t="inlineStr">
        <is>
          <t>LOW (40%)</t>
        </is>
      </c>
      <c r="Y1044" s="189" t="inlineStr">
        <is>
          <t>UNLIKELY</t>
        </is>
      </c>
      <c r="Z1044" s="189" t="inlineStr">
        <is>
          <t>CHECK_VENDOR</t>
        </is>
      </c>
      <c r="AA1044" s="189" t="inlineStr">
        <is>
          <t>https://nvd.nist.gov/vuln/detail/CVE-2025-11252</t>
        </is>
      </c>
      <c r="AB1044" s="189" t="inlineStr">
        <is>
          <t>NONE</t>
        </is>
      </c>
      <c r="AC1044" s="189" t="n">
        <v>0</v>
      </c>
      <c r="AD1044" s="189" t="inlineStr"/>
    </row>
    <row r="1045">
      <c r="A1045" s="188" t="inlineStr">
        <is>
          <t>CVE</t>
        </is>
      </c>
      <c r="B1045" s="188" t="inlineStr">
        <is>
          <t>CVE-2025-11950</t>
        </is>
      </c>
      <c r="C1045" s="188"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1045" s="188" t="n">
        <v>6.3</v>
      </c>
      <c r="E1045" s="188" t="inlineStr">
        <is>
          <t>MEDIUM</t>
        </is>
      </c>
      <c r="F1045" s="188" t="n">
        <v>2</v>
      </c>
      <c r="G1045" s="188" t="n">
        <v>2</v>
      </c>
      <c r="H1045" s="188" t="inlineStr">
        <is>
          <t>MEDIUM</t>
        </is>
      </c>
      <c r="I1045" s="188" t="n">
        <v>10.3</v>
      </c>
      <c r="J1045" s="188" t="inlineStr">
        <is>
          <t>NO</t>
        </is>
      </c>
      <c r="K1045" s="188" t="inlineStr">
        <is>
          <t>https://nvd.nist.gov/vuln/detail/CVE-2025-11950</t>
        </is>
      </c>
      <c r="L1045" s="188" t="inlineStr">
        <is>
          <t>2026-02-27 20:47</t>
        </is>
      </c>
      <c r="M1045" s="188" t="inlineStr">
        <is>
          <t>CHECK_VENDOR</t>
        </is>
      </c>
      <c r="N1045" s="188" t="inlineStr">
        <is>
          <t>See NVD references</t>
        </is>
      </c>
      <c r="O1045" s="188" t="inlineStr">
        <is>
          <t>Apply vendor patches</t>
        </is>
      </c>
      <c r="P1045" s="188" t="inlineStr">
        <is>
          <t>See CVE details</t>
        </is>
      </c>
      <c r="Q1045" s="188" t="inlineStr">
        <is>
          <t>P4</t>
        </is>
      </c>
      <c r="R1045" s="188" t="inlineStr">
        <is>
          <t>📅 Schedule patch deployment within 30 days | 🔍 Monitor for exploitation attempts</t>
        </is>
      </c>
      <c r="S1045" s="188" t="inlineStr">
        <is>
          <t>CVE - IP enrichment n/a</t>
        </is>
      </c>
      <c r="T1045" s="188" t="n">
        <v>0</v>
      </c>
      <c r="U1045" s="188" t="n">
        <v>0</v>
      </c>
      <c r="V1045" s="188" t="inlineStr">
        <is>
          <t>T1189:Drive-by Compromise</t>
        </is>
      </c>
      <c r="W1045" s="188" t="n">
        <v>1</v>
      </c>
      <c r="X1045" s="188" t="inlineStr">
        <is>
          <t>LOW (40%)</t>
        </is>
      </c>
      <c r="Y1045" s="188" t="inlineStr">
        <is>
          <t>UNLIKELY</t>
        </is>
      </c>
      <c r="Z1045" s="188" t="inlineStr">
        <is>
          <t>CHECK_VENDOR</t>
        </is>
      </c>
      <c r="AA1045" s="188" t="inlineStr">
        <is>
          <t>https://nvd.nist.gov/vuln/detail/CVE-2025-11950</t>
        </is>
      </c>
      <c r="AB1045" s="188" t="inlineStr">
        <is>
          <t>NONE</t>
        </is>
      </c>
      <c r="AC1045" s="188" t="n">
        <v>0</v>
      </c>
      <c r="AD1045" s="188" t="inlineStr"/>
    </row>
    <row r="1046">
      <c r="A1046" s="187" t="inlineStr">
        <is>
          <t>CVE</t>
        </is>
      </c>
      <c r="B1046" s="187" t="inlineStr">
        <is>
          <t>CVE-2025-10990</t>
        </is>
      </c>
      <c r="C1046" s="187"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1046" s="187" t="n">
        <v>7.5</v>
      </c>
      <c r="E1046" s="187" t="inlineStr">
        <is>
          <t>HIGH</t>
        </is>
      </c>
      <c r="F1046" s="187" t="n">
        <v>2</v>
      </c>
      <c r="G1046" s="187" t="n">
        <v>3</v>
      </c>
      <c r="H1046" s="187" t="inlineStr">
        <is>
          <t>HIGH</t>
        </is>
      </c>
      <c r="I1046" s="187" t="n">
        <v>13.5</v>
      </c>
      <c r="J1046" s="187" t="inlineStr">
        <is>
          <t>NO</t>
        </is>
      </c>
      <c r="K1046" s="187" t="inlineStr">
        <is>
          <t>https://nvd.nist.gov/vuln/detail/CVE-2025-10990</t>
        </is>
      </c>
      <c r="L1046" s="187" t="inlineStr">
        <is>
          <t>2026-02-27 20:47</t>
        </is>
      </c>
      <c r="M1046" s="187" t="inlineStr">
        <is>
          <t>CHECK_VENDOR</t>
        </is>
      </c>
      <c r="N1046" s="187" t="inlineStr">
        <is>
          <t>See NVD references</t>
        </is>
      </c>
      <c r="O1046" s="187" t="inlineStr">
        <is>
          <t>Apply vendor patches</t>
        </is>
      </c>
      <c r="P1046" s="187" t="inlineStr">
        <is>
          <t>See CVE details</t>
        </is>
      </c>
      <c r="Q1046" s="187" t="inlineStr">
        <is>
          <t>P3</t>
        </is>
      </c>
      <c r="R1046" s="187" t="inlineStr">
        <is>
          <t>🚨 URGENT: Apply vendor patches immediately | 🔒 Isolate affected systems if patch unavailable | 🛡️ Enable additional monitoring/IDS rules</t>
        </is>
      </c>
      <c r="S1046" s="187" t="inlineStr">
        <is>
          <t>CVE - IP enrichment n/a</t>
        </is>
      </c>
      <c r="T1046" s="187" t="n">
        <v>0</v>
      </c>
      <c r="U1046" s="187" t="n">
        <v>0</v>
      </c>
      <c r="V1046" s="187" t="inlineStr">
        <is>
          <t>T1499:Endpoint Denial of Service</t>
        </is>
      </c>
      <c r="W1046" s="187" t="n">
        <v>1</v>
      </c>
      <c r="X1046" s="187" t="inlineStr">
        <is>
          <t>LOW (40%)</t>
        </is>
      </c>
      <c r="Y1046" s="187" t="inlineStr">
        <is>
          <t>UNLIKELY</t>
        </is>
      </c>
      <c r="Z1046" s="187" t="inlineStr">
        <is>
          <t>CHECK_VENDOR</t>
        </is>
      </c>
      <c r="AA1046" s="187" t="inlineStr">
        <is>
          <t>https://nvd.nist.gov/vuln/detail/CVE-2025-10990</t>
        </is>
      </c>
      <c r="AB1046" s="187" t="inlineStr">
        <is>
          <t>NONE</t>
        </is>
      </c>
      <c r="AC1046" s="187" t="n">
        <v>0</v>
      </c>
      <c r="AD1046" s="187" t="inlineStr"/>
    </row>
    <row r="1047">
      <c r="A1047" s="187" t="inlineStr">
        <is>
          <t>CVE</t>
        </is>
      </c>
      <c r="B1047" s="187" t="inlineStr">
        <is>
          <t>CVE-2025-15498</t>
        </is>
      </c>
      <c r="C1047" s="187"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1047" s="187" t="n">
        <v>8.5</v>
      </c>
      <c r="E1047" s="187" t="inlineStr">
        <is>
          <t>HIGH</t>
        </is>
      </c>
      <c r="F1047" s="187" t="n">
        <v>2</v>
      </c>
      <c r="G1047" s="187" t="n">
        <v>3</v>
      </c>
      <c r="H1047" s="187" t="inlineStr">
        <is>
          <t>HIGH</t>
        </is>
      </c>
      <c r="I1047" s="187" t="n">
        <v>14.5</v>
      </c>
      <c r="J1047" s="187" t="inlineStr">
        <is>
          <t>NO</t>
        </is>
      </c>
      <c r="K1047" s="187" t="inlineStr">
        <is>
          <t>https://nvd.nist.gov/vuln/detail/CVE-2025-15498</t>
        </is>
      </c>
      <c r="L1047" s="187" t="inlineStr">
        <is>
          <t>2026-02-27 20:47</t>
        </is>
      </c>
      <c r="M1047" s="187" t="inlineStr">
        <is>
          <t>CHECK_VENDOR</t>
        </is>
      </c>
      <c r="N1047" s="187" t="inlineStr">
        <is>
          <t>See NVD references</t>
        </is>
      </c>
      <c r="O1047" s="187" t="inlineStr">
        <is>
          <t>Apply vendor patches</t>
        </is>
      </c>
      <c r="P1047" s="187" t="inlineStr">
        <is>
          <t>See CVE details</t>
        </is>
      </c>
      <c r="Q1047" s="187" t="inlineStr">
        <is>
          <t>P3</t>
        </is>
      </c>
      <c r="R1047" s="187" t="inlineStr">
        <is>
          <t>🚨 URGENT: Apply vendor patches immediately | 🔒 Isolate affected systems if patch unavailable | 🛡️ Enable additional monitoring/IDS rules</t>
        </is>
      </c>
      <c r="S1047" s="187" t="inlineStr">
        <is>
          <t>CVE - IP enrichment n/a</t>
        </is>
      </c>
      <c r="T1047" s="187" t="n">
        <v>0</v>
      </c>
      <c r="U1047" s="187" t="n">
        <v>0</v>
      </c>
      <c r="V1047" s="187" t="inlineStr">
        <is>
          <t>T1190:Exploit Public-Facing Application</t>
        </is>
      </c>
      <c r="W1047" s="187" t="n">
        <v>1</v>
      </c>
      <c r="X1047" s="187" t="inlineStr">
        <is>
          <t>LOW (40%)</t>
        </is>
      </c>
      <c r="Y1047" s="187" t="inlineStr">
        <is>
          <t>UNLIKELY</t>
        </is>
      </c>
      <c r="Z1047" s="187" t="inlineStr">
        <is>
          <t>CHECK_VENDOR</t>
        </is>
      </c>
      <c r="AA1047" s="187" t="inlineStr">
        <is>
          <t>https://nvd.nist.gov/vuln/detail/CVE-2025-15498</t>
        </is>
      </c>
      <c r="AB1047" s="187" t="inlineStr">
        <is>
          <t>NONE</t>
        </is>
      </c>
      <c r="AC1047" s="187" t="n">
        <v>0</v>
      </c>
      <c r="AD1047" s="187" t="inlineStr"/>
    </row>
    <row r="1048">
      <c r="A1048" s="187" t="inlineStr">
        <is>
          <t>CVE</t>
        </is>
      </c>
      <c r="B1048" s="187" t="inlineStr">
        <is>
          <t>CVE-2026-2751</t>
        </is>
      </c>
      <c r="C1048" s="187"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1048" s="187" t="n">
        <v>8.300000000000001</v>
      </c>
      <c r="E1048" s="187" t="inlineStr">
        <is>
          <t>HIGH</t>
        </is>
      </c>
      <c r="F1048" s="187" t="n">
        <v>2</v>
      </c>
      <c r="G1048" s="187" t="n">
        <v>3</v>
      </c>
      <c r="H1048" s="187" t="inlineStr">
        <is>
          <t>HIGH</t>
        </is>
      </c>
      <c r="I1048" s="187" t="n">
        <v>14.3</v>
      </c>
      <c r="J1048" s="187" t="inlineStr">
        <is>
          <t>NO</t>
        </is>
      </c>
      <c r="K1048" s="187" t="inlineStr">
        <is>
          <t>https://nvd.nist.gov/vuln/detail/CVE-2026-2751</t>
        </is>
      </c>
      <c r="L1048" s="187" t="inlineStr">
        <is>
          <t>2026-02-27 20:47</t>
        </is>
      </c>
      <c r="M1048" s="187" t="inlineStr">
        <is>
          <t>CHECK_VENDOR</t>
        </is>
      </c>
      <c r="N1048" s="187" t="inlineStr">
        <is>
          <t>See NVD references</t>
        </is>
      </c>
      <c r="O1048" s="187" t="inlineStr">
        <is>
          <t>Apply vendor patches</t>
        </is>
      </c>
      <c r="P1048" s="187" t="inlineStr">
        <is>
          <t>See CVE details</t>
        </is>
      </c>
      <c r="Q1048" s="187" t="inlineStr">
        <is>
          <t>P3</t>
        </is>
      </c>
      <c r="R1048" s="187" t="inlineStr">
        <is>
          <t>🚨 URGENT: Apply vendor patches immediately | 🔒 Isolate affected systems if patch unavailable | 🛡️ Enable additional monitoring/IDS rules</t>
        </is>
      </c>
      <c r="S1048" s="187" t="inlineStr">
        <is>
          <t>CVE - IP enrichment n/a</t>
        </is>
      </c>
      <c r="T1048" s="187" t="n">
        <v>0</v>
      </c>
      <c r="U1048" s="187" t="n">
        <v>0</v>
      </c>
      <c r="V1048" s="187" t="inlineStr">
        <is>
          <t>T1190:Exploit Public-Facing Application</t>
        </is>
      </c>
      <c r="W1048" s="187" t="n">
        <v>1</v>
      </c>
      <c r="X1048" s="187" t="inlineStr">
        <is>
          <t>LOW (40%)</t>
        </is>
      </c>
      <c r="Y1048" s="187" t="inlineStr">
        <is>
          <t>UNLIKELY</t>
        </is>
      </c>
      <c r="Z1048" s="187" t="inlineStr">
        <is>
          <t>CHECK_VENDOR</t>
        </is>
      </c>
      <c r="AA1048" s="187" t="inlineStr">
        <is>
          <t>https://nvd.nist.gov/vuln/detail/CVE-2026-2751</t>
        </is>
      </c>
      <c r="AB1048" s="187" t="inlineStr">
        <is>
          <t>NONE</t>
        </is>
      </c>
      <c r="AC1048" s="187" t="n">
        <v>0</v>
      </c>
      <c r="AD1048" s="187" t="inlineStr"/>
    </row>
    <row r="1049">
      <c r="A1049" s="188" t="inlineStr">
        <is>
          <t>CVE</t>
        </is>
      </c>
      <c r="B1049" s="188" t="inlineStr">
        <is>
          <t>CVE-2026-3223</t>
        </is>
      </c>
      <c r="C1049" s="188" t="inlineStr">
        <is>
          <t>Arbitrary file write &amp; potential privilege escalation exploiting zip slip vulnerability in Google Web Designer.</t>
        </is>
      </c>
      <c r="D1049" s="188" t="n">
        <v>5</v>
      </c>
      <c r="E1049" s="188" t="inlineStr">
        <is>
          <t>MEDIUM</t>
        </is>
      </c>
      <c r="F1049" s="188" t="n">
        <v>2</v>
      </c>
      <c r="G1049" s="188" t="n">
        <v>2</v>
      </c>
      <c r="H1049" s="188" t="inlineStr">
        <is>
          <t>MEDIUM</t>
        </is>
      </c>
      <c r="I1049" s="188" t="n">
        <v>9</v>
      </c>
      <c r="J1049" s="188" t="inlineStr">
        <is>
          <t>NO</t>
        </is>
      </c>
      <c r="K1049" s="188" t="inlineStr">
        <is>
          <t>https://nvd.nist.gov/vuln/detail/CVE-2026-3223</t>
        </is>
      </c>
      <c r="L1049" s="188" t="inlineStr">
        <is>
          <t>2026-02-27 20:47</t>
        </is>
      </c>
      <c r="M1049" s="188" t="inlineStr">
        <is>
          <t>CHECK_VENDOR</t>
        </is>
      </c>
      <c r="N1049" s="188" t="inlineStr">
        <is>
          <t>See NVD references</t>
        </is>
      </c>
      <c r="O1049" s="188" t="inlineStr">
        <is>
          <t>Apply vendor patches</t>
        </is>
      </c>
      <c r="P1049" s="188" t="inlineStr">
        <is>
          <t>See CVE details</t>
        </is>
      </c>
      <c r="Q1049" s="188" t="inlineStr">
        <is>
          <t>P4</t>
        </is>
      </c>
      <c r="R1049" s="188" t="inlineStr">
        <is>
          <t>📅 Schedule patch deployment within 30 days | 🔍 Monitor for exploitation attempts</t>
        </is>
      </c>
      <c r="S1049" s="188" t="inlineStr">
        <is>
          <t>CVE - IP enrichment n/a</t>
        </is>
      </c>
      <c r="T1049" s="188" t="n">
        <v>0</v>
      </c>
      <c r="U1049" s="188" t="n">
        <v>0</v>
      </c>
      <c r="V1049" s="188" t="inlineStr">
        <is>
          <t>T1083:File and Directory Discovery | T1068:Exploitation for Privilege Escalation</t>
        </is>
      </c>
      <c r="W1049" s="188" t="n">
        <v>1</v>
      </c>
      <c r="X1049" s="188" t="inlineStr">
        <is>
          <t>LOW (40%)</t>
        </is>
      </c>
      <c r="Y1049" s="188" t="inlineStr">
        <is>
          <t>UNLIKELY</t>
        </is>
      </c>
      <c r="Z1049" s="188" t="inlineStr">
        <is>
          <t>CHECK_VENDOR</t>
        </is>
      </c>
      <c r="AA1049" s="188" t="inlineStr">
        <is>
          <t>https://nvd.nist.gov/vuln/detail/CVE-2026-3223</t>
        </is>
      </c>
      <c r="AB1049" s="188" t="inlineStr">
        <is>
          <t>NONE</t>
        </is>
      </c>
      <c r="AC1049" s="188" t="n">
        <v>0</v>
      </c>
      <c r="AD1049" s="188" t="inlineStr"/>
    </row>
    <row r="1050">
      <c r="A1050" s="187" t="inlineStr">
        <is>
          <t>CVE</t>
        </is>
      </c>
      <c r="B1050" s="187" t="inlineStr">
        <is>
          <t>CVE-2026-3327</t>
        </is>
      </c>
      <c r="C1050" s="187"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1050" s="187" t="n">
        <v>8.5</v>
      </c>
      <c r="E1050" s="187" t="inlineStr">
        <is>
          <t>HIGH</t>
        </is>
      </c>
      <c r="F1050" s="187" t="n">
        <v>2</v>
      </c>
      <c r="G1050" s="187" t="n">
        <v>3</v>
      </c>
      <c r="H1050" s="187" t="inlineStr">
        <is>
          <t>HIGH</t>
        </is>
      </c>
      <c r="I1050" s="187" t="n">
        <v>14.5</v>
      </c>
      <c r="J1050" s="187" t="inlineStr">
        <is>
          <t>NO</t>
        </is>
      </c>
      <c r="K1050" s="187" t="inlineStr">
        <is>
          <t>https://nvd.nist.gov/vuln/detail/CVE-2026-3327</t>
        </is>
      </c>
      <c r="L1050" s="187" t="inlineStr">
        <is>
          <t>2026-02-27 20:47</t>
        </is>
      </c>
      <c r="M1050" s="187" t="inlineStr">
        <is>
          <t>CHECK_VENDOR</t>
        </is>
      </c>
      <c r="N1050" s="187" t="inlineStr">
        <is>
          <t>See NVD references</t>
        </is>
      </c>
      <c r="O1050" s="187" t="inlineStr">
        <is>
          <t>Apply vendor patches</t>
        </is>
      </c>
      <c r="P1050" s="187" t="inlineStr">
        <is>
          <t>See CVE details</t>
        </is>
      </c>
      <c r="Q1050" s="187" t="inlineStr">
        <is>
          <t>P3</t>
        </is>
      </c>
      <c r="R1050" s="187" t="inlineStr">
        <is>
          <t>🚨 URGENT: Apply vendor patches immediately | 🔒 Isolate affected systems if patch unavailable | 🛡️ Enable additional monitoring/IDS rules</t>
        </is>
      </c>
      <c r="S1050" s="187" t="inlineStr">
        <is>
          <t>CVE - IP enrichment n/a</t>
        </is>
      </c>
      <c r="T1050" s="187" t="n">
        <v>0</v>
      </c>
      <c r="U1050" s="187" t="n">
        <v>0</v>
      </c>
      <c r="V1050" s="187" t="inlineStr">
        <is>
          <t>T1189:Drive-by Compromise | T1190:Exploit Public-Facing Application</t>
        </is>
      </c>
      <c r="W1050" s="187" t="n">
        <v>1</v>
      </c>
      <c r="X1050" s="187" t="inlineStr">
        <is>
          <t>LOW (40%)</t>
        </is>
      </c>
      <c r="Y1050" s="187" t="inlineStr">
        <is>
          <t>UNLIKELY</t>
        </is>
      </c>
      <c r="Z1050" s="187" t="inlineStr">
        <is>
          <t>CHECK_VENDOR</t>
        </is>
      </c>
      <c r="AA1050" s="187" t="inlineStr">
        <is>
          <t>https://nvd.nist.gov/vuln/detail/CVE-2026-3327</t>
        </is>
      </c>
      <c r="AB1050" s="187" t="inlineStr">
        <is>
          <t>NONE</t>
        </is>
      </c>
      <c r="AC1050" s="187" t="n">
        <v>0</v>
      </c>
      <c r="AD1050" s="187" t="inlineStr"/>
    </row>
    <row r="1051">
      <c r="A1051" s="187" t="inlineStr">
        <is>
          <t>CVE</t>
        </is>
      </c>
      <c r="B1051" s="187" t="inlineStr">
        <is>
          <t>CVE-2026-2359</t>
        </is>
      </c>
      <c r="C1051" s="187"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1051" s="187" t="n">
        <v>8.5</v>
      </c>
      <c r="E1051" s="187" t="inlineStr">
        <is>
          <t>HIGH</t>
        </is>
      </c>
      <c r="F1051" s="187" t="n">
        <v>2</v>
      </c>
      <c r="G1051" s="187" t="n">
        <v>3</v>
      </c>
      <c r="H1051" s="187" t="inlineStr">
        <is>
          <t>HIGH</t>
        </is>
      </c>
      <c r="I1051" s="187" t="n">
        <v>14.5</v>
      </c>
      <c r="J1051" s="187" t="inlineStr">
        <is>
          <t>NO</t>
        </is>
      </c>
      <c r="K1051" s="187" t="inlineStr">
        <is>
          <t>https://nvd.nist.gov/vuln/detail/CVE-2026-2359</t>
        </is>
      </c>
      <c r="L1051" s="187" t="inlineStr">
        <is>
          <t>2026-02-27 20:47</t>
        </is>
      </c>
      <c r="M1051" s="187" t="inlineStr">
        <is>
          <t>CHECK_VENDOR</t>
        </is>
      </c>
      <c r="N1051" s="187" t="inlineStr">
        <is>
          <t>See NVD references</t>
        </is>
      </c>
      <c r="O1051" s="187" t="inlineStr">
        <is>
          <t>Apply vendor patches</t>
        </is>
      </c>
      <c r="P1051" s="187" t="inlineStr">
        <is>
          <t>See CVE details</t>
        </is>
      </c>
      <c r="Q1051" s="187" t="inlineStr">
        <is>
          <t>P3</t>
        </is>
      </c>
      <c r="R1051" s="187" t="inlineStr">
        <is>
          <t>🚨 URGENT: Apply vendor patches immediately | 🔒 Isolate affected systems if patch unavailable | 🛡️ Enable additional monitoring/IDS rules</t>
        </is>
      </c>
      <c r="S1051" s="187" t="inlineStr">
        <is>
          <t>CVE - IP enrichment n/a</t>
        </is>
      </c>
      <c r="T1051" s="187" t="n">
        <v>0</v>
      </c>
      <c r="U1051" s="187" t="n">
        <v>0</v>
      </c>
      <c r="V1051" s="187" t="inlineStr">
        <is>
          <t>T1190:Exploit Public-Facing Application | T1499:Endpoint Denial of Service</t>
        </is>
      </c>
      <c r="W1051" s="187" t="n">
        <v>1</v>
      </c>
      <c r="X1051" s="187" t="inlineStr">
        <is>
          <t>LOW (40%)</t>
        </is>
      </c>
      <c r="Y1051" s="187" t="inlineStr">
        <is>
          <t>UNLIKELY</t>
        </is>
      </c>
      <c r="Z1051" s="187" t="inlineStr">
        <is>
          <t>CHECK_VENDOR</t>
        </is>
      </c>
      <c r="AA1051" s="187" t="inlineStr">
        <is>
          <t>https://nvd.nist.gov/vuln/detail/CVE-2026-2359</t>
        </is>
      </c>
      <c r="AB1051" s="187" t="inlineStr">
        <is>
          <t>NONE</t>
        </is>
      </c>
      <c r="AC1051" s="187" t="n">
        <v>0</v>
      </c>
      <c r="AD1051" s="187" t="inlineStr"/>
    </row>
    <row r="1052">
      <c r="A1052" s="189" t="inlineStr">
        <is>
          <t>CVE</t>
        </is>
      </c>
      <c r="B1052" s="189" t="inlineStr">
        <is>
          <t>CVE-2026-2749</t>
        </is>
      </c>
      <c r="C1052" s="189" t="inlineStr">
        <is>
          <t>Vulnerability in Centreon Centreon Open Tickets on Central Server on Linux (Centroen Open Ticket modules).This issue affects Centreon Open Tickets on Central Server: from all before 25.10.3, 24.10.8, 24.04.7.</t>
        </is>
      </c>
      <c r="D1052" s="189" t="n">
        <v>9.9</v>
      </c>
      <c r="E1052" s="189" t="inlineStr">
        <is>
          <t>CRITICAL</t>
        </is>
      </c>
      <c r="F1052" s="189" t="n">
        <v>2</v>
      </c>
      <c r="G1052" s="189" t="n">
        <v>3</v>
      </c>
      <c r="H1052" s="189" t="inlineStr">
        <is>
          <t>HIGH</t>
        </is>
      </c>
      <c r="I1052" s="189" t="n">
        <v>15.9</v>
      </c>
      <c r="J1052" s="189" t="inlineStr">
        <is>
          <t>NO</t>
        </is>
      </c>
      <c r="K1052" s="189" t="inlineStr">
        <is>
          <t>https://nvd.nist.gov/vuln/detail/CVE-2026-2749</t>
        </is>
      </c>
      <c r="L1052" s="189" t="inlineStr">
        <is>
          <t>2026-02-27 20:47</t>
        </is>
      </c>
      <c r="M1052" s="189" t="inlineStr">
        <is>
          <t>CHECK_VENDOR</t>
        </is>
      </c>
      <c r="N1052" s="189" t="inlineStr">
        <is>
          <t>See NVD references</t>
        </is>
      </c>
      <c r="O1052" s="189" t="inlineStr">
        <is>
          <t>Apply vendor patches</t>
        </is>
      </c>
      <c r="P1052" s="189" t="inlineStr">
        <is>
          <t>See CVE details</t>
        </is>
      </c>
      <c r="Q1052" s="189" t="inlineStr">
        <is>
          <t>P3</t>
        </is>
      </c>
      <c r="R1052" s="189" t="inlineStr">
        <is>
          <t>🚨 URGENT: Apply vendor patches immediately | 🔒 Isolate affected systems if patch unavailable | 🛡️ Enable additional monitoring/IDS rules</t>
        </is>
      </c>
      <c r="S1052" s="189" t="inlineStr">
        <is>
          <t>CVE - IP enrichment n/a</t>
        </is>
      </c>
      <c r="T1052" s="189" t="n">
        <v>0</v>
      </c>
      <c r="U1052" s="189" t="n">
        <v>0</v>
      </c>
      <c r="V1052" s="189" t="inlineStr">
        <is>
          <t>T1190:Exploit Public-Facing Application</t>
        </is>
      </c>
      <c r="W1052" s="189" t="n">
        <v>1</v>
      </c>
      <c r="X1052" s="189" t="inlineStr">
        <is>
          <t>LOW (40%)</t>
        </is>
      </c>
      <c r="Y1052" s="189" t="inlineStr">
        <is>
          <t>UNLIKELY</t>
        </is>
      </c>
      <c r="Z1052" s="189" t="inlineStr">
        <is>
          <t>CHECK_VENDOR</t>
        </is>
      </c>
      <c r="AA1052" s="189" t="inlineStr">
        <is>
          <t>https://nvd.nist.gov/vuln/detail/CVE-2026-2749</t>
        </is>
      </c>
      <c r="AB1052" s="189" t="inlineStr">
        <is>
          <t>NONE</t>
        </is>
      </c>
      <c r="AC1052" s="189" t="n">
        <v>0</v>
      </c>
      <c r="AD1052" s="189" t="inlineStr"/>
    </row>
    <row r="1053">
      <c r="A1053" s="189" t="inlineStr">
        <is>
          <t>CVE</t>
        </is>
      </c>
      <c r="B1053" s="189" t="inlineStr">
        <is>
          <t>CVE-2026-2750</t>
        </is>
      </c>
      <c r="C1053" s="189" t="inlineStr">
        <is>
          <t>Improper Input Validation vulnerability in Centreon Centreon Open Tickets on Central Server on Linux (Centreon Open Tickets modules).This issue affects Centreon Open Tickets on Central Server: from all before 25.10; 24.10;24.04.</t>
        </is>
      </c>
      <c r="D1053" s="189" t="n">
        <v>9.1</v>
      </c>
      <c r="E1053" s="189" t="inlineStr">
        <is>
          <t>CRITICAL</t>
        </is>
      </c>
      <c r="F1053" s="189" t="n">
        <v>2</v>
      </c>
      <c r="G1053" s="189" t="n">
        <v>3</v>
      </c>
      <c r="H1053" s="189" t="inlineStr">
        <is>
          <t>HIGH</t>
        </is>
      </c>
      <c r="I1053" s="189" t="n">
        <v>15.1</v>
      </c>
      <c r="J1053" s="189" t="inlineStr">
        <is>
          <t>NO</t>
        </is>
      </c>
      <c r="K1053" s="189" t="inlineStr">
        <is>
          <t>https://nvd.nist.gov/vuln/detail/CVE-2026-2750</t>
        </is>
      </c>
      <c r="L1053" s="189" t="inlineStr">
        <is>
          <t>2026-02-27 20:47</t>
        </is>
      </c>
      <c r="M1053" s="189" t="inlineStr">
        <is>
          <t>CHECK_VENDOR</t>
        </is>
      </c>
      <c r="N1053" s="189" t="inlineStr">
        <is>
          <t>See NVD references</t>
        </is>
      </c>
      <c r="O1053" s="189" t="inlineStr">
        <is>
          <t>Apply vendor patches</t>
        </is>
      </c>
      <c r="P1053" s="189" t="inlineStr">
        <is>
          <t>See CVE details</t>
        </is>
      </c>
      <c r="Q1053" s="189" t="inlineStr">
        <is>
          <t>P3</t>
        </is>
      </c>
      <c r="R1053" s="189" t="inlineStr">
        <is>
          <t>🚨 URGENT: Apply vendor patches immediately | 🔒 Isolate affected systems if patch unavailable | 🛡️ Enable additional monitoring/IDS rules</t>
        </is>
      </c>
      <c r="S1053" s="189" t="inlineStr">
        <is>
          <t>CVE - IP enrichment n/a</t>
        </is>
      </c>
      <c r="T1053" s="189" t="n">
        <v>0</v>
      </c>
      <c r="U1053" s="189" t="n">
        <v>0</v>
      </c>
      <c r="V1053" s="189" t="inlineStr">
        <is>
          <t>T1190:Exploit Public-Facing Application</t>
        </is>
      </c>
      <c r="W1053" s="189" t="n">
        <v>1</v>
      </c>
      <c r="X1053" s="189" t="inlineStr">
        <is>
          <t>LOW (40%)</t>
        </is>
      </c>
      <c r="Y1053" s="189" t="inlineStr">
        <is>
          <t>UNLIKELY</t>
        </is>
      </c>
      <c r="Z1053" s="189" t="inlineStr">
        <is>
          <t>CHECK_VENDOR</t>
        </is>
      </c>
      <c r="AA1053" s="189" t="inlineStr">
        <is>
          <t>https://nvd.nist.gov/vuln/detail/CVE-2026-2750</t>
        </is>
      </c>
      <c r="AB1053" s="189" t="inlineStr">
        <is>
          <t>NONE</t>
        </is>
      </c>
      <c r="AC1053" s="189" t="n">
        <v>0</v>
      </c>
      <c r="AD1053" s="189" t="inlineStr"/>
    </row>
    <row r="1054">
      <c r="A1054" s="188" t="inlineStr">
        <is>
          <t>CVE</t>
        </is>
      </c>
      <c r="B1054" s="188" t="inlineStr">
        <is>
          <t>CVE-2026-3277</t>
        </is>
      </c>
      <c r="C1054" s="188"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1054" s="188" t="n">
        <v>5</v>
      </c>
      <c r="E1054" s="188" t="inlineStr">
        <is>
          <t>MEDIUM</t>
        </is>
      </c>
      <c r="F1054" s="188" t="n">
        <v>2</v>
      </c>
      <c r="G1054" s="188" t="n">
        <v>2</v>
      </c>
      <c r="H1054" s="188" t="inlineStr">
        <is>
          <t>MEDIUM</t>
        </is>
      </c>
      <c r="I1054" s="188" t="n">
        <v>9</v>
      </c>
      <c r="J1054" s="188" t="inlineStr">
        <is>
          <t>NO</t>
        </is>
      </c>
      <c r="K1054" s="188" t="inlineStr">
        <is>
          <t>https://nvd.nist.gov/vuln/detail/CVE-2026-3277</t>
        </is>
      </c>
      <c r="L1054" s="188" t="inlineStr">
        <is>
          <t>2026-02-27 20:47</t>
        </is>
      </c>
      <c r="M1054" s="188" t="inlineStr">
        <is>
          <t>CHECK_VENDOR</t>
        </is>
      </c>
      <c r="N1054" s="188" t="inlineStr">
        <is>
          <t>See NVD references</t>
        </is>
      </c>
      <c r="O1054" s="188" t="inlineStr">
        <is>
          <t>Apply vendor patches</t>
        </is>
      </c>
      <c r="P1054" s="188" t="inlineStr">
        <is>
          <t>See CVE details</t>
        </is>
      </c>
      <c r="Q1054" s="188" t="inlineStr">
        <is>
          <t>P4</t>
        </is>
      </c>
      <c r="R1054" s="188" t="inlineStr">
        <is>
          <t>📅 Schedule patch deployment within 30 days | 🔍 Monitor for exploitation attempts</t>
        </is>
      </c>
      <c r="S1054" s="188" t="inlineStr">
        <is>
          <t>CVE - IP enrichment n/a</t>
        </is>
      </c>
      <c r="T1054" s="188" t="n">
        <v>0</v>
      </c>
      <c r="U1054" s="188" t="n">
        <v>0</v>
      </c>
      <c r="V1054" s="188" t="inlineStr">
        <is>
          <t>T1552:Unsecured Credentials</t>
        </is>
      </c>
      <c r="W1054" s="188" t="n">
        <v>1</v>
      </c>
      <c r="X1054" s="188" t="inlineStr">
        <is>
          <t>LOW (40%)</t>
        </is>
      </c>
      <c r="Y1054" s="188" t="inlineStr">
        <is>
          <t>UNLIKELY</t>
        </is>
      </c>
      <c r="Z1054" s="188" t="inlineStr">
        <is>
          <t>CHECK_VENDOR</t>
        </is>
      </c>
      <c r="AA1054" s="188" t="inlineStr">
        <is>
          <t>https://nvd.nist.gov/vuln/detail/CVE-2026-3277</t>
        </is>
      </c>
      <c r="AB1054" s="188" t="inlineStr">
        <is>
          <t>NONE</t>
        </is>
      </c>
      <c r="AC1054" s="188" t="n">
        <v>0</v>
      </c>
      <c r="AD1054" s="188" t="inlineStr"/>
    </row>
    <row r="1055">
      <c r="A1055" s="187" t="inlineStr">
        <is>
          <t>CVE</t>
        </is>
      </c>
      <c r="B1055" s="187" t="inlineStr">
        <is>
          <t>CVE-2026-3304</t>
        </is>
      </c>
      <c r="C1055" s="187"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1055" s="187" t="n">
        <v>8.5</v>
      </c>
      <c r="E1055" s="187" t="inlineStr">
        <is>
          <t>HIGH</t>
        </is>
      </c>
      <c r="F1055" s="187" t="n">
        <v>2</v>
      </c>
      <c r="G1055" s="187" t="n">
        <v>3</v>
      </c>
      <c r="H1055" s="187" t="inlineStr">
        <is>
          <t>HIGH</t>
        </is>
      </c>
      <c r="I1055" s="187" t="n">
        <v>14.5</v>
      </c>
      <c r="J1055" s="187" t="inlineStr">
        <is>
          <t>NO</t>
        </is>
      </c>
      <c r="K1055" s="187" t="inlineStr">
        <is>
          <t>https://nvd.nist.gov/vuln/detail/CVE-2026-3304</t>
        </is>
      </c>
      <c r="L1055" s="187" t="inlineStr">
        <is>
          <t>2026-02-27 20:47</t>
        </is>
      </c>
      <c r="M1055" s="187" t="inlineStr">
        <is>
          <t>CHECK_VENDOR</t>
        </is>
      </c>
      <c r="N1055" s="187" t="inlineStr">
        <is>
          <t>See NVD references</t>
        </is>
      </c>
      <c r="O1055" s="187" t="inlineStr">
        <is>
          <t>Apply vendor patches</t>
        </is>
      </c>
      <c r="P1055" s="187" t="inlineStr">
        <is>
          <t>See CVE details</t>
        </is>
      </c>
      <c r="Q1055" s="187" t="inlineStr">
        <is>
          <t>P3</t>
        </is>
      </c>
      <c r="R1055" s="187" t="inlineStr">
        <is>
          <t>🚨 URGENT: Apply vendor patches immediately | 🔒 Isolate affected systems if patch unavailable | 🛡️ Enable additional monitoring/IDS rules</t>
        </is>
      </c>
      <c r="S1055" s="187" t="inlineStr">
        <is>
          <t>CVE - IP enrichment n/a</t>
        </is>
      </c>
      <c r="T1055" s="187" t="n">
        <v>0</v>
      </c>
      <c r="U1055" s="187" t="n">
        <v>0</v>
      </c>
      <c r="V1055" s="187" t="inlineStr">
        <is>
          <t>T1190:Exploit Public-Facing Application | T1499:Endpoint Denial of Service</t>
        </is>
      </c>
      <c r="W1055" s="187" t="n">
        <v>1</v>
      </c>
      <c r="X1055" s="187" t="inlineStr">
        <is>
          <t>LOW (40%)</t>
        </is>
      </c>
      <c r="Y1055" s="187" t="inlineStr">
        <is>
          <t>UNLIKELY</t>
        </is>
      </c>
      <c r="Z1055" s="187" t="inlineStr">
        <is>
          <t>CHECK_VENDOR</t>
        </is>
      </c>
      <c r="AA1055" s="187" t="inlineStr">
        <is>
          <t>https://nvd.nist.gov/vuln/detail/CVE-2026-3304</t>
        </is>
      </c>
      <c r="AB1055" s="187" t="inlineStr">
        <is>
          <t>NONE</t>
        </is>
      </c>
      <c r="AC1055" s="187" t="n">
        <v>0</v>
      </c>
      <c r="AD1055" s="187" t="inlineStr"/>
    </row>
    <row r="1056">
      <c r="A1056" s="188" t="inlineStr">
        <is>
          <t>CVE</t>
        </is>
      </c>
      <c r="B1056" s="188" t="inlineStr">
        <is>
          <t>CVE-2025-69437</t>
        </is>
      </c>
      <c r="C1056" s="188"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1056" s="188" t="n">
        <v>5</v>
      </c>
      <c r="E1056" s="188" t="inlineStr">
        <is>
          <t>MEDIUM</t>
        </is>
      </c>
      <c r="F1056" s="188" t="n">
        <v>2</v>
      </c>
      <c r="G1056" s="188" t="n">
        <v>2</v>
      </c>
      <c r="H1056" s="188" t="inlineStr">
        <is>
          <t>MEDIUM</t>
        </is>
      </c>
      <c r="I1056" s="188" t="n">
        <v>9</v>
      </c>
      <c r="J1056" s="188" t="inlineStr">
        <is>
          <t>NO</t>
        </is>
      </c>
      <c r="K1056" s="188" t="inlineStr">
        <is>
          <t>https://nvd.nist.gov/vuln/detail/CVE-2025-69437</t>
        </is>
      </c>
      <c r="L1056" s="188" t="inlineStr">
        <is>
          <t>2026-02-27 20:47</t>
        </is>
      </c>
      <c r="M1056" s="188" t="inlineStr">
        <is>
          <t>CHECK_VENDOR</t>
        </is>
      </c>
      <c r="N1056" s="188" t="inlineStr">
        <is>
          <t>See NVD references</t>
        </is>
      </c>
      <c r="O1056" s="188" t="inlineStr">
        <is>
          <t>Apply vendor patches</t>
        </is>
      </c>
      <c r="P1056" s="188" t="inlineStr">
        <is>
          <t>See CVE details</t>
        </is>
      </c>
      <c r="Q1056" s="188" t="inlineStr">
        <is>
          <t>P4</t>
        </is>
      </c>
      <c r="R1056" s="188" t="inlineStr">
        <is>
          <t>📅 Schedule patch deployment within 30 days | 🔍 Monitor for exploitation attempts</t>
        </is>
      </c>
      <c r="S1056" s="188" t="inlineStr">
        <is>
          <t>CVE - IP enrichment n/a</t>
        </is>
      </c>
      <c r="T1056" s="188" t="n">
        <v>0</v>
      </c>
      <c r="U1056" s="188" t="n">
        <v>0</v>
      </c>
      <c r="V1056" s="188" t="inlineStr">
        <is>
          <t>T1189:Drive-by Compromise | T1552:Unsecured Credentials</t>
        </is>
      </c>
      <c r="W1056" s="188" t="n">
        <v>1</v>
      </c>
      <c r="X1056" s="188" t="inlineStr">
        <is>
          <t>LOW (40%)</t>
        </is>
      </c>
      <c r="Y1056" s="188" t="inlineStr">
        <is>
          <t>UNLIKELY</t>
        </is>
      </c>
      <c r="Z1056" s="188" t="inlineStr">
        <is>
          <t>CHECK_VENDOR</t>
        </is>
      </c>
      <c r="AA1056" s="188" t="inlineStr">
        <is>
          <t>https://nvd.nist.gov/vuln/detail/CVE-2025-69437</t>
        </is>
      </c>
      <c r="AB1056" s="188" t="inlineStr">
        <is>
          <t>NONE</t>
        </is>
      </c>
      <c r="AC1056" s="188" t="n">
        <v>0</v>
      </c>
      <c r="AD1056" s="188" t="inlineStr"/>
    </row>
    <row r="1057">
      <c r="A1057" s="188" t="inlineStr">
        <is>
          <t>CVE</t>
        </is>
      </c>
      <c r="B1057" s="188" t="inlineStr">
        <is>
          <t>CVE-2026-24488</t>
        </is>
      </c>
      <c r="C1057" s="188"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1057" s="188" t="n">
        <v>6.5</v>
      </c>
      <c r="E1057" s="188" t="inlineStr">
        <is>
          <t>MEDIUM</t>
        </is>
      </c>
      <c r="F1057" s="188" t="n">
        <v>2</v>
      </c>
      <c r="G1057" s="188" t="n">
        <v>2</v>
      </c>
      <c r="H1057" s="188" t="inlineStr">
        <is>
          <t>MEDIUM</t>
        </is>
      </c>
      <c r="I1057" s="188" t="n">
        <v>10.5</v>
      </c>
      <c r="J1057" s="188" t="inlineStr">
        <is>
          <t>NO</t>
        </is>
      </c>
      <c r="K1057" s="188" t="inlineStr">
        <is>
          <t>https://nvd.nist.gov/vuln/detail/CVE-2026-24488</t>
        </is>
      </c>
      <c r="L1057" s="188" t="inlineStr">
        <is>
          <t>2026-02-27 20:47</t>
        </is>
      </c>
      <c r="M1057" s="188" t="inlineStr">
        <is>
          <t>CHECK_VENDOR</t>
        </is>
      </c>
      <c r="N1057" s="188" t="inlineStr">
        <is>
          <t>See NVD references</t>
        </is>
      </c>
      <c r="O1057" s="188" t="inlineStr">
        <is>
          <t>Apply vendor patches</t>
        </is>
      </c>
      <c r="P1057" s="188" t="inlineStr">
        <is>
          <t>See CVE details</t>
        </is>
      </c>
      <c r="Q1057" s="188" t="inlineStr">
        <is>
          <t>P4</t>
        </is>
      </c>
      <c r="R1057" s="188" t="inlineStr">
        <is>
          <t>📅 Schedule patch deployment within 30 days | 🔍 Monitor for exploitation attempts</t>
        </is>
      </c>
      <c r="S1057" s="188" t="inlineStr">
        <is>
          <t>CVE - IP enrichment n/a</t>
        </is>
      </c>
      <c r="T1057" s="188" t="n">
        <v>0</v>
      </c>
      <c r="U1057" s="188" t="n">
        <v>0</v>
      </c>
      <c r="V1057" s="188" t="inlineStr">
        <is>
          <t>T1083:File and Directory Discovery | T1190:Exploit Public-Facing Application | T1552:Unsecured Credentials</t>
        </is>
      </c>
      <c r="W1057" s="188" t="n">
        <v>1</v>
      </c>
      <c r="X1057" s="188" t="inlineStr">
        <is>
          <t>LOW (40%)</t>
        </is>
      </c>
      <c r="Y1057" s="188" t="inlineStr">
        <is>
          <t>UNLIKELY</t>
        </is>
      </c>
      <c r="Z1057" s="188" t="inlineStr">
        <is>
          <t>CHECK_VENDOR</t>
        </is>
      </c>
      <c r="AA1057" s="188" t="inlineStr">
        <is>
          <t>https://nvd.nist.gov/vuln/detail/CVE-2026-24488</t>
        </is>
      </c>
      <c r="AB1057" s="188" t="inlineStr">
        <is>
          <t>NONE</t>
        </is>
      </c>
      <c r="AC1057" s="188" t="n">
        <v>0</v>
      </c>
      <c r="AD1057" s="188" t="inlineStr"/>
    </row>
    <row r="1058">
      <c r="A1058" s="187" t="inlineStr">
        <is>
          <t>CVE</t>
        </is>
      </c>
      <c r="B1058" s="187" t="inlineStr">
        <is>
          <t>CVE-2026-25147</t>
        </is>
      </c>
      <c r="C1058" s="187"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1058" s="187" t="n">
        <v>7.1</v>
      </c>
      <c r="E1058" s="187" t="inlineStr">
        <is>
          <t>HIGH</t>
        </is>
      </c>
      <c r="F1058" s="187" t="n">
        <v>2</v>
      </c>
      <c r="G1058" s="187" t="n">
        <v>3</v>
      </c>
      <c r="H1058" s="187" t="inlineStr">
        <is>
          <t>HIGH</t>
        </is>
      </c>
      <c r="I1058" s="187" t="n">
        <v>13.1</v>
      </c>
      <c r="J1058" s="187" t="inlineStr">
        <is>
          <t>NO</t>
        </is>
      </c>
      <c r="K1058" s="187" t="inlineStr">
        <is>
          <t>https://nvd.nist.gov/vuln/detail/CVE-2026-25147</t>
        </is>
      </c>
      <c r="L1058" s="187" t="inlineStr">
        <is>
          <t>2026-02-27 20:47</t>
        </is>
      </c>
      <c r="M1058" s="187" t="inlineStr">
        <is>
          <t>CHECK_VENDOR</t>
        </is>
      </c>
      <c r="N1058" s="187" t="inlineStr">
        <is>
          <t>See NVD references</t>
        </is>
      </c>
      <c r="O1058" s="187" t="inlineStr">
        <is>
          <t>Apply vendor patches</t>
        </is>
      </c>
      <c r="P1058" s="187" t="inlineStr">
        <is>
          <t>See CVE details</t>
        </is>
      </c>
      <c r="Q1058" s="187" t="inlineStr">
        <is>
          <t>P3</t>
        </is>
      </c>
      <c r="R1058" s="187" t="inlineStr">
        <is>
          <t>🚨 URGENT: Apply vendor patches immediately | 🔒 Isolate affected systems if patch unavailable | 🛡️ Enable additional monitoring/IDS rules</t>
        </is>
      </c>
      <c r="S1058" s="187" t="inlineStr">
        <is>
          <t>CVE - IP enrichment n/a</t>
        </is>
      </c>
      <c r="T1058" s="187" t="n">
        <v>0</v>
      </c>
      <c r="U1058" s="187" t="n">
        <v>0</v>
      </c>
      <c r="V1058" s="187" t="inlineStr">
        <is>
          <t>T1190:Exploit Public-Facing Application | T1068:Exploitation for Privilege Escalation</t>
        </is>
      </c>
      <c r="W1058" s="187" t="n">
        <v>1</v>
      </c>
      <c r="X1058" s="187" t="inlineStr">
        <is>
          <t>LOW (40%)</t>
        </is>
      </c>
      <c r="Y1058" s="187" t="inlineStr">
        <is>
          <t>UNLIKELY</t>
        </is>
      </c>
      <c r="Z1058" s="187" t="inlineStr">
        <is>
          <t>CHECK_VENDOR</t>
        </is>
      </c>
      <c r="AA1058" s="187" t="inlineStr">
        <is>
          <t>https://nvd.nist.gov/vuln/detail/CVE-2026-25147</t>
        </is>
      </c>
      <c r="AB1058" s="187" t="inlineStr">
        <is>
          <t>NONE</t>
        </is>
      </c>
      <c r="AC1058" s="187" t="n">
        <v>0</v>
      </c>
      <c r="AD1058" s="187" t="inlineStr"/>
    </row>
    <row r="1059">
      <c r="A1059" s="188" t="inlineStr">
        <is>
          <t>CVE</t>
        </is>
      </c>
      <c r="B1059" s="188" t="inlineStr">
        <is>
          <t>CVE-2026-2293</t>
        </is>
      </c>
      <c r="C1059" s="188" t="inlineStr">
        <is>
          <t>A NestJS application using @nestjs/platform-fastify can allow bypass of authentication/authorization middleware when Fastify path-normalization options are enabled.
This issue affects nest.Js: 11.1.13.</t>
        </is>
      </c>
      <c r="D1059" s="188" t="n">
        <v>5</v>
      </c>
      <c r="E1059" s="188" t="inlineStr">
        <is>
          <t>MEDIUM</t>
        </is>
      </c>
      <c r="F1059" s="188" t="n">
        <v>2</v>
      </c>
      <c r="G1059" s="188" t="n">
        <v>2</v>
      </c>
      <c r="H1059" s="188" t="inlineStr">
        <is>
          <t>MEDIUM</t>
        </is>
      </c>
      <c r="I1059" s="188" t="n">
        <v>9</v>
      </c>
      <c r="J1059" s="188" t="inlineStr">
        <is>
          <t>NO</t>
        </is>
      </c>
      <c r="K1059" s="188" t="inlineStr">
        <is>
          <t>https://nvd.nist.gov/vuln/detail/CVE-2026-2293</t>
        </is>
      </c>
      <c r="L1059" s="188" t="inlineStr">
        <is>
          <t>2026-02-27 20:47</t>
        </is>
      </c>
      <c r="M1059" s="188" t="inlineStr">
        <is>
          <t>CHECK_VENDOR</t>
        </is>
      </c>
      <c r="N1059" s="188" t="inlineStr">
        <is>
          <t>See NVD references</t>
        </is>
      </c>
      <c r="O1059" s="188" t="inlineStr">
        <is>
          <t>Apply vendor patches</t>
        </is>
      </c>
      <c r="P1059" s="188" t="inlineStr">
        <is>
          <t>See CVE details</t>
        </is>
      </c>
      <c r="Q1059" s="188" t="inlineStr">
        <is>
          <t>P4</t>
        </is>
      </c>
      <c r="R1059" s="188" t="inlineStr">
        <is>
          <t>📅 Schedule patch deployment within 30 days | 🔍 Monitor for exploitation attempts</t>
        </is>
      </c>
      <c r="S1059" s="188" t="inlineStr">
        <is>
          <t>CVE - IP enrichment n/a</t>
        </is>
      </c>
      <c r="T1059" s="188" t="n">
        <v>0</v>
      </c>
      <c r="U1059" s="188" t="n">
        <v>0</v>
      </c>
      <c r="V1059" s="188" t="inlineStr">
        <is>
          <t>T1190:Exploit Public-Facing Application</t>
        </is>
      </c>
      <c r="W1059" s="188" t="n">
        <v>1</v>
      </c>
      <c r="X1059" s="188" t="inlineStr">
        <is>
          <t>LOW (40%)</t>
        </is>
      </c>
      <c r="Y1059" s="188" t="inlineStr">
        <is>
          <t>UNLIKELY</t>
        </is>
      </c>
      <c r="Z1059" s="188" t="inlineStr">
        <is>
          <t>CHECK_VENDOR</t>
        </is>
      </c>
      <c r="AA1059" s="188" t="inlineStr">
        <is>
          <t>https://nvd.nist.gov/vuln/detail/CVE-2026-2293</t>
        </is>
      </c>
      <c r="AB1059" s="188" t="inlineStr">
        <is>
          <t>NONE</t>
        </is>
      </c>
      <c r="AC1059" s="188" t="n">
        <v>0</v>
      </c>
      <c r="AD1059" s="188" t="inlineStr"/>
    </row>
    <row r="1060">
      <c r="A1060" s="187" t="inlineStr">
        <is>
          <t>CVE</t>
        </is>
      </c>
      <c r="B1060" s="187" t="inlineStr">
        <is>
          <t>CVE-2019-25489</t>
        </is>
      </c>
      <c r="C1060" s="187"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1060" s="187" t="n">
        <v>8.199999999999999</v>
      </c>
      <c r="E1060" s="187" t="inlineStr">
        <is>
          <t>HIGH</t>
        </is>
      </c>
      <c r="F1060" s="187" t="n">
        <v>2</v>
      </c>
      <c r="G1060" s="187" t="n">
        <v>3</v>
      </c>
      <c r="H1060" s="187" t="inlineStr">
        <is>
          <t>HIGH</t>
        </is>
      </c>
      <c r="I1060" s="187" t="n">
        <v>14.2</v>
      </c>
      <c r="J1060" s="187" t="inlineStr">
        <is>
          <t>NO</t>
        </is>
      </c>
      <c r="K1060" s="187" t="inlineStr">
        <is>
          <t>https://nvd.nist.gov/vuln/detail/CVE-2019-25489</t>
        </is>
      </c>
      <c r="L1060" s="187" t="inlineStr">
        <is>
          <t>2026-02-27 20:47</t>
        </is>
      </c>
      <c r="M1060" s="187" t="inlineStr">
        <is>
          <t>CHECK_VENDOR</t>
        </is>
      </c>
      <c r="N1060" s="187" t="inlineStr">
        <is>
          <t>See NVD references</t>
        </is>
      </c>
      <c r="O1060" s="187" t="inlineStr">
        <is>
          <t>Apply vendor patches</t>
        </is>
      </c>
      <c r="P1060" s="187" t="inlineStr">
        <is>
          <t>See CVE details</t>
        </is>
      </c>
      <c r="Q1060" s="187" t="inlineStr">
        <is>
          <t>P3</t>
        </is>
      </c>
      <c r="R1060" s="187" t="inlineStr">
        <is>
          <t>🚨 URGENT: Apply vendor patches immediately | 🔒 Isolate affected systems if patch unavailable | 🛡️ Enable additional monitoring/IDS rules</t>
        </is>
      </c>
      <c r="S1060" s="187" t="inlineStr">
        <is>
          <t>CVE - IP enrichment n/a</t>
        </is>
      </c>
      <c r="T1060" s="187" t="n">
        <v>0</v>
      </c>
      <c r="U1060" s="187" t="n">
        <v>0</v>
      </c>
      <c r="V1060" s="187" t="inlineStr">
        <is>
          <t>T1190:Exploit Public-Facing Application | T1499:Endpoint Denial of Service</t>
        </is>
      </c>
      <c r="W1060" s="187" t="n">
        <v>1</v>
      </c>
      <c r="X1060" s="187" t="inlineStr">
        <is>
          <t>LOW (40%)</t>
        </is>
      </c>
      <c r="Y1060" s="187" t="inlineStr">
        <is>
          <t>UNLIKELY</t>
        </is>
      </c>
      <c r="Z1060" s="187" t="inlineStr">
        <is>
          <t>CHECK_VENDOR</t>
        </is>
      </c>
      <c r="AA1060" s="187" t="inlineStr">
        <is>
          <t>https://nvd.nist.gov/vuln/detail/CVE-2019-25489</t>
        </is>
      </c>
      <c r="AB1060" s="187" t="inlineStr">
        <is>
          <t>NONE</t>
        </is>
      </c>
      <c r="AC1060" s="187" t="n">
        <v>0</v>
      </c>
      <c r="AD1060" s="187" t="inlineStr"/>
    </row>
    <row r="1061">
      <c r="A1061" s="187" t="inlineStr">
        <is>
          <t>CVE</t>
        </is>
      </c>
      <c r="B1061" s="187" t="inlineStr">
        <is>
          <t>CVE-2019-25490</t>
        </is>
      </c>
      <c r="C1061" s="187"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1061" s="187" t="n">
        <v>8.199999999999999</v>
      </c>
      <c r="E1061" s="187" t="inlineStr">
        <is>
          <t>HIGH</t>
        </is>
      </c>
      <c r="F1061" s="187" t="n">
        <v>2</v>
      </c>
      <c r="G1061" s="187" t="n">
        <v>3</v>
      </c>
      <c r="H1061" s="187" t="inlineStr">
        <is>
          <t>HIGH</t>
        </is>
      </c>
      <c r="I1061" s="187" t="n">
        <v>14.2</v>
      </c>
      <c r="J1061" s="187" t="inlineStr">
        <is>
          <t>NO</t>
        </is>
      </c>
      <c r="K1061" s="187" t="inlineStr">
        <is>
          <t>https://nvd.nist.gov/vuln/detail/CVE-2019-25490</t>
        </is>
      </c>
      <c r="L1061" s="187" t="inlineStr">
        <is>
          <t>2026-02-27 20:47</t>
        </is>
      </c>
      <c r="M1061" s="187" t="inlineStr">
        <is>
          <t>CHECK_VENDOR</t>
        </is>
      </c>
      <c r="N1061" s="187" t="inlineStr">
        <is>
          <t>See NVD references</t>
        </is>
      </c>
      <c r="O1061" s="187" t="inlineStr">
        <is>
          <t>Apply vendor patches</t>
        </is>
      </c>
      <c r="P1061" s="187" t="inlineStr">
        <is>
          <t>See CVE details</t>
        </is>
      </c>
      <c r="Q1061" s="187" t="inlineStr">
        <is>
          <t>P3</t>
        </is>
      </c>
      <c r="R1061" s="187" t="inlineStr">
        <is>
          <t>🚨 URGENT: Apply vendor patches immediately | 🔒 Isolate affected systems if patch unavailable | 🛡️ Enable additional monitoring/IDS rules</t>
        </is>
      </c>
      <c r="S1061" s="187" t="inlineStr">
        <is>
          <t>CVE - IP enrichment n/a</t>
        </is>
      </c>
      <c r="T1061" s="187" t="n">
        <v>0</v>
      </c>
      <c r="U1061" s="187" t="n">
        <v>0</v>
      </c>
      <c r="V1061" s="187" t="inlineStr">
        <is>
          <t>T1190:Exploit Public-Facing Application</t>
        </is>
      </c>
      <c r="W1061" s="187" t="n">
        <v>1</v>
      </c>
      <c r="X1061" s="187" t="inlineStr">
        <is>
          <t>LOW (40%)</t>
        </is>
      </c>
      <c r="Y1061" s="187" t="inlineStr">
        <is>
          <t>UNLIKELY</t>
        </is>
      </c>
      <c r="Z1061" s="187" t="inlineStr">
        <is>
          <t>CHECK_VENDOR</t>
        </is>
      </c>
      <c r="AA1061" s="187" t="inlineStr">
        <is>
          <t>https://nvd.nist.gov/vuln/detail/CVE-2019-25490</t>
        </is>
      </c>
      <c r="AB1061" s="187" t="inlineStr">
        <is>
          <t>NONE</t>
        </is>
      </c>
      <c r="AC1061" s="187" t="n">
        <v>0</v>
      </c>
      <c r="AD1061" s="187" t="inlineStr"/>
    </row>
    <row r="1062">
      <c r="A1062" s="187" t="inlineStr">
        <is>
          <t>CVE</t>
        </is>
      </c>
      <c r="B1062" s="187" t="inlineStr">
        <is>
          <t>CVE-2019-25491</t>
        </is>
      </c>
      <c r="C1062" s="187"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1062" s="187" t="n">
        <v>8.199999999999999</v>
      </c>
      <c r="E1062" s="187" t="inlineStr">
        <is>
          <t>HIGH</t>
        </is>
      </c>
      <c r="F1062" s="187" t="n">
        <v>2</v>
      </c>
      <c r="G1062" s="187" t="n">
        <v>3</v>
      </c>
      <c r="H1062" s="187" t="inlineStr">
        <is>
          <t>HIGH</t>
        </is>
      </c>
      <c r="I1062" s="187" t="n">
        <v>14.2</v>
      </c>
      <c r="J1062" s="187" t="inlineStr">
        <is>
          <t>NO</t>
        </is>
      </c>
      <c r="K1062" s="187" t="inlineStr">
        <is>
          <t>https://nvd.nist.gov/vuln/detail/CVE-2019-25491</t>
        </is>
      </c>
      <c r="L1062" s="187" t="inlineStr">
        <is>
          <t>2026-02-27 20:47</t>
        </is>
      </c>
      <c r="M1062" s="187" t="inlineStr">
        <is>
          <t>CHECK_VENDOR</t>
        </is>
      </c>
      <c r="N1062" s="187" t="inlineStr">
        <is>
          <t>See NVD references</t>
        </is>
      </c>
      <c r="O1062" s="187" t="inlineStr">
        <is>
          <t>Apply vendor patches</t>
        </is>
      </c>
      <c r="P1062" s="187" t="inlineStr">
        <is>
          <t>See CVE details</t>
        </is>
      </c>
      <c r="Q1062" s="187" t="inlineStr">
        <is>
          <t>P3</t>
        </is>
      </c>
      <c r="R1062" s="187" t="inlineStr">
        <is>
          <t>🚨 URGENT: Apply vendor patches immediately | 🔒 Isolate affected systems if patch unavailable | 🛡️ Enable additional monitoring/IDS rules</t>
        </is>
      </c>
      <c r="S1062" s="187" t="inlineStr">
        <is>
          <t>CVE - IP enrichment n/a</t>
        </is>
      </c>
      <c r="T1062" s="187" t="n">
        <v>0</v>
      </c>
      <c r="U1062" s="187" t="n">
        <v>0</v>
      </c>
      <c r="V1062" s="187" t="inlineStr">
        <is>
          <t>T1190:Exploit Public-Facing Application</t>
        </is>
      </c>
      <c r="W1062" s="187" t="n">
        <v>1</v>
      </c>
      <c r="X1062" s="187" t="inlineStr">
        <is>
          <t>LOW (40%)</t>
        </is>
      </c>
      <c r="Y1062" s="187" t="inlineStr">
        <is>
          <t>UNLIKELY</t>
        </is>
      </c>
      <c r="Z1062" s="187" t="inlineStr">
        <is>
          <t>CHECK_VENDOR</t>
        </is>
      </c>
      <c r="AA1062" s="187" t="inlineStr">
        <is>
          <t>https://nvd.nist.gov/vuln/detail/CVE-2019-25491</t>
        </is>
      </c>
      <c r="AB1062" s="187" t="inlineStr">
        <is>
          <t>NONE</t>
        </is>
      </c>
      <c r="AC1062" s="187" t="n">
        <v>0</v>
      </c>
      <c r="AD1062" s="187" t="inlineStr"/>
    </row>
    <row r="1063">
      <c r="A1063" s="187" t="inlineStr">
        <is>
          <t>CVE</t>
        </is>
      </c>
      <c r="B1063" s="187" t="inlineStr">
        <is>
          <t>CVE-2019-25492</t>
        </is>
      </c>
      <c r="C1063" s="187"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1063" s="187" t="n">
        <v>8.199999999999999</v>
      </c>
      <c r="E1063" s="187" t="inlineStr">
        <is>
          <t>HIGH</t>
        </is>
      </c>
      <c r="F1063" s="187" t="n">
        <v>2</v>
      </c>
      <c r="G1063" s="187" t="n">
        <v>3</v>
      </c>
      <c r="H1063" s="187" t="inlineStr">
        <is>
          <t>HIGH</t>
        </is>
      </c>
      <c r="I1063" s="187" t="n">
        <v>14.2</v>
      </c>
      <c r="J1063" s="187" t="inlineStr">
        <is>
          <t>NO</t>
        </is>
      </c>
      <c r="K1063" s="187" t="inlineStr">
        <is>
          <t>https://nvd.nist.gov/vuln/detail/CVE-2019-25492</t>
        </is>
      </c>
      <c r="L1063" s="187" t="inlineStr">
        <is>
          <t>2026-02-27 20:47</t>
        </is>
      </c>
      <c r="M1063" s="187" t="inlineStr">
        <is>
          <t>CHECK_VENDOR</t>
        </is>
      </c>
      <c r="N1063" s="187" t="inlineStr">
        <is>
          <t>See NVD references</t>
        </is>
      </c>
      <c r="O1063" s="187" t="inlineStr">
        <is>
          <t>Apply vendor patches</t>
        </is>
      </c>
      <c r="P1063" s="187" t="inlineStr">
        <is>
          <t>See CVE details</t>
        </is>
      </c>
      <c r="Q1063" s="187" t="inlineStr">
        <is>
          <t>P3</t>
        </is>
      </c>
      <c r="R1063" s="187" t="inlineStr">
        <is>
          <t>🚨 URGENT: Apply vendor patches immediately | 🔒 Isolate affected systems if patch unavailable | 🛡️ Enable additional monitoring/IDS rules</t>
        </is>
      </c>
      <c r="S1063" s="187" t="inlineStr">
        <is>
          <t>CVE - IP enrichment n/a</t>
        </is>
      </c>
      <c r="T1063" s="187" t="n">
        <v>0</v>
      </c>
      <c r="U1063" s="187" t="n">
        <v>0</v>
      </c>
      <c r="V1063" s="187" t="inlineStr">
        <is>
          <t>T1190:Exploit Public-Facing Application</t>
        </is>
      </c>
      <c r="W1063" s="187" t="n">
        <v>1</v>
      </c>
      <c r="X1063" s="187" t="inlineStr">
        <is>
          <t>LOW (40%)</t>
        </is>
      </c>
      <c r="Y1063" s="187" t="inlineStr">
        <is>
          <t>UNLIKELY</t>
        </is>
      </c>
      <c r="Z1063" s="187" t="inlineStr">
        <is>
          <t>CHECK_VENDOR</t>
        </is>
      </c>
      <c r="AA1063" s="187" t="inlineStr">
        <is>
          <t>https://nvd.nist.gov/vuln/detail/CVE-2019-25492</t>
        </is>
      </c>
      <c r="AB1063" s="187" t="inlineStr">
        <is>
          <t>NONE</t>
        </is>
      </c>
      <c r="AC1063" s="187" t="n">
        <v>0</v>
      </c>
      <c r="AD1063" s="187" t="inlineStr"/>
    </row>
    <row r="1064">
      <c r="A1064" s="187" t="inlineStr">
        <is>
          <t>CVE</t>
        </is>
      </c>
      <c r="B1064" s="187" t="inlineStr">
        <is>
          <t>CVE-2019-25493</t>
        </is>
      </c>
      <c r="C1064" s="187"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1064" s="187" t="n">
        <v>8.199999999999999</v>
      </c>
      <c r="E1064" s="187" t="inlineStr">
        <is>
          <t>HIGH</t>
        </is>
      </c>
      <c r="F1064" s="187" t="n">
        <v>2</v>
      </c>
      <c r="G1064" s="187" t="n">
        <v>3</v>
      </c>
      <c r="H1064" s="187" t="inlineStr">
        <is>
          <t>HIGH</t>
        </is>
      </c>
      <c r="I1064" s="187" t="n">
        <v>14.2</v>
      </c>
      <c r="J1064" s="187" t="inlineStr">
        <is>
          <t>NO</t>
        </is>
      </c>
      <c r="K1064" s="187" t="inlineStr">
        <is>
          <t>https://nvd.nist.gov/vuln/detail/CVE-2019-25493</t>
        </is>
      </c>
      <c r="L1064" s="187" t="inlineStr">
        <is>
          <t>2026-02-27 20:47</t>
        </is>
      </c>
      <c r="M1064" s="187" t="inlineStr">
        <is>
          <t>CHECK_VENDOR</t>
        </is>
      </c>
      <c r="N1064" s="187" t="inlineStr">
        <is>
          <t>See NVD references</t>
        </is>
      </c>
      <c r="O1064" s="187" t="inlineStr">
        <is>
          <t>Apply vendor patches</t>
        </is>
      </c>
      <c r="P1064" s="187" t="inlineStr">
        <is>
          <t>See CVE details</t>
        </is>
      </c>
      <c r="Q1064" s="187" t="inlineStr">
        <is>
          <t>P3</t>
        </is>
      </c>
      <c r="R1064" s="187" t="inlineStr">
        <is>
          <t>🚨 URGENT: Apply vendor patches immediately | 🔒 Isolate affected systems if patch unavailable | 🛡️ Enable additional monitoring/IDS rules</t>
        </is>
      </c>
      <c r="S1064" s="187" t="inlineStr">
        <is>
          <t>CVE - IP enrichment n/a</t>
        </is>
      </c>
      <c r="T1064" s="187" t="n">
        <v>0</v>
      </c>
      <c r="U1064" s="187" t="n">
        <v>0</v>
      </c>
      <c r="V1064" s="187" t="inlineStr">
        <is>
          <t>T1190:Exploit Public-Facing Application</t>
        </is>
      </c>
      <c r="W1064" s="187" t="n">
        <v>1</v>
      </c>
      <c r="X1064" s="187" t="inlineStr">
        <is>
          <t>LOW (40%)</t>
        </is>
      </c>
      <c r="Y1064" s="187" t="inlineStr">
        <is>
          <t>UNLIKELY</t>
        </is>
      </c>
      <c r="Z1064" s="187" t="inlineStr">
        <is>
          <t>CHECK_VENDOR</t>
        </is>
      </c>
      <c r="AA1064" s="187" t="inlineStr">
        <is>
          <t>https://nvd.nist.gov/vuln/detail/CVE-2019-25493</t>
        </is>
      </c>
      <c r="AB1064" s="187" t="inlineStr">
        <is>
          <t>NONE</t>
        </is>
      </c>
      <c r="AC1064" s="187" t="n">
        <v>0</v>
      </c>
      <c r="AD1064" s="187" t="inlineStr"/>
    </row>
    <row r="1065">
      <c r="A1065" s="187" t="inlineStr">
        <is>
          <t>CVE</t>
        </is>
      </c>
      <c r="B1065" s="187" t="inlineStr">
        <is>
          <t>CVE-2019-25494</t>
        </is>
      </c>
      <c r="C1065" s="187"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1065" s="187" t="n">
        <v>8.199999999999999</v>
      </c>
      <c r="E1065" s="187" t="inlineStr">
        <is>
          <t>HIGH</t>
        </is>
      </c>
      <c r="F1065" s="187" t="n">
        <v>2</v>
      </c>
      <c r="G1065" s="187" t="n">
        <v>3</v>
      </c>
      <c r="H1065" s="187" t="inlineStr">
        <is>
          <t>HIGH</t>
        </is>
      </c>
      <c r="I1065" s="187" t="n">
        <v>14.2</v>
      </c>
      <c r="J1065" s="187" t="inlineStr">
        <is>
          <t>NO</t>
        </is>
      </c>
      <c r="K1065" s="187" t="inlineStr">
        <is>
          <t>https://nvd.nist.gov/vuln/detail/CVE-2019-25494</t>
        </is>
      </c>
      <c r="L1065" s="187" t="inlineStr">
        <is>
          <t>2026-02-27 20:47</t>
        </is>
      </c>
      <c r="M1065" s="187" t="inlineStr">
        <is>
          <t>CHECK_VENDOR</t>
        </is>
      </c>
      <c r="N1065" s="187" t="inlineStr">
        <is>
          <t>See NVD references</t>
        </is>
      </c>
      <c r="O1065" s="187" t="inlineStr">
        <is>
          <t>Apply vendor patches</t>
        </is>
      </c>
      <c r="P1065" s="187" t="inlineStr">
        <is>
          <t>See CVE details</t>
        </is>
      </c>
      <c r="Q1065" s="187" t="inlineStr">
        <is>
          <t>P3</t>
        </is>
      </c>
      <c r="R1065" s="187" t="inlineStr">
        <is>
          <t>🚨 URGENT: Apply vendor patches immediately | 🔒 Isolate affected systems if patch unavailable | 🛡️ Enable additional monitoring/IDS rules</t>
        </is>
      </c>
      <c r="S1065" s="187" t="inlineStr">
        <is>
          <t>CVE - IP enrichment n/a</t>
        </is>
      </c>
      <c r="T1065" s="187" t="n">
        <v>0</v>
      </c>
      <c r="U1065" s="187" t="n">
        <v>0</v>
      </c>
      <c r="V1065" s="187" t="inlineStr">
        <is>
          <t>T1190:Exploit Public-Facing Application | T1552:Unsecured Credentials</t>
        </is>
      </c>
      <c r="W1065" s="187" t="n">
        <v>1</v>
      </c>
      <c r="X1065" s="187" t="inlineStr">
        <is>
          <t>LOW (40%)</t>
        </is>
      </c>
      <c r="Y1065" s="187" t="inlineStr">
        <is>
          <t>UNLIKELY</t>
        </is>
      </c>
      <c r="Z1065" s="187" t="inlineStr">
        <is>
          <t>CHECK_VENDOR</t>
        </is>
      </c>
      <c r="AA1065" s="187" t="inlineStr">
        <is>
          <t>https://nvd.nist.gov/vuln/detail/CVE-2019-25494</t>
        </is>
      </c>
      <c r="AB1065" s="187" t="inlineStr">
        <is>
          <t>NONE</t>
        </is>
      </c>
      <c r="AC1065" s="187" t="n">
        <v>0</v>
      </c>
      <c r="AD1065" s="187" t="inlineStr"/>
    </row>
    <row r="1066">
      <c r="A1066" s="187" t="inlineStr">
        <is>
          <t>CVE</t>
        </is>
      </c>
      <c r="B1066" s="187" t="inlineStr">
        <is>
          <t>CVE-2019-25495</t>
        </is>
      </c>
      <c r="C1066" s="187"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1066" s="187" t="n">
        <v>8.199999999999999</v>
      </c>
      <c r="E1066" s="187" t="inlineStr">
        <is>
          <t>HIGH</t>
        </is>
      </c>
      <c r="F1066" s="187" t="n">
        <v>2</v>
      </c>
      <c r="G1066" s="187" t="n">
        <v>3</v>
      </c>
      <c r="H1066" s="187" t="inlineStr">
        <is>
          <t>HIGH</t>
        </is>
      </c>
      <c r="I1066" s="187" t="n">
        <v>14.2</v>
      </c>
      <c r="J1066" s="187" t="inlineStr">
        <is>
          <t>NO</t>
        </is>
      </c>
      <c r="K1066" s="187" t="inlineStr">
        <is>
          <t>https://nvd.nist.gov/vuln/detail/CVE-2019-25495</t>
        </is>
      </c>
      <c r="L1066" s="187" t="inlineStr">
        <is>
          <t>2026-02-27 20:47</t>
        </is>
      </c>
      <c r="M1066" s="187" t="inlineStr">
        <is>
          <t>CHECK_VENDOR</t>
        </is>
      </c>
      <c r="N1066" s="187" t="inlineStr">
        <is>
          <t>See NVD references</t>
        </is>
      </c>
      <c r="O1066" s="187" t="inlineStr">
        <is>
          <t>Apply vendor patches</t>
        </is>
      </c>
      <c r="P1066" s="187" t="inlineStr">
        <is>
          <t>See CVE details</t>
        </is>
      </c>
      <c r="Q1066" s="187" t="inlineStr">
        <is>
          <t>P3</t>
        </is>
      </c>
      <c r="R1066" s="187" t="inlineStr">
        <is>
          <t>🚨 URGENT: Apply vendor patches immediately | 🔒 Isolate affected systems if patch unavailable | 🛡️ Enable additional monitoring/IDS rules</t>
        </is>
      </c>
      <c r="S1066" s="187" t="inlineStr">
        <is>
          <t>CVE - IP enrichment n/a</t>
        </is>
      </c>
      <c r="T1066" s="187" t="n">
        <v>0</v>
      </c>
      <c r="U1066" s="187" t="n">
        <v>0</v>
      </c>
      <c r="V1066" s="187" t="inlineStr">
        <is>
          <t>T1190:Exploit Public-Facing Application</t>
        </is>
      </c>
      <c r="W1066" s="187" t="n">
        <v>1</v>
      </c>
      <c r="X1066" s="187" t="inlineStr">
        <is>
          <t>LOW (40%)</t>
        </is>
      </c>
      <c r="Y1066" s="187" t="inlineStr">
        <is>
          <t>UNLIKELY</t>
        </is>
      </c>
      <c r="Z1066" s="187" t="inlineStr">
        <is>
          <t>CHECK_VENDOR</t>
        </is>
      </c>
      <c r="AA1066" s="187" t="inlineStr">
        <is>
          <t>https://nvd.nist.gov/vuln/detail/CVE-2019-25495</t>
        </is>
      </c>
      <c r="AB1066" s="187" t="inlineStr">
        <is>
          <t>NONE</t>
        </is>
      </c>
      <c r="AC1066" s="187" t="n">
        <v>0</v>
      </c>
      <c r="AD1066" s="187" t="inlineStr"/>
    </row>
    <row r="1067">
      <c r="A1067" s="187" t="inlineStr">
        <is>
          <t>CVE</t>
        </is>
      </c>
      <c r="B1067" s="187" t="inlineStr">
        <is>
          <t>CVE-2019-25496</t>
        </is>
      </c>
      <c r="C1067" s="187"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1067" s="187" t="n">
        <v>8.199999999999999</v>
      </c>
      <c r="E1067" s="187" t="inlineStr">
        <is>
          <t>HIGH</t>
        </is>
      </c>
      <c r="F1067" s="187" t="n">
        <v>2</v>
      </c>
      <c r="G1067" s="187" t="n">
        <v>3</v>
      </c>
      <c r="H1067" s="187" t="inlineStr">
        <is>
          <t>HIGH</t>
        </is>
      </c>
      <c r="I1067" s="187" t="n">
        <v>14.2</v>
      </c>
      <c r="J1067" s="187" t="inlineStr">
        <is>
          <t>NO</t>
        </is>
      </c>
      <c r="K1067" s="187" t="inlineStr">
        <is>
          <t>https://nvd.nist.gov/vuln/detail/CVE-2019-25496</t>
        </is>
      </c>
      <c r="L1067" s="187" t="inlineStr">
        <is>
          <t>2026-02-27 20:47</t>
        </is>
      </c>
      <c r="M1067" s="187" t="inlineStr">
        <is>
          <t>CHECK_VENDOR</t>
        </is>
      </c>
      <c r="N1067" s="187" t="inlineStr">
        <is>
          <t>See NVD references</t>
        </is>
      </c>
      <c r="O1067" s="187" t="inlineStr">
        <is>
          <t>Apply vendor patches</t>
        </is>
      </c>
      <c r="P1067" s="187" t="inlineStr">
        <is>
          <t>See CVE details</t>
        </is>
      </c>
      <c r="Q1067" s="187" t="inlineStr">
        <is>
          <t>P3</t>
        </is>
      </c>
      <c r="R1067" s="187" t="inlineStr">
        <is>
          <t>🚨 URGENT: Apply vendor patches immediately | 🔒 Isolate affected systems if patch unavailable | 🛡️ Enable additional monitoring/IDS rules</t>
        </is>
      </c>
      <c r="S1067" s="187" t="inlineStr">
        <is>
          <t>CVE - IP enrichment n/a</t>
        </is>
      </c>
      <c r="T1067" s="187" t="n">
        <v>0</v>
      </c>
      <c r="U1067" s="187" t="n">
        <v>0</v>
      </c>
      <c r="V1067" s="187" t="inlineStr">
        <is>
          <t>T1190:Exploit Public-Facing Application</t>
        </is>
      </c>
      <c r="W1067" s="187" t="n">
        <v>1</v>
      </c>
      <c r="X1067" s="187" t="inlineStr">
        <is>
          <t>LOW (40%)</t>
        </is>
      </c>
      <c r="Y1067" s="187" t="inlineStr">
        <is>
          <t>UNLIKELY</t>
        </is>
      </c>
      <c r="Z1067" s="187" t="inlineStr">
        <is>
          <t>CHECK_VENDOR</t>
        </is>
      </c>
      <c r="AA1067" s="187" t="inlineStr">
        <is>
          <t>https://nvd.nist.gov/vuln/detail/CVE-2019-25496</t>
        </is>
      </c>
      <c r="AB1067" s="187" t="inlineStr">
        <is>
          <t>NONE</t>
        </is>
      </c>
      <c r="AC1067" s="187" t="n">
        <v>0</v>
      </c>
      <c r="AD1067" s="187" t="inlineStr"/>
    </row>
    <row r="1068">
      <c r="A1068" s="187" t="inlineStr">
        <is>
          <t>CVE</t>
        </is>
      </c>
      <c r="B1068" s="187" t="inlineStr">
        <is>
          <t>CVE-2019-25497</t>
        </is>
      </c>
      <c r="C1068" s="187"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1068" s="187" t="n">
        <v>8.199999999999999</v>
      </c>
      <c r="E1068" s="187" t="inlineStr">
        <is>
          <t>HIGH</t>
        </is>
      </c>
      <c r="F1068" s="187" t="n">
        <v>2</v>
      </c>
      <c r="G1068" s="187" t="n">
        <v>3</v>
      </c>
      <c r="H1068" s="187" t="inlineStr">
        <is>
          <t>HIGH</t>
        </is>
      </c>
      <c r="I1068" s="187" t="n">
        <v>14.2</v>
      </c>
      <c r="J1068" s="187" t="inlineStr">
        <is>
          <t>NO</t>
        </is>
      </c>
      <c r="K1068" s="187" t="inlineStr">
        <is>
          <t>https://nvd.nist.gov/vuln/detail/CVE-2019-25497</t>
        </is>
      </c>
      <c r="L1068" s="187" t="inlineStr">
        <is>
          <t>2026-02-27 20:47</t>
        </is>
      </c>
      <c r="M1068" s="187" t="inlineStr">
        <is>
          <t>CHECK_VENDOR</t>
        </is>
      </c>
      <c r="N1068" s="187" t="inlineStr">
        <is>
          <t>See NVD references</t>
        </is>
      </c>
      <c r="O1068" s="187" t="inlineStr">
        <is>
          <t>Apply vendor patches</t>
        </is>
      </c>
      <c r="P1068" s="187" t="inlineStr">
        <is>
          <t>See CVE details</t>
        </is>
      </c>
      <c r="Q1068" s="187" t="inlineStr">
        <is>
          <t>P3</t>
        </is>
      </c>
      <c r="R1068" s="187" t="inlineStr">
        <is>
          <t>🚨 URGENT: Apply vendor patches immediately | 🔒 Isolate affected systems if patch unavailable | 🛡️ Enable additional monitoring/IDS rules</t>
        </is>
      </c>
      <c r="S1068" s="187" t="inlineStr">
        <is>
          <t>CVE - IP enrichment n/a</t>
        </is>
      </c>
      <c r="T1068" s="187" t="n">
        <v>0</v>
      </c>
      <c r="U1068" s="187" t="n">
        <v>0</v>
      </c>
      <c r="V1068" s="187" t="inlineStr">
        <is>
          <t>T1190:Exploit Public-Facing Application</t>
        </is>
      </c>
      <c r="W1068" s="187" t="n">
        <v>1</v>
      </c>
      <c r="X1068" s="187" t="inlineStr">
        <is>
          <t>LOW (40%)</t>
        </is>
      </c>
      <c r="Y1068" s="187" t="inlineStr">
        <is>
          <t>UNLIKELY</t>
        </is>
      </c>
      <c r="Z1068" s="187" t="inlineStr">
        <is>
          <t>CHECK_VENDOR</t>
        </is>
      </c>
      <c r="AA1068" s="187" t="inlineStr">
        <is>
          <t>https://nvd.nist.gov/vuln/detail/CVE-2019-25497</t>
        </is>
      </c>
      <c r="AB1068" s="187" t="inlineStr">
        <is>
          <t>NONE</t>
        </is>
      </c>
      <c r="AC1068" s="187" t="n">
        <v>0</v>
      </c>
      <c r="AD1068" s="187" t="inlineStr"/>
    </row>
    <row r="1069">
      <c r="A1069" s="187" t="inlineStr">
        <is>
          <t>CVE</t>
        </is>
      </c>
      <c r="B1069" s="187" t="inlineStr">
        <is>
          <t>CVE-2026-21619</t>
        </is>
      </c>
      <c r="C1069" s="187"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1069" s="187" t="n">
        <v>8.5</v>
      </c>
      <c r="E1069" s="187" t="inlineStr">
        <is>
          <t>HIGH</t>
        </is>
      </c>
      <c r="F1069" s="187" t="n">
        <v>2</v>
      </c>
      <c r="G1069" s="187" t="n">
        <v>3</v>
      </c>
      <c r="H1069" s="187" t="inlineStr">
        <is>
          <t>HIGH</t>
        </is>
      </c>
      <c r="I1069" s="187" t="n">
        <v>14.5</v>
      </c>
      <c r="J1069" s="187" t="inlineStr">
        <is>
          <t>NO</t>
        </is>
      </c>
      <c r="K1069" s="187" t="inlineStr">
        <is>
          <t>https://nvd.nist.gov/vuln/detail/CVE-2026-21619</t>
        </is>
      </c>
      <c r="L1069" s="187" t="inlineStr">
        <is>
          <t>2026-02-27 20:47</t>
        </is>
      </c>
      <c r="M1069" s="187" t="inlineStr">
        <is>
          <t>CHECK_VENDOR</t>
        </is>
      </c>
      <c r="N1069" s="187" t="inlineStr">
        <is>
          <t>See NVD references</t>
        </is>
      </c>
      <c r="O1069" s="187" t="inlineStr">
        <is>
          <t>Apply vendor patches</t>
        </is>
      </c>
      <c r="P1069" s="187" t="inlineStr">
        <is>
          <t>See CVE details</t>
        </is>
      </c>
      <c r="Q1069" s="187" t="inlineStr">
        <is>
          <t>P3</t>
        </is>
      </c>
      <c r="R1069" s="187" t="inlineStr">
        <is>
          <t>🚨 URGENT: Apply vendor patches immediately | 🔒 Isolate affected systems if patch unavailable | 🛡️ Enable additional monitoring/IDS rules</t>
        </is>
      </c>
      <c r="S1069" s="187" t="inlineStr">
        <is>
          <t>CVE - IP enrichment n/a</t>
        </is>
      </c>
      <c r="T1069" s="187" t="n">
        <v>0</v>
      </c>
      <c r="U1069" s="187" t="n">
        <v>0</v>
      </c>
      <c r="V1069" s="187" t="inlineStr">
        <is>
          <t>T1190:Exploit Public-Facing Application | T1059:Command and Scripting Interpreter</t>
        </is>
      </c>
      <c r="W1069" s="187" t="n">
        <v>1</v>
      </c>
      <c r="X1069" s="187" t="inlineStr">
        <is>
          <t>LOW (40%)</t>
        </is>
      </c>
      <c r="Y1069" s="187" t="inlineStr">
        <is>
          <t>UNLIKELY</t>
        </is>
      </c>
      <c r="Z1069" s="187" t="inlineStr">
        <is>
          <t>CHECK_VENDOR</t>
        </is>
      </c>
      <c r="AA1069" s="187" t="inlineStr">
        <is>
          <t>https://nvd.nist.gov/vuln/detail/CVE-2026-21619</t>
        </is>
      </c>
      <c r="AB1069" s="187" t="inlineStr">
        <is>
          <t>NONE</t>
        </is>
      </c>
      <c r="AC1069" s="187" t="n">
        <v>0</v>
      </c>
      <c r="AD1069" s="187" t="inlineStr"/>
    </row>
    <row r="1070">
      <c r="A1070" s="188" t="inlineStr">
        <is>
          <t>CVE</t>
        </is>
      </c>
      <c r="B1070" s="188" t="inlineStr">
        <is>
          <t>CVE-2026-26861</t>
        </is>
      </c>
      <c r="C1070" s="188"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1070" s="188" t="n">
        <v>5</v>
      </c>
      <c r="E1070" s="188" t="inlineStr">
        <is>
          <t>MEDIUM</t>
        </is>
      </c>
      <c r="F1070" s="188" t="n">
        <v>2</v>
      </c>
      <c r="G1070" s="188" t="n">
        <v>2</v>
      </c>
      <c r="H1070" s="188" t="inlineStr">
        <is>
          <t>MEDIUM</t>
        </is>
      </c>
      <c r="I1070" s="188" t="n">
        <v>9</v>
      </c>
      <c r="J1070" s="188" t="inlineStr">
        <is>
          <t>NO</t>
        </is>
      </c>
      <c r="K1070" s="188" t="inlineStr">
        <is>
          <t>https://nvd.nist.gov/vuln/detail/CVE-2026-26861</t>
        </is>
      </c>
      <c r="L1070" s="188" t="inlineStr">
        <is>
          <t>2026-02-27 20:47</t>
        </is>
      </c>
      <c r="M1070" s="188" t="inlineStr">
        <is>
          <t>CHECK_VENDOR</t>
        </is>
      </c>
      <c r="N1070" s="188" t="inlineStr">
        <is>
          <t>See NVD references</t>
        </is>
      </c>
      <c r="O1070" s="188" t="inlineStr">
        <is>
          <t>Apply vendor patches</t>
        </is>
      </c>
      <c r="P1070" s="188" t="inlineStr">
        <is>
          <t>See CVE details</t>
        </is>
      </c>
      <c r="Q1070" s="188" t="inlineStr">
        <is>
          <t>P4</t>
        </is>
      </c>
      <c r="R1070" s="188" t="inlineStr">
        <is>
          <t>📅 Schedule patch deployment within 30 days | 🔍 Monitor for exploitation attempts</t>
        </is>
      </c>
      <c r="S1070" s="188" t="inlineStr">
        <is>
          <t>CVE - IP enrichment n/a</t>
        </is>
      </c>
      <c r="T1070" s="188" t="n">
        <v>0</v>
      </c>
      <c r="U1070" s="188" t="n">
        <v>0</v>
      </c>
      <c r="V1070" s="188" t="inlineStr">
        <is>
          <t>T1189:Drive-by Compromise</t>
        </is>
      </c>
      <c r="W1070" s="188" t="n">
        <v>1</v>
      </c>
      <c r="X1070" s="188" t="inlineStr">
        <is>
          <t>LOW (40%)</t>
        </is>
      </c>
      <c r="Y1070" s="188" t="inlineStr">
        <is>
          <t>UNLIKELY</t>
        </is>
      </c>
      <c r="Z1070" s="188" t="inlineStr">
        <is>
          <t>CHECK_VENDOR</t>
        </is>
      </c>
      <c r="AA1070" s="188" t="inlineStr">
        <is>
          <t>https://nvd.nist.gov/vuln/detail/CVE-2026-26861</t>
        </is>
      </c>
      <c r="AB1070" s="188" t="inlineStr">
        <is>
          <t>NONE</t>
        </is>
      </c>
      <c r="AC1070" s="188" t="n">
        <v>0</v>
      </c>
      <c r="AD1070" s="188" t="inlineStr"/>
    </row>
    <row r="1071">
      <c r="A1071" s="188" t="inlineStr">
        <is>
          <t>CVE</t>
        </is>
      </c>
      <c r="B1071" s="188" t="inlineStr">
        <is>
          <t>CVE-2026-26862</t>
        </is>
      </c>
      <c r="C1071" s="188"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1071" s="188" t="n">
        <v>5</v>
      </c>
      <c r="E1071" s="188" t="inlineStr">
        <is>
          <t>MEDIUM</t>
        </is>
      </c>
      <c r="F1071" s="188" t="n">
        <v>2</v>
      </c>
      <c r="G1071" s="188" t="n">
        <v>2</v>
      </c>
      <c r="H1071" s="188" t="inlineStr">
        <is>
          <t>MEDIUM</t>
        </is>
      </c>
      <c r="I1071" s="188" t="n">
        <v>9</v>
      </c>
      <c r="J1071" s="188" t="inlineStr">
        <is>
          <t>NO</t>
        </is>
      </c>
      <c r="K1071" s="188" t="inlineStr">
        <is>
          <t>https://nvd.nist.gov/vuln/detail/CVE-2026-26862</t>
        </is>
      </c>
      <c r="L1071" s="188" t="inlineStr">
        <is>
          <t>2026-02-27 20:47</t>
        </is>
      </c>
      <c r="M1071" s="188" t="inlineStr">
        <is>
          <t>CHECK_VENDOR</t>
        </is>
      </c>
      <c r="N1071" s="188" t="inlineStr">
        <is>
          <t>See NVD references</t>
        </is>
      </c>
      <c r="O1071" s="188" t="inlineStr">
        <is>
          <t>Apply vendor patches</t>
        </is>
      </c>
      <c r="P1071" s="188" t="inlineStr">
        <is>
          <t>See CVE details</t>
        </is>
      </c>
      <c r="Q1071" s="188" t="inlineStr">
        <is>
          <t>P4</t>
        </is>
      </c>
      <c r="R1071" s="188" t="inlineStr">
        <is>
          <t>📅 Schedule patch deployment within 30 days | 🔍 Monitor for exploitation attempts</t>
        </is>
      </c>
      <c r="S1071" s="188" t="inlineStr">
        <is>
          <t>CVE - IP enrichment n/a</t>
        </is>
      </c>
      <c r="T1071" s="188" t="n">
        <v>0</v>
      </c>
      <c r="U1071" s="188" t="n">
        <v>0</v>
      </c>
      <c r="V1071" s="188" t="inlineStr">
        <is>
          <t>T1189:Drive-by Compromise</t>
        </is>
      </c>
      <c r="W1071" s="188" t="n">
        <v>1</v>
      </c>
      <c r="X1071" s="188" t="inlineStr">
        <is>
          <t>LOW (40%)</t>
        </is>
      </c>
      <c r="Y1071" s="188" t="inlineStr">
        <is>
          <t>UNLIKELY</t>
        </is>
      </c>
      <c r="Z1071" s="188" t="inlineStr">
        <is>
          <t>CHECK_VENDOR</t>
        </is>
      </c>
      <c r="AA1071" s="188" t="inlineStr">
        <is>
          <t>https://nvd.nist.gov/vuln/detail/CVE-2026-26862</t>
        </is>
      </c>
      <c r="AB1071" s="188" t="inlineStr">
        <is>
          <t>NONE</t>
        </is>
      </c>
      <c r="AC1071" s="188" t="n">
        <v>0</v>
      </c>
      <c r="AD1071" s="188" t="inlineStr"/>
    </row>
    <row r="1072">
      <c r="A1072" s="189" t="inlineStr">
        <is>
          <t>CVE</t>
        </is>
      </c>
      <c r="B1072" s="189" t="inlineStr">
        <is>
          <t>CVE-2026-27751</t>
        </is>
      </c>
      <c r="C1072" s="189"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1072" s="189" t="n">
        <v>9.800000000000001</v>
      </c>
      <c r="E1072" s="189" t="inlineStr">
        <is>
          <t>CRITICAL</t>
        </is>
      </c>
      <c r="F1072" s="189" t="n">
        <v>2</v>
      </c>
      <c r="G1072" s="189" t="n">
        <v>3</v>
      </c>
      <c r="H1072" s="189" t="inlineStr">
        <is>
          <t>HIGH</t>
        </is>
      </c>
      <c r="I1072" s="189" t="n">
        <v>15.8</v>
      </c>
      <c r="J1072" s="189" t="inlineStr">
        <is>
          <t>NO</t>
        </is>
      </c>
      <c r="K1072" s="189" t="inlineStr">
        <is>
          <t>https://nvd.nist.gov/vuln/detail/CVE-2026-27751</t>
        </is>
      </c>
      <c r="L1072" s="189" t="inlineStr">
        <is>
          <t>2026-02-27 20:47</t>
        </is>
      </c>
      <c r="M1072" s="189" t="inlineStr">
        <is>
          <t>CHECK_VENDOR</t>
        </is>
      </c>
      <c r="N1072" s="189" t="inlineStr">
        <is>
          <t>See NVD references</t>
        </is>
      </c>
      <c r="O1072" s="189" t="inlineStr">
        <is>
          <t>Apply vendor patches</t>
        </is>
      </c>
      <c r="P1072" s="189" t="inlineStr">
        <is>
          <t>See CVE details</t>
        </is>
      </c>
      <c r="Q1072" s="189" t="inlineStr">
        <is>
          <t>P3</t>
        </is>
      </c>
      <c r="R1072" s="189" t="inlineStr">
        <is>
          <t>🚨 URGENT: Apply vendor patches immediately | 🔒 Isolate affected systems if patch unavailable | 🛡️ Enable additional monitoring/IDS rules</t>
        </is>
      </c>
      <c r="S1072" s="189" t="inlineStr">
        <is>
          <t>CVE - IP enrichment n/a</t>
        </is>
      </c>
      <c r="T1072" s="189" t="n">
        <v>0</v>
      </c>
      <c r="U1072" s="189" t="n">
        <v>0</v>
      </c>
      <c r="V1072" s="189" t="inlineStr">
        <is>
          <t>T1190:Exploit Public-Facing Application | T1552:Unsecured Credentials</t>
        </is>
      </c>
      <c r="W1072" s="189" t="n">
        <v>1</v>
      </c>
      <c r="X1072" s="189" t="inlineStr">
        <is>
          <t>LOW (40%)</t>
        </is>
      </c>
      <c r="Y1072" s="189" t="inlineStr">
        <is>
          <t>UNLIKELY</t>
        </is>
      </c>
      <c r="Z1072" s="189" t="inlineStr">
        <is>
          <t>CHECK_VENDOR</t>
        </is>
      </c>
      <c r="AA1072" s="189" t="inlineStr">
        <is>
          <t>https://nvd.nist.gov/vuln/detail/CVE-2026-27751</t>
        </is>
      </c>
      <c r="AB1072" s="189" t="inlineStr">
        <is>
          <t>NONE</t>
        </is>
      </c>
      <c r="AC1072" s="189" t="n">
        <v>0</v>
      </c>
      <c r="AD1072" s="189" t="inlineStr"/>
    </row>
    <row r="1073">
      <c r="A1073" s="188" t="inlineStr">
        <is>
          <t>CVE</t>
        </is>
      </c>
      <c r="B1073" s="188" t="inlineStr">
        <is>
          <t>CVE-2026-27752</t>
        </is>
      </c>
      <c r="C1073" s="188"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1073" s="188" t="n">
        <v>5.9</v>
      </c>
      <c r="E1073" s="188" t="inlineStr">
        <is>
          <t>MEDIUM</t>
        </is>
      </c>
      <c r="F1073" s="188" t="n">
        <v>2</v>
      </c>
      <c r="G1073" s="188" t="n">
        <v>2</v>
      </c>
      <c r="H1073" s="188" t="inlineStr">
        <is>
          <t>MEDIUM</t>
        </is>
      </c>
      <c r="I1073" s="188" t="n">
        <v>9.9</v>
      </c>
      <c r="J1073" s="188" t="inlineStr">
        <is>
          <t>NO</t>
        </is>
      </c>
      <c r="K1073" s="188" t="inlineStr">
        <is>
          <t>https://nvd.nist.gov/vuln/detail/CVE-2026-27752</t>
        </is>
      </c>
      <c r="L1073" s="188" t="inlineStr">
        <is>
          <t>2026-02-27 20:47</t>
        </is>
      </c>
      <c r="M1073" s="188" t="inlineStr">
        <is>
          <t>CHECK_VENDOR</t>
        </is>
      </c>
      <c r="N1073" s="188" t="inlineStr">
        <is>
          <t>See NVD references</t>
        </is>
      </c>
      <c r="O1073" s="188" t="inlineStr">
        <is>
          <t>Apply vendor patches</t>
        </is>
      </c>
      <c r="P1073" s="188" t="inlineStr">
        <is>
          <t>See CVE details</t>
        </is>
      </c>
      <c r="Q1073" s="188" t="inlineStr">
        <is>
          <t>P4</t>
        </is>
      </c>
      <c r="R1073" s="188" t="inlineStr">
        <is>
          <t>📅 Schedule patch deployment within 30 days | 🔍 Monitor for exploitation attempts</t>
        </is>
      </c>
      <c r="S1073" s="188" t="inlineStr">
        <is>
          <t>CVE - IP enrichment n/a</t>
        </is>
      </c>
      <c r="T1073" s="188" t="n">
        <v>0</v>
      </c>
      <c r="U1073" s="188" t="n">
        <v>0</v>
      </c>
      <c r="V1073" s="188" t="inlineStr">
        <is>
          <t>T1190:Exploit Public-Facing Application | T1552:Unsecured Credentials</t>
        </is>
      </c>
      <c r="W1073" s="188" t="n">
        <v>1</v>
      </c>
      <c r="X1073" s="188" t="inlineStr">
        <is>
          <t>LOW (40%)</t>
        </is>
      </c>
      <c r="Y1073" s="188" t="inlineStr">
        <is>
          <t>UNLIKELY</t>
        </is>
      </c>
      <c r="Z1073" s="188" t="inlineStr">
        <is>
          <t>CHECK_VENDOR</t>
        </is>
      </c>
      <c r="AA1073" s="188" t="inlineStr">
        <is>
          <t>https://nvd.nist.gov/vuln/detail/CVE-2026-27752</t>
        </is>
      </c>
      <c r="AB1073" s="188" t="inlineStr">
        <is>
          <t>NONE</t>
        </is>
      </c>
      <c r="AC1073" s="188" t="n">
        <v>0</v>
      </c>
      <c r="AD1073" s="188" t="inlineStr"/>
    </row>
    <row r="1074">
      <c r="A1074" s="188" t="inlineStr">
        <is>
          <t>CVE</t>
        </is>
      </c>
      <c r="B1074" s="188" t="inlineStr">
        <is>
          <t>CVE-2026-27753</t>
        </is>
      </c>
      <c r="C1074" s="188"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1074" s="188" t="n">
        <v>6.5</v>
      </c>
      <c r="E1074" s="188" t="inlineStr">
        <is>
          <t>MEDIUM</t>
        </is>
      </c>
      <c r="F1074" s="188" t="n">
        <v>2</v>
      </c>
      <c r="G1074" s="188" t="n">
        <v>2</v>
      </c>
      <c r="H1074" s="188" t="inlineStr">
        <is>
          <t>MEDIUM</t>
        </is>
      </c>
      <c r="I1074" s="188" t="n">
        <v>10.5</v>
      </c>
      <c r="J1074" s="188" t="inlineStr">
        <is>
          <t>NO</t>
        </is>
      </c>
      <c r="K1074" s="188" t="inlineStr">
        <is>
          <t>https://nvd.nist.gov/vuln/detail/CVE-2026-27753</t>
        </is>
      </c>
      <c r="L1074" s="188" t="inlineStr">
        <is>
          <t>2026-02-27 20:47</t>
        </is>
      </c>
      <c r="M1074" s="188" t="inlineStr">
        <is>
          <t>CHECK_VENDOR</t>
        </is>
      </c>
      <c r="N1074" s="188" t="inlineStr">
        <is>
          <t>See NVD references</t>
        </is>
      </c>
      <c r="O1074" s="188" t="inlineStr">
        <is>
          <t>Apply vendor patches</t>
        </is>
      </c>
      <c r="P1074" s="188" t="inlineStr">
        <is>
          <t>See CVE details</t>
        </is>
      </c>
      <c r="Q1074" s="188" t="inlineStr">
        <is>
          <t>P4</t>
        </is>
      </c>
      <c r="R1074" s="188" t="inlineStr">
        <is>
          <t>📅 Schedule patch deployment within 30 days | 🔍 Monitor for exploitation attempts</t>
        </is>
      </c>
      <c r="S1074" s="188" t="inlineStr">
        <is>
          <t>CVE - IP enrichment n/a</t>
        </is>
      </c>
      <c r="T1074" s="188" t="n">
        <v>0</v>
      </c>
      <c r="U1074" s="188" t="n">
        <v>0</v>
      </c>
      <c r="V1074" s="188" t="inlineStr">
        <is>
          <t>T1078:Valid Accounts</t>
        </is>
      </c>
      <c r="W1074" s="188" t="n">
        <v>1</v>
      </c>
      <c r="X1074" s="188" t="inlineStr">
        <is>
          <t>LOW (40%)</t>
        </is>
      </c>
      <c r="Y1074" s="188" t="inlineStr">
        <is>
          <t>UNLIKELY</t>
        </is>
      </c>
      <c r="Z1074" s="188" t="inlineStr">
        <is>
          <t>CHECK_VENDOR</t>
        </is>
      </c>
      <c r="AA1074" s="188" t="inlineStr">
        <is>
          <t>https://nvd.nist.gov/vuln/detail/CVE-2026-27753</t>
        </is>
      </c>
      <c r="AB1074" s="188" t="inlineStr">
        <is>
          <t>NONE</t>
        </is>
      </c>
      <c r="AC1074" s="188" t="n">
        <v>0</v>
      </c>
      <c r="AD1074" s="188" t="inlineStr"/>
    </row>
    <row r="1075">
      <c r="A1075" s="187" t="inlineStr">
        <is>
          <t>EXPLOIT</t>
        </is>
      </c>
      <c r="B1075" s="187" t="inlineStr">
        <is>
          <t>264ee764a350</t>
        </is>
      </c>
      <c r="C1075" s="187" t="inlineStr">
        <is>
          <t>[webapps] motionEye 0.43.1b4 - RCE</t>
        </is>
      </c>
      <c r="D1075" s="187" t="n">
        <v>7.5</v>
      </c>
      <c r="E1075" s="187" t="inlineStr">
        <is>
          <t>HIGH</t>
        </is>
      </c>
      <c r="F1075" s="187" t="n">
        <v>3</v>
      </c>
      <c r="G1075" s="187" t="n">
        <v>3</v>
      </c>
      <c r="H1075" s="187" t="inlineStr">
        <is>
          <t>CRITICAL</t>
        </is>
      </c>
      <c r="I1075" s="187" t="n">
        <v>16.5</v>
      </c>
      <c r="J1075" s="187" t="inlineStr">
        <is>
          <t>NO</t>
        </is>
      </c>
      <c r="K1075" s="187" t="inlineStr">
        <is>
          <t>https://www.exploit-db.com/exploits/52481</t>
        </is>
      </c>
      <c r="L1075" s="187" t="inlineStr">
        <is>
          <t>2026-02-11 00:00</t>
        </is>
      </c>
      <c r="M1075" s="187" t="inlineStr">
        <is>
          <t>CHECK_VENDOR</t>
        </is>
      </c>
      <c r="N1075" s="187" t="inlineStr">
        <is>
          <t>https://www.exploit-db.com/exploits/52481</t>
        </is>
      </c>
      <c r="O1075" s="187" t="inlineStr">
        <is>
          <t>Block exploit signatures at perimeter</t>
        </is>
      </c>
      <c r="P1075" s="187" t="inlineStr">
        <is>
          <t>Various</t>
        </is>
      </c>
      <c r="Q1075" s="187" t="inlineStr">
        <is>
          <t>P1</t>
        </is>
      </c>
      <c r="R1075" s="187" t="inlineStr">
        <is>
          <t>⚠️ Active exploit detected - prioritize patching | 🚫 Block exploit signatures at perimeter | 🔎 Scan environment for IOCs</t>
        </is>
      </c>
      <c r="S1075" s="187" t="inlineStr">
        <is>
          <t>Exploit - IP enrichment N/A</t>
        </is>
      </c>
      <c r="T1075" s="187" t="n">
        <v>0</v>
      </c>
      <c r="U1075" s="187" t="n">
        <v>0</v>
      </c>
      <c r="V1075" s="187" t="inlineStr">
        <is>
          <t>T1203:Exploitation for Client Execution</t>
        </is>
      </c>
      <c r="W1075" s="187" t="n">
        <v>1</v>
      </c>
      <c r="X1075" s="187" t="inlineStr">
        <is>
          <t>LOW (40%)</t>
        </is>
      </c>
      <c r="Y1075" s="187" t="inlineStr">
        <is>
          <t>YES</t>
        </is>
      </c>
      <c r="Z1075" s="187" t="inlineStr">
        <is>
          <t>CHECK_VENDOR</t>
        </is>
      </c>
      <c r="AA1075" s="187" t="inlineStr">
        <is>
          <t>https://www.exploit-db.com/exploits/52481</t>
        </is>
      </c>
      <c r="AB1075" s="187" t="inlineStr">
        <is>
          <t>NONE</t>
        </is>
      </c>
      <c r="AC1075" s="187" t="n">
        <v>0</v>
      </c>
      <c r="AD1075" s="187" t="inlineStr"/>
    </row>
    <row r="1076">
      <c r="A1076" s="187" t="inlineStr">
        <is>
          <t>EXPLOIT</t>
        </is>
      </c>
      <c r="B1076" s="187" t="inlineStr">
        <is>
          <t>16c218acca5e</t>
        </is>
      </c>
      <c r="C1076" s="187" t="inlineStr">
        <is>
          <t>[remote] Windows 10.0.17763.7009 - spoofing vulnerability</t>
        </is>
      </c>
      <c r="D1076" s="187" t="n">
        <v>7.5</v>
      </c>
      <c r="E1076" s="187" t="inlineStr">
        <is>
          <t>HIGH</t>
        </is>
      </c>
      <c r="F1076" s="187" t="n">
        <v>3</v>
      </c>
      <c r="G1076" s="187" t="n">
        <v>3</v>
      </c>
      <c r="H1076" s="187" t="inlineStr">
        <is>
          <t>CRITICAL</t>
        </is>
      </c>
      <c r="I1076" s="187" t="n">
        <v>16.5</v>
      </c>
      <c r="J1076" s="187" t="inlineStr">
        <is>
          <t>NO</t>
        </is>
      </c>
      <c r="K1076" s="187" t="inlineStr">
        <is>
          <t>https://www.exploit-db.com/exploits/52480</t>
        </is>
      </c>
      <c r="L1076" s="187" t="inlineStr">
        <is>
          <t>2026-02-11 00:00</t>
        </is>
      </c>
      <c r="M1076" s="187" t="inlineStr">
        <is>
          <t>CHECK_VENDOR</t>
        </is>
      </c>
      <c r="N1076" s="187" t="inlineStr">
        <is>
          <t>https://www.exploit-db.com/exploits/52480</t>
        </is>
      </c>
      <c r="O1076" s="187" t="inlineStr">
        <is>
          <t>Block exploit signatures at perimeter</t>
        </is>
      </c>
      <c r="P1076" s="187" t="inlineStr">
        <is>
          <t>Various</t>
        </is>
      </c>
      <c r="Q1076" s="187" t="inlineStr">
        <is>
          <t>P1</t>
        </is>
      </c>
      <c r="R1076" s="187" t="inlineStr">
        <is>
          <t>⚠️ Active exploit detected - prioritize patching | 🚫 Block exploit signatures at perimeter | 🔎 Scan environment for IOCs</t>
        </is>
      </c>
      <c r="S1076" s="187" t="inlineStr">
        <is>
          <t>Exploit - IP enrichment N/A</t>
        </is>
      </c>
      <c r="T1076" s="187" t="n">
        <v>0</v>
      </c>
      <c r="U1076" s="187" t="n">
        <v>0</v>
      </c>
      <c r="V1076" s="187" t="inlineStr">
        <is>
          <t>T1203:Exploitation for Client Execution</t>
        </is>
      </c>
      <c r="W1076" s="187" t="n">
        <v>1</v>
      </c>
      <c r="X1076" s="187" t="inlineStr">
        <is>
          <t>LOW (40%)</t>
        </is>
      </c>
      <c r="Y1076" s="187" t="inlineStr">
        <is>
          <t>YES</t>
        </is>
      </c>
      <c r="Z1076" s="187" t="inlineStr">
        <is>
          <t>CHECK_VENDOR</t>
        </is>
      </c>
      <c r="AA1076" s="187" t="inlineStr">
        <is>
          <t>https://www.exploit-db.com/exploits/52480</t>
        </is>
      </c>
      <c r="AB1076" s="187" t="inlineStr">
        <is>
          <t>NONE</t>
        </is>
      </c>
      <c r="AC1076" s="187" t="n">
        <v>0</v>
      </c>
      <c r="AD1076" s="187" t="inlineStr"/>
    </row>
    <row r="1077">
      <c r="A1077" s="187" t="inlineStr">
        <is>
          <t>EXPLOIT</t>
        </is>
      </c>
      <c r="B1077" s="187" t="inlineStr">
        <is>
          <t>08ba2a1cd543</t>
        </is>
      </c>
      <c r="C1077" s="187" t="inlineStr">
        <is>
          <t>[local] glibc 2.38 - Buffer Overflow</t>
        </is>
      </c>
      <c r="D1077" s="187" t="n">
        <v>7.5</v>
      </c>
      <c r="E1077" s="187" t="inlineStr">
        <is>
          <t>HIGH</t>
        </is>
      </c>
      <c r="F1077" s="187" t="n">
        <v>3</v>
      </c>
      <c r="G1077" s="187" t="n">
        <v>3</v>
      </c>
      <c r="H1077" s="187" t="inlineStr">
        <is>
          <t>CRITICAL</t>
        </is>
      </c>
      <c r="I1077" s="187" t="n">
        <v>16.5</v>
      </c>
      <c r="J1077" s="187" t="inlineStr">
        <is>
          <t>NO</t>
        </is>
      </c>
      <c r="K1077" s="187" t="inlineStr">
        <is>
          <t>https://www.exploit-db.com/exploits/52479</t>
        </is>
      </c>
      <c r="L1077" s="187" t="inlineStr">
        <is>
          <t>2026-02-11 00:00</t>
        </is>
      </c>
      <c r="M1077" s="187" t="inlineStr">
        <is>
          <t>CHECK_VENDOR</t>
        </is>
      </c>
      <c r="N1077" s="187" t="inlineStr">
        <is>
          <t>https://www.exploit-db.com/exploits/52479</t>
        </is>
      </c>
      <c r="O1077" s="187" t="inlineStr">
        <is>
          <t>Block exploit signatures at perimeter</t>
        </is>
      </c>
      <c r="P1077" s="187" t="inlineStr">
        <is>
          <t>Various</t>
        </is>
      </c>
      <c r="Q1077" s="187" t="inlineStr">
        <is>
          <t>P1</t>
        </is>
      </c>
      <c r="R1077" s="187" t="inlineStr">
        <is>
          <t>⚠️ Active exploit detected - prioritize patching | 🚫 Block exploit signatures at perimeter | 🔎 Scan environment for IOCs</t>
        </is>
      </c>
      <c r="S1077" s="187" t="inlineStr">
        <is>
          <t>Exploit - IP enrichment N/A</t>
        </is>
      </c>
      <c r="T1077" s="187" t="n">
        <v>0</v>
      </c>
      <c r="U1077" s="187" t="n">
        <v>0</v>
      </c>
      <c r="V1077" s="187" t="inlineStr">
        <is>
          <t>T1203:Exploitation for Client Execution</t>
        </is>
      </c>
      <c r="W1077" s="187" t="n">
        <v>1</v>
      </c>
      <c r="X1077" s="187" t="inlineStr">
        <is>
          <t>LOW (40%)</t>
        </is>
      </c>
      <c r="Y1077" s="187" t="inlineStr">
        <is>
          <t>YES</t>
        </is>
      </c>
      <c r="Z1077" s="187" t="inlineStr">
        <is>
          <t>CHECK_VENDOR</t>
        </is>
      </c>
      <c r="AA1077" s="187" t="inlineStr">
        <is>
          <t>https://www.exploit-db.com/exploits/52479</t>
        </is>
      </c>
      <c r="AB1077" s="187" t="inlineStr">
        <is>
          <t>NONE</t>
        </is>
      </c>
      <c r="AC1077" s="187" t="n">
        <v>0</v>
      </c>
      <c r="AD1077" s="187" t="inlineStr"/>
    </row>
    <row r="1078">
      <c r="A1078" s="187" t="inlineStr">
        <is>
          <t>EXPLOIT</t>
        </is>
      </c>
      <c r="B1078" s="187" t="inlineStr">
        <is>
          <t>e684f84451aa</t>
        </is>
      </c>
      <c r="C1078" s="187" t="inlineStr">
        <is>
          <t>[remote] windows 10/11 - NTLM Hash Disclosure Spoofing</t>
        </is>
      </c>
      <c r="D1078" s="187" t="n">
        <v>7.5</v>
      </c>
      <c r="E1078" s="187" t="inlineStr">
        <is>
          <t>HIGH</t>
        </is>
      </c>
      <c r="F1078" s="187" t="n">
        <v>3</v>
      </c>
      <c r="G1078" s="187" t="n">
        <v>3</v>
      </c>
      <c r="H1078" s="187" t="inlineStr">
        <is>
          <t>CRITICAL</t>
        </is>
      </c>
      <c r="I1078" s="187" t="n">
        <v>16.5</v>
      </c>
      <c r="J1078" s="187" t="inlineStr">
        <is>
          <t>NO</t>
        </is>
      </c>
      <c r="K1078" s="187" t="inlineStr">
        <is>
          <t>https://www.exploit-db.com/exploits/52478</t>
        </is>
      </c>
      <c r="L1078" s="187" t="inlineStr">
        <is>
          <t>2026-02-04 00:00</t>
        </is>
      </c>
      <c r="M1078" s="187" t="inlineStr">
        <is>
          <t>CHECK_VENDOR</t>
        </is>
      </c>
      <c r="N1078" s="187" t="inlineStr">
        <is>
          <t>https://www.exploit-db.com/exploits/52478</t>
        </is>
      </c>
      <c r="O1078" s="187" t="inlineStr">
        <is>
          <t>Block exploit signatures at perimeter</t>
        </is>
      </c>
      <c r="P1078" s="187" t="inlineStr">
        <is>
          <t>Various</t>
        </is>
      </c>
      <c r="Q1078" s="187" t="inlineStr">
        <is>
          <t>P1</t>
        </is>
      </c>
      <c r="R1078" s="187" t="inlineStr">
        <is>
          <t>⚠️ Active exploit detected - prioritize patching | 🚫 Block exploit signatures at perimeter | 🔎 Scan environment for IOCs</t>
        </is>
      </c>
      <c r="S1078" s="187" t="inlineStr">
        <is>
          <t>Exploit - IP enrichment N/A</t>
        </is>
      </c>
      <c r="T1078" s="187" t="n">
        <v>0</v>
      </c>
      <c r="U1078" s="187" t="n">
        <v>0</v>
      </c>
      <c r="V1078" s="187" t="inlineStr">
        <is>
          <t>T1203:Exploitation for Client Execution</t>
        </is>
      </c>
      <c r="W1078" s="187" t="n">
        <v>1</v>
      </c>
      <c r="X1078" s="187" t="inlineStr">
        <is>
          <t>LOW (40%)</t>
        </is>
      </c>
      <c r="Y1078" s="187" t="inlineStr">
        <is>
          <t>YES</t>
        </is>
      </c>
      <c r="Z1078" s="187" t="inlineStr">
        <is>
          <t>CHECK_VENDOR</t>
        </is>
      </c>
      <c r="AA1078" s="187" t="inlineStr">
        <is>
          <t>https://www.exploit-db.com/exploits/52478</t>
        </is>
      </c>
      <c r="AB1078" s="187" t="inlineStr">
        <is>
          <t>NONE</t>
        </is>
      </c>
      <c r="AC1078" s="187" t="n">
        <v>0</v>
      </c>
      <c r="AD1078" s="187" t="inlineStr"/>
    </row>
    <row r="1079">
      <c r="A1079" s="187" t="inlineStr">
        <is>
          <t>EXPLOIT</t>
        </is>
      </c>
      <c r="B1079" s="187" t="inlineStr">
        <is>
          <t>fdac721057d5</t>
        </is>
      </c>
      <c r="C1079" s="187" t="inlineStr">
        <is>
          <t>[remote] Redis 8.0.2 - RCE</t>
        </is>
      </c>
      <c r="D1079" s="187" t="n">
        <v>7.5</v>
      </c>
      <c r="E1079" s="187" t="inlineStr">
        <is>
          <t>HIGH</t>
        </is>
      </c>
      <c r="F1079" s="187" t="n">
        <v>3</v>
      </c>
      <c r="G1079" s="187" t="n">
        <v>3</v>
      </c>
      <c r="H1079" s="187" t="inlineStr">
        <is>
          <t>CRITICAL</t>
        </is>
      </c>
      <c r="I1079" s="187" t="n">
        <v>16.5</v>
      </c>
      <c r="J1079" s="187" t="inlineStr">
        <is>
          <t>NO</t>
        </is>
      </c>
      <c r="K1079" s="187" t="inlineStr">
        <is>
          <t>https://www.exploit-db.com/exploits/52477</t>
        </is>
      </c>
      <c r="L1079" s="187" t="inlineStr">
        <is>
          <t>2026-02-04 00:00</t>
        </is>
      </c>
      <c r="M1079" s="187" t="inlineStr">
        <is>
          <t>CHECK_VENDOR</t>
        </is>
      </c>
      <c r="N1079" s="187" t="inlineStr">
        <is>
          <t>https://www.exploit-db.com/exploits/52477</t>
        </is>
      </c>
      <c r="O1079" s="187" t="inlineStr">
        <is>
          <t>Block exploit signatures at perimeter</t>
        </is>
      </c>
      <c r="P1079" s="187" t="inlineStr">
        <is>
          <t>Various</t>
        </is>
      </c>
      <c r="Q1079" s="187" t="inlineStr">
        <is>
          <t>P1</t>
        </is>
      </c>
      <c r="R1079" s="187" t="inlineStr">
        <is>
          <t>⚠️ Active exploit detected - prioritize patching | 🚫 Block exploit signatures at perimeter | 🔎 Scan environment for IOCs</t>
        </is>
      </c>
      <c r="S1079" s="187" t="inlineStr">
        <is>
          <t>Exploit - IP enrichment N/A</t>
        </is>
      </c>
      <c r="T1079" s="187" t="n">
        <v>0</v>
      </c>
      <c r="U1079" s="187" t="n">
        <v>0</v>
      </c>
      <c r="V1079" s="187" t="inlineStr">
        <is>
          <t>T1203:Exploitation for Client Execution</t>
        </is>
      </c>
      <c r="W1079" s="187" t="n">
        <v>1</v>
      </c>
      <c r="X1079" s="187" t="inlineStr">
        <is>
          <t>LOW (40%)</t>
        </is>
      </c>
      <c r="Y1079" s="187" t="inlineStr">
        <is>
          <t>YES</t>
        </is>
      </c>
      <c r="Z1079" s="187" t="inlineStr">
        <is>
          <t>CHECK_VENDOR</t>
        </is>
      </c>
      <c r="AA1079" s="187" t="inlineStr">
        <is>
          <t>https://www.exploit-db.com/exploits/52477</t>
        </is>
      </c>
      <c r="AB1079" s="187" t="inlineStr">
        <is>
          <t>NONE</t>
        </is>
      </c>
      <c r="AC1079" s="187" t="n">
        <v>0</v>
      </c>
      <c r="AD1079" s="187" t="inlineStr"/>
    </row>
    <row r="1080">
      <c r="A1080" s="187" t="inlineStr">
        <is>
          <t>EXPLOIT</t>
        </is>
      </c>
      <c r="B1080" s="187" t="inlineStr">
        <is>
          <t>b844108c7945</t>
        </is>
      </c>
      <c r="C1080" s="187" t="inlineStr">
        <is>
          <t>[webapps] OctoPrint 1.11.2 - File Upload</t>
        </is>
      </c>
      <c r="D1080" s="187" t="n">
        <v>7.5</v>
      </c>
      <c r="E1080" s="187" t="inlineStr">
        <is>
          <t>HIGH</t>
        </is>
      </c>
      <c r="F1080" s="187" t="n">
        <v>3</v>
      </c>
      <c r="G1080" s="187" t="n">
        <v>3</v>
      </c>
      <c r="H1080" s="187" t="inlineStr">
        <is>
          <t>CRITICAL</t>
        </is>
      </c>
      <c r="I1080" s="187" t="n">
        <v>16.5</v>
      </c>
      <c r="J1080" s="187" t="inlineStr">
        <is>
          <t>NO</t>
        </is>
      </c>
      <c r="K1080" s="187" t="inlineStr">
        <is>
          <t>https://www.exploit-db.com/exploits/52476</t>
        </is>
      </c>
      <c r="L1080" s="187" t="inlineStr">
        <is>
          <t>2026-02-04 00:00</t>
        </is>
      </c>
      <c r="M1080" s="187" t="inlineStr">
        <is>
          <t>CHECK_VENDOR</t>
        </is>
      </c>
      <c r="N1080" s="187" t="inlineStr">
        <is>
          <t>https://www.exploit-db.com/exploits/52476</t>
        </is>
      </c>
      <c r="O1080" s="187" t="inlineStr">
        <is>
          <t>Block exploit signatures at perimeter</t>
        </is>
      </c>
      <c r="P1080" s="187" t="inlineStr">
        <is>
          <t>Various</t>
        </is>
      </c>
      <c r="Q1080" s="187" t="inlineStr">
        <is>
          <t>P1</t>
        </is>
      </c>
      <c r="R1080" s="187" t="inlineStr">
        <is>
          <t>⚠️ Active exploit detected - prioritize patching | 🚫 Block exploit signatures at perimeter | 🔎 Scan environment for IOCs</t>
        </is>
      </c>
      <c r="S1080" s="187" t="inlineStr">
        <is>
          <t>Exploit - IP enrichment N/A</t>
        </is>
      </c>
      <c r="T1080" s="187" t="n">
        <v>0</v>
      </c>
      <c r="U1080" s="187" t="n">
        <v>0</v>
      </c>
      <c r="V1080" s="187" t="inlineStr">
        <is>
          <t>T1203:Exploitation for Client Execution</t>
        </is>
      </c>
      <c r="W1080" s="187" t="n">
        <v>1</v>
      </c>
      <c r="X1080" s="187" t="inlineStr">
        <is>
          <t>LOW (40%)</t>
        </is>
      </c>
      <c r="Y1080" s="187" t="inlineStr">
        <is>
          <t>YES</t>
        </is>
      </c>
      <c r="Z1080" s="187" t="inlineStr">
        <is>
          <t>CHECK_VENDOR</t>
        </is>
      </c>
      <c r="AA1080" s="187" t="inlineStr">
        <is>
          <t>https://www.exploit-db.com/exploits/52476</t>
        </is>
      </c>
      <c r="AB1080" s="187" t="inlineStr">
        <is>
          <t>NONE</t>
        </is>
      </c>
      <c r="AC1080" s="187" t="n">
        <v>0</v>
      </c>
      <c r="AD1080" s="187" t="inlineStr"/>
    </row>
    <row r="1081">
      <c r="A1081" s="187" t="inlineStr">
        <is>
          <t>EXPLOIT</t>
        </is>
      </c>
      <c r="B1081" s="187" t="inlineStr">
        <is>
          <t>1453e19b6a2e</t>
        </is>
      </c>
      <c r="C1081" s="187" t="inlineStr">
        <is>
          <t>[remote] Ingress-NGINX Admission Controller v1.11.1 - FD Injection to RCE</t>
        </is>
      </c>
      <c r="D1081" s="187" t="n">
        <v>7.5</v>
      </c>
      <c r="E1081" s="187" t="inlineStr">
        <is>
          <t>HIGH</t>
        </is>
      </c>
      <c r="F1081" s="187" t="n">
        <v>3</v>
      </c>
      <c r="G1081" s="187" t="n">
        <v>3</v>
      </c>
      <c r="H1081" s="187" t="inlineStr">
        <is>
          <t>CRITICAL</t>
        </is>
      </c>
      <c r="I1081" s="187" t="n">
        <v>16.5</v>
      </c>
      <c r="J1081" s="187" t="inlineStr">
        <is>
          <t>NO</t>
        </is>
      </c>
      <c r="K1081" s="187" t="inlineStr">
        <is>
          <t>https://www.exploit-db.com/exploits/52475</t>
        </is>
      </c>
      <c r="L1081" s="187" t="inlineStr">
        <is>
          <t>2026-02-04 00:00</t>
        </is>
      </c>
      <c r="M1081" s="187" t="inlineStr">
        <is>
          <t>CHECK_VENDOR</t>
        </is>
      </c>
      <c r="N1081" s="187" t="inlineStr">
        <is>
          <t>https://www.exploit-db.com/exploits/52475</t>
        </is>
      </c>
      <c r="O1081" s="187" t="inlineStr">
        <is>
          <t>Block exploit signatures at perimeter</t>
        </is>
      </c>
      <c r="P1081" s="187" t="inlineStr">
        <is>
          <t>Various</t>
        </is>
      </c>
      <c r="Q1081" s="187" t="inlineStr">
        <is>
          <t>P1</t>
        </is>
      </c>
      <c r="R1081" s="187" t="inlineStr">
        <is>
          <t>⚠️ Active exploit detected - prioritize patching | 🚫 Block exploit signatures at perimeter | 🔎 Scan environment for IOCs</t>
        </is>
      </c>
      <c r="S1081" s="187" t="inlineStr">
        <is>
          <t>Exploit - IP enrichment N/A</t>
        </is>
      </c>
      <c r="T1081" s="187" t="n">
        <v>0</v>
      </c>
      <c r="U1081" s="187" t="n">
        <v>0</v>
      </c>
      <c r="V1081" s="187" t="inlineStr">
        <is>
          <t>T1203:Exploitation for Client Execution</t>
        </is>
      </c>
      <c r="W1081" s="187" t="n">
        <v>1</v>
      </c>
      <c r="X1081" s="187" t="inlineStr">
        <is>
          <t>LOW (40%)</t>
        </is>
      </c>
      <c r="Y1081" s="187" t="inlineStr">
        <is>
          <t>YES</t>
        </is>
      </c>
      <c r="Z1081" s="187" t="inlineStr">
        <is>
          <t>CHECK_VENDOR</t>
        </is>
      </c>
      <c r="AA1081" s="187" t="inlineStr">
        <is>
          <t>https://www.exploit-db.com/exploits/52475</t>
        </is>
      </c>
      <c r="AB1081" s="187" t="inlineStr">
        <is>
          <t>NONE</t>
        </is>
      </c>
      <c r="AC1081" s="187" t="n">
        <v>0</v>
      </c>
      <c r="AD1081" s="187" t="inlineStr"/>
    </row>
    <row r="1082">
      <c r="A1082" s="187" t="inlineStr">
        <is>
          <t>EXPLOIT</t>
        </is>
      </c>
      <c r="B1082" s="187" t="inlineStr">
        <is>
          <t>4430cf019b0f</t>
        </is>
      </c>
      <c r="C1082" s="187" t="inlineStr">
        <is>
          <t>[webapps] aiohttp 3.9.1 - directory traversal PoC</t>
        </is>
      </c>
      <c r="D1082" s="187" t="n">
        <v>7.5</v>
      </c>
      <c r="E1082" s="187" t="inlineStr">
        <is>
          <t>HIGH</t>
        </is>
      </c>
      <c r="F1082" s="187" t="n">
        <v>3</v>
      </c>
      <c r="G1082" s="187" t="n">
        <v>3</v>
      </c>
      <c r="H1082" s="187" t="inlineStr">
        <is>
          <t>CRITICAL</t>
        </is>
      </c>
      <c r="I1082" s="187" t="n">
        <v>16.5</v>
      </c>
      <c r="J1082" s="187" t="inlineStr">
        <is>
          <t>NO</t>
        </is>
      </c>
      <c r="K1082" s="187" t="inlineStr">
        <is>
          <t>https://www.exploit-db.com/exploits/52474</t>
        </is>
      </c>
      <c r="L1082" s="187" t="inlineStr">
        <is>
          <t>2026-02-04 00:00</t>
        </is>
      </c>
      <c r="M1082" s="187" t="inlineStr">
        <is>
          <t>CHECK_VENDOR</t>
        </is>
      </c>
      <c r="N1082" s="187" t="inlineStr">
        <is>
          <t>https://www.exploit-db.com/exploits/52474</t>
        </is>
      </c>
      <c r="O1082" s="187" t="inlineStr">
        <is>
          <t>Block exploit signatures at perimeter</t>
        </is>
      </c>
      <c r="P1082" s="187" t="inlineStr">
        <is>
          <t>Various</t>
        </is>
      </c>
      <c r="Q1082" s="187" t="inlineStr">
        <is>
          <t>P1</t>
        </is>
      </c>
      <c r="R1082" s="187" t="inlineStr">
        <is>
          <t>⚠️ Active exploit detected - prioritize patching | 🚫 Block exploit signatures at perimeter | 🔎 Scan environment for IOCs</t>
        </is>
      </c>
      <c r="S1082" s="187" t="inlineStr">
        <is>
          <t>Exploit - IP enrichment N/A</t>
        </is>
      </c>
      <c r="T1082" s="187" t="n">
        <v>0</v>
      </c>
      <c r="U1082" s="187" t="n">
        <v>0</v>
      </c>
      <c r="V1082" s="187" t="inlineStr">
        <is>
          <t>T1203:Exploitation for Client Execution</t>
        </is>
      </c>
      <c r="W1082" s="187" t="n">
        <v>1</v>
      </c>
      <c r="X1082" s="187" t="inlineStr">
        <is>
          <t>LOW (40%)</t>
        </is>
      </c>
      <c r="Y1082" s="187" t="inlineStr">
        <is>
          <t>YES</t>
        </is>
      </c>
      <c r="Z1082" s="187" t="inlineStr">
        <is>
          <t>CHECK_VENDOR</t>
        </is>
      </c>
      <c r="AA1082" s="187" t="inlineStr">
        <is>
          <t>https://www.exploit-db.com/exploits/52474</t>
        </is>
      </c>
      <c r="AB1082" s="187" t="inlineStr">
        <is>
          <t>NONE</t>
        </is>
      </c>
      <c r="AC1082" s="187" t="n">
        <v>0</v>
      </c>
      <c r="AD1082" s="187" t="inlineStr"/>
    </row>
    <row r="1083">
      <c r="A1083" s="187" t="inlineStr">
        <is>
          <t>EXPLOIT</t>
        </is>
      </c>
      <c r="B1083" s="187" t="inlineStr">
        <is>
          <t>6789a52381fc</t>
        </is>
      </c>
      <c r="C1083" s="187" t="inlineStr">
        <is>
          <t>[webapps] FortiWeb Fabric Connector 7.6.x - SQL Injection to Remote Code Execution</t>
        </is>
      </c>
      <c r="D1083" s="187" t="n">
        <v>7.5</v>
      </c>
      <c r="E1083" s="187" t="inlineStr">
        <is>
          <t>HIGH</t>
        </is>
      </c>
      <c r="F1083" s="187" t="n">
        <v>3</v>
      </c>
      <c r="G1083" s="187" t="n">
        <v>3</v>
      </c>
      <c r="H1083" s="187" t="inlineStr">
        <is>
          <t>CRITICAL</t>
        </is>
      </c>
      <c r="I1083" s="187" t="n">
        <v>16.5</v>
      </c>
      <c r="J1083" s="187" t="inlineStr">
        <is>
          <t>NO</t>
        </is>
      </c>
      <c r="K1083" s="187" t="inlineStr">
        <is>
          <t>https://www.exploit-db.com/exploits/52473</t>
        </is>
      </c>
      <c r="L1083" s="187" t="inlineStr">
        <is>
          <t>2026-02-04 00:00</t>
        </is>
      </c>
      <c r="M1083" s="187" t="inlineStr">
        <is>
          <t>CHECK_VENDOR</t>
        </is>
      </c>
      <c r="N1083" s="187" t="inlineStr">
        <is>
          <t>https://www.exploit-db.com/exploits/52473</t>
        </is>
      </c>
      <c r="O1083" s="187" t="inlineStr">
        <is>
          <t>Block exploit signatures at perimeter</t>
        </is>
      </c>
      <c r="P1083" s="187" t="inlineStr">
        <is>
          <t>Various</t>
        </is>
      </c>
      <c r="Q1083" s="187" t="inlineStr">
        <is>
          <t>P1</t>
        </is>
      </c>
      <c r="R1083" s="187" t="inlineStr">
        <is>
          <t>⚠️ Active exploit detected - prioritize patching | 🚫 Block exploit signatures at perimeter | 🔎 Scan environment for IOCs</t>
        </is>
      </c>
      <c r="S1083" s="187" t="inlineStr">
        <is>
          <t>Exploit - IP enrichment N/A</t>
        </is>
      </c>
      <c r="T1083" s="187" t="n">
        <v>0</v>
      </c>
      <c r="U1083" s="187" t="n">
        <v>0</v>
      </c>
      <c r="V1083" s="187" t="inlineStr">
        <is>
          <t>T1203:Exploitation for Client Execution</t>
        </is>
      </c>
      <c r="W1083" s="187" t="n">
        <v>1</v>
      </c>
      <c r="X1083" s="187" t="inlineStr">
        <is>
          <t>LOW (40%)</t>
        </is>
      </c>
      <c r="Y1083" s="187" t="inlineStr">
        <is>
          <t>YES</t>
        </is>
      </c>
      <c r="Z1083" s="187" t="inlineStr">
        <is>
          <t>CHECK_VENDOR</t>
        </is>
      </c>
      <c r="AA1083" s="187" t="inlineStr">
        <is>
          <t>https://www.exploit-db.com/exploits/52473</t>
        </is>
      </c>
      <c r="AB1083" s="187" t="inlineStr">
        <is>
          <t>NONE</t>
        </is>
      </c>
      <c r="AC1083" s="187" t="n">
        <v>0</v>
      </c>
      <c r="AD1083" s="187" t="inlineStr"/>
    </row>
    <row r="1084">
      <c r="A1084" s="187" t="inlineStr">
        <is>
          <t>EXPLOIT</t>
        </is>
      </c>
      <c r="B1084" s="187" t="inlineStr">
        <is>
          <t>8aa4096ab8cc</t>
        </is>
      </c>
      <c r="C1084" s="187" t="inlineStr">
        <is>
          <t>[local] Docker Desktop 4.44.3 - Unauthenticated  API Exposure</t>
        </is>
      </c>
      <c r="D1084" s="187" t="n">
        <v>7.5</v>
      </c>
      <c r="E1084" s="187" t="inlineStr">
        <is>
          <t>HIGH</t>
        </is>
      </c>
      <c r="F1084" s="187" t="n">
        <v>3</v>
      </c>
      <c r="G1084" s="187" t="n">
        <v>3</v>
      </c>
      <c r="H1084" s="187" t="inlineStr">
        <is>
          <t>CRITICAL</t>
        </is>
      </c>
      <c r="I1084" s="187" t="n">
        <v>16.5</v>
      </c>
      <c r="J1084" s="187" t="inlineStr">
        <is>
          <t>NO</t>
        </is>
      </c>
      <c r="K1084" s="187" t="inlineStr">
        <is>
          <t>https://www.exploit-db.com/exploits/52472</t>
        </is>
      </c>
      <c r="L1084" s="187" t="inlineStr">
        <is>
          <t>2026-02-04 00:00</t>
        </is>
      </c>
      <c r="M1084" s="187" t="inlineStr">
        <is>
          <t>CHECK_VENDOR</t>
        </is>
      </c>
      <c r="N1084" s="187" t="inlineStr">
        <is>
          <t>https://www.exploit-db.com/exploits/52472</t>
        </is>
      </c>
      <c r="O1084" s="187" t="inlineStr">
        <is>
          <t>Block exploit signatures at perimeter</t>
        </is>
      </c>
      <c r="P1084" s="187" t="inlineStr">
        <is>
          <t>Various</t>
        </is>
      </c>
      <c r="Q1084" s="187" t="inlineStr">
        <is>
          <t>P1</t>
        </is>
      </c>
      <c r="R1084" s="187" t="inlineStr">
        <is>
          <t>⚠️ Active exploit detected - prioritize patching | 🚫 Block exploit signatures at perimeter | 🔎 Scan environment for IOCs</t>
        </is>
      </c>
      <c r="S1084" s="187" t="inlineStr">
        <is>
          <t>Exploit - IP enrichment N/A</t>
        </is>
      </c>
      <c r="T1084" s="187" t="n">
        <v>0</v>
      </c>
      <c r="U1084" s="187" t="n">
        <v>0</v>
      </c>
      <c r="V1084" s="187" t="inlineStr">
        <is>
          <t>T1203:Exploitation for Client Execution</t>
        </is>
      </c>
      <c r="W1084" s="187" t="n">
        <v>1</v>
      </c>
      <c r="X1084" s="187" t="inlineStr">
        <is>
          <t>LOW (40%)</t>
        </is>
      </c>
      <c r="Y1084" s="187" t="inlineStr">
        <is>
          <t>YES</t>
        </is>
      </c>
      <c r="Z1084" s="187" t="inlineStr">
        <is>
          <t>CHECK_VENDOR</t>
        </is>
      </c>
      <c r="AA1084" s="187" t="inlineStr">
        <is>
          <t>https://www.exploit-db.com/exploits/52472</t>
        </is>
      </c>
      <c r="AB1084" s="187" t="inlineStr">
        <is>
          <t>NONE</t>
        </is>
      </c>
      <c r="AC1084" s="187" t="n">
        <v>0</v>
      </c>
      <c r="AD1084" s="187" t="inlineStr"/>
    </row>
    <row r="1085">
      <c r="A1085" s="187" t="inlineStr">
        <is>
          <t>EXPLOIT</t>
        </is>
      </c>
      <c r="B1085" s="187" t="inlineStr">
        <is>
          <t>76316903045d</t>
        </is>
      </c>
      <c r="C1085" s="187" t="inlineStr">
        <is>
          <t>[webapps] Piranha CMS 12.0 - Stored XSS in Text Block</t>
        </is>
      </c>
      <c r="D1085" s="187" t="n">
        <v>7.5</v>
      </c>
      <c r="E1085" s="187" t="inlineStr">
        <is>
          <t>HIGH</t>
        </is>
      </c>
      <c r="F1085" s="187" t="n">
        <v>3</v>
      </c>
      <c r="G1085" s="187" t="n">
        <v>3</v>
      </c>
      <c r="H1085" s="187" t="inlineStr">
        <is>
          <t>CRITICAL</t>
        </is>
      </c>
      <c r="I1085" s="187" t="n">
        <v>16.5</v>
      </c>
      <c r="J1085" s="187" t="inlineStr">
        <is>
          <t>NO</t>
        </is>
      </c>
      <c r="K1085" s="187" t="inlineStr">
        <is>
          <t>https://www.exploit-db.com/exploits/52471</t>
        </is>
      </c>
      <c r="L1085" s="187" t="inlineStr">
        <is>
          <t>2026-02-02 00:00</t>
        </is>
      </c>
      <c r="M1085" s="187" t="inlineStr">
        <is>
          <t>CHECK_VENDOR</t>
        </is>
      </c>
      <c r="N1085" s="187" t="inlineStr">
        <is>
          <t>https://www.exploit-db.com/exploits/52471</t>
        </is>
      </c>
      <c r="O1085" s="187" t="inlineStr">
        <is>
          <t>Block exploit signatures at perimeter</t>
        </is>
      </c>
      <c r="P1085" s="187" t="inlineStr">
        <is>
          <t>Various</t>
        </is>
      </c>
      <c r="Q1085" s="187" t="inlineStr">
        <is>
          <t>P1</t>
        </is>
      </c>
      <c r="R1085" s="187" t="inlineStr">
        <is>
          <t>⚠️ Active exploit detected - prioritize patching | 🚫 Block exploit signatures at perimeter | 🔎 Scan environment for IOCs</t>
        </is>
      </c>
      <c r="S1085" s="187" t="inlineStr">
        <is>
          <t>Exploit - IP enrichment N/A</t>
        </is>
      </c>
      <c r="T1085" s="187" t="n">
        <v>0</v>
      </c>
      <c r="U1085" s="187" t="n">
        <v>0</v>
      </c>
      <c r="V1085" s="187" t="inlineStr">
        <is>
          <t>T1203:Exploitation for Client Execution</t>
        </is>
      </c>
      <c r="W1085" s="187" t="n">
        <v>1</v>
      </c>
      <c r="X1085" s="187" t="inlineStr">
        <is>
          <t>LOW (40%)</t>
        </is>
      </c>
      <c r="Y1085" s="187" t="inlineStr">
        <is>
          <t>YES</t>
        </is>
      </c>
      <c r="Z1085" s="187" t="inlineStr">
        <is>
          <t>CHECK_VENDOR</t>
        </is>
      </c>
      <c r="AA1085" s="187" t="inlineStr">
        <is>
          <t>https://www.exploit-db.com/exploits/52471</t>
        </is>
      </c>
      <c r="AB1085" s="187" t="inlineStr">
        <is>
          <t>NONE</t>
        </is>
      </c>
      <c r="AC1085" s="187" t="n">
        <v>0</v>
      </c>
      <c r="AD1085" s="187" t="inlineStr"/>
    </row>
    <row r="1086">
      <c r="A1086" s="187" t="inlineStr">
        <is>
          <t>EXPLOIT</t>
        </is>
      </c>
      <c r="B1086" s="187" t="inlineStr">
        <is>
          <t>e89317565977</t>
        </is>
      </c>
      <c r="C1086" s="187" t="inlineStr">
        <is>
          <t>[webapps] RPi-Jukebox-RFID 2.8.0 - Stored Cross-Site Scripting (XSS)</t>
        </is>
      </c>
      <c r="D1086" s="187" t="n">
        <v>7.5</v>
      </c>
      <c r="E1086" s="187" t="inlineStr">
        <is>
          <t>HIGH</t>
        </is>
      </c>
      <c r="F1086" s="187" t="n">
        <v>3</v>
      </c>
      <c r="G1086" s="187" t="n">
        <v>3</v>
      </c>
      <c r="H1086" s="187" t="inlineStr">
        <is>
          <t>CRITICAL</t>
        </is>
      </c>
      <c r="I1086" s="187" t="n">
        <v>16.5</v>
      </c>
      <c r="J1086" s="187" t="inlineStr">
        <is>
          <t>NO</t>
        </is>
      </c>
      <c r="K1086" s="187" t="inlineStr">
        <is>
          <t>https://www.exploit-db.com/exploits/52470</t>
        </is>
      </c>
      <c r="L1086" s="187" t="inlineStr">
        <is>
          <t>2026-02-02 00:00</t>
        </is>
      </c>
      <c r="M1086" s="187" t="inlineStr">
        <is>
          <t>CHECK_VENDOR</t>
        </is>
      </c>
      <c r="N1086" s="187" t="inlineStr">
        <is>
          <t>https://www.exploit-db.com/exploits/52470</t>
        </is>
      </c>
      <c r="O1086" s="187" t="inlineStr">
        <is>
          <t>Block exploit signatures at perimeter</t>
        </is>
      </c>
      <c r="P1086" s="187" t="inlineStr">
        <is>
          <t>Various</t>
        </is>
      </c>
      <c r="Q1086" s="187" t="inlineStr">
        <is>
          <t>P1</t>
        </is>
      </c>
      <c r="R1086" s="187" t="inlineStr">
        <is>
          <t>⚠️ Active exploit detected - prioritize patching | 🚫 Block exploit signatures at perimeter | 🔎 Scan environment for IOCs</t>
        </is>
      </c>
      <c r="S1086" s="187" t="inlineStr">
        <is>
          <t>Exploit - IP enrichment N/A</t>
        </is>
      </c>
      <c r="T1086" s="187" t="n">
        <v>0</v>
      </c>
      <c r="U1086" s="187" t="n">
        <v>0</v>
      </c>
      <c r="V1086" s="187" t="inlineStr">
        <is>
          <t>T1203:Exploitation for Client Execution</t>
        </is>
      </c>
      <c r="W1086" s="187" t="n">
        <v>1</v>
      </c>
      <c r="X1086" s="187" t="inlineStr">
        <is>
          <t>LOW (40%)</t>
        </is>
      </c>
      <c r="Y1086" s="187" t="inlineStr">
        <is>
          <t>YES</t>
        </is>
      </c>
      <c r="Z1086" s="187" t="inlineStr">
        <is>
          <t>CHECK_VENDOR</t>
        </is>
      </c>
      <c r="AA1086" s="187" t="inlineStr">
        <is>
          <t>https://www.exploit-db.com/exploits/52470</t>
        </is>
      </c>
      <c r="AB1086" s="187" t="inlineStr">
        <is>
          <t>NONE</t>
        </is>
      </c>
      <c r="AC1086" s="187" t="n">
        <v>0</v>
      </c>
      <c r="AD1086" s="187" t="inlineStr"/>
    </row>
    <row r="1087">
      <c r="A1087" s="187" t="inlineStr">
        <is>
          <t>EXPLOIT</t>
        </is>
      </c>
      <c r="B1087" s="187" t="inlineStr">
        <is>
          <t>1c351f3b56ac</t>
        </is>
      </c>
      <c r="C1087" s="187" t="inlineStr">
        <is>
          <t>[hardware] D-Link DIR-825 Rev.B 2.10 - Stack Buffer Overflow (DoS)</t>
        </is>
      </c>
      <c r="D1087" s="187" t="n">
        <v>7.5</v>
      </c>
      <c r="E1087" s="187" t="inlineStr">
        <is>
          <t>HIGH</t>
        </is>
      </c>
      <c r="F1087" s="187" t="n">
        <v>3</v>
      </c>
      <c r="G1087" s="187" t="n">
        <v>3</v>
      </c>
      <c r="H1087" s="187" t="inlineStr">
        <is>
          <t>CRITICAL</t>
        </is>
      </c>
      <c r="I1087" s="187" t="n">
        <v>16.5</v>
      </c>
      <c r="J1087" s="187" t="inlineStr">
        <is>
          <t>NO</t>
        </is>
      </c>
      <c r="K1087" s="187" t="inlineStr">
        <is>
          <t>https://www.exploit-db.com/exploits/52469</t>
        </is>
      </c>
      <c r="L1087" s="187" t="inlineStr">
        <is>
          <t>2026-02-02 00:00</t>
        </is>
      </c>
      <c r="M1087" s="187" t="inlineStr">
        <is>
          <t>CHECK_VENDOR</t>
        </is>
      </c>
      <c r="N1087" s="187" t="inlineStr">
        <is>
          <t>https://www.exploit-db.com/exploits/52469</t>
        </is>
      </c>
      <c r="O1087" s="187" t="inlineStr">
        <is>
          <t>Block exploit signatures at perimeter</t>
        </is>
      </c>
      <c r="P1087" s="187" t="inlineStr">
        <is>
          <t>Various</t>
        </is>
      </c>
      <c r="Q1087" s="187" t="inlineStr">
        <is>
          <t>P1</t>
        </is>
      </c>
      <c r="R1087" s="187" t="inlineStr">
        <is>
          <t>⚠️ Active exploit detected - prioritize patching | 🚫 Block exploit signatures at perimeter | 🔎 Scan environment for IOCs</t>
        </is>
      </c>
      <c r="S1087" s="187" t="inlineStr">
        <is>
          <t>Exploit - IP enrichment N/A</t>
        </is>
      </c>
      <c r="T1087" s="187" t="n">
        <v>0</v>
      </c>
      <c r="U1087" s="187" t="n">
        <v>0</v>
      </c>
      <c r="V1087" s="187" t="inlineStr">
        <is>
          <t>T1203:Exploitation for Client Execution</t>
        </is>
      </c>
      <c r="W1087" s="187" t="n">
        <v>1</v>
      </c>
      <c r="X1087" s="187" t="inlineStr">
        <is>
          <t>LOW (40%)</t>
        </is>
      </c>
      <c r="Y1087" s="187" t="inlineStr">
        <is>
          <t>YES</t>
        </is>
      </c>
      <c r="Z1087" s="187" t="inlineStr">
        <is>
          <t>CHECK_VENDOR</t>
        </is>
      </c>
      <c r="AA1087" s="187" t="inlineStr">
        <is>
          <t>https://www.exploit-db.com/exploits/52469</t>
        </is>
      </c>
      <c r="AB1087" s="187" t="inlineStr">
        <is>
          <t>NONE</t>
        </is>
      </c>
      <c r="AC1087" s="187" t="n">
        <v>0</v>
      </c>
      <c r="AD1087" s="187" t="inlineStr"/>
    </row>
    <row r="1088">
      <c r="A1088" s="189" t="inlineStr">
        <is>
          <t>GH_ADVISORY</t>
        </is>
      </c>
      <c r="B1088" s="189" t="inlineStr">
        <is>
          <t>GHSA-r492-hjgh-c9gw</t>
        </is>
      </c>
      <c r="C1088" s="189" t="inlineStr">
        <is>
          <t>Vitess users with backup storage access can write to arbitrary file paths on restore</t>
        </is>
      </c>
      <c r="D1088" s="189" t="n">
        <v>7</v>
      </c>
      <c r="E1088" s="189" t="inlineStr">
        <is>
          <t>CRITICAL</t>
        </is>
      </c>
      <c r="F1088" s="189" t="n">
        <v>2</v>
      </c>
      <c r="G1088" s="189" t="n">
        <v>2</v>
      </c>
      <c r="H1088" s="189" t="inlineStr">
        <is>
          <t>MEDIUM</t>
        </is>
      </c>
      <c r="I1088" s="189" t="n">
        <v>11</v>
      </c>
      <c r="J1088" s="189" t="inlineStr">
        <is>
          <t>NO</t>
        </is>
      </c>
      <c r="K1088" s="189" t="inlineStr">
        <is>
          <t>https://github.com/advisories/GHSA-r492-hjgh-c9gw</t>
        </is>
      </c>
      <c r="L1088" s="189" t="inlineStr">
        <is>
          <t>2026-02-27T16:03:54Z</t>
        </is>
      </c>
      <c r="M1088" s="189" t="inlineStr">
        <is>
          <t>CHECK_GITHUB</t>
        </is>
      </c>
      <c r="N1088" s="189" t="inlineStr">
        <is>
          <t>https://github.com/advisories/GHSA-r492-hjgh-c9gw</t>
        </is>
      </c>
      <c r="O1088" s="189" t="inlineStr">
        <is>
          <t>Update affected packages per GitHub advisory</t>
        </is>
      </c>
      <c r="P1088" s="189" t="inlineStr">
        <is>
          <t>vitess.io/vitess, vitess.io/vitess</t>
        </is>
      </c>
      <c r="Q1088" s="189" t="inlineStr">
        <is>
          <t>P4</t>
        </is>
      </c>
      <c r="R1088" s="189" t="inlineStr">
        <is>
          <t>🔍 Investigate and apply appropriate controls</t>
        </is>
      </c>
      <c r="S1088" s="189" t="inlineStr">
        <is>
          <t>Advisory - IP enrichment N/A</t>
        </is>
      </c>
      <c r="T1088" s="189" t="n">
        <v>0</v>
      </c>
      <c r="U1088" s="189" t="n">
        <v>0</v>
      </c>
      <c r="V1088" s="189" t="inlineStr">
        <is>
          <t>T1190:Exploit Public-Facing Application</t>
        </is>
      </c>
      <c r="W1088" s="189" t="n">
        <v>1</v>
      </c>
      <c r="X1088" s="189" t="inlineStr">
        <is>
          <t>LOW (40%)</t>
        </is>
      </c>
      <c r="Y1088" s="189" t="inlineStr">
        <is>
          <t>CHECK_GITHUB</t>
        </is>
      </c>
      <c r="Z1088" s="189" t="inlineStr">
        <is>
          <t>YES</t>
        </is>
      </c>
      <c r="AA1088" s="189" t="inlineStr">
        <is>
          <t>https://github.com/advisories/GHSA-r492-hjgh-c9gw</t>
        </is>
      </c>
      <c r="AB1088" s="189" t="inlineStr">
        <is>
          <t>NONE</t>
        </is>
      </c>
      <c r="AC1088" s="189" t="n">
        <v>0</v>
      </c>
      <c r="AD1088" s="189" t="inlineStr"/>
    </row>
    <row r="1089">
      <c r="A1089" s="188" t="inlineStr">
        <is>
          <t>GH_ADVISORY</t>
        </is>
      </c>
      <c r="B1089" s="188" t="inlineStr">
        <is>
          <t>GHSA-747p-wmpv-9c78</t>
        </is>
      </c>
      <c r="C1089" s="188" t="inlineStr">
        <is>
          <t>AWS CLI: cli_history database does not restrict file permissions on Unix systems</t>
        </is>
      </c>
      <c r="D1089" s="188" t="n">
        <v>5.9</v>
      </c>
      <c r="E1089" s="188" t="inlineStr">
        <is>
          <t>MEDIUM</t>
        </is>
      </c>
      <c r="F1089" s="188" t="n">
        <v>2</v>
      </c>
      <c r="G1089" s="188" t="n">
        <v>2</v>
      </c>
      <c r="H1089" s="188" t="inlineStr">
        <is>
          <t>MEDIUM</t>
        </is>
      </c>
      <c r="I1089" s="188" t="n">
        <v>9.9</v>
      </c>
      <c r="J1089" s="188" t="inlineStr">
        <is>
          <t>NO</t>
        </is>
      </c>
      <c r="K1089" s="188" t="inlineStr">
        <is>
          <t>https://github.com/advisories/GHSA-747p-wmpv-9c78</t>
        </is>
      </c>
      <c r="L1089" s="188" t="inlineStr">
        <is>
          <t>2026-02-27T15:50:32Z</t>
        </is>
      </c>
      <c r="M1089" s="188" t="inlineStr">
        <is>
          <t>CHECK_GITHUB</t>
        </is>
      </c>
      <c r="N1089" s="188" t="inlineStr">
        <is>
          <t>https://github.com/advisories/GHSA-747p-wmpv-9c78</t>
        </is>
      </c>
      <c r="O1089" s="188" t="inlineStr">
        <is>
          <t>Update affected packages per GitHub advisory</t>
        </is>
      </c>
      <c r="P1089" s="188" t="inlineStr">
        <is>
          <t>awscli</t>
        </is>
      </c>
      <c r="Q1089" s="188" t="inlineStr">
        <is>
          <t>P4</t>
        </is>
      </c>
      <c r="R1089" s="188" t="inlineStr">
        <is>
          <t>🔍 Investigate and apply appropriate controls</t>
        </is>
      </c>
      <c r="S1089" s="188" t="inlineStr">
        <is>
          <t>Advisory - IP enrichment N/A</t>
        </is>
      </c>
      <c r="T1089" s="188" t="n">
        <v>0</v>
      </c>
      <c r="U1089" s="188" t="n">
        <v>0</v>
      </c>
      <c r="V1089" s="188" t="inlineStr">
        <is>
          <t>T1190:Exploit Public-Facing Application</t>
        </is>
      </c>
      <c r="W1089" s="188" t="n">
        <v>1</v>
      </c>
      <c r="X1089" s="188" t="inlineStr">
        <is>
          <t>LOW (40%)</t>
        </is>
      </c>
      <c r="Y1089" s="188" t="inlineStr">
        <is>
          <t>CHECK_GITHUB</t>
        </is>
      </c>
      <c r="Z1089" s="188" t="inlineStr">
        <is>
          <t>YES</t>
        </is>
      </c>
      <c r="AA1089" s="188" t="inlineStr">
        <is>
          <t>https://github.com/advisories/GHSA-747p-wmpv-9c78</t>
        </is>
      </c>
      <c r="AB1089" s="188" t="inlineStr">
        <is>
          <t>NONE</t>
        </is>
      </c>
      <c r="AC1089" s="188" t="n">
        <v>0</v>
      </c>
      <c r="AD1089" s="188" t="inlineStr"/>
    </row>
    <row r="1090">
      <c r="A1090" s="189" t="inlineStr">
        <is>
          <t>GH_ADVISORY</t>
        </is>
      </c>
      <c r="B1090" s="189" t="inlineStr">
        <is>
          <t>GHSA-3645-fxcv-hqr4</t>
        </is>
      </c>
      <c r="C1090" s="189" t="inlineStr">
        <is>
          <t>Langflow has Remote Code Execution in CSV Agent</t>
        </is>
      </c>
      <c r="D1090" s="189" t="n">
        <v>9.800000000000001</v>
      </c>
      <c r="E1090" s="189" t="inlineStr">
        <is>
          <t>CRITICAL</t>
        </is>
      </c>
      <c r="F1090" s="189" t="n">
        <v>2</v>
      </c>
      <c r="G1090" s="189" t="n">
        <v>2</v>
      </c>
      <c r="H1090" s="189" t="inlineStr">
        <is>
          <t>MEDIUM</t>
        </is>
      </c>
      <c r="I1090" s="189" t="n">
        <v>13.8</v>
      </c>
      <c r="J1090" s="189" t="inlineStr">
        <is>
          <t>NO</t>
        </is>
      </c>
      <c r="K1090" s="189" t="inlineStr">
        <is>
          <t>https://github.com/advisories/GHSA-3645-fxcv-hqr4</t>
        </is>
      </c>
      <c r="L1090" s="189" t="inlineStr">
        <is>
          <t>2026-02-27T15:47:29Z</t>
        </is>
      </c>
      <c r="M1090" s="189" t="inlineStr">
        <is>
          <t>CHECK_GITHUB</t>
        </is>
      </c>
      <c r="N1090" s="189" t="inlineStr">
        <is>
          <t>https://github.com/advisories/GHSA-3645-fxcv-hqr4</t>
        </is>
      </c>
      <c r="O1090" s="189" t="inlineStr">
        <is>
          <t>Update affected packages per GitHub advisory</t>
        </is>
      </c>
      <c r="P1090" s="189" t="inlineStr">
        <is>
          <t>langflow</t>
        </is>
      </c>
      <c r="Q1090" s="189" t="inlineStr">
        <is>
          <t>P4</t>
        </is>
      </c>
      <c r="R1090" s="189" t="inlineStr">
        <is>
          <t>🔍 Investigate and apply appropriate controls</t>
        </is>
      </c>
      <c r="S1090" s="189" t="inlineStr">
        <is>
          <t>Advisory - IP enrichment N/A</t>
        </is>
      </c>
      <c r="T1090" s="189" t="n">
        <v>0</v>
      </c>
      <c r="U1090" s="189" t="n">
        <v>0</v>
      </c>
      <c r="V1090" s="189" t="inlineStr">
        <is>
          <t>T1190:Exploit Public-Facing Application</t>
        </is>
      </c>
      <c r="W1090" s="189" t="n">
        <v>1</v>
      </c>
      <c r="X1090" s="189" t="inlineStr">
        <is>
          <t>LOW (40%)</t>
        </is>
      </c>
      <c r="Y1090" s="189" t="inlineStr">
        <is>
          <t>CHECK_GITHUB</t>
        </is>
      </c>
      <c r="Z1090" s="189" t="inlineStr">
        <is>
          <t>YES</t>
        </is>
      </c>
      <c r="AA1090" s="189" t="inlineStr">
        <is>
          <t>https://github.com/advisories/GHSA-3645-fxcv-hqr4</t>
        </is>
      </c>
      <c r="AB1090" s="189" t="inlineStr">
        <is>
          <t>NONE</t>
        </is>
      </c>
      <c r="AC1090" s="189" t="n">
        <v>0</v>
      </c>
      <c r="AD1090" s="189" t="inlineStr"/>
    </row>
    <row r="1091">
      <c r="A1091" s="187" t="inlineStr">
        <is>
          <t>GH_ADVISORY</t>
        </is>
      </c>
      <c r="B1091" s="187" t="inlineStr">
        <is>
          <t>GHSA-8g8j-r87h-p36x</t>
        </is>
      </c>
      <c r="C1091" s="187" t="inlineStr">
        <is>
          <t>Vitess users with backup storage access can gain unauthorized access to production deployment environments</t>
        </is>
      </c>
      <c r="D1091" s="187" t="n">
        <v>7</v>
      </c>
      <c r="E1091" s="187" t="inlineStr">
        <is>
          <t>HIGH</t>
        </is>
      </c>
      <c r="F1091" s="187" t="n">
        <v>2</v>
      </c>
      <c r="G1091" s="187" t="n">
        <v>2</v>
      </c>
      <c r="H1091" s="187" t="inlineStr">
        <is>
          <t>MEDIUM</t>
        </is>
      </c>
      <c r="I1091" s="187" t="n">
        <v>11</v>
      </c>
      <c r="J1091" s="187" t="inlineStr">
        <is>
          <t>NO</t>
        </is>
      </c>
      <c r="K1091" s="187" t="inlineStr">
        <is>
          <t>https://github.com/advisories/GHSA-8g8j-r87h-p36x</t>
        </is>
      </c>
      <c r="L1091" s="187" t="inlineStr">
        <is>
          <t>2026-02-26T22:50:37Z</t>
        </is>
      </c>
      <c r="M1091" s="187" t="inlineStr">
        <is>
          <t>CHECK_GITHUB</t>
        </is>
      </c>
      <c r="N1091" s="187" t="inlineStr">
        <is>
          <t>https://github.com/advisories/GHSA-8g8j-r87h-p36x</t>
        </is>
      </c>
      <c r="O1091" s="187" t="inlineStr">
        <is>
          <t>Update affected packages per GitHub advisory</t>
        </is>
      </c>
      <c r="P1091" s="187" t="inlineStr">
        <is>
          <t>vitess.io/vitess</t>
        </is>
      </c>
      <c r="Q1091" s="187" t="inlineStr">
        <is>
          <t>P4</t>
        </is>
      </c>
      <c r="R1091" s="187" t="inlineStr">
        <is>
          <t>🔍 Investigate and apply appropriate controls</t>
        </is>
      </c>
      <c r="S1091" s="187" t="inlineStr">
        <is>
          <t>Advisory - IP enrichment N/A</t>
        </is>
      </c>
      <c r="T1091" s="187" t="n">
        <v>0</v>
      </c>
      <c r="U1091" s="187" t="n">
        <v>0</v>
      </c>
      <c r="V1091" s="187" t="inlineStr">
        <is>
          <t>T1190:Exploit Public-Facing Application</t>
        </is>
      </c>
      <c r="W1091" s="187" t="n">
        <v>1</v>
      </c>
      <c r="X1091" s="187" t="inlineStr">
        <is>
          <t>LOW (40%)</t>
        </is>
      </c>
      <c r="Y1091" s="187" t="inlineStr">
        <is>
          <t>CHECK_GITHUB</t>
        </is>
      </c>
      <c r="Z1091" s="187" t="inlineStr">
        <is>
          <t>YES</t>
        </is>
      </c>
      <c r="AA1091" s="187" t="inlineStr">
        <is>
          <t>https://github.com/advisories/GHSA-8g8j-r87h-p36x</t>
        </is>
      </c>
      <c r="AB1091" s="187" t="inlineStr">
        <is>
          <t>NONE</t>
        </is>
      </c>
      <c r="AC1091" s="187" t="n">
        <v>0</v>
      </c>
      <c r="AD1091" s="187" t="inlineStr"/>
    </row>
    <row r="1092">
      <c r="A1092" s="188" t="inlineStr">
        <is>
          <t>GH_ADVISORY</t>
        </is>
      </c>
      <c r="B1092" s="188" t="inlineStr">
        <is>
          <t>GHSA-465p-v42x-3fmj</t>
        </is>
      </c>
      <c r="C1092" s="188" t="inlineStr">
        <is>
          <t>Sealed Secrets for Kubernetes: Rotate API Allows Scope Widening from Strict/Namespace-Wide to Cluster-Wide via Untrusted Template Annotations</t>
        </is>
      </c>
      <c r="D1092" s="188" t="n">
        <v>4.9</v>
      </c>
      <c r="E1092" s="188" t="inlineStr">
        <is>
          <t>MEDIUM</t>
        </is>
      </c>
      <c r="F1092" s="188" t="n">
        <v>2</v>
      </c>
      <c r="G1092" s="188" t="n">
        <v>2</v>
      </c>
      <c r="H1092" s="188" t="inlineStr">
        <is>
          <t>MEDIUM</t>
        </is>
      </c>
      <c r="I1092" s="188" t="n">
        <v>8.9</v>
      </c>
      <c r="J1092" s="188" t="inlineStr">
        <is>
          <t>NO</t>
        </is>
      </c>
      <c r="K1092" s="188" t="inlineStr">
        <is>
          <t>https://github.com/advisories/GHSA-465p-v42x-3fmj</t>
        </is>
      </c>
      <c r="L1092" s="188" t="inlineStr">
        <is>
          <t>2026-02-26T22:49:14Z</t>
        </is>
      </c>
      <c r="M1092" s="188" t="inlineStr">
        <is>
          <t>CHECK_GITHUB</t>
        </is>
      </c>
      <c r="N1092" s="188" t="inlineStr">
        <is>
          <t>https://github.com/advisories/GHSA-465p-v42x-3fmj</t>
        </is>
      </c>
      <c r="O1092" s="188" t="inlineStr">
        <is>
          <t>Update affected packages per GitHub advisory</t>
        </is>
      </c>
      <c r="P1092" s="188" t="inlineStr">
        <is>
          <t>github.com/bitnami-labs/sealed-secrets</t>
        </is>
      </c>
      <c r="Q1092" s="188" t="inlineStr">
        <is>
          <t>P4</t>
        </is>
      </c>
      <c r="R1092" s="188" t="inlineStr">
        <is>
          <t>🔍 Investigate and apply appropriate controls</t>
        </is>
      </c>
      <c r="S1092" s="188" t="inlineStr">
        <is>
          <t>Advisory - IP enrichment N/A</t>
        </is>
      </c>
      <c r="T1092" s="188" t="n">
        <v>0</v>
      </c>
      <c r="U1092" s="188" t="n">
        <v>0</v>
      </c>
      <c r="V1092" s="188" t="inlineStr">
        <is>
          <t>T1190:Exploit Public-Facing Application</t>
        </is>
      </c>
      <c r="W1092" s="188" t="n">
        <v>1</v>
      </c>
      <c r="X1092" s="188" t="inlineStr">
        <is>
          <t>LOW (40%)</t>
        </is>
      </c>
      <c r="Y1092" s="188" t="inlineStr">
        <is>
          <t>CHECK_GITHUB</t>
        </is>
      </c>
      <c r="Z1092" s="188" t="inlineStr">
        <is>
          <t>YES</t>
        </is>
      </c>
      <c r="AA1092" s="188" t="inlineStr">
        <is>
          <t>https://github.com/advisories/GHSA-465p-v42x-3fmj</t>
        </is>
      </c>
      <c r="AB1092" s="188" t="inlineStr">
        <is>
          <t>NONE</t>
        </is>
      </c>
      <c r="AC1092" s="188" t="n">
        <v>0</v>
      </c>
      <c r="AD1092" s="188" t="inlineStr"/>
    </row>
    <row r="1093">
      <c r="A1093" s="187" t="inlineStr">
        <is>
          <t>GH_ADVISORY</t>
        </is>
      </c>
      <c r="B1093" s="187" t="inlineStr">
        <is>
          <t>GHSA-gj6x-q8rh-wj6x</t>
        </is>
      </c>
      <c r="C1093" s="187" t="inlineStr">
        <is>
          <t>Curio exposes database credentials to users with network access through verbose HTTP error responses</t>
        </is>
      </c>
      <c r="D1093" s="187" t="n">
        <v>7</v>
      </c>
      <c r="E1093" s="187" t="inlineStr">
        <is>
          <t>HIGH</t>
        </is>
      </c>
      <c r="F1093" s="187" t="n">
        <v>2</v>
      </c>
      <c r="G1093" s="187" t="n">
        <v>2</v>
      </c>
      <c r="H1093" s="187" t="inlineStr">
        <is>
          <t>MEDIUM</t>
        </is>
      </c>
      <c r="I1093" s="187" t="n">
        <v>11</v>
      </c>
      <c r="J1093" s="187" t="inlineStr">
        <is>
          <t>NO</t>
        </is>
      </c>
      <c r="K1093" s="187" t="inlineStr">
        <is>
          <t>https://github.com/advisories/GHSA-gj6x-q8rh-wj6x</t>
        </is>
      </c>
      <c r="L1093" s="187" t="inlineStr">
        <is>
          <t>2026-02-26T22:48:00Z</t>
        </is>
      </c>
      <c r="M1093" s="187" t="inlineStr">
        <is>
          <t>CHECK_GITHUB</t>
        </is>
      </c>
      <c r="N1093" s="187" t="inlineStr">
        <is>
          <t>https://github.com/advisories/GHSA-gj6x-q8rh-wj6x</t>
        </is>
      </c>
      <c r="O1093" s="187" t="inlineStr">
        <is>
          <t>Update affected packages per GitHub advisory</t>
        </is>
      </c>
      <c r="P1093" s="187" t="inlineStr">
        <is>
          <t>github.com/filecoin-project/curio</t>
        </is>
      </c>
      <c r="Q1093" s="187" t="inlineStr">
        <is>
          <t>P4</t>
        </is>
      </c>
      <c r="R1093" s="187" t="inlineStr">
        <is>
          <t>🔍 Investigate and apply appropriate controls</t>
        </is>
      </c>
      <c r="S1093" s="187" t="inlineStr">
        <is>
          <t>Advisory - IP enrichment N/A</t>
        </is>
      </c>
      <c r="T1093" s="187" t="n">
        <v>0</v>
      </c>
      <c r="U1093" s="187" t="n">
        <v>0</v>
      </c>
      <c r="V1093" s="187" t="inlineStr">
        <is>
          <t>T1190:Exploit Public-Facing Application</t>
        </is>
      </c>
      <c r="W1093" s="187" t="n">
        <v>1</v>
      </c>
      <c r="X1093" s="187" t="inlineStr">
        <is>
          <t>LOW (40%)</t>
        </is>
      </c>
      <c r="Y1093" s="187" t="inlineStr">
        <is>
          <t>CHECK_GITHUB</t>
        </is>
      </c>
      <c r="Z1093" s="187" t="inlineStr">
        <is>
          <t>YES</t>
        </is>
      </c>
      <c r="AA1093" s="187" t="inlineStr">
        <is>
          <t>https://github.com/advisories/GHSA-gj6x-q8rh-wj6x</t>
        </is>
      </c>
      <c r="AB1093" s="187" t="inlineStr">
        <is>
          <t>NONE</t>
        </is>
      </c>
      <c r="AC1093" s="187" t="n">
        <v>0</v>
      </c>
      <c r="AD1093" s="187" t="inlineStr"/>
    </row>
    <row r="1094">
      <c r="A1094" s="188" t="inlineStr">
        <is>
          <t>GH_ADVISORY</t>
        </is>
      </c>
      <c r="B1094" s="188" t="inlineStr">
        <is>
          <t>GHSA-38c7-23hj-2wgq</t>
        </is>
      </c>
      <c r="C1094" s="188" t="inlineStr">
        <is>
          <t>n8n has Webhook Forgery on Zendesk Trigger Node</t>
        </is>
      </c>
      <c r="D1094" s="188" t="n">
        <v>4</v>
      </c>
      <c r="E1094" s="188" t="inlineStr">
        <is>
          <t>MEDIUM</t>
        </is>
      </c>
      <c r="F1094" s="188" t="n">
        <v>2</v>
      </c>
      <c r="G1094" s="188" t="n">
        <v>2</v>
      </c>
      <c r="H1094" s="188" t="inlineStr">
        <is>
          <t>MEDIUM</t>
        </is>
      </c>
      <c r="I1094" s="188" t="n">
        <v>8</v>
      </c>
      <c r="J1094" s="188" t="inlineStr">
        <is>
          <t>NO</t>
        </is>
      </c>
      <c r="K1094" s="188" t="inlineStr">
        <is>
          <t>https://github.com/advisories/GHSA-38c7-23hj-2wgq</t>
        </is>
      </c>
      <c r="L1094" s="188" t="inlineStr">
        <is>
          <t>2026-02-26T22:47:06Z</t>
        </is>
      </c>
      <c r="M1094" s="188" t="inlineStr">
        <is>
          <t>CHECK_GITHUB</t>
        </is>
      </c>
      <c r="N1094" s="188" t="inlineStr">
        <is>
          <t>https://github.com/advisories/GHSA-38c7-23hj-2wgq</t>
        </is>
      </c>
      <c r="O1094" s="188" t="inlineStr">
        <is>
          <t>Update affected packages per GitHub advisory</t>
        </is>
      </c>
      <c r="P1094" s="188" t="inlineStr">
        <is>
          <t>n8n, n8n</t>
        </is>
      </c>
      <c r="Q1094" s="188" t="inlineStr">
        <is>
          <t>P4</t>
        </is>
      </c>
      <c r="R1094" s="188" t="inlineStr">
        <is>
          <t>🔍 Investigate and apply appropriate controls</t>
        </is>
      </c>
      <c r="S1094" s="188" t="inlineStr">
        <is>
          <t>Advisory - IP enrichment N/A</t>
        </is>
      </c>
      <c r="T1094" s="188" t="n">
        <v>0</v>
      </c>
      <c r="U1094" s="188" t="n">
        <v>0</v>
      </c>
      <c r="V1094" s="188" t="inlineStr">
        <is>
          <t>T1190:Exploit Public-Facing Application</t>
        </is>
      </c>
      <c r="W1094" s="188" t="n">
        <v>1</v>
      </c>
      <c r="X1094" s="188" t="inlineStr">
        <is>
          <t>LOW (40%)</t>
        </is>
      </c>
      <c r="Y1094" s="188" t="inlineStr">
        <is>
          <t>CHECK_GITHUB</t>
        </is>
      </c>
      <c r="Z1094" s="188" t="inlineStr">
        <is>
          <t>YES</t>
        </is>
      </c>
      <c r="AA1094" s="188" t="inlineStr">
        <is>
          <t>https://github.com/advisories/GHSA-38c7-23hj-2wgq</t>
        </is>
      </c>
      <c r="AB1094" s="188" t="inlineStr">
        <is>
          <t>NONE</t>
        </is>
      </c>
      <c r="AC1094" s="188" t="n">
        <v>0</v>
      </c>
      <c r="AD1094" s="188" t="inlineStr"/>
    </row>
    <row r="1095">
      <c r="A1095" s="188" t="inlineStr">
        <is>
          <t>GH_ADVISORY</t>
        </is>
      </c>
      <c r="B1095" s="188" t="inlineStr">
        <is>
          <t>GHSA-fvfv-ppw4-7h2w</t>
        </is>
      </c>
      <c r="C1095" s="188" t="inlineStr">
        <is>
          <t>n8n has a Guardrail Node Bypass</t>
        </is>
      </c>
      <c r="D1095" s="188" t="n">
        <v>3.7</v>
      </c>
      <c r="E1095" s="188" t="inlineStr">
        <is>
          <t>MEDIUM</t>
        </is>
      </c>
      <c r="F1095" s="188" t="n">
        <v>2</v>
      </c>
      <c r="G1095" s="188" t="n">
        <v>2</v>
      </c>
      <c r="H1095" s="188" t="inlineStr">
        <is>
          <t>MEDIUM</t>
        </is>
      </c>
      <c r="I1095" s="188" t="n">
        <v>7.7</v>
      </c>
      <c r="J1095" s="188" t="inlineStr">
        <is>
          <t>NO</t>
        </is>
      </c>
      <c r="K1095" s="188" t="inlineStr">
        <is>
          <t>https://github.com/advisories/GHSA-fvfv-ppw4-7h2w</t>
        </is>
      </c>
      <c r="L1095" s="188" t="inlineStr">
        <is>
          <t>2026-02-26T22:46:42Z</t>
        </is>
      </c>
      <c r="M1095" s="188" t="inlineStr">
        <is>
          <t>CHECK_GITHUB</t>
        </is>
      </c>
      <c r="N1095" s="188" t="inlineStr">
        <is>
          <t>https://github.com/advisories/GHSA-fvfv-ppw4-7h2w</t>
        </is>
      </c>
      <c r="O1095" s="188" t="inlineStr">
        <is>
          <t>Update affected packages per GitHub advisory</t>
        </is>
      </c>
      <c r="P1095" s="188" t="inlineStr">
        <is>
          <t>n8n</t>
        </is>
      </c>
      <c r="Q1095" s="188" t="inlineStr">
        <is>
          <t>P4</t>
        </is>
      </c>
      <c r="R1095" s="188" t="inlineStr">
        <is>
          <t>🔍 Investigate and apply appropriate controls</t>
        </is>
      </c>
      <c r="S1095" s="188" t="inlineStr">
        <is>
          <t>Advisory - IP enrichment N/A</t>
        </is>
      </c>
      <c r="T1095" s="188" t="n">
        <v>0</v>
      </c>
      <c r="U1095" s="188" t="n">
        <v>0</v>
      </c>
      <c r="V1095" s="188" t="inlineStr">
        <is>
          <t>T1190:Exploit Public-Facing Application</t>
        </is>
      </c>
      <c r="W1095" s="188" t="n">
        <v>1</v>
      </c>
      <c r="X1095" s="188" t="inlineStr">
        <is>
          <t>LOW (40%)</t>
        </is>
      </c>
      <c r="Y1095" s="188" t="inlineStr">
        <is>
          <t>CHECK_GITHUB</t>
        </is>
      </c>
      <c r="Z1095" s="188" t="inlineStr">
        <is>
          <t>YES</t>
        </is>
      </c>
      <c r="AA1095" s="188" t="inlineStr">
        <is>
          <t>https://github.com/advisories/GHSA-fvfv-ppw4-7h2w</t>
        </is>
      </c>
      <c r="AB1095" s="188" t="inlineStr">
        <is>
          <t>NONE</t>
        </is>
      </c>
      <c r="AC1095" s="188" t="n">
        <v>0</v>
      </c>
      <c r="AD1095" s="188" t="inlineStr"/>
    </row>
    <row r="1096">
      <c r="A1096" s="188" t="inlineStr">
        <is>
          <t>GH_ADVISORY</t>
        </is>
      </c>
      <c r="B1096" s="188" t="inlineStr">
        <is>
          <t>GHSA-jh8h-6c9q-7gmw</t>
        </is>
      </c>
      <c r="C1096" s="188" t="inlineStr">
        <is>
          <t>n8n has an Authentication Bypass in its Chat Trigger Node</t>
        </is>
      </c>
      <c r="D1096" s="188" t="n">
        <v>4.8</v>
      </c>
      <c r="E1096" s="188" t="inlineStr">
        <is>
          <t>MEDIUM</t>
        </is>
      </c>
      <c r="F1096" s="188" t="n">
        <v>2</v>
      </c>
      <c r="G1096" s="188" t="n">
        <v>2</v>
      </c>
      <c r="H1096" s="188" t="inlineStr">
        <is>
          <t>MEDIUM</t>
        </is>
      </c>
      <c r="I1096" s="188" t="n">
        <v>8.800000000000001</v>
      </c>
      <c r="J1096" s="188" t="inlineStr">
        <is>
          <t>NO</t>
        </is>
      </c>
      <c r="K1096" s="188" t="inlineStr">
        <is>
          <t>https://github.com/advisories/GHSA-jh8h-6c9q-7gmw</t>
        </is>
      </c>
      <c r="L1096" s="188" t="inlineStr">
        <is>
          <t>2026-02-26T22:45:41Z</t>
        </is>
      </c>
      <c r="M1096" s="188" t="inlineStr">
        <is>
          <t>CHECK_GITHUB</t>
        </is>
      </c>
      <c r="N1096" s="188" t="inlineStr">
        <is>
          <t>https://github.com/advisories/GHSA-jh8h-6c9q-7gmw</t>
        </is>
      </c>
      <c r="O1096" s="188" t="inlineStr">
        <is>
          <t>Update affected packages per GitHub advisory</t>
        </is>
      </c>
      <c r="P1096" s="188" t="inlineStr">
        <is>
          <t>n8n, n8n, n8n</t>
        </is>
      </c>
      <c r="Q1096" s="188" t="inlineStr">
        <is>
          <t>P4</t>
        </is>
      </c>
      <c r="R1096" s="188" t="inlineStr">
        <is>
          <t>🔍 Investigate and apply appropriate controls</t>
        </is>
      </c>
      <c r="S1096" s="188" t="inlineStr">
        <is>
          <t>Advisory - IP enrichment N/A</t>
        </is>
      </c>
      <c r="T1096" s="188" t="n">
        <v>0</v>
      </c>
      <c r="U1096" s="188" t="n">
        <v>0</v>
      </c>
      <c r="V1096" s="188" t="inlineStr">
        <is>
          <t>T1190:Exploit Public-Facing Application</t>
        </is>
      </c>
      <c r="W1096" s="188" t="n">
        <v>1</v>
      </c>
      <c r="X1096" s="188" t="inlineStr">
        <is>
          <t>LOW (40%)</t>
        </is>
      </c>
      <c r="Y1096" s="188" t="inlineStr">
        <is>
          <t>CHECK_GITHUB</t>
        </is>
      </c>
      <c r="Z1096" s="188" t="inlineStr">
        <is>
          <t>YES</t>
        </is>
      </c>
      <c r="AA1096" s="188" t="inlineStr">
        <is>
          <t>https://github.com/advisories/GHSA-jh8h-6c9q-7gmw</t>
        </is>
      </c>
      <c r="AB1096" s="188" t="inlineStr">
        <is>
          <t>NONE</t>
        </is>
      </c>
      <c r="AC1096" s="188" t="n">
        <v>0</v>
      </c>
      <c r="AD1096" s="188" t="inlineStr"/>
    </row>
    <row r="1097">
      <c r="A1097" s="188" t="inlineStr">
        <is>
          <t>GH_ADVISORY</t>
        </is>
      </c>
      <c r="B1097" s="188" t="inlineStr">
        <is>
          <t>GHSA-vjf3-2gpj-233v</t>
        </is>
      </c>
      <c r="C1097" s="188" t="inlineStr">
        <is>
          <t>n8n has an SSO Enforcement Bypass in its Self-Service Settings API</t>
        </is>
      </c>
      <c r="D1097" s="188" t="n">
        <v>6.3</v>
      </c>
      <c r="E1097" s="188" t="inlineStr">
        <is>
          <t>MEDIUM</t>
        </is>
      </c>
      <c r="F1097" s="188" t="n">
        <v>2</v>
      </c>
      <c r="G1097" s="188" t="n">
        <v>2</v>
      </c>
      <c r="H1097" s="188" t="inlineStr">
        <is>
          <t>MEDIUM</t>
        </is>
      </c>
      <c r="I1097" s="188" t="n">
        <v>10.3</v>
      </c>
      <c r="J1097" s="188" t="inlineStr">
        <is>
          <t>NO</t>
        </is>
      </c>
      <c r="K1097" s="188" t="inlineStr">
        <is>
          <t>https://github.com/advisories/GHSA-vjf3-2gpj-233v</t>
        </is>
      </c>
      <c r="L1097" s="188" t="inlineStr">
        <is>
          <t>2026-02-26T22:45:13Z</t>
        </is>
      </c>
      <c r="M1097" s="188" t="inlineStr">
        <is>
          <t>CHECK_GITHUB</t>
        </is>
      </c>
      <c r="N1097" s="188" t="inlineStr">
        <is>
          <t>https://github.com/advisories/GHSA-vjf3-2gpj-233v</t>
        </is>
      </c>
      <c r="O1097" s="188" t="inlineStr">
        <is>
          <t>Update affected packages per GitHub advisory</t>
        </is>
      </c>
      <c r="P1097" s="188" t="inlineStr">
        <is>
          <t>n8n</t>
        </is>
      </c>
      <c r="Q1097" s="188" t="inlineStr">
        <is>
          <t>P4</t>
        </is>
      </c>
      <c r="R1097" s="188" t="inlineStr">
        <is>
          <t>🔍 Investigate and apply appropriate controls</t>
        </is>
      </c>
      <c r="S1097" s="188" t="inlineStr">
        <is>
          <t>Advisory - IP enrichment N/A</t>
        </is>
      </c>
      <c r="T1097" s="188" t="n">
        <v>0</v>
      </c>
      <c r="U1097" s="188" t="n">
        <v>0</v>
      </c>
      <c r="V1097" s="188" t="inlineStr">
        <is>
          <t>T1190:Exploit Public-Facing Application</t>
        </is>
      </c>
      <c r="W1097" s="188" t="n">
        <v>1</v>
      </c>
      <c r="X1097" s="188" t="inlineStr">
        <is>
          <t>LOW (40%)</t>
        </is>
      </c>
      <c r="Y1097" s="188" t="inlineStr">
        <is>
          <t>CHECK_GITHUB</t>
        </is>
      </c>
      <c r="Z1097" s="188" t="inlineStr">
        <is>
          <t>YES</t>
        </is>
      </c>
      <c r="AA1097" s="188" t="inlineStr">
        <is>
          <t>https://github.com/advisories/GHSA-vjf3-2gpj-233v</t>
        </is>
      </c>
      <c r="AB1097" s="188" t="inlineStr">
        <is>
          <t>NONE</t>
        </is>
      </c>
      <c r="AC1097" s="188" t="n">
        <v>0</v>
      </c>
      <c r="AD1097" s="188" t="inlineStr"/>
    </row>
    <row r="1098">
      <c r="A1098" s="187" t="inlineStr">
        <is>
          <t>GH_ADVISORY</t>
        </is>
      </c>
      <c r="B1098" s="187" t="inlineStr">
        <is>
          <t>GHSA-7gcc-r8m5-44qm</t>
        </is>
      </c>
      <c r="C1098" s="187" t="inlineStr">
        <is>
          <t>Koa has Host Header Injection via ctx.hostname</t>
        </is>
      </c>
      <c r="D1098" s="187" t="n">
        <v>7.5</v>
      </c>
      <c r="E1098" s="187" t="inlineStr">
        <is>
          <t>HIGH</t>
        </is>
      </c>
      <c r="F1098" s="187" t="n">
        <v>2</v>
      </c>
      <c r="G1098" s="187" t="n">
        <v>2</v>
      </c>
      <c r="H1098" s="187" t="inlineStr">
        <is>
          <t>MEDIUM</t>
        </is>
      </c>
      <c r="I1098" s="187" t="n">
        <v>11.5</v>
      </c>
      <c r="J1098" s="187" t="inlineStr">
        <is>
          <t>NO</t>
        </is>
      </c>
      <c r="K1098" s="187" t="inlineStr">
        <is>
          <t>https://github.com/advisories/GHSA-7gcc-r8m5-44qm</t>
        </is>
      </c>
      <c r="L1098" s="187" t="inlineStr">
        <is>
          <t>2026-02-26T22:42:57Z</t>
        </is>
      </c>
      <c r="M1098" s="187" t="inlineStr">
        <is>
          <t>CHECK_GITHUB</t>
        </is>
      </c>
      <c r="N1098" s="187" t="inlineStr">
        <is>
          <t>https://github.com/advisories/GHSA-7gcc-r8m5-44qm</t>
        </is>
      </c>
      <c r="O1098" s="187" t="inlineStr">
        <is>
          <t>Update affected packages per GitHub advisory</t>
        </is>
      </c>
      <c r="P1098" s="187" t="inlineStr">
        <is>
          <t>koa, koa</t>
        </is>
      </c>
      <c r="Q1098" s="187" t="inlineStr">
        <is>
          <t>P4</t>
        </is>
      </c>
      <c r="R1098" s="187" t="inlineStr">
        <is>
          <t>🔍 Investigate and apply appropriate controls</t>
        </is>
      </c>
      <c r="S1098" s="187" t="inlineStr">
        <is>
          <t>Advisory - IP enrichment N/A</t>
        </is>
      </c>
      <c r="T1098" s="187" t="n">
        <v>0</v>
      </c>
      <c r="U1098" s="187" t="n">
        <v>0</v>
      </c>
      <c r="V1098" s="187" t="inlineStr">
        <is>
          <t>T1190:Exploit Public-Facing Application</t>
        </is>
      </c>
      <c r="W1098" s="187" t="n">
        <v>1</v>
      </c>
      <c r="X1098" s="187" t="inlineStr">
        <is>
          <t>LOW (40%)</t>
        </is>
      </c>
      <c r="Y1098" s="187" t="inlineStr">
        <is>
          <t>CHECK_GITHUB</t>
        </is>
      </c>
      <c r="Z1098" s="187" t="inlineStr">
        <is>
          <t>YES</t>
        </is>
      </c>
      <c r="AA1098" s="187" t="inlineStr">
        <is>
          <t>https://github.com/advisories/GHSA-7gcc-r8m5-44qm</t>
        </is>
      </c>
      <c r="AB1098" s="187" t="inlineStr">
        <is>
          <t>NONE</t>
        </is>
      </c>
      <c r="AC1098" s="187" t="n">
        <v>0</v>
      </c>
      <c r="AD1098" s="187" t="inlineStr"/>
    </row>
    <row r="1099">
      <c r="A1099" s="188" t="inlineStr">
        <is>
          <t>GH_ADVISORY</t>
        </is>
      </c>
      <c r="B1099" s="188" t="inlineStr">
        <is>
          <t>GHSA-62cr-6wp5-q43h</t>
        </is>
      </c>
      <c r="C1099" s="188" t="inlineStr">
        <is>
          <t>Copyparty vulnerable to reflected XSS via setck parameter</t>
        </is>
      </c>
      <c r="D1099" s="188" t="n">
        <v>5.4</v>
      </c>
      <c r="E1099" s="188" t="inlineStr">
        <is>
          <t>MEDIUM</t>
        </is>
      </c>
      <c r="F1099" s="188" t="n">
        <v>2</v>
      </c>
      <c r="G1099" s="188" t="n">
        <v>2</v>
      </c>
      <c r="H1099" s="188" t="inlineStr">
        <is>
          <t>MEDIUM</t>
        </is>
      </c>
      <c r="I1099" s="188" t="n">
        <v>9.4</v>
      </c>
      <c r="J1099" s="188" t="inlineStr">
        <is>
          <t>NO</t>
        </is>
      </c>
      <c r="K1099" s="188" t="inlineStr">
        <is>
          <t>https://github.com/advisories/GHSA-62cr-6wp5-q43h</t>
        </is>
      </c>
      <c r="L1099" s="188" t="inlineStr">
        <is>
          <t>2026-02-26T22:33:46Z</t>
        </is>
      </c>
      <c r="M1099" s="188" t="inlineStr">
        <is>
          <t>CHECK_GITHUB</t>
        </is>
      </c>
      <c r="N1099" s="188" t="inlineStr">
        <is>
          <t>https://github.com/advisories/GHSA-62cr-6wp5-q43h</t>
        </is>
      </c>
      <c r="O1099" s="188" t="inlineStr">
        <is>
          <t>Update affected packages per GitHub advisory</t>
        </is>
      </c>
      <c r="P1099" s="188" t="inlineStr">
        <is>
          <t>copyparty</t>
        </is>
      </c>
      <c r="Q1099" s="188" t="inlineStr">
        <is>
          <t>P4</t>
        </is>
      </c>
      <c r="R1099" s="188" t="inlineStr">
        <is>
          <t>🔍 Investigate and apply appropriate controls</t>
        </is>
      </c>
      <c r="S1099" s="188" t="inlineStr">
        <is>
          <t>Advisory - IP enrichment N/A</t>
        </is>
      </c>
      <c r="T1099" s="188" t="n">
        <v>0</v>
      </c>
      <c r="U1099" s="188" t="n">
        <v>0</v>
      </c>
      <c r="V1099" s="188" t="inlineStr">
        <is>
          <t>T1190:Exploit Public-Facing Application</t>
        </is>
      </c>
      <c r="W1099" s="188" t="n">
        <v>1</v>
      </c>
      <c r="X1099" s="188" t="inlineStr">
        <is>
          <t>LOW (40%)</t>
        </is>
      </c>
      <c r="Y1099" s="188" t="inlineStr">
        <is>
          <t>CHECK_GITHUB</t>
        </is>
      </c>
      <c r="Z1099" s="188" t="inlineStr">
        <is>
          <t>YES</t>
        </is>
      </c>
      <c r="AA1099" s="188" t="inlineStr">
        <is>
          <t>https://github.com/advisories/GHSA-62cr-6wp5-q43h</t>
        </is>
      </c>
      <c r="AB1099" s="188" t="inlineStr">
        <is>
          <t>NONE</t>
        </is>
      </c>
      <c r="AC1099" s="188" t="n">
        <v>0</v>
      </c>
      <c r="AD1099" s="188" t="inlineStr"/>
    </row>
    <row r="1100">
      <c r="A1100" s="190" t="inlineStr">
        <is>
          <t>GH_ADVISORY</t>
        </is>
      </c>
      <c r="B1100" s="190" t="inlineStr">
        <is>
          <t>GHSA-fj3w-jwp8-x2g3</t>
        </is>
      </c>
      <c r="C1100" s="190" t="inlineStr">
        <is>
          <t>fast-xml-parser has stack overflow in XMLBuilder with preserveOrder</t>
        </is>
      </c>
      <c r="D1100" s="190" t="n">
        <v>7</v>
      </c>
      <c r="E1100" s="190" t="inlineStr">
        <is>
          <t>LOW</t>
        </is>
      </c>
      <c r="F1100" s="190" t="n">
        <v>2</v>
      </c>
      <c r="G1100" s="190" t="n">
        <v>2</v>
      </c>
      <c r="H1100" s="190" t="inlineStr">
        <is>
          <t>MEDIUM</t>
        </is>
      </c>
      <c r="I1100" s="190" t="n">
        <v>11</v>
      </c>
      <c r="J1100" s="190" t="inlineStr">
        <is>
          <t>NO</t>
        </is>
      </c>
      <c r="K1100" s="190" t="inlineStr">
        <is>
          <t>https://github.com/advisories/GHSA-fj3w-jwp8-x2g3</t>
        </is>
      </c>
      <c r="L1100" s="190" t="inlineStr">
        <is>
          <t>2026-02-26T22:33:10Z</t>
        </is>
      </c>
      <c r="M1100" s="190" t="inlineStr">
        <is>
          <t>CHECK_GITHUB</t>
        </is>
      </c>
      <c r="N1100" s="190" t="inlineStr">
        <is>
          <t>https://github.com/advisories/GHSA-fj3w-jwp8-x2g3</t>
        </is>
      </c>
      <c r="O1100" s="190" t="inlineStr">
        <is>
          <t>Update affected packages per GitHub advisory</t>
        </is>
      </c>
      <c r="P1100" s="190" t="inlineStr">
        <is>
          <t>fast-xml-parser</t>
        </is>
      </c>
      <c r="Q1100" s="190" t="inlineStr">
        <is>
          <t>P4</t>
        </is>
      </c>
      <c r="R1100" s="190" t="inlineStr">
        <is>
          <t>🔍 Investigate and apply appropriate controls</t>
        </is>
      </c>
      <c r="S1100" s="190" t="inlineStr">
        <is>
          <t>Advisory - IP enrichment N/A</t>
        </is>
      </c>
      <c r="T1100" s="190" t="n">
        <v>0</v>
      </c>
      <c r="U1100" s="190" t="n">
        <v>0</v>
      </c>
      <c r="V1100" s="190" t="inlineStr">
        <is>
          <t>T1190:Exploit Public-Facing Application</t>
        </is>
      </c>
      <c r="W1100" s="190" t="n">
        <v>1</v>
      </c>
      <c r="X1100" s="190" t="inlineStr">
        <is>
          <t>LOW (40%)</t>
        </is>
      </c>
      <c r="Y1100" s="190" t="inlineStr">
        <is>
          <t>CHECK_GITHUB</t>
        </is>
      </c>
      <c r="Z1100" s="190" t="inlineStr">
        <is>
          <t>YES</t>
        </is>
      </c>
      <c r="AA1100" s="190" t="inlineStr">
        <is>
          <t>https://github.com/advisories/GHSA-fj3w-jwp8-x2g3</t>
        </is>
      </c>
      <c r="AB1100" s="190" t="inlineStr">
        <is>
          <t>NONE</t>
        </is>
      </c>
      <c r="AC1100" s="190" t="n">
        <v>0</v>
      </c>
      <c r="AD1100" s="190" t="inlineStr"/>
    </row>
    <row r="1101">
      <c r="A1101" s="188" t="inlineStr">
        <is>
          <t>GH_ADVISORY</t>
        </is>
      </c>
      <c r="B1101" s="188" t="inlineStr">
        <is>
          <t>GHSA-qgvg-pr8v-6rr3</t>
        </is>
      </c>
      <c r="C1101" s="188" t="inlineStr">
        <is>
          <t>Svelte: XSS via HTML Comment Injection in SSR Error Boundary Hydration Markers</t>
        </is>
      </c>
      <c r="D1101" s="188" t="n">
        <v>7</v>
      </c>
      <c r="E1101" s="188" t="inlineStr">
        <is>
          <t>MEDIUM</t>
        </is>
      </c>
      <c r="F1101" s="188" t="n">
        <v>2</v>
      </c>
      <c r="G1101" s="188" t="n">
        <v>2</v>
      </c>
      <c r="H1101" s="188" t="inlineStr">
        <is>
          <t>MEDIUM</t>
        </is>
      </c>
      <c r="I1101" s="188" t="n">
        <v>11</v>
      </c>
      <c r="J1101" s="188" t="inlineStr">
        <is>
          <t>NO</t>
        </is>
      </c>
      <c r="K1101" s="188" t="inlineStr">
        <is>
          <t>https://github.com/advisories/GHSA-qgvg-pr8v-6rr3</t>
        </is>
      </c>
      <c r="L1101" s="188" t="inlineStr">
        <is>
          <t>2026-02-26T22:25:45Z</t>
        </is>
      </c>
      <c r="M1101" s="188" t="inlineStr">
        <is>
          <t>CHECK_GITHUB</t>
        </is>
      </c>
      <c r="N1101" s="188" t="inlineStr">
        <is>
          <t>https://github.com/advisories/GHSA-qgvg-pr8v-6rr3</t>
        </is>
      </c>
      <c r="O1101" s="188" t="inlineStr">
        <is>
          <t>Update affected packages per GitHub advisory</t>
        </is>
      </c>
      <c r="P1101" s="188" t="inlineStr">
        <is>
          <t>svelte</t>
        </is>
      </c>
      <c r="Q1101" s="188" t="inlineStr">
        <is>
          <t>P4</t>
        </is>
      </c>
      <c r="R1101" s="188" t="inlineStr">
        <is>
          <t>🔍 Investigate and apply appropriate controls</t>
        </is>
      </c>
      <c r="S1101" s="188" t="inlineStr">
        <is>
          <t>Advisory - IP enrichment N/A</t>
        </is>
      </c>
      <c r="T1101" s="188" t="n">
        <v>0</v>
      </c>
      <c r="U1101" s="188" t="n">
        <v>0</v>
      </c>
      <c r="V1101" s="188" t="inlineStr">
        <is>
          <t>T1190:Exploit Public-Facing Application</t>
        </is>
      </c>
      <c r="W1101" s="188" t="n">
        <v>1</v>
      </c>
      <c r="X1101" s="188" t="inlineStr">
        <is>
          <t>LOW (40%)</t>
        </is>
      </c>
      <c r="Y1101" s="188" t="inlineStr">
        <is>
          <t>CHECK_GITHUB</t>
        </is>
      </c>
      <c r="Z1101" s="188" t="inlineStr">
        <is>
          <t>YES</t>
        </is>
      </c>
      <c r="AA1101" s="188" t="inlineStr">
        <is>
          <t>https://github.com/advisories/GHSA-qgvg-pr8v-6rr3</t>
        </is>
      </c>
      <c r="AB1101" s="188" t="inlineStr">
        <is>
          <t>NONE</t>
        </is>
      </c>
      <c r="AC1101" s="188" t="n">
        <v>0</v>
      </c>
      <c r="AD1101" s="188" t="inlineStr"/>
    </row>
    <row r="1102">
      <c r="A1102" s="188" t="inlineStr">
        <is>
          <t>GH_ADVISORY</t>
        </is>
      </c>
      <c r="B1102" s="188" t="inlineStr">
        <is>
          <t>GHSA-phwv-c562-gvmh</t>
        </is>
      </c>
      <c r="C1102" s="188" t="inlineStr">
        <is>
          <t>Svelte vulnerable to XSS during SSR with contenteditable `bind:innerText` and `bind:textContent`</t>
        </is>
      </c>
      <c r="D1102" s="188" t="n">
        <v>7</v>
      </c>
      <c r="E1102" s="188" t="inlineStr">
        <is>
          <t>MEDIUM</t>
        </is>
      </c>
      <c r="F1102" s="188" t="n">
        <v>2</v>
      </c>
      <c r="G1102" s="188" t="n">
        <v>2</v>
      </c>
      <c r="H1102" s="188" t="inlineStr">
        <is>
          <t>MEDIUM</t>
        </is>
      </c>
      <c r="I1102" s="188" t="n">
        <v>11</v>
      </c>
      <c r="J1102" s="188" t="inlineStr">
        <is>
          <t>NO</t>
        </is>
      </c>
      <c r="K1102" s="188" t="inlineStr">
        <is>
          <t>https://github.com/advisories/GHSA-phwv-c562-gvmh</t>
        </is>
      </c>
      <c r="L1102" s="188" t="inlineStr">
        <is>
          <t>2026-02-26T22:24:54Z</t>
        </is>
      </c>
      <c r="M1102" s="188" t="inlineStr">
        <is>
          <t>CHECK_GITHUB</t>
        </is>
      </c>
      <c r="N1102" s="188" t="inlineStr">
        <is>
          <t>https://github.com/advisories/GHSA-phwv-c562-gvmh</t>
        </is>
      </c>
      <c r="O1102" s="188" t="inlineStr">
        <is>
          <t>Update affected packages per GitHub advisory</t>
        </is>
      </c>
      <c r="P1102" s="188" t="inlineStr">
        <is>
          <t>svelte</t>
        </is>
      </c>
      <c r="Q1102" s="188" t="inlineStr">
        <is>
          <t>P4</t>
        </is>
      </c>
      <c r="R1102" s="188" t="inlineStr">
        <is>
          <t>🔍 Investigate and apply appropriate controls</t>
        </is>
      </c>
      <c r="S1102" s="188" t="inlineStr">
        <is>
          <t>Advisory - IP enrichment N/A</t>
        </is>
      </c>
      <c r="T1102" s="188" t="n">
        <v>0</v>
      </c>
      <c r="U1102" s="188" t="n">
        <v>0</v>
      </c>
      <c r="V1102" s="188" t="inlineStr">
        <is>
          <t>T1190:Exploit Public-Facing Application</t>
        </is>
      </c>
      <c r="W1102" s="188" t="n">
        <v>1</v>
      </c>
      <c r="X1102" s="188" t="inlineStr">
        <is>
          <t>LOW (40%)</t>
        </is>
      </c>
      <c r="Y1102" s="188" t="inlineStr">
        <is>
          <t>CHECK_GITHUB</t>
        </is>
      </c>
      <c r="Z1102" s="188" t="inlineStr">
        <is>
          <t>YES</t>
        </is>
      </c>
      <c r="AA1102" s="188" t="inlineStr">
        <is>
          <t>https://github.com/advisories/GHSA-phwv-c562-gvmh</t>
        </is>
      </c>
      <c r="AB1102" s="188" t="inlineStr">
        <is>
          <t>NONE</t>
        </is>
      </c>
      <c r="AC1102" s="188" t="n">
        <v>0</v>
      </c>
      <c r="AD1102" s="188" t="inlineStr"/>
    </row>
    <row r="1103">
      <c r="A1103" s="187" t="inlineStr">
        <is>
          <t>GH_ADVISORY</t>
        </is>
      </c>
      <c r="B1103" s="187" t="inlineStr">
        <is>
          <t>GHSA-5rmx-256w-8mj9</t>
        </is>
      </c>
      <c r="C1103" s="187" t="inlineStr">
        <is>
          <t>WireGuard Portal is Vulnerable to Privilege Escalation via User Self-Update to Admin Level</t>
        </is>
      </c>
      <c r="D1103" s="187" t="n">
        <v>8.800000000000001</v>
      </c>
      <c r="E1103" s="187" t="inlineStr">
        <is>
          <t>HIGH</t>
        </is>
      </c>
      <c r="F1103" s="187" t="n">
        <v>2</v>
      </c>
      <c r="G1103" s="187" t="n">
        <v>2</v>
      </c>
      <c r="H1103" s="187" t="inlineStr">
        <is>
          <t>MEDIUM</t>
        </is>
      </c>
      <c r="I1103" s="187" t="n">
        <v>12.8</v>
      </c>
      <c r="J1103" s="187" t="inlineStr">
        <is>
          <t>NO</t>
        </is>
      </c>
      <c r="K1103" s="187" t="inlineStr">
        <is>
          <t>https://github.com/advisories/GHSA-5rmx-256w-8mj9</t>
        </is>
      </c>
      <c r="L1103" s="187" t="inlineStr">
        <is>
          <t>2026-02-26T22:22:23Z</t>
        </is>
      </c>
      <c r="M1103" s="187" t="inlineStr">
        <is>
          <t>CHECK_GITHUB</t>
        </is>
      </c>
      <c r="N1103" s="187" t="inlineStr">
        <is>
          <t>https://github.com/advisories/GHSA-5rmx-256w-8mj9</t>
        </is>
      </c>
      <c r="O1103" s="187" t="inlineStr">
        <is>
          <t>Update affected packages per GitHub advisory</t>
        </is>
      </c>
      <c r="P1103" s="187" t="inlineStr">
        <is>
          <t>github.com/h44z/wg-portal</t>
        </is>
      </c>
      <c r="Q1103" s="187" t="inlineStr">
        <is>
          <t>P4</t>
        </is>
      </c>
      <c r="R1103" s="187" t="inlineStr">
        <is>
          <t>🔍 Investigate and apply appropriate controls</t>
        </is>
      </c>
      <c r="S1103" s="187" t="inlineStr">
        <is>
          <t>Advisory - IP enrichment N/A</t>
        </is>
      </c>
      <c r="T1103" s="187" t="n">
        <v>0</v>
      </c>
      <c r="U1103" s="187" t="n">
        <v>0</v>
      </c>
      <c r="V1103" s="187" t="inlineStr">
        <is>
          <t>T1190:Exploit Public-Facing Application</t>
        </is>
      </c>
      <c r="W1103" s="187" t="n">
        <v>1</v>
      </c>
      <c r="X1103" s="187" t="inlineStr">
        <is>
          <t>LOW (40%)</t>
        </is>
      </c>
      <c r="Y1103" s="187" t="inlineStr">
        <is>
          <t>CHECK_GITHUB</t>
        </is>
      </c>
      <c r="Z1103" s="187" t="inlineStr">
        <is>
          <t>YES</t>
        </is>
      </c>
      <c r="AA1103" s="187" t="inlineStr">
        <is>
          <t>https://github.com/advisories/GHSA-5rmx-256w-8mj9</t>
        </is>
      </c>
      <c r="AB1103" s="187" t="inlineStr">
        <is>
          <t>NONE</t>
        </is>
      </c>
      <c r="AC1103" s="187" t="n">
        <v>0</v>
      </c>
      <c r="AD1103" s="187" t="inlineStr"/>
    </row>
    <row r="1104">
      <c r="A1104" s="187" t="inlineStr">
        <is>
          <t>GH_ADVISORY</t>
        </is>
      </c>
      <c r="B1104" s="187" t="inlineStr">
        <is>
          <t>GHSA-wvj2-96wp-fq3f</t>
        </is>
      </c>
      <c r="C1104" s="187" t="inlineStr">
        <is>
          <t>MCP Go SDK Vulnerable to Improper Handling of Case Sensitivity</t>
        </is>
      </c>
      <c r="D1104" s="187" t="n">
        <v>7</v>
      </c>
      <c r="E1104" s="187" t="inlineStr">
        <is>
          <t>HIGH</t>
        </is>
      </c>
      <c r="F1104" s="187" t="n">
        <v>2</v>
      </c>
      <c r="G1104" s="187" t="n">
        <v>2</v>
      </c>
      <c r="H1104" s="187" t="inlineStr">
        <is>
          <t>MEDIUM</t>
        </is>
      </c>
      <c r="I1104" s="187" t="n">
        <v>11</v>
      </c>
      <c r="J1104" s="187" t="inlineStr">
        <is>
          <t>NO</t>
        </is>
      </c>
      <c r="K1104" s="187" t="inlineStr">
        <is>
          <t>https://github.com/advisories/GHSA-wvj2-96wp-fq3f</t>
        </is>
      </c>
      <c r="L1104" s="187" t="inlineStr">
        <is>
          <t>2026-02-26T22:20:08Z</t>
        </is>
      </c>
      <c r="M1104" s="187" t="inlineStr">
        <is>
          <t>CHECK_GITHUB</t>
        </is>
      </c>
      <c r="N1104" s="187" t="inlineStr">
        <is>
          <t>https://github.com/advisories/GHSA-wvj2-96wp-fq3f</t>
        </is>
      </c>
      <c r="O1104" s="187" t="inlineStr">
        <is>
          <t>Update affected packages per GitHub advisory</t>
        </is>
      </c>
      <c r="P1104" s="187" t="inlineStr">
        <is>
          <t>github.com/modelcontextprotocol/go-sdk</t>
        </is>
      </c>
      <c r="Q1104" s="187" t="inlineStr">
        <is>
          <t>P4</t>
        </is>
      </c>
      <c r="R1104" s="187" t="inlineStr">
        <is>
          <t>🔍 Investigate and apply appropriate controls</t>
        </is>
      </c>
      <c r="S1104" s="187" t="inlineStr">
        <is>
          <t>Advisory - IP enrichment N/A</t>
        </is>
      </c>
      <c r="T1104" s="187" t="n">
        <v>0</v>
      </c>
      <c r="U1104" s="187" t="n">
        <v>0</v>
      </c>
      <c r="V1104" s="187" t="inlineStr">
        <is>
          <t>T1190:Exploit Public-Facing Application</t>
        </is>
      </c>
      <c r="W1104" s="187" t="n">
        <v>1</v>
      </c>
      <c r="X1104" s="187" t="inlineStr">
        <is>
          <t>LOW (40%)</t>
        </is>
      </c>
      <c r="Y1104" s="187" t="inlineStr">
        <is>
          <t>CHECK_GITHUB</t>
        </is>
      </c>
      <c r="Z1104" s="187" t="inlineStr">
        <is>
          <t>YES</t>
        </is>
      </c>
      <c r="AA1104" s="187" t="inlineStr">
        <is>
          <t>https://github.com/advisories/GHSA-wvj2-96wp-fq3f</t>
        </is>
      </c>
      <c r="AB1104" s="187" t="inlineStr">
        <is>
          <t>NONE</t>
        </is>
      </c>
      <c r="AC1104" s="187" t="n">
        <v>0</v>
      </c>
      <c r="AD1104" s="187" t="inlineStr"/>
    </row>
    <row r="1105">
      <c r="A1105" s="188" t="inlineStr">
        <is>
          <t>GH_ADVISORY</t>
        </is>
      </c>
      <c r="B1105" s="188" t="inlineStr">
        <is>
          <t>GHSA-g8gc-6c4h-jg86</t>
        </is>
      </c>
      <c r="C1105" s="188" t="inlineStr">
        <is>
          <t>wger: IDOR in nutritional_values endpoints exposes private dietary data via direct ORM lookup</t>
        </is>
      </c>
      <c r="D1105" s="188" t="n">
        <v>4.3</v>
      </c>
      <c r="E1105" s="188" t="inlineStr">
        <is>
          <t>MEDIUM</t>
        </is>
      </c>
      <c r="F1105" s="188" t="n">
        <v>2</v>
      </c>
      <c r="G1105" s="188" t="n">
        <v>2</v>
      </c>
      <c r="H1105" s="188" t="inlineStr">
        <is>
          <t>MEDIUM</t>
        </is>
      </c>
      <c r="I1105" s="188" t="n">
        <v>8.300000000000001</v>
      </c>
      <c r="J1105" s="188" t="inlineStr">
        <is>
          <t>NO</t>
        </is>
      </c>
      <c r="K1105" s="188" t="inlineStr">
        <is>
          <t>https://github.com/advisories/GHSA-g8gc-6c4h-jg86</t>
        </is>
      </c>
      <c r="L1105" s="188" t="inlineStr">
        <is>
          <t>2026-02-26T22:15:51Z</t>
        </is>
      </c>
      <c r="M1105" s="188" t="inlineStr">
        <is>
          <t>CHECK_GITHUB</t>
        </is>
      </c>
      <c r="N1105" s="188" t="inlineStr">
        <is>
          <t>https://github.com/advisories/GHSA-g8gc-6c4h-jg86</t>
        </is>
      </c>
      <c r="O1105" s="188" t="inlineStr">
        <is>
          <t>Update affected packages per GitHub advisory</t>
        </is>
      </c>
      <c r="P1105" s="188" t="inlineStr">
        <is>
          <t>wger</t>
        </is>
      </c>
      <c r="Q1105" s="188" t="inlineStr">
        <is>
          <t>P4</t>
        </is>
      </c>
      <c r="R1105" s="188" t="inlineStr">
        <is>
          <t>🔍 Investigate and apply appropriate controls</t>
        </is>
      </c>
      <c r="S1105" s="188" t="inlineStr">
        <is>
          <t>Advisory - IP enrichment N/A</t>
        </is>
      </c>
      <c r="T1105" s="188" t="n">
        <v>0</v>
      </c>
      <c r="U1105" s="188" t="n">
        <v>0</v>
      </c>
      <c r="V1105" s="188" t="inlineStr">
        <is>
          <t>T1190:Exploit Public-Facing Application</t>
        </is>
      </c>
      <c r="W1105" s="188" t="n">
        <v>1</v>
      </c>
      <c r="X1105" s="188" t="inlineStr">
        <is>
          <t>LOW (40%)</t>
        </is>
      </c>
      <c r="Y1105" s="188" t="inlineStr">
        <is>
          <t>CHECK_GITHUB</t>
        </is>
      </c>
      <c r="Z1105" s="188" t="inlineStr">
        <is>
          <t>YES</t>
        </is>
      </c>
      <c r="AA1105" s="188" t="inlineStr">
        <is>
          <t>https://github.com/advisories/GHSA-g8gc-6c4h-jg86</t>
        </is>
      </c>
      <c r="AB1105" s="188" t="inlineStr">
        <is>
          <t>NONE</t>
        </is>
      </c>
      <c r="AC1105" s="188" t="n">
        <v>0</v>
      </c>
      <c r="AD1105" s="188" t="inlineStr"/>
    </row>
    <row r="1106">
      <c r="A1106" s="190" t="inlineStr">
        <is>
          <t>GH_ADVISORY</t>
        </is>
      </c>
      <c r="B1106" s="190" t="inlineStr">
        <is>
          <t>GHSA-42cr-w2gr-m54q</t>
        </is>
      </c>
      <c r="C1106" s="190" t="inlineStr">
        <is>
          <t>wger: IDOR via user-unscoped cache keys on routine API actions exposes workout data</t>
        </is>
      </c>
      <c r="D1106" s="190" t="n">
        <v>3.1</v>
      </c>
      <c r="E1106" s="190" t="inlineStr">
        <is>
          <t>LOW</t>
        </is>
      </c>
      <c r="F1106" s="190" t="n">
        <v>2</v>
      </c>
      <c r="G1106" s="190" t="n">
        <v>2</v>
      </c>
      <c r="H1106" s="190" t="inlineStr">
        <is>
          <t>MEDIUM</t>
        </is>
      </c>
      <c r="I1106" s="190" t="n">
        <v>7.1</v>
      </c>
      <c r="J1106" s="190" t="inlineStr">
        <is>
          <t>NO</t>
        </is>
      </c>
      <c r="K1106" s="190" t="inlineStr">
        <is>
          <t>https://github.com/advisories/GHSA-42cr-w2gr-m54q</t>
        </is>
      </c>
      <c r="L1106" s="190" t="inlineStr">
        <is>
          <t>2026-02-26T22:15:30Z</t>
        </is>
      </c>
      <c r="M1106" s="190" t="inlineStr">
        <is>
          <t>CHECK_GITHUB</t>
        </is>
      </c>
      <c r="N1106" s="190" t="inlineStr">
        <is>
          <t>https://github.com/advisories/GHSA-42cr-w2gr-m54q</t>
        </is>
      </c>
      <c r="O1106" s="190" t="inlineStr">
        <is>
          <t>Update affected packages per GitHub advisory</t>
        </is>
      </c>
      <c r="P1106" s="190" t="inlineStr">
        <is>
          <t>wger</t>
        </is>
      </c>
      <c r="Q1106" s="190" t="inlineStr">
        <is>
          <t>P4</t>
        </is>
      </c>
      <c r="R1106" s="190" t="inlineStr">
        <is>
          <t>🔍 Investigate and apply appropriate controls</t>
        </is>
      </c>
      <c r="S1106" s="190" t="inlineStr">
        <is>
          <t>Advisory - IP enrichment N/A</t>
        </is>
      </c>
      <c r="T1106" s="190" t="n">
        <v>0</v>
      </c>
      <c r="U1106" s="190" t="n">
        <v>0</v>
      </c>
      <c r="V1106" s="190" t="inlineStr">
        <is>
          <t>T1190:Exploit Public-Facing Application</t>
        </is>
      </c>
      <c r="W1106" s="190" t="n">
        <v>1</v>
      </c>
      <c r="X1106" s="190" t="inlineStr">
        <is>
          <t>LOW (40%)</t>
        </is>
      </c>
      <c r="Y1106" s="190" t="inlineStr">
        <is>
          <t>CHECK_GITHUB</t>
        </is>
      </c>
      <c r="Z1106" s="190" t="inlineStr">
        <is>
          <t>YES</t>
        </is>
      </c>
      <c r="AA1106" s="190" t="inlineStr">
        <is>
          <t>https://github.com/advisories/GHSA-42cr-w2gr-m54q</t>
        </is>
      </c>
      <c r="AB1106" s="190" t="inlineStr">
        <is>
          <t>NONE</t>
        </is>
      </c>
      <c r="AC1106" s="190" t="n">
        <v>0</v>
      </c>
      <c r="AD1106" s="190" t="inlineStr"/>
    </row>
    <row r="1107">
      <c r="A1107" s="188" t="inlineStr">
        <is>
          <t>GH_ADVISORY</t>
        </is>
      </c>
      <c r="B1107" s="188" t="inlineStr">
        <is>
          <t>GHSA-xf68-8hjw-7mpm</t>
        </is>
      </c>
      <c r="C1107" s="188" t="inlineStr">
        <is>
          <t>wger: IDOR in RepetitionsConfig and MaxRepetitionsConfig API leak other users' workout data</t>
        </is>
      </c>
      <c r="D1107" s="188" t="n">
        <v>4.3</v>
      </c>
      <c r="E1107" s="188" t="inlineStr">
        <is>
          <t>MEDIUM</t>
        </is>
      </c>
      <c r="F1107" s="188" t="n">
        <v>2</v>
      </c>
      <c r="G1107" s="188" t="n">
        <v>2</v>
      </c>
      <c r="H1107" s="188" t="inlineStr">
        <is>
          <t>MEDIUM</t>
        </is>
      </c>
      <c r="I1107" s="188" t="n">
        <v>8.300000000000001</v>
      </c>
      <c r="J1107" s="188" t="inlineStr">
        <is>
          <t>NO</t>
        </is>
      </c>
      <c r="K1107" s="188" t="inlineStr">
        <is>
          <t>https://github.com/advisories/GHSA-xf68-8hjw-7mpm</t>
        </is>
      </c>
      <c r="L1107" s="188" t="inlineStr">
        <is>
          <t>2026-02-26T22:13:13Z</t>
        </is>
      </c>
      <c r="M1107" s="188" t="inlineStr">
        <is>
          <t>CHECK_GITHUB</t>
        </is>
      </c>
      <c r="N1107" s="188" t="inlineStr">
        <is>
          <t>https://github.com/advisories/GHSA-xf68-8hjw-7mpm</t>
        </is>
      </c>
      <c r="O1107" s="188" t="inlineStr">
        <is>
          <t>Update affected packages per GitHub advisory</t>
        </is>
      </c>
      <c r="P1107" s="188" t="inlineStr">
        <is>
          <t>wger</t>
        </is>
      </c>
      <c r="Q1107" s="188" t="inlineStr">
        <is>
          <t>P4</t>
        </is>
      </c>
      <c r="R1107" s="188" t="inlineStr">
        <is>
          <t>🔍 Investigate and apply appropriate controls</t>
        </is>
      </c>
      <c r="S1107" s="188" t="inlineStr">
        <is>
          <t>Advisory - IP enrichment N/A</t>
        </is>
      </c>
      <c r="T1107" s="188" t="n">
        <v>0</v>
      </c>
      <c r="U1107" s="188" t="n">
        <v>0</v>
      </c>
      <c r="V1107" s="188" t="inlineStr">
        <is>
          <t>T1190:Exploit Public-Facing Application</t>
        </is>
      </c>
      <c r="W1107" s="188" t="n">
        <v>1</v>
      </c>
      <c r="X1107" s="188" t="inlineStr">
        <is>
          <t>LOW (40%)</t>
        </is>
      </c>
      <c r="Y1107" s="188" t="inlineStr">
        <is>
          <t>CHECK_GITHUB</t>
        </is>
      </c>
      <c r="Z1107" s="188" t="inlineStr">
        <is>
          <t>YES</t>
        </is>
      </c>
      <c r="AA1107" s="188" t="inlineStr">
        <is>
          <t>https://github.com/advisories/GHSA-xf68-8hjw-7mpm</t>
        </is>
      </c>
      <c r="AB1107" s="188" t="inlineStr">
        <is>
          <t>NONE</t>
        </is>
      </c>
      <c r="AC1107" s="188" t="n">
        <v>0</v>
      </c>
      <c r="AD1107" s="188" t="inlineStr"/>
    </row>
    <row r="1108">
      <c r="A1108" s="187" t="inlineStr">
        <is>
          <t>MAL_URL</t>
        </is>
      </c>
      <c r="B1108" s="187" t="inlineStr">
        <is>
          <t>3787005</t>
        </is>
      </c>
      <c r="C1108" s="187" t="inlineStr">
        <is>
          <t>Malware Host [online]: http://125.40.122.234:40013/bin.sh | Threat: malware_download | Tags: 32-bit,elf,mips,Mozi</t>
        </is>
      </c>
      <c r="D1108" s="187" t="n">
        <v>7.5</v>
      </c>
      <c r="E1108" s="187" t="inlineStr">
        <is>
          <t>HIGH</t>
        </is>
      </c>
      <c r="F1108" s="187" t="n">
        <v>3</v>
      </c>
      <c r="G1108" s="187" t="n">
        <v>2</v>
      </c>
      <c r="H1108" s="187" t="inlineStr">
        <is>
          <t>HIGH</t>
        </is>
      </c>
      <c r="I1108" s="187" t="n">
        <v>13.5</v>
      </c>
      <c r="J1108" s="187" t="inlineStr">
        <is>
          <t>NO</t>
        </is>
      </c>
      <c r="K1108" s="187" t="inlineStr">
        <is>
          <t>https://urlhaus.abuse.ch/url/3787005/</t>
        </is>
      </c>
      <c r="L1108" s="187" t="inlineStr">
        <is>
          <t>2026-02-27 18:13:18</t>
        </is>
      </c>
      <c r="M1108" s="187" t="inlineStr">
        <is>
          <t>Block URL</t>
        </is>
      </c>
      <c r="N1108" s="187" t="inlineStr">
        <is>
          <t>https://urlhaus.abuse.ch/url/3787005/</t>
        </is>
      </c>
      <c r="O1108" s="187" t="inlineStr">
        <is>
          <t>Block URL in proxy/firewall: http://125.40.122.234:40013/bin.sh</t>
        </is>
      </c>
      <c r="P1108" s="187" t="inlineStr">
        <is>
          <t>Network/Web Proxy</t>
        </is>
      </c>
      <c r="Q1108" s="187" t="inlineStr">
        <is>
          <t>P3</t>
        </is>
      </c>
      <c r="R1108" s="187" t="inlineStr">
        <is>
          <t>🚫 Block URLs in web proxy/firewall | 📧 Update email security filters | 👥 User awareness training recommended</t>
        </is>
      </c>
      <c r="S1108" s="187" t="inlineStr">
        <is>
          <t>URL IOC - check host IP separately</t>
        </is>
      </c>
      <c r="T1108" s="187" t="n">
        <v>0</v>
      </c>
      <c r="U1108" s="187" t="n">
        <v>0</v>
      </c>
      <c r="V1108" s="187" t="inlineStr">
        <is>
          <t>T1189:Drive-by Compromise | T1566:Phishing</t>
        </is>
      </c>
      <c r="W1108" s="187" t="n">
        <v>1</v>
      </c>
      <c r="X1108" s="187" t="inlineStr">
        <is>
          <t>LOW (40%)</t>
        </is>
      </c>
      <c r="Y1108" s="187" t="inlineStr">
        <is>
          <t>YES</t>
        </is>
      </c>
      <c r="Z1108" s="187" t="inlineStr">
        <is>
          <t>Block URL</t>
        </is>
      </c>
      <c r="AA1108" s="187" t="inlineStr">
        <is>
          <t>https://urlhaus.abuse.ch/url/3787005/</t>
        </is>
      </c>
      <c r="AB1108" s="187" t="inlineStr">
        <is>
          <t>NONE</t>
        </is>
      </c>
      <c r="AC1108" s="187" t="n">
        <v>0</v>
      </c>
      <c r="AD1108" s="187" t="inlineStr"/>
    </row>
    <row r="1109">
      <c r="A1109" s="187" t="inlineStr">
        <is>
          <t>MAL_URL</t>
        </is>
      </c>
      <c r="B1109" s="187" t="inlineStr">
        <is>
          <t>3787004</t>
        </is>
      </c>
      <c r="C1109" s="187" t="inlineStr">
        <is>
          <t>Malware Host [online]: http://83.228.109.209:54558/bin.sh | Threat: malware_download | Tags: 32-bit,elf,mips,Mozi</t>
        </is>
      </c>
      <c r="D1109" s="187" t="n">
        <v>7.5</v>
      </c>
      <c r="E1109" s="187" t="inlineStr">
        <is>
          <t>HIGH</t>
        </is>
      </c>
      <c r="F1109" s="187" t="n">
        <v>3</v>
      </c>
      <c r="G1109" s="187" t="n">
        <v>2</v>
      </c>
      <c r="H1109" s="187" t="inlineStr">
        <is>
          <t>HIGH</t>
        </is>
      </c>
      <c r="I1109" s="187" t="n">
        <v>13.5</v>
      </c>
      <c r="J1109" s="187" t="inlineStr">
        <is>
          <t>NO</t>
        </is>
      </c>
      <c r="K1109" s="187" t="inlineStr">
        <is>
          <t>https://urlhaus.abuse.ch/url/3787004/</t>
        </is>
      </c>
      <c r="L1109" s="187" t="inlineStr">
        <is>
          <t>2026-02-27 18:07:07</t>
        </is>
      </c>
      <c r="M1109" s="187" t="inlineStr">
        <is>
          <t>Block URL</t>
        </is>
      </c>
      <c r="N1109" s="187" t="inlineStr">
        <is>
          <t>https://urlhaus.abuse.ch/url/3787004/</t>
        </is>
      </c>
      <c r="O1109" s="187" t="inlineStr">
        <is>
          <t>Block URL in proxy/firewall: http://83.228.109.209:54558/bin.sh</t>
        </is>
      </c>
      <c r="P1109" s="187" t="inlineStr">
        <is>
          <t>Network/Web Proxy</t>
        </is>
      </c>
      <c r="Q1109" s="187" t="inlineStr">
        <is>
          <t>P3</t>
        </is>
      </c>
      <c r="R1109" s="187" t="inlineStr">
        <is>
          <t>🚫 Block URLs in web proxy/firewall | 📧 Update email security filters | 👥 User awareness training recommended</t>
        </is>
      </c>
      <c r="S1109" s="187" t="inlineStr">
        <is>
          <t>URL IOC - check host IP separately</t>
        </is>
      </c>
      <c r="T1109" s="187" t="n">
        <v>0</v>
      </c>
      <c r="U1109" s="187" t="n">
        <v>0</v>
      </c>
      <c r="V1109" s="187" t="inlineStr">
        <is>
          <t>T1189:Drive-by Compromise | T1566:Phishing</t>
        </is>
      </c>
      <c r="W1109" s="187" t="n">
        <v>1</v>
      </c>
      <c r="X1109" s="187" t="inlineStr">
        <is>
          <t>LOW (40%)</t>
        </is>
      </c>
      <c r="Y1109" s="187" t="inlineStr">
        <is>
          <t>YES</t>
        </is>
      </c>
      <c r="Z1109" s="187" t="inlineStr">
        <is>
          <t>Block URL</t>
        </is>
      </c>
      <c r="AA1109" s="187" t="inlineStr">
        <is>
          <t>https://urlhaus.abuse.ch/url/3787004/</t>
        </is>
      </c>
      <c r="AB1109" s="187" t="inlineStr">
        <is>
          <t>NONE</t>
        </is>
      </c>
      <c r="AC1109" s="187" t="n">
        <v>0</v>
      </c>
      <c r="AD1109" s="187" t="inlineStr"/>
    </row>
    <row r="1110">
      <c r="A1110" s="187" t="inlineStr">
        <is>
          <t>MAL_URL</t>
        </is>
      </c>
      <c r="B1110" s="187" t="inlineStr">
        <is>
          <t>3787003</t>
        </is>
      </c>
      <c r="C1110" s="187" t="inlineStr">
        <is>
          <t>Malware Host [online]: http://42.232.178.119:57580/bin.sh | Threat: malware_download | Tags: 32-bit,elf,mips,Mozi</t>
        </is>
      </c>
      <c r="D1110" s="187" t="n">
        <v>7.5</v>
      </c>
      <c r="E1110" s="187" t="inlineStr">
        <is>
          <t>HIGH</t>
        </is>
      </c>
      <c r="F1110" s="187" t="n">
        <v>3</v>
      </c>
      <c r="G1110" s="187" t="n">
        <v>2</v>
      </c>
      <c r="H1110" s="187" t="inlineStr">
        <is>
          <t>HIGH</t>
        </is>
      </c>
      <c r="I1110" s="187" t="n">
        <v>13.5</v>
      </c>
      <c r="J1110" s="187" t="inlineStr">
        <is>
          <t>NO</t>
        </is>
      </c>
      <c r="K1110" s="187" t="inlineStr">
        <is>
          <t>https://urlhaus.abuse.ch/url/3787003/</t>
        </is>
      </c>
      <c r="L1110" s="187" t="inlineStr">
        <is>
          <t>2026-02-27 18:03:20</t>
        </is>
      </c>
      <c r="M1110" s="187" t="inlineStr">
        <is>
          <t>Block URL</t>
        </is>
      </c>
      <c r="N1110" s="187" t="inlineStr">
        <is>
          <t>https://urlhaus.abuse.ch/url/3787003/</t>
        </is>
      </c>
      <c r="O1110" s="187" t="inlineStr">
        <is>
          <t>Block URL in proxy/firewall: http://42.232.178.119:57580/bin.sh</t>
        </is>
      </c>
      <c r="P1110" s="187" t="inlineStr">
        <is>
          <t>Network/Web Proxy</t>
        </is>
      </c>
      <c r="Q1110" s="187" t="inlineStr">
        <is>
          <t>P3</t>
        </is>
      </c>
      <c r="R1110" s="187" t="inlineStr">
        <is>
          <t>🚫 Block URLs in web proxy/firewall | 📧 Update email security filters | 👥 User awareness training recommended</t>
        </is>
      </c>
      <c r="S1110" s="187" t="inlineStr">
        <is>
          <t>URL IOC - check host IP separately</t>
        </is>
      </c>
      <c r="T1110" s="187" t="n">
        <v>0</v>
      </c>
      <c r="U1110" s="187" t="n">
        <v>0</v>
      </c>
      <c r="V1110" s="187" t="inlineStr">
        <is>
          <t>T1189:Drive-by Compromise | T1566:Phishing</t>
        </is>
      </c>
      <c r="W1110" s="187" t="n">
        <v>1</v>
      </c>
      <c r="X1110" s="187" t="inlineStr">
        <is>
          <t>LOW (40%)</t>
        </is>
      </c>
      <c r="Y1110" s="187" t="inlineStr">
        <is>
          <t>YES</t>
        </is>
      </c>
      <c r="Z1110" s="187" t="inlineStr">
        <is>
          <t>Block URL</t>
        </is>
      </c>
      <c r="AA1110" s="187" t="inlineStr">
        <is>
          <t>https://urlhaus.abuse.ch/url/3787003/</t>
        </is>
      </c>
      <c r="AB1110" s="187" t="inlineStr">
        <is>
          <t>NONE</t>
        </is>
      </c>
      <c r="AC1110" s="187" t="n">
        <v>0</v>
      </c>
      <c r="AD1110" s="187" t="inlineStr"/>
    </row>
    <row r="1111">
      <c r="A1111" s="187" t="inlineStr">
        <is>
          <t>MAL_URL</t>
        </is>
      </c>
      <c r="B1111" s="187" t="inlineStr">
        <is>
          <t>3787002</t>
        </is>
      </c>
      <c r="C1111" s="187" t="inlineStr">
        <is>
          <t>Malware Host [online]: http://115.55.192.201:40838/bin.sh | Threat: malware_download | Tags: 32-bit,elf,mips,Mozi</t>
        </is>
      </c>
      <c r="D1111" s="187" t="n">
        <v>7.5</v>
      </c>
      <c r="E1111" s="187" t="inlineStr">
        <is>
          <t>HIGH</t>
        </is>
      </c>
      <c r="F1111" s="187" t="n">
        <v>3</v>
      </c>
      <c r="G1111" s="187" t="n">
        <v>2</v>
      </c>
      <c r="H1111" s="187" t="inlineStr">
        <is>
          <t>HIGH</t>
        </is>
      </c>
      <c r="I1111" s="187" t="n">
        <v>13.5</v>
      </c>
      <c r="J1111" s="187" t="inlineStr">
        <is>
          <t>NO</t>
        </is>
      </c>
      <c r="K1111" s="187" t="inlineStr">
        <is>
          <t>https://urlhaus.abuse.ch/url/3787002/</t>
        </is>
      </c>
      <c r="L1111" s="187" t="inlineStr">
        <is>
          <t>2026-02-27 17:57:19</t>
        </is>
      </c>
      <c r="M1111" s="187" t="inlineStr">
        <is>
          <t>Block URL</t>
        </is>
      </c>
      <c r="N1111" s="187" t="inlineStr">
        <is>
          <t>https://urlhaus.abuse.ch/url/3787002/</t>
        </is>
      </c>
      <c r="O1111" s="187" t="inlineStr">
        <is>
          <t>Block URL in proxy/firewall: http://115.55.192.201:40838/bin.sh</t>
        </is>
      </c>
      <c r="P1111" s="187" t="inlineStr">
        <is>
          <t>Network/Web Proxy</t>
        </is>
      </c>
      <c r="Q1111" s="187" t="inlineStr">
        <is>
          <t>P3</t>
        </is>
      </c>
      <c r="R1111" s="187" t="inlineStr">
        <is>
          <t>🚫 Block URLs in web proxy/firewall | 📧 Update email security filters | 👥 User awareness training recommended</t>
        </is>
      </c>
      <c r="S1111" s="187" t="inlineStr">
        <is>
          <t>URL IOC - check host IP separately</t>
        </is>
      </c>
      <c r="T1111" s="187" t="n">
        <v>0</v>
      </c>
      <c r="U1111" s="187" t="n">
        <v>0</v>
      </c>
      <c r="V1111" s="187" t="inlineStr">
        <is>
          <t>T1189:Drive-by Compromise | T1566:Phishing</t>
        </is>
      </c>
      <c r="W1111" s="187" t="n">
        <v>1</v>
      </c>
      <c r="X1111" s="187" t="inlineStr">
        <is>
          <t>LOW (40%)</t>
        </is>
      </c>
      <c r="Y1111" s="187" t="inlineStr">
        <is>
          <t>YES</t>
        </is>
      </c>
      <c r="Z1111" s="187" t="inlineStr">
        <is>
          <t>Block URL</t>
        </is>
      </c>
      <c r="AA1111" s="187" t="inlineStr">
        <is>
          <t>https://urlhaus.abuse.ch/url/3787002/</t>
        </is>
      </c>
      <c r="AB1111" s="187" t="inlineStr">
        <is>
          <t>NONE</t>
        </is>
      </c>
      <c r="AC1111" s="187" t="n">
        <v>0</v>
      </c>
      <c r="AD1111" s="187" t="inlineStr"/>
    </row>
    <row r="1112">
      <c r="A1112" s="187" t="inlineStr">
        <is>
          <t>MAL_URL</t>
        </is>
      </c>
      <c r="B1112" s="187" t="inlineStr">
        <is>
          <t>3787001</t>
        </is>
      </c>
      <c r="C1112" s="187" t="inlineStr">
        <is>
          <t>Malware Host [online]: http://222.138.103.47:45045/bin.sh | Threat: malware_download | Tags: 32-bit,elf,mips,Mozi</t>
        </is>
      </c>
      <c r="D1112" s="187" t="n">
        <v>7.5</v>
      </c>
      <c r="E1112" s="187" t="inlineStr">
        <is>
          <t>HIGH</t>
        </is>
      </c>
      <c r="F1112" s="187" t="n">
        <v>3</v>
      </c>
      <c r="G1112" s="187" t="n">
        <v>2</v>
      </c>
      <c r="H1112" s="187" t="inlineStr">
        <is>
          <t>HIGH</t>
        </is>
      </c>
      <c r="I1112" s="187" t="n">
        <v>13.5</v>
      </c>
      <c r="J1112" s="187" t="inlineStr">
        <is>
          <t>NO</t>
        </is>
      </c>
      <c r="K1112" s="187" t="inlineStr">
        <is>
          <t>https://urlhaus.abuse.ch/url/3787001/</t>
        </is>
      </c>
      <c r="L1112" s="187" t="inlineStr">
        <is>
          <t>2026-02-27 17:57:18</t>
        </is>
      </c>
      <c r="M1112" s="187" t="inlineStr">
        <is>
          <t>Block URL</t>
        </is>
      </c>
      <c r="N1112" s="187" t="inlineStr">
        <is>
          <t>https://urlhaus.abuse.ch/url/3787001/</t>
        </is>
      </c>
      <c r="O1112" s="187" t="inlineStr">
        <is>
          <t>Block URL in proxy/firewall: http://222.138.103.47:45045/bin.sh</t>
        </is>
      </c>
      <c r="P1112" s="187" t="inlineStr">
        <is>
          <t>Network/Web Proxy</t>
        </is>
      </c>
      <c r="Q1112" s="187" t="inlineStr">
        <is>
          <t>P3</t>
        </is>
      </c>
      <c r="R1112" s="187" t="inlineStr">
        <is>
          <t>🚫 Block URLs in web proxy/firewall | 📧 Update email security filters | 👥 User awareness training recommended</t>
        </is>
      </c>
      <c r="S1112" s="187" t="inlineStr">
        <is>
          <t>URL IOC - check host IP separately</t>
        </is>
      </c>
      <c r="T1112" s="187" t="n">
        <v>0</v>
      </c>
      <c r="U1112" s="187" t="n">
        <v>0</v>
      </c>
      <c r="V1112" s="187" t="inlineStr">
        <is>
          <t>T1189:Drive-by Compromise | T1566:Phishing</t>
        </is>
      </c>
      <c r="W1112" s="187" t="n">
        <v>1</v>
      </c>
      <c r="X1112" s="187" t="inlineStr">
        <is>
          <t>LOW (40%)</t>
        </is>
      </c>
      <c r="Y1112" s="187" t="inlineStr">
        <is>
          <t>YES</t>
        </is>
      </c>
      <c r="Z1112" s="187" t="inlineStr">
        <is>
          <t>Block URL</t>
        </is>
      </c>
      <c r="AA1112" s="187" t="inlineStr">
        <is>
          <t>https://urlhaus.abuse.ch/url/3787001/</t>
        </is>
      </c>
      <c r="AB1112" s="187" t="inlineStr">
        <is>
          <t>NONE</t>
        </is>
      </c>
      <c r="AC1112" s="187" t="n">
        <v>0</v>
      </c>
      <c r="AD1112" s="187" t="inlineStr"/>
    </row>
    <row r="1113">
      <c r="A1113" s="187" t="inlineStr">
        <is>
          <t>MAL_URL</t>
        </is>
      </c>
      <c r="B1113" s="187" t="inlineStr">
        <is>
          <t>3787000</t>
        </is>
      </c>
      <c r="C1113" s="187" t="inlineStr">
        <is>
          <t>Malware Host [online]: http://45.128.118.140/bot_x86.exe | Threat: malware_download | Tags: exe,LummaStealer,opendir,ua-wget</t>
        </is>
      </c>
      <c r="D1113" s="187" t="n">
        <v>7.5</v>
      </c>
      <c r="E1113" s="187" t="inlineStr">
        <is>
          <t>HIGH</t>
        </is>
      </c>
      <c r="F1113" s="187" t="n">
        <v>3</v>
      </c>
      <c r="G1113" s="187" t="n">
        <v>2</v>
      </c>
      <c r="H1113" s="187" t="inlineStr">
        <is>
          <t>HIGH</t>
        </is>
      </c>
      <c r="I1113" s="187" t="n">
        <v>13.5</v>
      </c>
      <c r="J1113" s="187" t="inlineStr">
        <is>
          <t>NO</t>
        </is>
      </c>
      <c r="K1113" s="187" t="inlineStr">
        <is>
          <t>https://urlhaus.abuse.ch/url/3787000/</t>
        </is>
      </c>
      <c r="L1113" s="187" t="inlineStr">
        <is>
          <t>2026-02-27 17:55:14</t>
        </is>
      </c>
      <c r="M1113" s="187" t="inlineStr">
        <is>
          <t>Block URL</t>
        </is>
      </c>
      <c r="N1113" s="187" t="inlineStr">
        <is>
          <t>https://urlhaus.abuse.ch/url/3787000/</t>
        </is>
      </c>
      <c r="O1113" s="187" t="inlineStr">
        <is>
          <t>Block URL in proxy/firewall: http://45.128.118.140/bot_x86.exe</t>
        </is>
      </c>
      <c r="P1113" s="187" t="inlineStr">
        <is>
          <t>Network/Web Proxy</t>
        </is>
      </c>
      <c r="Q1113" s="187" t="inlineStr">
        <is>
          <t>P3</t>
        </is>
      </c>
      <c r="R1113" s="187" t="inlineStr">
        <is>
          <t>🚫 Block URLs in web proxy/firewall | 📧 Update email security filters | 👥 User awareness training recommended</t>
        </is>
      </c>
      <c r="S1113" s="187" t="inlineStr">
        <is>
          <t>URL IOC - check host IP separately</t>
        </is>
      </c>
      <c r="T1113" s="187" t="n">
        <v>0</v>
      </c>
      <c r="U1113" s="187" t="n">
        <v>0</v>
      </c>
      <c r="V1113" s="187" t="inlineStr">
        <is>
          <t>T1189:Drive-by Compromise | T1566:Phishing</t>
        </is>
      </c>
      <c r="W1113" s="187" t="n">
        <v>1</v>
      </c>
      <c r="X1113" s="187" t="inlineStr">
        <is>
          <t>LOW (40%)</t>
        </is>
      </c>
      <c r="Y1113" s="187" t="inlineStr">
        <is>
          <t>YES</t>
        </is>
      </c>
      <c r="Z1113" s="187" t="inlineStr">
        <is>
          <t>Block URL</t>
        </is>
      </c>
      <c r="AA1113" s="187" t="inlineStr">
        <is>
          <t>https://urlhaus.abuse.ch/url/3787000/</t>
        </is>
      </c>
      <c r="AB1113" s="187" t="inlineStr">
        <is>
          <t>NONE</t>
        </is>
      </c>
      <c r="AC1113" s="187" t="n">
        <v>0</v>
      </c>
      <c r="AD1113" s="187" t="inlineStr"/>
    </row>
    <row r="1114">
      <c r="A1114" s="187" t="inlineStr">
        <is>
          <t>MAL_URL</t>
        </is>
      </c>
      <c r="B1114" s="187" t="inlineStr">
        <is>
          <t>3786999</t>
        </is>
      </c>
      <c r="C1114" s="187" t="inlineStr">
        <is>
          <t>Malware Host [online]: http://45.128.118.140/bot.exe | Threat: malware_download | Tags: exe,opendir,ua-wget</t>
        </is>
      </c>
      <c r="D1114" s="187" t="n">
        <v>7.5</v>
      </c>
      <c r="E1114" s="187" t="inlineStr">
        <is>
          <t>HIGH</t>
        </is>
      </c>
      <c r="F1114" s="187" t="n">
        <v>3</v>
      </c>
      <c r="G1114" s="187" t="n">
        <v>2</v>
      </c>
      <c r="H1114" s="187" t="inlineStr">
        <is>
          <t>HIGH</t>
        </is>
      </c>
      <c r="I1114" s="187" t="n">
        <v>13.5</v>
      </c>
      <c r="J1114" s="187" t="inlineStr">
        <is>
          <t>NO</t>
        </is>
      </c>
      <c r="K1114" s="187" t="inlineStr">
        <is>
          <t>https://urlhaus.abuse.ch/url/3786999/</t>
        </is>
      </c>
      <c r="L1114" s="187" t="inlineStr">
        <is>
          <t>2026-02-27 17:55:12</t>
        </is>
      </c>
      <c r="M1114" s="187" t="inlineStr">
        <is>
          <t>Block URL</t>
        </is>
      </c>
      <c r="N1114" s="187" t="inlineStr">
        <is>
          <t>https://urlhaus.abuse.ch/url/3786999/</t>
        </is>
      </c>
      <c r="O1114" s="187" t="inlineStr">
        <is>
          <t>Block URL in proxy/firewall: http://45.128.118.140/bot.exe</t>
        </is>
      </c>
      <c r="P1114" s="187" t="inlineStr">
        <is>
          <t>Network/Web Proxy</t>
        </is>
      </c>
      <c r="Q1114" s="187" t="inlineStr">
        <is>
          <t>P3</t>
        </is>
      </c>
      <c r="R1114" s="187" t="inlineStr">
        <is>
          <t>🚫 Block URLs in web proxy/firewall | 📧 Update email security filters | 👥 User awareness training recommended</t>
        </is>
      </c>
      <c r="S1114" s="187" t="inlineStr">
        <is>
          <t>URL IOC - check host IP separately</t>
        </is>
      </c>
      <c r="T1114" s="187" t="n">
        <v>0</v>
      </c>
      <c r="U1114" s="187" t="n">
        <v>0</v>
      </c>
      <c r="V1114" s="187" t="inlineStr">
        <is>
          <t>T1189:Drive-by Compromise | T1566:Phishing</t>
        </is>
      </c>
      <c r="W1114" s="187" t="n">
        <v>1</v>
      </c>
      <c r="X1114" s="187" t="inlineStr">
        <is>
          <t>LOW (40%)</t>
        </is>
      </c>
      <c r="Y1114" s="187" t="inlineStr">
        <is>
          <t>YES</t>
        </is>
      </c>
      <c r="Z1114" s="187" t="inlineStr">
        <is>
          <t>Block URL</t>
        </is>
      </c>
      <c r="AA1114" s="187" t="inlineStr">
        <is>
          <t>https://urlhaus.abuse.ch/url/3786999/</t>
        </is>
      </c>
      <c r="AB1114" s="187" t="inlineStr">
        <is>
          <t>NONE</t>
        </is>
      </c>
      <c r="AC1114" s="187" t="n">
        <v>0</v>
      </c>
      <c r="AD1114" s="187" t="inlineStr"/>
    </row>
    <row r="1115">
      <c r="A1115" s="187" t="inlineStr">
        <is>
          <t>MAL_URL</t>
        </is>
      </c>
      <c r="B1115" s="187" t="inlineStr">
        <is>
          <t>3786998</t>
        </is>
      </c>
      <c r="C1115" s="187" t="inlineStr">
        <is>
          <t>Malware Host [online]: http://45.128.118.140/mips | Threat: malware_download | Tags: elf,opendir,ua-wget</t>
        </is>
      </c>
      <c r="D1115" s="187" t="n">
        <v>7.5</v>
      </c>
      <c r="E1115" s="187" t="inlineStr">
        <is>
          <t>HIGH</t>
        </is>
      </c>
      <c r="F1115" s="187" t="n">
        <v>3</v>
      </c>
      <c r="G1115" s="187" t="n">
        <v>2</v>
      </c>
      <c r="H1115" s="187" t="inlineStr">
        <is>
          <t>HIGH</t>
        </is>
      </c>
      <c r="I1115" s="187" t="n">
        <v>13.5</v>
      </c>
      <c r="J1115" s="187" t="inlineStr">
        <is>
          <t>NO</t>
        </is>
      </c>
      <c r="K1115" s="187" t="inlineStr">
        <is>
          <t>https://urlhaus.abuse.ch/url/3786998/</t>
        </is>
      </c>
      <c r="L1115" s="187" t="inlineStr">
        <is>
          <t>2026-02-27 17:52:15</t>
        </is>
      </c>
      <c r="M1115" s="187" t="inlineStr">
        <is>
          <t>Block URL</t>
        </is>
      </c>
      <c r="N1115" s="187" t="inlineStr">
        <is>
          <t>https://urlhaus.abuse.ch/url/3786998/</t>
        </is>
      </c>
      <c r="O1115" s="187" t="inlineStr">
        <is>
          <t>Block URL in proxy/firewall: http://45.128.118.140/mips</t>
        </is>
      </c>
      <c r="P1115" s="187" t="inlineStr">
        <is>
          <t>Network/Web Proxy</t>
        </is>
      </c>
      <c r="Q1115" s="187" t="inlineStr">
        <is>
          <t>P3</t>
        </is>
      </c>
      <c r="R1115" s="187" t="inlineStr">
        <is>
          <t>🚫 Block URLs in web proxy/firewall | 📧 Update email security filters | 👥 User awareness training recommended</t>
        </is>
      </c>
      <c r="S1115" s="187" t="inlineStr">
        <is>
          <t>URL IOC - check host IP separately</t>
        </is>
      </c>
      <c r="T1115" s="187" t="n">
        <v>0</v>
      </c>
      <c r="U1115" s="187" t="n">
        <v>0</v>
      </c>
      <c r="V1115" s="187" t="inlineStr">
        <is>
          <t>T1189:Drive-by Compromise | T1566:Phishing</t>
        </is>
      </c>
      <c r="W1115" s="187" t="n">
        <v>1</v>
      </c>
      <c r="X1115" s="187" t="inlineStr">
        <is>
          <t>LOW (40%)</t>
        </is>
      </c>
      <c r="Y1115" s="187" t="inlineStr">
        <is>
          <t>YES</t>
        </is>
      </c>
      <c r="Z1115" s="187" t="inlineStr">
        <is>
          <t>Block URL</t>
        </is>
      </c>
      <c r="AA1115" s="187" t="inlineStr">
        <is>
          <t>https://urlhaus.abuse.ch/url/3786998/</t>
        </is>
      </c>
      <c r="AB1115" s="187" t="inlineStr">
        <is>
          <t>NONE</t>
        </is>
      </c>
      <c r="AC1115" s="187" t="n">
        <v>0</v>
      </c>
      <c r="AD1115" s="187" t="inlineStr"/>
    </row>
    <row r="1116">
      <c r="A1116" s="187" t="inlineStr">
        <is>
          <t>MAL_URL</t>
        </is>
      </c>
      <c r="B1116" s="187" t="inlineStr">
        <is>
          <t>3786997</t>
        </is>
      </c>
      <c r="C1116" s="187" t="inlineStr">
        <is>
          <t>Malware Host [online]: http://45.128.118.140/x86 | Threat: malware_download | Tags: elf,opendir,ua-wget</t>
        </is>
      </c>
      <c r="D1116" s="187" t="n">
        <v>7.5</v>
      </c>
      <c r="E1116" s="187" t="inlineStr">
        <is>
          <t>HIGH</t>
        </is>
      </c>
      <c r="F1116" s="187" t="n">
        <v>3</v>
      </c>
      <c r="G1116" s="187" t="n">
        <v>2</v>
      </c>
      <c r="H1116" s="187" t="inlineStr">
        <is>
          <t>HIGH</t>
        </is>
      </c>
      <c r="I1116" s="187" t="n">
        <v>13.5</v>
      </c>
      <c r="J1116" s="187" t="inlineStr">
        <is>
          <t>NO</t>
        </is>
      </c>
      <c r="K1116" s="187" t="inlineStr">
        <is>
          <t>https://urlhaus.abuse.ch/url/3786997/</t>
        </is>
      </c>
      <c r="L1116" s="187" t="inlineStr">
        <is>
          <t>2026-02-27 17:51:14</t>
        </is>
      </c>
      <c r="M1116" s="187" t="inlineStr">
        <is>
          <t>Block URL</t>
        </is>
      </c>
      <c r="N1116" s="187" t="inlineStr">
        <is>
          <t>https://urlhaus.abuse.ch/url/3786997/</t>
        </is>
      </c>
      <c r="O1116" s="187" t="inlineStr">
        <is>
          <t>Block URL in proxy/firewall: http://45.128.118.140/x86</t>
        </is>
      </c>
      <c r="P1116" s="187" t="inlineStr">
        <is>
          <t>Network/Web Proxy</t>
        </is>
      </c>
      <c r="Q1116" s="187" t="inlineStr">
        <is>
          <t>P3</t>
        </is>
      </c>
      <c r="R1116" s="187" t="inlineStr">
        <is>
          <t>🚫 Block URLs in web proxy/firewall | 📧 Update email security filters | 👥 User awareness training recommended</t>
        </is>
      </c>
      <c r="S1116" s="187" t="inlineStr">
        <is>
          <t>URL IOC - check host IP separately</t>
        </is>
      </c>
      <c r="T1116" s="187" t="n">
        <v>0</v>
      </c>
      <c r="U1116" s="187" t="n">
        <v>0</v>
      </c>
      <c r="V1116" s="187" t="inlineStr">
        <is>
          <t>T1189:Drive-by Compromise | T1566:Phishing</t>
        </is>
      </c>
      <c r="W1116" s="187" t="n">
        <v>1</v>
      </c>
      <c r="X1116" s="187" t="inlineStr">
        <is>
          <t>LOW (40%)</t>
        </is>
      </c>
      <c r="Y1116" s="187" t="inlineStr">
        <is>
          <t>YES</t>
        </is>
      </c>
      <c r="Z1116" s="187" t="inlineStr">
        <is>
          <t>Block URL</t>
        </is>
      </c>
      <c r="AA1116" s="187" t="inlineStr">
        <is>
          <t>https://urlhaus.abuse.ch/url/3786997/</t>
        </is>
      </c>
      <c r="AB1116" s="187" t="inlineStr">
        <is>
          <t>NONE</t>
        </is>
      </c>
      <c r="AC1116" s="187" t="n">
        <v>0</v>
      </c>
      <c r="AD1116" s="187" t="inlineStr"/>
    </row>
    <row r="1117">
      <c r="A1117" s="187" t="inlineStr">
        <is>
          <t>MAL_URL</t>
        </is>
      </c>
      <c r="B1117" s="187" t="inlineStr">
        <is>
          <t>3786996</t>
        </is>
      </c>
      <c r="C1117" s="187" t="inlineStr">
        <is>
          <t>Malware Host [online]: http://45.128.118.140/mipsle | Threat: malware_download | Tags: elf,opendir,ua-wget</t>
        </is>
      </c>
      <c r="D1117" s="187" t="n">
        <v>7.5</v>
      </c>
      <c r="E1117" s="187" t="inlineStr">
        <is>
          <t>HIGH</t>
        </is>
      </c>
      <c r="F1117" s="187" t="n">
        <v>3</v>
      </c>
      <c r="G1117" s="187" t="n">
        <v>2</v>
      </c>
      <c r="H1117" s="187" t="inlineStr">
        <is>
          <t>HIGH</t>
        </is>
      </c>
      <c r="I1117" s="187" t="n">
        <v>13.5</v>
      </c>
      <c r="J1117" s="187" t="inlineStr">
        <is>
          <t>NO</t>
        </is>
      </c>
      <c r="K1117" s="187" t="inlineStr">
        <is>
          <t>https://urlhaus.abuse.ch/url/3786996/</t>
        </is>
      </c>
      <c r="L1117" s="187" t="inlineStr">
        <is>
          <t>2026-02-27 17:51:13</t>
        </is>
      </c>
      <c r="M1117" s="187" t="inlineStr">
        <is>
          <t>Block URL</t>
        </is>
      </c>
      <c r="N1117" s="187" t="inlineStr">
        <is>
          <t>https://urlhaus.abuse.ch/url/3786996/</t>
        </is>
      </c>
      <c r="O1117" s="187" t="inlineStr">
        <is>
          <t>Block URL in proxy/firewall: http://45.128.118.140/mipsle</t>
        </is>
      </c>
      <c r="P1117" s="187" t="inlineStr">
        <is>
          <t>Network/Web Proxy</t>
        </is>
      </c>
      <c r="Q1117" s="187" t="inlineStr">
        <is>
          <t>P3</t>
        </is>
      </c>
      <c r="R1117" s="187" t="inlineStr">
        <is>
          <t>🚫 Block URLs in web proxy/firewall | 📧 Update email security filters | 👥 User awareness training recommended</t>
        </is>
      </c>
      <c r="S1117" s="187" t="inlineStr">
        <is>
          <t>URL IOC - check host IP separately</t>
        </is>
      </c>
      <c r="T1117" s="187" t="n">
        <v>0</v>
      </c>
      <c r="U1117" s="187" t="n">
        <v>0</v>
      </c>
      <c r="V1117" s="187" t="inlineStr">
        <is>
          <t>T1189:Drive-by Compromise | T1566:Phishing</t>
        </is>
      </c>
      <c r="W1117" s="187" t="n">
        <v>1</v>
      </c>
      <c r="X1117" s="187" t="inlineStr">
        <is>
          <t>LOW (40%)</t>
        </is>
      </c>
      <c r="Y1117" s="187" t="inlineStr">
        <is>
          <t>YES</t>
        </is>
      </c>
      <c r="Z1117" s="187" t="inlineStr">
        <is>
          <t>Block URL</t>
        </is>
      </c>
      <c r="AA1117" s="187" t="inlineStr">
        <is>
          <t>https://urlhaus.abuse.ch/url/3786996/</t>
        </is>
      </c>
      <c r="AB1117" s="187" t="inlineStr">
        <is>
          <t>NONE</t>
        </is>
      </c>
      <c r="AC1117" s="187" t="n">
        <v>0</v>
      </c>
      <c r="AD1117" s="187" t="inlineStr"/>
    </row>
    <row r="1118">
      <c r="A1118" s="187" t="inlineStr">
        <is>
          <t>MAL_URL</t>
        </is>
      </c>
      <c r="B1118" s="187" t="inlineStr">
        <is>
          <t>3786995</t>
        </is>
      </c>
      <c r="C1118" s="187" t="inlineStr">
        <is>
          <t>Malware Host [online]: http://61.53.239.177:41435/i | Threat: malware_download | Tags: 32-bit,elf,mips,Mozi</t>
        </is>
      </c>
      <c r="D1118" s="187" t="n">
        <v>7.5</v>
      </c>
      <c r="E1118" s="187" t="inlineStr">
        <is>
          <t>HIGH</t>
        </is>
      </c>
      <c r="F1118" s="187" t="n">
        <v>3</v>
      </c>
      <c r="G1118" s="187" t="n">
        <v>2</v>
      </c>
      <c r="H1118" s="187" t="inlineStr">
        <is>
          <t>HIGH</t>
        </is>
      </c>
      <c r="I1118" s="187" t="n">
        <v>13.5</v>
      </c>
      <c r="J1118" s="187" t="inlineStr">
        <is>
          <t>NO</t>
        </is>
      </c>
      <c r="K1118" s="187" t="inlineStr">
        <is>
          <t>https://urlhaus.abuse.ch/url/3786995/</t>
        </is>
      </c>
      <c r="L1118" s="187" t="inlineStr">
        <is>
          <t>2026-02-27 17:37:09</t>
        </is>
      </c>
      <c r="M1118" s="187" t="inlineStr">
        <is>
          <t>Block URL</t>
        </is>
      </c>
      <c r="N1118" s="187" t="inlineStr">
        <is>
          <t>https://urlhaus.abuse.ch/url/3786995/</t>
        </is>
      </c>
      <c r="O1118" s="187" t="inlineStr">
        <is>
          <t>Block URL in proxy/firewall: http://61.53.239.177:41435/i</t>
        </is>
      </c>
      <c r="P1118" s="187" t="inlineStr">
        <is>
          <t>Network/Web Proxy</t>
        </is>
      </c>
      <c r="Q1118" s="187" t="inlineStr">
        <is>
          <t>P3</t>
        </is>
      </c>
      <c r="R1118" s="187" t="inlineStr">
        <is>
          <t>🚫 Block URLs in web proxy/firewall | 📧 Update email security filters | 👥 User awareness training recommended</t>
        </is>
      </c>
      <c r="S1118" s="187" t="inlineStr">
        <is>
          <t>URL IOC - check host IP separately</t>
        </is>
      </c>
      <c r="T1118" s="187" t="n">
        <v>0</v>
      </c>
      <c r="U1118" s="187" t="n">
        <v>0</v>
      </c>
      <c r="V1118" s="187" t="inlineStr">
        <is>
          <t>T1189:Drive-by Compromise | T1566:Phishing</t>
        </is>
      </c>
      <c r="W1118" s="187" t="n">
        <v>1</v>
      </c>
      <c r="X1118" s="187" t="inlineStr">
        <is>
          <t>LOW (40%)</t>
        </is>
      </c>
      <c r="Y1118" s="187" t="inlineStr">
        <is>
          <t>YES</t>
        </is>
      </c>
      <c r="Z1118" s="187" t="inlineStr">
        <is>
          <t>Block URL</t>
        </is>
      </c>
      <c r="AA1118" s="187" t="inlineStr">
        <is>
          <t>https://urlhaus.abuse.ch/url/3786995/</t>
        </is>
      </c>
      <c r="AB1118" s="187" t="inlineStr">
        <is>
          <t>NONE</t>
        </is>
      </c>
      <c r="AC1118" s="187" t="n">
        <v>0</v>
      </c>
      <c r="AD1118" s="187" t="inlineStr"/>
    </row>
    <row r="1119">
      <c r="A1119" s="187" t="inlineStr">
        <is>
          <t>MAL_URL</t>
        </is>
      </c>
      <c r="B1119" s="187" t="inlineStr">
        <is>
          <t>3786994</t>
        </is>
      </c>
      <c r="C1119" s="187" t="inlineStr">
        <is>
          <t>Malware Host [online]: http://113.230.233.171:59928/i | Threat: malware_download | Tags: 32-bit,elf,mips,Mozi</t>
        </is>
      </c>
      <c r="D1119" s="187" t="n">
        <v>7.5</v>
      </c>
      <c r="E1119" s="187" t="inlineStr">
        <is>
          <t>HIGH</t>
        </is>
      </c>
      <c r="F1119" s="187" t="n">
        <v>3</v>
      </c>
      <c r="G1119" s="187" t="n">
        <v>2</v>
      </c>
      <c r="H1119" s="187" t="inlineStr">
        <is>
          <t>HIGH</t>
        </is>
      </c>
      <c r="I1119" s="187" t="n">
        <v>13.5</v>
      </c>
      <c r="J1119" s="187" t="inlineStr">
        <is>
          <t>NO</t>
        </is>
      </c>
      <c r="K1119" s="187" t="inlineStr">
        <is>
          <t>https://urlhaus.abuse.ch/url/3786994/</t>
        </is>
      </c>
      <c r="L1119" s="187" t="inlineStr">
        <is>
          <t>2026-02-27 17:36:21</t>
        </is>
      </c>
      <c r="M1119" s="187" t="inlineStr">
        <is>
          <t>Block URL</t>
        </is>
      </c>
      <c r="N1119" s="187" t="inlineStr">
        <is>
          <t>https://urlhaus.abuse.ch/url/3786994/</t>
        </is>
      </c>
      <c r="O1119" s="187" t="inlineStr">
        <is>
          <t>Block URL in proxy/firewall: http://113.230.233.171:59928/i</t>
        </is>
      </c>
      <c r="P1119" s="187" t="inlineStr">
        <is>
          <t>Network/Web Proxy</t>
        </is>
      </c>
      <c r="Q1119" s="187" t="inlineStr">
        <is>
          <t>P3</t>
        </is>
      </c>
      <c r="R1119" s="187" t="inlineStr">
        <is>
          <t>🚫 Block URLs in web proxy/firewall | 📧 Update email security filters | 👥 User awareness training recommended</t>
        </is>
      </c>
      <c r="S1119" s="187" t="inlineStr">
        <is>
          <t>URL IOC - check host IP separately</t>
        </is>
      </c>
      <c r="T1119" s="187" t="n">
        <v>0</v>
      </c>
      <c r="U1119" s="187" t="n">
        <v>0</v>
      </c>
      <c r="V1119" s="187" t="inlineStr">
        <is>
          <t>T1189:Drive-by Compromise | T1566:Phishing</t>
        </is>
      </c>
      <c r="W1119" s="187" t="n">
        <v>1</v>
      </c>
      <c r="X1119" s="187" t="inlineStr">
        <is>
          <t>LOW (40%)</t>
        </is>
      </c>
      <c r="Y1119" s="187" t="inlineStr">
        <is>
          <t>YES</t>
        </is>
      </c>
      <c r="Z1119" s="187" t="inlineStr">
        <is>
          <t>Block URL</t>
        </is>
      </c>
      <c r="AA1119" s="187" t="inlineStr">
        <is>
          <t>https://urlhaus.abuse.ch/url/3786994/</t>
        </is>
      </c>
      <c r="AB1119" s="187" t="inlineStr">
        <is>
          <t>NONE</t>
        </is>
      </c>
      <c r="AC1119" s="187" t="n">
        <v>0</v>
      </c>
      <c r="AD1119" s="187" t="inlineStr"/>
    </row>
    <row r="1120">
      <c r="A1120" s="187" t="inlineStr">
        <is>
          <t>MAL_URL</t>
        </is>
      </c>
      <c r="B1120" s="187" t="inlineStr">
        <is>
          <t>3786993</t>
        </is>
      </c>
      <c r="C1120" s="187" t="inlineStr">
        <is>
          <t>Malware Host [online]: http://130.12.180.69/amd64 | Threat: malware_download | Tags: elf,ua-wget</t>
        </is>
      </c>
      <c r="D1120" s="187" t="n">
        <v>7.5</v>
      </c>
      <c r="E1120" s="187" t="inlineStr">
        <is>
          <t>HIGH</t>
        </is>
      </c>
      <c r="F1120" s="187" t="n">
        <v>3</v>
      </c>
      <c r="G1120" s="187" t="n">
        <v>2</v>
      </c>
      <c r="H1120" s="187" t="inlineStr">
        <is>
          <t>HIGH</t>
        </is>
      </c>
      <c r="I1120" s="187" t="n">
        <v>13.5</v>
      </c>
      <c r="J1120" s="187" t="inlineStr">
        <is>
          <t>NO</t>
        </is>
      </c>
      <c r="K1120" s="187" t="inlineStr">
        <is>
          <t>https://urlhaus.abuse.ch/url/3786993/</t>
        </is>
      </c>
      <c r="L1120" s="187" t="inlineStr">
        <is>
          <t>2026-02-27 17:33:18</t>
        </is>
      </c>
      <c r="M1120" s="187" t="inlineStr">
        <is>
          <t>Block URL</t>
        </is>
      </c>
      <c r="N1120" s="187" t="inlineStr">
        <is>
          <t>https://urlhaus.abuse.ch/url/3786993/</t>
        </is>
      </c>
      <c r="O1120" s="187" t="inlineStr">
        <is>
          <t>Block URL in proxy/firewall: http://130.12.180.69/amd64</t>
        </is>
      </c>
      <c r="P1120" s="187" t="inlineStr">
        <is>
          <t>Network/Web Proxy</t>
        </is>
      </c>
      <c r="Q1120" s="187" t="inlineStr">
        <is>
          <t>P3</t>
        </is>
      </c>
      <c r="R1120" s="187" t="inlineStr">
        <is>
          <t>🚫 Block URLs in web proxy/firewall | 📧 Update email security filters | 👥 User awareness training recommended</t>
        </is>
      </c>
      <c r="S1120" s="187" t="inlineStr">
        <is>
          <t>URL IOC - check host IP separately</t>
        </is>
      </c>
      <c r="T1120" s="187" t="n">
        <v>0</v>
      </c>
      <c r="U1120" s="187" t="n">
        <v>0</v>
      </c>
      <c r="V1120" s="187" t="inlineStr">
        <is>
          <t>T1189:Drive-by Compromise | T1566:Phishing</t>
        </is>
      </c>
      <c r="W1120" s="187" t="n">
        <v>1</v>
      </c>
      <c r="X1120" s="187" t="inlineStr">
        <is>
          <t>LOW (40%)</t>
        </is>
      </c>
      <c r="Y1120" s="187" t="inlineStr">
        <is>
          <t>YES</t>
        </is>
      </c>
      <c r="Z1120" s="187" t="inlineStr">
        <is>
          <t>Block URL</t>
        </is>
      </c>
      <c r="AA1120" s="187" t="inlineStr">
        <is>
          <t>https://urlhaus.abuse.ch/url/3786993/</t>
        </is>
      </c>
      <c r="AB1120" s="187" t="inlineStr">
        <is>
          <t>NONE</t>
        </is>
      </c>
      <c r="AC1120" s="187" t="n">
        <v>0</v>
      </c>
      <c r="AD1120" s="187" t="inlineStr"/>
    </row>
    <row r="1121">
      <c r="A1121" s="187" t="inlineStr">
        <is>
          <t>MAL_URL</t>
        </is>
      </c>
      <c r="B1121" s="187" t="inlineStr">
        <is>
          <t>3786992</t>
        </is>
      </c>
      <c r="C1121" s="187" t="inlineStr">
        <is>
          <t>Malware Host [online]: http://130.12.180.69/cnpilot.sh | Threat: malware_download | Tags: sh,ua-wget</t>
        </is>
      </c>
      <c r="D1121" s="187" t="n">
        <v>7.5</v>
      </c>
      <c r="E1121" s="187" t="inlineStr">
        <is>
          <t>HIGH</t>
        </is>
      </c>
      <c r="F1121" s="187" t="n">
        <v>3</v>
      </c>
      <c r="G1121" s="187" t="n">
        <v>2</v>
      </c>
      <c r="H1121" s="187" t="inlineStr">
        <is>
          <t>HIGH</t>
        </is>
      </c>
      <c r="I1121" s="187" t="n">
        <v>13.5</v>
      </c>
      <c r="J1121" s="187" t="inlineStr">
        <is>
          <t>NO</t>
        </is>
      </c>
      <c r="K1121" s="187" t="inlineStr">
        <is>
          <t>https://urlhaus.abuse.ch/url/3786992/</t>
        </is>
      </c>
      <c r="L1121" s="187" t="inlineStr">
        <is>
          <t>2026-02-27 17:33:14</t>
        </is>
      </c>
      <c r="M1121" s="187" t="inlineStr">
        <is>
          <t>Block URL</t>
        </is>
      </c>
      <c r="N1121" s="187" t="inlineStr">
        <is>
          <t>https://urlhaus.abuse.ch/url/3786992/</t>
        </is>
      </c>
      <c r="O1121" s="187" t="inlineStr">
        <is>
          <t>Block URL in proxy/firewall: http://130.12.180.69/cnpilot.sh</t>
        </is>
      </c>
      <c r="P1121" s="187" t="inlineStr">
        <is>
          <t>Network/Web Proxy</t>
        </is>
      </c>
      <c r="Q1121" s="187" t="inlineStr">
        <is>
          <t>P3</t>
        </is>
      </c>
      <c r="R1121" s="187" t="inlineStr">
        <is>
          <t>🚫 Block URLs in web proxy/firewall | 📧 Update email security filters | 👥 User awareness training recommended</t>
        </is>
      </c>
      <c r="S1121" s="187" t="inlineStr">
        <is>
          <t>URL IOC - check host IP separately</t>
        </is>
      </c>
      <c r="T1121" s="187" t="n">
        <v>0</v>
      </c>
      <c r="U1121" s="187" t="n">
        <v>0</v>
      </c>
      <c r="V1121" s="187" t="inlineStr">
        <is>
          <t>T1189:Drive-by Compromise | T1566:Phishing</t>
        </is>
      </c>
      <c r="W1121" s="187" t="n">
        <v>1</v>
      </c>
      <c r="X1121" s="187" t="inlineStr">
        <is>
          <t>LOW (40%)</t>
        </is>
      </c>
      <c r="Y1121" s="187" t="inlineStr">
        <is>
          <t>YES</t>
        </is>
      </c>
      <c r="Z1121" s="187" t="inlineStr">
        <is>
          <t>Block URL</t>
        </is>
      </c>
      <c r="AA1121" s="187" t="inlineStr">
        <is>
          <t>https://urlhaus.abuse.ch/url/3786992/</t>
        </is>
      </c>
      <c r="AB1121" s="187" t="inlineStr">
        <is>
          <t>NONE</t>
        </is>
      </c>
      <c r="AC1121" s="187" t="n">
        <v>0</v>
      </c>
      <c r="AD1121" s="187" t="inlineStr"/>
    </row>
    <row r="1122">
      <c r="A1122" s="187" t="inlineStr">
        <is>
          <t>MAL_URL</t>
        </is>
      </c>
      <c r="B1122" s="187" t="inlineStr">
        <is>
          <t>3786991</t>
        </is>
      </c>
      <c r="C1122" s="187" t="inlineStr">
        <is>
          <t>Malware Host [offline]: https://api.files.link/v1/p/6eb195dd-ee4b-48a8-8166-346fc97280d7 | Threat: malware_download | Tags: None</t>
        </is>
      </c>
      <c r="D1122" s="187" t="n">
        <v>7.5</v>
      </c>
      <c r="E1122" s="187" t="inlineStr">
        <is>
          <t>HIGH</t>
        </is>
      </c>
      <c r="F1122" s="187" t="n">
        <v>3</v>
      </c>
      <c r="G1122" s="187" t="n">
        <v>2</v>
      </c>
      <c r="H1122" s="187" t="inlineStr">
        <is>
          <t>HIGH</t>
        </is>
      </c>
      <c r="I1122" s="187" t="n">
        <v>13.5</v>
      </c>
      <c r="J1122" s="187" t="inlineStr">
        <is>
          <t>NO</t>
        </is>
      </c>
      <c r="K1122" s="187" t="inlineStr">
        <is>
          <t>https://urlhaus.abuse.ch/url/3786991/</t>
        </is>
      </c>
      <c r="L1122" s="187" t="inlineStr">
        <is>
          <t>2026-02-27 17:31:20</t>
        </is>
      </c>
      <c r="M1122" s="187" t="inlineStr">
        <is>
          <t>Block URL</t>
        </is>
      </c>
      <c r="N1122" s="187" t="inlineStr">
        <is>
          <t>https://urlhaus.abuse.ch/url/3786991/</t>
        </is>
      </c>
      <c r="O1122" s="187" t="inlineStr">
        <is>
          <t>Block URL in proxy/firewall: https://api.files.link/v1/p/6eb195dd-ee4b-48a8-8166-346fc97280d7</t>
        </is>
      </c>
      <c r="P1122" s="187" t="inlineStr">
        <is>
          <t>Network/Web Proxy</t>
        </is>
      </c>
      <c r="Q1122" s="187" t="inlineStr">
        <is>
          <t>P3</t>
        </is>
      </c>
      <c r="R1122" s="187" t="inlineStr">
        <is>
          <t>🚫 Block URLs in web proxy/firewall | 📧 Update email security filters | 👥 User awareness training recommended</t>
        </is>
      </c>
      <c r="S1122" s="187" t="inlineStr">
        <is>
          <t>URL IOC - check host IP separately</t>
        </is>
      </c>
      <c r="T1122" s="187" t="n">
        <v>0</v>
      </c>
      <c r="U1122" s="187" t="n">
        <v>0</v>
      </c>
      <c r="V1122" s="187" t="inlineStr">
        <is>
          <t>T1189:Drive-by Compromise | T1566:Phishing</t>
        </is>
      </c>
      <c r="W1122" s="187" t="n">
        <v>1</v>
      </c>
      <c r="X1122" s="187" t="inlineStr">
        <is>
          <t>LOW (40%)</t>
        </is>
      </c>
      <c r="Y1122" s="187" t="inlineStr">
        <is>
          <t>YES</t>
        </is>
      </c>
      <c r="Z1122" s="187" t="inlineStr">
        <is>
          <t>Block URL</t>
        </is>
      </c>
      <c r="AA1122" s="187" t="inlineStr">
        <is>
          <t>https://urlhaus.abuse.ch/url/3786991/</t>
        </is>
      </c>
      <c r="AB1122" s="187" t="inlineStr">
        <is>
          <t>NONE</t>
        </is>
      </c>
      <c r="AC1122" s="187" t="n">
        <v>0</v>
      </c>
      <c r="AD1122" s="187" t="inlineStr"/>
    </row>
    <row r="1123">
      <c r="A1123" s="187" t="inlineStr">
        <is>
          <t>MAL_URL</t>
        </is>
      </c>
      <c r="B1123" s="187" t="inlineStr">
        <is>
          <t>3786990</t>
        </is>
      </c>
      <c r="C1123" s="187" t="inlineStr">
        <is>
          <t>Malware Host [online]: http://182.113.40.61:33933/i | Threat: malware_download | Tags: 32-bit,elf,mips,Mozi</t>
        </is>
      </c>
      <c r="D1123" s="187" t="n">
        <v>7.5</v>
      </c>
      <c r="E1123" s="187" t="inlineStr">
        <is>
          <t>HIGH</t>
        </is>
      </c>
      <c r="F1123" s="187" t="n">
        <v>3</v>
      </c>
      <c r="G1123" s="187" t="n">
        <v>2</v>
      </c>
      <c r="H1123" s="187" t="inlineStr">
        <is>
          <t>HIGH</t>
        </is>
      </c>
      <c r="I1123" s="187" t="n">
        <v>13.5</v>
      </c>
      <c r="J1123" s="187" t="inlineStr">
        <is>
          <t>NO</t>
        </is>
      </c>
      <c r="K1123" s="187" t="inlineStr">
        <is>
          <t>https://urlhaus.abuse.ch/url/3786990/</t>
        </is>
      </c>
      <c r="L1123" s="187" t="inlineStr">
        <is>
          <t>2026-02-27 17:31:19</t>
        </is>
      </c>
      <c r="M1123" s="187" t="inlineStr">
        <is>
          <t>Block URL</t>
        </is>
      </c>
      <c r="N1123" s="187" t="inlineStr">
        <is>
          <t>https://urlhaus.abuse.ch/url/3786990/</t>
        </is>
      </c>
      <c r="O1123" s="187" t="inlineStr">
        <is>
          <t>Block URL in proxy/firewall: http://182.113.40.61:33933/i</t>
        </is>
      </c>
      <c r="P1123" s="187" t="inlineStr">
        <is>
          <t>Network/Web Proxy</t>
        </is>
      </c>
      <c r="Q1123" s="187" t="inlineStr">
        <is>
          <t>P3</t>
        </is>
      </c>
      <c r="R1123" s="187" t="inlineStr">
        <is>
          <t>🚫 Block URLs in web proxy/firewall | 📧 Update email security filters | 👥 User awareness training recommended</t>
        </is>
      </c>
      <c r="S1123" s="187" t="inlineStr">
        <is>
          <t>URL IOC - check host IP separately</t>
        </is>
      </c>
      <c r="T1123" s="187" t="n">
        <v>0</v>
      </c>
      <c r="U1123" s="187" t="n">
        <v>0</v>
      </c>
      <c r="V1123" s="187" t="inlineStr">
        <is>
          <t>T1189:Drive-by Compromise | T1566:Phishing</t>
        </is>
      </c>
      <c r="W1123" s="187" t="n">
        <v>1</v>
      </c>
      <c r="X1123" s="187" t="inlineStr">
        <is>
          <t>LOW (40%)</t>
        </is>
      </c>
      <c r="Y1123" s="187" t="inlineStr">
        <is>
          <t>YES</t>
        </is>
      </c>
      <c r="Z1123" s="187" t="inlineStr">
        <is>
          <t>Block URL</t>
        </is>
      </c>
      <c r="AA1123" s="187" t="inlineStr">
        <is>
          <t>https://urlhaus.abuse.ch/url/3786990/</t>
        </is>
      </c>
      <c r="AB1123" s="187" t="inlineStr">
        <is>
          <t>NONE</t>
        </is>
      </c>
      <c r="AC1123" s="187" t="n">
        <v>0</v>
      </c>
      <c r="AD1123" s="187" t="inlineStr"/>
    </row>
    <row r="1124">
      <c r="A1124" s="187" t="inlineStr">
        <is>
          <t>MAL_URL</t>
        </is>
      </c>
      <c r="B1124" s="187" t="inlineStr">
        <is>
          <t>3786989</t>
        </is>
      </c>
      <c r="C1124" s="187" t="inlineStr">
        <is>
          <t>Malware Host [online]: http://182.127.56.186:45376/bin.sh | Threat: malware_download | Tags: 32-bit,elf,mips,Mozi</t>
        </is>
      </c>
      <c r="D1124" s="187" t="n">
        <v>7.5</v>
      </c>
      <c r="E1124" s="187" t="inlineStr">
        <is>
          <t>HIGH</t>
        </is>
      </c>
      <c r="F1124" s="187" t="n">
        <v>3</v>
      </c>
      <c r="G1124" s="187" t="n">
        <v>2</v>
      </c>
      <c r="H1124" s="187" t="inlineStr">
        <is>
          <t>HIGH</t>
        </is>
      </c>
      <c r="I1124" s="187" t="n">
        <v>13.5</v>
      </c>
      <c r="J1124" s="187" t="inlineStr">
        <is>
          <t>NO</t>
        </is>
      </c>
      <c r="K1124" s="187" t="inlineStr">
        <is>
          <t>https://urlhaus.abuse.ch/url/3786989/</t>
        </is>
      </c>
      <c r="L1124" s="187" t="inlineStr">
        <is>
          <t>2026-02-27 17:28:20</t>
        </is>
      </c>
      <c r="M1124" s="187" t="inlineStr">
        <is>
          <t>Block URL</t>
        </is>
      </c>
      <c r="N1124" s="187" t="inlineStr">
        <is>
          <t>https://urlhaus.abuse.ch/url/3786989/</t>
        </is>
      </c>
      <c r="O1124" s="187" t="inlineStr">
        <is>
          <t>Block URL in proxy/firewall: http://182.127.56.186:45376/bin.sh</t>
        </is>
      </c>
      <c r="P1124" s="187" t="inlineStr">
        <is>
          <t>Network/Web Proxy</t>
        </is>
      </c>
      <c r="Q1124" s="187" t="inlineStr">
        <is>
          <t>P3</t>
        </is>
      </c>
      <c r="R1124" s="187" t="inlineStr">
        <is>
          <t>🚫 Block URLs in web proxy/firewall | 📧 Update email security filters | 👥 User awareness training recommended</t>
        </is>
      </c>
      <c r="S1124" s="187" t="inlineStr">
        <is>
          <t>URL IOC - check host IP separately</t>
        </is>
      </c>
      <c r="T1124" s="187" t="n">
        <v>0</v>
      </c>
      <c r="U1124" s="187" t="n">
        <v>0</v>
      </c>
      <c r="V1124" s="187" t="inlineStr">
        <is>
          <t>T1189:Drive-by Compromise | T1566:Phishing</t>
        </is>
      </c>
      <c r="W1124" s="187" t="n">
        <v>1</v>
      </c>
      <c r="X1124" s="187" t="inlineStr">
        <is>
          <t>LOW (40%)</t>
        </is>
      </c>
      <c r="Y1124" s="187" t="inlineStr">
        <is>
          <t>YES</t>
        </is>
      </c>
      <c r="Z1124" s="187" t="inlineStr">
        <is>
          <t>Block URL</t>
        </is>
      </c>
      <c r="AA1124" s="187" t="inlineStr">
        <is>
          <t>https://urlhaus.abuse.ch/url/3786989/</t>
        </is>
      </c>
      <c r="AB1124" s="187" t="inlineStr">
        <is>
          <t>NONE</t>
        </is>
      </c>
      <c r="AC1124" s="187" t="n">
        <v>0</v>
      </c>
      <c r="AD1124" s="187" t="inlineStr"/>
    </row>
    <row r="1125">
      <c r="A1125" s="187" t="inlineStr">
        <is>
          <t>MAL_URL</t>
        </is>
      </c>
      <c r="B1125" s="187" t="inlineStr">
        <is>
          <t>3786988</t>
        </is>
      </c>
      <c r="C1125" s="187" t="inlineStr">
        <is>
          <t>Malware Host [offline]: https://one-graup.com/LAH.hta | Threat: malware_download | Tags: hta</t>
        </is>
      </c>
      <c r="D1125" s="187" t="n">
        <v>7.5</v>
      </c>
      <c r="E1125" s="187" t="inlineStr">
        <is>
          <t>HIGH</t>
        </is>
      </c>
      <c r="F1125" s="187" t="n">
        <v>3</v>
      </c>
      <c r="G1125" s="187" t="n">
        <v>2</v>
      </c>
      <c r="H1125" s="187" t="inlineStr">
        <is>
          <t>HIGH</t>
        </is>
      </c>
      <c r="I1125" s="187" t="n">
        <v>13.5</v>
      </c>
      <c r="J1125" s="187" t="inlineStr">
        <is>
          <t>NO</t>
        </is>
      </c>
      <c r="K1125" s="187" t="inlineStr">
        <is>
          <t>https://urlhaus.abuse.ch/url/3786988/</t>
        </is>
      </c>
      <c r="L1125" s="187" t="inlineStr">
        <is>
          <t>2026-02-27 17:27:20</t>
        </is>
      </c>
      <c r="M1125" s="187" t="inlineStr">
        <is>
          <t>Block URL</t>
        </is>
      </c>
      <c r="N1125" s="187" t="inlineStr">
        <is>
          <t>https://urlhaus.abuse.ch/url/3786988/</t>
        </is>
      </c>
      <c r="O1125" s="187" t="inlineStr">
        <is>
          <t>Block URL in proxy/firewall: https://one-graup.com/LAH.hta</t>
        </is>
      </c>
      <c r="P1125" s="187" t="inlineStr">
        <is>
          <t>Network/Web Proxy</t>
        </is>
      </c>
      <c r="Q1125" s="187" t="inlineStr">
        <is>
          <t>P3</t>
        </is>
      </c>
      <c r="R1125" s="187" t="inlineStr">
        <is>
          <t>🚫 Block URLs in web proxy/firewall | 📧 Update email security filters | 👥 User awareness training recommended</t>
        </is>
      </c>
      <c r="S1125" s="187" t="inlineStr">
        <is>
          <t>URL IOC - check host IP separately</t>
        </is>
      </c>
      <c r="T1125" s="187" t="n">
        <v>0</v>
      </c>
      <c r="U1125" s="187" t="n">
        <v>0</v>
      </c>
      <c r="V1125" s="187" t="inlineStr">
        <is>
          <t>T1189:Drive-by Compromise | T1566:Phishing</t>
        </is>
      </c>
      <c r="W1125" s="187" t="n">
        <v>1</v>
      </c>
      <c r="X1125" s="187" t="inlineStr">
        <is>
          <t>LOW (40%)</t>
        </is>
      </c>
      <c r="Y1125" s="187" t="inlineStr">
        <is>
          <t>YES</t>
        </is>
      </c>
      <c r="Z1125" s="187" t="inlineStr">
        <is>
          <t>Block URL</t>
        </is>
      </c>
      <c r="AA1125" s="187" t="inlineStr">
        <is>
          <t>https://urlhaus.abuse.ch/url/3786988/</t>
        </is>
      </c>
      <c r="AB1125" s="187" t="inlineStr">
        <is>
          <t>NONE</t>
        </is>
      </c>
      <c r="AC1125" s="187" t="n">
        <v>0</v>
      </c>
      <c r="AD1125" s="187" t="inlineStr"/>
    </row>
    <row r="1126">
      <c r="A1126" s="187" t="inlineStr">
        <is>
          <t>MAL_URL</t>
        </is>
      </c>
      <c r="B1126" s="187" t="inlineStr">
        <is>
          <t>3786987</t>
        </is>
      </c>
      <c r="C1126" s="187" t="inlineStr">
        <is>
          <t>Malware Host [online]: https://www.kotojuki.com/upload/upl/aIh2Q8_tdPWA9w6hskn5/539869.pdf | Threat: malware_download | Tags: Formbook</t>
        </is>
      </c>
      <c r="D1126" s="187" t="n">
        <v>7.5</v>
      </c>
      <c r="E1126" s="187" t="inlineStr">
        <is>
          <t>HIGH</t>
        </is>
      </c>
      <c r="F1126" s="187" t="n">
        <v>3</v>
      </c>
      <c r="G1126" s="187" t="n">
        <v>2</v>
      </c>
      <c r="H1126" s="187" t="inlineStr">
        <is>
          <t>HIGH</t>
        </is>
      </c>
      <c r="I1126" s="187" t="n">
        <v>13.5</v>
      </c>
      <c r="J1126" s="187" t="inlineStr">
        <is>
          <t>NO</t>
        </is>
      </c>
      <c r="K1126" s="187" t="inlineStr">
        <is>
          <t>https://urlhaus.abuse.ch/url/3786987/</t>
        </is>
      </c>
      <c r="L1126" s="187" t="inlineStr">
        <is>
          <t>2026-02-27 17:27:10</t>
        </is>
      </c>
      <c r="M1126" s="187" t="inlineStr">
        <is>
          <t>Block URL</t>
        </is>
      </c>
      <c r="N1126" s="187" t="inlineStr">
        <is>
          <t>https://urlhaus.abuse.ch/url/3786987/</t>
        </is>
      </c>
      <c r="O1126" s="187" t="inlineStr">
        <is>
          <t>Block URL in proxy/firewall: https://www.kotojuki.com/upload/upl/aIh2Q8_tdPWA9w6hskn5/539869.pdf</t>
        </is>
      </c>
      <c r="P1126" s="187" t="inlineStr">
        <is>
          <t>Network/Web Proxy</t>
        </is>
      </c>
      <c r="Q1126" s="187" t="inlineStr">
        <is>
          <t>P3</t>
        </is>
      </c>
      <c r="R1126" s="187" t="inlineStr">
        <is>
          <t>🚫 Block URLs in web proxy/firewall | 📧 Update email security filters | 👥 User awareness training recommended</t>
        </is>
      </c>
      <c r="S1126" s="187" t="inlineStr">
        <is>
          <t>URL IOC - check host IP separately</t>
        </is>
      </c>
      <c r="T1126" s="187" t="n">
        <v>0</v>
      </c>
      <c r="U1126" s="187" t="n">
        <v>0</v>
      </c>
      <c r="V1126" s="187" t="inlineStr">
        <is>
          <t>T1189:Drive-by Compromise | T1566:Phishing</t>
        </is>
      </c>
      <c r="W1126" s="187" t="n">
        <v>1</v>
      </c>
      <c r="X1126" s="187" t="inlineStr">
        <is>
          <t>LOW (40%)</t>
        </is>
      </c>
      <c r="Y1126" s="187" t="inlineStr">
        <is>
          <t>YES</t>
        </is>
      </c>
      <c r="Z1126" s="187" t="inlineStr">
        <is>
          <t>Block URL</t>
        </is>
      </c>
      <c r="AA1126" s="187" t="inlineStr">
        <is>
          <t>https://urlhaus.abuse.ch/url/3786987/</t>
        </is>
      </c>
      <c r="AB1126" s="187" t="inlineStr">
        <is>
          <t>NONE</t>
        </is>
      </c>
      <c r="AC1126" s="187" t="n">
        <v>0</v>
      </c>
      <c r="AD1126" s="187" t="inlineStr"/>
    </row>
    <row r="1127">
      <c r="A1127" s="187" t="inlineStr">
        <is>
          <t>MAL_URL</t>
        </is>
      </c>
      <c r="B1127" s="187" t="inlineStr">
        <is>
          <t>3786986</t>
        </is>
      </c>
      <c r="C1127" s="187" t="inlineStr">
        <is>
          <t>Malware Host [offline]: https://uploads.otzo.com/1D/a5c1D.exe | Threat: malware_download | Tags: exe</t>
        </is>
      </c>
      <c r="D1127" s="187" t="n">
        <v>7.5</v>
      </c>
      <c r="E1127" s="187" t="inlineStr">
        <is>
          <t>HIGH</t>
        </is>
      </c>
      <c r="F1127" s="187" t="n">
        <v>3</v>
      </c>
      <c r="G1127" s="187" t="n">
        <v>2</v>
      </c>
      <c r="H1127" s="187" t="inlineStr">
        <is>
          <t>HIGH</t>
        </is>
      </c>
      <c r="I1127" s="187" t="n">
        <v>13.5</v>
      </c>
      <c r="J1127" s="187" t="inlineStr">
        <is>
          <t>NO</t>
        </is>
      </c>
      <c r="K1127" s="187" t="inlineStr">
        <is>
          <t>https://urlhaus.abuse.ch/url/3786986/</t>
        </is>
      </c>
      <c r="L1127" s="187" t="inlineStr">
        <is>
          <t>2026-02-27 17:26:21</t>
        </is>
      </c>
      <c r="M1127" s="187" t="inlineStr">
        <is>
          <t>Block URL</t>
        </is>
      </c>
      <c r="N1127" s="187" t="inlineStr">
        <is>
          <t>https://urlhaus.abuse.ch/url/3786986/</t>
        </is>
      </c>
      <c r="O1127" s="187" t="inlineStr">
        <is>
          <t>Block URL in proxy/firewall: https://uploads.otzo.com/1D/a5c1D.exe</t>
        </is>
      </c>
      <c r="P1127" s="187" t="inlineStr">
        <is>
          <t>Network/Web Proxy</t>
        </is>
      </c>
      <c r="Q1127" s="187" t="inlineStr">
        <is>
          <t>P3</t>
        </is>
      </c>
      <c r="R1127" s="187" t="inlineStr">
        <is>
          <t>🚫 Block URLs in web proxy/firewall | 📧 Update email security filters | 👥 User awareness training recommended</t>
        </is>
      </c>
      <c r="S1127" s="187" t="inlineStr">
        <is>
          <t>URL IOC - check host IP separately</t>
        </is>
      </c>
      <c r="T1127" s="187" t="n">
        <v>0</v>
      </c>
      <c r="U1127" s="187" t="n">
        <v>0</v>
      </c>
      <c r="V1127" s="187" t="inlineStr">
        <is>
          <t>T1189:Drive-by Compromise | T1566:Phishing</t>
        </is>
      </c>
      <c r="W1127" s="187" t="n">
        <v>1</v>
      </c>
      <c r="X1127" s="187" t="inlineStr">
        <is>
          <t>LOW (40%)</t>
        </is>
      </c>
      <c r="Y1127" s="187" t="inlineStr">
        <is>
          <t>YES</t>
        </is>
      </c>
      <c r="Z1127" s="187" t="inlineStr">
        <is>
          <t>Block URL</t>
        </is>
      </c>
      <c r="AA1127" s="187" t="inlineStr">
        <is>
          <t>https://urlhaus.abuse.ch/url/3786986/</t>
        </is>
      </c>
      <c r="AB1127" s="187" t="inlineStr">
        <is>
          <t>NONE</t>
        </is>
      </c>
      <c r="AC1127" s="187" t="n">
        <v>0</v>
      </c>
      <c r="AD1127" s="187" t="inlineStr"/>
    </row>
    <row r="1128">
      <c r="A1128" s="187" t="inlineStr">
        <is>
          <t>MAL_URL</t>
        </is>
      </c>
      <c r="B1128" s="187" t="inlineStr">
        <is>
          <t>3786982</t>
        </is>
      </c>
      <c r="C1128" s="187" t="inlineStr">
        <is>
          <t>Malware Host [online]: http://103.116.52.44/jack5tr.sh | Threat: malware_download | Tags: mirai,sh,ua-wget</t>
        </is>
      </c>
      <c r="D1128" s="187" t="n">
        <v>7.5</v>
      </c>
      <c r="E1128" s="187" t="inlineStr">
        <is>
          <t>HIGH</t>
        </is>
      </c>
      <c r="F1128" s="187" t="n">
        <v>3</v>
      </c>
      <c r="G1128" s="187" t="n">
        <v>2</v>
      </c>
      <c r="H1128" s="187" t="inlineStr">
        <is>
          <t>HIGH</t>
        </is>
      </c>
      <c r="I1128" s="187" t="n">
        <v>13.5</v>
      </c>
      <c r="J1128" s="187" t="inlineStr">
        <is>
          <t>NO</t>
        </is>
      </c>
      <c r="K1128" s="187" t="inlineStr">
        <is>
          <t>https://urlhaus.abuse.ch/url/3786982/</t>
        </is>
      </c>
      <c r="L1128" s="187" t="inlineStr">
        <is>
          <t>2026-02-27 17:25:17</t>
        </is>
      </c>
      <c r="M1128" s="187" t="inlineStr">
        <is>
          <t>Block URL</t>
        </is>
      </c>
      <c r="N1128" s="187" t="inlineStr">
        <is>
          <t>https://urlhaus.abuse.ch/url/3786982/</t>
        </is>
      </c>
      <c r="O1128" s="187" t="inlineStr">
        <is>
          <t>Block URL in proxy/firewall: http://103.116.52.44/jack5tr.sh</t>
        </is>
      </c>
      <c r="P1128" s="187" t="inlineStr">
        <is>
          <t>Network/Web Proxy</t>
        </is>
      </c>
      <c r="Q1128" s="187" t="inlineStr">
        <is>
          <t>P3</t>
        </is>
      </c>
      <c r="R1128" s="187" t="inlineStr">
        <is>
          <t>🚫 Block URLs in web proxy/firewall | 📧 Update email security filters | 👥 User awareness training recommended</t>
        </is>
      </c>
      <c r="S1128" s="187" t="inlineStr">
        <is>
          <t>URL IOC - check host IP separately</t>
        </is>
      </c>
      <c r="T1128" s="187" t="n">
        <v>0</v>
      </c>
      <c r="U1128" s="187" t="n">
        <v>0</v>
      </c>
      <c r="V1128" s="187" t="inlineStr">
        <is>
          <t>T1189:Drive-by Compromise | T1566:Phishing</t>
        </is>
      </c>
      <c r="W1128" s="187" t="n">
        <v>1</v>
      </c>
      <c r="X1128" s="187" t="inlineStr">
        <is>
          <t>LOW (40%)</t>
        </is>
      </c>
      <c r="Y1128" s="187" t="inlineStr">
        <is>
          <t>YES</t>
        </is>
      </c>
      <c r="Z1128" s="187" t="inlineStr">
        <is>
          <t>Block URL</t>
        </is>
      </c>
      <c r="AA1128" s="187" t="inlineStr">
        <is>
          <t>https://urlhaus.abuse.ch/url/3786982/</t>
        </is>
      </c>
      <c r="AB1128" s="187" t="inlineStr">
        <is>
          <t>NONE</t>
        </is>
      </c>
      <c r="AC1128" s="187" t="n">
        <v>0</v>
      </c>
      <c r="AD1128" s="187" t="inlineStr"/>
    </row>
    <row r="1129">
      <c r="A1129" s="187" t="inlineStr">
        <is>
          <t>MAL_URL</t>
        </is>
      </c>
      <c r="B1129" s="187" t="inlineStr">
        <is>
          <t>3786983</t>
        </is>
      </c>
      <c r="C1129" s="187" t="inlineStr">
        <is>
          <t>Malware Host [online]: http://103.116.52.44/abc1.sh | Threat: malware_download | Tags: mirai,sh,ua-wget</t>
        </is>
      </c>
      <c r="D1129" s="187" t="n">
        <v>7.5</v>
      </c>
      <c r="E1129" s="187" t="inlineStr">
        <is>
          <t>HIGH</t>
        </is>
      </c>
      <c r="F1129" s="187" t="n">
        <v>3</v>
      </c>
      <c r="G1129" s="187" t="n">
        <v>2</v>
      </c>
      <c r="H1129" s="187" t="inlineStr">
        <is>
          <t>HIGH</t>
        </is>
      </c>
      <c r="I1129" s="187" t="n">
        <v>13.5</v>
      </c>
      <c r="J1129" s="187" t="inlineStr">
        <is>
          <t>NO</t>
        </is>
      </c>
      <c r="K1129" s="187" t="inlineStr">
        <is>
          <t>https://urlhaus.abuse.ch/url/3786983/</t>
        </is>
      </c>
      <c r="L1129" s="187" t="inlineStr">
        <is>
          <t>2026-02-27 17:25:17</t>
        </is>
      </c>
      <c r="M1129" s="187" t="inlineStr">
        <is>
          <t>Block URL</t>
        </is>
      </c>
      <c r="N1129" s="187" t="inlineStr">
        <is>
          <t>https://urlhaus.abuse.ch/url/3786983/</t>
        </is>
      </c>
      <c r="O1129" s="187" t="inlineStr">
        <is>
          <t>Block URL in proxy/firewall: http://103.116.52.44/abc1.sh</t>
        </is>
      </c>
      <c r="P1129" s="187" t="inlineStr">
        <is>
          <t>Network/Web Proxy</t>
        </is>
      </c>
      <c r="Q1129" s="187" t="inlineStr">
        <is>
          <t>P3</t>
        </is>
      </c>
      <c r="R1129" s="187" t="inlineStr">
        <is>
          <t>🚫 Block URLs in web proxy/firewall | 📧 Update email security filters | 👥 User awareness training recommended</t>
        </is>
      </c>
      <c r="S1129" s="187" t="inlineStr">
        <is>
          <t>URL IOC - check host IP separately</t>
        </is>
      </c>
      <c r="T1129" s="187" t="n">
        <v>0</v>
      </c>
      <c r="U1129" s="187" t="n">
        <v>0</v>
      </c>
      <c r="V1129" s="187" t="inlineStr">
        <is>
          <t>T1189:Drive-by Compromise | T1566:Phishing</t>
        </is>
      </c>
      <c r="W1129" s="187" t="n">
        <v>1</v>
      </c>
      <c r="X1129" s="187" t="inlineStr">
        <is>
          <t>LOW (40%)</t>
        </is>
      </c>
      <c r="Y1129" s="187" t="inlineStr">
        <is>
          <t>YES</t>
        </is>
      </c>
      <c r="Z1129" s="187" t="inlineStr">
        <is>
          <t>Block URL</t>
        </is>
      </c>
      <c r="AA1129" s="187" t="inlineStr">
        <is>
          <t>https://urlhaus.abuse.ch/url/3786983/</t>
        </is>
      </c>
      <c r="AB1129" s="187" t="inlineStr">
        <is>
          <t>NONE</t>
        </is>
      </c>
      <c r="AC1129" s="187" t="n">
        <v>0</v>
      </c>
      <c r="AD1129" s="187" t="inlineStr"/>
    </row>
    <row r="1130">
      <c r="A1130" s="187" t="inlineStr">
        <is>
          <t>MAL_URL</t>
        </is>
      </c>
      <c r="B1130" s="187" t="inlineStr">
        <is>
          <t>3786984</t>
        </is>
      </c>
      <c r="C1130" s="187" t="inlineStr">
        <is>
          <t>Malware Host [online]: http://103.116.52.44/abc3.sh | Threat: malware_download | Tags: mirai,sh,ua-wget</t>
        </is>
      </c>
      <c r="D1130" s="187" t="n">
        <v>7.5</v>
      </c>
      <c r="E1130" s="187" t="inlineStr">
        <is>
          <t>HIGH</t>
        </is>
      </c>
      <c r="F1130" s="187" t="n">
        <v>3</v>
      </c>
      <c r="G1130" s="187" t="n">
        <v>2</v>
      </c>
      <c r="H1130" s="187" t="inlineStr">
        <is>
          <t>HIGH</t>
        </is>
      </c>
      <c r="I1130" s="187" t="n">
        <v>13.5</v>
      </c>
      <c r="J1130" s="187" t="inlineStr">
        <is>
          <t>NO</t>
        </is>
      </c>
      <c r="K1130" s="187" t="inlineStr">
        <is>
          <t>https://urlhaus.abuse.ch/url/3786984/</t>
        </is>
      </c>
      <c r="L1130" s="187" t="inlineStr">
        <is>
          <t>2026-02-27 17:25:17</t>
        </is>
      </c>
      <c r="M1130" s="187" t="inlineStr">
        <is>
          <t>Block URL</t>
        </is>
      </c>
      <c r="N1130" s="187" t="inlineStr">
        <is>
          <t>https://urlhaus.abuse.ch/url/3786984/</t>
        </is>
      </c>
      <c r="O1130" s="187" t="inlineStr">
        <is>
          <t>Block URL in proxy/firewall: http://103.116.52.44/abc3.sh</t>
        </is>
      </c>
      <c r="P1130" s="187" t="inlineStr">
        <is>
          <t>Network/Web Proxy</t>
        </is>
      </c>
      <c r="Q1130" s="187" t="inlineStr">
        <is>
          <t>P3</t>
        </is>
      </c>
      <c r="R1130" s="187" t="inlineStr">
        <is>
          <t>🚫 Block URLs in web proxy/firewall | 📧 Update email security filters | 👥 User awareness training recommended</t>
        </is>
      </c>
      <c r="S1130" s="187" t="inlineStr">
        <is>
          <t>URL IOC - check host IP separately</t>
        </is>
      </c>
      <c r="T1130" s="187" t="n">
        <v>0</v>
      </c>
      <c r="U1130" s="187" t="n">
        <v>0</v>
      </c>
      <c r="V1130" s="187" t="inlineStr">
        <is>
          <t>T1189:Drive-by Compromise | T1566:Phishing</t>
        </is>
      </c>
      <c r="W1130" s="187" t="n">
        <v>1</v>
      </c>
      <c r="X1130" s="187" t="inlineStr">
        <is>
          <t>LOW (40%)</t>
        </is>
      </c>
      <c r="Y1130" s="187" t="inlineStr">
        <is>
          <t>YES</t>
        </is>
      </c>
      <c r="Z1130" s="187" t="inlineStr">
        <is>
          <t>Block URL</t>
        </is>
      </c>
      <c r="AA1130" s="187" t="inlineStr">
        <is>
          <t>https://urlhaus.abuse.ch/url/3786984/</t>
        </is>
      </c>
      <c r="AB1130" s="187" t="inlineStr">
        <is>
          <t>NONE</t>
        </is>
      </c>
      <c r="AC1130" s="187" t="n">
        <v>0</v>
      </c>
      <c r="AD1130" s="187" t="inlineStr"/>
    </row>
    <row r="1131">
      <c r="A1131" s="187" t="inlineStr">
        <is>
          <t>MAL_URL</t>
        </is>
      </c>
      <c r="B1131" s="187" t="inlineStr">
        <is>
          <t>3786985</t>
        </is>
      </c>
      <c r="C1131" s="187" t="inlineStr">
        <is>
          <t>Malware Host [online]: http://103.116.52.44/abc2.sh | Threat: malware_download | Tags: mirai,sh,ua-wget</t>
        </is>
      </c>
      <c r="D1131" s="187" t="n">
        <v>7.5</v>
      </c>
      <c r="E1131" s="187" t="inlineStr">
        <is>
          <t>HIGH</t>
        </is>
      </c>
      <c r="F1131" s="187" t="n">
        <v>3</v>
      </c>
      <c r="G1131" s="187" t="n">
        <v>2</v>
      </c>
      <c r="H1131" s="187" t="inlineStr">
        <is>
          <t>HIGH</t>
        </is>
      </c>
      <c r="I1131" s="187" t="n">
        <v>13.5</v>
      </c>
      <c r="J1131" s="187" t="inlineStr">
        <is>
          <t>NO</t>
        </is>
      </c>
      <c r="K1131" s="187" t="inlineStr">
        <is>
          <t>https://urlhaus.abuse.ch/url/3786985/</t>
        </is>
      </c>
      <c r="L1131" s="187" t="inlineStr">
        <is>
          <t>2026-02-27 17:25:17</t>
        </is>
      </c>
      <c r="M1131" s="187" t="inlineStr">
        <is>
          <t>Block URL</t>
        </is>
      </c>
      <c r="N1131" s="187" t="inlineStr">
        <is>
          <t>https://urlhaus.abuse.ch/url/3786985/</t>
        </is>
      </c>
      <c r="O1131" s="187" t="inlineStr">
        <is>
          <t>Block URL in proxy/firewall: http://103.116.52.44/abc2.sh</t>
        </is>
      </c>
      <c r="P1131" s="187" t="inlineStr">
        <is>
          <t>Network/Web Proxy</t>
        </is>
      </c>
      <c r="Q1131" s="187" t="inlineStr">
        <is>
          <t>P3</t>
        </is>
      </c>
      <c r="R1131" s="187" t="inlineStr">
        <is>
          <t>🚫 Block URLs in web proxy/firewall | 📧 Update email security filters | 👥 User awareness training recommended</t>
        </is>
      </c>
      <c r="S1131" s="187" t="inlineStr">
        <is>
          <t>URL IOC - check host IP separately</t>
        </is>
      </c>
      <c r="T1131" s="187" t="n">
        <v>0</v>
      </c>
      <c r="U1131" s="187" t="n">
        <v>0</v>
      </c>
      <c r="V1131" s="187" t="inlineStr">
        <is>
          <t>T1189:Drive-by Compromise | T1566:Phishing</t>
        </is>
      </c>
      <c r="W1131" s="187" t="n">
        <v>1</v>
      </c>
      <c r="X1131" s="187" t="inlineStr">
        <is>
          <t>LOW (40%)</t>
        </is>
      </c>
      <c r="Y1131" s="187" t="inlineStr">
        <is>
          <t>YES</t>
        </is>
      </c>
      <c r="Z1131" s="187" t="inlineStr">
        <is>
          <t>Block URL</t>
        </is>
      </c>
      <c r="AA1131" s="187" t="inlineStr">
        <is>
          <t>https://urlhaus.abuse.ch/url/3786985/</t>
        </is>
      </c>
      <c r="AB1131" s="187" t="inlineStr">
        <is>
          <t>NONE</t>
        </is>
      </c>
      <c r="AC1131" s="187" t="n">
        <v>0</v>
      </c>
      <c r="AD1131" s="187" t="inlineStr"/>
    </row>
    <row r="1132">
      <c r="A1132" s="187" t="inlineStr">
        <is>
          <t>MAL_URL</t>
        </is>
      </c>
      <c r="B1132" s="187" t="inlineStr">
        <is>
          <t>3786981</t>
        </is>
      </c>
      <c r="C1132" s="187" t="inlineStr">
        <is>
          <t>Malware Host [online]: http://103.116.52.44/debug.dbg | Threat: malware_download | Tags: elf,mirai,ua-wget</t>
        </is>
      </c>
      <c r="D1132" s="187" t="n">
        <v>7.5</v>
      </c>
      <c r="E1132" s="187" t="inlineStr">
        <is>
          <t>HIGH</t>
        </is>
      </c>
      <c r="F1132" s="187" t="n">
        <v>3</v>
      </c>
      <c r="G1132" s="187" t="n">
        <v>2</v>
      </c>
      <c r="H1132" s="187" t="inlineStr">
        <is>
          <t>HIGH</t>
        </is>
      </c>
      <c r="I1132" s="187" t="n">
        <v>13.5</v>
      </c>
      <c r="J1132" s="187" t="inlineStr">
        <is>
          <t>NO</t>
        </is>
      </c>
      <c r="K1132" s="187" t="inlineStr">
        <is>
          <t>https://urlhaus.abuse.ch/url/3786981/</t>
        </is>
      </c>
      <c r="L1132" s="187" t="inlineStr">
        <is>
          <t>2026-02-27 17:25:16</t>
        </is>
      </c>
      <c r="M1132" s="187" t="inlineStr">
        <is>
          <t>Block URL</t>
        </is>
      </c>
      <c r="N1132" s="187" t="inlineStr">
        <is>
          <t>https://urlhaus.abuse.ch/url/3786981/</t>
        </is>
      </c>
      <c r="O1132" s="187" t="inlineStr">
        <is>
          <t>Block URL in proxy/firewall: http://103.116.52.44/debug.dbg</t>
        </is>
      </c>
      <c r="P1132" s="187" t="inlineStr">
        <is>
          <t>Network/Web Proxy</t>
        </is>
      </c>
      <c r="Q1132" s="187" t="inlineStr">
        <is>
          <t>P3</t>
        </is>
      </c>
      <c r="R1132" s="187" t="inlineStr">
        <is>
          <t>🚫 Block URLs in web proxy/firewall | 📧 Update email security filters | 👥 User awareness training recommended</t>
        </is>
      </c>
      <c r="S1132" s="187" t="inlineStr">
        <is>
          <t>URL IOC - check host IP separately</t>
        </is>
      </c>
      <c r="T1132" s="187" t="n">
        <v>0</v>
      </c>
      <c r="U1132" s="187" t="n">
        <v>0</v>
      </c>
      <c r="V1132" s="187" t="inlineStr">
        <is>
          <t>T1189:Drive-by Compromise | T1566:Phishing</t>
        </is>
      </c>
      <c r="W1132" s="187" t="n">
        <v>1</v>
      </c>
      <c r="X1132" s="187" t="inlineStr">
        <is>
          <t>LOW (40%)</t>
        </is>
      </c>
      <c r="Y1132" s="187" t="inlineStr">
        <is>
          <t>YES</t>
        </is>
      </c>
      <c r="Z1132" s="187" t="inlineStr">
        <is>
          <t>Block URL</t>
        </is>
      </c>
      <c r="AA1132" s="187" t="inlineStr">
        <is>
          <t>https://urlhaus.abuse.ch/url/3786981/</t>
        </is>
      </c>
      <c r="AB1132" s="187" t="inlineStr">
        <is>
          <t>NONE</t>
        </is>
      </c>
      <c r="AC1132" s="187" t="n">
        <v>0</v>
      </c>
      <c r="AD1132" s="187" t="inlineStr"/>
    </row>
    <row r="1133">
      <c r="A1133" s="187" t="inlineStr">
        <is>
          <t>MAL_URL</t>
        </is>
      </c>
      <c r="B1133" s="187" t="inlineStr">
        <is>
          <t>3786980</t>
        </is>
      </c>
      <c r="C1133" s="187" t="inlineStr">
        <is>
          <t>Malware Host [online]: https://eyasinarafat.com/wp-admin/js/opkarig.txt | Threat: malware_download | Tags: ascii,PhantomStealer</t>
        </is>
      </c>
      <c r="D1133" s="187" t="n">
        <v>7.5</v>
      </c>
      <c r="E1133" s="187" t="inlineStr">
        <is>
          <t>HIGH</t>
        </is>
      </c>
      <c r="F1133" s="187" t="n">
        <v>3</v>
      </c>
      <c r="G1133" s="187" t="n">
        <v>2</v>
      </c>
      <c r="H1133" s="187" t="inlineStr">
        <is>
          <t>HIGH</t>
        </is>
      </c>
      <c r="I1133" s="187" t="n">
        <v>13.5</v>
      </c>
      <c r="J1133" s="187" t="inlineStr">
        <is>
          <t>NO</t>
        </is>
      </c>
      <c r="K1133" s="187" t="inlineStr">
        <is>
          <t>https://urlhaus.abuse.ch/url/3786980/</t>
        </is>
      </c>
      <c r="L1133" s="187" t="inlineStr">
        <is>
          <t>2026-02-27 17:25:09</t>
        </is>
      </c>
      <c r="M1133" s="187" t="inlineStr">
        <is>
          <t>Block URL</t>
        </is>
      </c>
      <c r="N1133" s="187" t="inlineStr">
        <is>
          <t>https://urlhaus.abuse.ch/url/3786980/</t>
        </is>
      </c>
      <c r="O1133" s="187" t="inlineStr">
        <is>
          <t>Block URL in proxy/firewall: https://eyasinarafat.com/wp-admin/js/opkarig.txt</t>
        </is>
      </c>
      <c r="P1133" s="187" t="inlineStr">
        <is>
          <t>Network/Web Proxy</t>
        </is>
      </c>
      <c r="Q1133" s="187" t="inlineStr">
        <is>
          <t>P3</t>
        </is>
      </c>
      <c r="R1133" s="187" t="inlineStr">
        <is>
          <t>🚫 Block URLs in web proxy/firewall | 📧 Update email security filters | 👥 User awareness training recommended</t>
        </is>
      </c>
      <c r="S1133" s="187" t="inlineStr">
        <is>
          <t>URL IOC - check host IP separately</t>
        </is>
      </c>
      <c r="T1133" s="187" t="n">
        <v>0</v>
      </c>
      <c r="U1133" s="187" t="n">
        <v>0</v>
      </c>
      <c r="V1133" s="187" t="inlineStr">
        <is>
          <t>T1189:Drive-by Compromise | T1566:Phishing</t>
        </is>
      </c>
      <c r="W1133" s="187" t="n">
        <v>1</v>
      </c>
      <c r="X1133" s="187" t="inlineStr">
        <is>
          <t>LOW (40%)</t>
        </is>
      </c>
      <c r="Y1133" s="187" t="inlineStr">
        <is>
          <t>YES</t>
        </is>
      </c>
      <c r="Z1133" s="187" t="inlineStr">
        <is>
          <t>Block URL</t>
        </is>
      </c>
      <c r="AA1133" s="187" t="inlineStr">
        <is>
          <t>https://urlhaus.abuse.ch/url/3786980/</t>
        </is>
      </c>
      <c r="AB1133" s="187" t="inlineStr">
        <is>
          <t>NONE</t>
        </is>
      </c>
      <c r="AC1133" s="187" t="n">
        <v>0</v>
      </c>
      <c r="AD1133" s="187" t="inlineStr"/>
    </row>
    <row r="1134">
      <c r="A1134" s="187" t="inlineStr">
        <is>
          <t>MAL_URL</t>
        </is>
      </c>
      <c r="B1134" s="187" t="inlineStr">
        <is>
          <t>3786979</t>
        </is>
      </c>
      <c r="C1134" s="187" t="inlineStr">
        <is>
          <t>Malware Host [online]: http://42.231.92.19:51879/i | Threat: malware_download | Tags: 32-bit,elf,mips,Mozi</t>
        </is>
      </c>
      <c r="D1134" s="187" t="n">
        <v>7.5</v>
      </c>
      <c r="E1134" s="187" t="inlineStr">
        <is>
          <t>HIGH</t>
        </is>
      </c>
      <c r="F1134" s="187" t="n">
        <v>3</v>
      </c>
      <c r="G1134" s="187" t="n">
        <v>2</v>
      </c>
      <c r="H1134" s="187" t="inlineStr">
        <is>
          <t>HIGH</t>
        </is>
      </c>
      <c r="I1134" s="187" t="n">
        <v>13.5</v>
      </c>
      <c r="J1134" s="187" t="inlineStr">
        <is>
          <t>NO</t>
        </is>
      </c>
      <c r="K1134" s="187" t="inlineStr">
        <is>
          <t>https://urlhaus.abuse.ch/url/3786979/</t>
        </is>
      </c>
      <c r="L1134" s="187" t="inlineStr">
        <is>
          <t>2026-02-27 17:24:18</t>
        </is>
      </c>
      <c r="M1134" s="187" t="inlineStr">
        <is>
          <t>Block URL</t>
        </is>
      </c>
      <c r="N1134" s="187" t="inlineStr">
        <is>
          <t>https://urlhaus.abuse.ch/url/3786979/</t>
        </is>
      </c>
      <c r="O1134" s="187" t="inlineStr">
        <is>
          <t>Block URL in proxy/firewall: http://42.231.92.19:51879/i</t>
        </is>
      </c>
      <c r="P1134" s="187" t="inlineStr">
        <is>
          <t>Network/Web Proxy</t>
        </is>
      </c>
      <c r="Q1134" s="187" t="inlineStr">
        <is>
          <t>P3</t>
        </is>
      </c>
      <c r="R1134" s="187" t="inlineStr">
        <is>
          <t>🚫 Block URLs in web proxy/firewall | 📧 Update email security filters | 👥 User awareness training recommended</t>
        </is>
      </c>
      <c r="S1134" s="187" t="inlineStr">
        <is>
          <t>URL IOC - check host IP separately</t>
        </is>
      </c>
      <c r="T1134" s="187" t="n">
        <v>0</v>
      </c>
      <c r="U1134" s="187" t="n">
        <v>0</v>
      </c>
      <c r="V1134" s="187" t="inlineStr">
        <is>
          <t>T1189:Drive-by Compromise | T1566:Phishing</t>
        </is>
      </c>
      <c r="W1134" s="187" t="n">
        <v>1</v>
      </c>
      <c r="X1134" s="187" t="inlineStr">
        <is>
          <t>LOW (40%)</t>
        </is>
      </c>
      <c r="Y1134" s="187" t="inlineStr">
        <is>
          <t>YES</t>
        </is>
      </c>
      <c r="Z1134" s="187" t="inlineStr">
        <is>
          <t>Block URL</t>
        </is>
      </c>
      <c r="AA1134" s="187" t="inlineStr">
        <is>
          <t>https://urlhaus.abuse.ch/url/3786979/</t>
        </is>
      </c>
      <c r="AB1134" s="187" t="inlineStr">
        <is>
          <t>NONE</t>
        </is>
      </c>
      <c r="AC1134" s="187" t="n">
        <v>0</v>
      </c>
      <c r="AD1134" s="187" t="inlineStr"/>
    </row>
    <row r="1135">
      <c r="A1135" s="187" t="inlineStr">
        <is>
          <t>MAL_URL</t>
        </is>
      </c>
      <c r="B1135" s="187" t="inlineStr">
        <is>
          <t>3786977</t>
        </is>
      </c>
      <c r="C1135" s="187" t="inlineStr">
        <is>
          <t>Malware Host [offline]: https://pastefy.app/sLC7Jpkp/raw | Threat: malware_download | Tags: VIPKeylogger</t>
        </is>
      </c>
      <c r="D1135" s="187" t="n">
        <v>7.5</v>
      </c>
      <c r="E1135" s="187" t="inlineStr">
        <is>
          <t>HIGH</t>
        </is>
      </c>
      <c r="F1135" s="187" t="n">
        <v>3</v>
      </c>
      <c r="G1135" s="187" t="n">
        <v>2</v>
      </c>
      <c r="H1135" s="187" t="inlineStr">
        <is>
          <t>HIGH</t>
        </is>
      </c>
      <c r="I1135" s="187" t="n">
        <v>13.5</v>
      </c>
      <c r="J1135" s="187" t="inlineStr">
        <is>
          <t>NO</t>
        </is>
      </c>
      <c r="K1135" s="187" t="inlineStr">
        <is>
          <t>https://urlhaus.abuse.ch/url/3786977/</t>
        </is>
      </c>
      <c r="L1135" s="187" t="inlineStr">
        <is>
          <t>2026-02-27 17:23:11</t>
        </is>
      </c>
      <c r="M1135" s="187" t="inlineStr">
        <is>
          <t>Block URL</t>
        </is>
      </c>
      <c r="N1135" s="187" t="inlineStr">
        <is>
          <t>https://urlhaus.abuse.ch/url/3786977/</t>
        </is>
      </c>
      <c r="O1135" s="187" t="inlineStr">
        <is>
          <t>Block URL in proxy/firewall: https://pastefy.app/sLC7Jpkp/raw</t>
        </is>
      </c>
      <c r="P1135" s="187" t="inlineStr">
        <is>
          <t>Network/Web Proxy</t>
        </is>
      </c>
      <c r="Q1135" s="187" t="inlineStr">
        <is>
          <t>P3</t>
        </is>
      </c>
      <c r="R1135" s="187" t="inlineStr">
        <is>
          <t>🚫 Block URLs in web proxy/firewall | 📧 Update email security filters | 👥 User awareness training recommended</t>
        </is>
      </c>
      <c r="S1135" s="187" t="inlineStr">
        <is>
          <t>URL IOC - check host IP separately</t>
        </is>
      </c>
      <c r="T1135" s="187" t="n">
        <v>0</v>
      </c>
      <c r="U1135" s="187" t="n">
        <v>0</v>
      </c>
      <c r="V1135" s="187" t="inlineStr">
        <is>
          <t>T1189:Drive-by Compromise | T1566:Phishing</t>
        </is>
      </c>
      <c r="W1135" s="187" t="n">
        <v>1</v>
      </c>
      <c r="X1135" s="187" t="inlineStr">
        <is>
          <t>LOW (40%)</t>
        </is>
      </c>
      <c r="Y1135" s="187" t="inlineStr">
        <is>
          <t>YES</t>
        </is>
      </c>
      <c r="Z1135" s="187" t="inlineStr">
        <is>
          <t>Block URL</t>
        </is>
      </c>
      <c r="AA1135" s="187" t="inlineStr">
        <is>
          <t>https://urlhaus.abuse.ch/url/3786977/</t>
        </is>
      </c>
      <c r="AB1135" s="187" t="inlineStr">
        <is>
          <t>NONE</t>
        </is>
      </c>
      <c r="AC1135" s="187" t="n">
        <v>0</v>
      </c>
      <c r="AD1135" s="187" t="inlineStr"/>
    </row>
    <row r="1136">
      <c r="A1136" s="187" t="inlineStr">
        <is>
          <t>MAL_URL</t>
        </is>
      </c>
      <c r="B1136" s="187" t="inlineStr">
        <is>
          <t>3786978</t>
        </is>
      </c>
      <c r="C1136" s="187" t="inlineStr">
        <is>
          <t>Malware Host [online]: http://fil.ydns.eu/wkijh/FnIeaoI.txt | Threat: malware_download | Tags: VIPKeylogger</t>
        </is>
      </c>
      <c r="D1136" s="187" t="n">
        <v>7.5</v>
      </c>
      <c r="E1136" s="187" t="inlineStr">
        <is>
          <t>HIGH</t>
        </is>
      </c>
      <c r="F1136" s="187" t="n">
        <v>3</v>
      </c>
      <c r="G1136" s="187" t="n">
        <v>2</v>
      </c>
      <c r="H1136" s="187" t="inlineStr">
        <is>
          <t>HIGH</t>
        </is>
      </c>
      <c r="I1136" s="187" t="n">
        <v>13.5</v>
      </c>
      <c r="J1136" s="187" t="inlineStr">
        <is>
          <t>NO</t>
        </is>
      </c>
      <c r="K1136" s="187" t="inlineStr">
        <is>
          <t>https://urlhaus.abuse.ch/url/3786978/</t>
        </is>
      </c>
      <c r="L1136" s="187" t="inlineStr">
        <is>
          <t>2026-02-27 17:23:11</t>
        </is>
      </c>
      <c r="M1136" s="187" t="inlineStr">
        <is>
          <t>Block URL</t>
        </is>
      </c>
      <c r="N1136" s="187" t="inlineStr">
        <is>
          <t>https://urlhaus.abuse.ch/url/3786978/</t>
        </is>
      </c>
      <c r="O1136" s="187" t="inlineStr">
        <is>
          <t>Block URL in proxy/firewall: http://fil.ydns.eu/wkijh/FnIeaoI.txt</t>
        </is>
      </c>
      <c r="P1136" s="187" t="inlineStr">
        <is>
          <t>Network/Web Proxy</t>
        </is>
      </c>
      <c r="Q1136" s="187" t="inlineStr">
        <is>
          <t>P3</t>
        </is>
      </c>
      <c r="R1136" s="187" t="inlineStr">
        <is>
          <t>🚫 Block URLs in web proxy/firewall | 📧 Update email security filters | 👥 User awareness training recommended</t>
        </is>
      </c>
      <c r="S1136" s="187" t="inlineStr">
        <is>
          <t>URL IOC - check host IP separately</t>
        </is>
      </c>
      <c r="T1136" s="187" t="n">
        <v>0</v>
      </c>
      <c r="U1136" s="187" t="n">
        <v>0</v>
      </c>
      <c r="V1136" s="187" t="inlineStr">
        <is>
          <t>T1189:Drive-by Compromise | T1566:Phishing</t>
        </is>
      </c>
      <c r="W1136" s="187" t="n">
        <v>1</v>
      </c>
      <c r="X1136" s="187" t="inlineStr">
        <is>
          <t>LOW (40%)</t>
        </is>
      </c>
      <c r="Y1136" s="187" t="inlineStr">
        <is>
          <t>YES</t>
        </is>
      </c>
      <c r="Z1136" s="187" t="inlineStr">
        <is>
          <t>Block URL</t>
        </is>
      </c>
      <c r="AA1136" s="187" t="inlineStr">
        <is>
          <t>https://urlhaus.abuse.ch/url/3786978/</t>
        </is>
      </c>
      <c r="AB1136" s="187" t="inlineStr">
        <is>
          <t>NONE</t>
        </is>
      </c>
      <c r="AC1136" s="187" t="n">
        <v>0</v>
      </c>
      <c r="AD1136" s="187" t="inlineStr"/>
    </row>
    <row r="1137">
      <c r="A1137" s="187" t="inlineStr">
        <is>
          <t>MAL_URL</t>
        </is>
      </c>
      <c r="B1137" s="187" t="inlineStr">
        <is>
          <t>3786976</t>
        </is>
      </c>
      <c r="C1137" s="187" t="inlineStr">
        <is>
          <t>Malware Host [offline]: https://yaso.su/raw/UpxC8OJX | Threat: malware_download | Tags: VIPKeylogger</t>
        </is>
      </c>
      <c r="D1137" s="187" t="n">
        <v>7.5</v>
      </c>
      <c r="E1137" s="187" t="inlineStr">
        <is>
          <t>HIGH</t>
        </is>
      </c>
      <c r="F1137" s="187" t="n">
        <v>3</v>
      </c>
      <c r="G1137" s="187" t="n">
        <v>2</v>
      </c>
      <c r="H1137" s="187" t="inlineStr">
        <is>
          <t>HIGH</t>
        </is>
      </c>
      <c r="I1137" s="187" t="n">
        <v>13.5</v>
      </c>
      <c r="J1137" s="187" t="inlineStr">
        <is>
          <t>NO</t>
        </is>
      </c>
      <c r="K1137" s="187" t="inlineStr">
        <is>
          <t>https://urlhaus.abuse.ch/url/3786976/</t>
        </is>
      </c>
      <c r="L1137" s="187" t="inlineStr">
        <is>
          <t>2026-02-27 17:23:10</t>
        </is>
      </c>
      <c r="M1137" s="187" t="inlineStr">
        <is>
          <t>Block URL</t>
        </is>
      </c>
      <c r="N1137" s="187" t="inlineStr">
        <is>
          <t>https://urlhaus.abuse.ch/url/3786976/</t>
        </is>
      </c>
      <c r="O1137" s="187" t="inlineStr">
        <is>
          <t>Block URL in proxy/firewall: https://yaso.su/raw/UpxC8OJX</t>
        </is>
      </c>
      <c r="P1137" s="187" t="inlineStr">
        <is>
          <t>Network/Web Proxy</t>
        </is>
      </c>
      <c r="Q1137" s="187" t="inlineStr">
        <is>
          <t>P3</t>
        </is>
      </c>
      <c r="R1137" s="187" t="inlineStr">
        <is>
          <t>🚫 Block URLs in web proxy/firewall | 📧 Update email security filters | 👥 User awareness training recommended</t>
        </is>
      </c>
      <c r="S1137" s="187" t="inlineStr">
        <is>
          <t>URL IOC - check host IP separately</t>
        </is>
      </c>
      <c r="T1137" s="187" t="n">
        <v>0</v>
      </c>
      <c r="U1137" s="187" t="n">
        <v>0</v>
      </c>
      <c r="V1137" s="187" t="inlineStr">
        <is>
          <t>T1189:Drive-by Compromise | T1566:Phishing</t>
        </is>
      </c>
      <c r="W1137" s="187" t="n">
        <v>1</v>
      </c>
      <c r="X1137" s="187" t="inlineStr">
        <is>
          <t>LOW (40%)</t>
        </is>
      </c>
      <c r="Y1137" s="187" t="inlineStr">
        <is>
          <t>YES</t>
        </is>
      </c>
      <c r="Z1137" s="187" t="inlineStr">
        <is>
          <t>Block URL</t>
        </is>
      </c>
      <c r="AA1137" s="187" t="inlineStr">
        <is>
          <t>https://urlhaus.abuse.ch/url/3786976/</t>
        </is>
      </c>
      <c r="AB1137" s="187" t="inlineStr">
        <is>
          <t>NONE</t>
        </is>
      </c>
      <c r="AC1137" s="187" t="n">
        <v>0</v>
      </c>
      <c r="AD1137" s="187" t="inlineStr"/>
    </row>
    <row r="1138">
      <c r="A1138" s="188" t="inlineStr">
        <is>
          <t>PHISH</t>
        </is>
      </c>
      <c r="B1138" s="188" t="inlineStr"/>
      <c r="C1138" s="188" t="inlineStr">
        <is>
          <t>Phishing site targeting: www.re11133.vercel.app | URL: http://www.re11133.vercel.app/</t>
        </is>
      </c>
      <c r="D1138" s="188" t="n">
        <v>6</v>
      </c>
      <c r="E1138" s="188" t="inlineStr">
        <is>
          <t>MEDIUM</t>
        </is>
      </c>
      <c r="F1138" s="188" t="n">
        <v>3</v>
      </c>
      <c r="G1138" s="188" t="n">
        <v>1</v>
      </c>
      <c r="H1138" s="188" t="inlineStr">
        <is>
          <t>MEDIUM</t>
        </is>
      </c>
      <c r="I1138" s="188" t="n">
        <v>9</v>
      </c>
      <c r="J1138" s="188" t="inlineStr">
        <is>
          <t>NO</t>
        </is>
      </c>
      <c r="K1138" s="188" t="inlineStr">
        <is>
          <t>http://www.re11133.vercel.app/</t>
        </is>
      </c>
      <c r="L1138" s="188" t="inlineStr">
        <is>
          <t>2026-02-27T18:17:32+00:00</t>
        </is>
      </c>
      <c r="M1138" s="188" t="inlineStr">
        <is>
          <t>Block URL</t>
        </is>
      </c>
      <c r="N1138" s="188" t="inlineStr">
        <is>
          <t>http://www.re11133.vercel.app/</t>
        </is>
      </c>
      <c r="O1138" s="188" t="inlineStr">
        <is>
          <t>Block phishing URL | Warn users about www.re11133.vercel.app impersonation</t>
        </is>
      </c>
      <c r="P1138" s="188" t="inlineStr">
        <is>
          <t>Email users / www.re11133.vercel.app</t>
        </is>
      </c>
      <c r="Q1138" s="188" t="inlineStr">
        <is>
          <t>P4</t>
        </is>
      </c>
      <c r="R1138" s="188" t="inlineStr">
        <is>
          <t>🚫 Block URLs in web proxy/firewall | 📧 Update email security filters | 👥 User awareness training recommended</t>
        </is>
      </c>
      <c r="S1138" s="188" t="inlineStr">
        <is>
          <t>Phishing URL</t>
        </is>
      </c>
      <c r="T1138" s="188" t="n">
        <v>0</v>
      </c>
      <c r="U1138" s="188" t="n">
        <v>0</v>
      </c>
      <c r="V1138" s="188" t="inlineStr">
        <is>
          <t>T1566:Phishing | T1566.002:Spearphishing Link</t>
        </is>
      </c>
      <c r="W1138" s="188" t="n">
        <v>1</v>
      </c>
      <c r="X1138" s="188" t="inlineStr">
        <is>
          <t>LOW (40%)</t>
        </is>
      </c>
      <c r="Y1138" s="188" t="inlineStr">
        <is>
          <t>NONE</t>
        </is>
      </c>
      <c r="Z1138" s="188" t="inlineStr">
        <is>
          <t>NONE</t>
        </is>
      </c>
      <c r="AA1138" s="188" t="inlineStr">
        <is>
          <t>http://www.re11133.vercel.app/</t>
        </is>
      </c>
      <c r="AB1138" s="188" t="inlineStr">
        <is>
          <t>NONE</t>
        </is>
      </c>
      <c r="AC1138" s="188" t="n">
        <v>0</v>
      </c>
      <c r="AD1138" s="188" t="inlineStr"/>
    </row>
    <row r="1139">
      <c r="A1139" s="188" t="inlineStr">
        <is>
          <t>PHISH</t>
        </is>
      </c>
      <c r="B1139" s="188" t="inlineStr"/>
      <c r="C1139" s="188" t="inlineStr">
        <is>
          <t>Phishing site targeting: admin2.ondoc.co.kr | URL: https://admin2.ondoc.co.kr/vxgo4kiuum3baoChromepublicfari537.html?eta=3mail@a.b.c0</t>
        </is>
      </c>
      <c r="D1139" s="188" t="n">
        <v>6</v>
      </c>
      <c r="E1139" s="188" t="inlineStr">
        <is>
          <t>MEDIUM</t>
        </is>
      </c>
      <c r="F1139" s="188" t="n">
        <v>3</v>
      </c>
      <c r="G1139" s="188" t="n">
        <v>1</v>
      </c>
      <c r="H1139" s="188" t="inlineStr">
        <is>
          <t>MEDIUM</t>
        </is>
      </c>
      <c r="I1139" s="188" t="n">
        <v>9</v>
      </c>
      <c r="J1139" s="188" t="inlineStr">
        <is>
          <t>NO</t>
        </is>
      </c>
      <c r="K1139" s="188" t="inlineStr">
        <is>
          <t>https://admin2.ondoc.co.kr/vxgo4kiuum3baoChromepublicfari537.html?eta=3mail@a.b.c0</t>
        </is>
      </c>
      <c r="L1139" s="188" t="inlineStr">
        <is>
          <t>2026-02-27T18:17:32+00:00</t>
        </is>
      </c>
      <c r="M1139" s="188" t="inlineStr">
        <is>
          <t>Block URL</t>
        </is>
      </c>
      <c r="N1139" s="188" t="inlineStr">
        <is>
          <t>https://admin2.ondoc.co.kr/vxgo4kiuum3baoChromepublicfari537.html?eta=3mail@a.b.c0</t>
        </is>
      </c>
      <c r="O1139" s="188" t="inlineStr">
        <is>
          <t>Block phishing URL | Warn users about admin2.ondoc.co.kr impersonation</t>
        </is>
      </c>
      <c r="P1139" s="188" t="inlineStr">
        <is>
          <t>Email users / admin2.ondoc.co.kr</t>
        </is>
      </c>
      <c r="Q1139" s="188" t="inlineStr">
        <is>
          <t>P4</t>
        </is>
      </c>
      <c r="R1139" s="188" t="inlineStr">
        <is>
          <t>🚫 Block URLs in web proxy/firewall | 📧 Update email security filters | 👥 User awareness training recommended</t>
        </is>
      </c>
      <c r="S1139" s="188" t="inlineStr">
        <is>
          <t>Phishing URL</t>
        </is>
      </c>
      <c r="T1139" s="188" t="n">
        <v>0</v>
      </c>
      <c r="U1139" s="188" t="n">
        <v>0</v>
      </c>
      <c r="V1139" s="188" t="inlineStr">
        <is>
          <t>T1566:Phishing | T1566.002:Spearphishing Link</t>
        </is>
      </c>
      <c r="W1139" s="188" t="n">
        <v>1</v>
      </c>
      <c r="X1139" s="188" t="inlineStr">
        <is>
          <t>LOW (40%)</t>
        </is>
      </c>
      <c r="Y1139" s="188" t="inlineStr">
        <is>
          <t>NONE</t>
        </is>
      </c>
      <c r="Z1139" s="188" t="inlineStr">
        <is>
          <t>NONE</t>
        </is>
      </c>
      <c r="AA1139" s="188" t="inlineStr">
        <is>
          <t>https://admin2.ondoc.co.kr/vxgo4kiuum3baoChromepublicfari537.html?eta=3mail@a.b.c0</t>
        </is>
      </c>
      <c r="AB1139" s="188" t="inlineStr">
        <is>
          <t>NONE</t>
        </is>
      </c>
      <c r="AC1139" s="188" t="n">
        <v>0</v>
      </c>
      <c r="AD1139" s="188" t="inlineStr"/>
    </row>
    <row r="1140">
      <c r="A1140" s="188" t="inlineStr">
        <is>
          <t>PHISH</t>
        </is>
      </c>
      <c r="B1140" s="188" t="inlineStr"/>
      <c r="C1140" s="188" t="inlineStr">
        <is>
          <t>Phishing site targeting: pub-8c1be1f2764c443096fe5ba20d7802b5.r2.dev | URL: http://pub-8c1be1f2764c443096fe5ba20d7802b5.r2.dev/index.html</t>
        </is>
      </c>
      <c r="D1140" s="188" t="n">
        <v>6</v>
      </c>
      <c r="E1140" s="188" t="inlineStr">
        <is>
          <t>MEDIUM</t>
        </is>
      </c>
      <c r="F1140" s="188" t="n">
        <v>3</v>
      </c>
      <c r="G1140" s="188" t="n">
        <v>1</v>
      </c>
      <c r="H1140" s="188" t="inlineStr">
        <is>
          <t>MEDIUM</t>
        </is>
      </c>
      <c r="I1140" s="188" t="n">
        <v>9</v>
      </c>
      <c r="J1140" s="188" t="inlineStr">
        <is>
          <t>NO</t>
        </is>
      </c>
      <c r="K1140" s="188" t="inlineStr">
        <is>
          <t>http://pub-8c1be1f2764c443096fe5ba20d7802b5.r2.dev/index.html</t>
        </is>
      </c>
      <c r="L1140" s="188" t="inlineStr">
        <is>
          <t>2026-02-27T18:17:32+00:00</t>
        </is>
      </c>
      <c r="M1140" s="188" t="inlineStr">
        <is>
          <t>Block URL</t>
        </is>
      </c>
      <c r="N1140" s="188" t="inlineStr">
        <is>
          <t>http://pub-8c1be1f2764c443096fe5ba20d7802b5.r2.dev/index.html</t>
        </is>
      </c>
      <c r="O1140" s="188" t="inlineStr">
        <is>
          <t>Block phishing URL | Warn users about pub-8c1be1f2764c443096fe5ba20d7802b5.r2.dev impersonation</t>
        </is>
      </c>
      <c r="P1140" s="188" t="inlineStr">
        <is>
          <t>Email users / pub-8c1be1f2764c443096fe5ba20d7802b5.r2.dev</t>
        </is>
      </c>
      <c r="Q1140" s="188" t="inlineStr">
        <is>
          <t>P4</t>
        </is>
      </c>
      <c r="R1140" s="188" t="inlineStr">
        <is>
          <t>🚫 Block URLs in web proxy/firewall | 📧 Update email security filters | 👥 User awareness training recommended</t>
        </is>
      </c>
      <c r="S1140" s="188" t="inlineStr">
        <is>
          <t>Phishing URL</t>
        </is>
      </c>
      <c r="T1140" s="188" t="n">
        <v>0</v>
      </c>
      <c r="U1140" s="188" t="n">
        <v>0</v>
      </c>
      <c r="V1140" s="188" t="inlineStr">
        <is>
          <t>T1566:Phishing | T1566.002:Spearphishing Link</t>
        </is>
      </c>
      <c r="W1140" s="188" t="n">
        <v>1</v>
      </c>
      <c r="X1140" s="188" t="inlineStr">
        <is>
          <t>LOW (40%)</t>
        </is>
      </c>
      <c r="Y1140" s="188" t="inlineStr">
        <is>
          <t>NONE</t>
        </is>
      </c>
      <c r="Z1140" s="188" t="inlineStr">
        <is>
          <t>NONE</t>
        </is>
      </c>
      <c r="AA1140" s="188" t="inlineStr">
        <is>
          <t>http://pub-8c1be1f2764c443096fe5ba20d7802b5.r2.dev/index.html</t>
        </is>
      </c>
      <c r="AB1140" s="188" t="inlineStr">
        <is>
          <t>NONE</t>
        </is>
      </c>
      <c r="AC1140" s="188" t="n">
        <v>0</v>
      </c>
      <c r="AD1140" s="188" t="inlineStr"/>
    </row>
    <row r="1141">
      <c r="A1141" s="188" t="inlineStr">
        <is>
          <t>PHISH</t>
        </is>
      </c>
      <c r="B1141" s="188" t="inlineStr"/>
      <c r="C1141" s="188" t="inlineStr">
        <is>
          <t>Phishing site targeting: www.airbnb-demo-jade.vercel.app | URL: http://www.airbnb-demo-jade.vercel.app/</t>
        </is>
      </c>
      <c r="D1141" s="188" t="n">
        <v>6</v>
      </c>
      <c r="E1141" s="188" t="inlineStr">
        <is>
          <t>MEDIUM</t>
        </is>
      </c>
      <c r="F1141" s="188" t="n">
        <v>3</v>
      </c>
      <c r="G1141" s="188" t="n">
        <v>1</v>
      </c>
      <c r="H1141" s="188" t="inlineStr">
        <is>
          <t>MEDIUM</t>
        </is>
      </c>
      <c r="I1141" s="188" t="n">
        <v>9</v>
      </c>
      <c r="J1141" s="188" t="inlineStr">
        <is>
          <t>NO</t>
        </is>
      </c>
      <c r="K1141" s="188" t="inlineStr">
        <is>
          <t>http://www.airbnb-demo-jade.vercel.app/</t>
        </is>
      </c>
      <c r="L1141" s="188" t="inlineStr">
        <is>
          <t>2026-02-27T18:17:32+00:00</t>
        </is>
      </c>
      <c r="M1141" s="188" t="inlineStr">
        <is>
          <t>Block URL</t>
        </is>
      </c>
      <c r="N1141" s="188" t="inlineStr">
        <is>
          <t>http://www.airbnb-demo-jade.vercel.app/</t>
        </is>
      </c>
      <c r="O1141" s="188" t="inlineStr">
        <is>
          <t>Block phishing URL | Warn users about www.airbnb-demo-jade.vercel.app impersonation</t>
        </is>
      </c>
      <c r="P1141" s="188" t="inlineStr">
        <is>
          <t>Email users / www.airbnb-demo-jade.vercel.app</t>
        </is>
      </c>
      <c r="Q1141" s="188" t="inlineStr">
        <is>
          <t>P4</t>
        </is>
      </c>
      <c r="R1141" s="188" t="inlineStr">
        <is>
          <t>🚫 Block URLs in web proxy/firewall | 📧 Update email security filters | 👥 User awareness training recommended</t>
        </is>
      </c>
      <c r="S1141" s="188" t="inlineStr">
        <is>
          <t>Phishing URL</t>
        </is>
      </c>
      <c r="T1141" s="188" t="n">
        <v>0</v>
      </c>
      <c r="U1141" s="188" t="n">
        <v>0</v>
      </c>
      <c r="V1141" s="188" t="inlineStr">
        <is>
          <t>T1566:Phishing | T1566.002:Spearphishing Link</t>
        </is>
      </c>
      <c r="W1141" s="188" t="n">
        <v>1</v>
      </c>
      <c r="X1141" s="188" t="inlineStr">
        <is>
          <t>LOW (40%)</t>
        </is>
      </c>
      <c r="Y1141" s="188" t="inlineStr">
        <is>
          <t>NONE</t>
        </is>
      </c>
      <c r="Z1141" s="188" t="inlineStr">
        <is>
          <t>NONE</t>
        </is>
      </c>
      <c r="AA1141" s="188" t="inlineStr">
        <is>
          <t>http://www.airbnb-demo-jade.vercel.app/</t>
        </is>
      </c>
      <c r="AB1141" s="188" t="inlineStr">
        <is>
          <t>NONE</t>
        </is>
      </c>
      <c r="AC1141" s="188" t="n">
        <v>0</v>
      </c>
      <c r="AD1141" s="188" t="inlineStr"/>
    </row>
    <row r="1142">
      <c r="A1142" s="188" t="inlineStr">
        <is>
          <t>PHISH</t>
        </is>
      </c>
      <c r="B1142" s="188" t="inlineStr"/>
      <c r="C1142" s="188" t="inlineStr">
        <is>
          <t>Phishing site targeting: www.5mp.eu | URL: https://www.5mp.eu/fajlok2/email/index_www.5mp.eu_.html</t>
        </is>
      </c>
      <c r="D1142" s="188" t="n">
        <v>6</v>
      </c>
      <c r="E1142" s="188" t="inlineStr">
        <is>
          <t>MEDIUM</t>
        </is>
      </c>
      <c r="F1142" s="188" t="n">
        <v>3</v>
      </c>
      <c r="G1142" s="188" t="n">
        <v>1</v>
      </c>
      <c r="H1142" s="188" t="inlineStr">
        <is>
          <t>MEDIUM</t>
        </is>
      </c>
      <c r="I1142" s="188" t="n">
        <v>9</v>
      </c>
      <c r="J1142" s="188" t="inlineStr">
        <is>
          <t>NO</t>
        </is>
      </c>
      <c r="K1142" s="188" t="inlineStr">
        <is>
          <t>https://www.5mp.eu/fajlok2/email/index_www.5mp.eu_.html</t>
        </is>
      </c>
      <c r="L1142" s="188" t="inlineStr">
        <is>
          <t>2026-02-27T18:17:32+00:00</t>
        </is>
      </c>
      <c r="M1142" s="188" t="inlineStr">
        <is>
          <t>Block URL</t>
        </is>
      </c>
      <c r="N1142" s="188" t="inlineStr">
        <is>
          <t>https://www.5mp.eu/fajlok2/email/index_www.5mp.eu_.html</t>
        </is>
      </c>
      <c r="O1142" s="188" t="inlineStr">
        <is>
          <t>Block phishing URL | Warn users about www.5mp.eu impersonation</t>
        </is>
      </c>
      <c r="P1142" s="188" t="inlineStr">
        <is>
          <t>Email users / www.5mp.eu</t>
        </is>
      </c>
      <c r="Q1142" s="188" t="inlineStr">
        <is>
          <t>P4</t>
        </is>
      </c>
      <c r="R1142" s="188" t="inlineStr">
        <is>
          <t>🚫 Block URLs in web proxy/firewall | 📧 Update email security filters | 👥 User awareness training recommended</t>
        </is>
      </c>
      <c r="S1142" s="188" t="inlineStr">
        <is>
          <t>Phishing URL</t>
        </is>
      </c>
      <c r="T1142" s="188" t="n">
        <v>0</v>
      </c>
      <c r="U1142" s="188" t="n">
        <v>0</v>
      </c>
      <c r="V1142" s="188" t="inlineStr">
        <is>
          <t>T1566:Phishing | T1566.002:Spearphishing Link</t>
        </is>
      </c>
      <c r="W1142" s="188" t="n">
        <v>1</v>
      </c>
      <c r="X1142" s="188" t="inlineStr">
        <is>
          <t>LOW (40%)</t>
        </is>
      </c>
      <c r="Y1142" s="188" t="inlineStr">
        <is>
          <t>NONE</t>
        </is>
      </c>
      <c r="Z1142" s="188" t="inlineStr">
        <is>
          <t>NONE</t>
        </is>
      </c>
      <c r="AA1142" s="188" t="inlineStr">
        <is>
          <t>https://www.5mp.eu/fajlok2/email/index_www.5mp.eu_.html</t>
        </is>
      </c>
      <c r="AB1142" s="188" t="inlineStr">
        <is>
          <t>NONE</t>
        </is>
      </c>
      <c r="AC1142" s="188" t="n">
        <v>0</v>
      </c>
      <c r="AD1142" s="188" t="inlineStr"/>
    </row>
    <row r="1143">
      <c r="A1143" s="188" t="inlineStr">
        <is>
          <t>PHISH</t>
        </is>
      </c>
      <c r="B1143" s="188" t="inlineStr"/>
      <c r="C1143" s="188" t="inlineStr">
        <is>
          <t>Phishing site targeting: robl.vercel.app | URL: http://robl.vercel.app/</t>
        </is>
      </c>
      <c r="D1143" s="188" t="n">
        <v>6</v>
      </c>
      <c r="E1143" s="188" t="inlineStr">
        <is>
          <t>MEDIUM</t>
        </is>
      </c>
      <c r="F1143" s="188" t="n">
        <v>3</v>
      </c>
      <c r="G1143" s="188" t="n">
        <v>1</v>
      </c>
      <c r="H1143" s="188" t="inlineStr">
        <is>
          <t>MEDIUM</t>
        </is>
      </c>
      <c r="I1143" s="188" t="n">
        <v>9</v>
      </c>
      <c r="J1143" s="188" t="inlineStr">
        <is>
          <t>NO</t>
        </is>
      </c>
      <c r="K1143" s="188" t="inlineStr">
        <is>
          <t>http://robl.vercel.app/</t>
        </is>
      </c>
      <c r="L1143" s="188" t="inlineStr">
        <is>
          <t>2026-02-27T18:17:32+00:00</t>
        </is>
      </c>
      <c r="M1143" s="188" t="inlineStr">
        <is>
          <t>Block URL</t>
        </is>
      </c>
      <c r="N1143" s="188" t="inlineStr">
        <is>
          <t>http://robl.vercel.app/</t>
        </is>
      </c>
      <c r="O1143" s="188" t="inlineStr">
        <is>
          <t>Block phishing URL | Warn users about robl.vercel.app impersonation</t>
        </is>
      </c>
      <c r="P1143" s="188" t="inlineStr">
        <is>
          <t>Email users / robl.vercel.app</t>
        </is>
      </c>
      <c r="Q1143" s="188" t="inlineStr">
        <is>
          <t>P4</t>
        </is>
      </c>
      <c r="R1143" s="188" t="inlineStr">
        <is>
          <t>🚫 Block URLs in web proxy/firewall | 📧 Update email security filters | 👥 User awareness training recommended</t>
        </is>
      </c>
      <c r="S1143" s="188" t="inlineStr">
        <is>
          <t>Phishing URL</t>
        </is>
      </c>
      <c r="T1143" s="188" t="n">
        <v>0</v>
      </c>
      <c r="U1143" s="188" t="n">
        <v>0</v>
      </c>
      <c r="V1143" s="188" t="inlineStr">
        <is>
          <t>T1566:Phishing | T1566.002:Spearphishing Link</t>
        </is>
      </c>
      <c r="W1143" s="188" t="n">
        <v>1</v>
      </c>
      <c r="X1143" s="188" t="inlineStr">
        <is>
          <t>LOW (40%)</t>
        </is>
      </c>
      <c r="Y1143" s="188" t="inlineStr">
        <is>
          <t>NONE</t>
        </is>
      </c>
      <c r="Z1143" s="188" t="inlineStr">
        <is>
          <t>NONE</t>
        </is>
      </c>
      <c r="AA1143" s="188" t="inlineStr">
        <is>
          <t>http://robl.vercel.app/</t>
        </is>
      </c>
      <c r="AB1143" s="188" t="inlineStr">
        <is>
          <t>NONE</t>
        </is>
      </c>
      <c r="AC1143" s="188" t="n">
        <v>0</v>
      </c>
      <c r="AD1143" s="188" t="inlineStr"/>
    </row>
    <row r="1144">
      <c r="A1144" s="188" t="inlineStr">
        <is>
          <t>PHISH</t>
        </is>
      </c>
      <c r="B1144" s="188" t="inlineStr"/>
      <c r="C1144" s="188" t="inlineStr">
        <is>
          <t>Phishing site targeting: easy-bank-code.vercel.app | URL: http://easy-bank-code.vercel.app/</t>
        </is>
      </c>
      <c r="D1144" s="188" t="n">
        <v>6</v>
      </c>
      <c r="E1144" s="188" t="inlineStr">
        <is>
          <t>MEDIUM</t>
        </is>
      </c>
      <c r="F1144" s="188" t="n">
        <v>3</v>
      </c>
      <c r="G1144" s="188" t="n">
        <v>1</v>
      </c>
      <c r="H1144" s="188" t="inlineStr">
        <is>
          <t>MEDIUM</t>
        </is>
      </c>
      <c r="I1144" s="188" t="n">
        <v>9</v>
      </c>
      <c r="J1144" s="188" t="inlineStr">
        <is>
          <t>NO</t>
        </is>
      </c>
      <c r="K1144" s="188" t="inlineStr">
        <is>
          <t>http://easy-bank-code.vercel.app/</t>
        </is>
      </c>
      <c r="L1144" s="188" t="inlineStr">
        <is>
          <t>2026-02-27T18:17:32+00:00</t>
        </is>
      </c>
      <c r="M1144" s="188" t="inlineStr">
        <is>
          <t>Block URL</t>
        </is>
      </c>
      <c r="N1144" s="188" t="inlineStr">
        <is>
          <t>http://easy-bank-code.vercel.app/</t>
        </is>
      </c>
      <c r="O1144" s="188" t="inlineStr">
        <is>
          <t>Block phishing URL | Warn users about easy-bank-code.vercel.app impersonation</t>
        </is>
      </c>
      <c r="P1144" s="188" t="inlineStr">
        <is>
          <t>Email users / easy-bank-code.vercel.app</t>
        </is>
      </c>
      <c r="Q1144" s="188" t="inlineStr">
        <is>
          <t>P4</t>
        </is>
      </c>
      <c r="R1144" s="188" t="inlineStr">
        <is>
          <t>🚫 Block URLs in web proxy/firewall | 📧 Update email security filters | 👥 User awareness training recommended</t>
        </is>
      </c>
      <c r="S1144" s="188" t="inlineStr">
        <is>
          <t>Phishing URL</t>
        </is>
      </c>
      <c r="T1144" s="188" t="n">
        <v>0</v>
      </c>
      <c r="U1144" s="188" t="n">
        <v>0</v>
      </c>
      <c r="V1144" s="188" t="inlineStr">
        <is>
          <t>T1566:Phishing | T1566.002:Spearphishing Link</t>
        </is>
      </c>
      <c r="W1144" s="188" t="n">
        <v>1</v>
      </c>
      <c r="X1144" s="188" t="inlineStr">
        <is>
          <t>LOW (40%)</t>
        </is>
      </c>
      <c r="Y1144" s="188" t="inlineStr">
        <is>
          <t>NONE</t>
        </is>
      </c>
      <c r="Z1144" s="188" t="inlineStr">
        <is>
          <t>NONE</t>
        </is>
      </c>
      <c r="AA1144" s="188" t="inlineStr">
        <is>
          <t>http://easy-bank-code.vercel.app/</t>
        </is>
      </c>
      <c r="AB1144" s="188" t="inlineStr">
        <is>
          <t>NONE</t>
        </is>
      </c>
      <c r="AC1144" s="188" t="n">
        <v>0</v>
      </c>
      <c r="AD1144" s="188" t="inlineStr"/>
    </row>
    <row r="1145">
      <c r="A1145" s="188" t="inlineStr">
        <is>
          <t>PHISH</t>
        </is>
      </c>
      <c r="B1145" s="188" t="inlineStr"/>
      <c r="C1145" s="188" t="inlineStr">
        <is>
          <t>Phishing site targeting: invoicenotices.com | URL: http://invoicenotices.com/s/63BZGFSVBWSFCDX7Y9/584dd8/90eab167-7429-489f-99f6-ce86e8d0d81a</t>
        </is>
      </c>
      <c r="D1145" s="188" t="n">
        <v>6</v>
      </c>
      <c r="E1145" s="188" t="inlineStr">
        <is>
          <t>MEDIUM</t>
        </is>
      </c>
      <c r="F1145" s="188" t="n">
        <v>3</v>
      </c>
      <c r="G1145" s="188" t="n">
        <v>1</v>
      </c>
      <c r="H1145" s="188" t="inlineStr">
        <is>
          <t>MEDIUM</t>
        </is>
      </c>
      <c r="I1145" s="188" t="n">
        <v>9</v>
      </c>
      <c r="J1145" s="188" t="inlineStr">
        <is>
          <t>NO</t>
        </is>
      </c>
      <c r="K1145" s="188" t="inlineStr">
        <is>
          <t>http://invoicenotices.com/s/63BZGFSVBWSFCDX7Y9/584dd8/90eab167-7429-489f-99f6-ce86e8d0d81a</t>
        </is>
      </c>
      <c r="L1145" s="188" t="inlineStr">
        <is>
          <t>2026-02-27T18:17:32+00:00</t>
        </is>
      </c>
      <c r="M1145" s="188" t="inlineStr">
        <is>
          <t>Block URL</t>
        </is>
      </c>
      <c r="N1145" s="188" t="inlineStr">
        <is>
          <t>http://invoicenotices.com/s/63BZGFSVBWSFCDX7Y9/584dd8/90eab167-7429-489f-99f6-ce86e8d0d81a</t>
        </is>
      </c>
      <c r="O1145" s="188" t="inlineStr">
        <is>
          <t>Block phishing URL | Warn users about invoicenotices.com impersonation</t>
        </is>
      </c>
      <c r="P1145" s="188" t="inlineStr">
        <is>
          <t>Email users / invoicenotices.com</t>
        </is>
      </c>
      <c r="Q1145" s="188" t="inlineStr">
        <is>
          <t>P4</t>
        </is>
      </c>
      <c r="R1145" s="188" t="inlineStr">
        <is>
          <t>🚫 Block URLs in web proxy/firewall | 📧 Update email security filters | 👥 User awareness training recommended</t>
        </is>
      </c>
      <c r="S1145" s="188" t="inlineStr">
        <is>
          <t>Phishing URL</t>
        </is>
      </c>
      <c r="T1145" s="188" t="n">
        <v>0</v>
      </c>
      <c r="U1145" s="188" t="n">
        <v>0</v>
      </c>
      <c r="V1145" s="188" t="inlineStr">
        <is>
          <t>T1566:Phishing | T1566.002:Spearphishing Link</t>
        </is>
      </c>
      <c r="W1145" s="188" t="n">
        <v>1</v>
      </c>
      <c r="X1145" s="188" t="inlineStr">
        <is>
          <t>LOW (40%)</t>
        </is>
      </c>
      <c r="Y1145" s="188" t="inlineStr">
        <is>
          <t>NONE</t>
        </is>
      </c>
      <c r="Z1145" s="188" t="inlineStr">
        <is>
          <t>NONE</t>
        </is>
      </c>
      <c r="AA1145" s="188" t="inlineStr">
        <is>
          <t>http://invoicenotices.com/s/63BZGFSVBWSFCDX7Y9/584dd8/90eab167-7429-489f-99f6-ce86e8d0d81a</t>
        </is>
      </c>
      <c r="AB1145" s="188" t="inlineStr">
        <is>
          <t>NONE</t>
        </is>
      </c>
      <c r="AC1145" s="188" t="n">
        <v>0</v>
      </c>
      <c r="AD1145" s="188" t="inlineStr"/>
    </row>
    <row r="1146">
      <c r="A1146" s="188" t="inlineStr">
        <is>
          <t>PHISH</t>
        </is>
      </c>
      <c r="B1146" s="188" t="inlineStr"/>
      <c r="C1146" s="188" t="inlineStr">
        <is>
          <t>Phishing site targeting: tech-institute.org | URL: http://tech-institute.org/s/63BZGFSVBWSFCDX7Y9/584dd8/90eab167-7429-489f-99f6-ce86e8d0d81a</t>
        </is>
      </c>
      <c r="D1146" s="188" t="n">
        <v>6</v>
      </c>
      <c r="E1146" s="188" t="inlineStr">
        <is>
          <t>MEDIUM</t>
        </is>
      </c>
      <c r="F1146" s="188" t="n">
        <v>3</v>
      </c>
      <c r="G1146" s="188" t="n">
        <v>1</v>
      </c>
      <c r="H1146" s="188" t="inlineStr">
        <is>
          <t>MEDIUM</t>
        </is>
      </c>
      <c r="I1146" s="188" t="n">
        <v>9</v>
      </c>
      <c r="J1146" s="188" t="inlineStr">
        <is>
          <t>NO</t>
        </is>
      </c>
      <c r="K1146" s="188" t="inlineStr">
        <is>
          <t>http://tech-institute.org/s/63BZGFSVBWSFCDX7Y9/584dd8/90eab167-7429-489f-99f6-ce86e8d0d81a</t>
        </is>
      </c>
      <c r="L1146" s="188" t="inlineStr">
        <is>
          <t>2026-02-27T18:17:32+00:00</t>
        </is>
      </c>
      <c r="M1146" s="188" t="inlineStr">
        <is>
          <t>Block URL</t>
        </is>
      </c>
      <c r="N1146" s="188" t="inlineStr">
        <is>
          <t>http://tech-institute.org/s/63BZGFSVBWSFCDX7Y9/584dd8/90eab167-7429-489f-99f6-ce86e8d0d81a</t>
        </is>
      </c>
      <c r="O1146" s="188" t="inlineStr">
        <is>
          <t>Block phishing URL | Warn users about tech-institute.org impersonation</t>
        </is>
      </c>
      <c r="P1146" s="188" t="inlineStr">
        <is>
          <t>Email users / tech-institute.org</t>
        </is>
      </c>
      <c r="Q1146" s="188" t="inlineStr">
        <is>
          <t>P4</t>
        </is>
      </c>
      <c r="R1146" s="188" t="inlineStr">
        <is>
          <t>🚫 Block URLs in web proxy/firewall | 📧 Update email security filters | 👥 User awareness training recommended</t>
        </is>
      </c>
      <c r="S1146" s="188" t="inlineStr">
        <is>
          <t>Phishing URL</t>
        </is>
      </c>
      <c r="T1146" s="188" t="n">
        <v>0</v>
      </c>
      <c r="U1146" s="188" t="n">
        <v>0</v>
      </c>
      <c r="V1146" s="188" t="inlineStr">
        <is>
          <t>T1566:Phishing | T1566.002:Spearphishing Link</t>
        </is>
      </c>
      <c r="W1146" s="188" t="n">
        <v>1</v>
      </c>
      <c r="X1146" s="188" t="inlineStr">
        <is>
          <t>LOW (40%)</t>
        </is>
      </c>
      <c r="Y1146" s="188" t="inlineStr">
        <is>
          <t>NONE</t>
        </is>
      </c>
      <c r="Z1146" s="188" t="inlineStr">
        <is>
          <t>NONE</t>
        </is>
      </c>
      <c r="AA1146" s="188" t="inlineStr">
        <is>
          <t>http://tech-institute.org/s/63BZGFSVBWSFCDX7Y9/584dd8/90eab167-7429-489f-99f6-ce86e8d0d81a</t>
        </is>
      </c>
      <c r="AB1146" s="188" t="inlineStr">
        <is>
          <t>NONE</t>
        </is>
      </c>
      <c r="AC1146" s="188" t="n">
        <v>0</v>
      </c>
      <c r="AD1146" s="188" t="inlineStr"/>
    </row>
    <row r="1147">
      <c r="A1147" s="188" t="inlineStr">
        <is>
          <t>PHISH</t>
        </is>
      </c>
      <c r="B1147" s="188" t="inlineStr"/>
      <c r="C1147" s="188" t="inlineStr">
        <is>
          <t>Phishing site targeting: im.nbpublic.com | URL: 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t>
        </is>
      </c>
      <c r="D1147" s="188" t="n">
        <v>6</v>
      </c>
      <c r="E1147" s="188" t="inlineStr">
        <is>
          <t>MEDIUM</t>
        </is>
      </c>
      <c r="F1147" s="188" t="n">
        <v>3</v>
      </c>
      <c r="G1147" s="188" t="n">
        <v>1</v>
      </c>
      <c r="H1147" s="188" t="inlineStr">
        <is>
          <t>MEDIUM</t>
        </is>
      </c>
      <c r="I1147" s="188" t="n">
        <v>9</v>
      </c>
      <c r="J1147" s="188" t="inlineStr">
        <is>
          <t>NO</t>
        </is>
      </c>
      <c r="K1147" s="188" t="inlineStr">
        <is>
          <t>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AwR4fTCgV7vL4/P4AnxhKqLCAodDRdabPBcNAbHgMwSHVisOzXe7gYG3HmQAAeSCw+LeuJAAHktFoIFUyTgKVTbnSIFtBszWezOWhrtIHnyadhqDABRBhVgwABXFEogC+drkoPBMAiFXKCAqELxIC4VqqSLASAAcsCAJK/c1YahyQRVH6giN/MZKKGwx0gZQwJF/JFcEWYJBVK0QOQARyUUR9ODQ8hgs0iC2Wt2ANfrczUdp8NbrFRlcpbPelsqqYbQXbkOBlCBRCBwGJbAAF/loKrklFbBPWwWBICjFxPcL8qhV0C3rvIx4fiSez2fAiJosAL2OALIiQ9cWdcADWS5Xa5fggv7oAeMxIvOCDyDcRogMAXAQQE0FXuBECQdB2LhBK8GIVBEDBlhh6LAs6hwcR6BESRMAPmQT7kWg75kIe6BaDgT4sTgzFoKx1GPtgwAcYxzHBAg7EicJEAILxtH8UEklCT4gQ4FwT5KVwh5qdJqnKQpcgVCRT76RRPhGViNGGSRukgH2I6YcET7LmAq65A28xLGAuQ2QOYBYWBchWmx/EBYeVpWrBwCOc5rlNh5PnBGBGZZpAUBYKxKJKBAdpAA</t>
        </is>
      </c>
      <c r="L1147" s="188" t="inlineStr">
        <is>
          <t>2026-02-27T18:17:32+00:00</t>
        </is>
      </c>
      <c r="M1147" s="188" t="inlineStr">
        <is>
          <t>Block URL</t>
        </is>
      </c>
      <c r="N1147" s="188" t="inlineStr">
        <is>
          <t>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AwR4fTCgV7vL4/P4AnxhKqLCAodDRdabPBcNAbHgMwSHVisOzXe7gYG3HmQAAeSCw+LeuJAAHktFoIFUyTgKVTbnSIFtBszWezOWhrtIHnyadhqDABRBhVgwABXFEogC+drkoPBMAiFXKCAqELxIC4VqqSLASAAcsCAJK/c1YahyQRVH6giN/MZKKGwx0gZQwJF/JFcEWYJBVK0QOQARyUUR9ODQ8hgs0iC2Wt2ANfrczUdp8NbrFRlcpbPelsqqYbQXbkOBlCBRCBwGJbAAF/loKrklFbBPWwWBICjFxPcL8qhV0C3rvIx4fiSez2fAiJosAL2OALIiQ9cWdcADWS5Xa5fggv7oAeMxIvOCDyDcRogMAXAQQE0FXuBECQdB2LhBK8GIVBEDBlhh6LAs6hwcR6BESRMAPmQT7kWg75kIe6BaDgT4sTgzFoKx1GPtgwAcYxzHBAg7EicJEAILxtH8UEklCT4gQ4FwT5KVwh5qdJqnKQpcgVCRT76RRPhGViNGGSRukgH2I6YcET7LmAq65A28xLGAuQ2QOYBYWBchWmx/EBYeVpWrBwCOc5rlNh5PnBGBGZZpAUBYKxKJKBAdpAA</t>
        </is>
      </c>
      <c r="O1147" s="188" t="inlineStr">
        <is>
          <t>Block phishing URL | Warn users about im.nbpublic.com impersonation</t>
        </is>
      </c>
      <c r="P1147" s="188" t="inlineStr">
        <is>
          <t>Email users / im.nbpublic.com</t>
        </is>
      </c>
      <c r="Q1147" s="188" t="inlineStr">
        <is>
          <t>P4</t>
        </is>
      </c>
      <c r="R1147" s="188" t="inlineStr">
        <is>
          <t>🚫 Block URLs in web proxy/firewall | 📧 Update email security filters | 👥 User awareness training recommended</t>
        </is>
      </c>
      <c r="S1147" s="188" t="inlineStr">
        <is>
          <t>Phishing URL</t>
        </is>
      </c>
      <c r="T1147" s="188" t="n">
        <v>0</v>
      </c>
      <c r="U1147" s="188" t="n">
        <v>0</v>
      </c>
      <c r="V1147" s="188" t="inlineStr">
        <is>
          <t>T1566:Phishing | T1566.002:Spearphishing Link</t>
        </is>
      </c>
      <c r="W1147" s="188" t="n">
        <v>1</v>
      </c>
      <c r="X1147" s="188" t="inlineStr">
        <is>
          <t>LOW (40%)</t>
        </is>
      </c>
      <c r="Y1147" s="188" t="inlineStr">
        <is>
          <t>NONE</t>
        </is>
      </c>
      <c r="Z1147" s="188" t="inlineStr">
        <is>
          <t>NONE</t>
        </is>
      </c>
      <c r="AA1147" s="188" t="inlineStr">
        <is>
          <t>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AwR4fTCgV7vL4/P4AnxhKqLCAodDRdabPBcNAbHgMwSHVisOzXe7gYG3HmQAAeSCw+LeuJAAHktFoIFUyTgKVTbnSIFtBszWezOWhrtIHnyadhqDABRBhVgwABXFEogC+drkoPBMAiFXKCAqELxIC4VqqSLASAAcsCAJK/c1YahyQRVH6giN/MZKKGwx0gZQwJF/JFcEWYJBVK0QOQARyUUR9ODQ8hgs0iC2Wt2ANfrczUdp8NbrFRlcpbPelsqqYbQXbkOBlCBRCBwGJbAAF/loKrklFbBPWwWBICjFxPcL8qhV0C3rvIx4fiSez2fAiJosAL2OALIiQ9cWdcADWS5Xa5fggv7oAeMxIvOCDyDcRogMAXAQQE0FXuBECQdB2LhBK8GIVBEDBlhh6LAs6hwcR6BESRMAPmQT7kWg75kIe6BaDgT4sTgzFoKx1GPtgwAcYxzHBAg7EicJEAILxtH8UEklCT4gQ4FwT5KVwh5qdJqnKQpcgVCRT76RRPhGViNGGSRukgH2I6YcET7LmAq65A28xLGAuQ2QOYBYWBchWmx/EBYeVpWrBwCOc5rlNh5PnBGBGZZpAUBYKxKJKBAdpAA</t>
        </is>
      </c>
      <c r="AB1147" s="188" t="inlineStr">
        <is>
          <t>NONE</t>
        </is>
      </c>
      <c r="AC1147" s="188" t="n">
        <v>0</v>
      </c>
      <c r="AD1147" s="188" t="inlineStr"/>
    </row>
    <row r="1148">
      <c r="A1148" s="188" t="inlineStr">
        <is>
          <t>PHISH</t>
        </is>
      </c>
      <c r="B1148" s="188" t="inlineStr"/>
      <c r="C1148" s="188" t="inlineStr">
        <is>
          <t>Phishing site targeting: im.nbpublic.com | URL: 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t>
        </is>
      </c>
      <c r="D1148" s="188" t="n">
        <v>6</v>
      </c>
      <c r="E1148" s="188" t="inlineStr">
        <is>
          <t>MEDIUM</t>
        </is>
      </c>
      <c r="F1148" s="188" t="n">
        <v>3</v>
      </c>
      <c r="G1148" s="188" t="n">
        <v>1</v>
      </c>
      <c r="H1148" s="188" t="inlineStr">
        <is>
          <t>MEDIUM</t>
        </is>
      </c>
      <c r="I1148" s="188" t="n">
        <v>9</v>
      </c>
      <c r="J1148" s="188" t="inlineStr">
        <is>
          <t>NO</t>
        </is>
      </c>
      <c r="K1148" s="188" t="inlineStr">
        <is>
          <t>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qywoEezzeHy+PzcAVKkwgKHQoXmixwaGYBAIVCYdAgOzIEQITlEfzuFOwl2uskgAA8kFiQDiXtgAPJ4PAQUpEqgksnnKlLHBUVjORpGOy7VJCGnc86XU0AH35MCYFpgBCtxwgIqwYAArgiEQBfD0jQHfGBBYpFBDFYGYUDOF2lOFgJAAOVuAElPo6sExZDhSh8AUmvs4/KDId6QEoYHCvnCUVgkKUXRBZABHRQhMMgZwIhDOADW52AbY73fQHrczjhVC8ch5ahAvdH48nQ9kVDQchgo2CE2mPaXK7X4ymM0Hw9nCAn6MCkunI4gY5PdzA54XIBdLt50+fh8Xy5gxVl8q3X5/OVyg/EBAL/e9fFCYAwPKCCIEfIw8AQdsx0nKDEOQhBUNUR90DwKgoLwqhcLQfCYG8NAuWwYAiPIyjH0mCYp2ARiQNYtA6Ko6d2M43DfAQQj+L4iAEE4wSRN4tx8VKYp0C3T4ZLkkDpNkji5IorjgBUpSOI0x9vCoVxqIM5x9MMsTjPMvS3GKJioNskCHN0yj7KYyTZBdAjqM8ocixLSAoCwfCEUUeCgA=</t>
        </is>
      </c>
      <c r="L1148" s="188" t="inlineStr">
        <is>
          <t>2026-02-27T18:17:32+00:00</t>
        </is>
      </c>
      <c r="M1148" s="188" t="inlineStr">
        <is>
          <t>Block URL</t>
        </is>
      </c>
      <c r="N1148" s="188" t="inlineStr">
        <is>
          <t>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qywoEezzeHy+PzcAVKkwgKHQoXmixwaGYBAIVCYdAgOzIEQITlEfzuFOwl2uskgAA8kFiQDiXtgAPJ4PAQUpEqgksnnKlLHBUVjORpGOy7VJCGnc86XU0AH35MCYFpgBCtxwgIqwYAArgiEQBfD0jQHfGBBYpFBDFYGYUDOF2lOFgJAAOVuAElPo6sExZDhSh8AUmvs4/KDId6QEoYHCvnCUVgkKUXRBZABHRQhMMgZwIhDOADW52AbY73fQHrczjhVC8ch5ahAvdH48nQ9kVDQchgo2CE2mPaXK7X4ymM0Hw9nCAn6MCkunI4gY5PdzA54XIBdLt50+fh8Xy5gxVl8q3X5/OVyg/EBAL/e9fFCYAwPKCCIEfIw8AQdsx0nKDEOQhBUNUR90DwKgoLwqhcLQfCYG8NAuWwYAiPIyjH0mCYp2ARiQNYtA6Ko6d2M43DfAQQj+L4iAEE4wSRN4tx8VKYp0C3T4ZLkkDpNkji5IorjgBUpSOI0x9vCoVxqIM5x9MMsTjPMvS3GKJioNskCHN0yj7KYyTZBdAjqM8ocixLSAoCwfCEUUeCgA=</t>
        </is>
      </c>
      <c r="O1148" s="188" t="inlineStr">
        <is>
          <t>Block phishing URL | Warn users about im.nbpublic.com impersonation</t>
        </is>
      </c>
      <c r="P1148" s="188" t="inlineStr">
        <is>
          <t>Email users / im.nbpublic.com</t>
        </is>
      </c>
      <c r="Q1148" s="188" t="inlineStr">
        <is>
          <t>P4</t>
        </is>
      </c>
      <c r="R1148" s="188" t="inlineStr">
        <is>
          <t>🚫 Block URLs in web proxy/firewall | 📧 Update email security filters | 👥 User awareness training recommended</t>
        </is>
      </c>
      <c r="S1148" s="188" t="inlineStr">
        <is>
          <t>Phishing URL</t>
        </is>
      </c>
      <c r="T1148" s="188" t="n">
        <v>0</v>
      </c>
      <c r="U1148" s="188" t="n">
        <v>0</v>
      </c>
      <c r="V1148" s="188" t="inlineStr">
        <is>
          <t>T1566:Phishing | T1566.002:Spearphishing Link</t>
        </is>
      </c>
      <c r="W1148" s="188" t="n">
        <v>1</v>
      </c>
      <c r="X1148" s="188" t="inlineStr">
        <is>
          <t>LOW (40%)</t>
        </is>
      </c>
      <c r="Y1148" s="188" t="inlineStr">
        <is>
          <t>NONE</t>
        </is>
      </c>
      <c r="Z1148" s="188" t="inlineStr">
        <is>
          <t>NONE</t>
        </is>
      </c>
      <c r="AA1148" s="188" t="inlineStr">
        <is>
          <t>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qywoEezzeHy+PzcAVKkwgKHQoXmixwaGYBAIVCYdAgOzIEQITlEfzuFOwl2uskgAA8kFiQDiXtgAPJ4PAQUpEqgksnnKlLHBUVjORpGOy7VJCGnc86XU0AH35MCYFpgBCtxwgIqwYAArgiEQBfD0jQHfGBBYpFBDFYGYUDOF2lOFgJAAOVuAElPo6sExZDhSh8AUmvs4/KDId6QEoYHCvnCUVgkKUXRBZABHRQhMMgZwIhDOADW52AbY73fQHrczjhVC8ch5ahAvdH48nQ9kVDQchgo2CE2mPaXK7X4ymM0Hw9nCAn6MCkunI4gY5PdzA54XIBdLt50+fh8Xy5gxVl8q3X5/OVyg/EBAL/e9fFCYAwPKCCIEfIw8AQdsx0nKDEOQhBUNUR90DwKgoLwqhcLQfCYG8NAuWwYAiPIyjH0mCYp2ARiQNYtA6Ko6d2M43DfAQQj+L4iAEE4wSRN4tx8VKYp0C3T4ZLkkDpNkji5IorjgBUpSOI0x9vCoVxqIM5x9MMsTjPMvS3GKJioNskCHN0yj7KYyTZBdAjqM8ocixLSAoCwfCEUUeCgA=</t>
        </is>
      </c>
      <c r="AB1148" s="188" t="inlineStr">
        <is>
          <t>NONE</t>
        </is>
      </c>
      <c r="AC1148" s="188" t="n">
        <v>0</v>
      </c>
      <c r="AD1148" s="188" t="inlineStr"/>
    </row>
    <row r="1149">
      <c r="A1149" s="188" t="inlineStr">
        <is>
          <t>PHISH</t>
        </is>
      </c>
      <c r="B1149" s="188" t="inlineStr"/>
      <c r="C1149" s="188" t="inlineStr">
        <is>
          <t>Phishing site targeting: wanderson-a-timoteo.github.io | URL: https://wanderson-a-timoteo.github.io/instagram-interface/</t>
        </is>
      </c>
      <c r="D1149" s="188" t="n">
        <v>6</v>
      </c>
      <c r="E1149" s="188" t="inlineStr">
        <is>
          <t>MEDIUM</t>
        </is>
      </c>
      <c r="F1149" s="188" t="n">
        <v>3</v>
      </c>
      <c r="G1149" s="188" t="n">
        <v>1</v>
      </c>
      <c r="H1149" s="188" t="inlineStr">
        <is>
          <t>MEDIUM</t>
        </is>
      </c>
      <c r="I1149" s="188" t="n">
        <v>9</v>
      </c>
      <c r="J1149" s="188" t="inlineStr">
        <is>
          <t>NO</t>
        </is>
      </c>
      <c r="K1149" s="188" t="inlineStr">
        <is>
          <t>https://wanderson-a-timoteo.github.io/instagram-interface/</t>
        </is>
      </c>
      <c r="L1149" s="188" t="inlineStr">
        <is>
          <t>2026-02-27T18:17:32+00:00</t>
        </is>
      </c>
      <c r="M1149" s="188" t="inlineStr">
        <is>
          <t>Block URL</t>
        </is>
      </c>
      <c r="N1149" s="188" t="inlineStr">
        <is>
          <t>https://wanderson-a-timoteo.github.io/instagram-interface/</t>
        </is>
      </c>
      <c r="O1149" s="188" t="inlineStr">
        <is>
          <t>Block phishing URL | Warn users about wanderson-a-timoteo.github.io impersonation</t>
        </is>
      </c>
      <c r="P1149" s="188" t="inlineStr">
        <is>
          <t>Email users / wanderson-a-timoteo.github.io</t>
        </is>
      </c>
      <c r="Q1149" s="188" t="inlineStr">
        <is>
          <t>P4</t>
        </is>
      </c>
      <c r="R1149" s="188" t="inlineStr">
        <is>
          <t>🚫 Block URLs in web proxy/firewall | 📧 Update email security filters | 👥 User awareness training recommended</t>
        </is>
      </c>
      <c r="S1149" s="188" t="inlineStr">
        <is>
          <t>Phishing URL</t>
        </is>
      </c>
      <c r="T1149" s="188" t="n">
        <v>0</v>
      </c>
      <c r="U1149" s="188" t="n">
        <v>0</v>
      </c>
      <c r="V1149" s="188" t="inlineStr">
        <is>
          <t>T1566:Phishing | T1566.002:Spearphishing Link</t>
        </is>
      </c>
      <c r="W1149" s="188" t="n">
        <v>1</v>
      </c>
      <c r="X1149" s="188" t="inlineStr">
        <is>
          <t>LOW (40%)</t>
        </is>
      </c>
      <c r="Y1149" s="188" t="inlineStr">
        <is>
          <t>NONE</t>
        </is>
      </c>
      <c r="Z1149" s="188" t="inlineStr">
        <is>
          <t>NONE</t>
        </is>
      </c>
      <c r="AA1149" s="188" t="inlineStr">
        <is>
          <t>https://wanderson-a-timoteo.github.io/instagram-interface/</t>
        </is>
      </c>
      <c r="AB1149" s="188" t="inlineStr">
        <is>
          <t>NONE</t>
        </is>
      </c>
      <c r="AC1149" s="188" t="n">
        <v>0</v>
      </c>
      <c r="AD1149" s="188" t="inlineStr"/>
    </row>
    <row r="1150">
      <c r="A1150" s="188" t="inlineStr">
        <is>
          <t>PHISH</t>
        </is>
      </c>
      <c r="B1150" s="188" t="inlineStr"/>
      <c r="C1150" s="188" t="inlineStr">
        <is>
          <t>Phishing site targeting: account-log.kesug.com | URL: https://account-log.kesug.com/check-action.php?i=1</t>
        </is>
      </c>
      <c r="D1150" s="188" t="n">
        <v>6</v>
      </c>
      <c r="E1150" s="188" t="inlineStr">
        <is>
          <t>MEDIUM</t>
        </is>
      </c>
      <c r="F1150" s="188" t="n">
        <v>3</v>
      </c>
      <c r="G1150" s="188" t="n">
        <v>1</v>
      </c>
      <c r="H1150" s="188" t="inlineStr">
        <is>
          <t>MEDIUM</t>
        </is>
      </c>
      <c r="I1150" s="188" t="n">
        <v>9</v>
      </c>
      <c r="J1150" s="188" t="inlineStr">
        <is>
          <t>NO</t>
        </is>
      </c>
      <c r="K1150" s="188" t="inlineStr">
        <is>
          <t>https://account-log.kesug.com/check-action.php?i=1</t>
        </is>
      </c>
      <c r="L1150" s="188" t="inlineStr">
        <is>
          <t>2026-02-27T18:17:32+00:00</t>
        </is>
      </c>
      <c r="M1150" s="188" t="inlineStr">
        <is>
          <t>Block URL</t>
        </is>
      </c>
      <c r="N1150" s="188" t="inlineStr">
        <is>
          <t>https://account-log.kesug.com/check-action.php?i=1</t>
        </is>
      </c>
      <c r="O1150" s="188" t="inlineStr">
        <is>
          <t>Block phishing URL | Warn users about account-log.kesug.com impersonation</t>
        </is>
      </c>
      <c r="P1150" s="188" t="inlineStr">
        <is>
          <t>Email users / account-log.kesug.com</t>
        </is>
      </c>
      <c r="Q1150" s="188" t="inlineStr">
        <is>
          <t>P4</t>
        </is>
      </c>
      <c r="R1150" s="188" t="inlineStr">
        <is>
          <t>🚫 Block URLs in web proxy/firewall | 📧 Update email security filters | 👥 User awareness training recommended</t>
        </is>
      </c>
      <c r="S1150" s="188" t="inlineStr">
        <is>
          <t>Phishing URL</t>
        </is>
      </c>
      <c r="T1150" s="188" t="n">
        <v>0</v>
      </c>
      <c r="U1150" s="188" t="n">
        <v>0</v>
      </c>
      <c r="V1150" s="188" t="inlineStr">
        <is>
          <t>T1566:Phishing | T1566.002:Spearphishing Link</t>
        </is>
      </c>
      <c r="W1150" s="188" t="n">
        <v>1</v>
      </c>
      <c r="X1150" s="188" t="inlineStr">
        <is>
          <t>LOW (40%)</t>
        </is>
      </c>
      <c r="Y1150" s="188" t="inlineStr">
        <is>
          <t>NONE</t>
        </is>
      </c>
      <c r="Z1150" s="188" t="inlineStr">
        <is>
          <t>NONE</t>
        </is>
      </c>
      <c r="AA1150" s="188" t="inlineStr">
        <is>
          <t>https://account-log.kesug.com/check-action.php?i=1</t>
        </is>
      </c>
      <c r="AB1150" s="188" t="inlineStr">
        <is>
          <t>NONE</t>
        </is>
      </c>
      <c r="AC1150" s="188" t="n">
        <v>0</v>
      </c>
      <c r="AD1150" s="188" t="inlineStr"/>
    </row>
    <row r="1151">
      <c r="A1151" s="188" t="inlineStr">
        <is>
          <t>PHISH</t>
        </is>
      </c>
      <c r="B1151" s="188" t="inlineStr"/>
      <c r="C1151" s="188" t="inlineStr">
        <is>
          <t>Phishing site targeting: proteceng.jp | URL: https://proteceng.jp/mpp.php?mc_phishing_protection_id=28396-d6gjl4fs2tuvppksptk0</t>
        </is>
      </c>
      <c r="D1151" s="188" t="n">
        <v>6</v>
      </c>
      <c r="E1151" s="188" t="inlineStr">
        <is>
          <t>MEDIUM</t>
        </is>
      </c>
      <c r="F1151" s="188" t="n">
        <v>3</v>
      </c>
      <c r="G1151" s="188" t="n">
        <v>1</v>
      </c>
      <c r="H1151" s="188" t="inlineStr">
        <is>
          <t>MEDIUM</t>
        </is>
      </c>
      <c r="I1151" s="188" t="n">
        <v>9</v>
      </c>
      <c r="J1151" s="188" t="inlineStr">
        <is>
          <t>NO</t>
        </is>
      </c>
      <c r="K1151" s="188" t="inlineStr">
        <is>
          <t>https://proteceng.jp/mpp.php?mc_phishing_protection_id=28396-d6gjl4fs2tuvppksptk0</t>
        </is>
      </c>
      <c r="L1151" s="188" t="inlineStr">
        <is>
          <t>2026-02-27T18:17:32+00:00</t>
        </is>
      </c>
      <c r="M1151" s="188" t="inlineStr">
        <is>
          <t>Block URL</t>
        </is>
      </c>
      <c r="N1151" s="188" t="inlineStr">
        <is>
          <t>https://proteceng.jp/mpp.php?mc_phishing_protection_id=28396-d6gjl4fs2tuvppksptk0</t>
        </is>
      </c>
      <c r="O1151" s="188" t="inlineStr">
        <is>
          <t>Block phishing URL | Warn users about proteceng.jp impersonation</t>
        </is>
      </c>
      <c r="P1151" s="188" t="inlineStr">
        <is>
          <t>Email users / proteceng.jp</t>
        </is>
      </c>
      <c r="Q1151" s="188" t="inlineStr">
        <is>
          <t>P4</t>
        </is>
      </c>
      <c r="R1151" s="188" t="inlineStr">
        <is>
          <t>🚫 Block URLs in web proxy/firewall | 📧 Update email security filters | 👥 User awareness training recommended</t>
        </is>
      </c>
      <c r="S1151" s="188" t="inlineStr">
        <is>
          <t>Phishing URL</t>
        </is>
      </c>
      <c r="T1151" s="188" t="n">
        <v>0</v>
      </c>
      <c r="U1151" s="188" t="n">
        <v>0</v>
      </c>
      <c r="V1151" s="188" t="inlineStr">
        <is>
          <t>T1566:Phishing | T1566.002:Spearphishing Link</t>
        </is>
      </c>
      <c r="W1151" s="188" t="n">
        <v>1</v>
      </c>
      <c r="X1151" s="188" t="inlineStr">
        <is>
          <t>LOW (40%)</t>
        </is>
      </c>
      <c r="Y1151" s="188" t="inlineStr">
        <is>
          <t>NONE</t>
        </is>
      </c>
      <c r="Z1151" s="188" t="inlineStr">
        <is>
          <t>NONE</t>
        </is>
      </c>
      <c r="AA1151" s="188" t="inlineStr">
        <is>
          <t>https://proteceng.jp/mpp.php?mc_phishing_protection_id=28396-d6gjl4fs2tuvppksptk0</t>
        </is>
      </c>
      <c r="AB1151" s="188" t="inlineStr">
        <is>
          <t>NONE</t>
        </is>
      </c>
      <c r="AC1151" s="188" t="n">
        <v>0</v>
      </c>
      <c r="AD1151" s="188" t="inlineStr"/>
    </row>
    <row r="1152">
      <c r="A1152" s="188" t="inlineStr">
        <is>
          <t>PHISH</t>
        </is>
      </c>
      <c r="B1152" s="188" t="inlineStr"/>
      <c r="C1152" s="188" t="inlineStr">
        <is>
          <t>Phishing site targeting: verification-coinbase.venezuelacybernetica.com | URL: http://verification-coinbase.venezuelacybernetica.com/</t>
        </is>
      </c>
      <c r="D1152" s="188" t="n">
        <v>6</v>
      </c>
      <c r="E1152" s="188" t="inlineStr">
        <is>
          <t>MEDIUM</t>
        </is>
      </c>
      <c r="F1152" s="188" t="n">
        <v>3</v>
      </c>
      <c r="G1152" s="188" t="n">
        <v>1</v>
      </c>
      <c r="H1152" s="188" t="inlineStr">
        <is>
          <t>MEDIUM</t>
        </is>
      </c>
      <c r="I1152" s="188" t="n">
        <v>9</v>
      </c>
      <c r="J1152" s="188" t="inlineStr">
        <is>
          <t>NO</t>
        </is>
      </c>
      <c r="K1152" s="188" t="inlineStr">
        <is>
          <t>http://verification-coinbase.venezuelacybernetica.com/</t>
        </is>
      </c>
      <c r="L1152" s="188" t="inlineStr">
        <is>
          <t>2026-02-27T18:17:32+00:00</t>
        </is>
      </c>
      <c r="M1152" s="188" t="inlineStr">
        <is>
          <t>Block URL</t>
        </is>
      </c>
      <c r="N1152" s="188" t="inlineStr">
        <is>
          <t>http://verification-coinbase.venezuelacybernetica.com/</t>
        </is>
      </c>
      <c r="O1152" s="188" t="inlineStr">
        <is>
          <t>Block phishing URL | Warn users about verification-coinbase.venezuelacybernetica.com impersonation</t>
        </is>
      </c>
      <c r="P1152" s="188" t="inlineStr">
        <is>
          <t>Email users / verification-coinbase.venezuelacybernetica.com</t>
        </is>
      </c>
      <c r="Q1152" s="188" t="inlineStr">
        <is>
          <t>P4</t>
        </is>
      </c>
      <c r="R1152" s="188" t="inlineStr">
        <is>
          <t>🚫 Block URLs in web proxy/firewall | 📧 Update email security filters | 👥 User awareness training recommended</t>
        </is>
      </c>
      <c r="S1152" s="188" t="inlineStr">
        <is>
          <t>Phishing URL</t>
        </is>
      </c>
      <c r="T1152" s="188" t="n">
        <v>0</v>
      </c>
      <c r="U1152" s="188" t="n">
        <v>0</v>
      </c>
      <c r="V1152" s="188" t="inlineStr">
        <is>
          <t>T1566:Phishing | T1566.002:Spearphishing Link</t>
        </is>
      </c>
      <c r="W1152" s="188" t="n">
        <v>1</v>
      </c>
      <c r="X1152" s="188" t="inlineStr">
        <is>
          <t>LOW (40%)</t>
        </is>
      </c>
      <c r="Y1152" s="188" t="inlineStr">
        <is>
          <t>NONE</t>
        </is>
      </c>
      <c r="Z1152" s="188" t="inlineStr">
        <is>
          <t>NONE</t>
        </is>
      </c>
      <c r="AA1152" s="188" t="inlineStr">
        <is>
          <t>http://verification-coinbase.venezuelacybernetica.com/</t>
        </is>
      </c>
      <c r="AB1152" s="188" t="inlineStr">
        <is>
          <t>NONE</t>
        </is>
      </c>
      <c r="AC1152" s="188" t="n">
        <v>0</v>
      </c>
      <c r="AD1152" s="188" t="inlineStr"/>
    </row>
    <row r="1153">
      <c r="A1153" s="188" t="inlineStr">
        <is>
          <t>PHISH</t>
        </is>
      </c>
      <c r="B1153" s="188" t="inlineStr"/>
      <c r="C1153" s="188" t="inlineStr">
        <is>
          <t>Phishing site targeting: girl.indonesiya.com | URL: https://girl.indonesiya.com/?m=1</t>
        </is>
      </c>
      <c r="D1153" s="188" t="n">
        <v>6</v>
      </c>
      <c r="E1153" s="188" t="inlineStr">
        <is>
          <t>MEDIUM</t>
        </is>
      </c>
      <c r="F1153" s="188" t="n">
        <v>3</v>
      </c>
      <c r="G1153" s="188" t="n">
        <v>1</v>
      </c>
      <c r="H1153" s="188" t="inlineStr">
        <is>
          <t>MEDIUM</t>
        </is>
      </c>
      <c r="I1153" s="188" t="n">
        <v>9</v>
      </c>
      <c r="J1153" s="188" t="inlineStr">
        <is>
          <t>NO</t>
        </is>
      </c>
      <c r="K1153" s="188" t="inlineStr">
        <is>
          <t>https://girl.indonesiya.com/?m=1</t>
        </is>
      </c>
      <c r="L1153" s="188" t="inlineStr">
        <is>
          <t>2026-02-27T18:17:32+00:00</t>
        </is>
      </c>
      <c r="M1153" s="188" t="inlineStr">
        <is>
          <t>Block URL</t>
        </is>
      </c>
      <c r="N1153" s="188" t="inlineStr">
        <is>
          <t>https://girl.indonesiya.com/?m=1</t>
        </is>
      </c>
      <c r="O1153" s="188" t="inlineStr">
        <is>
          <t>Block phishing URL | Warn users about girl.indonesiya.com impersonation</t>
        </is>
      </c>
      <c r="P1153" s="188" t="inlineStr">
        <is>
          <t>Email users / girl.indonesiya.com</t>
        </is>
      </c>
      <c r="Q1153" s="188" t="inlineStr">
        <is>
          <t>P4</t>
        </is>
      </c>
      <c r="R1153" s="188" t="inlineStr">
        <is>
          <t>🚫 Block URLs in web proxy/firewall | 📧 Update email security filters | 👥 User awareness training recommended</t>
        </is>
      </c>
      <c r="S1153" s="188" t="inlineStr">
        <is>
          <t>Phishing URL</t>
        </is>
      </c>
      <c r="T1153" s="188" t="n">
        <v>0</v>
      </c>
      <c r="U1153" s="188" t="n">
        <v>0</v>
      </c>
      <c r="V1153" s="188" t="inlineStr">
        <is>
          <t>T1566:Phishing | T1566.002:Spearphishing Link</t>
        </is>
      </c>
      <c r="W1153" s="188" t="n">
        <v>1</v>
      </c>
      <c r="X1153" s="188" t="inlineStr">
        <is>
          <t>LOW (40%)</t>
        </is>
      </c>
      <c r="Y1153" s="188" t="inlineStr">
        <is>
          <t>NONE</t>
        </is>
      </c>
      <c r="Z1153" s="188" t="inlineStr">
        <is>
          <t>NONE</t>
        </is>
      </c>
      <c r="AA1153" s="188" t="inlineStr">
        <is>
          <t>https://girl.indonesiya.com/?m=1</t>
        </is>
      </c>
      <c r="AB1153" s="188" t="inlineStr">
        <is>
          <t>NONE</t>
        </is>
      </c>
      <c r="AC1153" s="188" t="n">
        <v>0</v>
      </c>
      <c r="AD1153" s="188" t="inlineStr"/>
    </row>
    <row r="1154">
      <c r="A1154" s="188" t="inlineStr">
        <is>
          <t>PHISH</t>
        </is>
      </c>
      <c r="B1154" s="188" t="inlineStr"/>
      <c r="C1154" s="188" t="inlineStr">
        <is>
          <t>Phishing site targeting: abhiruproy599.github.io | URL: http://abhiruproy599.github.io/amazon-clone</t>
        </is>
      </c>
      <c r="D1154" s="188" t="n">
        <v>6</v>
      </c>
      <c r="E1154" s="188" t="inlineStr">
        <is>
          <t>MEDIUM</t>
        </is>
      </c>
      <c r="F1154" s="188" t="n">
        <v>3</v>
      </c>
      <c r="G1154" s="188" t="n">
        <v>1</v>
      </c>
      <c r="H1154" s="188" t="inlineStr">
        <is>
          <t>MEDIUM</t>
        </is>
      </c>
      <c r="I1154" s="188" t="n">
        <v>9</v>
      </c>
      <c r="J1154" s="188" t="inlineStr">
        <is>
          <t>NO</t>
        </is>
      </c>
      <c r="K1154" s="188" t="inlineStr">
        <is>
          <t>http://abhiruproy599.github.io/amazon-clone</t>
        </is>
      </c>
      <c r="L1154" s="188" t="inlineStr">
        <is>
          <t>2026-02-27T18:17:32+00:00</t>
        </is>
      </c>
      <c r="M1154" s="188" t="inlineStr">
        <is>
          <t>Block URL</t>
        </is>
      </c>
      <c r="N1154" s="188" t="inlineStr">
        <is>
          <t>http://abhiruproy599.github.io/amazon-clone</t>
        </is>
      </c>
      <c r="O1154" s="188" t="inlineStr">
        <is>
          <t>Block phishing URL | Warn users about abhiruproy599.github.io impersonation</t>
        </is>
      </c>
      <c r="P1154" s="188" t="inlineStr">
        <is>
          <t>Email users / abhiruproy599.github.io</t>
        </is>
      </c>
      <c r="Q1154" s="188" t="inlineStr">
        <is>
          <t>P4</t>
        </is>
      </c>
      <c r="R1154" s="188" t="inlineStr">
        <is>
          <t>🚫 Block URLs in web proxy/firewall | 📧 Update email security filters | 👥 User awareness training recommended</t>
        </is>
      </c>
      <c r="S1154" s="188" t="inlineStr">
        <is>
          <t>Phishing URL</t>
        </is>
      </c>
      <c r="T1154" s="188" t="n">
        <v>0</v>
      </c>
      <c r="U1154" s="188" t="n">
        <v>0</v>
      </c>
      <c r="V1154" s="188" t="inlineStr">
        <is>
          <t>T1566:Phishing | T1566.002:Spearphishing Link</t>
        </is>
      </c>
      <c r="W1154" s="188" t="n">
        <v>1</v>
      </c>
      <c r="X1154" s="188" t="inlineStr">
        <is>
          <t>LOW (40%)</t>
        </is>
      </c>
      <c r="Y1154" s="188" t="inlineStr">
        <is>
          <t>NONE</t>
        </is>
      </c>
      <c r="Z1154" s="188" t="inlineStr">
        <is>
          <t>NONE</t>
        </is>
      </c>
      <c r="AA1154" s="188" t="inlineStr">
        <is>
          <t>http://abhiruproy599.github.io/amazon-clone</t>
        </is>
      </c>
      <c r="AB1154" s="188" t="inlineStr">
        <is>
          <t>NONE</t>
        </is>
      </c>
      <c r="AC1154" s="188" t="n">
        <v>0</v>
      </c>
      <c r="AD1154" s="188" t="inlineStr"/>
    </row>
    <row r="1155">
      <c r="A1155" s="188" t="inlineStr">
        <is>
          <t>PHISH</t>
        </is>
      </c>
      <c r="B1155" s="188" t="inlineStr"/>
      <c r="C1155" s="188" t="inlineStr">
        <is>
          <t>Phishing site targeting: www.apple-care101eow.vercel.app | URL: https://www.apple-care101eow.vercel.app/</t>
        </is>
      </c>
      <c r="D1155" s="188" t="n">
        <v>6</v>
      </c>
      <c r="E1155" s="188" t="inlineStr">
        <is>
          <t>MEDIUM</t>
        </is>
      </c>
      <c r="F1155" s="188" t="n">
        <v>3</v>
      </c>
      <c r="G1155" s="188" t="n">
        <v>1</v>
      </c>
      <c r="H1155" s="188" t="inlineStr">
        <is>
          <t>MEDIUM</t>
        </is>
      </c>
      <c r="I1155" s="188" t="n">
        <v>9</v>
      </c>
      <c r="J1155" s="188" t="inlineStr">
        <is>
          <t>NO</t>
        </is>
      </c>
      <c r="K1155" s="188" t="inlineStr">
        <is>
          <t>https://www.apple-care101eow.vercel.app/</t>
        </is>
      </c>
      <c r="L1155" s="188" t="inlineStr">
        <is>
          <t>2026-02-27T18:17:32+00:00</t>
        </is>
      </c>
      <c r="M1155" s="188" t="inlineStr">
        <is>
          <t>Block URL</t>
        </is>
      </c>
      <c r="N1155" s="188" t="inlineStr">
        <is>
          <t>https://www.apple-care101eow.vercel.app/</t>
        </is>
      </c>
      <c r="O1155" s="188" t="inlineStr">
        <is>
          <t>Block phishing URL | Warn users about www.apple-care101eow.vercel.app impersonation</t>
        </is>
      </c>
      <c r="P1155" s="188" t="inlineStr">
        <is>
          <t>Email users / www.apple-care101eow.vercel.app</t>
        </is>
      </c>
      <c r="Q1155" s="188" t="inlineStr">
        <is>
          <t>P4</t>
        </is>
      </c>
      <c r="R1155" s="188" t="inlineStr">
        <is>
          <t>🚫 Block URLs in web proxy/firewall | 📧 Update email security filters | 👥 User awareness training recommended</t>
        </is>
      </c>
      <c r="S1155" s="188" t="inlineStr">
        <is>
          <t>Phishing URL</t>
        </is>
      </c>
      <c r="T1155" s="188" t="n">
        <v>0</v>
      </c>
      <c r="U1155" s="188" t="n">
        <v>0</v>
      </c>
      <c r="V1155" s="188" t="inlineStr">
        <is>
          <t>T1566:Phishing | T1566.002:Spearphishing Link</t>
        </is>
      </c>
      <c r="W1155" s="188" t="n">
        <v>1</v>
      </c>
      <c r="X1155" s="188" t="inlineStr">
        <is>
          <t>LOW (40%)</t>
        </is>
      </c>
      <c r="Y1155" s="188" t="inlineStr">
        <is>
          <t>NONE</t>
        </is>
      </c>
      <c r="Z1155" s="188" t="inlineStr">
        <is>
          <t>NONE</t>
        </is>
      </c>
      <c r="AA1155" s="188" t="inlineStr">
        <is>
          <t>https://www.apple-care101eow.vercel.app/</t>
        </is>
      </c>
      <c r="AB1155" s="188" t="inlineStr">
        <is>
          <t>NONE</t>
        </is>
      </c>
      <c r="AC1155" s="188" t="n">
        <v>0</v>
      </c>
      <c r="AD1155" s="188" t="inlineStr"/>
    </row>
    <row r="1156">
      <c r="A1156" s="188" t="inlineStr">
        <is>
          <t>PHISH</t>
        </is>
      </c>
      <c r="B1156" s="188" t="inlineStr"/>
      <c r="C1156" s="188" t="inlineStr">
        <is>
          <t>Phishing site targeting: airbnb-seven-lime.vercel.app | URL: http://airbnb-seven-lime.vercel.app/</t>
        </is>
      </c>
      <c r="D1156" s="188" t="n">
        <v>6</v>
      </c>
      <c r="E1156" s="188" t="inlineStr">
        <is>
          <t>MEDIUM</t>
        </is>
      </c>
      <c r="F1156" s="188" t="n">
        <v>3</v>
      </c>
      <c r="G1156" s="188" t="n">
        <v>1</v>
      </c>
      <c r="H1156" s="188" t="inlineStr">
        <is>
          <t>MEDIUM</t>
        </is>
      </c>
      <c r="I1156" s="188" t="n">
        <v>9</v>
      </c>
      <c r="J1156" s="188" t="inlineStr">
        <is>
          <t>NO</t>
        </is>
      </c>
      <c r="K1156" s="188" t="inlineStr">
        <is>
          <t>http://airbnb-seven-lime.vercel.app/</t>
        </is>
      </c>
      <c r="L1156" s="188" t="inlineStr">
        <is>
          <t>2026-02-27T18:17:32+00:00</t>
        </is>
      </c>
      <c r="M1156" s="188" t="inlineStr">
        <is>
          <t>Block URL</t>
        </is>
      </c>
      <c r="N1156" s="188" t="inlineStr">
        <is>
          <t>http://airbnb-seven-lime.vercel.app/</t>
        </is>
      </c>
      <c r="O1156" s="188" t="inlineStr">
        <is>
          <t>Block phishing URL | Warn users about airbnb-seven-lime.vercel.app impersonation</t>
        </is>
      </c>
      <c r="P1156" s="188" t="inlineStr">
        <is>
          <t>Email users / airbnb-seven-lime.vercel.app</t>
        </is>
      </c>
      <c r="Q1156" s="188" t="inlineStr">
        <is>
          <t>P4</t>
        </is>
      </c>
      <c r="R1156" s="188" t="inlineStr">
        <is>
          <t>🚫 Block URLs in web proxy/firewall | 📧 Update email security filters | 👥 User awareness training recommended</t>
        </is>
      </c>
      <c r="S1156" s="188" t="inlineStr">
        <is>
          <t>Phishing URL</t>
        </is>
      </c>
      <c r="T1156" s="188" t="n">
        <v>0</v>
      </c>
      <c r="U1156" s="188" t="n">
        <v>0</v>
      </c>
      <c r="V1156" s="188" t="inlineStr">
        <is>
          <t>T1566:Phishing | T1566.002:Spearphishing Link</t>
        </is>
      </c>
      <c r="W1156" s="188" t="n">
        <v>1</v>
      </c>
      <c r="X1156" s="188" t="inlineStr">
        <is>
          <t>LOW (40%)</t>
        </is>
      </c>
      <c r="Y1156" s="188" t="inlineStr">
        <is>
          <t>NONE</t>
        </is>
      </c>
      <c r="Z1156" s="188" t="inlineStr">
        <is>
          <t>NONE</t>
        </is>
      </c>
      <c r="AA1156" s="188" t="inlineStr">
        <is>
          <t>http://airbnb-seven-lime.vercel.app/</t>
        </is>
      </c>
      <c r="AB1156" s="188" t="inlineStr">
        <is>
          <t>NONE</t>
        </is>
      </c>
      <c r="AC1156" s="188" t="n">
        <v>0</v>
      </c>
      <c r="AD1156" s="188" t="inlineStr"/>
    </row>
    <row r="1157">
      <c r="A1157" s="188" t="inlineStr">
        <is>
          <t>PHISH</t>
        </is>
      </c>
      <c r="B1157" s="188" t="inlineStr"/>
      <c r="C1157" s="188" t="inlineStr">
        <is>
          <t>Phishing site targeting: eu.jotform.com | URL: http://eu.jotform.com/app/251738103149354</t>
        </is>
      </c>
      <c r="D1157" s="188" t="n">
        <v>6</v>
      </c>
      <c r="E1157" s="188" t="inlineStr">
        <is>
          <t>MEDIUM</t>
        </is>
      </c>
      <c r="F1157" s="188" t="n">
        <v>3</v>
      </c>
      <c r="G1157" s="188" t="n">
        <v>1</v>
      </c>
      <c r="H1157" s="188" t="inlineStr">
        <is>
          <t>MEDIUM</t>
        </is>
      </c>
      <c r="I1157" s="188" t="n">
        <v>9</v>
      </c>
      <c r="J1157" s="188" t="inlineStr">
        <is>
          <t>NO</t>
        </is>
      </c>
      <c r="K1157" s="188" t="inlineStr">
        <is>
          <t>http://eu.jotform.com/app/251738103149354</t>
        </is>
      </c>
      <c r="L1157" s="188" t="inlineStr">
        <is>
          <t>2026-02-27T18:17:32+00:00</t>
        </is>
      </c>
      <c r="M1157" s="188" t="inlineStr">
        <is>
          <t>Block URL</t>
        </is>
      </c>
      <c r="N1157" s="188" t="inlineStr">
        <is>
          <t>http://eu.jotform.com/app/251738103149354</t>
        </is>
      </c>
      <c r="O1157" s="188" t="inlineStr">
        <is>
          <t>Block phishing URL | Warn users about eu.jotform.com impersonation</t>
        </is>
      </c>
      <c r="P1157" s="188" t="inlineStr">
        <is>
          <t>Email users / eu.jotform.com</t>
        </is>
      </c>
      <c r="Q1157" s="188" t="inlineStr">
        <is>
          <t>P4</t>
        </is>
      </c>
      <c r="R1157" s="188" t="inlineStr">
        <is>
          <t>🚫 Block URLs in web proxy/firewall | 📧 Update email security filters | 👥 User awareness training recommended</t>
        </is>
      </c>
      <c r="S1157" s="188" t="inlineStr">
        <is>
          <t>Phishing URL</t>
        </is>
      </c>
      <c r="T1157" s="188" t="n">
        <v>0</v>
      </c>
      <c r="U1157" s="188" t="n">
        <v>0</v>
      </c>
      <c r="V1157" s="188" t="inlineStr">
        <is>
          <t>T1566:Phishing | T1566.002:Spearphishing Link</t>
        </is>
      </c>
      <c r="W1157" s="188" t="n">
        <v>1</v>
      </c>
      <c r="X1157" s="188" t="inlineStr">
        <is>
          <t>LOW (40%)</t>
        </is>
      </c>
      <c r="Y1157" s="188" t="inlineStr">
        <is>
          <t>NONE</t>
        </is>
      </c>
      <c r="Z1157" s="188" t="inlineStr">
        <is>
          <t>NONE</t>
        </is>
      </c>
      <c r="AA1157" s="188" t="inlineStr">
        <is>
          <t>http://eu.jotform.com/app/251738103149354</t>
        </is>
      </c>
      <c r="AB1157" s="188" t="inlineStr">
        <is>
          <t>NONE</t>
        </is>
      </c>
      <c r="AC1157" s="188" t="n">
        <v>0</v>
      </c>
      <c r="AD1157" s="188" t="inlineStr"/>
    </row>
    <row r="1158">
      <c r="A1158" s="188" t="inlineStr">
        <is>
          <t>PHISH</t>
        </is>
      </c>
      <c r="B1158" s="188" t="inlineStr"/>
      <c r="C1158" s="188" t="inlineStr">
        <is>
          <t>Phishing site targeting: easybanktheface.vercel.app | URL: https://easybanktheface.vercel.app/</t>
        </is>
      </c>
      <c r="D1158" s="188" t="n">
        <v>6</v>
      </c>
      <c r="E1158" s="188" t="inlineStr">
        <is>
          <t>MEDIUM</t>
        </is>
      </c>
      <c r="F1158" s="188" t="n">
        <v>3</v>
      </c>
      <c r="G1158" s="188" t="n">
        <v>1</v>
      </c>
      <c r="H1158" s="188" t="inlineStr">
        <is>
          <t>MEDIUM</t>
        </is>
      </c>
      <c r="I1158" s="188" t="n">
        <v>9</v>
      </c>
      <c r="J1158" s="188" t="inlineStr">
        <is>
          <t>NO</t>
        </is>
      </c>
      <c r="K1158" s="188" t="inlineStr">
        <is>
          <t>https://easybanktheface.vercel.app/</t>
        </is>
      </c>
      <c r="L1158" s="188" t="inlineStr">
        <is>
          <t>2026-02-27T18:17:32+00:00</t>
        </is>
      </c>
      <c r="M1158" s="188" t="inlineStr">
        <is>
          <t>Block URL</t>
        </is>
      </c>
      <c r="N1158" s="188" t="inlineStr">
        <is>
          <t>https://easybanktheface.vercel.app/</t>
        </is>
      </c>
      <c r="O1158" s="188" t="inlineStr">
        <is>
          <t>Block phishing URL | Warn users about easybanktheface.vercel.app impersonation</t>
        </is>
      </c>
      <c r="P1158" s="188" t="inlineStr">
        <is>
          <t>Email users / easybanktheface.vercel.app</t>
        </is>
      </c>
      <c r="Q1158" s="188" t="inlineStr">
        <is>
          <t>P4</t>
        </is>
      </c>
      <c r="R1158" s="188" t="inlineStr">
        <is>
          <t>🚫 Block URLs in web proxy/firewall | 📧 Update email security filters | 👥 User awareness training recommended</t>
        </is>
      </c>
      <c r="S1158" s="188" t="inlineStr">
        <is>
          <t>Phishing URL</t>
        </is>
      </c>
      <c r="T1158" s="188" t="n">
        <v>0</v>
      </c>
      <c r="U1158" s="188" t="n">
        <v>0</v>
      </c>
      <c r="V1158" s="188" t="inlineStr">
        <is>
          <t>T1566:Phishing | T1566.002:Spearphishing Link</t>
        </is>
      </c>
      <c r="W1158" s="188" t="n">
        <v>1</v>
      </c>
      <c r="X1158" s="188" t="inlineStr">
        <is>
          <t>LOW (40%)</t>
        </is>
      </c>
      <c r="Y1158" s="188" t="inlineStr">
        <is>
          <t>NONE</t>
        </is>
      </c>
      <c r="Z1158" s="188" t="inlineStr">
        <is>
          <t>NONE</t>
        </is>
      </c>
      <c r="AA1158" s="188" t="inlineStr">
        <is>
          <t>https://easybanktheface.vercel.app/</t>
        </is>
      </c>
      <c r="AB1158" s="188" t="inlineStr">
        <is>
          <t>NONE</t>
        </is>
      </c>
      <c r="AC1158" s="188" t="n">
        <v>0</v>
      </c>
      <c r="AD1158" s="188" t="inlineStr"/>
    </row>
    <row r="1159">
      <c r="A1159" s="188" t="inlineStr">
        <is>
          <t>PHISH</t>
        </is>
      </c>
      <c r="B1159" s="188" t="inlineStr"/>
      <c r="C1159" s="188" t="inlineStr">
        <is>
          <t>Phishing site targeting: www.easybanktheface.vercel.app | URL: https://www.easybanktheface.vercel.app/</t>
        </is>
      </c>
      <c r="D1159" s="188" t="n">
        <v>6</v>
      </c>
      <c r="E1159" s="188" t="inlineStr">
        <is>
          <t>MEDIUM</t>
        </is>
      </c>
      <c r="F1159" s="188" t="n">
        <v>3</v>
      </c>
      <c r="G1159" s="188" t="n">
        <v>1</v>
      </c>
      <c r="H1159" s="188" t="inlineStr">
        <is>
          <t>MEDIUM</t>
        </is>
      </c>
      <c r="I1159" s="188" t="n">
        <v>9</v>
      </c>
      <c r="J1159" s="188" t="inlineStr">
        <is>
          <t>NO</t>
        </is>
      </c>
      <c r="K1159" s="188" t="inlineStr">
        <is>
          <t>https://www.easybanktheface.vercel.app/</t>
        </is>
      </c>
      <c r="L1159" s="188" t="inlineStr">
        <is>
          <t>2026-02-27T18:17:32+00:00</t>
        </is>
      </c>
      <c r="M1159" s="188" t="inlineStr">
        <is>
          <t>Block URL</t>
        </is>
      </c>
      <c r="N1159" s="188" t="inlineStr">
        <is>
          <t>https://www.easybanktheface.vercel.app/</t>
        </is>
      </c>
      <c r="O1159" s="188" t="inlineStr">
        <is>
          <t>Block phishing URL | Warn users about www.easybanktheface.vercel.app impersonation</t>
        </is>
      </c>
      <c r="P1159" s="188" t="inlineStr">
        <is>
          <t>Email users / www.easybanktheface.vercel.app</t>
        </is>
      </c>
      <c r="Q1159" s="188" t="inlineStr">
        <is>
          <t>P4</t>
        </is>
      </c>
      <c r="R1159" s="188" t="inlineStr">
        <is>
          <t>🚫 Block URLs in web proxy/firewall | 📧 Update email security filters | 👥 User awareness training recommended</t>
        </is>
      </c>
      <c r="S1159" s="188" t="inlineStr">
        <is>
          <t>Phishing URL</t>
        </is>
      </c>
      <c r="T1159" s="188" t="n">
        <v>0</v>
      </c>
      <c r="U1159" s="188" t="n">
        <v>0</v>
      </c>
      <c r="V1159" s="188" t="inlineStr">
        <is>
          <t>T1566:Phishing | T1566.002:Spearphishing Link</t>
        </is>
      </c>
      <c r="W1159" s="188" t="n">
        <v>1</v>
      </c>
      <c r="X1159" s="188" t="inlineStr">
        <is>
          <t>LOW (40%)</t>
        </is>
      </c>
      <c r="Y1159" s="188" t="inlineStr">
        <is>
          <t>NONE</t>
        </is>
      </c>
      <c r="Z1159" s="188" t="inlineStr">
        <is>
          <t>NONE</t>
        </is>
      </c>
      <c r="AA1159" s="188" t="inlineStr">
        <is>
          <t>https://www.easybanktheface.vercel.app/</t>
        </is>
      </c>
      <c r="AB1159" s="188" t="inlineStr">
        <is>
          <t>NONE</t>
        </is>
      </c>
      <c r="AC1159" s="188" t="n">
        <v>0</v>
      </c>
      <c r="AD1159" s="188" t="inlineStr"/>
    </row>
    <row r="1160">
      <c r="A1160" s="188" t="inlineStr">
        <is>
          <t>PHISH</t>
        </is>
      </c>
      <c r="B1160" s="188" t="inlineStr"/>
      <c r="C1160" s="188" t="inlineStr">
        <is>
          <t>Phishing site targeting: airbnb-clone-farukipekcom.vercel.app | URL: https://airbnb-clone-farukipekcom.vercel.app/wanderlust.html</t>
        </is>
      </c>
      <c r="D1160" s="188" t="n">
        <v>6</v>
      </c>
      <c r="E1160" s="188" t="inlineStr">
        <is>
          <t>MEDIUM</t>
        </is>
      </c>
      <c r="F1160" s="188" t="n">
        <v>3</v>
      </c>
      <c r="G1160" s="188" t="n">
        <v>1</v>
      </c>
      <c r="H1160" s="188" t="inlineStr">
        <is>
          <t>MEDIUM</t>
        </is>
      </c>
      <c r="I1160" s="188" t="n">
        <v>9</v>
      </c>
      <c r="J1160" s="188" t="inlineStr">
        <is>
          <t>NO</t>
        </is>
      </c>
      <c r="K1160" s="188" t="inlineStr">
        <is>
          <t>https://airbnb-clone-farukipekcom.vercel.app/wanderlust.html</t>
        </is>
      </c>
      <c r="L1160" s="188" t="inlineStr">
        <is>
          <t>2026-02-27T18:17:32+00:00</t>
        </is>
      </c>
      <c r="M1160" s="188" t="inlineStr">
        <is>
          <t>Block URL</t>
        </is>
      </c>
      <c r="N1160" s="188" t="inlineStr">
        <is>
          <t>https://airbnb-clone-farukipekcom.vercel.app/wanderlust.html</t>
        </is>
      </c>
      <c r="O1160" s="188" t="inlineStr">
        <is>
          <t>Block phishing URL | Warn users about airbnb-clone-farukipekcom.vercel.app impersonation</t>
        </is>
      </c>
      <c r="P1160" s="188" t="inlineStr">
        <is>
          <t>Email users / airbnb-clone-farukipekcom.vercel.app</t>
        </is>
      </c>
      <c r="Q1160" s="188" t="inlineStr">
        <is>
          <t>P4</t>
        </is>
      </c>
      <c r="R1160" s="188" t="inlineStr">
        <is>
          <t>🚫 Block URLs in web proxy/firewall | 📧 Update email security filters | 👥 User awareness training recommended</t>
        </is>
      </c>
      <c r="S1160" s="188" t="inlineStr">
        <is>
          <t>Phishing URL</t>
        </is>
      </c>
      <c r="T1160" s="188" t="n">
        <v>0</v>
      </c>
      <c r="U1160" s="188" t="n">
        <v>0</v>
      </c>
      <c r="V1160" s="188" t="inlineStr">
        <is>
          <t>T1566:Phishing | T1566.002:Spearphishing Link</t>
        </is>
      </c>
      <c r="W1160" s="188" t="n">
        <v>1</v>
      </c>
      <c r="X1160" s="188" t="inlineStr">
        <is>
          <t>LOW (40%)</t>
        </is>
      </c>
      <c r="Y1160" s="188" t="inlineStr">
        <is>
          <t>NONE</t>
        </is>
      </c>
      <c r="Z1160" s="188" t="inlineStr">
        <is>
          <t>NONE</t>
        </is>
      </c>
      <c r="AA1160" s="188" t="inlineStr">
        <is>
          <t>https://airbnb-clone-farukipekcom.vercel.app/wanderlust.html</t>
        </is>
      </c>
      <c r="AB1160" s="188" t="inlineStr">
        <is>
          <t>NONE</t>
        </is>
      </c>
      <c r="AC1160" s="188" t="n">
        <v>0</v>
      </c>
      <c r="AD1160" s="188" t="inlineStr"/>
    </row>
    <row r="1161">
      <c r="A1161" s="188" t="inlineStr">
        <is>
          <t>PHISH</t>
        </is>
      </c>
      <c r="B1161" s="188" t="inlineStr"/>
      <c r="C1161" s="188" t="inlineStr">
        <is>
          <t>Phishing site targeting: gemkilfygu.godaddysites.com | URL: http://gemkilfygu.godaddysites.com/</t>
        </is>
      </c>
      <c r="D1161" s="188" t="n">
        <v>6</v>
      </c>
      <c r="E1161" s="188" t="inlineStr">
        <is>
          <t>MEDIUM</t>
        </is>
      </c>
      <c r="F1161" s="188" t="n">
        <v>3</v>
      </c>
      <c r="G1161" s="188" t="n">
        <v>1</v>
      </c>
      <c r="H1161" s="188" t="inlineStr">
        <is>
          <t>MEDIUM</t>
        </is>
      </c>
      <c r="I1161" s="188" t="n">
        <v>9</v>
      </c>
      <c r="J1161" s="188" t="inlineStr">
        <is>
          <t>NO</t>
        </is>
      </c>
      <c r="K1161" s="188" t="inlineStr">
        <is>
          <t>http://gemkilfygu.godaddysites.com/</t>
        </is>
      </c>
      <c r="L1161" s="188" t="inlineStr">
        <is>
          <t>2026-02-27T18:17:32+00:00</t>
        </is>
      </c>
      <c r="M1161" s="188" t="inlineStr">
        <is>
          <t>Block URL</t>
        </is>
      </c>
      <c r="N1161" s="188" t="inlineStr">
        <is>
          <t>http://gemkilfygu.godaddysites.com/</t>
        </is>
      </c>
      <c r="O1161" s="188" t="inlineStr">
        <is>
          <t>Block phishing URL | Warn users about gemkilfygu.godaddysites.com impersonation</t>
        </is>
      </c>
      <c r="P1161" s="188" t="inlineStr">
        <is>
          <t>Email users / gemkilfygu.godaddysites.com</t>
        </is>
      </c>
      <c r="Q1161" s="188" t="inlineStr">
        <is>
          <t>P4</t>
        </is>
      </c>
      <c r="R1161" s="188" t="inlineStr">
        <is>
          <t>🚫 Block URLs in web proxy/firewall | 📧 Update email security filters | 👥 User awareness training recommended</t>
        </is>
      </c>
      <c r="S1161" s="188" t="inlineStr">
        <is>
          <t>Phishing URL</t>
        </is>
      </c>
      <c r="T1161" s="188" t="n">
        <v>0</v>
      </c>
      <c r="U1161" s="188" t="n">
        <v>0</v>
      </c>
      <c r="V1161" s="188" t="inlineStr">
        <is>
          <t>T1566:Phishing | T1566.002:Spearphishing Link</t>
        </is>
      </c>
      <c r="W1161" s="188" t="n">
        <v>1</v>
      </c>
      <c r="X1161" s="188" t="inlineStr">
        <is>
          <t>LOW (40%)</t>
        </is>
      </c>
      <c r="Y1161" s="188" t="inlineStr">
        <is>
          <t>NONE</t>
        </is>
      </c>
      <c r="Z1161" s="188" t="inlineStr">
        <is>
          <t>NONE</t>
        </is>
      </c>
      <c r="AA1161" s="188" t="inlineStr">
        <is>
          <t>http://gemkilfygu.godaddysites.com/</t>
        </is>
      </c>
      <c r="AB1161" s="188" t="inlineStr">
        <is>
          <t>NONE</t>
        </is>
      </c>
      <c r="AC1161" s="188" t="n">
        <v>0</v>
      </c>
      <c r="AD1161" s="188" t="inlineStr"/>
    </row>
    <row r="1162">
      <c r="A1162" s="188" t="inlineStr">
        <is>
          <t>PHISH</t>
        </is>
      </c>
      <c r="B1162" s="188" t="inlineStr"/>
      <c r="C1162" s="188" t="inlineStr">
        <is>
          <t>Phishing site targeting: pub-502b05dd72194beeb3dbb59e5ca29d96.r2.dev | URL: http://pub-502b05dd72194beeb3dbb59e5ca29d96.r2.dev/index.html</t>
        </is>
      </c>
      <c r="D1162" s="188" t="n">
        <v>6</v>
      </c>
      <c r="E1162" s="188" t="inlineStr">
        <is>
          <t>MEDIUM</t>
        </is>
      </c>
      <c r="F1162" s="188" t="n">
        <v>3</v>
      </c>
      <c r="G1162" s="188" t="n">
        <v>1</v>
      </c>
      <c r="H1162" s="188" t="inlineStr">
        <is>
          <t>MEDIUM</t>
        </is>
      </c>
      <c r="I1162" s="188" t="n">
        <v>9</v>
      </c>
      <c r="J1162" s="188" t="inlineStr">
        <is>
          <t>NO</t>
        </is>
      </c>
      <c r="K1162" s="188" t="inlineStr">
        <is>
          <t>http://pub-502b05dd72194beeb3dbb59e5ca29d96.r2.dev/index.html</t>
        </is>
      </c>
      <c r="L1162" s="188" t="inlineStr">
        <is>
          <t>2026-02-27T18:17:32+00:00</t>
        </is>
      </c>
      <c r="M1162" s="188" t="inlineStr">
        <is>
          <t>Block URL</t>
        </is>
      </c>
      <c r="N1162" s="188" t="inlineStr">
        <is>
          <t>http://pub-502b05dd72194beeb3dbb59e5ca29d96.r2.dev/index.html</t>
        </is>
      </c>
      <c r="O1162" s="188" t="inlineStr">
        <is>
          <t>Block phishing URL | Warn users about pub-502b05dd72194beeb3dbb59e5ca29d96.r2.dev impersonation</t>
        </is>
      </c>
      <c r="P1162" s="188" t="inlineStr">
        <is>
          <t>Email users / pub-502b05dd72194beeb3dbb59e5ca29d96.r2.dev</t>
        </is>
      </c>
      <c r="Q1162" s="188" t="inlineStr">
        <is>
          <t>P4</t>
        </is>
      </c>
      <c r="R1162" s="188" t="inlineStr">
        <is>
          <t>🚫 Block URLs in web proxy/firewall | 📧 Update email security filters | 👥 User awareness training recommended</t>
        </is>
      </c>
      <c r="S1162" s="188" t="inlineStr">
        <is>
          <t>Phishing URL</t>
        </is>
      </c>
      <c r="T1162" s="188" t="n">
        <v>0</v>
      </c>
      <c r="U1162" s="188" t="n">
        <v>0</v>
      </c>
      <c r="V1162" s="188" t="inlineStr">
        <is>
          <t>T1566:Phishing | T1566.002:Spearphishing Link</t>
        </is>
      </c>
      <c r="W1162" s="188" t="n">
        <v>1</v>
      </c>
      <c r="X1162" s="188" t="inlineStr">
        <is>
          <t>LOW (40%)</t>
        </is>
      </c>
      <c r="Y1162" s="188" t="inlineStr">
        <is>
          <t>NONE</t>
        </is>
      </c>
      <c r="Z1162" s="188" t="inlineStr">
        <is>
          <t>NONE</t>
        </is>
      </c>
      <c r="AA1162" s="188" t="inlineStr">
        <is>
          <t>http://pub-502b05dd72194beeb3dbb59e5ca29d96.r2.dev/index.html</t>
        </is>
      </c>
      <c r="AB1162" s="188" t="inlineStr">
        <is>
          <t>NONE</t>
        </is>
      </c>
      <c r="AC1162" s="188" t="n">
        <v>0</v>
      </c>
      <c r="AD1162" s="188" t="inlineStr"/>
    </row>
    <row r="1163">
      <c r="A1163" s="188" t="inlineStr">
        <is>
          <t>PHISH</t>
        </is>
      </c>
      <c r="B1163" s="188" t="inlineStr"/>
      <c r="C1163" s="188" t="inlineStr">
        <is>
          <t>Phishing site targeting: bsb.test.nidgecloud.com | URL: http://bsb.test.nidgecloud.com/sm2</t>
        </is>
      </c>
      <c r="D1163" s="188" t="n">
        <v>6</v>
      </c>
      <c r="E1163" s="188" t="inlineStr">
        <is>
          <t>MEDIUM</t>
        </is>
      </c>
      <c r="F1163" s="188" t="n">
        <v>3</v>
      </c>
      <c r="G1163" s="188" t="n">
        <v>1</v>
      </c>
      <c r="H1163" s="188" t="inlineStr">
        <is>
          <t>MEDIUM</t>
        </is>
      </c>
      <c r="I1163" s="188" t="n">
        <v>9</v>
      </c>
      <c r="J1163" s="188" t="inlineStr">
        <is>
          <t>NO</t>
        </is>
      </c>
      <c r="K1163" s="188" t="inlineStr">
        <is>
          <t>http://bsb.test.nidgecloud.com/sm2</t>
        </is>
      </c>
      <c r="L1163" s="188" t="inlineStr">
        <is>
          <t>2026-02-27T18:17:32+00:00</t>
        </is>
      </c>
      <c r="M1163" s="188" t="inlineStr">
        <is>
          <t>Block URL</t>
        </is>
      </c>
      <c r="N1163" s="188" t="inlineStr">
        <is>
          <t>http://bsb.test.nidgecloud.com/sm2</t>
        </is>
      </c>
      <c r="O1163" s="188" t="inlineStr">
        <is>
          <t>Block phishing URL | Warn users about bsb.test.nidgecloud.com impersonation</t>
        </is>
      </c>
      <c r="P1163" s="188" t="inlineStr">
        <is>
          <t>Email users / bsb.test.nidgecloud.com</t>
        </is>
      </c>
      <c r="Q1163" s="188" t="inlineStr">
        <is>
          <t>P4</t>
        </is>
      </c>
      <c r="R1163" s="188" t="inlineStr">
        <is>
          <t>🚫 Block URLs in web proxy/firewall | 📧 Update email security filters | 👥 User awareness training recommended</t>
        </is>
      </c>
      <c r="S1163" s="188" t="inlineStr">
        <is>
          <t>Phishing URL</t>
        </is>
      </c>
      <c r="T1163" s="188" t="n">
        <v>0</v>
      </c>
      <c r="U1163" s="188" t="n">
        <v>0</v>
      </c>
      <c r="V1163" s="188" t="inlineStr">
        <is>
          <t>T1566:Phishing | T1566.002:Spearphishing Link</t>
        </is>
      </c>
      <c r="W1163" s="188" t="n">
        <v>1</v>
      </c>
      <c r="X1163" s="188" t="inlineStr">
        <is>
          <t>LOW (40%)</t>
        </is>
      </c>
      <c r="Y1163" s="188" t="inlineStr">
        <is>
          <t>NONE</t>
        </is>
      </c>
      <c r="Z1163" s="188" t="inlineStr">
        <is>
          <t>NONE</t>
        </is>
      </c>
      <c r="AA1163" s="188" t="inlineStr">
        <is>
          <t>http://bsb.test.nidgecloud.com/sm2</t>
        </is>
      </c>
      <c r="AB1163" s="188" t="inlineStr">
        <is>
          <t>NONE</t>
        </is>
      </c>
      <c r="AC1163" s="188" t="n">
        <v>0</v>
      </c>
      <c r="AD1163" s="188" t="inlineStr"/>
    </row>
    <row r="1164">
      <c r="A1164" s="188" t="inlineStr">
        <is>
          <t>PHISH</t>
        </is>
      </c>
      <c r="B1164" s="188" t="inlineStr"/>
      <c r="C1164" s="188" t="inlineStr">
        <is>
          <t>Phishing site targeting: dtw.qlp.mybluehost.me | URL: https://dtw.qlp.mybluehost.me/input/login.php</t>
        </is>
      </c>
      <c r="D1164" s="188" t="n">
        <v>6</v>
      </c>
      <c r="E1164" s="188" t="inlineStr">
        <is>
          <t>MEDIUM</t>
        </is>
      </c>
      <c r="F1164" s="188" t="n">
        <v>3</v>
      </c>
      <c r="G1164" s="188" t="n">
        <v>1</v>
      </c>
      <c r="H1164" s="188" t="inlineStr">
        <is>
          <t>MEDIUM</t>
        </is>
      </c>
      <c r="I1164" s="188" t="n">
        <v>9</v>
      </c>
      <c r="J1164" s="188" t="inlineStr">
        <is>
          <t>NO</t>
        </is>
      </c>
      <c r="K1164" s="188" t="inlineStr">
        <is>
          <t>https://dtw.qlp.mybluehost.me/input/login.php</t>
        </is>
      </c>
      <c r="L1164" s="188" t="inlineStr">
        <is>
          <t>2026-02-27T18:17:32+00:00</t>
        </is>
      </c>
      <c r="M1164" s="188" t="inlineStr">
        <is>
          <t>Block URL</t>
        </is>
      </c>
      <c r="N1164" s="188" t="inlineStr">
        <is>
          <t>https://dtw.qlp.mybluehost.me/input/login.php</t>
        </is>
      </c>
      <c r="O1164" s="188" t="inlineStr">
        <is>
          <t>Block phishing URL | Warn users about dtw.qlp.mybluehost.me impersonation</t>
        </is>
      </c>
      <c r="P1164" s="188" t="inlineStr">
        <is>
          <t>Email users / dtw.qlp.mybluehost.me</t>
        </is>
      </c>
      <c r="Q1164" s="188" t="inlineStr">
        <is>
          <t>P4</t>
        </is>
      </c>
      <c r="R1164" s="188" t="inlineStr">
        <is>
          <t>🚫 Block URLs in web proxy/firewall | 📧 Update email security filters | 👥 User awareness training recommended</t>
        </is>
      </c>
      <c r="S1164" s="188" t="inlineStr">
        <is>
          <t>Phishing URL</t>
        </is>
      </c>
      <c r="T1164" s="188" t="n">
        <v>0</v>
      </c>
      <c r="U1164" s="188" t="n">
        <v>0</v>
      </c>
      <c r="V1164" s="188" t="inlineStr">
        <is>
          <t>T1566:Phishing | T1566.002:Spearphishing Link</t>
        </is>
      </c>
      <c r="W1164" s="188" t="n">
        <v>1</v>
      </c>
      <c r="X1164" s="188" t="inlineStr">
        <is>
          <t>LOW (40%)</t>
        </is>
      </c>
      <c r="Y1164" s="188" t="inlineStr">
        <is>
          <t>NONE</t>
        </is>
      </c>
      <c r="Z1164" s="188" t="inlineStr">
        <is>
          <t>NONE</t>
        </is>
      </c>
      <c r="AA1164" s="188" t="inlineStr">
        <is>
          <t>https://dtw.qlp.mybluehost.me/input/login.php</t>
        </is>
      </c>
      <c r="AB1164" s="188" t="inlineStr">
        <is>
          <t>NONE</t>
        </is>
      </c>
      <c r="AC1164" s="188" t="n">
        <v>0</v>
      </c>
      <c r="AD1164" s="188" t="inlineStr"/>
    </row>
    <row r="1165">
      <c r="A1165" s="188" t="inlineStr">
        <is>
          <t>PHISH</t>
        </is>
      </c>
      <c r="B1165" s="188" t="inlineStr"/>
      <c r="C1165" s="188" t="inlineStr">
        <is>
          <t>Phishing site targeting: www.telkomservicenet.weebly.com | URL: http://www.telkomservicenet.weebly.com/</t>
        </is>
      </c>
      <c r="D1165" s="188" t="n">
        <v>6</v>
      </c>
      <c r="E1165" s="188" t="inlineStr">
        <is>
          <t>MEDIUM</t>
        </is>
      </c>
      <c r="F1165" s="188" t="n">
        <v>3</v>
      </c>
      <c r="G1165" s="188" t="n">
        <v>1</v>
      </c>
      <c r="H1165" s="188" t="inlineStr">
        <is>
          <t>MEDIUM</t>
        </is>
      </c>
      <c r="I1165" s="188" t="n">
        <v>9</v>
      </c>
      <c r="J1165" s="188" t="inlineStr">
        <is>
          <t>NO</t>
        </is>
      </c>
      <c r="K1165" s="188" t="inlineStr">
        <is>
          <t>http://www.telkomservicenet.weebly.com/</t>
        </is>
      </c>
      <c r="L1165" s="188" t="inlineStr">
        <is>
          <t>2026-02-27T18:17:32+00:00</t>
        </is>
      </c>
      <c r="M1165" s="188" t="inlineStr">
        <is>
          <t>Block URL</t>
        </is>
      </c>
      <c r="N1165" s="188" t="inlineStr">
        <is>
          <t>http://www.telkomservicenet.weebly.com/</t>
        </is>
      </c>
      <c r="O1165" s="188" t="inlineStr">
        <is>
          <t>Block phishing URL | Warn users about www.telkomservicenet.weebly.com impersonation</t>
        </is>
      </c>
      <c r="P1165" s="188" t="inlineStr">
        <is>
          <t>Email users / www.telkomservicenet.weebly.com</t>
        </is>
      </c>
      <c r="Q1165" s="188" t="inlineStr">
        <is>
          <t>P4</t>
        </is>
      </c>
      <c r="R1165" s="188" t="inlineStr">
        <is>
          <t>🚫 Block URLs in web proxy/firewall | 📧 Update email security filters | 👥 User awareness training recommended</t>
        </is>
      </c>
      <c r="S1165" s="188" t="inlineStr">
        <is>
          <t>Phishing URL</t>
        </is>
      </c>
      <c r="T1165" s="188" t="n">
        <v>0</v>
      </c>
      <c r="U1165" s="188" t="n">
        <v>0</v>
      </c>
      <c r="V1165" s="188" t="inlineStr">
        <is>
          <t>T1566:Phishing | T1566.002:Spearphishing Link</t>
        </is>
      </c>
      <c r="W1165" s="188" t="n">
        <v>1</v>
      </c>
      <c r="X1165" s="188" t="inlineStr">
        <is>
          <t>LOW (40%)</t>
        </is>
      </c>
      <c r="Y1165" s="188" t="inlineStr">
        <is>
          <t>NONE</t>
        </is>
      </c>
      <c r="Z1165" s="188" t="inlineStr">
        <is>
          <t>NONE</t>
        </is>
      </c>
      <c r="AA1165" s="188" t="inlineStr">
        <is>
          <t>http://www.telkomservicenet.weebly.com/</t>
        </is>
      </c>
      <c r="AB1165" s="188" t="inlineStr">
        <is>
          <t>NONE</t>
        </is>
      </c>
      <c r="AC1165" s="188" t="n">
        <v>0</v>
      </c>
      <c r="AD1165" s="188" t="inlineStr"/>
    </row>
    <row r="1166">
      <c r="A1166" s="188" t="inlineStr">
        <is>
          <t>PHISH</t>
        </is>
      </c>
      <c r="B1166" s="188" t="inlineStr"/>
      <c r="C1166" s="188" t="inlineStr">
        <is>
          <t>Phishing site targeting: easybank-landing-page-pearl.vercel.app | URL: http://easybank-landing-page-pearl.vercel.app/</t>
        </is>
      </c>
      <c r="D1166" s="188" t="n">
        <v>6</v>
      </c>
      <c r="E1166" s="188" t="inlineStr">
        <is>
          <t>MEDIUM</t>
        </is>
      </c>
      <c r="F1166" s="188" t="n">
        <v>3</v>
      </c>
      <c r="G1166" s="188" t="n">
        <v>1</v>
      </c>
      <c r="H1166" s="188" t="inlineStr">
        <is>
          <t>MEDIUM</t>
        </is>
      </c>
      <c r="I1166" s="188" t="n">
        <v>9</v>
      </c>
      <c r="J1166" s="188" t="inlineStr">
        <is>
          <t>NO</t>
        </is>
      </c>
      <c r="K1166" s="188" t="inlineStr">
        <is>
          <t>http://easybank-landing-page-pearl.vercel.app/</t>
        </is>
      </c>
      <c r="L1166" s="188" t="inlineStr">
        <is>
          <t>2026-02-27T18:17:32+00:00</t>
        </is>
      </c>
      <c r="M1166" s="188" t="inlineStr">
        <is>
          <t>Block URL</t>
        </is>
      </c>
      <c r="N1166" s="188" t="inlineStr">
        <is>
          <t>http://easybank-landing-page-pearl.vercel.app/</t>
        </is>
      </c>
      <c r="O1166" s="188" t="inlineStr">
        <is>
          <t>Block phishing URL | Warn users about easybank-landing-page-pearl.vercel.app impersonation</t>
        </is>
      </c>
      <c r="P1166" s="188" t="inlineStr">
        <is>
          <t>Email users / easybank-landing-page-pearl.vercel.app</t>
        </is>
      </c>
      <c r="Q1166" s="188" t="inlineStr">
        <is>
          <t>P4</t>
        </is>
      </c>
      <c r="R1166" s="188" t="inlineStr">
        <is>
          <t>🚫 Block URLs in web proxy/firewall | 📧 Update email security filters | 👥 User awareness training recommended</t>
        </is>
      </c>
      <c r="S1166" s="188" t="inlineStr">
        <is>
          <t>Phishing URL</t>
        </is>
      </c>
      <c r="T1166" s="188" t="n">
        <v>0</v>
      </c>
      <c r="U1166" s="188" t="n">
        <v>0</v>
      </c>
      <c r="V1166" s="188" t="inlineStr">
        <is>
          <t>T1566:Phishing | T1566.002:Spearphishing Link</t>
        </is>
      </c>
      <c r="W1166" s="188" t="n">
        <v>1</v>
      </c>
      <c r="X1166" s="188" t="inlineStr">
        <is>
          <t>LOW (40%)</t>
        </is>
      </c>
      <c r="Y1166" s="188" t="inlineStr">
        <is>
          <t>NONE</t>
        </is>
      </c>
      <c r="Z1166" s="188" t="inlineStr">
        <is>
          <t>NONE</t>
        </is>
      </c>
      <c r="AA1166" s="188" t="inlineStr">
        <is>
          <t>http://easybank-landing-page-pearl.vercel.app/</t>
        </is>
      </c>
      <c r="AB1166" s="188" t="inlineStr">
        <is>
          <t>NONE</t>
        </is>
      </c>
      <c r="AC1166" s="188" t="n">
        <v>0</v>
      </c>
      <c r="AD1166" s="188" t="inlineStr"/>
    </row>
    <row r="1167">
      <c r="A1167" s="188" t="inlineStr">
        <is>
          <t>PHISH</t>
        </is>
      </c>
      <c r="B1167" s="188" t="inlineStr"/>
      <c r="C1167" s="188" t="inlineStr">
        <is>
          <t>Phishing site targeting: www.instagram-clone-nu-seven.vercel.app | URL: https://www.instagram-clone-nu-seven.vercel.app/</t>
        </is>
      </c>
      <c r="D1167" s="188" t="n">
        <v>6</v>
      </c>
      <c r="E1167" s="188" t="inlineStr">
        <is>
          <t>MEDIUM</t>
        </is>
      </c>
      <c r="F1167" s="188" t="n">
        <v>3</v>
      </c>
      <c r="G1167" s="188" t="n">
        <v>1</v>
      </c>
      <c r="H1167" s="188" t="inlineStr">
        <is>
          <t>MEDIUM</t>
        </is>
      </c>
      <c r="I1167" s="188" t="n">
        <v>9</v>
      </c>
      <c r="J1167" s="188" t="inlineStr">
        <is>
          <t>NO</t>
        </is>
      </c>
      <c r="K1167" s="188" t="inlineStr">
        <is>
          <t>https://www.instagram-clone-nu-seven.vercel.app/</t>
        </is>
      </c>
      <c r="L1167" s="188" t="inlineStr">
        <is>
          <t>2026-02-27T18:17:32+00:00</t>
        </is>
      </c>
      <c r="M1167" s="188" t="inlineStr">
        <is>
          <t>Block URL</t>
        </is>
      </c>
      <c r="N1167" s="188" t="inlineStr">
        <is>
          <t>https://www.instagram-clone-nu-seven.vercel.app/</t>
        </is>
      </c>
      <c r="O1167" s="188" t="inlineStr">
        <is>
          <t>Block phishing URL | Warn users about www.instagram-clone-nu-seven.vercel.app impersonation</t>
        </is>
      </c>
      <c r="P1167" s="188" t="inlineStr">
        <is>
          <t>Email users / www.instagram-clone-nu-seven.vercel.app</t>
        </is>
      </c>
      <c r="Q1167" s="188" t="inlineStr">
        <is>
          <t>P4</t>
        </is>
      </c>
      <c r="R1167" s="188" t="inlineStr">
        <is>
          <t>🚫 Block URLs in web proxy/firewall | 📧 Update email security filters | 👥 User awareness training recommended</t>
        </is>
      </c>
      <c r="S1167" s="188" t="inlineStr">
        <is>
          <t>Phishing URL</t>
        </is>
      </c>
      <c r="T1167" s="188" t="n">
        <v>0</v>
      </c>
      <c r="U1167" s="188" t="n">
        <v>0</v>
      </c>
      <c r="V1167" s="188" t="inlineStr">
        <is>
          <t>T1566:Phishing | T1566.002:Spearphishing Link</t>
        </is>
      </c>
      <c r="W1167" s="188" t="n">
        <v>1</v>
      </c>
      <c r="X1167" s="188" t="inlineStr">
        <is>
          <t>LOW (40%)</t>
        </is>
      </c>
      <c r="Y1167" s="188" t="inlineStr">
        <is>
          <t>NONE</t>
        </is>
      </c>
      <c r="Z1167" s="188" t="inlineStr">
        <is>
          <t>NONE</t>
        </is>
      </c>
      <c r="AA1167" s="188" t="inlineStr">
        <is>
          <t>https://www.instagram-clone-nu-seven.vercel.app/</t>
        </is>
      </c>
      <c r="AB1167" s="188" t="inlineStr">
        <is>
          <t>NONE</t>
        </is>
      </c>
      <c r="AC1167" s="188" t="n">
        <v>0</v>
      </c>
      <c r="AD1167" s="188" t="inlineStr"/>
    </row>
    <row r="1168">
      <c r="A1168" s="187" t="inlineStr">
        <is>
          <t>OTX_PULSE</t>
        </is>
      </c>
      <c r="B1168" s="187" t="inlineStr">
        <is>
          <t>697a54c77c23553aa2d3be96</t>
        </is>
      </c>
      <c r="C1168" s="187"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68" s="187" t="n">
        <v>7</v>
      </c>
      <c r="E1168" s="187" t="inlineStr">
        <is>
          <t>HIGH</t>
        </is>
      </c>
      <c r="F1168" s="187" t="n">
        <v>3</v>
      </c>
      <c r="G1168" s="187" t="n">
        <v>2</v>
      </c>
      <c r="H1168" s="187" t="inlineStr">
        <is>
          <t>HIGH</t>
        </is>
      </c>
      <c r="I1168" s="187" t="n">
        <v>13</v>
      </c>
      <c r="J1168" s="187" t="inlineStr">
        <is>
          <t>NO</t>
        </is>
      </c>
      <c r="K1168" s="187" t="inlineStr">
        <is>
          <t>https://www.proofpoint.com/us/blog/threat-insight/cant-stop-wont-stop-ta584-innovates-initial-access</t>
        </is>
      </c>
      <c r="L1168" s="187" t="inlineStr">
        <is>
          <t>2026-01-28T18:26:15.886000</t>
        </is>
      </c>
      <c r="M1168" s="187" t="inlineStr">
        <is>
          <t>SEE_PULSE</t>
        </is>
      </c>
      <c r="N1168" s="187" t="inlineStr">
        <is>
          <t>https://www.proofpoint.com/us/blog/threat-insight/cant-stop-wont-stop-ta584-innovates-initial-access</t>
        </is>
      </c>
      <c r="O1168" s="187" t="inlineStr">
        <is>
          <t>Block IOCs from pulse | Review pulse for indicators</t>
        </is>
      </c>
      <c r="P1168" s="187" t="inlineStr">
        <is>
          <t>xworm, email campaigns, ldr4, cybercrime, dcrat, xeno rat, clickfix, malware delivery, cobalt strike, tsundere bot, ursnif, warmcookie, initial access broker, social engineering</t>
        </is>
      </c>
      <c r="Q1168" s="187" t="inlineStr">
        <is>
          <t>P3</t>
        </is>
      </c>
      <c r="R1168" s="187" t="inlineStr">
        <is>
          <t>🔍 Investigate and apply appropriate controls</t>
        </is>
      </c>
      <c r="S1168" s="187" t="inlineStr">
        <is>
          <t>OTX Pulse - check IP IOCs separately</t>
        </is>
      </c>
      <c r="T1168" s="187" t="n">
        <v>0</v>
      </c>
      <c r="U1168" s="187" t="n">
        <v>0</v>
      </c>
      <c r="V1168" s="187" t="inlineStr">
        <is>
          <t>See OTX pulse tags</t>
        </is>
      </c>
      <c r="W1168" s="187" t="n">
        <v>1</v>
      </c>
      <c r="X1168" s="187" t="inlineStr">
        <is>
          <t>LOW (40%)</t>
        </is>
      </c>
      <c r="Y1168" s="187" t="inlineStr">
        <is>
          <t>NONE</t>
        </is>
      </c>
      <c r="Z1168" s="187" t="inlineStr">
        <is>
          <t>NONE</t>
        </is>
      </c>
      <c r="AA1168" s="187" t="inlineStr">
        <is>
          <t>NONE</t>
        </is>
      </c>
      <c r="AB1168" s="187" t="inlineStr">
        <is>
          <t>NONE</t>
        </is>
      </c>
      <c r="AC1168" s="187" t="n">
        <v>0</v>
      </c>
      <c r="AD1168" s="187" t="inlineStr"/>
    </row>
    <row r="1169">
      <c r="A1169" s="187" t="inlineStr">
        <is>
          <t>OTX_PULSE</t>
        </is>
      </c>
      <c r="B1169" s="187" t="inlineStr">
        <is>
          <t>697a454330d96ae56f959ed4</t>
        </is>
      </c>
      <c r="C1169" s="187"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69" s="187" t="n">
        <v>7</v>
      </c>
      <c r="E1169" s="187" t="inlineStr">
        <is>
          <t>HIGH</t>
        </is>
      </c>
      <c r="F1169" s="187" t="n">
        <v>3</v>
      </c>
      <c r="G1169" s="187" t="n">
        <v>2</v>
      </c>
      <c r="H1169" s="187" t="inlineStr">
        <is>
          <t>HIGH</t>
        </is>
      </c>
      <c r="I1169" s="187" t="n">
        <v>13</v>
      </c>
      <c r="J1169" s="187" t="inlineStr">
        <is>
          <t>NO</t>
        </is>
      </c>
      <c r="K1169" s="187" t="inlineStr">
        <is>
          <t>https://www.security.com/threat-intelligence/ai-purerat-phishing</t>
        </is>
      </c>
      <c r="L1169" s="187" t="inlineStr">
        <is>
          <t>2026-01-28T17:20:03.077000</t>
        </is>
      </c>
      <c r="M1169" s="187" t="inlineStr">
        <is>
          <t>SEE_PULSE</t>
        </is>
      </c>
      <c r="N1169" s="187" t="inlineStr">
        <is>
          <t>https://www.security.com/threat-intelligence/ai-purerat-phishing</t>
        </is>
      </c>
      <c r="O1169" s="187" t="inlineStr">
        <is>
          <t>Block IOCs from pulse | Review pulse for indicators</t>
        </is>
      </c>
      <c r="P1169" s="187" t="inlineStr">
        <is>
          <t>phishing, ai-assisted, sideloading, hvnc, vietnam, cybercrime, job offers, purerat</t>
        </is>
      </c>
      <c r="Q1169" s="187" t="inlineStr">
        <is>
          <t>P3</t>
        </is>
      </c>
      <c r="R1169" s="187" t="inlineStr">
        <is>
          <t>🔍 Investigate and apply appropriate controls</t>
        </is>
      </c>
      <c r="S1169" s="187" t="inlineStr">
        <is>
          <t>OTX Pulse - check IP IOCs separately</t>
        </is>
      </c>
      <c r="T1169" s="187" t="n">
        <v>0</v>
      </c>
      <c r="U1169" s="187" t="n">
        <v>0</v>
      </c>
      <c r="V1169" s="187" t="inlineStr">
        <is>
          <t>See OTX pulse tags</t>
        </is>
      </c>
      <c r="W1169" s="187" t="n">
        <v>1</v>
      </c>
      <c r="X1169" s="187" t="inlineStr">
        <is>
          <t>LOW (40%)</t>
        </is>
      </c>
      <c r="Y1169" s="187" t="inlineStr">
        <is>
          <t>NONE</t>
        </is>
      </c>
      <c r="Z1169" s="187" t="inlineStr">
        <is>
          <t>NONE</t>
        </is>
      </c>
      <c r="AA1169" s="187" t="inlineStr">
        <is>
          <t>NONE</t>
        </is>
      </c>
      <c r="AB1169" s="187" t="inlineStr">
        <is>
          <t>NONE</t>
        </is>
      </c>
      <c r="AC1169" s="187" t="n">
        <v>0</v>
      </c>
      <c r="AD1169" s="187" t="inlineStr"/>
    </row>
    <row r="1170">
      <c r="A1170" s="187" t="inlineStr">
        <is>
          <t>OTX_PULSE</t>
        </is>
      </c>
      <c r="B1170" s="187" t="inlineStr">
        <is>
          <t>6894566bd94b79b7fbdbade1</t>
        </is>
      </c>
      <c r="C1170" s="187"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70" s="187" t="n">
        <v>7</v>
      </c>
      <c r="E1170" s="187" t="inlineStr">
        <is>
          <t>HIGH</t>
        </is>
      </c>
      <c r="F1170" s="187" t="n">
        <v>3</v>
      </c>
      <c r="G1170" s="187" t="n">
        <v>2</v>
      </c>
      <c r="H1170" s="187" t="inlineStr">
        <is>
          <t>HIGH</t>
        </is>
      </c>
      <c r="I1170" s="187" t="n">
        <v>13</v>
      </c>
      <c r="J1170" s="187" t="inlineStr">
        <is>
          <t>NO</t>
        </is>
      </c>
      <c r="K1170" s="187" t="inlineStr">
        <is>
          <t>https://otx.alienvault.com</t>
        </is>
      </c>
      <c r="L1170" s="187" t="inlineStr">
        <is>
          <t>2025-08-07T07:31:55.617000</t>
        </is>
      </c>
      <c r="M1170" s="187" t="inlineStr">
        <is>
          <t>SEE_PULSE</t>
        </is>
      </c>
      <c r="N1170" s="187" t="inlineStr">
        <is>
          <t>https://otx.alienvault.com</t>
        </is>
      </c>
      <c r="O1170" s="187" t="inlineStr">
        <is>
          <t>Block IOCs from pulse | Review pulse for indicators</t>
        </is>
      </c>
      <c r="P1170" s="187" t="inlineStr">
        <is>
          <t>Various</t>
        </is>
      </c>
      <c r="Q1170" s="187" t="inlineStr">
        <is>
          <t>P3</t>
        </is>
      </c>
      <c r="R1170" s="187" t="inlineStr">
        <is>
          <t>🔍 Investigate and apply appropriate controls</t>
        </is>
      </c>
      <c r="S1170" s="187" t="inlineStr">
        <is>
          <t>OTX Pulse - check IP IOCs separately</t>
        </is>
      </c>
      <c r="T1170" s="187" t="n">
        <v>0</v>
      </c>
      <c r="U1170" s="187" t="n">
        <v>0</v>
      </c>
      <c r="V1170" s="187" t="inlineStr">
        <is>
          <t>See OTX pulse tags</t>
        </is>
      </c>
      <c r="W1170" s="187" t="n">
        <v>1</v>
      </c>
      <c r="X1170" s="187" t="inlineStr">
        <is>
          <t>LOW (40%)</t>
        </is>
      </c>
      <c r="Y1170" s="187" t="inlineStr">
        <is>
          <t>NONE</t>
        </is>
      </c>
      <c r="Z1170" s="187" t="inlineStr">
        <is>
          <t>NONE</t>
        </is>
      </c>
      <c r="AA1170" s="187" t="inlineStr">
        <is>
          <t>NONE</t>
        </is>
      </c>
      <c r="AB1170" s="187" t="inlineStr">
        <is>
          <t>NONE</t>
        </is>
      </c>
      <c r="AC1170" s="187" t="n">
        <v>0</v>
      </c>
      <c r="AD1170" s="187" t="inlineStr"/>
    </row>
    <row r="1171">
      <c r="A1171" s="187" t="inlineStr">
        <is>
          <t>OTX_PULSE</t>
        </is>
      </c>
      <c r="B1171" s="187" t="inlineStr">
        <is>
          <t>697a0fb2c327ef769cb46467</t>
        </is>
      </c>
      <c r="C1171" s="187"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71" s="187" t="n">
        <v>7</v>
      </c>
      <c r="E1171" s="187" t="inlineStr">
        <is>
          <t>HIGH</t>
        </is>
      </c>
      <c r="F1171" s="187" t="n">
        <v>3</v>
      </c>
      <c r="G1171" s="187" t="n">
        <v>2</v>
      </c>
      <c r="H1171" s="187" t="inlineStr">
        <is>
          <t>HIGH</t>
        </is>
      </c>
      <c r="I1171" s="187" t="n">
        <v>13</v>
      </c>
      <c r="J1171" s="187" t="inlineStr">
        <is>
          <t>NO</t>
        </is>
      </c>
      <c r="K1171" s="187" t="inlineStr">
        <is>
          <t>https://www.f5.com/labs/articles/weekly-threat-bulletin-january-28th-2026</t>
        </is>
      </c>
      <c r="L1171" s="187" t="inlineStr">
        <is>
          <t>2026-01-28T13:31:30.733000</t>
        </is>
      </c>
      <c r="M1171" s="187" t="inlineStr">
        <is>
          <t>SEE_PULSE</t>
        </is>
      </c>
      <c r="N1171" s="187" t="inlineStr">
        <is>
          <t>https://www.f5.com/labs/articles/weekly-threat-bulletin-january-28th-2026</t>
        </is>
      </c>
      <c r="O1171" s="187" t="inlineStr">
        <is>
          <t>Block IOCs from pulse | Review pulse for indicators</t>
        </is>
      </c>
      <c r="P1171" s="187"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Q1171" s="187" t="inlineStr">
        <is>
          <t>P3</t>
        </is>
      </c>
      <c r="R1171" s="187" t="inlineStr">
        <is>
          <t>🔍 Investigate and apply appropriate controls</t>
        </is>
      </c>
      <c r="S1171" s="187" t="inlineStr">
        <is>
          <t>OTX Pulse - check IP IOCs separately</t>
        </is>
      </c>
      <c r="T1171" s="187" t="n">
        <v>0</v>
      </c>
      <c r="U1171" s="187" t="n">
        <v>0</v>
      </c>
      <c r="V1171" s="187" t="inlineStr">
        <is>
          <t>See OTX pulse tags</t>
        </is>
      </c>
      <c r="W1171" s="187" t="n">
        <v>1</v>
      </c>
      <c r="X1171" s="187" t="inlineStr">
        <is>
          <t>LOW (40%)</t>
        </is>
      </c>
      <c r="Y1171" s="187" t="inlineStr">
        <is>
          <t>NONE</t>
        </is>
      </c>
      <c r="Z1171" s="187" t="inlineStr">
        <is>
          <t>NONE</t>
        </is>
      </c>
      <c r="AA1171" s="187" t="inlineStr">
        <is>
          <t>NONE</t>
        </is>
      </c>
      <c r="AB1171" s="187" t="inlineStr">
        <is>
          <t>NONE</t>
        </is>
      </c>
      <c r="AC1171" s="187" t="n">
        <v>0</v>
      </c>
      <c r="AD1171" s="187" t="inlineStr"/>
    </row>
    <row r="1172">
      <c r="A1172" s="187" t="inlineStr">
        <is>
          <t>OTX_PULSE</t>
        </is>
      </c>
      <c r="B1172" s="187" t="inlineStr">
        <is>
          <t>69a1649bf2952cacd54d98fb</t>
        </is>
      </c>
      <c r="C1172" s="187"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72" s="187" t="n">
        <v>7</v>
      </c>
      <c r="E1172" s="187" t="inlineStr">
        <is>
          <t>HIGH</t>
        </is>
      </c>
      <c r="F1172" s="187" t="n">
        <v>3</v>
      </c>
      <c r="G1172" s="187" t="n">
        <v>2</v>
      </c>
      <c r="H1172" s="187" t="inlineStr">
        <is>
          <t>HIGH</t>
        </is>
      </c>
      <c r="I1172" s="187" t="n">
        <v>13</v>
      </c>
      <c r="J1172" s="187" t="inlineStr">
        <is>
          <t>NO</t>
        </is>
      </c>
      <c r="K1172" s="187" t="inlineStr">
        <is>
          <t>https://blog.talosintelligence.com/new-dohdoor-malware-campaign/</t>
        </is>
      </c>
      <c r="L1172" s="187" t="inlineStr">
        <is>
          <t>2026-02-27T09:32:11.659000</t>
        </is>
      </c>
      <c r="M1172" s="187" t="inlineStr">
        <is>
          <t>SEE_PULSE</t>
        </is>
      </c>
      <c r="N1172" s="187" t="inlineStr">
        <is>
          <t>https://blog.talosintelligence.com/new-dohdoor-malware-campaign/</t>
        </is>
      </c>
      <c r="O1172" s="187" t="inlineStr">
        <is>
          <t>Block IOCs from pulse | Review pulse for indicators</t>
        </is>
      </c>
      <c r="P1172" s="187" t="inlineStr">
        <is>
          <t>healthcare, dll sideloading, dns-over-https, edr bypass, dohdoor, backdoor, united states, education</t>
        </is>
      </c>
      <c r="Q1172" s="187" t="inlineStr">
        <is>
          <t>P3</t>
        </is>
      </c>
      <c r="R1172" s="187" t="inlineStr">
        <is>
          <t>🔍 Investigate and apply appropriate controls</t>
        </is>
      </c>
      <c r="S1172" s="187" t="inlineStr">
        <is>
          <t>OTX Pulse - check IP IOCs separately</t>
        </is>
      </c>
      <c r="T1172" s="187" t="n">
        <v>0</v>
      </c>
      <c r="U1172" s="187" t="n">
        <v>0</v>
      </c>
      <c r="V1172" s="187" t="inlineStr">
        <is>
          <t>See OTX pulse tags</t>
        </is>
      </c>
      <c r="W1172" s="187" t="n">
        <v>1</v>
      </c>
      <c r="X1172" s="187" t="inlineStr">
        <is>
          <t>LOW (40%)</t>
        </is>
      </c>
      <c r="Y1172" s="187" t="inlineStr">
        <is>
          <t>NONE</t>
        </is>
      </c>
      <c r="Z1172" s="187" t="inlineStr">
        <is>
          <t>NONE</t>
        </is>
      </c>
      <c r="AA1172" s="187" t="inlineStr">
        <is>
          <t>NONE</t>
        </is>
      </c>
      <c r="AB1172" s="187" t="inlineStr">
        <is>
          <t>NONE</t>
        </is>
      </c>
      <c r="AC1172" s="187" t="n">
        <v>0</v>
      </c>
      <c r="AD1172" s="187" t="inlineStr"/>
    </row>
    <row r="1173">
      <c r="A1173" s="187" t="inlineStr">
        <is>
          <t>OTX_PULSE</t>
        </is>
      </c>
      <c r="B1173" s="187" t="inlineStr">
        <is>
          <t>69a161489d57df80623a8b5c</t>
        </is>
      </c>
      <c r="C1173" s="187"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73" s="187" t="n">
        <v>7</v>
      </c>
      <c r="E1173" s="187" t="inlineStr">
        <is>
          <t>HIGH</t>
        </is>
      </c>
      <c r="F1173" s="187" t="n">
        <v>3</v>
      </c>
      <c r="G1173" s="187" t="n">
        <v>2</v>
      </c>
      <c r="H1173" s="187" t="inlineStr">
        <is>
          <t>HIGH</t>
        </is>
      </c>
      <c r="I1173" s="187" t="n">
        <v>13</v>
      </c>
      <c r="J1173" s="187" t="inlineStr">
        <is>
          <t>NO</t>
        </is>
      </c>
      <c r="K1173" s="187" t="inlineStr">
        <is>
          <t>https://www.tenable.com/blog/cybersecurity-research-faq-new-malicious-npm-package-ambar-src</t>
        </is>
      </c>
      <c r="L1173" s="187" t="inlineStr">
        <is>
          <t>2026-02-27T09:18:00.513000</t>
        </is>
      </c>
      <c r="M1173" s="187" t="inlineStr">
        <is>
          <t>SEE_PULSE</t>
        </is>
      </c>
      <c r="N1173" s="187" t="inlineStr">
        <is>
          <t>https://www.tenable.com/blog/cybersecurity-research-faq-new-malicious-npm-package-ambar-src</t>
        </is>
      </c>
      <c r="O1173" s="187" t="inlineStr">
        <is>
          <t>Block IOCs from pulse | Review pulse for indicators</t>
        </is>
      </c>
      <c r="P1173" s="187" t="inlineStr">
        <is>
          <t>yandex cloud, detection evasion, preinstall script, supply chain, apfell, mythicagents, windows, npm, linux, reverse_ssh, open-source malware, macos</t>
        </is>
      </c>
      <c r="Q1173" s="187" t="inlineStr">
        <is>
          <t>P3</t>
        </is>
      </c>
      <c r="R1173" s="187" t="inlineStr">
        <is>
          <t>🔍 Investigate and apply appropriate controls</t>
        </is>
      </c>
      <c r="S1173" s="187" t="inlineStr">
        <is>
          <t>OTX Pulse - check IP IOCs separately</t>
        </is>
      </c>
      <c r="T1173" s="187" t="n">
        <v>0</v>
      </c>
      <c r="U1173" s="187" t="n">
        <v>0</v>
      </c>
      <c r="V1173" s="187" t="inlineStr">
        <is>
          <t>See OTX pulse tags</t>
        </is>
      </c>
      <c r="W1173" s="187" t="n">
        <v>1</v>
      </c>
      <c r="X1173" s="187" t="inlineStr">
        <is>
          <t>LOW (40%)</t>
        </is>
      </c>
      <c r="Y1173" s="187" t="inlineStr">
        <is>
          <t>NONE</t>
        </is>
      </c>
      <c r="Z1173" s="187" t="inlineStr">
        <is>
          <t>NONE</t>
        </is>
      </c>
      <c r="AA1173" s="187" t="inlineStr">
        <is>
          <t>NONE</t>
        </is>
      </c>
      <c r="AB1173" s="187" t="inlineStr">
        <is>
          <t>NONE</t>
        </is>
      </c>
      <c r="AC1173" s="187" t="n">
        <v>0</v>
      </c>
      <c r="AD1173" s="187" t="inlineStr"/>
    </row>
    <row r="1174">
      <c r="A1174" s="187" t="inlineStr">
        <is>
          <t>OTX_PULSE</t>
        </is>
      </c>
      <c r="B1174" s="187" t="inlineStr">
        <is>
          <t>69a163c992e9afc70efc55d7</t>
        </is>
      </c>
      <c r="C1174" s="187"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74" s="187" t="n">
        <v>7</v>
      </c>
      <c r="E1174" s="187" t="inlineStr">
        <is>
          <t>HIGH</t>
        </is>
      </c>
      <c r="F1174" s="187" t="n">
        <v>3</v>
      </c>
      <c r="G1174" s="187" t="n">
        <v>2</v>
      </c>
      <c r="H1174" s="187" t="inlineStr">
        <is>
          <t>HIGH</t>
        </is>
      </c>
      <c r="I1174" s="187" t="n">
        <v>13</v>
      </c>
      <c r="J1174" s="187" t="inlineStr">
        <is>
          <t>NO</t>
        </is>
      </c>
      <c r="K1174" s="187" t="inlineStr">
        <is>
          <t>https://www.cyjax.com/resources/blog/ocrfix-botnet-trojan-delivered-through-clickfix-and-etherhiding</t>
        </is>
      </c>
      <c r="L1174" s="187" t="inlineStr">
        <is>
          <t>2026-02-27T09:28:41.886000</t>
        </is>
      </c>
      <c r="M1174" s="187" t="inlineStr">
        <is>
          <t>SEE_PULSE</t>
        </is>
      </c>
      <c r="N1174" s="187" t="inlineStr">
        <is>
          <t>https://www.cyjax.com/resources/blog/ocrfix-botnet-trojan-delivered-through-clickfix-and-etherhiding</t>
        </is>
      </c>
      <c r="O1174" s="187" t="inlineStr">
        <is>
          <t>Block IOCs from pulse | Review pulse for indicators</t>
        </is>
      </c>
      <c r="P1174" s="187" t="inlineStr">
        <is>
          <t>ocrfix, etherhiding, typosquatting, obfuscation, botnet, multi-stage, phishing, defense evasion, bnb smart chain, clickfix</t>
        </is>
      </c>
      <c r="Q1174" s="187" t="inlineStr">
        <is>
          <t>P3</t>
        </is>
      </c>
      <c r="R1174" s="187" t="inlineStr">
        <is>
          <t>🔍 Investigate and apply appropriate controls</t>
        </is>
      </c>
      <c r="S1174" s="187" t="inlineStr">
        <is>
          <t>OTX Pulse - check IP IOCs separately</t>
        </is>
      </c>
      <c r="T1174" s="187" t="n">
        <v>0</v>
      </c>
      <c r="U1174" s="187" t="n">
        <v>0</v>
      </c>
      <c r="V1174" s="187" t="inlineStr">
        <is>
          <t>See OTX pulse tags</t>
        </is>
      </c>
      <c r="W1174" s="187" t="n">
        <v>1</v>
      </c>
      <c r="X1174" s="187" t="inlineStr">
        <is>
          <t>LOW (40%)</t>
        </is>
      </c>
      <c r="Y1174" s="187" t="inlineStr">
        <is>
          <t>NONE</t>
        </is>
      </c>
      <c r="Z1174" s="187" t="inlineStr">
        <is>
          <t>NONE</t>
        </is>
      </c>
      <c r="AA1174" s="187" t="inlineStr">
        <is>
          <t>NONE</t>
        </is>
      </c>
      <c r="AB1174" s="187" t="inlineStr">
        <is>
          <t>NONE</t>
        </is>
      </c>
      <c r="AC1174" s="187" t="n">
        <v>0</v>
      </c>
      <c r="AD1174" s="187" t="inlineStr"/>
    </row>
    <row r="1175">
      <c r="A1175" s="187" t="inlineStr">
        <is>
          <t>OTX_PULSE</t>
        </is>
      </c>
      <c r="B1175" s="187" t="inlineStr">
        <is>
          <t>69a163a059457844f52c2502</t>
        </is>
      </c>
      <c r="C1175" s="187"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75" s="187" t="n">
        <v>7</v>
      </c>
      <c r="E1175" s="187" t="inlineStr">
        <is>
          <t>HIGH</t>
        </is>
      </c>
      <c r="F1175" s="187" t="n">
        <v>3</v>
      </c>
      <c r="G1175" s="187" t="n">
        <v>2</v>
      </c>
      <c r="H1175" s="187" t="inlineStr">
        <is>
          <t>HIGH</t>
        </is>
      </c>
      <c r="I1175" s="187" t="n">
        <v>13</v>
      </c>
      <c r="J1175" s="187" t="inlineStr">
        <is>
          <t>NO</t>
        </is>
      </c>
      <c r="K1175" s="187" t="inlineStr">
        <is>
          <t>https://www.infoblox.com/blog/threat-intelligence/abusing-arpa-the-tld-that-isnt-supposed-to-host-anything/</t>
        </is>
      </c>
      <c r="L1175" s="187" t="inlineStr">
        <is>
          <t>2026-02-27T09:28:00.187000</t>
        </is>
      </c>
      <c r="M1175" s="187" t="inlineStr">
        <is>
          <t>SEE_PULSE</t>
        </is>
      </c>
      <c r="N1175" s="187" t="inlineStr">
        <is>
          <t>https://www.infoblox.com/blog/threat-intelligence/abusing-arpa-the-tld-that-isnt-supposed-to-host-anything/</t>
        </is>
      </c>
      <c r="O1175" s="187" t="inlineStr">
        <is>
          <t>Block IOCs from pulse | Review pulse for indicators</t>
        </is>
      </c>
      <c r="P1175" s="187" t="inlineStr">
        <is>
          <t>subdomain shadowing, ipv6, dns abuse, cname hijacking, phishing, arpa tld, reverse dns</t>
        </is>
      </c>
      <c r="Q1175" s="187" t="inlineStr">
        <is>
          <t>P3</t>
        </is>
      </c>
      <c r="R1175" s="187" t="inlineStr">
        <is>
          <t>🔍 Investigate and apply appropriate controls</t>
        </is>
      </c>
      <c r="S1175" s="187" t="inlineStr">
        <is>
          <t>OTX Pulse - check IP IOCs separately</t>
        </is>
      </c>
      <c r="T1175" s="187" t="n">
        <v>0</v>
      </c>
      <c r="U1175" s="187" t="n">
        <v>0</v>
      </c>
      <c r="V1175" s="187" t="inlineStr">
        <is>
          <t>See OTX pulse tags</t>
        </is>
      </c>
      <c r="W1175" s="187" t="n">
        <v>1</v>
      </c>
      <c r="X1175" s="187" t="inlineStr">
        <is>
          <t>LOW (40%)</t>
        </is>
      </c>
      <c r="Y1175" s="187" t="inlineStr">
        <is>
          <t>NONE</t>
        </is>
      </c>
      <c r="Z1175" s="187" t="inlineStr">
        <is>
          <t>NONE</t>
        </is>
      </c>
      <c r="AA1175" s="187" t="inlineStr">
        <is>
          <t>NONE</t>
        </is>
      </c>
      <c r="AB1175" s="187" t="inlineStr">
        <is>
          <t>NONE</t>
        </is>
      </c>
      <c r="AC1175" s="187" t="n">
        <v>0</v>
      </c>
      <c r="AD1175" s="187" t="inlineStr"/>
    </row>
    <row r="1176">
      <c r="A1176" s="187" t="inlineStr">
        <is>
          <t>OTX_PULSE</t>
        </is>
      </c>
      <c r="B1176" s="187" t="inlineStr">
        <is>
          <t>69a16400e81050e6038ad281</t>
        </is>
      </c>
      <c r="C1176" s="187"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76" s="187" t="n">
        <v>7</v>
      </c>
      <c r="E1176" s="187" t="inlineStr">
        <is>
          <t>HIGH</t>
        </is>
      </c>
      <c r="F1176" s="187" t="n">
        <v>3</v>
      </c>
      <c r="G1176" s="187" t="n">
        <v>2</v>
      </c>
      <c r="H1176" s="187" t="inlineStr">
        <is>
          <t>HIGH</t>
        </is>
      </c>
      <c r="I1176" s="187" t="n">
        <v>13</v>
      </c>
      <c r="J1176" s="187" t="inlineStr">
        <is>
          <t>NO</t>
        </is>
      </c>
      <c r="K1176" s="187" t="inlineStr">
        <is>
          <t>https://www.abstract.security/blog/contagious-interview-evolution-of-vscode-and-cursor-tasks-infection-chains</t>
        </is>
      </c>
      <c r="L1176" s="187" t="inlineStr">
        <is>
          <t>2026-02-27T09:29:36.415000</t>
        </is>
      </c>
      <c r="M1176" s="187" t="inlineStr">
        <is>
          <t>SEE_PULSE</t>
        </is>
      </c>
      <c r="N1176" s="187" t="inlineStr">
        <is>
          <t>https://www.abstract.security/blog/contagious-interview-evolution-of-vscode-and-cursor-tasks-infection-chains</t>
        </is>
      </c>
      <c r="O1176" s="187" t="inlineStr">
        <is>
          <t>Block IOCs from pulse | Review pulse for indicators</t>
        </is>
      </c>
      <c r="P1176" s="187" t="inlineStr">
        <is>
          <t>bytecode vm, weaselstore, visual studio code, url shorteners, beavertail, obfuscation, pyarmor, ide, payload staging, cursor, github gists</t>
        </is>
      </c>
      <c r="Q1176" s="187" t="inlineStr">
        <is>
          <t>P3</t>
        </is>
      </c>
      <c r="R1176" s="187" t="inlineStr">
        <is>
          <t>🔍 Investigate and apply appropriate controls</t>
        </is>
      </c>
      <c r="S1176" s="187" t="inlineStr">
        <is>
          <t>OTX Pulse - check IP IOCs separately</t>
        </is>
      </c>
      <c r="T1176" s="187" t="n">
        <v>0</v>
      </c>
      <c r="U1176" s="187" t="n">
        <v>0</v>
      </c>
      <c r="V1176" s="187" t="inlineStr">
        <is>
          <t>See OTX pulse tags</t>
        </is>
      </c>
      <c r="W1176" s="187" t="n">
        <v>1</v>
      </c>
      <c r="X1176" s="187" t="inlineStr">
        <is>
          <t>LOW (40%)</t>
        </is>
      </c>
      <c r="Y1176" s="187" t="inlineStr">
        <is>
          <t>NONE</t>
        </is>
      </c>
      <c r="Z1176" s="187" t="inlineStr">
        <is>
          <t>NONE</t>
        </is>
      </c>
      <c r="AA1176" s="187" t="inlineStr">
        <is>
          <t>NONE</t>
        </is>
      </c>
      <c r="AB1176" s="187" t="inlineStr">
        <is>
          <t>NONE</t>
        </is>
      </c>
      <c r="AC1176" s="187" t="n">
        <v>0</v>
      </c>
      <c r="AD1176" s="187" t="inlineStr"/>
    </row>
    <row r="1177">
      <c r="A1177" s="187" t="inlineStr">
        <is>
          <t>OTX_PULSE</t>
        </is>
      </c>
      <c r="B1177" s="187" t="inlineStr">
        <is>
          <t>69a0dfeb9760c4f36290ec61</t>
        </is>
      </c>
      <c r="C1177" s="187"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77" s="187" t="n">
        <v>7</v>
      </c>
      <c r="E1177" s="187" t="inlineStr">
        <is>
          <t>HIGH</t>
        </is>
      </c>
      <c r="F1177" s="187" t="n">
        <v>3</v>
      </c>
      <c r="G1177" s="187" t="n">
        <v>2</v>
      </c>
      <c r="H1177" s="187" t="inlineStr">
        <is>
          <t>HIGH</t>
        </is>
      </c>
      <c r="I1177" s="187" t="n">
        <v>13</v>
      </c>
      <c r="J1177" s="187" t="inlineStr">
        <is>
          <t>NO</t>
        </is>
      </c>
      <c r="K1177" s="187" t="inlineStr">
        <is>
          <t>https://blog.talosintelligence.com/henry-iv-hotspur-hal-and-hallucinations/</t>
        </is>
      </c>
      <c r="L1177" s="187" t="inlineStr">
        <is>
          <t>2026-02-27T00:06:03.549000</t>
        </is>
      </c>
      <c r="M1177" s="187" t="inlineStr">
        <is>
          <t>SEE_PULSE</t>
        </is>
      </c>
      <c r="N1177" s="187" t="inlineStr">
        <is>
          <t>https://blog.talosintelligence.com/henry-iv-hotspur-hal-and-hallucinations/</t>
        </is>
      </c>
      <c r="O1177" s="187" t="inlineStr">
        <is>
          <t>Block IOCs from pulse | Review pulse for indicators</t>
        </is>
      </c>
      <c r="P1177" s="187" t="inlineStr">
        <is>
          <t>dns-over-https, cve-2026-20127, healthcare sector, ai adoption, dohdoor, education sector, threat intelligence, cybersecurity risks, dohdoor backdoor</t>
        </is>
      </c>
      <c r="Q1177" s="187" t="inlineStr">
        <is>
          <t>P3</t>
        </is>
      </c>
      <c r="R1177" s="187" t="inlineStr">
        <is>
          <t>🔍 Investigate and apply appropriate controls</t>
        </is>
      </c>
      <c r="S1177" s="187" t="inlineStr">
        <is>
          <t>OTX Pulse - check IP IOCs separately</t>
        </is>
      </c>
      <c r="T1177" s="187" t="n">
        <v>0</v>
      </c>
      <c r="U1177" s="187" t="n">
        <v>0</v>
      </c>
      <c r="V1177" s="187" t="inlineStr">
        <is>
          <t>See OTX pulse tags</t>
        </is>
      </c>
      <c r="W1177" s="187" t="n">
        <v>1</v>
      </c>
      <c r="X1177" s="187" t="inlineStr">
        <is>
          <t>LOW (40%)</t>
        </is>
      </c>
      <c r="Y1177" s="187" t="inlineStr">
        <is>
          <t>NONE</t>
        </is>
      </c>
      <c r="Z1177" s="187" t="inlineStr">
        <is>
          <t>NONE</t>
        </is>
      </c>
      <c r="AA1177" s="187" t="inlineStr">
        <is>
          <t>NONE</t>
        </is>
      </c>
      <c r="AB1177" s="187" t="inlineStr">
        <is>
          <t>NONE</t>
        </is>
      </c>
      <c r="AC1177" s="187" t="n">
        <v>0</v>
      </c>
      <c r="AD1177" s="187" t="inlineStr"/>
    </row>
    <row r="1178">
      <c r="A1178" s="187" t="inlineStr">
        <is>
          <t>OTX_PULSE</t>
        </is>
      </c>
      <c r="B1178" s="187" t="inlineStr">
        <is>
          <t>69a1276fbef301b2eb97cd94</t>
        </is>
      </c>
      <c r="C1178" s="187"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78" s="187" t="n">
        <v>7</v>
      </c>
      <c r="E1178" s="187" t="inlineStr">
        <is>
          <t>HIGH</t>
        </is>
      </c>
      <c r="F1178" s="187" t="n">
        <v>3</v>
      </c>
      <c r="G1178" s="187" t="n">
        <v>2</v>
      </c>
      <c r="H1178" s="187" t="inlineStr">
        <is>
          <t>HIGH</t>
        </is>
      </c>
      <c r="I1178" s="187" t="n">
        <v>13</v>
      </c>
      <c r="J1178" s="187" t="inlineStr">
        <is>
          <t>NO</t>
        </is>
      </c>
      <c r="K1178" s="187" t="inlineStr">
        <is>
          <t>https://socket.dev/blog/malicious-go-crypto-module-steals-passwords-and-deploys-rekoobe-backdoor</t>
        </is>
      </c>
      <c r="L1178" s="187" t="inlineStr">
        <is>
          <t>2026-02-27T05:11:11.289000</t>
        </is>
      </c>
      <c r="M1178" s="187" t="inlineStr">
        <is>
          <t>SEE_PULSE</t>
        </is>
      </c>
      <c r="N1178" s="187" t="inlineStr">
        <is>
          <t>https://socket.dev/blog/malicious-go-crypto-module-steals-passwords-and-deploys-rekoobe-backdoor</t>
        </is>
      </c>
      <c r="O1178" s="187" t="inlineStr">
        <is>
          <t>Block IOCs from pulse | Review pulse for indicators</t>
        </is>
      </c>
      <c r="P1178" s="187" t="inlineStr">
        <is>
          <t>cryptography-impersonation, rekoobe, supply-chain-attack, linux-malware, backdoor, golang, password-theft, github-abuse</t>
        </is>
      </c>
      <c r="Q1178" s="187" t="inlineStr">
        <is>
          <t>P3</t>
        </is>
      </c>
      <c r="R1178" s="187" t="inlineStr">
        <is>
          <t>🔍 Investigate and apply appropriate controls</t>
        </is>
      </c>
      <c r="S1178" s="187" t="inlineStr">
        <is>
          <t>OTX Pulse - check IP IOCs separately</t>
        </is>
      </c>
      <c r="T1178" s="187" t="n">
        <v>0</v>
      </c>
      <c r="U1178" s="187" t="n">
        <v>0</v>
      </c>
      <c r="V1178" s="187" t="inlineStr">
        <is>
          <t>See OTX pulse tags</t>
        </is>
      </c>
      <c r="W1178" s="187" t="n">
        <v>1</v>
      </c>
      <c r="X1178" s="187" t="inlineStr">
        <is>
          <t>LOW (40%)</t>
        </is>
      </c>
      <c r="Y1178" s="187" t="inlineStr">
        <is>
          <t>NONE</t>
        </is>
      </c>
      <c r="Z1178" s="187" t="inlineStr">
        <is>
          <t>NONE</t>
        </is>
      </c>
      <c r="AA1178" s="187" t="inlineStr">
        <is>
          <t>NONE</t>
        </is>
      </c>
      <c r="AB1178" s="187" t="inlineStr">
        <is>
          <t>NONE</t>
        </is>
      </c>
      <c r="AC1178" s="187" t="n">
        <v>0</v>
      </c>
      <c r="AD1178" s="187" t="inlineStr"/>
    </row>
    <row r="1179">
      <c r="A1179" s="187" t="inlineStr">
        <is>
          <t>OTX_PULSE</t>
        </is>
      </c>
      <c r="B1179" s="187" t="inlineStr">
        <is>
          <t>69a06896d797f45ad8da76b0</t>
        </is>
      </c>
      <c r="C1179" s="187"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79" s="187" t="n">
        <v>7</v>
      </c>
      <c r="E1179" s="187" t="inlineStr">
        <is>
          <t>HIGH</t>
        </is>
      </c>
      <c r="F1179" s="187" t="n">
        <v>3</v>
      </c>
      <c r="G1179" s="187" t="n">
        <v>2</v>
      </c>
      <c r="H1179" s="187" t="inlineStr">
        <is>
          <t>HIGH</t>
        </is>
      </c>
      <c r="I1179" s="187" t="n">
        <v>13</v>
      </c>
      <c r="J1179" s="187" t="inlineStr">
        <is>
          <t>NO</t>
        </is>
      </c>
      <c r="K1179" s="187" t="inlineStr">
        <is>
          <t>https://www.zscaler.com/blogs/security-research/apt37-adds-new-capabilities-air-gapped-networks</t>
        </is>
      </c>
      <c r="L1179" s="187" t="inlineStr">
        <is>
          <t>2026-02-26T15:36:54.379000</t>
        </is>
      </c>
      <c r="M1179" s="187" t="inlineStr">
        <is>
          <t>SEE_PULSE</t>
        </is>
      </c>
      <c r="N1179" s="187" t="inlineStr">
        <is>
          <t>https://www.zscaler.com/blogs/security-research/apt37-adds-new-capabilities-air-gapped-networks</t>
        </is>
      </c>
      <c r="O1179" s="187" t="inlineStr">
        <is>
          <t>Block IOCs from pulse | Review pulse for indicators</t>
        </is>
      </c>
      <c r="P1179" s="187" t="inlineStr">
        <is>
          <t>ruby, air-gapped networks, surveillance, bluelight, footwine, thumbsbd, removable media, shellcode, snakedropper, dprk, backdoor, virustask, restleaf, cloud storage</t>
        </is>
      </c>
      <c r="Q1179" s="187" t="inlineStr">
        <is>
          <t>P3</t>
        </is>
      </c>
      <c r="R1179" s="187" t="inlineStr">
        <is>
          <t>🔍 Investigate and apply appropriate controls</t>
        </is>
      </c>
      <c r="S1179" s="187" t="inlineStr">
        <is>
          <t>OTX Pulse - check IP IOCs separately</t>
        </is>
      </c>
      <c r="T1179" s="187" t="n">
        <v>0</v>
      </c>
      <c r="U1179" s="187" t="n">
        <v>0</v>
      </c>
      <c r="V1179" s="187" t="inlineStr">
        <is>
          <t>See OTX pulse tags</t>
        </is>
      </c>
      <c r="W1179" s="187" t="n">
        <v>1</v>
      </c>
      <c r="X1179" s="187" t="inlineStr">
        <is>
          <t>LOW (40%)</t>
        </is>
      </c>
      <c r="Y1179" s="187" t="inlineStr">
        <is>
          <t>NONE</t>
        </is>
      </c>
      <c r="Z1179" s="187" t="inlineStr">
        <is>
          <t>NONE</t>
        </is>
      </c>
      <c r="AA1179" s="187" t="inlineStr">
        <is>
          <t>NONE</t>
        </is>
      </c>
      <c r="AB1179" s="187" t="inlineStr">
        <is>
          <t>NONE</t>
        </is>
      </c>
      <c r="AC1179" s="187" t="n">
        <v>0</v>
      </c>
      <c r="AD1179" s="187" t="inlineStr"/>
    </row>
    <row r="1180">
      <c r="A1180" s="187" t="inlineStr">
        <is>
          <t>OTX_PULSE</t>
        </is>
      </c>
      <c r="B1180" s="187" t="inlineStr">
        <is>
          <t>689455e11e25236fe810364b</t>
        </is>
      </c>
      <c r="C1180" s="187"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80" s="187" t="n">
        <v>7</v>
      </c>
      <c r="E1180" s="187" t="inlineStr">
        <is>
          <t>HIGH</t>
        </is>
      </c>
      <c r="F1180" s="187" t="n">
        <v>3</v>
      </c>
      <c r="G1180" s="187" t="n">
        <v>2</v>
      </c>
      <c r="H1180" s="187" t="inlineStr">
        <is>
          <t>HIGH</t>
        </is>
      </c>
      <c r="I1180" s="187" t="n">
        <v>13</v>
      </c>
      <c r="J1180" s="187" t="inlineStr">
        <is>
          <t>NO</t>
        </is>
      </c>
      <c r="K1180" s="187" t="inlineStr">
        <is>
          <t>https://otx.alienvault.com</t>
        </is>
      </c>
      <c r="L1180" s="187" t="inlineStr">
        <is>
          <t>2025-08-07T07:29:37.542000</t>
        </is>
      </c>
      <c r="M1180" s="187" t="inlineStr">
        <is>
          <t>SEE_PULSE</t>
        </is>
      </c>
      <c r="N1180" s="187" t="inlineStr">
        <is>
          <t>https://otx.alienvault.com</t>
        </is>
      </c>
      <c r="O1180" s="187" t="inlineStr">
        <is>
          <t>Block IOCs from pulse | Review pulse for indicators</t>
        </is>
      </c>
      <c r="P1180" s="187" t="inlineStr">
        <is>
          <t>Various</t>
        </is>
      </c>
      <c r="Q1180" s="187" t="inlineStr">
        <is>
          <t>P3</t>
        </is>
      </c>
      <c r="R1180" s="187" t="inlineStr">
        <is>
          <t>🔍 Investigate and apply appropriate controls</t>
        </is>
      </c>
      <c r="S1180" s="187" t="inlineStr">
        <is>
          <t>OTX Pulse - check IP IOCs separately</t>
        </is>
      </c>
      <c r="T1180" s="187" t="n">
        <v>0</v>
      </c>
      <c r="U1180" s="187" t="n">
        <v>0</v>
      </c>
      <c r="V1180" s="187" t="inlineStr">
        <is>
          <t>See OTX pulse tags</t>
        </is>
      </c>
      <c r="W1180" s="187" t="n">
        <v>1</v>
      </c>
      <c r="X1180" s="187" t="inlineStr">
        <is>
          <t>LOW (40%)</t>
        </is>
      </c>
      <c r="Y1180" s="187" t="inlineStr">
        <is>
          <t>NONE</t>
        </is>
      </c>
      <c r="Z1180" s="187" t="inlineStr">
        <is>
          <t>NONE</t>
        </is>
      </c>
      <c r="AA1180" s="187" t="inlineStr">
        <is>
          <t>NONE</t>
        </is>
      </c>
      <c r="AB1180" s="187" t="inlineStr">
        <is>
          <t>NONE</t>
        </is>
      </c>
      <c r="AC1180" s="187" t="n">
        <v>0</v>
      </c>
      <c r="AD1180" s="187" t="inlineStr"/>
    </row>
    <row r="1181">
      <c r="A1181" s="187" t="inlineStr">
        <is>
          <t>OTX_PULSE</t>
        </is>
      </c>
      <c r="B1181" s="187" t="inlineStr">
        <is>
          <t>689453a1603f3d4b93557f2a</t>
        </is>
      </c>
      <c r="C1181" s="187"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81" s="187" t="n">
        <v>7</v>
      </c>
      <c r="E1181" s="187" t="inlineStr">
        <is>
          <t>HIGH</t>
        </is>
      </c>
      <c r="F1181" s="187" t="n">
        <v>3</v>
      </c>
      <c r="G1181" s="187" t="n">
        <v>2</v>
      </c>
      <c r="H1181" s="187" t="inlineStr">
        <is>
          <t>HIGH</t>
        </is>
      </c>
      <c r="I1181" s="187" t="n">
        <v>13</v>
      </c>
      <c r="J1181" s="187" t="inlineStr">
        <is>
          <t>NO</t>
        </is>
      </c>
      <c r="K1181" s="187" t="inlineStr">
        <is>
          <t>https://otx.alienvault.com</t>
        </is>
      </c>
      <c r="L1181" s="187" t="inlineStr">
        <is>
          <t>2025-08-07T07:20:01.253000</t>
        </is>
      </c>
      <c r="M1181" s="187" t="inlineStr">
        <is>
          <t>SEE_PULSE</t>
        </is>
      </c>
      <c r="N1181" s="187" t="inlineStr">
        <is>
          <t>https://otx.alienvault.com</t>
        </is>
      </c>
      <c r="O1181" s="187" t="inlineStr">
        <is>
          <t>Block IOCs from pulse | Review pulse for indicators</t>
        </is>
      </c>
      <c r="P1181" s="187" t="inlineStr">
        <is>
          <t>Various</t>
        </is>
      </c>
      <c r="Q1181" s="187" t="inlineStr">
        <is>
          <t>P3</t>
        </is>
      </c>
      <c r="R1181" s="187" t="inlineStr">
        <is>
          <t>🔍 Investigate and apply appropriate controls</t>
        </is>
      </c>
      <c r="S1181" s="187" t="inlineStr">
        <is>
          <t>OTX Pulse - check IP IOCs separately</t>
        </is>
      </c>
      <c r="T1181" s="187" t="n">
        <v>0</v>
      </c>
      <c r="U1181" s="187" t="n">
        <v>0</v>
      </c>
      <c r="V1181" s="187" t="inlineStr">
        <is>
          <t>See OTX pulse tags</t>
        </is>
      </c>
      <c r="W1181" s="187" t="n">
        <v>1</v>
      </c>
      <c r="X1181" s="187" t="inlineStr">
        <is>
          <t>LOW (40%)</t>
        </is>
      </c>
      <c r="Y1181" s="187" t="inlineStr">
        <is>
          <t>NONE</t>
        </is>
      </c>
      <c r="Z1181" s="187" t="inlineStr">
        <is>
          <t>NONE</t>
        </is>
      </c>
      <c r="AA1181" s="187" t="inlineStr">
        <is>
          <t>NONE</t>
        </is>
      </c>
      <c r="AB1181" s="187" t="inlineStr">
        <is>
          <t>NONE</t>
        </is>
      </c>
      <c r="AC1181" s="187" t="n">
        <v>0</v>
      </c>
      <c r="AD1181" s="187" t="inlineStr"/>
    </row>
    <row r="1182">
      <c r="A1182" s="187" t="inlineStr">
        <is>
          <t>OTX_PULSE</t>
        </is>
      </c>
      <c r="B1182" s="187" t="inlineStr">
        <is>
          <t>69a028b4c9477a7b9420328f</t>
        </is>
      </c>
      <c r="C1182" s="187"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82" s="187" t="n">
        <v>7</v>
      </c>
      <c r="E1182" s="187" t="inlineStr">
        <is>
          <t>HIGH</t>
        </is>
      </c>
      <c r="F1182" s="187" t="n">
        <v>3</v>
      </c>
      <c r="G1182" s="187" t="n">
        <v>2</v>
      </c>
      <c r="H1182" s="187" t="inlineStr">
        <is>
          <t>HIGH</t>
        </is>
      </c>
      <c r="I1182" s="187" t="n">
        <v>13</v>
      </c>
      <c r="J1182" s="187" t="inlineStr">
        <is>
          <t>NO</t>
        </is>
      </c>
      <c r="K1182" s="187" t="inlineStr">
        <is>
          <t>https://cloud.google.com/blog/topics/threat-intelligence/disrupting-gridtide-global-espionage-campaign</t>
        </is>
      </c>
      <c r="L1182" s="187" t="inlineStr">
        <is>
          <t>2026-02-26T11:04:20.880000</t>
        </is>
      </c>
      <c r="M1182" s="187" t="inlineStr">
        <is>
          <t>SEE_PULSE</t>
        </is>
      </c>
      <c r="N1182" s="187" t="inlineStr">
        <is>
          <t>https://cloud.google.com/blog/topics/threat-intelligence/disrupting-gridtide-global-espionage-campaign</t>
        </is>
      </c>
      <c r="O1182" s="187" t="inlineStr">
        <is>
          <t>Block IOCs from pulse | Review pulse for indicators</t>
        </is>
      </c>
      <c r="P1182" s="187" t="inlineStr">
        <is>
          <t>cyber espionage, google sheets, gridtide, china, backdoor, telecommunications, api abuse, government</t>
        </is>
      </c>
      <c r="Q1182" s="187" t="inlineStr">
        <is>
          <t>P3</t>
        </is>
      </c>
      <c r="R1182" s="187" t="inlineStr">
        <is>
          <t>🔍 Investigate and apply appropriate controls</t>
        </is>
      </c>
      <c r="S1182" s="187" t="inlineStr">
        <is>
          <t>OTX Pulse - check IP IOCs separately</t>
        </is>
      </c>
      <c r="T1182" s="187" t="n">
        <v>0</v>
      </c>
      <c r="U1182" s="187" t="n">
        <v>0</v>
      </c>
      <c r="V1182" s="187" t="inlineStr">
        <is>
          <t>See OTX pulse tags</t>
        </is>
      </c>
      <c r="W1182" s="187" t="n">
        <v>1</v>
      </c>
      <c r="X1182" s="187" t="inlineStr">
        <is>
          <t>LOW (40%)</t>
        </is>
      </c>
      <c r="Y1182" s="187" t="inlineStr">
        <is>
          <t>NONE</t>
        </is>
      </c>
      <c r="Z1182" s="187" t="inlineStr">
        <is>
          <t>NONE</t>
        </is>
      </c>
      <c r="AA1182" s="187" t="inlineStr">
        <is>
          <t>NONE</t>
        </is>
      </c>
      <c r="AB1182" s="187" t="inlineStr">
        <is>
          <t>NONE</t>
        </is>
      </c>
      <c r="AC1182" s="187" t="n">
        <v>0</v>
      </c>
      <c r="AD1182" s="187" t="inlineStr"/>
    </row>
    <row r="1183">
      <c r="A1183" s="187" t="inlineStr">
        <is>
          <t>OTX_PULSE</t>
        </is>
      </c>
      <c r="B1183" s="187" t="inlineStr">
        <is>
          <t>6978a64af51a4e50807b6636</t>
        </is>
      </c>
      <c r="C1183" s="187"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83" s="187" t="n">
        <v>7</v>
      </c>
      <c r="E1183" s="187" t="inlineStr">
        <is>
          <t>HIGH</t>
        </is>
      </c>
      <c r="F1183" s="187" t="n">
        <v>3</v>
      </c>
      <c r="G1183" s="187" t="n">
        <v>2</v>
      </c>
      <c r="H1183" s="187" t="inlineStr">
        <is>
          <t>HIGH</t>
        </is>
      </c>
      <c r="I1183" s="187" t="n">
        <v>13</v>
      </c>
      <c r="J1183" s="187" t="inlineStr">
        <is>
          <t>NO</t>
        </is>
      </c>
      <c r="K1183" s="187" t="inlineStr">
        <is>
          <t>https://securelist.com/honeymyte-updates-coolclient-uses-browser-stealers-and-scripts/118664/</t>
        </is>
      </c>
      <c r="L1183" s="187" t="inlineStr">
        <is>
          <t>2026-01-27T11:49:30.682000</t>
        </is>
      </c>
      <c r="M1183" s="187" t="inlineStr">
        <is>
          <t>SEE_PULSE</t>
        </is>
      </c>
      <c r="N1183" s="187" t="inlineStr">
        <is>
          <t>https://securelist.com/honeymyte-updates-coolclient-uses-browser-stealers-and-scripts/118664/</t>
        </is>
      </c>
      <c r="O1183" s="187" t="inlineStr">
        <is>
          <t>Block IOCs from pulse | Review pulse for indicators</t>
        </is>
      </c>
      <c r="P1183" s="187" t="inlineStr">
        <is>
          <t>data theft, plugx, southeast asia, toneshell, backdoor, credential stealing, luminousmoth, apt, coolclient, qreverse, government</t>
        </is>
      </c>
      <c r="Q1183" s="187" t="inlineStr">
        <is>
          <t>P3</t>
        </is>
      </c>
      <c r="R1183" s="187" t="inlineStr">
        <is>
          <t>🔍 Investigate and apply appropriate controls</t>
        </is>
      </c>
      <c r="S1183" s="187" t="inlineStr">
        <is>
          <t>OTX Pulse - check IP IOCs separately</t>
        </is>
      </c>
      <c r="T1183" s="187" t="n">
        <v>0</v>
      </c>
      <c r="U1183" s="187" t="n">
        <v>0</v>
      </c>
      <c r="V1183" s="187" t="inlineStr">
        <is>
          <t>See OTX pulse tags</t>
        </is>
      </c>
      <c r="W1183" s="187" t="n">
        <v>1</v>
      </c>
      <c r="X1183" s="187" t="inlineStr">
        <is>
          <t>LOW (40%)</t>
        </is>
      </c>
      <c r="Y1183" s="187" t="inlineStr">
        <is>
          <t>NONE</t>
        </is>
      </c>
      <c r="Z1183" s="187" t="inlineStr">
        <is>
          <t>NONE</t>
        </is>
      </c>
      <c r="AA1183" s="187" t="inlineStr">
        <is>
          <t>NONE</t>
        </is>
      </c>
      <c r="AB1183" s="187" t="inlineStr">
        <is>
          <t>NONE</t>
        </is>
      </c>
      <c r="AC1183" s="187" t="n">
        <v>0</v>
      </c>
      <c r="AD1183" s="187" t="inlineStr"/>
    </row>
    <row r="1184">
      <c r="A1184" s="187" t="inlineStr">
        <is>
          <t>OTX_PULSE</t>
        </is>
      </c>
      <c r="B1184" s="187" t="inlineStr">
        <is>
          <t>6977cf000e82fbf4ca307f21</t>
        </is>
      </c>
      <c r="C1184" s="187"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84" s="187" t="n">
        <v>7</v>
      </c>
      <c r="E1184" s="187" t="inlineStr">
        <is>
          <t>HIGH</t>
        </is>
      </c>
      <c r="F1184" s="187" t="n">
        <v>3</v>
      </c>
      <c r="G1184" s="187" t="n">
        <v>2</v>
      </c>
      <c r="H1184" s="187" t="inlineStr">
        <is>
          <t>HIGH</t>
        </is>
      </c>
      <c r="I1184" s="187" t="n">
        <v>13</v>
      </c>
      <c r="J1184" s="187" t="inlineStr">
        <is>
          <t>NO</t>
        </is>
      </c>
      <c r="K1184" s="187" t="inlineStr">
        <is>
          <t>https://www.trendmicro.com/en_us/research/26/a/peckbirdy-script-framework.html</t>
        </is>
      </c>
      <c r="L1184" s="187" t="inlineStr">
        <is>
          <t>2026-01-26T20:30:56.423000</t>
        </is>
      </c>
      <c r="M1184" s="187" t="inlineStr">
        <is>
          <t>SEE_PULSE</t>
        </is>
      </c>
      <c r="N1184" s="187" t="inlineStr">
        <is>
          <t>https://www.trendmicro.com/en_us/research/26/a/peckbirdy-script-framework.html</t>
        </is>
      </c>
      <c r="O1184" s="187" t="inlineStr">
        <is>
          <t>Block IOCs from pulse | Review pulse for indicators</t>
        </is>
      </c>
      <c r="P1184" s="187" t="inlineStr">
        <is>
          <t>c&amp;c framework, peckbirdy, wizardnet, cve-2020-16040, government, biopass rat, mkdoor, gambling, apt, jscript, darknimbus, holodonut, china-aligned, grayrabbit, lolbins</t>
        </is>
      </c>
      <c r="Q1184" s="187" t="inlineStr">
        <is>
          <t>P3</t>
        </is>
      </c>
      <c r="R1184" s="187" t="inlineStr">
        <is>
          <t>🔍 Investigate and apply appropriate controls</t>
        </is>
      </c>
      <c r="S1184" s="187" t="inlineStr">
        <is>
          <t>OTX Pulse - check IP IOCs separately</t>
        </is>
      </c>
      <c r="T1184" s="187" t="n">
        <v>0</v>
      </c>
      <c r="U1184" s="187" t="n">
        <v>0</v>
      </c>
      <c r="V1184" s="187" t="inlineStr">
        <is>
          <t>See OTX pulse tags</t>
        </is>
      </c>
      <c r="W1184" s="187" t="n">
        <v>1</v>
      </c>
      <c r="X1184" s="187" t="inlineStr">
        <is>
          <t>LOW (40%)</t>
        </is>
      </c>
      <c r="Y1184" s="187" t="inlineStr">
        <is>
          <t>NONE</t>
        </is>
      </c>
      <c r="Z1184" s="187" t="inlineStr">
        <is>
          <t>NONE</t>
        </is>
      </c>
      <c r="AA1184" s="187" t="inlineStr">
        <is>
          <t>NONE</t>
        </is>
      </c>
      <c r="AB1184" s="187" t="inlineStr">
        <is>
          <t>NONE</t>
        </is>
      </c>
      <c r="AC1184" s="187" t="n">
        <v>0</v>
      </c>
      <c r="AD1184" s="187" t="inlineStr"/>
    </row>
    <row r="1185">
      <c r="A1185" s="187" t="inlineStr">
        <is>
          <t>OTX_PULSE</t>
        </is>
      </c>
      <c r="B1185" s="187" t="inlineStr">
        <is>
          <t>699f5536e9f0860107bbaba7</t>
        </is>
      </c>
      <c r="C1185" s="187"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85" s="187" t="n">
        <v>7</v>
      </c>
      <c r="E1185" s="187" t="inlineStr">
        <is>
          <t>HIGH</t>
        </is>
      </c>
      <c r="F1185" s="187" t="n">
        <v>3</v>
      </c>
      <c r="G1185" s="187" t="n">
        <v>2</v>
      </c>
      <c r="H1185" s="187" t="inlineStr">
        <is>
          <t>HIGH</t>
        </is>
      </c>
      <c r="I1185" s="187" t="n">
        <v>13</v>
      </c>
      <c r="J1185" s="187" t="inlineStr">
        <is>
          <t>NO</t>
        </is>
      </c>
      <c r="K1185" s="187" t="inlineStr">
        <is>
          <t>https://www.fortinet.com/blog/threat-research/unmasking-agent-tesla-deep-dive-into-multi-stage-campaign</t>
        </is>
      </c>
      <c r="L1185" s="187" t="inlineStr">
        <is>
          <t>2026-02-25T20:01:58.886000</t>
        </is>
      </c>
      <c r="M1185" s="187" t="inlineStr">
        <is>
          <t>SEE_PULSE</t>
        </is>
      </c>
      <c r="N1185" s="187" t="inlineStr">
        <is>
          <t>https://www.fortinet.com/blog/threat-research/unmasking-agent-tesla-deep-dive-into-multi-stage-campaign</t>
        </is>
      </c>
      <c r="O1185" s="187" t="inlineStr">
        <is>
          <t>Block IOCs from pulse | Review pulse for indicators</t>
        </is>
      </c>
      <c r="P1185" s="187" t="inlineStr">
        <is>
          <t>credential harvesting, smtp, data exfiltration, anti-analysis, phishing, process hollowing, in-memory execution, agent tesla, multi-stage attack</t>
        </is>
      </c>
      <c r="Q1185" s="187" t="inlineStr">
        <is>
          <t>P3</t>
        </is>
      </c>
      <c r="R1185" s="187" t="inlineStr">
        <is>
          <t>🔍 Investigate and apply appropriate controls</t>
        </is>
      </c>
      <c r="S1185" s="187" t="inlineStr">
        <is>
          <t>OTX Pulse - check IP IOCs separately</t>
        </is>
      </c>
      <c r="T1185" s="187" t="n">
        <v>0</v>
      </c>
      <c r="U1185" s="187" t="n">
        <v>0</v>
      </c>
      <c r="V1185" s="187" t="inlineStr">
        <is>
          <t>See OTX pulse tags</t>
        </is>
      </c>
      <c r="W1185" s="187" t="n">
        <v>1</v>
      </c>
      <c r="X1185" s="187" t="inlineStr">
        <is>
          <t>LOW (40%)</t>
        </is>
      </c>
      <c r="Y1185" s="187" t="inlineStr">
        <is>
          <t>NONE</t>
        </is>
      </c>
      <c r="Z1185" s="187" t="inlineStr">
        <is>
          <t>NONE</t>
        </is>
      </c>
      <c r="AA1185" s="187" t="inlineStr">
        <is>
          <t>NONE</t>
        </is>
      </c>
      <c r="AB1185" s="187" t="inlineStr">
        <is>
          <t>NONE</t>
        </is>
      </c>
      <c r="AC1185" s="187" t="n">
        <v>0</v>
      </c>
      <c r="AD1185" s="187" t="inlineStr"/>
    </row>
    <row r="1186">
      <c r="A1186" s="187" t="inlineStr">
        <is>
          <t>OTX_PULSE</t>
        </is>
      </c>
      <c r="B1186" s="187" t="inlineStr">
        <is>
          <t>69778aef872cffc134e67ace</t>
        </is>
      </c>
      <c r="C1186" s="187"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86" s="187" t="n">
        <v>7</v>
      </c>
      <c r="E1186" s="187" t="inlineStr">
        <is>
          <t>HIGH</t>
        </is>
      </c>
      <c r="F1186" s="187" t="n">
        <v>3</v>
      </c>
      <c r="G1186" s="187" t="n">
        <v>2</v>
      </c>
      <c r="H1186" s="187" t="inlineStr">
        <is>
          <t>HIGH</t>
        </is>
      </c>
      <c r="I1186" s="187" t="n">
        <v>13</v>
      </c>
      <c r="J1186" s="187" t="inlineStr">
        <is>
          <t>NO</t>
        </is>
      </c>
      <c r="K1186" s="187" t="inlineStr">
        <is>
          <t>https://www.security.com/threat-intelligence/chrome-extensions-are-you-getting-more-you-bargained</t>
        </is>
      </c>
      <c r="L1186" s="187" t="inlineStr">
        <is>
          <t>2026-01-26T15:40:31.078000</t>
        </is>
      </c>
      <c r="M1186" s="187" t="inlineStr">
        <is>
          <t>SEE_PULSE</t>
        </is>
      </c>
      <c r="N1186" s="187" t="inlineStr">
        <is>
          <t>https://www.security.com/threat-intelligence/chrome-extensions-are-you-getting-more-you-bargained</t>
        </is>
      </c>
      <c r="O1186" s="187" t="inlineStr">
        <is>
          <t>Block IOCs from pulse | Review pulse for indicators</t>
        </is>
      </c>
      <c r="P1186" s="187" t="inlineStr">
        <is>
          <t>data exfiltration, malicious extensions, xss vulnerability, security risks, cve-2020-28707, search hijacking, chrome extensions, remote code execution, clipboard access</t>
        </is>
      </c>
      <c r="Q1186" s="187" t="inlineStr">
        <is>
          <t>P3</t>
        </is>
      </c>
      <c r="R1186" s="187" t="inlineStr">
        <is>
          <t>🔍 Investigate and apply appropriate controls</t>
        </is>
      </c>
      <c r="S1186" s="187" t="inlineStr">
        <is>
          <t>OTX Pulse - check IP IOCs separately</t>
        </is>
      </c>
      <c r="T1186" s="187" t="n">
        <v>0</v>
      </c>
      <c r="U1186" s="187" t="n">
        <v>0</v>
      </c>
      <c r="V1186" s="187" t="inlineStr">
        <is>
          <t>See OTX pulse tags</t>
        </is>
      </c>
      <c r="W1186" s="187" t="n">
        <v>1</v>
      </c>
      <c r="X1186" s="187" t="inlineStr">
        <is>
          <t>LOW (40%)</t>
        </is>
      </c>
      <c r="Y1186" s="187" t="inlineStr">
        <is>
          <t>NONE</t>
        </is>
      </c>
      <c r="Z1186" s="187" t="inlineStr">
        <is>
          <t>NONE</t>
        </is>
      </c>
      <c r="AA1186" s="187" t="inlineStr">
        <is>
          <t>NONE</t>
        </is>
      </c>
      <c r="AB1186" s="187" t="inlineStr">
        <is>
          <t>NONE</t>
        </is>
      </c>
      <c r="AC1186" s="187" t="n">
        <v>0</v>
      </c>
      <c r="AD1186" s="187" t="inlineStr"/>
    </row>
    <row r="1187">
      <c r="A1187" s="187" t="inlineStr">
        <is>
          <t>OTX_PULSE</t>
        </is>
      </c>
      <c r="B1187" s="187" t="inlineStr">
        <is>
          <t>69777a203745e70e7425106f</t>
        </is>
      </c>
      <c r="C1187" s="187" t="inlineStr">
        <is>
          <t xml:space="preserve">Malware MoonPeak Executed via LNK Files: In January 2026, IIJ observed malicious LNK files targeting Korean users to execute the MoonPeak malware, attributed to North Korean threat actors. The infection chain begins with a LNK file that runs an obfuscated PowerShell script, which checks for analysis environments, creates additional scripts, and sets up persistence. The second stage downloads and executes a payload from GitHub, which is actually the MoonPeak malware. MoonPeak is obfuscated using </t>
        </is>
      </c>
      <c r="D1187" s="187" t="n">
        <v>7</v>
      </c>
      <c r="E1187" s="187" t="inlineStr">
        <is>
          <t>HIGH</t>
        </is>
      </c>
      <c r="F1187" s="187" t="n">
        <v>3</v>
      </c>
      <c r="G1187" s="187" t="n">
        <v>2</v>
      </c>
      <c r="H1187" s="187" t="inlineStr">
        <is>
          <t>HIGH</t>
        </is>
      </c>
      <c r="I1187" s="187" t="n">
        <v>13</v>
      </c>
      <c r="J1187" s="187" t="inlineStr">
        <is>
          <t>NO</t>
        </is>
      </c>
      <c r="K1187" s="187" t="inlineStr">
        <is>
          <t>https://sect.iij.ad.jp/blog/2026/01/dprk-moonpeak-executed-via-malicious-lnk-file</t>
        </is>
      </c>
      <c r="L1187" s="187" t="inlineStr">
        <is>
          <t>2026-01-26T14:28:48.027000</t>
        </is>
      </c>
      <c r="M1187" s="187" t="inlineStr">
        <is>
          <t>SEE_PULSE</t>
        </is>
      </c>
      <c r="N1187" s="187" t="inlineStr">
        <is>
          <t>https://sect.iij.ad.jp/blog/2026/01/dprk-moonpeak-executed-via-malicious-lnk-file</t>
        </is>
      </c>
      <c r="O1187" s="187" t="inlineStr">
        <is>
          <t>Block IOCs from pulse | Review pulse for indicators</t>
        </is>
      </c>
      <c r="P1187" s="187" t="inlineStr">
        <is>
          <t>lots, korea, persistence, github, lnk files, xenorat, powershell, moonpeak, confuserex</t>
        </is>
      </c>
      <c r="Q1187" s="187" t="inlineStr">
        <is>
          <t>P3</t>
        </is>
      </c>
      <c r="R1187" s="187" t="inlineStr">
        <is>
          <t>🔍 Investigate and apply appropriate controls</t>
        </is>
      </c>
      <c r="S1187" s="187" t="inlineStr">
        <is>
          <t>OTX Pulse - check IP IOCs separately</t>
        </is>
      </c>
      <c r="T1187" s="187" t="n">
        <v>0</v>
      </c>
      <c r="U1187" s="187" t="n">
        <v>0</v>
      </c>
      <c r="V1187" s="187" t="inlineStr">
        <is>
          <t>See OTX pulse tags</t>
        </is>
      </c>
      <c r="W1187" s="187" t="n">
        <v>1</v>
      </c>
      <c r="X1187" s="187" t="inlineStr">
        <is>
          <t>LOW (40%)</t>
        </is>
      </c>
      <c r="Y1187" s="187" t="inlineStr">
        <is>
          <t>NONE</t>
        </is>
      </c>
      <c r="Z1187" s="187" t="inlineStr">
        <is>
          <t>NONE</t>
        </is>
      </c>
      <c r="AA1187" s="187" t="inlineStr">
        <is>
          <t>NONE</t>
        </is>
      </c>
      <c r="AB1187" s="187" t="inlineStr">
        <is>
          <t>NONE</t>
        </is>
      </c>
      <c r="AC1187" s="187" t="n">
        <v>0</v>
      </c>
      <c r="AD1187" s="187" t="inlineStr"/>
    </row>
    <row r="1188">
      <c r="A1188" s="187" t="inlineStr">
        <is>
          <t>THREATFOX_IOC</t>
        </is>
      </c>
      <c r="B1188" s="187" t="inlineStr">
        <is>
          <t>1755483</t>
        </is>
      </c>
      <c r="C1188" s="187" t="inlineStr">
        <is>
          <t>domain IOC:  | Malware: StrelaStealer | Confidence: 100%</t>
        </is>
      </c>
      <c r="D1188" s="187" t="n">
        <v>7.5</v>
      </c>
      <c r="E1188" s="187" t="inlineStr">
        <is>
          <t>HIGH</t>
        </is>
      </c>
      <c r="F1188" s="187" t="n">
        <v>3</v>
      </c>
      <c r="G1188" s="187" t="n">
        <v>2</v>
      </c>
      <c r="H1188" s="187" t="inlineStr">
        <is>
          <t>HIGH</t>
        </is>
      </c>
      <c r="I1188" s="187" t="n">
        <v>13.5</v>
      </c>
      <c r="J1188" s="187" t="inlineStr">
        <is>
          <t>NO</t>
        </is>
      </c>
      <c r="K1188" s="187" t="inlineStr">
        <is>
          <t>https://threatfox.abuse.ch/ioc/1755483/</t>
        </is>
      </c>
      <c r="L1188" s="187" t="inlineStr">
        <is>
          <t>2026-02-27 18:14:17 UTC</t>
        </is>
      </c>
      <c r="M1188" s="187" t="inlineStr">
        <is>
          <t>Block IOC</t>
        </is>
      </c>
      <c r="N1188" s="187" t="inlineStr">
        <is>
          <t>https://threatfox.abuse.ch/ioc/1755483/</t>
        </is>
      </c>
      <c r="O1188" s="187" t="inlineStr">
        <is>
          <t>Block domain:</t>
        </is>
      </c>
      <c r="P1188" s="187" t="inlineStr">
        <is>
          <t>payload_delivery</t>
        </is>
      </c>
      <c r="Q1188" s="187" t="inlineStr">
        <is>
          <t>P3</t>
        </is>
      </c>
      <c r="R1188" s="187" t="inlineStr">
        <is>
          <t>🚫 Block IOC at network perimeter | 🔎 Hunt for IOC across environment | 📋 Document and share with threat intel team</t>
        </is>
      </c>
      <c r="S1188" s="187" t="inlineStr">
        <is>
          <t>Classification: Not checked | Context: Not enriched | Name: Not indexed</t>
        </is>
      </c>
      <c r="T1188" s="187" t="n">
        <v>0</v>
      </c>
      <c r="U1188" s="187" t="n">
        <v>0</v>
      </c>
      <c r="V1188" s="187" t="inlineStr">
        <is>
          <t>T1071:Application Layer Protocol | T1102:Web Service</t>
        </is>
      </c>
      <c r="W1188" s="187" t="n">
        <v>1</v>
      </c>
      <c r="X1188" s="187" t="inlineStr">
        <is>
          <t>LOW (40%)</t>
        </is>
      </c>
      <c r="Y1188" s="187" t="inlineStr">
        <is>
          <t>NONE</t>
        </is>
      </c>
      <c r="Z1188" s="187" t="inlineStr">
        <is>
          <t>NONE</t>
        </is>
      </c>
      <c r="AA1188" s="187" t="inlineStr">
        <is>
          <t>NONE</t>
        </is>
      </c>
      <c r="AB1188" s="187" t="inlineStr">
        <is>
          <t>NONE</t>
        </is>
      </c>
      <c r="AC1188" s="187" t="n">
        <v>0</v>
      </c>
      <c r="AD1188" s="187" t="inlineStr"/>
    </row>
    <row r="1189">
      <c r="A1189" s="187" t="inlineStr">
        <is>
          <t>THREATFOX_IOC</t>
        </is>
      </c>
      <c r="B1189" s="187" t="inlineStr">
        <is>
          <t>1755482</t>
        </is>
      </c>
      <c r="C1189" s="187" t="inlineStr">
        <is>
          <t>domain IOC:  | Malware: AsyncRAT | Confidence: 100%</t>
        </is>
      </c>
      <c r="D1189" s="187" t="n">
        <v>7.5</v>
      </c>
      <c r="E1189" s="187" t="inlineStr">
        <is>
          <t>HIGH</t>
        </is>
      </c>
      <c r="F1189" s="187" t="n">
        <v>3</v>
      </c>
      <c r="G1189" s="187" t="n">
        <v>2</v>
      </c>
      <c r="H1189" s="187" t="inlineStr">
        <is>
          <t>HIGH</t>
        </is>
      </c>
      <c r="I1189" s="187" t="n">
        <v>13.5</v>
      </c>
      <c r="J1189" s="187" t="inlineStr">
        <is>
          <t>NO</t>
        </is>
      </c>
      <c r="K1189" s="187" t="inlineStr">
        <is>
          <t>https://threatfox.abuse.ch/ioc/1755482/</t>
        </is>
      </c>
      <c r="L1189" s="187" t="inlineStr">
        <is>
          <t>2026-02-27 18:01:39 UTC</t>
        </is>
      </c>
      <c r="M1189" s="187" t="inlineStr">
        <is>
          <t>Block IOC</t>
        </is>
      </c>
      <c r="N1189" s="187" t="inlineStr">
        <is>
          <t>https://threatfox.abuse.ch/ioc/1755482/</t>
        </is>
      </c>
      <c r="O1189" s="187" t="inlineStr">
        <is>
          <t>Block domain:</t>
        </is>
      </c>
      <c r="P1189" s="187" t="inlineStr">
        <is>
          <t>botnet_cc</t>
        </is>
      </c>
      <c r="Q1189" s="187" t="inlineStr">
        <is>
          <t>P3</t>
        </is>
      </c>
      <c r="R1189" s="187" t="inlineStr">
        <is>
          <t>🚫 Block IOC at network perimeter | 🔎 Hunt for IOC across environment | 📋 Document and share with threat intel team</t>
        </is>
      </c>
      <c r="S1189" s="187" t="inlineStr">
        <is>
          <t>Classification: Not checked | Context: Not enriched | Name: Not indexed</t>
        </is>
      </c>
      <c r="T1189" s="187" t="n">
        <v>0</v>
      </c>
      <c r="U1189" s="187" t="n">
        <v>0</v>
      </c>
      <c r="V1189" s="187" t="inlineStr">
        <is>
          <t>T1071:Application Layer Protocol | T1102:Web Service</t>
        </is>
      </c>
      <c r="W1189" s="187" t="n">
        <v>1</v>
      </c>
      <c r="X1189" s="187" t="inlineStr">
        <is>
          <t>LOW (40%)</t>
        </is>
      </c>
      <c r="Y1189" s="187" t="inlineStr">
        <is>
          <t>NONE</t>
        </is>
      </c>
      <c r="Z1189" s="187" t="inlineStr">
        <is>
          <t>NONE</t>
        </is>
      </c>
      <c r="AA1189" s="187" t="inlineStr">
        <is>
          <t>NONE</t>
        </is>
      </c>
      <c r="AB1189" s="187" t="inlineStr">
        <is>
          <t>NONE</t>
        </is>
      </c>
      <c r="AC1189" s="187" t="n">
        <v>0</v>
      </c>
      <c r="AD1189" s="187" t="inlineStr"/>
    </row>
    <row r="1190">
      <c r="A1190" s="187" t="inlineStr">
        <is>
          <t>THREATFOX_IOC</t>
        </is>
      </c>
      <c r="B1190" s="187" t="inlineStr">
        <is>
          <t>1755481</t>
        </is>
      </c>
      <c r="C1190" s="187" t="inlineStr">
        <is>
          <t>domain IOC:  | Malware: AsyncRAT | Confidence: 100%</t>
        </is>
      </c>
      <c r="D1190" s="187" t="n">
        <v>7.5</v>
      </c>
      <c r="E1190" s="187" t="inlineStr">
        <is>
          <t>HIGH</t>
        </is>
      </c>
      <c r="F1190" s="187" t="n">
        <v>3</v>
      </c>
      <c r="G1190" s="187" t="n">
        <v>2</v>
      </c>
      <c r="H1190" s="187" t="inlineStr">
        <is>
          <t>HIGH</t>
        </is>
      </c>
      <c r="I1190" s="187" t="n">
        <v>13.5</v>
      </c>
      <c r="J1190" s="187" t="inlineStr">
        <is>
          <t>NO</t>
        </is>
      </c>
      <c r="K1190" s="187" t="inlineStr">
        <is>
          <t>https://threatfox.abuse.ch/ioc/1755481/</t>
        </is>
      </c>
      <c r="L1190" s="187" t="inlineStr">
        <is>
          <t>2026-02-27 18:01:36 UTC</t>
        </is>
      </c>
      <c r="M1190" s="187" t="inlineStr">
        <is>
          <t>Block IOC</t>
        </is>
      </c>
      <c r="N1190" s="187" t="inlineStr">
        <is>
          <t>https://threatfox.abuse.ch/ioc/1755481/</t>
        </is>
      </c>
      <c r="O1190" s="187" t="inlineStr">
        <is>
          <t>Block domain:</t>
        </is>
      </c>
      <c r="P1190" s="187" t="inlineStr">
        <is>
          <t>botnet_cc</t>
        </is>
      </c>
      <c r="Q1190" s="187" t="inlineStr">
        <is>
          <t>P3</t>
        </is>
      </c>
      <c r="R1190" s="187" t="inlineStr">
        <is>
          <t>🚫 Block IOC at network perimeter | 🔎 Hunt for IOC across environment | 📋 Document and share with threat intel team</t>
        </is>
      </c>
      <c r="S1190" s="187" t="inlineStr">
        <is>
          <t>Classification: Not checked | Context: Not enriched | Name: Not indexed</t>
        </is>
      </c>
      <c r="T1190" s="187" t="n">
        <v>0</v>
      </c>
      <c r="U1190" s="187" t="n">
        <v>0</v>
      </c>
      <c r="V1190" s="187" t="inlineStr">
        <is>
          <t>T1071:Application Layer Protocol | T1102:Web Service</t>
        </is>
      </c>
      <c r="W1190" s="187" t="n">
        <v>1</v>
      </c>
      <c r="X1190" s="187" t="inlineStr">
        <is>
          <t>LOW (40%)</t>
        </is>
      </c>
      <c r="Y1190" s="187" t="inlineStr">
        <is>
          <t>NONE</t>
        </is>
      </c>
      <c r="Z1190" s="187" t="inlineStr">
        <is>
          <t>NONE</t>
        </is>
      </c>
      <c r="AA1190" s="187" t="inlineStr">
        <is>
          <t>NONE</t>
        </is>
      </c>
      <c r="AB1190" s="187" t="inlineStr">
        <is>
          <t>NONE</t>
        </is>
      </c>
      <c r="AC1190" s="187" t="n">
        <v>0</v>
      </c>
      <c r="AD1190" s="187" t="inlineStr"/>
    </row>
    <row r="1191">
      <c r="A1191" s="187" t="inlineStr">
        <is>
          <t>THREATFOX_IOC</t>
        </is>
      </c>
      <c r="B1191" s="187" t="inlineStr">
        <is>
          <t>1755480</t>
        </is>
      </c>
      <c r="C1191" s="187" t="inlineStr">
        <is>
          <t>domain IOC:  | Malware: AsyncRAT | Confidence: 100%</t>
        </is>
      </c>
      <c r="D1191" s="187" t="n">
        <v>7.5</v>
      </c>
      <c r="E1191" s="187" t="inlineStr">
        <is>
          <t>HIGH</t>
        </is>
      </c>
      <c r="F1191" s="187" t="n">
        <v>3</v>
      </c>
      <c r="G1191" s="187" t="n">
        <v>2</v>
      </c>
      <c r="H1191" s="187" t="inlineStr">
        <is>
          <t>HIGH</t>
        </is>
      </c>
      <c r="I1191" s="187" t="n">
        <v>13.5</v>
      </c>
      <c r="J1191" s="187" t="inlineStr">
        <is>
          <t>NO</t>
        </is>
      </c>
      <c r="K1191" s="187" t="inlineStr">
        <is>
          <t>https://threatfox.abuse.ch/ioc/1755480/</t>
        </is>
      </c>
      <c r="L1191" s="187" t="inlineStr">
        <is>
          <t>2026-02-27 18:01:35 UTC</t>
        </is>
      </c>
      <c r="M1191" s="187" t="inlineStr">
        <is>
          <t>Block IOC</t>
        </is>
      </c>
      <c r="N1191" s="187" t="inlineStr">
        <is>
          <t>https://threatfox.abuse.ch/ioc/1755480/</t>
        </is>
      </c>
      <c r="O1191" s="187" t="inlineStr">
        <is>
          <t>Block domain:</t>
        </is>
      </c>
      <c r="P1191" s="187" t="inlineStr">
        <is>
          <t>botnet_cc</t>
        </is>
      </c>
      <c r="Q1191" s="187" t="inlineStr">
        <is>
          <t>P3</t>
        </is>
      </c>
      <c r="R1191" s="187" t="inlineStr">
        <is>
          <t>🚫 Block IOC at network perimeter | 🔎 Hunt for IOC across environment | 📋 Document and share with threat intel team</t>
        </is>
      </c>
      <c r="S1191" s="187" t="inlineStr">
        <is>
          <t>Classification: Not checked | Context: Not enriched | Name: Not indexed</t>
        </is>
      </c>
      <c r="T1191" s="187" t="n">
        <v>0</v>
      </c>
      <c r="U1191" s="187" t="n">
        <v>0</v>
      </c>
      <c r="V1191" s="187" t="inlineStr">
        <is>
          <t>T1071:Application Layer Protocol | T1102:Web Service</t>
        </is>
      </c>
      <c r="W1191" s="187" t="n">
        <v>1</v>
      </c>
      <c r="X1191" s="187" t="inlineStr">
        <is>
          <t>LOW (40%)</t>
        </is>
      </c>
      <c r="Y1191" s="187" t="inlineStr">
        <is>
          <t>NONE</t>
        </is>
      </c>
      <c r="Z1191" s="187" t="inlineStr">
        <is>
          <t>NONE</t>
        </is>
      </c>
      <c r="AA1191" s="187" t="inlineStr">
        <is>
          <t>NONE</t>
        </is>
      </c>
      <c r="AB1191" s="187" t="inlineStr">
        <is>
          <t>NONE</t>
        </is>
      </c>
      <c r="AC1191" s="187" t="n">
        <v>0</v>
      </c>
      <c r="AD1191" s="187" t="inlineStr"/>
    </row>
    <row r="1192">
      <c r="A1192" s="187" t="inlineStr">
        <is>
          <t>THREATFOX_IOC</t>
        </is>
      </c>
      <c r="B1192" s="187" t="inlineStr">
        <is>
          <t>1755479</t>
        </is>
      </c>
      <c r="C1192" s="187" t="inlineStr">
        <is>
          <t>domain IOC:  | Malware: StrelaStealer | Confidence: 100%</t>
        </is>
      </c>
      <c r="D1192" s="187" t="n">
        <v>7.5</v>
      </c>
      <c r="E1192" s="187" t="inlineStr">
        <is>
          <t>HIGH</t>
        </is>
      </c>
      <c r="F1192" s="187" t="n">
        <v>3</v>
      </c>
      <c r="G1192" s="187" t="n">
        <v>2</v>
      </c>
      <c r="H1192" s="187" t="inlineStr">
        <is>
          <t>HIGH</t>
        </is>
      </c>
      <c r="I1192" s="187" t="n">
        <v>13.5</v>
      </c>
      <c r="J1192" s="187" t="inlineStr">
        <is>
          <t>NO</t>
        </is>
      </c>
      <c r="K1192" s="187" t="inlineStr">
        <is>
          <t>https://threatfox.abuse.ch/ioc/1755479/</t>
        </is>
      </c>
      <c r="L1192" s="187" t="inlineStr">
        <is>
          <t>2026-02-27 17:27:40 UTC</t>
        </is>
      </c>
      <c r="M1192" s="187" t="inlineStr">
        <is>
          <t>Block IOC</t>
        </is>
      </c>
      <c r="N1192" s="187" t="inlineStr">
        <is>
          <t>https://threatfox.abuse.ch/ioc/1755479/</t>
        </is>
      </c>
      <c r="O1192" s="187" t="inlineStr">
        <is>
          <t>Block domain:</t>
        </is>
      </c>
      <c r="P1192" s="187" t="inlineStr">
        <is>
          <t>payload_delivery</t>
        </is>
      </c>
      <c r="Q1192" s="187" t="inlineStr">
        <is>
          <t>P3</t>
        </is>
      </c>
      <c r="R1192" s="187" t="inlineStr">
        <is>
          <t>🚫 Block IOC at network perimeter | 🔎 Hunt for IOC across environment | 📋 Document and share with threat intel team</t>
        </is>
      </c>
      <c r="S1192" s="187" t="inlineStr">
        <is>
          <t>Classification: Not checked | Context: Not enriched | Name: Not indexed</t>
        </is>
      </c>
      <c r="T1192" s="187" t="n">
        <v>0</v>
      </c>
      <c r="U1192" s="187" t="n">
        <v>0</v>
      </c>
      <c r="V1192" s="187" t="inlineStr">
        <is>
          <t>T1071:Application Layer Protocol | T1102:Web Service</t>
        </is>
      </c>
      <c r="W1192" s="187" t="n">
        <v>1</v>
      </c>
      <c r="X1192" s="187" t="inlineStr">
        <is>
          <t>LOW (40%)</t>
        </is>
      </c>
      <c r="Y1192" s="187" t="inlineStr">
        <is>
          <t>NONE</t>
        </is>
      </c>
      <c r="Z1192" s="187" t="inlineStr">
        <is>
          <t>NONE</t>
        </is>
      </c>
      <c r="AA1192" s="187" t="inlineStr">
        <is>
          <t>NONE</t>
        </is>
      </c>
      <c r="AB1192" s="187" t="inlineStr">
        <is>
          <t>NONE</t>
        </is>
      </c>
      <c r="AC1192" s="187" t="n">
        <v>0</v>
      </c>
      <c r="AD1192" s="187" t="inlineStr"/>
    </row>
    <row r="1193">
      <c r="A1193" s="187" t="inlineStr">
        <is>
          <t>THREATFOX_IOC</t>
        </is>
      </c>
      <c r="B1193" s="187" t="inlineStr">
        <is>
          <t>1755478</t>
        </is>
      </c>
      <c r="C1193" s="187" t="inlineStr">
        <is>
          <t>ip:port IOC:  | Malware: XWorm | Confidence: 75%</t>
        </is>
      </c>
      <c r="D1193" s="187" t="n">
        <v>7.5</v>
      </c>
      <c r="E1193" s="187" t="inlineStr">
        <is>
          <t>HIGH</t>
        </is>
      </c>
      <c r="F1193" s="187" t="n">
        <v>3</v>
      </c>
      <c r="G1193" s="187" t="n">
        <v>2</v>
      </c>
      <c r="H1193" s="187" t="inlineStr">
        <is>
          <t>HIGH</t>
        </is>
      </c>
      <c r="I1193" s="187" t="n">
        <v>13.5</v>
      </c>
      <c r="J1193" s="187" t="inlineStr">
        <is>
          <t>NO</t>
        </is>
      </c>
      <c r="K1193" s="187" t="inlineStr">
        <is>
          <t>https://threatfox.abuse.ch/ioc/1755478/</t>
        </is>
      </c>
      <c r="L1193" s="187" t="inlineStr">
        <is>
          <t>2026-02-27 17:20:37 UTC</t>
        </is>
      </c>
      <c r="M1193" s="187" t="inlineStr">
        <is>
          <t>Block IOC</t>
        </is>
      </c>
      <c r="N1193" s="187" t="inlineStr">
        <is>
          <t>https://threatfox.abuse.ch/ioc/1755478/</t>
        </is>
      </c>
      <c r="O1193" s="187" t="inlineStr">
        <is>
          <t>Block ip:port:</t>
        </is>
      </c>
      <c r="P1193" s="187" t="inlineStr">
        <is>
          <t>botnet_cc</t>
        </is>
      </c>
      <c r="Q1193" s="187" t="inlineStr">
        <is>
          <t>P3</t>
        </is>
      </c>
      <c r="R1193" s="187" t="inlineStr">
        <is>
          <t>🚫 Block IOC at network perimeter | 🔎 Hunt for IOC across environment | 📋 Document and share with threat intel team</t>
        </is>
      </c>
      <c r="S1193" s="187" t="inlineStr">
        <is>
          <t>Classification: hosting-provider | Context: 🌍 Sweden | Stockholm | 🏢 AWS EC2 (eu-north-1) | ASN: AS16509 Amazon.com, Inc. | 🖥️ Hosting/DC | Name: AWS EC2 (eu-north-1)</t>
        </is>
      </c>
      <c r="T1193" s="187" t="n">
        <v>0</v>
      </c>
      <c r="U1193" s="187" t="n">
        <v>0</v>
      </c>
      <c r="V1193" s="187" t="inlineStr">
        <is>
          <t>T1071:Application Layer Protocol | T1102:Web Service</t>
        </is>
      </c>
      <c r="W1193" s="187" t="n">
        <v>1</v>
      </c>
      <c r="X1193" s="187" t="inlineStr">
        <is>
          <t>LOW (40%)</t>
        </is>
      </c>
      <c r="Y1193" s="187" t="inlineStr">
        <is>
          <t>NONE</t>
        </is>
      </c>
      <c r="Z1193" s="187" t="inlineStr">
        <is>
          <t>NONE</t>
        </is>
      </c>
      <c r="AA1193" s="187" t="inlineStr">
        <is>
          <t>NONE</t>
        </is>
      </c>
      <c r="AB1193" s="187" t="inlineStr">
        <is>
          <t>NONE</t>
        </is>
      </c>
      <c r="AC1193" s="187" t="n">
        <v>0</v>
      </c>
      <c r="AD1193" s="187" t="inlineStr"/>
    </row>
    <row r="1194">
      <c r="A1194" s="187" t="inlineStr">
        <is>
          <t>THREATFOX_IOC</t>
        </is>
      </c>
      <c r="B1194" s="187" t="inlineStr">
        <is>
          <t>1755477</t>
        </is>
      </c>
      <c r="C1194" s="187" t="inlineStr">
        <is>
          <t>ip:port IOC:  | Malware: Unknown RAT | Confidence: 75%</t>
        </is>
      </c>
      <c r="D1194" s="187" t="n">
        <v>7.5</v>
      </c>
      <c r="E1194" s="187" t="inlineStr">
        <is>
          <t>HIGH</t>
        </is>
      </c>
      <c r="F1194" s="187" t="n">
        <v>3</v>
      </c>
      <c r="G1194" s="187" t="n">
        <v>2</v>
      </c>
      <c r="H1194" s="187" t="inlineStr">
        <is>
          <t>HIGH</t>
        </is>
      </c>
      <c r="I1194" s="187" t="n">
        <v>13.5</v>
      </c>
      <c r="J1194" s="187" t="inlineStr">
        <is>
          <t>NO</t>
        </is>
      </c>
      <c r="K1194" s="187" t="inlineStr">
        <is>
          <t>https://threatfox.abuse.ch/ioc/1755477/</t>
        </is>
      </c>
      <c r="L1194" s="187" t="inlineStr">
        <is>
          <t>2026-02-27 17:15:39 UTC</t>
        </is>
      </c>
      <c r="M1194" s="187" t="inlineStr">
        <is>
          <t>Block IOC</t>
        </is>
      </c>
      <c r="N1194" s="187" t="inlineStr">
        <is>
          <t>https://threatfox.abuse.ch/ioc/1755477/</t>
        </is>
      </c>
      <c r="O1194" s="187" t="inlineStr">
        <is>
          <t>Block ip:port:</t>
        </is>
      </c>
      <c r="P1194" s="187" t="inlineStr">
        <is>
          <t>botnet_cc</t>
        </is>
      </c>
      <c r="Q1194" s="187" t="inlineStr">
        <is>
          <t>P3</t>
        </is>
      </c>
      <c r="R1194" s="187" t="inlineStr">
        <is>
          <t>🚫 Block IOC at network perimeter | 🔎 Hunt for IOC across environment | 📋 Document and share with threat intel team</t>
        </is>
      </c>
      <c r="S1194" s="187" t="inlineStr">
        <is>
          <t>Classification: hosting-provider | Context: 🌍 Sweden | Stockholm | 🏢 AWS EC2 (eu-north-1) | ASN: AS16509 Amazon.com, Inc. | 🖥️ Hosting/DC | Name: AWS EC2 (eu-north-1)</t>
        </is>
      </c>
      <c r="T1194" s="187" t="n">
        <v>0</v>
      </c>
      <c r="U1194" s="187" t="n">
        <v>0</v>
      </c>
      <c r="V1194" s="187" t="inlineStr">
        <is>
          <t>T1071:Application Layer Protocol | T1102:Web Service</t>
        </is>
      </c>
      <c r="W1194" s="187" t="n">
        <v>1</v>
      </c>
      <c r="X1194" s="187" t="inlineStr">
        <is>
          <t>LOW (40%)</t>
        </is>
      </c>
      <c r="Y1194" s="187" t="inlineStr">
        <is>
          <t>NONE</t>
        </is>
      </c>
      <c r="Z1194" s="187" t="inlineStr">
        <is>
          <t>NONE</t>
        </is>
      </c>
      <c r="AA1194" s="187" t="inlineStr">
        <is>
          <t>NONE</t>
        </is>
      </c>
      <c r="AB1194" s="187" t="inlineStr">
        <is>
          <t>NONE</t>
        </is>
      </c>
      <c r="AC1194" s="187" t="n">
        <v>0</v>
      </c>
      <c r="AD1194" s="187" t="inlineStr"/>
    </row>
    <row r="1195">
      <c r="A1195" s="187" t="inlineStr">
        <is>
          <t>THREATFOX_IOC</t>
        </is>
      </c>
      <c r="B1195" s="187" t="inlineStr">
        <is>
          <t>1755476</t>
        </is>
      </c>
      <c r="C1195" s="187" t="inlineStr">
        <is>
          <t>ip:port IOC:  | Malware: Quasar RAT | Confidence: 75%</t>
        </is>
      </c>
      <c r="D1195" s="187" t="n">
        <v>7.5</v>
      </c>
      <c r="E1195" s="187" t="inlineStr">
        <is>
          <t>HIGH</t>
        </is>
      </c>
      <c r="F1195" s="187" t="n">
        <v>3</v>
      </c>
      <c r="G1195" s="187" t="n">
        <v>2</v>
      </c>
      <c r="H1195" s="187" t="inlineStr">
        <is>
          <t>HIGH</t>
        </is>
      </c>
      <c r="I1195" s="187" t="n">
        <v>13.5</v>
      </c>
      <c r="J1195" s="187" t="inlineStr">
        <is>
          <t>NO</t>
        </is>
      </c>
      <c r="K1195" s="187" t="inlineStr">
        <is>
          <t>https://threatfox.abuse.ch/ioc/1755476/</t>
        </is>
      </c>
      <c r="L1195" s="187" t="inlineStr">
        <is>
          <t>2026-02-27 16:45:38 UTC</t>
        </is>
      </c>
      <c r="M1195" s="187" t="inlineStr">
        <is>
          <t>Block IOC</t>
        </is>
      </c>
      <c r="N1195" s="187" t="inlineStr">
        <is>
          <t>https://threatfox.abuse.ch/ioc/1755476/</t>
        </is>
      </c>
      <c r="O1195" s="187" t="inlineStr">
        <is>
          <t>Block ip:port:</t>
        </is>
      </c>
      <c r="P1195" s="187" t="inlineStr">
        <is>
          <t>botnet_cc</t>
        </is>
      </c>
      <c r="Q1195" s="187" t="inlineStr">
        <is>
          <t>P3</t>
        </is>
      </c>
      <c r="R1195" s="187" t="inlineStr">
        <is>
          <t>🚫 Block IOC at network perimeter | 🔎 Hunt for IOC across environment | 📋 Document and share with threat intel team</t>
        </is>
      </c>
      <c r="S1195" s="187" t="inlineStr">
        <is>
          <t>Classification: hosting-provider | Context: 🌍 Sweden | Stockholm | 🏢 AWS EC2 (eu-north-1) | ASN: AS16509 Amazon.com, Inc. | 🖥️ Hosting/DC | Name: AWS EC2 (eu-north-1)</t>
        </is>
      </c>
      <c r="T1195" s="187" t="n">
        <v>0</v>
      </c>
      <c r="U1195" s="187" t="n">
        <v>0</v>
      </c>
      <c r="V1195" s="187" t="inlineStr">
        <is>
          <t>T1071:Application Layer Protocol | T1102:Web Service</t>
        </is>
      </c>
      <c r="W1195" s="187" t="n">
        <v>1</v>
      </c>
      <c r="X1195" s="187" t="inlineStr">
        <is>
          <t>LOW (40%)</t>
        </is>
      </c>
      <c r="Y1195" s="187" t="inlineStr">
        <is>
          <t>NONE</t>
        </is>
      </c>
      <c r="Z1195" s="187" t="inlineStr">
        <is>
          <t>NONE</t>
        </is>
      </c>
      <c r="AA1195" s="187" t="inlineStr">
        <is>
          <t>NONE</t>
        </is>
      </c>
      <c r="AB1195" s="187" t="inlineStr">
        <is>
          <t>NONE</t>
        </is>
      </c>
      <c r="AC1195" s="187" t="n">
        <v>0</v>
      </c>
      <c r="AD1195" s="187" t="inlineStr"/>
    </row>
    <row r="1196">
      <c r="A1196" s="187" t="inlineStr">
        <is>
          <t>THREATFOX_IOC</t>
        </is>
      </c>
      <c r="B1196" s="187" t="inlineStr">
        <is>
          <t>1755475</t>
        </is>
      </c>
      <c r="C1196" s="187" t="inlineStr">
        <is>
          <t>domain IOC:  | Malware: Unknown Stealer | Confidence: 100%</t>
        </is>
      </c>
      <c r="D1196" s="187" t="n">
        <v>7.5</v>
      </c>
      <c r="E1196" s="187" t="inlineStr">
        <is>
          <t>HIGH</t>
        </is>
      </c>
      <c r="F1196" s="187" t="n">
        <v>3</v>
      </c>
      <c r="G1196" s="187" t="n">
        <v>2</v>
      </c>
      <c r="H1196" s="187" t="inlineStr">
        <is>
          <t>HIGH</t>
        </is>
      </c>
      <c r="I1196" s="187" t="n">
        <v>13.5</v>
      </c>
      <c r="J1196" s="187" t="inlineStr">
        <is>
          <t>NO</t>
        </is>
      </c>
      <c r="K1196" s="187" t="inlineStr">
        <is>
          <t>https://threatfox.abuse.ch/ioc/1755475/</t>
        </is>
      </c>
      <c r="L1196" s="187" t="inlineStr">
        <is>
          <t>2026-02-27 16:45:05 UTC</t>
        </is>
      </c>
      <c r="M1196" s="187" t="inlineStr">
        <is>
          <t>Block IOC</t>
        </is>
      </c>
      <c r="N1196" s="187" t="inlineStr">
        <is>
          <t>https://threatfox.abuse.ch/ioc/1755475/</t>
        </is>
      </c>
      <c r="O1196" s="187" t="inlineStr">
        <is>
          <t>Block domain:</t>
        </is>
      </c>
      <c r="P1196" s="187" t="inlineStr">
        <is>
          <t>botnet_cc</t>
        </is>
      </c>
      <c r="Q1196" s="187" t="inlineStr">
        <is>
          <t>P3</t>
        </is>
      </c>
      <c r="R1196" s="187" t="inlineStr">
        <is>
          <t>🚫 Block IOC at network perimeter | 🔎 Hunt for IOC across environment | 📋 Document and share with threat intel team</t>
        </is>
      </c>
      <c r="S1196" s="187" t="inlineStr">
        <is>
          <t>Classification: Not checked | Context: Not enriched | Name: Not indexed</t>
        </is>
      </c>
      <c r="T1196" s="187" t="n">
        <v>0</v>
      </c>
      <c r="U1196" s="187" t="n">
        <v>0</v>
      </c>
      <c r="V1196" s="187" t="inlineStr">
        <is>
          <t>T1071:Application Layer Protocol | T1102:Web Service</t>
        </is>
      </c>
      <c r="W1196" s="187" t="n">
        <v>1</v>
      </c>
      <c r="X1196" s="187" t="inlineStr">
        <is>
          <t>LOW (40%)</t>
        </is>
      </c>
      <c r="Y1196" s="187" t="inlineStr">
        <is>
          <t>NONE</t>
        </is>
      </c>
      <c r="Z1196" s="187" t="inlineStr">
        <is>
          <t>NONE</t>
        </is>
      </c>
      <c r="AA1196" s="187" t="inlineStr">
        <is>
          <t>NONE</t>
        </is>
      </c>
      <c r="AB1196" s="187" t="inlineStr">
        <is>
          <t>NONE</t>
        </is>
      </c>
      <c r="AC1196" s="187" t="n">
        <v>0</v>
      </c>
      <c r="AD1196" s="187" t="inlineStr"/>
    </row>
    <row r="1197">
      <c r="A1197" s="187" t="inlineStr">
        <is>
          <t>THREATFOX_IOC</t>
        </is>
      </c>
      <c r="B1197" s="187" t="inlineStr">
        <is>
          <t>1755474</t>
        </is>
      </c>
      <c r="C1197" s="187" t="inlineStr">
        <is>
          <t>ip:port IOC:  | Malware: Unknown RAT | Confidence: 75%</t>
        </is>
      </c>
      <c r="D1197" s="187" t="n">
        <v>7.5</v>
      </c>
      <c r="E1197" s="187" t="inlineStr">
        <is>
          <t>HIGH</t>
        </is>
      </c>
      <c r="F1197" s="187" t="n">
        <v>3</v>
      </c>
      <c r="G1197" s="187" t="n">
        <v>2</v>
      </c>
      <c r="H1197" s="187" t="inlineStr">
        <is>
          <t>HIGH</t>
        </is>
      </c>
      <c r="I1197" s="187" t="n">
        <v>13.5</v>
      </c>
      <c r="J1197" s="187" t="inlineStr">
        <is>
          <t>NO</t>
        </is>
      </c>
      <c r="K1197" s="187" t="inlineStr">
        <is>
          <t>https://threatfox.abuse.ch/ioc/1755474/</t>
        </is>
      </c>
      <c r="L1197" s="187" t="inlineStr">
        <is>
          <t>2026-02-27 16:39:37 UTC</t>
        </is>
      </c>
      <c r="M1197" s="187" t="inlineStr">
        <is>
          <t>Block IOC</t>
        </is>
      </c>
      <c r="N1197" s="187" t="inlineStr">
        <is>
          <t>https://threatfox.abuse.ch/ioc/1755474/</t>
        </is>
      </c>
      <c r="O1197" s="187" t="inlineStr">
        <is>
          <t>Block ip:port:</t>
        </is>
      </c>
      <c r="P1197" s="187" t="inlineStr">
        <is>
          <t>botnet_cc</t>
        </is>
      </c>
      <c r="Q1197" s="187" t="inlineStr">
        <is>
          <t>P3</t>
        </is>
      </c>
      <c r="R1197" s="187" t="inlineStr">
        <is>
          <t>🚫 Block IOC at network perimeter | 🔎 Hunt for IOC across environment | 📋 Document and share with threat intel team</t>
        </is>
      </c>
      <c r="S1197" s="187" t="inlineStr">
        <is>
          <t>Classification: hosting-provider | Context: 🌍 Sweden | Stockholm | 🏢 AWS EC2 (eu-north-1) | ASN: AS16509 Amazon.com, Inc. | 🖥️ Hosting/DC | Name: AWS EC2 (eu-north-1)</t>
        </is>
      </c>
      <c r="T1197" s="187" t="n">
        <v>0</v>
      </c>
      <c r="U1197" s="187" t="n">
        <v>0</v>
      </c>
      <c r="V1197" s="187" t="inlineStr">
        <is>
          <t>T1071:Application Layer Protocol | T1102:Web Service</t>
        </is>
      </c>
      <c r="W1197" s="187" t="n">
        <v>1</v>
      </c>
      <c r="X1197" s="187" t="inlineStr">
        <is>
          <t>LOW (40%)</t>
        </is>
      </c>
      <c r="Y1197" s="187" t="inlineStr">
        <is>
          <t>NONE</t>
        </is>
      </c>
      <c r="Z1197" s="187" t="inlineStr">
        <is>
          <t>NONE</t>
        </is>
      </c>
      <c r="AA1197" s="187" t="inlineStr">
        <is>
          <t>NONE</t>
        </is>
      </c>
      <c r="AB1197" s="187" t="inlineStr">
        <is>
          <t>NONE</t>
        </is>
      </c>
      <c r="AC1197" s="187" t="n">
        <v>0</v>
      </c>
      <c r="AD1197" s="187" t="inlineStr"/>
    </row>
    <row r="1198">
      <c r="A1198" s="187" t="inlineStr">
        <is>
          <t>THREATFOX_IOC</t>
        </is>
      </c>
      <c r="B1198" s="187" t="inlineStr">
        <is>
          <t>1755473</t>
        </is>
      </c>
      <c r="C1198" s="187" t="inlineStr">
        <is>
          <t>domain IOC:  | Malware: Unknown Loader | Confidence: 100%</t>
        </is>
      </c>
      <c r="D1198" s="187" t="n">
        <v>7.5</v>
      </c>
      <c r="E1198" s="187" t="inlineStr">
        <is>
          <t>HIGH</t>
        </is>
      </c>
      <c r="F1198" s="187" t="n">
        <v>3</v>
      </c>
      <c r="G1198" s="187" t="n">
        <v>2</v>
      </c>
      <c r="H1198" s="187" t="inlineStr">
        <is>
          <t>HIGH</t>
        </is>
      </c>
      <c r="I1198" s="187" t="n">
        <v>13.5</v>
      </c>
      <c r="J1198" s="187" t="inlineStr">
        <is>
          <t>NO</t>
        </is>
      </c>
      <c r="K1198" s="187" t="inlineStr">
        <is>
          <t>https://threatfox.abuse.ch/ioc/1755473/</t>
        </is>
      </c>
      <c r="L1198" s="187" t="inlineStr">
        <is>
          <t>2026-02-27 16:37:16 UTC</t>
        </is>
      </c>
      <c r="M1198" s="187" t="inlineStr">
        <is>
          <t>Block IOC</t>
        </is>
      </c>
      <c r="N1198" s="187" t="inlineStr">
        <is>
          <t>https://threatfox.abuse.ch/ioc/1755473/</t>
        </is>
      </c>
      <c r="O1198" s="187" t="inlineStr">
        <is>
          <t>Block domain:</t>
        </is>
      </c>
      <c r="P1198" s="187" t="inlineStr">
        <is>
          <t>botnet_cc</t>
        </is>
      </c>
      <c r="Q1198" s="187" t="inlineStr">
        <is>
          <t>P3</t>
        </is>
      </c>
      <c r="R1198" s="187" t="inlineStr">
        <is>
          <t>🚫 Block IOC at network perimeter | 🔎 Hunt for IOC across environment | 📋 Document and share with threat intel team</t>
        </is>
      </c>
      <c r="S1198" s="187" t="inlineStr">
        <is>
          <t>Classification: Not checked | Context: Not enriched | Name: Not indexed</t>
        </is>
      </c>
      <c r="T1198" s="187" t="n">
        <v>0</v>
      </c>
      <c r="U1198" s="187" t="n">
        <v>0</v>
      </c>
      <c r="V1198" s="187" t="inlineStr">
        <is>
          <t>T1071:Application Layer Protocol | T1102:Web Service</t>
        </is>
      </c>
      <c r="W1198" s="187" t="n">
        <v>1</v>
      </c>
      <c r="X1198" s="187" t="inlineStr">
        <is>
          <t>LOW (40%)</t>
        </is>
      </c>
      <c r="Y1198" s="187" t="inlineStr">
        <is>
          <t>NONE</t>
        </is>
      </c>
      <c r="Z1198" s="187" t="inlineStr">
        <is>
          <t>NONE</t>
        </is>
      </c>
      <c r="AA1198" s="187" t="inlineStr">
        <is>
          <t>NONE</t>
        </is>
      </c>
      <c r="AB1198" s="187" t="inlineStr">
        <is>
          <t>NONE</t>
        </is>
      </c>
      <c r="AC1198" s="187" t="n">
        <v>0</v>
      </c>
      <c r="AD1198" s="187" t="inlineStr"/>
    </row>
    <row r="1199">
      <c r="A1199" s="187" t="inlineStr">
        <is>
          <t>THREATFOX_IOC</t>
        </is>
      </c>
      <c r="B1199" s="187" t="inlineStr">
        <is>
          <t>1755469</t>
        </is>
      </c>
      <c r="C1199" s="187" t="inlineStr">
        <is>
          <t>domain IOC:  | Malware: SantaStealer | Confidence: 100%</t>
        </is>
      </c>
      <c r="D1199" s="187" t="n">
        <v>7.5</v>
      </c>
      <c r="E1199" s="187" t="inlineStr">
        <is>
          <t>HIGH</t>
        </is>
      </c>
      <c r="F1199" s="187" t="n">
        <v>3</v>
      </c>
      <c r="G1199" s="187" t="n">
        <v>2</v>
      </c>
      <c r="H1199" s="187" t="inlineStr">
        <is>
          <t>HIGH</t>
        </is>
      </c>
      <c r="I1199" s="187" t="n">
        <v>13.5</v>
      </c>
      <c r="J1199" s="187" t="inlineStr">
        <is>
          <t>NO</t>
        </is>
      </c>
      <c r="K1199" s="187" t="inlineStr">
        <is>
          <t>https://threatfox.abuse.ch/ioc/1755469/</t>
        </is>
      </c>
      <c r="L1199" s="187" t="inlineStr">
        <is>
          <t>2026-02-27 16:36:17 UTC</t>
        </is>
      </c>
      <c r="M1199" s="187" t="inlineStr">
        <is>
          <t>Block IOC</t>
        </is>
      </c>
      <c r="N1199" s="187" t="inlineStr">
        <is>
          <t>https://threatfox.abuse.ch/ioc/1755469/</t>
        </is>
      </c>
      <c r="O1199" s="187" t="inlineStr">
        <is>
          <t>Block domain:</t>
        </is>
      </c>
      <c r="P1199" s="187" t="inlineStr">
        <is>
          <t>botnet_cc</t>
        </is>
      </c>
      <c r="Q1199" s="187" t="inlineStr">
        <is>
          <t>P3</t>
        </is>
      </c>
      <c r="R1199" s="187" t="inlineStr">
        <is>
          <t>🚫 Block IOC at network perimeter | 🔎 Hunt for IOC across environment | 📋 Document and share with threat intel team</t>
        </is>
      </c>
      <c r="S1199" s="187" t="inlineStr">
        <is>
          <t>Classification: Not checked | Context: Not enriched | Name: Not indexed</t>
        </is>
      </c>
      <c r="T1199" s="187" t="n">
        <v>0</v>
      </c>
      <c r="U1199" s="187" t="n">
        <v>0</v>
      </c>
      <c r="V1199" s="187" t="inlineStr">
        <is>
          <t>T1071:Application Layer Protocol | T1102:Web Service</t>
        </is>
      </c>
      <c r="W1199" s="187" t="n">
        <v>1</v>
      </c>
      <c r="X1199" s="187" t="inlineStr">
        <is>
          <t>LOW (40%)</t>
        </is>
      </c>
      <c r="Y1199" s="187" t="inlineStr">
        <is>
          <t>NONE</t>
        </is>
      </c>
      <c r="Z1199" s="187" t="inlineStr">
        <is>
          <t>NONE</t>
        </is>
      </c>
      <c r="AA1199" s="187" t="inlineStr">
        <is>
          <t>NONE</t>
        </is>
      </c>
      <c r="AB1199" s="187" t="inlineStr">
        <is>
          <t>NONE</t>
        </is>
      </c>
      <c r="AC1199" s="187" t="n">
        <v>0</v>
      </c>
      <c r="AD1199" s="187" t="inlineStr"/>
    </row>
    <row r="1200">
      <c r="A1200" s="187" t="inlineStr">
        <is>
          <t>THREATFOX_IOC</t>
        </is>
      </c>
      <c r="B1200" s="187" t="inlineStr">
        <is>
          <t>1755470</t>
        </is>
      </c>
      <c r="C1200" s="187" t="inlineStr">
        <is>
          <t>domain IOC:  | Malware: SantaStealer | Confidence: 100%</t>
        </is>
      </c>
      <c r="D1200" s="187" t="n">
        <v>7.5</v>
      </c>
      <c r="E1200" s="187" t="inlineStr">
        <is>
          <t>HIGH</t>
        </is>
      </c>
      <c r="F1200" s="187" t="n">
        <v>3</v>
      </c>
      <c r="G1200" s="187" t="n">
        <v>2</v>
      </c>
      <c r="H1200" s="187" t="inlineStr">
        <is>
          <t>HIGH</t>
        </is>
      </c>
      <c r="I1200" s="187" t="n">
        <v>13.5</v>
      </c>
      <c r="J1200" s="187" t="inlineStr">
        <is>
          <t>NO</t>
        </is>
      </c>
      <c r="K1200" s="187" t="inlineStr">
        <is>
          <t>https://threatfox.abuse.ch/ioc/1755470/</t>
        </is>
      </c>
      <c r="L1200" s="187" t="inlineStr">
        <is>
          <t>2026-02-27 16:36:17 UTC</t>
        </is>
      </c>
      <c r="M1200" s="187" t="inlineStr">
        <is>
          <t>Block IOC</t>
        </is>
      </c>
      <c r="N1200" s="187" t="inlineStr">
        <is>
          <t>https://threatfox.abuse.ch/ioc/1755470/</t>
        </is>
      </c>
      <c r="O1200" s="187" t="inlineStr">
        <is>
          <t>Block domain:</t>
        </is>
      </c>
      <c r="P1200" s="187" t="inlineStr">
        <is>
          <t>botnet_cc</t>
        </is>
      </c>
      <c r="Q1200" s="187" t="inlineStr">
        <is>
          <t>P3</t>
        </is>
      </c>
      <c r="R1200" s="187" t="inlineStr">
        <is>
          <t>🚫 Block IOC at network perimeter | 🔎 Hunt for IOC across environment | 📋 Document and share with threat intel team</t>
        </is>
      </c>
      <c r="S1200" s="187" t="inlineStr">
        <is>
          <t>Classification: Not checked | Context: Not enriched | Name: Not indexed</t>
        </is>
      </c>
      <c r="T1200" s="187" t="n">
        <v>0</v>
      </c>
      <c r="U1200" s="187" t="n">
        <v>0</v>
      </c>
      <c r="V1200" s="187" t="inlineStr">
        <is>
          <t>T1071:Application Layer Protocol | T1102:Web Service</t>
        </is>
      </c>
      <c r="W1200" s="187" t="n">
        <v>1</v>
      </c>
      <c r="X1200" s="187" t="inlineStr">
        <is>
          <t>LOW (40%)</t>
        </is>
      </c>
      <c r="Y1200" s="187" t="inlineStr">
        <is>
          <t>NONE</t>
        </is>
      </c>
      <c r="Z1200" s="187" t="inlineStr">
        <is>
          <t>NONE</t>
        </is>
      </c>
      <c r="AA1200" s="187" t="inlineStr">
        <is>
          <t>NONE</t>
        </is>
      </c>
      <c r="AB1200" s="187" t="inlineStr">
        <is>
          <t>NONE</t>
        </is>
      </c>
      <c r="AC1200" s="187" t="n">
        <v>0</v>
      </c>
      <c r="AD1200" s="187" t="inlineStr"/>
    </row>
    <row r="1201">
      <c r="A1201" s="187" t="inlineStr">
        <is>
          <t>THREATFOX_IOC</t>
        </is>
      </c>
      <c r="B1201" s="187" t="inlineStr">
        <is>
          <t>1755471</t>
        </is>
      </c>
      <c r="C1201" s="187" t="inlineStr">
        <is>
          <t>domain IOC:  | Malware: SantaStealer | Confidence: 100%</t>
        </is>
      </c>
      <c r="D1201" s="187" t="n">
        <v>7.5</v>
      </c>
      <c r="E1201" s="187" t="inlineStr">
        <is>
          <t>HIGH</t>
        </is>
      </c>
      <c r="F1201" s="187" t="n">
        <v>3</v>
      </c>
      <c r="G1201" s="187" t="n">
        <v>2</v>
      </c>
      <c r="H1201" s="187" t="inlineStr">
        <is>
          <t>HIGH</t>
        </is>
      </c>
      <c r="I1201" s="187" t="n">
        <v>13.5</v>
      </c>
      <c r="J1201" s="187" t="inlineStr">
        <is>
          <t>NO</t>
        </is>
      </c>
      <c r="K1201" s="187" t="inlineStr">
        <is>
          <t>https://threatfox.abuse.ch/ioc/1755471/</t>
        </is>
      </c>
      <c r="L1201" s="187" t="inlineStr">
        <is>
          <t>2026-02-27 16:36:17 UTC</t>
        </is>
      </c>
      <c r="M1201" s="187" t="inlineStr">
        <is>
          <t>Block IOC</t>
        </is>
      </c>
      <c r="N1201" s="187" t="inlineStr">
        <is>
          <t>https://threatfox.abuse.ch/ioc/1755471/</t>
        </is>
      </c>
      <c r="O1201" s="187" t="inlineStr">
        <is>
          <t>Block domain:</t>
        </is>
      </c>
      <c r="P1201" s="187" t="inlineStr">
        <is>
          <t>botnet_cc</t>
        </is>
      </c>
      <c r="Q1201" s="187" t="inlineStr">
        <is>
          <t>P3</t>
        </is>
      </c>
      <c r="R1201" s="187" t="inlineStr">
        <is>
          <t>🚫 Block IOC at network perimeter | 🔎 Hunt for IOC across environment | 📋 Document and share with threat intel team</t>
        </is>
      </c>
      <c r="S1201" s="187" t="inlineStr">
        <is>
          <t>Classification: Not checked | Context: Not enriched | Name: Not indexed</t>
        </is>
      </c>
      <c r="T1201" s="187" t="n">
        <v>0</v>
      </c>
      <c r="U1201" s="187" t="n">
        <v>0</v>
      </c>
      <c r="V1201" s="187" t="inlineStr">
        <is>
          <t>T1071:Application Layer Protocol | T1102:Web Service</t>
        </is>
      </c>
      <c r="W1201" s="187" t="n">
        <v>1</v>
      </c>
      <c r="X1201" s="187" t="inlineStr">
        <is>
          <t>LOW (40%)</t>
        </is>
      </c>
      <c r="Y1201" s="187" t="inlineStr">
        <is>
          <t>NONE</t>
        </is>
      </c>
      <c r="Z1201" s="187" t="inlineStr">
        <is>
          <t>NONE</t>
        </is>
      </c>
      <c r="AA1201" s="187" t="inlineStr">
        <is>
          <t>NONE</t>
        </is>
      </c>
      <c r="AB1201" s="187" t="inlineStr">
        <is>
          <t>NONE</t>
        </is>
      </c>
      <c r="AC1201" s="187" t="n">
        <v>0</v>
      </c>
      <c r="AD1201" s="187" t="inlineStr"/>
    </row>
    <row r="1202">
      <c r="A1202" s="187" t="inlineStr">
        <is>
          <t>THREATFOX_IOC</t>
        </is>
      </c>
      <c r="B1202" s="187" t="inlineStr">
        <is>
          <t>1755472</t>
        </is>
      </c>
      <c r="C1202" s="187" t="inlineStr">
        <is>
          <t>domain IOC:  | Malware: SantaStealer | Confidence: 100%</t>
        </is>
      </c>
      <c r="D1202" s="187" t="n">
        <v>7.5</v>
      </c>
      <c r="E1202" s="187" t="inlineStr">
        <is>
          <t>HIGH</t>
        </is>
      </c>
      <c r="F1202" s="187" t="n">
        <v>3</v>
      </c>
      <c r="G1202" s="187" t="n">
        <v>2</v>
      </c>
      <c r="H1202" s="187" t="inlineStr">
        <is>
          <t>HIGH</t>
        </is>
      </c>
      <c r="I1202" s="187" t="n">
        <v>13.5</v>
      </c>
      <c r="J1202" s="187" t="inlineStr">
        <is>
          <t>NO</t>
        </is>
      </c>
      <c r="K1202" s="187" t="inlineStr">
        <is>
          <t>https://threatfox.abuse.ch/ioc/1755472/</t>
        </is>
      </c>
      <c r="L1202" s="187" t="inlineStr">
        <is>
          <t>2026-02-27 16:36:17 UTC</t>
        </is>
      </c>
      <c r="M1202" s="187" t="inlineStr">
        <is>
          <t>Block IOC</t>
        </is>
      </c>
      <c r="N1202" s="187" t="inlineStr">
        <is>
          <t>https://threatfox.abuse.ch/ioc/1755472/</t>
        </is>
      </c>
      <c r="O1202" s="187" t="inlineStr">
        <is>
          <t>Block domain:</t>
        </is>
      </c>
      <c r="P1202" s="187" t="inlineStr">
        <is>
          <t>botnet_cc</t>
        </is>
      </c>
      <c r="Q1202" s="187" t="inlineStr">
        <is>
          <t>P3</t>
        </is>
      </c>
      <c r="R1202" s="187" t="inlineStr">
        <is>
          <t>🚫 Block IOC at network perimeter | 🔎 Hunt for IOC across environment | 📋 Document and share with threat intel team</t>
        </is>
      </c>
      <c r="S1202" s="187" t="inlineStr">
        <is>
          <t>Classification: Not checked | Context: Not enriched | Name: Not indexed</t>
        </is>
      </c>
      <c r="T1202" s="187" t="n">
        <v>0</v>
      </c>
      <c r="U1202" s="187" t="n">
        <v>0</v>
      </c>
      <c r="V1202" s="187" t="inlineStr">
        <is>
          <t>T1071:Application Layer Protocol | T1102:Web Service</t>
        </is>
      </c>
      <c r="W1202" s="187" t="n">
        <v>1</v>
      </c>
      <c r="X1202" s="187" t="inlineStr">
        <is>
          <t>LOW (40%)</t>
        </is>
      </c>
      <c r="Y1202" s="187" t="inlineStr">
        <is>
          <t>NONE</t>
        </is>
      </c>
      <c r="Z1202" s="187" t="inlineStr">
        <is>
          <t>NONE</t>
        </is>
      </c>
      <c r="AA1202" s="187" t="inlineStr">
        <is>
          <t>NONE</t>
        </is>
      </c>
      <c r="AB1202" s="187" t="inlineStr">
        <is>
          <t>NONE</t>
        </is>
      </c>
      <c r="AC1202" s="187" t="n">
        <v>0</v>
      </c>
      <c r="AD1202" s="187" t="inlineStr"/>
    </row>
    <row r="1203">
      <c r="A1203" s="187" t="inlineStr">
        <is>
          <t>THREATFOX_IOC</t>
        </is>
      </c>
      <c r="B1203" s="187" t="inlineStr">
        <is>
          <t>1755468</t>
        </is>
      </c>
      <c r="C1203" s="187" t="inlineStr">
        <is>
          <t>ip:port IOC:  | Malware: Unknown RAT | Confidence: 75%</t>
        </is>
      </c>
      <c r="D1203" s="187" t="n">
        <v>7.5</v>
      </c>
      <c r="E1203" s="187" t="inlineStr">
        <is>
          <t>HIGH</t>
        </is>
      </c>
      <c r="F1203" s="187" t="n">
        <v>3</v>
      </c>
      <c r="G1203" s="187" t="n">
        <v>2</v>
      </c>
      <c r="H1203" s="187" t="inlineStr">
        <is>
          <t>HIGH</t>
        </is>
      </c>
      <c r="I1203" s="187" t="n">
        <v>13.5</v>
      </c>
      <c r="J1203" s="187" t="inlineStr">
        <is>
          <t>NO</t>
        </is>
      </c>
      <c r="K1203" s="187" t="inlineStr">
        <is>
          <t>https://threatfox.abuse.ch/ioc/1755468/</t>
        </is>
      </c>
      <c r="L1203" s="187" t="inlineStr">
        <is>
          <t>2026-02-27 16:33:11 UTC</t>
        </is>
      </c>
      <c r="M1203" s="187" t="inlineStr">
        <is>
          <t>Block IOC</t>
        </is>
      </c>
      <c r="N1203" s="187" t="inlineStr">
        <is>
          <t>https://threatfox.abuse.ch/ioc/1755468/</t>
        </is>
      </c>
      <c r="O1203" s="187" t="inlineStr">
        <is>
          <t>Block ip:port:</t>
        </is>
      </c>
      <c r="P1203" s="187" t="inlineStr">
        <is>
          <t>botnet_cc</t>
        </is>
      </c>
      <c r="Q1203" s="187" t="inlineStr">
        <is>
          <t>P3</t>
        </is>
      </c>
      <c r="R1203" s="187" t="inlineStr">
        <is>
          <t>🚫 Block IOC at network perimeter | 🔎 Hunt for IOC across environment | 📋 Document and share with threat intel team</t>
        </is>
      </c>
      <c r="S1203" s="187" t="inlineStr">
        <is>
          <t>Classification: hosting-provider | Context: 🌍 Sweden | Stockholm | 🏢 AWS EC2 (eu-north-1) | ASN: AS16509 Amazon.com, Inc. | 🖥️ Hosting/DC | Name: AWS EC2 (eu-north-1)</t>
        </is>
      </c>
      <c r="T1203" s="187" t="n">
        <v>0</v>
      </c>
      <c r="U1203" s="187" t="n">
        <v>0</v>
      </c>
      <c r="V1203" s="187" t="inlineStr">
        <is>
          <t>T1071:Application Layer Protocol | T1102:Web Service</t>
        </is>
      </c>
      <c r="W1203" s="187" t="n">
        <v>1</v>
      </c>
      <c r="X1203" s="187" t="inlineStr">
        <is>
          <t>LOW (40%)</t>
        </is>
      </c>
      <c r="Y1203" s="187" t="inlineStr">
        <is>
          <t>NONE</t>
        </is>
      </c>
      <c r="Z1203" s="187" t="inlineStr">
        <is>
          <t>NONE</t>
        </is>
      </c>
      <c r="AA1203" s="187" t="inlineStr">
        <is>
          <t>NONE</t>
        </is>
      </c>
      <c r="AB1203" s="187" t="inlineStr">
        <is>
          <t>NONE</t>
        </is>
      </c>
      <c r="AC1203" s="187" t="n">
        <v>0</v>
      </c>
      <c r="AD1203" s="187" t="inlineStr"/>
    </row>
    <row r="1204">
      <c r="A1204" s="187" t="inlineStr">
        <is>
          <t>THREATFOX_IOC</t>
        </is>
      </c>
      <c r="B1204" s="187" t="inlineStr">
        <is>
          <t>1755326</t>
        </is>
      </c>
      <c r="C1204" s="187" t="inlineStr">
        <is>
          <t>ip:port IOC:  | Malware: Aisuru | Confidence: 100%</t>
        </is>
      </c>
      <c r="D1204" s="187" t="n">
        <v>7.5</v>
      </c>
      <c r="E1204" s="187" t="inlineStr">
        <is>
          <t>HIGH</t>
        </is>
      </c>
      <c r="F1204" s="187" t="n">
        <v>3</v>
      </c>
      <c r="G1204" s="187" t="n">
        <v>2</v>
      </c>
      <c r="H1204" s="187" t="inlineStr">
        <is>
          <t>HIGH</t>
        </is>
      </c>
      <c r="I1204" s="187" t="n">
        <v>13.5</v>
      </c>
      <c r="J1204" s="187" t="inlineStr">
        <is>
          <t>NO</t>
        </is>
      </c>
      <c r="K1204" s="187" t="inlineStr">
        <is>
          <t>https://threatfox.abuse.ch/ioc/1755326/</t>
        </is>
      </c>
      <c r="L1204" s="187" t="inlineStr">
        <is>
          <t>2026-02-27 16:21:42 UTC</t>
        </is>
      </c>
      <c r="M1204" s="187" t="inlineStr">
        <is>
          <t>Block IOC</t>
        </is>
      </c>
      <c r="N1204" s="187" t="inlineStr">
        <is>
          <t>https://threatfox.abuse.ch/ioc/1755326/</t>
        </is>
      </c>
      <c r="O1204" s="187" t="inlineStr">
        <is>
          <t>Block ip:port:</t>
        </is>
      </c>
      <c r="P1204" s="187" t="inlineStr">
        <is>
          <t>botnet_cc</t>
        </is>
      </c>
      <c r="Q1204" s="187" t="inlineStr">
        <is>
          <t>P3</t>
        </is>
      </c>
      <c r="R1204" s="187" t="inlineStr">
        <is>
          <t>🚫 Block IOC at network perimeter | 🔎 Hunt for IOC across environment | 📋 Document and share with threat intel team</t>
        </is>
      </c>
      <c r="S1204" s="187" t="inlineStr">
        <is>
          <t>Classification: hosting-provider | Context: 🌍 Sweden | Stockholm | 🏢 AWS EC2 (eu-north-1) | ASN: AS16509 Amazon.com, Inc. | 🖥️ Hosting/DC | Name: AWS EC2 (eu-north-1)</t>
        </is>
      </c>
      <c r="T1204" s="187" t="n">
        <v>0</v>
      </c>
      <c r="U1204" s="187" t="n">
        <v>0</v>
      </c>
      <c r="V1204" s="187" t="inlineStr">
        <is>
          <t>T1071:Application Layer Protocol | T1102:Web Service</t>
        </is>
      </c>
      <c r="W1204" s="187" t="n">
        <v>1</v>
      </c>
      <c r="X1204" s="187" t="inlineStr">
        <is>
          <t>LOW (40%)</t>
        </is>
      </c>
      <c r="Y1204" s="187" t="inlineStr">
        <is>
          <t>NONE</t>
        </is>
      </c>
      <c r="Z1204" s="187" t="inlineStr">
        <is>
          <t>NONE</t>
        </is>
      </c>
      <c r="AA1204" s="187" t="inlineStr">
        <is>
          <t>NONE</t>
        </is>
      </c>
      <c r="AB1204" s="187" t="inlineStr">
        <is>
          <t>NONE</t>
        </is>
      </c>
      <c r="AC1204" s="187" t="n">
        <v>0</v>
      </c>
      <c r="AD1204" s="187" t="inlineStr"/>
    </row>
    <row r="1205">
      <c r="A1205" s="187" t="inlineStr">
        <is>
          <t>THREATFOX_IOC</t>
        </is>
      </c>
      <c r="B1205" s="187" t="inlineStr">
        <is>
          <t>1755353</t>
        </is>
      </c>
      <c r="C1205" s="187" t="inlineStr">
        <is>
          <t>domain IOC:  | Malware: Unknown Stealer | Confidence: 100%</t>
        </is>
      </c>
      <c r="D1205" s="187" t="n">
        <v>7.5</v>
      </c>
      <c r="E1205" s="187" t="inlineStr">
        <is>
          <t>HIGH</t>
        </is>
      </c>
      <c r="F1205" s="187" t="n">
        <v>3</v>
      </c>
      <c r="G1205" s="187" t="n">
        <v>2</v>
      </c>
      <c r="H1205" s="187" t="inlineStr">
        <is>
          <t>HIGH</t>
        </is>
      </c>
      <c r="I1205" s="187" t="n">
        <v>13.5</v>
      </c>
      <c r="J1205" s="187" t="inlineStr">
        <is>
          <t>NO</t>
        </is>
      </c>
      <c r="K1205" s="187" t="inlineStr">
        <is>
          <t>https://threatfox.abuse.ch/ioc/1755353/</t>
        </is>
      </c>
      <c r="L1205" s="187" t="inlineStr">
        <is>
          <t>2026-02-27 16:21:29 UTC</t>
        </is>
      </c>
      <c r="M1205" s="187" t="inlineStr">
        <is>
          <t>Block IOC</t>
        </is>
      </c>
      <c r="N1205" s="187" t="inlineStr">
        <is>
          <t>https://threatfox.abuse.ch/ioc/1755353/</t>
        </is>
      </c>
      <c r="O1205" s="187" t="inlineStr">
        <is>
          <t>Block domain:</t>
        </is>
      </c>
      <c r="P1205" s="187" t="inlineStr">
        <is>
          <t>botnet_cc</t>
        </is>
      </c>
      <c r="Q1205" s="187" t="inlineStr">
        <is>
          <t>P3</t>
        </is>
      </c>
      <c r="R1205" s="187" t="inlineStr">
        <is>
          <t>🚫 Block IOC at network perimeter | 🔎 Hunt for IOC across environment | 📋 Document and share with threat intel team</t>
        </is>
      </c>
      <c r="S1205" s="187" t="inlineStr">
        <is>
          <t>Classification: Not checked | Context: Not enriched | Name: Not indexed</t>
        </is>
      </c>
      <c r="T1205" s="187" t="n">
        <v>0</v>
      </c>
      <c r="U1205" s="187" t="n">
        <v>0</v>
      </c>
      <c r="V1205" s="187" t="inlineStr">
        <is>
          <t>T1071:Application Layer Protocol | T1102:Web Service</t>
        </is>
      </c>
      <c r="W1205" s="187" t="n">
        <v>1</v>
      </c>
      <c r="X1205" s="187" t="inlineStr">
        <is>
          <t>LOW (40%)</t>
        </is>
      </c>
      <c r="Y1205" s="187" t="inlineStr">
        <is>
          <t>NONE</t>
        </is>
      </c>
      <c r="Z1205" s="187" t="inlineStr">
        <is>
          <t>NONE</t>
        </is>
      </c>
      <c r="AA1205" s="187" t="inlineStr">
        <is>
          <t>NONE</t>
        </is>
      </c>
      <c r="AB1205" s="187" t="inlineStr">
        <is>
          <t>NONE</t>
        </is>
      </c>
      <c r="AC1205" s="187" t="n">
        <v>0</v>
      </c>
      <c r="AD1205" s="187" t="inlineStr"/>
    </row>
    <row r="1206">
      <c r="A1206" s="187" t="inlineStr">
        <is>
          <t>THREATFOX_IOC</t>
        </is>
      </c>
      <c r="B1206" s="187" t="inlineStr">
        <is>
          <t>1755356</t>
        </is>
      </c>
      <c r="C1206" s="187" t="inlineStr">
        <is>
          <t>url IOC:  | Malware: Unknown Stealer | Confidence: 100%</t>
        </is>
      </c>
      <c r="D1206" s="187" t="n">
        <v>7.5</v>
      </c>
      <c r="E1206" s="187" t="inlineStr">
        <is>
          <t>HIGH</t>
        </is>
      </c>
      <c r="F1206" s="187" t="n">
        <v>3</v>
      </c>
      <c r="G1206" s="187" t="n">
        <v>2</v>
      </c>
      <c r="H1206" s="187" t="inlineStr">
        <is>
          <t>HIGH</t>
        </is>
      </c>
      <c r="I1206" s="187" t="n">
        <v>13.5</v>
      </c>
      <c r="J1206" s="187" t="inlineStr">
        <is>
          <t>NO</t>
        </is>
      </c>
      <c r="K1206" s="187" t="inlineStr">
        <is>
          <t>https://threatfox.abuse.ch/ioc/1755356/</t>
        </is>
      </c>
      <c r="L1206" s="187" t="inlineStr">
        <is>
          <t>2026-02-27 16:21:24 UTC</t>
        </is>
      </c>
      <c r="M1206" s="187" t="inlineStr">
        <is>
          <t>Block IOC</t>
        </is>
      </c>
      <c r="N1206" s="187" t="inlineStr">
        <is>
          <t>https://threatfox.abuse.ch/ioc/1755356/</t>
        </is>
      </c>
      <c r="O1206" s="187" t="inlineStr">
        <is>
          <t>Block url:</t>
        </is>
      </c>
      <c r="P1206" s="187" t="inlineStr">
        <is>
          <t>botnet_cc</t>
        </is>
      </c>
      <c r="Q1206" s="187" t="inlineStr">
        <is>
          <t>P3</t>
        </is>
      </c>
      <c r="R1206" s="187" t="inlineStr">
        <is>
          <t>🚫 Block IOC at network perimeter | 🔎 Hunt for IOC across environment | 📋 Document and share with threat intel team</t>
        </is>
      </c>
      <c r="S1206" s="187" t="inlineStr">
        <is>
          <t>Classification: Not checked | Context: Not enriched | Name: Not indexed</t>
        </is>
      </c>
      <c r="T1206" s="187" t="n">
        <v>0</v>
      </c>
      <c r="U1206" s="187" t="n">
        <v>0</v>
      </c>
      <c r="V1206" s="187" t="inlineStr">
        <is>
          <t>T1071:Application Layer Protocol | T1102:Web Service</t>
        </is>
      </c>
      <c r="W1206" s="187" t="n">
        <v>1</v>
      </c>
      <c r="X1206" s="187" t="inlineStr">
        <is>
          <t>LOW (40%)</t>
        </is>
      </c>
      <c r="Y1206" s="187" t="inlineStr">
        <is>
          <t>NONE</t>
        </is>
      </c>
      <c r="Z1206" s="187" t="inlineStr">
        <is>
          <t>NONE</t>
        </is>
      </c>
      <c r="AA1206" s="187" t="inlineStr">
        <is>
          <t>NONE</t>
        </is>
      </c>
      <c r="AB1206" s="187" t="inlineStr">
        <is>
          <t>NONE</t>
        </is>
      </c>
      <c r="AC1206" s="187" t="n">
        <v>0</v>
      </c>
      <c r="AD1206" s="187" t="inlineStr"/>
    </row>
    <row r="1207">
      <c r="A1207" s="187" t="inlineStr">
        <is>
          <t>THREATFOX_IOC</t>
        </is>
      </c>
      <c r="B1207" s="187" t="inlineStr">
        <is>
          <t>1755360</t>
        </is>
      </c>
      <c r="C1207" s="187" t="inlineStr">
        <is>
          <t>domain IOC:  | Malware: Unknown Stealer | Confidence: 100%</t>
        </is>
      </c>
      <c r="D1207" s="187" t="n">
        <v>7.5</v>
      </c>
      <c r="E1207" s="187" t="inlineStr">
        <is>
          <t>HIGH</t>
        </is>
      </c>
      <c r="F1207" s="187" t="n">
        <v>3</v>
      </c>
      <c r="G1207" s="187" t="n">
        <v>2</v>
      </c>
      <c r="H1207" s="187" t="inlineStr">
        <is>
          <t>HIGH</t>
        </is>
      </c>
      <c r="I1207" s="187" t="n">
        <v>13.5</v>
      </c>
      <c r="J1207" s="187" t="inlineStr">
        <is>
          <t>NO</t>
        </is>
      </c>
      <c r="K1207" s="187" t="inlineStr">
        <is>
          <t>https://threatfox.abuse.ch/ioc/1755360/</t>
        </is>
      </c>
      <c r="L1207" s="187" t="inlineStr">
        <is>
          <t>2026-02-27 16:21:24 UTC</t>
        </is>
      </c>
      <c r="M1207" s="187" t="inlineStr">
        <is>
          <t>Block IOC</t>
        </is>
      </c>
      <c r="N1207" s="187" t="inlineStr">
        <is>
          <t>https://threatfox.abuse.ch/ioc/1755360/</t>
        </is>
      </c>
      <c r="O1207" s="187" t="inlineStr">
        <is>
          <t>Block domain:</t>
        </is>
      </c>
      <c r="P1207" s="187" t="inlineStr">
        <is>
          <t>botnet_cc</t>
        </is>
      </c>
      <c r="Q1207" s="187" t="inlineStr">
        <is>
          <t>P3</t>
        </is>
      </c>
      <c r="R1207" s="187" t="inlineStr">
        <is>
          <t>🚫 Block IOC at network perimeter | 🔎 Hunt for IOC across environment | 📋 Document and share with threat intel team</t>
        </is>
      </c>
      <c r="S1207" s="187" t="inlineStr">
        <is>
          <t>Classification: Not checked | Context: Not enriched | Name: Not indexed</t>
        </is>
      </c>
      <c r="T1207" s="187" t="n">
        <v>0</v>
      </c>
      <c r="U1207" s="187" t="n">
        <v>0</v>
      </c>
      <c r="V1207" s="187" t="inlineStr">
        <is>
          <t>T1071:Application Layer Protocol | T1102:Web Service</t>
        </is>
      </c>
      <c r="W1207" s="187" t="n">
        <v>1</v>
      </c>
      <c r="X1207" s="187" t="inlineStr">
        <is>
          <t>LOW (40%)</t>
        </is>
      </c>
      <c r="Y1207" s="187" t="inlineStr">
        <is>
          <t>NONE</t>
        </is>
      </c>
      <c r="Z1207" s="187" t="inlineStr">
        <is>
          <t>NONE</t>
        </is>
      </c>
      <c r="AA1207" s="187" t="inlineStr">
        <is>
          <t>NONE</t>
        </is>
      </c>
      <c r="AB1207" s="187" t="inlineStr">
        <is>
          <t>NONE</t>
        </is>
      </c>
      <c r="AC1207" s="187" t="n">
        <v>0</v>
      </c>
      <c r="AD1207" s="187" t="inlineStr"/>
    </row>
    <row r="1208">
      <c r="A1208" s="187" t="inlineStr">
        <is>
          <t>THREATFOX_IOC</t>
        </is>
      </c>
      <c r="B1208" s="187" t="inlineStr">
        <is>
          <t>1755359</t>
        </is>
      </c>
      <c r="C1208" s="187" t="inlineStr">
        <is>
          <t>domain IOC:  | Malware: Unknown Stealer | Confidence: 100%</t>
        </is>
      </c>
      <c r="D1208" s="187" t="n">
        <v>7.5</v>
      </c>
      <c r="E1208" s="187" t="inlineStr">
        <is>
          <t>HIGH</t>
        </is>
      </c>
      <c r="F1208" s="187" t="n">
        <v>3</v>
      </c>
      <c r="G1208" s="187" t="n">
        <v>2</v>
      </c>
      <c r="H1208" s="187" t="inlineStr">
        <is>
          <t>HIGH</t>
        </is>
      </c>
      <c r="I1208" s="187" t="n">
        <v>13.5</v>
      </c>
      <c r="J1208" s="187" t="inlineStr">
        <is>
          <t>NO</t>
        </is>
      </c>
      <c r="K1208" s="187" t="inlineStr">
        <is>
          <t>https://threatfox.abuse.ch/ioc/1755359/</t>
        </is>
      </c>
      <c r="L1208" s="187" t="inlineStr">
        <is>
          <t>2026-02-27 16:21:23 UTC</t>
        </is>
      </c>
      <c r="M1208" s="187" t="inlineStr">
        <is>
          <t>Block IOC</t>
        </is>
      </c>
      <c r="N1208" s="187" t="inlineStr">
        <is>
          <t>https://threatfox.abuse.ch/ioc/1755359/</t>
        </is>
      </c>
      <c r="O1208" s="187" t="inlineStr">
        <is>
          <t>Block domain:</t>
        </is>
      </c>
      <c r="P1208" s="187" t="inlineStr">
        <is>
          <t>botnet_cc</t>
        </is>
      </c>
      <c r="Q1208" s="187" t="inlineStr">
        <is>
          <t>P3</t>
        </is>
      </c>
      <c r="R1208" s="187" t="inlineStr">
        <is>
          <t>🚫 Block IOC at network perimeter | 🔎 Hunt for IOC across environment | 📋 Document and share with threat intel team</t>
        </is>
      </c>
      <c r="S1208" s="187" t="inlineStr">
        <is>
          <t>Classification: Not checked | Context: Not enriched | Name: Not indexed</t>
        </is>
      </c>
      <c r="T1208" s="187" t="n">
        <v>0</v>
      </c>
      <c r="U1208" s="187" t="n">
        <v>0</v>
      </c>
      <c r="V1208" s="187" t="inlineStr">
        <is>
          <t>T1071:Application Layer Protocol | T1102:Web Service</t>
        </is>
      </c>
      <c r="W1208" s="187" t="n">
        <v>1</v>
      </c>
      <c r="X1208" s="187" t="inlineStr">
        <is>
          <t>LOW (40%)</t>
        </is>
      </c>
      <c r="Y1208" s="187" t="inlineStr">
        <is>
          <t>NONE</t>
        </is>
      </c>
      <c r="Z1208" s="187" t="inlineStr">
        <is>
          <t>NONE</t>
        </is>
      </c>
      <c r="AA1208" s="187" t="inlineStr">
        <is>
          <t>NONE</t>
        </is>
      </c>
      <c r="AB1208" s="187" t="inlineStr">
        <is>
          <t>NONE</t>
        </is>
      </c>
      <c r="AC1208" s="187" t="n">
        <v>0</v>
      </c>
      <c r="AD1208" s="187" t="inlineStr"/>
    </row>
    <row r="1209">
      <c r="A1209" s="187" t="inlineStr">
        <is>
          <t>THREATFOX_IOC</t>
        </is>
      </c>
      <c r="B1209" s="187" t="inlineStr">
        <is>
          <t>1755373</t>
        </is>
      </c>
      <c r="C1209" s="187" t="inlineStr">
        <is>
          <t>domain IOC:  | Malware: Unknown Stealer | Confidence: 100%</t>
        </is>
      </c>
      <c r="D1209" s="187" t="n">
        <v>7.5</v>
      </c>
      <c r="E1209" s="187" t="inlineStr">
        <is>
          <t>HIGH</t>
        </is>
      </c>
      <c r="F1209" s="187" t="n">
        <v>3</v>
      </c>
      <c r="G1209" s="187" t="n">
        <v>2</v>
      </c>
      <c r="H1209" s="187" t="inlineStr">
        <is>
          <t>HIGH</t>
        </is>
      </c>
      <c r="I1209" s="187" t="n">
        <v>13.5</v>
      </c>
      <c r="J1209" s="187" t="inlineStr">
        <is>
          <t>NO</t>
        </is>
      </c>
      <c r="K1209" s="187" t="inlineStr">
        <is>
          <t>https://threatfox.abuse.ch/ioc/1755373/</t>
        </is>
      </c>
      <c r="L1209" s="187" t="inlineStr">
        <is>
          <t>2026-02-27 16:21:21 UTC</t>
        </is>
      </c>
      <c r="M1209" s="187" t="inlineStr">
        <is>
          <t>Block IOC</t>
        </is>
      </c>
      <c r="N1209" s="187" t="inlineStr">
        <is>
          <t>https://threatfox.abuse.ch/ioc/1755373/</t>
        </is>
      </c>
      <c r="O1209" s="187" t="inlineStr">
        <is>
          <t>Block domain:</t>
        </is>
      </c>
      <c r="P1209" s="187" t="inlineStr">
        <is>
          <t>botnet_cc</t>
        </is>
      </c>
      <c r="Q1209" s="187" t="inlineStr">
        <is>
          <t>P3</t>
        </is>
      </c>
      <c r="R1209" s="187" t="inlineStr">
        <is>
          <t>🚫 Block IOC at network perimeter | 🔎 Hunt for IOC across environment | 📋 Document and share with threat intel team</t>
        </is>
      </c>
      <c r="S1209" s="187" t="inlineStr">
        <is>
          <t>Classification: Not checked | Context: Not enriched | Name: Not indexed</t>
        </is>
      </c>
      <c r="T1209" s="187" t="n">
        <v>0</v>
      </c>
      <c r="U1209" s="187" t="n">
        <v>0</v>
      </c>
      <c r="V1209" s="187" t="inlineStr">
        <is>
          <t>T1071:Application Layer Protocol | T1102:Web Service</t>
        </is>
      </c>
      <c r="W1209" s="187" t="n">
        <v>1</v>
      </c>
      <c r="X1209" s="187" t="inlineStr">
        <is>
          <t>LOW (40%)</t>
        </is>
      </c>
      <c r="Y1209" s="187" t="inlineStr">
        <is>
          <t>NONE</t>
        </is>
      </c>
      <c r="Z1209" s="187" t="inlineStr">
        <is>
          <t>NONE</t>
        </is>
      </c>
      <c r="AA1209" s="187" t="inlineStr">
        <is>
          <t>NONE</t>
        </is>
      </c>
      <c r="AB1209" s="187" t="inlineStr">
        <is>
          <t>NONE</t>
        </is>
      </c>
      <c r="AC1209" s="187" t="n">
        <v>0</v>
      </c>
      <c r="AD1209" s="187" t="inlineStr"/>
    </row>
    <row r="1210">
      <c r="A1210" s="187" t="inlineStr">
        <is>
          <t>THREATFOX_IOC</t>
        </is>
      </c>
      <c r="B1210" s="187" t="inlineStr">
        <is>
          <t>1755375</t>
        </is>
      </c>
      <c r="C1210" s="187" t="inlineStr">
        <is>
          <t>url IOC:  | Malware: SmartLoader | Confidence: 75%</t>
        </is>
      </c>
      <c r="D1210" s="187" t="n">
        <v>7.5</v>
      </c>
      <c r="E1210" s="187" t="inlineStr">
        <is>
          <t>HIGH</t>
        </is>
      </c>
      <c r="F1210" s="187" t="n">
        <v>3</v>
      </c>
      <c r="G1210" s="187" t="n">
        <v>2</v>
      </c>
      <c r="H1210" s="187" t="inlineStr">
        <is>
          <t>HIGH</t>
        </is>
      </c>
      <c r="I1210" s="187" t="n">
        <v>13.5</v>
      </c>
      <c r="J1210" s="187" t="inlineStr">
        <is>
          <t>NO</t>
        </is>
      </c>
      <c r="K1210" s="187" t="inlineStr">
        <is>
          <t>https://threatfox.abuse.ch/ioc/1755375/</t>
        </is>
      </c>
      <c r="L1210" s="187" t="inlineStr">
        <is>
          <t>2026-02-27 16:21:20 UTC</t>
        </is>
      </c>
      <c r="M1210" s="187" t="inlineStr">
        <is>
          <t>Block IOC</t>
        </is>
      </c>
      <c r="N1210" s="187" t="inlineStr">
        <is>
          <t>https://threatfox.abuse.ch/ioc/1755375/</t>
        </is>
      </c>
      <c r="O1210" s="187" t="inlineStr">
        <is>
          <t>Block url:</t>
        </is>
      </c>
      <c r="P1210" s="187" t="inlineStr">
        <is>
          <t>botnet_cc</t>
        </is>
      </c>
      <c r="Q1210" s="187" t="inlineStr">
        <is>
          <t>P3</t>
        </is>
      </c>
      <c r="R1210" s="187" t="inlineStr">
        <is>
          <t>🚫 Block IOC at network perimeter | 🔎 Hunt for IOC across environment | 📋 Document and share with threat intel team</t>
        </is>
      </c>
      <c r="S1210" s="187" t="inlineStr">
        <is>
          <t>Classification: Not checked | Context: Not enriched | Name: Not indexed</t>
        </is>
      </c>
      <c r="T1210" s="187" t="n">
        <v>0</v>
      </c>
      <c r="U1210" s="187" t="n">
        <v>0</v>
      </c>
      <c r="V1210" s="187" t="inlineStr">
        <is>
          <t>T1071:Application Layer Protocol | T1102:Web Service</t>
        </is>
      </c>
      <c r="W1210" s="187" t="n">
        <v>1</v>
      </c>
      <c r="X1210" s="187" t="inlineStr">
        <is>
          <t>LOW (40%)</t>
        </is>
      </c>
      <c r="Y1210" s="187" t="inlineStr">
        <is>
          <t>NONE</t>
        </is>
      </c>
      <c r="Z1210" s="187" t="inlineStr">
        <is>
          <t>NONE</t>
        </is>
      </c>
      <c r="AA1210" s="187" t="inlineStr">
        <is>
          <t>NONE</t>
        </is>
      </c>
      <c r="AB1210" s="187" t="inlineStr">
        <is>
          <t>NONE</t>
        </is>
      </c>
      <c r="AC1210" s="187" t="n">
        <v>0</v>
      </c>
      <c r="AD1210" s="187" t="inlineStr"/>
    </row>
    <row r="1211">
      <c r="A1211" s="187" t="inlineStr">
        <is>
          <t>THREATFOX_IOC</t>
        </is>
      </c>
      <c r="B1211" s="187" t="inlineStr">
        <is>
          <t>1755422</t>
        </is>
      </c>
      <c r="C1211" s="187" t="inlineStr">
        <is>
          <t>ip:port IOC:  | Malware: Mirai | Confidence: 100%</t>
        </is>
      </c>
      <c r="D1211" s="187" t="n">
        <v>7.5</v>
      </c>
      <c r="E1211" s="187" t="inlineStr">
        <is>
          <t>HIGH</t>
        </is>
      </c>
      <c r="F1211" s="187" t="n">
        <v>3</v>
      </c>
      <c r="G1211" s="187" t="n">
        <v>2</v>
      </c>
      <c r="H1211" s="187" t="inlineStr">
        <is>
          <t>HIGH</t>
        </is>
      </c>
      <c r="I1211" s="187" t="n">
        <v>13.5</v>
      </c>
      <c r="J1211" s="187" t="inlineStr">
        <is>
          <t>NO</t>
        </is>
      </c>
      <c r="K1211" s="187" t="inlineStr">
        <is>
          <t>https://threatfox.abuse.ch/ioc/1755422/</t>
        </is>
      </c>
      <c r="L1211" s="187" t="inlineStr">
        <is>
          <t>2026-02-27 16:21:15 UTC</t>
        </is>
      </c>
      <c r="M1211" s="187" t="inlineStr">
        <is>
          <t>Block IOC</t>
        </is>
      </c>
      <c r="N1211" s="187" t="inlineStr">
        <is>
          <t>https://threatfox.abuse.ch/ioc/1755422/</t>
        </is>
      </c>
      <c r="O1211" s="187" t="inlineStr">
        <is>
          <t>Block ip:port:</t>
        </is>
      </c>
      <c r="P1211" s="187" t="inlineStr">
        <is>
          <t>botnet_cc</t>
        </is>
      </c>
      <c r="Q1211" s="187" t="inlineStr">
        <is>
          <t>P3</t>
        </is>
      </c>
      <c r="R1211" s="187" t="inlineStr">
        <is>
          <t>🚫 Block IOC at network perimeter | 🔎 Hunt for IOC across environment | 📋 Document and share with threat intel team</t>
        </is>
      </c>
      <c r="S1211" s="187" t="inlineStr">
        <is>
          <t>Classification: hosting-provider | Context: 🌍 Sweden | Stockholm | 🏢 AWS EC2 (eu-north-1) | ASN: AS16509 Amazon.com, Inc. | 🖥️ Hosting/DC | Name: AWS EC2 (eu-north-1)</t>
        </is>
      </c>
      <c r="T1211" s="187" t="n">
        <v>0</v>
      </c>
      <c r="U1211" s="187" t="n">
        <v>0</v>
      </c>
      <c r="V1211" s="187" t="inlineStr">
        <is>
          <t>T1071:Application Layer Protocol | T1102:Web Service</t>
        </is>
      </c>
      <c r="W1211" s="187" t="n">
        <v>1</v>
      </c>
      <c r="X1211" s="187" t="inlineStr">
        <is>
          <t>LOW (40%)</t>
        </is>
      </c>
      <c r="Y1211" s="187" t="inlineStr">
        <is>
          <t>NONE</t>
        </is>
      </c>
      <c r="Z1211" s="187" t="inlineStr">
        <is>
          <t>NONE</t>
        </is>
      </c>
      <c r="AA1211" s="187" t="inlineStr">
        <is>
          <t>NONE</t>
        </is>
      </c>
      <c r="AB1211" s="187" t="inlineStr">
        <is>
          <t>NONE</t>
        </is>
      </c>
      <c r="AC1211" s="187" t="n">
        <v>0</v>
      </c>
      <c r="AD1211" s="187" t="inlineStr"/>
    </row>
    <row r="1212">
      <c r="A1212" s="187" t="inlineStr">
        <is>
          <t>THREATFOX_IOC</t>
        </is>
      </c>
      <c r="B1212" s="187" t="inlineStr">
        <is>
          <t>1755423</t>
        </is>
      </c>
      <c r="C1212" s="187" t="inlineStr">
        <is>
          <t>domain IOC:  | Malware: ClearFake | Confidence: 100%</t>
        </is>
      </c>
      <c r="D1212" s="187" t="n">
        <v>7.5</v>
      </c>
      <c r="E1212" s="187" t="inlineStr">
        <is>
          <t>HIGH</t>
        </is>
      </c>
      <c r="F1212" s="187" t="n">
        <v>3</v>
      </c>
      <c r="G1212" s="187" t="n">
        <v>2</v>
      </c>
      <c r="H1212" s="187" t="inlineStr">
        <is>
          <t>HIGH</t>
        </is>
      </c>
      <c r="I1212" s="187" t="n">
        <v>13.5</v>
      </c>
      <c r="J1212" s="187" t="inlineStr">
        <is>
          <t>NO</t>
        </is>
      </c>
      <c r="K1212" s="187" t="inlineStr">
        <is>
          <t>https://threatfox.abuse.ch/ioc/1755423/</t>
        </is>
      </c>
      <c r="L1212" s="187" t="inlineStr">
        <is>
          <t>2026-02-27 16:21:15 UTC</t>
        </is>
      </c>
      <c r="M1212" s="187" t="inlineStr">
        <is>
          <t>Block IOC</t>
        </is>
      </c>
      <c r="N1212" s="187" t="inlineStr">
        <is>
          <t>https://threatfox.abuse.ch/ioc/1755423/</t>
        </is>
      </c>
      <c r="O1212" s="187" t="inlineStr">
        <is>
          <t>Block domain:</t>
        </is>
      </c>
      <c r="P1212" s="187" t="inlineStr">
        <is>
          <t>payload_delivery</t>
        </is>
      </c>
      <c r="Q1212" s="187" t="inlineStr">
        <is>
          <t>P3</t>
        </is>
      </c>
      <c r="R1212" s="187" t="inlineStr">
        <is>
          <t>🚫 Block IOC at network perimeter | 🔎 Hunt for IOC across environment | 📋 Document and share with threat intel team</t>
        </is>
      </c>
      <c r="S1212" s="187" t="inlineStr">
        <is>
          <t>Classification: Not checked | Context: Not enriched | Name: Not indexed</t>
        </is>
      </c>
      <c r="T1212" s="187" t="n">
        <v>0</v>
      </c>
      <c r="U1212" s="187" t="n">
        <v>0</v>
      </c>
      <c r="V1212" s="187" t="inlineStr">
        <is>
          <t>T1071:Application Layer Protocol | T1102:Web Service</t>
        </is>
      </c>
      <c r="W1212" s="187" t="n">
        <v>1</v>
      </c>
      <c r="X1212" s="187" t="inlineStr">
        <is>
          <t>LOW (40%)</t>
        </is>
      </c>
      <c r="Y1212" s="187" t="inlineStr">
        <is>
          <t>NONE</t>
        </is>
      </c>
      <c r="Z1212" s="187" t="inlineStr">
        <is>
          <t>NONE</t>
        </is>
      </c>
      <c r="AA1212" s="187" t="inlineStr">
        <is>
          <t>NONE</t>
        </is>
      </c>
      <c r="AB1212" s="187" t="inlineStr">
        <is>
          <t>NONE</t>
        </is>
      </c>
      <c r="AC1212" s="187" t="n">
        <v>0</v>
      </c>
      <c r="AD1212" s="187" t="inlineStr"/>
    </row>
    <row r="1213">
      <c r="A1213" s="187" t="inlineStr">
        <is>
          <t>THREATFOX_IOC</t>
        </is>
      </c>
      <c r="B1213" s="187" t="inlineStr">
        <is>
          <t>1755449</t>
        </is>
      </c>
      <c r="C1213" s="187" t="inlineStr">
        <is>
          <t>url IOC:  | Malware: KongTuke | Confidence: 100%</t>
        </is>
      </c>
      <c r="D1213" s="187" t="n">
        <v>7.5</v>
      </c>
      <c r="E1213" s="187" t="inlineStr">
        <is>
          <t>HIGH</t>
        </is>
      </c>
      <c r="F1213" s="187" t="n">
        <v>3</v>
      </c>
      <c r="G1213" s="187" t="n">
        <v>2</v>
      </c>
      <c r="H1213" s="187" t="inlineStr">
        <is>
          <t>HIGH</t>
        </is>
      </c>
      <c r="I1213" s="187" t="n">
        <v>13.5</v>
      </c>
      <c r="J1213" s="187" t="inlineStr">
        <is>
          <t>NO</t>
        </is>
      </c>
      <c r="K1213" s="187" t="inlineStr">
        <is>
          <t>https://threatfox.abuse.ch/ioc/1755449/</t>
        </is>
      </c>
      <c r="L1213" s="187" t="inlineStr">
        <is>
          <t>2026-02-27 16:21:13 UTC</t>
        </is>
      </c>
      <c r="M1213" s="187" t="inlineStr">
        <is>
          <t>Block IOC</t>
        </is>
      </c>
      <c r="N1213" s="187" t="inlineStr">
        <is>
          <t>https://threatfox.abuse.ch/ioc/1755449/</t>
        </is>
      </c>
      <c r="O1213" s="187" t="inlineStr">
        <is>
          <t>Block url:</t>
        </is>
      </c>
      <c r="P1213" s="187" t="inlineStr">
        <is>
          <t>payload_delivery</t>
        </is>
      </c>
      <c r="Q1213" s="187" t="inlineStr">
        <is>
          <t>P3</t>
        </is>
      </c>
      <c r="R1213" s="187" t="inlineStr">
        <is>
          <t>🚫 Block IOC at network perimeter | 🔎 Hunt for IOC across environment | 📋 Document and share with threat intel team</t>
        </is>
      </c>
      <c r="S1213" s="187" t="inlineStr">
        <is>
          <t>Classification: Not checked | Context: Not enriched | Name: Not indexed</t>
        </is>
      </c>
      <c r="T1213" s="187" t="n">
        <v>0</v>
      </c>
      <c r="U1213" s="187" t="n">
        <v>0</v>
      </c>
      <c r="V1213" s="187" t="inlineStr">
        <is>
          <t>T1071:Application Layer Protocol | T1102:Web Service</t>
        </is>
      </c>
      <c r="W1213" s="187" t="n">
        <v>1</v>
      </c>
      <c r="X1213" s="187" t="inlineStr">
        <is>
          <t>LOW (40%)</t>
        </is>
      </c>
      <c r="Y1213" s="187" t="inlineStr">
        <is>
          <t>NONE</t>
        </is>
      </c>
      <c r="Z1213" s="187" t="inlineStr">
        <is>
          <t>NONE</t>
        </is>
      </c>
      <c r="AA1213" s="187" t="inlineStr">
        <is>
          <t>NONE</t>
        </is>
      </c>
      <c r="AB1213" s="187" t="inlineStr">
        <is>
          <t>NONE</t>
        </is>
      </c>
      <c r="AC1213" s="187" t="n">
        <v>0</v>
      </c>
      <c r="AD1213" s="187" t="inlineStr"/>
    </row>
    <row r="1214">
      <c r="A1214" s="187" t="inlineStr">
        <is>
          <t>THREATFOX_IOC</t>
        </is>
      </c>
      <c r="B1214" s="187" t="inlineStr">
        <is>
          <t>1755450</t>
        </is>
      </c>
      <c r="C1214" s="187" t="inlineStr">
        <is>
          <t>domain IOC:  | Malware: KongTuke | Confidence: 100%</t>
        </is>
      </c>
      <c r="D1214" s="187" t="n">
        <v>7.5</v>
      </c>
      <c r="E1214" s="187" t="inlineStr">
        <is>
          <t>HIGH</t>
        </is>
      </c>
      <c r="F1214" s="187" t="n">
        <v>3</v>
      </c>
      <c r="G1214" s="187" t="n">
        <v>2</v>
      </c>
      <c r="H1214" s="187" t="inlineStr">
        <is>
          <t>HIGH</t>
        </is>
      </c>
      <c r="I1214" s="187" t="n">
        <v>13.5</v>
      </c>
      <c r="J1214" s="187" t="inlineStr">
        <is>
          <t>NO</t>
        </is>
      </c>
      <c r="K1214" s="187" t="inlineStr">
        <is>
          <t>https://threatfox.abuse.ch/ioc/1755450/</t>
        </is>
      </c>
      <c r="L1214" s="187" t="inlineStr">
        <is>
          <t>2026-02-27 16:21:12 UTC</t>
        </is>
      </c>
      <c r="M1214" s="187" t="inlineStr">
        <is>
          <t>Block IOC</t>
        </is>
      </c>
      <c r="N1214" s="187" t="inlineStr">
        <is>
          <t>https://threatfox.abuse.ch/ioc/1755450/</t>
        </is>
      </c>
      <c r="O1214" s="187" t="inlineStr">
        <is>
          <t>Block domain:</t>
        </is>
      </c>
      <c r="P1214" s="187" t="inlineStr">
        <is>
          <t>payload_delivery</t>
        </is>
      </c>
      <c r="Q1214" s="187" t="inlineStr">
        <is>
          <t>P3</t>
        </is>
      </c>
      <c r="R1214" s="187" t="inlineStr">
        <is>
          <t>🚫 Block IOC at network perimeter | 🔎 Hunt for IOC across environment | 📋 Document and share with threat intel team</t>
        </is>
      </c>
      <c r="S1214" s="187" t="inlineStr">
        <is>
          <t>Classification: Not checked | Context: Not enriched | Name: Not indexed</t>
        </is>
      </c>
      <c r="T1214" s="187" t="n">
        <v>0</v>
      </c>
      <c r="U1214" s="187" t="n">
        <v>0</v>
      </c>
      <c r="V1214" s="187" t="inlineStr">
        <is>
          <t>T1071:Application Layer Protocol | T1102:Web Service</t>
        </is>
      </c>
      <c r="W1214" s="187" t="n">
        <v>1</v>
      </c>
      <c r="X1214" s="187" t="inlineStr">
        <is>
          <t>LOW (40%)</t>
        </is>
      </c>
      <c r="Y1214" s="187" t="inlineStr">
        <is>
          <t>NONE</t>
        </is>
      </c>
      <c r="Z1214" s="187" t="inlineStr">
        <is>
          <t>NONE</t>
        </is>
      </c>
      <c r="AA1214" s="187" t="inlineStr">
        <is>
          <t>NONE</t>
        </is>
      </c>
      <c r="AB1214" s="187" t="inlineStr">
        <is>
          <t>NONE</t>
        </is>
      </c>
      <c r="AC1214" s="187" t="n">
        <v>0</v>
      </c>
      <c r="AD1214" s="187" t="inlineStr"/>
    </row>
    <row r="1215">
      <c r="A1215" s="187" t="inlineStr">
        <is>
          <t>THREATFOX_IOC</t>
        </is>
      </c>
      <c r="B1215" s="187" t="inlineStr">
        <is>
          <t>1755451</t>
        </is>
      </c>
      <c r="C1215" s="187" t="inlineStr">
        <is>
          <t>url IOC:  | Malware: KongTuke | Confidence: 100%</t>
        </is>
      </c>
      <c r="D1215" s="187" t="n">
        <v>7.5</v>
      </c>
      <c r="E1215" s="187" t="inlineStr">
        <is>
          <t>HIGH</t>
        </is>
      </c>
      <c r="F1215" s="187" t="n">
        <v>3</v>
      </c>
      <c r="G1215" s="187" t="n">
        <v>2</v>
      </c>
      <c r="H1215" s="187" t="inlineStr">
        <is>
          <t>HIGH</t>
        </is>
      </c>
      <c r="I1215" s="187" t="n">
        <v>13.5</v>
      </c>
      <c r="J1215" s="187" t="inlineStr">
        <is>
          <t>NO</t>
        </is>
      </c>
      <c r="K1215" s="187" t="inlineStr">
        <is>
          <t>https://threatfox.abuse.ch/ioc/1755451/</t>
        </is>
      </c>
      <c r="L1215" s="187" t="inlineStr">
        <is>
          <t>2026-02-27 16:21:11 UTC</t>
        </is>
      </c>
      <c r="M1215" s="187" t="inlineStr">
        <is>
          <t>Block IOC</t>
        </is>
      </c>
      <c r="N1215" s="187" t="inlineStr">
        <is>
          <t>https://threatfox.abuse.ch/ioc/1755451/</t>
        </is>
      </c>
      <c r="O1215" s="187" t="inlineStr">
        <is>
          <t>Block url:</t>
        </is>
      </c>
      <c r="P1215" s="187" t="inlineStr">
        <is>
          <t>payload_delivery</t>
        </is>
      </c>
      <c r="Q1215" s="187" t="inlineStr">
        <is>
          <t>P3</t>
        </is>
      </c>
      <c r="R1215" s="187" t="inlineStr">
        <is>
          <t>🚫 Block IOC at network perimeter | 🔎 Hunt for IOC across environment | 📋 Document and share with threat intel team</t>
        </is>
      </c>
      <c r="S1215" s="187" t="inlineStr">
        <is>
          <t>Classification: Not checked | Context: Not enriched | Name: Not indexed</t>
        </is>
      </c>
      <c r="T1215" s="187" t="n">
        <v>0</v>
      </c>
      <c r="U1215" s="187" t="n">
        <v>0</v>
      </c>
      <c r="V1215" s="187" t="inlineStr">
        <is>
          <t>T1071:Application Layer Protocol | T1102:Web Service</t>
        </is>
      </c>
      <c r="W1215" s="187" t="n">
        <v>1</v>
      </c>
      <c r="X1215" s="187" t="inlineStr">
        <is>
          <t>LOW (40%)</t>
        </is>
      </c>
      <c r="Y1215" s="187" t="inlineStr">
        <is>
          <t>NONE</t>
        </is>
      </c>
      <c r="Z1215" s="187" t="inlineStr">
        <is>
          <t>NONE</t>
        </is>
      </c>
      <c r="AA1215" s="187" t="inlineStr">
        <is>
          <t>NONE</t>
        </is>
      </c>
      <c r="AB1215" s="187" t="inlineStr">
        <is>
          <t>NONE</t>
        </is>
      </c>
      <c r="AC1215" s="187" t="n">
        <v>0</v>
      </c>
      <c r="AD1215" s="187" t="inlineStr"/>
    </row>
    <row r="1216">
      <c r="A1216" s="187" t="inlineStr">
        <is>
          <t>THREATFOX_IOC</t>
        </is>
      </c>
      <c r="B1216" s="187" t="inlineStr">
        <is>
          <t>1755452</t>
        </is>
      </c>
      <c r="C1216" s="187" t="inlineStr">
        <is>
          <t>url IOC:  | Malware: SmartApeSG | Confidence: 100%</t>
        </is>
      </c>
      <c r="D1216" s="187" t="n">
        <v>7.5</v>
      </c>
      <c r="E1216" s="187" t="inlineStr">
        <is>
          <t>HIGH</t>
        </is>
      </c>
      <c r="F1216" s="187" t="n">
        <v>3</v>
      </c>
      <c r="G1216" s="187" t="n">
        <v>2</v>
      </c>
      <c r="H1216" s="187" t="inlineStr">
        <is>
          <t>HIGH</t>
        </is>
      </c>
      <c r="I1216" s="187" t="n">
        <v>13.5</v>
      </c>
      <c r="J1216" s="187" t="inlineStr">
        <is>
          <t>NO</t>
        </is>
      </c>
      <c r="K1216" s="187" t="inlineStr">
        <is>
          <t>https://threatfox.abuse.ch/ioc/1755452/</t>
        </is>
      </c>
      <c r="L1216" s="187" t="inlineStr">
        <is>
          <t>2026-02-27 16:21:11 UTC</t>
        </is>
      </c>
      <c r="M1216" s="187" t="inlineStr">
        <is>
          <t>Block IOC</t>
        </is>
      </c>
      <c r="N1216" s="187" t="inlineStr">
        <is>
          <t>https://threatfox.abuse.ch/ioc/1755452/</t>
        </is>
      </c>
      <c r="O1216" s="187" t="inlineStr">
        <is>
          <t>Block url:</t>
        </is>
      </c>
      <c r="P1216" s="187" t="inlineStr">
        <is>
          <t>payload_delivery</t>
        </is>
      </c>
      <c r="Q1216" s="187" t="inlineStr">
        <is>
          <t>P3</t>
        </is>
      </c>
      <c r="R1216" s="187" t="inlineStr">
        <is>
          <t>🚫 Block IOC at network perimeter | 🔎 Hunt for IOC across environment | 📋 Document and share with threat intel team</t>
        </is>
      </c>
      <c r="S1216" s="187" t="inlineStr">
        <is>
          <t>Classification: Not checked | Context: Not enriched | Name: Not indexed</t>
        </is>
      </c>
      <c r="T1216" s="187" t="n">
        <v>0</v>
      </c>
      <c r="U1216" s="187" t="n">
        <v>0</v>
      </c>
      <c r="V1216" s="187" t="inlineStr">
        <is>
          <t>T1071:Application Layer Protocol | T1102:Web Service</t>
        </is>
      </c>
      <c r="W1216" s="187" t="n">
        <v>1</v>
      </c>
      <c r="X1216" s="187" t="inlineStr">
        <is>
          <t>LOW (40%)</t>
        </is>
      </c>
      <c r="Y1216" s="187" t="inlineStr">
        <is>
          <t>NONE</t>
        </is>
      </c>
      <c r="Z1216" s="187" t="inlineStr">
        <is>
          <t>NONE</t>
        </is>
      </c>
      <c r="AA1216" s="187" t="inlineStr">
        <is>
          <t>NONE</t>
        </is>
      </c>
      <c r="AB1216" s="187" t="inlineStr">
        <is>
          <t>NONE</t>
        </is>
      </c>
      <c r="AC1216" s="187" t="n">
        <v>0</v>
      </c>
      <c r="AD1216" s="187" t="inlineStr"/>
    </row>
    <row r="1217">
      <c r="A1217" s="187" t="inlineStr">
        <is>
          <t>THREATFOX_IOC</t>
        </is>
      </c>
      <c r="B1217" s="187" t="inlineStr">
        <is>
          <t>1755453</t>
        </is>
      </c>
      <c r="C1217" s="187" t="inlineStr">
        <is>
          <t>domain IOC:  | Malware: SmartApeSG | Confidence: 100%</t>
        </is>
      </c>
      <c r="D1217" s="187" t="n">
        <v>7.5</v>
      </c>
      <c r="E1217" s="187" t="inlineStr">
        <is>
          <t>HIGH</t>
        </is>
      </c>
      <c r="F1217" s="187" t="n">
        <v>3</v>
      </c>
      <c r="G1217" s="187" t="n">
        <v>2</v>
      </c>
      <c r="H1217" s="187" t="inlineStr">
        <is>
          <t>HIGH</t>
        </is>
      </c>
      <c r="I1217" s="187" t="n">
        <v>13.5</v>
      </c>
      <c r="J1217" s="187" t="inlineStr">
        <is>
          <t>NO</t>
        </is>
      </c>
      <c r="K1217" s="187" t="inlineStr">
        <is>
          <t>https://threatfox.abuse.ch/ioc/1755453/</t>
        </is>
      </c>
      <c r="L1217" s="187" t="inlineStr">
        <is>
          <t>2026-02-27 16:21:10 UTC</t>
        </is>
      </c>
      <c r="M1217" s="187" t="inlineStr">
        <is>
          <t>Block IOC</t>
        </is>
      </c>
      <c r="N1217" s="187" t="inlineStr">
        <is>
          <t>https://threatfox.abuse.ch/ioc/1755453/</t>
        </is>
      </c>
      <c r="O1217" s="187" t="inlineStr">
        <is>
          <t>Block domain:</t>
        </is>
      </c>
      <c r="P1217" s="187" t="inlineStr">
        <is>
          <t>payload_delivery</t>
        </is>
      </c>
      <c r="Q1217" s="187" t="inlineStr">
        <is>
          <t>P3</t>
        </is>
      </c>
      <c r="R1217" s="187" t="inlineStr">
        <is>
          <t>🚫 Block IOC at network perimeter | 🔎 Hunt for IOC across environment | 📋 Document and share with threat intel team</t>
        </is>
      </c>
      <c r="S1217" s="187" t="inlineStr">
        <is>
          <t>Classification: Not checked | Context: Not enriched | Name: Not indexed</t>
        </is>
      </c>
      <c r="T1217" s="187" t="n">
        <v>0</v>
      </c>
      <c r="U1217" s="187" t="n">
        <v>0</v>
      </c>
      <c r="V1217" s="187" t="inlineStr">
        <is>
          <t>T1071:Application Layer Protocol | T1102:Web Service</t>
        </is>
      </c>
      <c r="W1217" s="187" t="n">
        <v>1</v>
      </c>
      <c r="X1217" s="187" t="inlineStr">
        <is>
          <t>LOW (40%)</t>
        </is>
      </c>
      <c r="Y1217" s="187" t="inlineStr">
        <is>
          <t>NONE</t>
        </is>
      </c>
      <c r="Z1217" s="187" t="inlineStr">
        <is>
          <t>NONE</t>
        </is>
      </c>
      <c r="AA1217" s="187" t="inlineStr">
        <is>
          <t>NONE</t>
        </is>
      </c>
      <c r="AB1217" s="187" t="inlineStr">
        <is>
          <t>NONE</t>
        </is>
      </c>
      <c r="AC1217" s="187" t="n">
        <v>0</v>
      </c>
      <c r="AD1217" s="187" t="inlineStr"/>
    </row>
    <row r="1218">
      <c r="A1218" s="188" t="inlineStr">
        <is>
          <t>THREATMINER</t>
        </is>
      </c>
      <c r="B1218" s="188" t="inlineStr">
        <is>
          <t>d41d8cd98f00</t>
        </is>
      </c>
      <c r="C1218" s="188" t="inlineStr">
        <is>
          <t xml:space="preserve">Malicious domain:  | IP: 45.148.10.147 | Last seen: </t>
        </is>
      </c>
      <c r="D1218" s="188" t="n">
        <v>6.5</v>
      </c>
      <c r="E1218" s="188" t="inlineStr">
        <is>
          <t>MEDIUM</t>
        </is>
      </c>
      <c r="F1218" s="188" t="n">
        <v>2</v>
      </c>
      <c r="G1218" s="188" t="n">
        <v>2</v>
      </c>
      <c r="H1218" s="188" t="inlineStr">
        <is>
          <t>MEDIUM</t>
        </is>
      </c>
      <c r="I1218" s="188" t="n">
        <v>10.5</v>
      </c>
      <c r="J1218" s="188" t="inlineStr">
        <is>
          <t>NO</t>
        </is>
      </c>
      <c r="K1218" s="188" t="inlineStr">
        <is>
          <t>https://www.threatminer.org/domain.php?q=</t>
        </is>
      </c>
      <c r="L1218" s="188" t="inlineStr"/>
      <c r="M1218" s="188" t="inlineStr">
        <is>
          <t>Block domain</t>
        </is>
      </c>
      <c r="N1218" s="188" t="inlineStr">
        <is>
          <t>https://www.threatminer.org/domain.php?q=</t>
        </is>
      </c>
      <c r="O1218" s="188" t="inlineStr">
        <is>
          <t>Block domain  at DNS/firewall</t>
        </is>
      </c>
      <c r="P1218" s="188" t="inlineStr">
        <is>
          <t>DNS/Network</t>
        </is>
      </c>
      <c r="Q1218" s="188" t="inlineStr">
        <is>
          <t>P4</t>
        </is>
      </c>
      <c r="R1218" s="188" t="inlineStr">
        <is>
          <t>🔍 Investigate and apply appropriate controls</t>
        </is>
      </c>
      <c r="S1218" s="188" t="inlineStr">
        <is>
          <t>Domain IOC - check IP separately</t>
        </is>
      </c>
      <c r="T1218" s="188" t="n">
        <v>0</v>
      </c>
      <c r="U1218" s="188" t="n">
        <v>0</v>
      </c>
      <c r="V1218" s="188" t="inlineStr">
        <is>
          <t>T1071.001:Web Protocols | T1568:Dynamic Resolution</t>
        </is>
      </c>
      <c r="W1218" s="188" t="n">
        <v>1</v>
      </c>
      <c r="X1218" s="188" t="inlineStr">
        <is>
          <t>LOW (40%)</t>
        </is>
      </c>
      <c r="Y1218" s="188" t="inlineStr">
        <is>
          <t>NONE</t>
        </is>
      </c>
      <c r="Z1218" s="188" t="inlineStr">
        <is>
          <t>NONE</t>
        </is>
      </c>
      <c r="AA1218" s="188" t="inlineStr">
        <is>
          <t>NONE</t>
        </is>
      </c>
      <c r="AB1218" s="188" t="inlineStr">
        <is>
          <t>NONE</t>
        </is>
      </c>
      <c r="AC1218" s="188" t="n">
        <v>0</v>
      </c>
      <c r="AD1218" s="188" t="inlineStr"/>
    </row>
    <row r="1219">
      <c r="A1219" s="188" t="inlineStr">
        <is>
          <t>THREATMINER</t>
        </is>
      </c>
      <c r="B1219" s="188" t="inlineStr">
        <is>
          <t>d41d8cd98f00</t>
        </is>
      </c>
      <c r="C1219" s="188" t="inlineStr">
        <is>
          <t xml:space="preserve">Malicious domain:  | IP: 2.57.121.25 | Last seen: </t>
        </is>
      </c>
      <c r="D1219" s="188" t="n">
        <v>6.5</v>
      </c>
      <c r="E1219" s="188" t="inlineStr">
        <is>
          <t>MEDIUM</t>
        </is>
      </c>
      <c r="F1219" s="188" t="n">
        <v>2</v>
      </c>
      <c r="G1219" s="188" t="n">
        <v>2</v>
      </c>
      <c r="H1219" s="188" t="inlineStr">
        <is>
          <t>MEDIUM</t>
        </is>
      </c>
      <c r="I1219" s="188" t="n">
        <v>10.5</v>
      </c>
      <c r="J1219" s="188" t="inlineStr">
        <is>
          <t>NO</t>
        </is>
      </c>
      <c r="K1219" s="188" t="inlineStr">
        <is>
          <t>https://www.threatminer.org/domain.php?q=</t>
        </is>
      </c>
      <c r="L1219" s="188" t="inlineStr"/>
      <c r="M1219" s="188" t="inlineStr">
        <is>
          <t>Block domain</t>
        </is>
      </c>
      <c r="N1219" s="188" t="inlineStr">
        <is>
          <t>https://www.threatminer.org/domain.php?q=</t>
        </is>
      </c>
      <c r="O1219" s="188" t="inlineStr">
        <is>
          <t>Block domain  at DNS/firewall</t>
        </is>
      </c>
      <c r="P1219" s="188" t="inlineStr">
        <is>
          <t>DNS/Network</t>
        </is>
      </c>
      <c r="Q1219" s="188" t="inlineStr">
        <is>
          <t>P4</t>
        </is>
      </c>
      <c r="R1219" s="188" t="inlineStr">
        <is>
          <t>🔍 Investigate and apply appropriate controls</t>
        </is>
      </c>
      <c r="S1219" s="188" t="inlineStr">
        <is>
          <t>Domain IOC - check IP separately</t>
        </is>
      </c>
      <c r="T1219" s="188" t="n">
        <v>0</v>
      </c>
      <c r="U1219" s="188" t="n">
        <v>0</v>
      </c>
      <c r="V1219" s="188" t="inlineStr">
        <is>
          <t>T1071.001:Web Protocols | T1568:Dynamic Resolution</t>
        </is>
      </c>
      <c r="W1219" s="188" t="n">
        <v>1</v>
      </c>
      <c r="X1219" s="188" t="inlineStr">
        <is>
          <t>LOW (40%)</t>
        </is>
      </c>
      <c r="Y1219" s="188" t="inlineStr">
        <is>
          <t>NONE</t>
        </is>
      </c>
      <c r="Z1219" s="188" t="inlineStr">
        <is>
          <t>NONE</t>
        </is>
      </c>
      <c r="AA1219" s="188" t="inlineStr">
        <is>
          <t>NONE</t>
        </is>
      </c>
      <c r="AB1219" s="188" t="inlineStr">
        <is>
          <t>NONE</t>
        </is>
      </c>
      <c r="AC1219" s="188" t="n">
        <v>0</v>
      </c>
      <c r="AD1219" s="188" t="inlineStr"/>
    </row>
    <row r="1220">
      <c r="A1220" s="188" t="inlineStr">
        <is>
          <t>THREATMINER</t>
        </is>
      </c>
      <c r="B1220" s="188" t="inlineStr">
        <is>
          <t>d41d8cd98f00</t>
        </is>
      </c>
      <c r="C1220" s="188" t="inlineStr">
        <is>
          <t xml:space="preserve">Malicious domain:  | IP: 91.224.92.54 | Last seen: </t>
        </is>
      </c>
      <c r="D1220" s="188" t="n">
        <v>6.5</v>
      </c>
      <c r="E1220" s="188" t="inlineStr">
        <is>
          <t>MEDIUM</t>
        </is>
      </c>
      <c r="F1220" s="188" t="n">
        <v>2</v>
      </c>
      <c r="G1220" s="188" t="n">
        <v>2</v>
      </c>
      <c r="H1220" s="188" t="inlineStr">
        <is>
          <t>MEDIUM</t>
        </is>
      </c>
      <c r="I1220" s="188" t="n">
        <v>10.5</v>
      </c>
      <c r="J1220" s="188" t="inlineStr">
        <is>
          <t>NO</t>
        </is>
      </c>
      <c r="K1220" s="188" t="inlineStr">
        <is>
          <t>https://www.threatminer.org/domain.php?q=</t>
        </is>
      </c>
      <c r="L1220" s="188" t="inlineStr"/>
      <c r="M1220" s="188" t="inlineStr">
        <is>
          <t>Block domain</t>
        </is>
      </c>
      <c r="N1220" s="188" t="inlineStr">
        <is>
          <t>https://www.threatminer.org/domain.php?q=</t>
        </is>
      </c>
      <c r="O1220" s="188" t="inlineStr">
        <is>
          <t>Block domain  at DNS/firewall</t>
        </is>
      </c>
      <c r="P1220" s="188" t="inlineStr">
        <is>
          <t>DNS/Network</t>
        </is>
      </c>
      <c r="Q1220" s="188" t="inlineStr">
        <is>
          <t>P4</t>
        </is>
      </c>
      <c r="R1220" s="188" t="inlineStr">
        <is>
          <t>🔍 Investigate and apply appropriate controls</t>
        </is>
      </c>
      <c r="S1220" s="188" t="inlineStr">
        <is>
          <t>Domain IOC - check IP separately</t>
        </is>
      </c>
      <c r="T1220" s="188" t="n">
        <v>0</v>
      </c>
      <c r="U1220" s="188" t="n">
        <v>0</v>
      </c>
      <c r="V1220" s="188" t="inlineStr">
        <is>
          <t>T1071.001:Web Protocols | T1568:Dynamic Resolution</t>
        </is>
      </c>
      <c r="W1220" s="188" t="n">
        <v>1</v>
      </c>
      <c r="X1220" s="188" t="inlineStr">
        <is>
          <t>LOW (40%)</t>
        </is>
      </c>
      <c r="Y1220" s="188" t="inlineStr">
        <is>
          <t>NONE</t>
        </is>
      </c>
      <c r="Z1220" s="188" t="inlineStr">
        <is>
          <t>NONE</t>
        </is>
      </c>
      <c r="AA1220" s="188" t="inlineStr">
        <is>
          <t>NONE</t>
        </is>
      </c>
      <c r="AB1220" s="188" t="inlineStr">
        <is>
          <t>NONE</t>
        </is>
      </c>
      <c r="AC1220" s="188" t="n">
        <v>0</v>
      </c>
      <c r="AD1220" s="188" t="inlineStr"/>
    </row>
    <row r="1221">
      <c r="A1221" s="188" t="inlineStr">
        <is>
          <t>THREATMINER</t>
        </is>
      </c>
      <c r="B1221" s="188" t="inlineStr">
        <is>
          <t>d41d8cd98f00</t>
        </is>
      </c>
      <c r="C1221" s="188" t="inlineStr">
        <is>
          <t xml:space="preserve">Malicious domain:  | IP: 154.81.14.244 | Last seen: </t>
        </is>
      </c>
      <c r="D1221" s="188" t="n">
        <v>6.5</v>
      </c>
      <c r="E1221" s="188" t="inlineStr">
        <is>
          <t>MEDIUM</t>
        </is>
      </c>
      <c r="F1221" s="188" t="n">
        <v>2</v>
      </c>
      <c r="G1221" s="188" t="n">
        <v>2</v>
      </c>
      <c r="H1221" s="188" t="inlineStr">
        <is>
          <t>MEDIUM</t>
        </is>
      </c>
      <c r="I1221" s="188" t="n">
        <v>10.5</v>
      </c>
      <c r="J1221" s="188" t="inlineStr">
        <is>
          <t>NO</t>
        </is>
      </c>
      <c r="K1221" s="188" t="inlineStr">
        <is>
          <t>https://www.threatminer.org/domain.php?q=</t>
        </is>
      </c>
      <c r="L1221" s="188" t="inlineStr"/>
      <c r="M1221" s="188" t="inlineStr">
        <is>
          <t>Block domain</t>
        </is>
      </c>
      <c r="N1221" s="188" t="inlineStr">
        <is>
          <t>https://www.threatminer.org/domain.php?q=</t>
        </is>
      </c>
      <c r="O1221" s="188" t="inlineStr">
        <is>
          <t>Block domain  at DNS/firewall</t>
        </is>
      </c>
      <c r="P1221" s="188" t="inlineStr">
        <is>
          <t>DNS/Network</t>
        </is>
      </c>
      <c r="Q1221" s="188" t="inlineStr">
        <is>
          <t>P4</t>
        </is>
      </c>
      <c r="R1221" s="188" t="inlineStr">
        <is>
          <t>🔍 Investigate and apply appropriate controls</t>
        </is>
      </c>
      <c r="S1221" s="188" t="inlineStr">
        <is>
          <t>Domain IOC - check IP separately</t>
        </is>
      </c>
      <c r="T1221" s="188" t="n">
        <v>0</v>
      </c>
      <c r="U1221" s="188" t="n">
        <v>0</v>
      </c>
      <c r="V1221" s="188" t="inlineStr">
        <is>
          <t>T1071.001:Web Protocols | T1568:Dynamic Resolution</t>
        </is>
      </c>
      <c r="W1221" s="188" t="n">
        <v>1</v>
      </c>
      <c r="X1221" s="188" t="inlineStr">
        <is>
          <t>LOW (40%)</t>
        </is>
      </c>
      <c r="Y1221" s="188" t="inlineStr">
        <is>
          <t>NONE</t>
        </is>
      </c>
      <c r="Z1221" s="188" t="inlineStr">
        <is>
          <t>NONE</t>
        </is>
      </c>
      <c r="AA1221" s="188" t="inlineStr">
        <is>
          <t>NONE</t>
        </is>
      </c>
      <c r="AB1221" s="188" t="inlineStr">
        <is>
          <t>NONE</t>
        </is>
      </c>
      <c r="AC1221" s="188" t="n">
        <v>0</v>
      </c>
      <c r="AD1221" s="188" t="inlineStr"/>
    </row>
    <row r="1222">
      <c r="A1222" s="188" t="inlineStr">
        <is>
          <t>THREATMINER</t>
        </is>
      </c>
      <c r="B1222" s="188" t="inlineStr">
        <is>
          <t>d41d8cd98f00</t>
        </is>
      </c>
      <c r="C1222" s="188" t="inlineStr">
        <is>
          <t xml:space="preserve">Malicious domain:  | IP: 213.209.159.159 | Last seen: </t>
        </is>
      </c>
      <c r="D1222" s="188" t="n">
        <v>6.5</v>
      </c>
      <c r="E1222" s="188" t="inlineStr">
        <is>
          <t>MEDIUM</t>
        </is>
      </c>
      <c r="F1222" s="188" t="n">
        <v>2</v>
      </c>
      <c r="G1222" s="188" t="n">
        <v>2</v>
      </c>
      <c r="H1222" s="188" t="inlineStr">
        <is>
          <t>MEDIUM</t>
        </is>
      </c>
      <c r="I1222" s="188" t="n">
        <v>10.5</v>
      </c>
      <c r="J1222" s="188" t="inlineStr">
        <is>
          <t>NO</t>
        </is>
      </c>
      <c r="K1222" s="188" t="inlineStr">
        <is>
          <t>https://www.threatminer.org/domain.php?q=</t>
        </is>
      </c>
      <c r="L1222" s="188" t="inlineStr"/>
      <c r="M1222" s="188" t="inlineStr">
        <is>
          <t>Block domain</t>
        </is>
      </c>
      <c r="N1222" s="188" t="inlineStr">
        <is>
          <t>https://www.threatminer.org/domain.php?q=</t>
        </is>
      </c>
      <c r="O1222" s="188" t="inlineStr">
        <is>
          <t>Block domain  at DNS/firewall</t>
        </is>
      </c>
      <c r="P1222" s="188" t="inlineStr">
        <is>
          <t>DNS/Network</t>
        </is>
      </c>
      <c r="Q1222" s="188" t="inlineStr">
        <is>
          <t>P4</t>
        </is>
      </c>
      <c r="R1222" s="188" t="inlineStr">
        <is>
          <t>🔍 Investigate and apply appropriate controls</t>
        </is>
      </c>
      <c r="S1222" s="188" t="inlineStr">
        <is>
          <t>Domain IOC - check IP separately</t>
        </is>
      </c>
      <c r="T1222" s="188" t="n">
        <v>0</v>
      </c>
      <c r="U1222" s="188" t="n">
        <v>0</v>
      </c>
      <c r="V1222" s="188" t="inlineStr">
        <is>
          <t>T1071.001:Web Protocols | T1568:Dynamic Resolution</t>
        </is>
      </c>
      <c r="W1222" s="188" t="n">
        <v>1</v>
      </c>
      <c r="X1222" s="188" t="inlineStr">
        <is>
          <t>LOW (40%)</t>
        </is>
      </c>
      <c r="Y1222" s="188" t="inlineStr">
        <is>
          <t>NONE</t>
        </is>
      </c>
      <c r="Z1222" s="188" t="inlineStr">
        <is>
          <t>NONE</t>
        </is>
      </c>
      <c r="AA1222" s="188" t="inlineStr">
        <is>
          <t>NONE</t>
        </is>
      </c>
      <c r="AB1222" s="188" t="inlineStr">
        <is>
          <t>NONE</t>
        </is>
      </c>
      <c r="AC1222" s="188" t="n">
        <v>0</v>
      </c>
      <c r="AD1222" s="188" t="inlineStr"/>
    </row>
    <row r="1223">
      <c r="A1223" s="188" t="inlineStr">
        <is>
          <t>THREATMINER</t>
        </is>
      </c>
      <c r="B1223" s="188" t="inlineStr">
        <is>
          <t>d41d8cd98f00</t>
        </is>
      </c>
      <c r="C1223" s="188" t="inlineStr">
        <is>
          <t xml:space="preserve">Malicious domain:  | IP: 2.57.121.112 | Last seen: </t>
        </is>
      </c>
      <c r="D1223" s="188" t="n">
        <v>6.5</v>
      </c>
      <c r="E1223" s="188" t="inlineStr">
        <is>
          <t>MEDIUM</t>
        </is>
      </c>
      <c r="F1223" s="188" t="n">
        <v>2</v>
      </c>
      <c r="G1223" s="188" t="n">
        <v>2</v>
      </c>
      <c r="H1223" s="188" t="inlineStr">
        <is>
          <t>MEDIUM</t>
        </is>
      </c>
      <c r="I1223" s="188" t="n">
        <v>10.5</v>
      </c>
      <c r="J1223" s="188" t="inlineStr">
        <is>
          <t>NO</t>
        </is>
      </c>
      <c r="K1223" s="188" t="inlineStr">
        <is>
          <t>https://www.threatminer.org/domain.php?q=</t>
        </is>
      </c>
      <c r="L1223" s="188" t="inlineStr"/>
      <c r="M1223" s="188" t="inlineStr">
        <is>
          <t>Block domain</t>
        </is>
      </c>
      <c r="N1223" s="188" t="inlineStr">
        <is>
          <t>https://www.threatminer.org/domain.php?q=</t>
        </is>
      </c>
      <c r="O1223" s="188" t="inlineStr">
        <is>
          <t>Block domain  at DNS/firewall</t>
        </is>
      </c>
      <c r="P1223" s="188" t="inlineStr">
        <is>
          <t>DNS/Network</t>
        </is>
      </c>
      <c r="Q1223" s="188" t="inlineStr">
        <is>
          <t>P4</t>
        </is>
      </c>
      <c r="R1223" s="188" t="inlineStr">
        <is>
          <t>🔍 Investigate and apply appropriate controls</t>
        </is>
      </c>
      <c r="S1223" s="188" t="inlineStr">
        <is>
          <t>Domain IOC - check IP separately</t>
        </is>
      </c>
      <c r="T1223" s="188" t="n">
        <v>0</v>
      </c>
      <c r="U1223" s="188" t="n">
        <v>0</v>
      </c>
      <c r="V1223" s="188" t="inlineStr">
        <is>
          <t>T1071.001:Web Protocols | T1568:Dynamic Resolution</t>
        </is>
      </c>
      <c r="W1223" s="188" t="n">
        <v>1</v>
      </c>
      <c r="X1223" s="188" t="inlineStr">
        <is>
          <t>LOW (40%)</t>
        </is>
      </c>
      <c r="Y1223" s="188" t="inlineStr">
        <is>
          <t>NONE</t>
        </is>
      </c>
      <c r="Z1223" s="188" t="inlineStr">
        <is>
          <t>NONE</t>
        </is>
      </c>
      <c r="AA1223" s="188" t="inlineStr">
        <is>
          <t>NONE</t>
        </is>
      </c>
      <c r="AB1223" s="188" t="inlineStr">
        <is>
          <t>NONE</t>
        </is>
      </c>
      <c r="AC1223" s="188" t="n">
        <v>0</v>
      </c>
      <c r="AD1223" s="188" t="inlineStr"/>
    </row>
    <row r="1224">
      <c r="A1224" s="188" t="inlineStr">
        <is>
          <t>THREATMINER</t>
        </is>
      </c>
      <c r="B1224" s="188" t="inlineStr">
        <is>
          <t>d41d8cd98f00</t>
        </is>
      </c>
      <c r="C1224" s="188" t="inlineStr">
        <is>
          <t xml:space="preserve">Malicious domain:  | IP: 2.57.122.238 | Last seen: </t>
        </is>
      </c>
      <c r="D1224" s="188" t="n">
        <v>6.5</v>
      </c>
      <c r="E1224" s="188" t="inlineStr">
        <is>
          <t>MEDIUM</t>
        </is>
      </c>
      <c r="F1224" s="188" t="n">
        <v>2</v>
      </c>
      <c r="G1224" s="188" t="n">
        <v>2</v>
      </c>
      <c r="H1224" s="188" t="inlineStr">
        <is>
          <t>MEDIUM</t>
        </is>
      </c>
      <c r="I1224" s="188" t="n">
        <v>10.5</v>
      </c>
      <c r="J1224" s="188" t="inlineStr">
        <is>
          <t>NO</t>
        </is>
      </c>
      <c r="K1224" s="188" t="inlineStr">
        <is>
          <t>https://www.threatminer.org/domain.php?q=</t>
        </is>
      </c>
      <c r="L1224" s="188" t="inlineStr"/>
      <c r="M1224" s="188" t="inlineStr">
        <is>
          <t>Block domain</t>
        </is>
      </c>
      <c r="N1224" s="188" t="inlineStr">
        <is>
          <t>https://www.threatminer.org/domain.php?q=</t>
        </is>
      </c>
      <c r="O1224" s="188" t="inlineStr">
        <is>
          <t>Block domain  at DNS/firewall</t>
        </is>
      </c>
      <c r="P1224" s="188" t="inlineStr">
        <is>
          <t>DNS/Network</t>
        </is>
      </c>
      <c r="Q1224" s="188" t="inlineStr">
        <is>
          <t>P4</t>
        </is>
      </c>
      <c r="R1224" s="188" t="inlineStr">
        <is>
          <t>🔍 Investigate and apply appropriate controls</t>
        </is>
      </c>
      <c r="S1224" s="188" t="inlineStr">
        <is>
          <t>Domain IOC - check IP separately</t>
        </is>
      </c>
      <c r="T1224" s="188" t="n">
        <v>0</v>
      </c>
      <c r="U1224" s="188" t="n">
        <v>0</v>
      </c>
      <c r="V1224" s="188" t="inlineStr">
        <is>
          <t>T1071.001:Web Protocols | T1568:Dynamic Resolution</t>
        </is>
      </c>
      <c r="W1224" s="188" t="n">
        <v>1</v>
      </c>
      <c r="X1224" s="188" t="inlineStr">
        <is>
          <t>LOW (40%)</t>
        </is>
      </c>
      <c r="Y1224" s="188" t="inlineStr">
        <is>
          <t>NONE</t>
        </is>
      </c>
      <c r="Z1224" s="188" t="inlineStr">
        <is>
          <t>NONE</t>
        </is>
      </c>
      <c r="AA1224" s="188" t="inlineStr">
        <is>
          <t>NONE</t>
        </is>
      </c>
      <c r="AB1224" s="188" t="inlineStr">
        <is>
          <t>NONE</t>
        </is>
      </c>
      <c r="AC1224" s="188" t="n">
        <v>0</v>
      </c>
      <c r="AD1224" s="188" t="inlineStr"/>
    </row>
    <row r="1225">
      <c r="A1225" s="188" t="inlineStr">
        <is>
          <t>THREATMINER</t>
        </is>
      </c>
      <c r="B1225" s="188" t="inlineStr">
        <is>
          <t>d41d8cd98f00</t>
        </is>
      </c>
      <c r="C1225" s="188" t="inlineStr">
        <is>
          <t xml:space="preserve">Malicious domain:  | IP: 24.65.233.27 | Last seen: </t>
        </is>
      </c>
      <c r="D1225" s="188" t="n">
        <v>6.5</v>
      </c>
      <c r="E1225" s="188" t="inlineStr">
        <is>
          <t>MEDIUM</t>
        </is>
      </c>
      <c r="F1225" s="188" t="n">
        <v>2</v>
      </c>
      <c r="G1225" s="188" t="n">
        <v>2</v>
      </c>
      <c r="H1225" s="188" t="inlineStr">
        <is>
          <t>MEDIUM</t>
        </is>
      </c>
      <c r="I1225" s="188" t="n">
        <v>10.5</v>
      </c>
      <c r="J1225" s="188" t="inlineStr">
        <is>
          <t>NO</t>
        </is>
      </c>
      <c r="K1225" s="188" t="inlineStr">
        <is>
          <t>https://www.threatminer.org/domain.php?q=</t>
        </is>
      </c>
      <c r="L1225" s="188" t="inlineStr"/>
      <c r="M1225" s="188" t="inlineStr">
        <is>
          <t>Block domain</t>
        </is>
      </c>
      <c r="N1225" s="188" t="inlineStr">
        <is>
          <t>https://www.threatminer.org/domain.php?q=</t>
        </is>
      </c>
      <c r="O1225" s="188" t="inlineStr">
        <is>
          <t>Block domain  at DNS/firewall</t>
        </is>
      </c>
      <c r="P1225" s="188" t="inlineStr">
        <is>
          <t>DNS/Network</t>
        </is>
      </c>
      <c r="Q1225" s="188" t="inlineStr">
        <is>
          <t>P4</t>
        </is>
      </c>
      <c r="R1225" s="188" t="inlineStr">
        <is>
          <t>🔍 Investigate and apply appropriate controls</t>
        </is>
      </c>
      <c r="S1225" s="188" t="inlineStr">
        <is>
          <t>Domain IOC - check IP separately</t>
        </is>
      </c>
      <c r="T1225" s="188" t="n">
        <v>0</v>
      </c>
      <c r="U1225" s="188" t="n">
        <v>0</v>
      </c>
      <c r="V1225" s="188" t="inlineStr">
        <is>
          <t>T1071.001:Web Protocols | T1568:Dynamic Resolution</t>
        </is>
      </c>
      <c r="W1225" s="188" t="n">
        <v>1</v>
      </c>
      <c r="X1225" s="188" t="inlineStr">
        <is>
          <t>LOW (40%)</t>
        </is>
      </c>
      <c r="Y1225" s="188" t="inlineStr">
        <is>
          <t>NONE</t>
        </is>
      </c>
      <c r="Z1225" s="188" t="inlineStr">
        <is>
          <t>NONE</t>
        </is>
      </c>
      <c r="AA1225" s="188" t="inlineStr">
        <is>
          <t>NONE</t>
        </is>
      </c>
      <c r="AB1225" s="188" t="inlineStr">
        <is>
          <t>NONE</t>
        </is>
      </c>
      <c r="AC1225" s="188" t="n">
        <v>0</v>
      </c>
      <c r="AD1225" s="188" t="inlineStr"/>
    </row>
    <row r="1226">
      <c r="A1226" s="188" t="inlineStr">
        <is>
          <t>THREATMINER</t>
        </is>
      </c>
      <c r="B1226" s="188" t="inlineStr">
        <is>
          <t>d41d8cd98f00</t>
        </is>
      </c>
      <c r="C1226" s="188" t="inlineStr">
        <is>
          <t xml:space="preserve">Malicious domain:  | IP: 45.148.10.141 | Last seen: </t>
        </is>
      </c>
      <c r="D1226" s="188" t="n">
        <v>6.5</v>
      </c>
      <c r="E1226" s="188" t="inlineStr">
        <is>
          <t>MEDIUM</t>
        </is>
      </c>
      <c r="F1226" s="188" t="n">
        <v>2</v>
      </c>
      <c r="G1226" s="188" t="n">
        <v>2</v>
      </c>
      <c r="H1226" s="188" t="inlineStr">
        <is>
          <t>MEDIUM</t>
        </is>
      </c>
      <c r="I1226" s="188" t="n">
        <v>10.5</v>
      </c>
      <c r="J1226" s="188" t="inlineStr">
        <is>
          <t>NO</t>
        </is>
      </c>
      <c r="K1226" s="188" t="inlineStr">
        <is>
          <t>https://www.threatminer.org/domain.php?q=</t>
        </is>
      </c>
      <c r="L1226" s="188" t="inlineStr"/>
      <c r="M1226" s="188" t="inlineStr">
        <is>
          <t>Block domain</t>
        </is>
      </c>
      <c r="N1226" s="188" t="inlineStr">
        <is>
          <t>https://www.threatminer.org/domain.php?q=</t>
        </is>
      </c>
      <c r="O1226" s="188" t="inlineStr">
        <is>
          <t>Block domain  at DNS/firewall</t>
        </is>
      </c>
      <c r="P1226" s="188" t="inlineStr">
        <is>
          <t>DNS/Network</t>
        </is>
      </c>
      <c r="Q1226" s="188" t="inlineStr">
        <is>
          <t>P4</t>
        </is>
      </c>
      <c r="R1226" s="188" t="inlineStr">
        <is>
          <t>🔍 Investigate and apply appropriate controls</t>
        </is>
      </c>
      <c r="S1226" s="188" t="inlineStr">
        <is>
          <t>Domain IOC - check IP separately</t>
        </is>
      </c>
      <c r="T1226" s="188" t="n">
        <v>0</v>
      </c>
      <c r="U1226" s="188" t="n">
        <v>0</v>
      </c>
      <c r="V1226" s="188" t="inlineStr">
        <is>
          <t>T1071.001:Web Protocols | T1568:Dynamic Resolution</t>
        </is>
      </c>
      <c r="W1226" s="188" t="n">
        <v>1</v>
      </c>
      <c r="X1226" s="188" t="inlineStr">
        <is>
          <t>LOW (40%)</t>
        </is>
      </c>
      <c r="Y1226" s="188" t="inlineStr">
        <is>
          <t>NONE</t>
        </is>
      </c>
      <c r="Z1226" s="188" t="inlineStr">
        <is>
          <t>NONE</t>
        </is>
      </c>
      <c r="AA1226" s="188" t="inlineStr">
        <is>
          <t>NONE</t>
        </is>
      </c>
      <c r="AB1226" s="188" t="inlineStr">
        <is>
          <t>NONE</t>
        </is>
      </c>
      <c r="AC1226" s="188" t="n">
        <v>0</v>
      </c>
      <c r="AD1226" s="188" t="inlineStr"/>
    </row>
    <row r="1227">
      <c r="A1227" s="188" t="inlineStr">
        <is>
          <t>THREATMINER</t>
        </is>
      </c>
      <c r="B1227" s="188" t="inlineStr">
        <is>
          <t>d41d8cd98f00</t>
        </is>
      </c>
      <c r="C1227" s="188" t="inlineStr">
        <is>
          <t xml:space="preserve">Malicious domain:  | IP: 45.148.10.151 | Last seen: </t>
        </is>
      </c>
      <c r="D1227" s="188" t="n">
        <v>6.5</v>
      </c>
      <c r="E1227" s="188" t="inlineStr">
        <is>
          <t>MEDIUM</t>
        </is>
      </c>
      <c r="F1227" s="188" t="n">
        <v>2</v>
      </c>
      <c r="G1227" s="188" t="n">
        <v>2</v>
      </c>
      <c r="H1227" s="188" t="inlineStr">
        <is>
          <t>MEDIUM</t>
        </is>
      </c>
      <c r="I1227" s="188" t="n">
        <v>10.5</v>
      </c>
      <c r="J1227" s="188" t="inlineStr">
        <is>
          <t>NO</t>
        </is>
      </c>
      <c r="K1227" s="188" t="inlineStr">
        <is>
          <t>https://www.threatminer.org/domain.php?q=</t>
        </is>
      </c>
      <c r="L1227" s="188" t="inlineStr"/>
      <c r="M1227" s="188" t="inlineStr">
        <is>
          <t>Block domain</t>
        </is>
      </c>
      <c r="N1227" s="188" t="inlineStr">
        <is>
          <t>https://www.threatminer.org/domain.php?q=</t>
        </is>
      </c>
      <c r="O1227" s="188" t="inlineStr">
        <is>
          <t>Block domain  at DNS/firewall</t>
        </is>
      </c>
      <c r="P1227" s="188" t="inlineStr">
        <is>
          <t>DNS/Network</t>
        </is>
      </c>
      <c r="Q1227" s="188" t="inlineStr">
        <is>
          <t>P4</t>
        </is>
      </c>
      <c r="R1227" s="188" t="inlineStr">
        <is>
          <t>🔍 Investigate and apply appropriate controls</t>
        </is>
      </c>
      <c r="S1227" s="188" t="inlineStr">
        <is>
          <t>Domain IOC - check IP separately</t>
        </is>
      </c>
      <c r="T1227" s="188" t="n">
        <v>0</v>
      </c>
      <c r="U1227" s="188" t="n">
        <v>0</v>
      </c>
      <c r="V1227" s="188" t="inlineStr">
        <is>
          <t>T1071.001:Web Protocols | T1568:Dynamic Resolution</t>
        </is>
      </c>
      <c r="W1227" s="188" t="n">
        <v>1</v>
      </c>
      <c r="X1227" s="188" t="inlineStr">
        <is>
          <t>LOW (40%)</t>
        </is>
      </c>
      <c r="Y1227" s="188" t="inlineStr">
        <is>
          <t>NONE</t>
        </is>
      </c>
      <c r="Z1227" s="188" t="inlineStr">
        <is>
          <t>NONE</t>
        </is>
      </c>
      <c r="AA1227" s="188" t="inlineStr">
        <is>
          <t>NONE</t>
        </is>
      </c>
      <c r="AB1227" s="188" t="inlineStr">
        <is>
          <t>NONE</t>
        </is>
      </c>
      <c r="AC1227" s="188" t="n">
        <v>0</v>
      </c>
      <c r="AD1227" s="188" t="inlineStr"/>
    </row>
    <row r="1228">
      <c r="A1228" s="188" t="inlineStr">
        <is>
          <t>THREATMINER</t>
        </is>
      </c>
      <c r="B1228" s="188" t="inlineStr">
        <is>
          <t>d41d8cd98f00</t>
        </is>
      </c>
      <c r="C1228" s="188" t="inlineStr">
        <is>
          <t xml:space="preserve">Malicious domain:  | IP: 45.148.10.152 | Last seen: </t>
        </is>
      </c>
      <c r="D1228" s="188" t="n">
        <v>6.5</v>
      </c>
      <c r="E1228" s="188" t="inlineStr">
        <is>
          <t>MEDIUM</t>
        </is>
      </c>
      <c r="F1228" s="188" t="n">
        <v>2</v>
      </c>
      <c r="G1228" s="188" t="n">
        <v>2</v>
      </c>
      <c r="H1228" s="188" t="inlineStr">
        <is>
          <t>MEDIUM</t>
        </is>
      </c>
      <c r="I1228" s="188" t="n">
        <v>10.5</v>
      </c>
      <c r="J1228" s="188" t="inlineStr">
        <is>
          <t>NO</t>
        </is>
      </c>
      <c r="K1228" s="188" t="inlineStr">
        <is>
          <t>https://www.threatminer.org/domain.php?q=</t>
        </is>
      </c>
      <c r="L1228" s="188" t="inlineStr"/>
      <c r="M1228" s="188" t="inlineStr">
        <is>
          <t>Block domain</t>
        </is>
      </c>
      <c r="N1228" s="188" t="inlineStr">
        <is>
          <t>https://www.threatminer.org/domain.php?q=</t>
        </is>
      </c>
      <c r="O1228" s="188" t="inlineStr">
        <is>
          <t>Block domain  at DNS/firewall</t>
        </is>
      </c>
      <c r="P1228" s="188" t="inlineStr">
        <is>
          <t>DNS/Network</t>
        </is>
      </c>
      <c r="Q1228" s="188" t="inlineStr">
        <is>
          <t>P4</t>
        </is>
      </c>
      <c r="R1228" s="188" t="inlineStr">
        <is>
          <t>🔍 Investigate and apply appropriate controls</t>
        </is>
      </c>
      <c r="S1228" s="188" t="inlineStr">
        <is>
          <t>Domain IOC - check IP separately</t>
        </is>
      </c>
      <c r="T1228" s="188" t="n">
        <v>0</v>
      </c>
      <c r="U1228" s="188" t="n">
        <v>0</v>
      </c>
      <c r="V1228" s="188" t="inlineStr">
        <is>
          <t>T1071.001:Web Protocols | T1568:Dynamic Resolution</t>
        </is>
      </c>
      <c r="W1228" s="188" t="n">
        <v>1</v>
      </c>
      <c r="X1228" s="188" t="inlineStr">
        <is>
          <t>LOW (40%)</t>
        </is>
      </c>
      <c r="Y1228" s="188" t="inlineStr">
        <is>
          <t>NONE</t>
        </is>
      </c>
      <c r="Z1228" s="188" t="inlineStr">
        <is>
          <t>NONE</t>
        </is>
      </c>
      <c r="AA1228" s="188" t="inlineStr">
        <is>
          <t>NONE</t>
        </is>
      </c>
      <c r="AB1228" s="188" t="inlineStr">
        <is>
          <t>NONE</t>
        </is>
      </c>
      <c r="AC1228" s="188" t="n">
        <v>0</v>
      </c>
      <c r="AD1228" s="188" t="inlineStr"/>
    </row>
    <row r="1229">
      <c r="A1229" s="188" t="inlineStr">
        <is>
          <t>THREATMINER</t>
        </is>
      </c>
      <c r="B1229" s="188" t="inlineStr">
        <is>
          <t>d41d8cd98f00</t>
        </is>
      </c>
      <c r="C1229" s="188" t="inlineStr">
        <is>
          <t xml:space="preserve">Malicious domain:  | IP: 45.148.10.157 | Last seen: </t>
        </is>
      </c>
      <c r="D1229" s="188" t="n">
        <v>6.5</v>
      </c>
      <c r="E1229" s="188" t="inlineStr">
        <is>
          <t>MEDIUM</t>
        </is>
      </c>
      <c r="F1229" s="188" t="n">
        <v>2</v>
      </c>
      <c r="G1229" s="188" t="n">
        <v>2</v>
      </c>
      <c r="H1229" s="188" t="inlineStr">
        <is>
          <t>MEDIUM</t>
        </is>
      </c>
      <c r="I1229" s="188" t="n">
        <v>10.5</v>
      </c>
      <c r="J1229" s="188" t="inlineStr">
        <is>
          <t>NO</t>
        </is>
      </c>
      <c r="K1229" s="188" t="inlineStr">
        <is>
          <t>https://www.threatminer.org/domain.php?q=</t>
        </is>
      </c>
      <c r="L1229" s="188" t="inlineStr"/>
      <c r="M1229" s="188" t="inlineStr">
        <is>
          <t>Block domain</t>
        </is>
      </c>
      <c r="N1229" s="188" t="inlineStr">
        <is>
          <t>https://www.threatminer.org/domain.php?q=</t>
        </is>
      </c>
      <c r="O1229" s="188" t="inlineStr">
        <is>
          <t>Block domain  at DNS/firewall</t>
        </is>
      </c>
      <c r="P1229" s="188" t="inlineStr">
        <is>
          <t>DNS/Network</t>
        </is>
      </c>
      <c r="Q1229" s="188" t="inlineStr">
        <is>
          <t>P4</t>
        </is>
      </c>
      <c r="R1229" s="188" t="inlineStr">
        <is>
          <t>🔍 Investigate and apply appropriate controls</t>
        </is>
      </c>
      <c r="S1229" s="188" t="inlineStr">
        <is>
          <t>Domain IOC - check IP separately</t>
        </is>
      </c>
      <c r="T1229" s="188" t="n">
        <v>0</v>
      </c>
      <c r="U1229" s="188" t="n">
        <v>0</v>
      </c>
      <c r="V1229" s="188" t="inlineStr">
        <is>
          <t>T1071.001:Web Protocols | T1568:Dynamic Resolution</t>
        </is>
      </c>
      <c r="W1229" s="188" t="n">
        <v>1</v>
      </c>
      <c r="X1229" s="188" t="inlineStr">
        <is>
          <t>LOW (40%)</t>
        </is>
      </c>
      <c r="Y1229" s="188" t="inlineStr">
        <is>
          <t>NONE</t>
        </is>
      </c>
      <c r="Z1229" s="188" t="inlineStr">
        <is>
          <t>NONE</t>
        </is>
      </c>
      <c r="AA1229" s="188" t="inlineStr">
        <is>
          <t>NONE</t>
        </is>
      </c>
      <c r="AB1229" s="188" t="inlineStr">
        <is>
          <t>NONE</t>
        </is>
      </c>
      <c r="AC1229" s="188" t="n">
        <v>0</v>
      </c>
      <c r="AD1229" s="188" t="inlineStr"/>
    </row>
    <row r="1230">
      <c r="A1230" s="188" t="inlineStr">
        <is>
          <t>THREATMINER</t>
        </is>
      </c>
      <c r="B1230" s="188" t="inlineStr">
        <is>
          <t>d41d8cd98f00</t>
        </is>
      </c>
      <c r="C1230" s="188" t="inlineStr">
        <is>
          <t xml:space="preserve">Malicious domain:  | IP: 80.82.77.139 | Last seen: </t>
        </is>
      </c>
      <c r="D1230" s="188" t="n">
        <v>6.5</v>
      </c>
      <c r="E1230" s="188" t="inlineStr">
        <is>
          <t>MEDIUM</t>
        </is>
      </c>
      <c r="F1230" s="188" t="n">
        <v>2</v>
      </c>
      <c r="G1230" s="188" t="n">
        <v>2</v>
      </c>
      <c r="H1230" s="188" t="inlineStr">
        <is>
          <t>MEDIUM</t>
        </is>
      </c>
      <c r="I1230" s="188" t="n">
        <v>10.5</v>
      </c>
      <c r="J1230" s="188" t="inlineStr">
        <is>
          <t>NO</t>
        </is>
      </c>
      <c r="K1230" s="188" t="inlineStr">
        <is>
          <t>https://www.threatminer.org/domain.php?q=</t>
        </is>
      </c>
      <c r="L1230" s="188" t="inlineStr"/>
      <c r="M1230" s="188" t="inlineStr">
        <is>
          <t>Block domain</t>
        </is>
      </c>
      <c r="N1230" s="188" t="inlineStr">
        <is>
          <t>https://www.threatminer.org/domain.php?q=</t>
        </is>
      </c>
      <c r="O1230" s="188" t="inlineStr">
        <is>
          <t>Block domain  at DNS/firewall</t>
        </is>
      </c>
      <c r="P1230" s="188" t="inlineStr">
        <is>
          <t>DNS/Network</t>
        </is>
      </c>
      <c r="Q1230" s="188" t="inlineStr">
        <is>
          <t>P4</t>
        </is>
      </c>
      <c r="R1230" s="188" t="inlineStr">
        <is>
          <t>🔍 Investigate and apply appropriate controls</t>
        </is>
      </c>
      <c r="S1230" s="188" t="inlineStr">
        <is>
          <t>Domain IOC - check IP separately</t>
        </is>
      </c>
      <c r="T1230" s="188" t="n">
        <v>0</v>
      </c>
      <c r="U1230" s="188" t="n">
        <v>0</v>
      </c>
      <c r="V1230" s="188" t="inlineStr">
        <is>
          <t>T1071.001:Web Protocols | T1568:Dynamic Resolution</t>
        </is>
      </c>
      <c r="W1230" s="188" t="n">
        <v>1</v>
      </c>
      <c r="X1230" s="188" t="inlineStr">
        <is>
          <t>LOW (40%)</t>
        </is>
      </c>
      <c r="Y1230" s="188" t="inlineStr">
        <is>
          <t>NONE</t>
        </is>
      </c>
      <c r="Z1230" s="188" t="inlineStr">
        <is>
          <t>NONE</t>
        </is>
      </c>
      <c r="AA1230" s="188" t="inlineStr">
        <is>
          <t>NONE</t>
        </is>
      </c>
      <c r="AB1230" s="188" t="inlineStr">
        <is>
          <t>NONE</t>
        </is>
      </c>
      <c r="AC1230" s="188" t="n">
        <v>0</v>
      </c>
      <c r="AD1230" s="188" t="inlineStr"/>
    </row>
    <row r="1231">
      <c r="A1231" s="188" t="inlineStr">
        <is>
          <t>THREATMINER</t>
        </is>
      </c>
      <c r="B1231" s="188" t="inlineStr">
        <is>
          <t>d41d8cd98f00</t>
        </is>
      </c>
      <c r="C1231" s="188" t="inlineStr">
        <is>
          <t xml:space="preserve">Malicious domain:  | IP: 80.94.92.171 | Last seen: </t>
        </is>
      </c>
      <c r="D1231" s="188" t="n">
        <v>6.5</v>
      </c>
      <c r="E1231" s="188" t="inlineStr">
        <is>
          <t>MEDIUM</t>
        </is>
      </c>
      <c r="F1231" s="188" t="n">
        <v>2</v>
      </c>
      <c r="G1231" s="188" t="n">
        <v>2</v>
      </c>
      <c r="H1231" s="188" t="inlineStr">
        <is>
          <t>MEDIUM</t>
        </is>
      </c>
      <c r="I1231" s="188" t="n">
        <v>10.5</v>
      </c>
      <c r="J1231" s="188" t="inlineStr">
        <is>
          <t>NO</t>
        </is>
      </c>
      <c r="K1231" s="188" t="inlineStr">
        <is>
          <t>https://www.threatminer.org/domain.php?q=</t>
        </is>
      </c>
      <c r="L1231" s="188" t="inlineStr"/>
      <c r="M1231" s="188" t="inlineStr">
        <is>
          <t>Block domain</t>
        </is>
      </c>
      <c r="N1231" s="188" t="inlineStr">
        <is>
          <t>https://www.threatminer.org/domain.php?q=</t>
        </is>
      </c>
      <c r="O1231" s="188" t="inlineStr">
        <is>
          <t>Block domain  at DNS/firewall</t>
        </is>
      </c>
      <c r="P1231" s="188" t="inlineStr">
        <is>
          <t>DNS/Network</t>
        </is>
      </c>
      <c r="Q1231" s="188" t="inlineStr">
        <is>
          <t>P4</t>
        </is>
      </c>
      <c r="R1231" s="188" t="inlineStr">
        <is>
          <t>🔍 Investigate and apply appropriate controls</t>
        </is>
      </c>
      <c r="S1231" s="188" t="inlineStr">
        <is>
          <t>Domain IOC - check IP separately</t>
        </is>
      </c>
      <c r="T1231" s="188" t="n">
        <v>0</v>
      </c>
      <c r="U1231" s="188" t="n">
        <v>0</v>
      </c>
      <c r="V1231" s="188" t="inlineStr">
        <is>
          <t>T1071.001:Web Protocols | T1568:Dynamic Resolution</t>
        </is>
      </c>
      <c r="W1231" s="188" t="n">
        <v>1</v>
      </c>
      <c r="X1231" s="188" t="inlineStr">
        <is>
          <t>LOW (40%)</t>
        </is>
      </c>
      <c r="Y1231" s="188" t="inlineStr">
        <is>
          <t>NONE</t>
        </is>
      </c>
      <c r="Z1231" s="188" t="inlineStr">
        <is>
          <t>NONE</t>
        </is>
      </c>
      <c r="AA1231" s="188" t="inlineStr">
        <is>
          <t>NONE</t>
        </is>
      </c>
      <c r="AB1231" s="188" t="inlineStr">
        <is>
          <t>NONE</t>
        </is>
      </c>
      <c r="AC1231" s="188" t="n">
        <v>0</v>
      </c>
      <c r="AD1231" s="188" t="inlineStr"/>
    </row>
    <row r="1232">
      <c r="A1232" s="188" t="inlineStr">
        <is>
          <t>THREATMINER</t>
        </is>
      </c>
      <c r="B1232" s="188" t="inlineStr">
        <is>
          <t>d41d8cd98f00</t>
        </is>
      </c>
      <c r="C1232" s="188" t="inlineStr">
        <is>
          <t xml:space="preserve">Malicious domain:  | IP: 85.8.182.98 | Last seen: </t>
        </is>
      </c>
      <c r="D1232" s="188" t="n">
        <v>6.5</v>
      </c>
      <c r="E1232" s="188" t="inlineStr">
        <is>
          <t>MEDIUM</t>
        </is>
      </c>
      <c r="F1232" s="188" t="n">
        <v>2</v>
      </c>
      <c r="G1232" s="188" t="n">
        <v>2</v>
      </c>
      <c r="H1232" s="188" t="inlineStr">
        <is>
          <t>MEDIUM</t>
        </is>
      </c>
      <c r="I1232" s="188" t="n">
        <v>10.5</v>
      </c>
      <c r="J1232" s="188" t="inlineStr">
        <is>
          <t>NO</t>
        </is>
      </c>
      <c r="K1232" s="188" t="inlineStr">
        <is>
          <t>https://www.threatminer.org/domain.php?q=</t>
        </is>
      </c>
      <c r="L1232" s="188" t="inlineStr"/>
      <c r="M1232" s="188" t="inlineStr">
        <is>
          <t>Block domain</t>
        </is>
      </c>
      <c r="N1232" s="188" t="inlineStr">
        <is>
          <t>https://www.threatminer.org/domain.php?q=</t>
        </is>
      </c>
      <c r="O1232" s="188" t="inlineStr">
        <is>
          <t>Block domain  at DNS/firewall</t>
        </is>
      </c>
      <c r="P1232" s="188" t="inlineStr">
        <is>
          <t>DNS/Network</t>
        </is>
      </c>
      <c r="Q1232" s="188" t="inlineStr">
        <is>
          <t>P4</t>
        </is>
      </c>
      <c r="R1232" s="188" t="inlineStr">
        <is>
          <t>🔍 Investigate and apply appropriate controls</t>
        </is>
      </c>
      <c r="S1232" s="188" t="inlineStr">
        <is>
          <t>Domain IOC - check IP separately</t>
        </is>
      </c>
      <c r="T1232" s="188" t="n">
        <v>0</v>
      </c>
      <c r="U1232" s="188" t="n">
        <v>0</v>
      </c>
      <c r="V1232" s="188" t="inlineStr">
        <is>
          <t>T1071.001:Web Protocols | T1568:Dynamic Resolution</t>
        </is>
      </c>
      <c r="W1232" s="188" t="n">
        <v>1</v>
      </c>
      <c r="X1232" s="188" t="inlineStr">
        <is>
          <t>LOW (40%)</t>
        </is>
      </c>
      <c r="Y1232" s="188" t="inlineStr">
        <is>
          <t>NONE</t>
        </is>
      </c>
      <c r="Z1232" s="188" t="inlineStr">
        <is>
          <t>NONE</t>
        </is>
      </c>
      <c r="AA1232" s="188" t="inlineStr">
        <is>
          <t>NONE</t>
        </is>
      </c>
      <c r="AB1232" s="188" t="inlineStr">
        <is>
          <t>NONE</t>
        </is>
      </c>
      <c r="AC1232" s="188" t="n">
        <v>0</v>
      </c>
      <c r="AD1232" s="188" t="inlineStr"/>
    </row>
    <row r="1233">
      <c r="A1233" s="188" t="inlineStr">
        <is>
          <t>THREATMINER</t>
        </is>
      </c>
      <c r="B1233" s="188" t="inlineStr">
        <is>
          <t>d41d8cd98f00</t>
        </is>
      </c>
      <c r="C1233" s="188" t="inlineStr">
        <is>
          <t xml:space="preserve">Malicious domain:  | IP: 86.54.31.42 | Last seen: </t>
        </is>
      </c>
      <c r="D1233" s="188" t="n">
        <v>6.5</v>
      </c>
      <c r="E1233" s="188" t="inlineStr">
        <is>
          <t>MEDIUM</t>
        </is>
      </c>
      <c r="F1233" s="188" t="n">
        <v>2</v>
      </c>
      <c r="G1233" s="188" t="n">
        <v>2</v>
      </c>
      <c r="H1233" s="188" t="inlineStr">
        <is>
          <t>MEDIUM</t>
        </is>
      </c>
      <c r="I1233" s="188" t="n">
        <v>10.5</v>
      </c>
      <c r="J1233" s="188" t="inlineStr">
        <is>
          <t>NO</t>
        </is>
      </c>
      <c r="K1233" s="188" t="inlineStr">
        <is>
          <t>https://www.threatminer.org/domain.php?q=</t>
        </is>
      </c>
      <c r="L1233" s="188" t="inlineStr"/>
      <c r="M1233" s="188" t="inlineStr">
        <is>
          <t>Block domain</t>
        </is>
      </c>
      <c r="N1233" s="188" t="inlineStr">
        <is>
          <t>https://www.threatminer.org/domain.php?q=</t>
        </is>
      </c>
      <c r="O1233" s="188" t="inlineStr">
        <is>
          <t>Block domain  at DNS/firewall</t>
        </is>
      </c>
      <c r="P1233" s="188" t="inlineStr">
        <is>
          <t>DNS/Network</t>
        </is>
      </c>
      <c r="Q1233" s="188" t="inlineStr">
        <is>
          <t>P4</t>
        </is>
      </c>
      <c r="R1233" s="188" t="inlineStr">
        <is>
          <t>🔍 Investigate and apply appropriate controls</t>
        </is>
      </c>
      <c r="S1233" s="188" t="inlineStr">
        <is>
          <t>Domain IOC - check IP separately</t>
        </is>
      </c>
      <c r="T1233" s="188" t="n">
        <v>0</v>
      </c>
      <c r="U1233" s="188" t="n">
        <v>0</v>
      </c>
      <c r="V1233" s="188" t="inlineStr">
        <is>
          <t>T1071.001:Web Protocols | T1568:Dynamic Resolution</t>
        </is>
      </c>
      <c r="W1233" s="188" t="n">
        <v>1</v>
      </c>
      <c r="X1233" s="188" t="inlineStr">
        <is>
          <t>LOW (40%)</t>
        </is>
      </c>
      <c r="Y1233" s="188" t="inlineStr">
        <is>
          <t>NONE</t>
        </is>
      </c>
      <c r="Z1233" s="188" t="inlineStr">
        <is>
          <t>NONE</t>
        </is>
      </c>
      <c r="AA1233" s="188" t="inlineStr">
        <is>
          <t>NONE</t>
        </is>
      </c>
      <c r="AB1233" s="188" t="inlineStr">
        <is>
          <t>NONE</t>
        </is>
      </c>
      <c r="AC1233" s="188" t="n">
        <v>0</v>
      </c>
      <c r="AD1233" s="188" t="inlineStr"/>
    </row>
    <row r="1234">
      <c r="A1234" s="188" t="inlineStr">
        <is>
          <t>THREATMINER</t>
        </is>
      </c>
      <c r="B1234" s="188" t="inlineStr">
        <is>
          <t>d41d8cd98f00</t>
        </is>
      </c>
      <c r="C1234" s="188" t="inlineStr">
        <is>
          <t xml:space="preserve">Malicious domain:  | IP: 91.224.92.190 | Last seen: </t>
        </is>
      </c>
      <c r="D1234" s="188" t="n">
        <v>6.5</v>
      </c>
      <c r="E1234" s="188" t="inlineStr">
        <is>
          <t>MEDIUM</t>
        </is>
      </c>
      <c r="F1234" s="188" t="n">
        <v>2</v>
      </c>
      <c r="G1234" s="188" t="n">
        <v>2</v>
      </c>
      <c r="H1234" s="188" t="inlineStr">
        <is>
          <t>MEDIUM</t>
        </is>
      </c>
      <c r="I1234" s="188" t="n">
        <v>10.5</v>
      </c>
      <c r="J1234" s="188" t="inlineStr">
        <is>
          <t>NO</t>
        </is>
      </c>
      <c r="K1234" s="188" t="inlineStr">
        <is>
          <t>https://www.threatminer.org/domain.php?q=</t>
        </is>
      </c>
      <c r="L1234" s="188" t="inlineStr"/>
      <c r="M1234" s="188" t="inlineStr">
        <is>
          <t>Block domain</t>
        </is>
      </c>
      <c r="N1234" s="188" t="inlineStr">
        <is>
          <t>https://www.threatminer.org/domain.php?q=</t>
        </is>
      </c>
      <c r="O1234" s="188" t="inlineStr">
        <is>
          <t>Block domain  at DNS/firewall</t>
        </is>
      </c>
      <c r="P1234" s="188" t="inlineStr">
        <is>
          <t>DNS/Network</t>
        </is>
      </c>
      <c r="Q1234" s="188" t="inlineStr">
        <is>
          <t>P4</t>
        </is>
      </c>
      <c r="R1234" s="188" t="inlineStr">
        <is>
          <t>🔍 Investigate and apply appropriate controls</t>
        </is>
      </c>
      <c r="S1234" s="188" t="inlineStr">
        <is>
          <t>Domain IOC - check IP separately</t>
        </is>
      </c>
      <c r="T1234" s="188" t="n">
        <v>0</v>
      </c>
      <c r="U1234" s="188" t="n">
        <v>0</v>
      </c>
      <c r="V1234" s="188" t="inlineStr">
        <is>
          <t>T1071.001:Web Protocols | T1568:Dynamic Resolution</t>
        </is>
      </c>
      <c r="W1234" s="188" t="n">
        <v>1</v>
      </c>
      <c r="X1234" s="188" t="inlineStr">
        <is>
          <t>LOW (40%)</t>
        </is>
      </c>
      <c r="Y1234" s="188" t="inlineStr">
        <is>
          <t>NONE</t>
        </is>
      </c>
      <c r="Z1234" s="188" t="inlineStr">
        <is>
          <t>NONE</t>
        </is>
      </c>
      <c r="AA1234" s="188" t="inlineStr">
        <is>
          <t>NONE</t>
        </is>
      </c>
      <c r="AB1234" s="188" t="inlineStr">
        <is>
          <t>NONE</t>
        </is>
      </c>
      <c r="AC1234" s="188" t="n">
        <v>0</v>
      </c>
      <c r="AD1234" s="188" t="inlineStr"/>
    </row>
    <row r="1235">
      <c r="A1235" s="188" t="inlineStr">
        <is>
          <t>THREATMINER</t>
        </is>
      </c>
      <c r="B1235" s="188" t="inlineStr">
        <is>
          <t>d41d8cd98f00</t>
        </is>
      </c>
      <c r="C1235" s="188" t="inlineStr">
        <is>
          <t xml:space="preserve">Malicious domain:  | IP: 92.118.39.76 | Last seen: </t>
        </is>
      </c>
      <c r="D1235" s="188" t="n">
        <v>6.5</v>
      </c>
      <c r="E1235" s="188" t="inlineStr">
        <is>
          <t>MEDIUM</t>
        </is>
      </c>
      <c r="F1235" s="188" t="n">
        <v>2</v>
      </c>
      <c r="G1235" s="188" t="n">
        <v>2</v>
      </c>
      <c r="H1235" s="188" t="inlineStr">
        <is>
          <t>MEDIUM</t>
        </is>
      </c>
      <c r="I1235" s="188" t="n">
        <v>10.5</v>
      </c>
      <c r="J1235" s="188" t="inlineStr">
        <is>
          <t>NO</t>
        </is>
      </c>
      <c r="K1235" s="188" t="inlineStr">
        <is>
          <t>https://www.threatminer.org/domain.php?q=</t>
        </is>
      </c>
      <c r="L1235" s="188" t="inlineStr"/>
      <c r="M1235" s="188" t="inlineStr">
        <is>
          <t>Block domain</t>
        </is>
      </c>
      <c r="N1235" s="188" t="inlineStr">
        <is>
          <t>https://www.threatminer.org/domain.php?q=</t>
        </is>
      </c>
      <c r="O1235" s="188" t="inlineStr">
        <is>
          <t>Block domain  at DNS/firewall</t>
        </is>
      </c>
      <c r="P1235" s="188" t="inlineStr">
        <is>
          <t>DNS/Network</t>
        </is>
      </c>
      <c r="Q1235" s="188" t="inlineStr">
        <is>
          <t>P4</t>
        </is>
      </c>
      <c r="R1235" s="188" t="inlineStr">
        <is>
          <t>🔍 Investigate and apply appropriate controls</t>
        </is>
      </c>
      <c r="S1235" s="188" t="inlineStr">
        <is>
          <t>Domain IOC - check IP separately</t>
        </is>
      </c>
      <c r="T1235" s="188" t="n">
        <v>0</v>
      </c>
      <c r="U1235" s="188" t="n">
        <v>0</v>
      </c>
      <c r="V1235" s="188" t="inlineStr">
        <is>
          <t>T1071.001:Web Protocols | T1568:Dynamic Resolution</t>
        </is>
      </c>
      <c r="W1235" s="188" t="n">
        <v>1</v>
      </c>
      <c r="X1235" s="188" t="inlineStr">
        <is>
          <t>LOW (40%)</t>
        </is>
      </c>
      <c r="Y1235" s="188" t="inlineStr">
        <is>
          <t>NONE</t>
        </is>
      </c>
      <c r="Z1235" s="188" t="inlineStr">
        <is>
          <t>NONE</t>
        </is>
      </c>
      <c r="AA1235" s="188" t="inlineStr">
        <is>
          <t>NONE</t>
        </is>
      </c>
      <c r="AB1235" s="188" t="inlineStr">
        <is>
          <t>NONE</t>
        </is>
      </c>
      <c r="AC1235" s="188" t="n">
        <v>0</v>
      </c>
      <c r="AD1235" s="188" t="inlineStr"/>
    </row>
    <row r="1236">
      <c r="A1236" s="188" t="inlineStr">
        <is>
          <t>THREATMINER</t>
        </is>
      </c>
      <c r="B1236" s="188" t="inlineStr">
        <is>
          <t>d41d8cd98f00</t>
        </is>
      </c>
      <c r="C1236" s="188" t="inlineStr">
        <is>
          <t xml:space="preserve">Malicious domain:  | IP: 101.36.104.242 | Last seen: </t>
        </is>
      </c>
      <c r="D1236" s="188" t="n">
        <v>6.5</v>
      </c>
      <c r="E1236" s="188" t="inlineStr">
        <is>
          <t>MEDIUM</t>
        </is>
      </c>
      <c r="F1236" s="188" t="n">
        <v>2</v>
      </c>
      <c r="G1236" s="188" t="n">
        <v>2</v>
      </c>
      <c r="H1236" s="188" t="inlineStr">
        <is>
          <t>MEDIUM</t>
        </is>
      </c>
      <c r="I1236" s="188" t="n">
        <v>10.5</v>
      </c>
      <c r="J1236" s="188" t="inlineStr">
        <is>
          <t>NO</t>
        </is>
      </c>
      <c r="K1236" s="188" t="inlineStr">
        <is>
          <t>https://www.threatminer.org/domain.php?q=</t>
        </is>
      </c>
      <c r="L1236" s="188" t="inlineStr"/>
      <c r="M1236" s="188" t="inlineStr">
        <is>
          <t>Block domain</t>
        </is>
      </c>
      <c r="N1236" s="188" t="inlineStr">
        <is>
          <t>https://www.threatminer.org/domain.php?q=</t>
        </is>
      </c>
      <c r="O1236" s="188" t="inlineStr">
        <is>
          <t>Block domain  at DNS/firewall</t>
        </is>
      </c>
      <c r="P1236" s="188" t="inlineStr">
        <is>
          <t>DNS/Network</t>
        </is>
      </c>
      <c r="Q1236" s="188" t="inlineStr">
        <is>
          <t>P4</t>
        </is>
      </c>
      <c r="R1236" s="188" t="inlineStr">
        <is>
          <t>🔍 Investigate and apply appropriate controls</t>
        </is>
      </c>
      <c r="S1236" s="188" t="inlineStr">
        <is>
          <t>Domain IOC - check IP separately</t>
        </is>
      </c>
      <c r="T1236" s="188" t="n">
        <v>0</v>
      </c>
      <c r="U1236" s="188" t="n">
        <v>0</v>
      </c>
      <c r="V1236" s="188" t="inlineStr">
        <is>
          <t>T1071.001:Web Protocols | T1568:Dynamic Resolution</t>
        </is>
      </c>
      <c r="W1236" s="188" t="n">
        <v>1</v>
      </c>
      <c r="X1236" s="188" t="inlineStr">
        <is>
          <t>LOW (40%)</t>
        </is>
      </c>
      <c r="Y1236" s="188" t="inlineStr">
        <is>
          <t>NONE</t>
        </is>
      </c>
      <c r="Z1236" s="188" t="inlineStr">
        <is>
          <t>NONE</t>
        </is>
      </c>
      <c r="AA1236" s="188" t="inlineStr">
        <is>
          <t>NONE</t>
        </is>
      </c>
      <c r="AB1236" s="188" t="inlineStr">
        <is>
          <t>NONE</t>
        </is>
      </c>
      <c r="AC1236" s="188" t="n">
        <v>0</v>
      </c>
      <c r="AD1236" s="188" t="inlineStr"/>
    </row>
    <row r="1237">
      <c r="A1237" s="188" t="inlineStr">
        <is>
          <t>THREATMINER</t>
        </is>
      </c>
      <c r="B1237" s="188" t="inlineStr">
        <is>
          <t>d41d8cd98f00</t>
        </is>
      </c>
      <c r="C1237" s="188" t="inlineStr">
        <is>
          <t xml:space="preserve">Malicious domain:  | IP: 101.36.118.177 | Last seen: </t>
        </is>
      </c>
      <c r="D1237" s="188" t="n">
        <v>6.5</v>
      </c>
      <c r="E1237" s="188" t="inlineStr">
        <is>
          <t>MEDIUM</t>
        </is>
      </c>
      <c r="F1237" s="188" t="n">
        <v>2</v>
      </c>
      <c r="G1237" s="188" t="n">
        <v>2</v>
      </c>
      <c r="H1237" s="188" t="inlineStr">
        <is>
          <t>MEDIUM</t>
        </is>
      </c>
      <c r="I1237" s="188" t="n">
        <v>10.5</v>
      </c>
      <c r="J1237" s="188" t="inlineStr">
        <is>
          <t>NO</t>
        </is>
      </c>
      <c r="K1237" s="188" t="inlineStr">
        <is>
          <t>https://www.threatminer.org/domain.php?q=</t>
        </is>
      </c>
      <c r="L1237" s="188" t="inlineStr"/>
      <c r="M1237" s="188" t="inlineStr">
        <is>
          <t>Block domain</t>
        </is>
      </c>
      <c r="N1237" s="188" t="inlineStr">
        <is>
          <t>https://www.threatminer.org/domain.php?q=</t>
        </is>
      </c>
      <c r="O1237" s="188" t="inlineStr">
        <is>
          <t>Block domain  at DNS/firewall</t>
        </is>
      </c>
      <c r="P1237" s="188" t="inlineStr">
        <is>
          <t>DNS/Network</t>
        </is>
      </c>
      <c r="Q1237" s="188" t="inlineStr">
        <is>
          <t>P4</t>
        </is>
      </c>
      <c r="R1237" s="188" t="inlineStr">
        <is>
          <t>🔍 Investigate and apply appropriate controls</t>
        </is>
      </c>
      <c r="S1237" s="188" t="inlineStr">
        <is>
          <t>Domain IOC - check IP separately</t>
        </is>
      </c>
      <c r="T1237" s="188" t="n">
        <v>0</v>
      </c>
      <c r="U1237" s="188" t="n">
        <v>0</v>
      </c>
      <c r="V1237" s="188" t="inlineStr">
        <is>
          <t>T1071.001:Web Protocols | T1568:Dynamic Resolution</t>
        </is>
      </c>
      <c r="W1237" s="188" t="n">
        <v>1</v>
      </c>
      <c r="X1237" s="188" t="inlineStr">
        <is>
          <t>LOW (40%)</t>
        </is>
      </c>
      <c r="Y1237" s="188" t="inlineStr">
        <is>
          <t>NONE</t>
        </is>
      </c>
      <c r="Z1237" s="188" t="inlineStr">
        <is>
          <t>NONE</t>
        </is>
      </c>
      <c r="AA1237" s="188" t="inlineStr">
        <is>
          <t>NONE</t>
        </is>
      </c>
      <c r="AB1237" s="188" t="inlineStr">
        <is>
          <t>NONE</t>
        </is>
      </c>
      <c r="AC1237" s="188" t="n">
        <v>0</v>
      </c>
      <c r="AD1237" s="188" t="inlineStr"/>
    </row>
    <row r="1238">
      <c r="A1238" s="188" t="inlineStr">
        <is>
          <t>THREATMINER</t>
        </is>
      </c>
      <c r="B1238" s="188" t="inlineStr">
        <is>
          <t>d41d8cd98f00</t>
        </is>
      </c>
      <c r="C1238" s="188" t="inlineStr">
        <is>
          <t xml:space="preserve">Malicious domain:  | IP: 101.36.123.102 | Last seen: </t>
        </is>
      </c>
      <c r="D1238" s="188" t="n">
        <v>6.5</v>
      </c>
      <c r="E1238" s="188" t="inlineStr">
        <is>
          <t>MEDIUM</t>
        </is>
      </c>
      <c r="F1238" s="188" t="n">
        <v>2</v>
      </c>
      <c r="G1238" s="188" t="n">
        <v>2</v>
      </c>
      <c r="H1238" s="188" t="inlineStr">
        <is>
          <t>MEDIUM</t>
        </is>
      </c>
      <c r="I1238" s="188" t="n">
        <v>10.5</v>
      </c>
      <c r="J1238" s="188" t="inlineStr">
        <is>
          <t>NO</t>
        </is>
      </c>
      <c r="K1238" s="188" t="inlineStr">
        <is>
          <t>https://www.threatminer.org/domain.php?q=</t>
        </is>
      </c>
      <c r="L1238" s="188" t="inlineStr"/>
      <c r="M1238" s="188" t="inlineStr">
        <is>
          <t>Block domain</t>
        </is>
      </c>
      <c r="N1238" s="188" t="inlineStr">
        <is>
          <t>https://www.threatminer.org/domain.php?q=</t>
        </is>
      </c>
      <c r="O1238" s="188" t="inlineStr">
        <is>
          <t>Block domain  at DNS/firewall</t>
        </is>
      </c>
      <c r="P1238" s="188" t="inlineStr">
        <is>
          <t>DNS/Network</t>
        </is>
      </c>
      <c r="Q1238" s="188" t="inlineStr">
        <is>
          <t>P4</t>
        </is>
      </c>
      <c r="R1238" s="188" t="inlineStr">
        <is>
          <t>🔍 Investigate and apply appropriate controls</t>
        </is>
      </c>
      <c r="S1238" s="188" t="inlineStr">
        <is>
          <t>Domain IOC - check IP separately</t>
        </is>
      </c>
      <c r="T1238" s="188" t="n">
        <v>0</v>
      </c>
      <c r="U1238" s="188" t="n">
        <v>0</v>
      </c>
      <c r="V1238" s="188" t="inlineStr">
        <is>
          <t>T1071.001:Web Protocols | T1568:Dynamic Resolution</t>
        </is>
      </c>
      <c r="W1238" s="188" t="n">
        <v>1</v>
      </c>
      <c r="X1238" s="188" t="inlineStr">
        <is>
          <t>LOW (40%)</t>
        </is>
      </c>
      <c r="Y1238" s="188" t="inlineStr">
        <is>
          <t>NONE</t>
        </is>
      </c>
      <c r="Z1238" s="188" t="inlineStr">
        <is>
          <t>NONE</t>
        </is>
      </c>
      <c r="AA1238" s="188" t="inlineStr">
        <is>
          <t>NONE</t>
        </is>
      </c>
      <c r="AB1238" s="188" t="inlineStr">
        <is>
          <t>NONE</t>
        </is>
      </c>
      <c r="AC1238" s="188" t="n">
        <v>0</v>
      </c>
      <c r="AD1238" s="188" t="inlineStr"/>
    </row>
    <row r="1239">
      <c r="A1239" s="188" t="inlineStr">
        <is>
          <t>THREATMINER</t>
        </is>
      </c>
      <c r="B1239" s="188" t="inlineStr">
        <is>
          <t>d41d8cd98f00</t>
        </is>
      </c>
      <c r="C1239" s="188" t="inlineStr">
        <is>
          <t xml:space="preserve">Malicious domain:  | IP: 103.40.61.98 | Last seen: </t>
        </is>
      </c>
      <c r="D1239" s="188" t="n">
        <v>6.5</v>
      </c>
      <c r="E1239" s="188" t="inlineStr">
        <is>
          <t>MEDIUM</t>
        </is>
      </c>
      <c r="F1239" s="188" t="n">
        <v>2</v>
      </c>
      <c r="G1239" s="188" t="n">
        <v>2</v>
      </c>
      <c r="H1239" s="188" t="inlineStr">
        <is>
          <t>MEDIUM</t>
        </is>
      </c>
      <c r="I1239" s="188" t="n">
        <v>10.5</v>
      </c>
      <c r="J1239" s="188" t="inlineStr">
        <is>
          <t>NO</t>
        </is>
      </c>
      <c r="K1239" s="188" t="inlineStr">
        <is>
          <t>https://www.threatminer.org/domain.php?q=</t>
        </is>
      </c>
      <c r="L1239" s="188" t="inlineStr"/>
      <c r="M1239" s="188" t="inlineStr">
        <is>
          <t>Block domain</t>
        </is>
      </c>
      <c r="N1239" s="188" t="inlineStr">
        <is>
          <t>https://www.threatminer.org/domain.php?q=</t>
        </is>
      </c>
      <c r="O1239" s="188" t="inlineStr">
        <is>
          <t>Block domain  at DNS/firewall</t>
        </is>
      </c>
      <c r="P1239" s="188" t="inlineStr">
        <is>
          <t>DNS/Network</t>
        </is>
      </c>
      <c r="Q1239" s="188" t="inlineStr">
        <is>
          <t>P4</t>
        </is>
      </c>
      <c r="R1239" s="188" t="inlineStr">
        <is>
          <t>🔍 Investigate and apply appropriate controls</t>
        </is>
      </c>
      <c r="S1239" s="188" t="inlineStr">
        <is>
          <t>Domain IOC - check IP separately</t>
        </is>
      </c>
      <c r="T1239" s="188" t="n">
        <v>0</v>
      </c>
      <c r="U1239" s="188" t="n">
        <v>0</v>
      </c>
      <c r="V1239" s="188" t="inlineStr">
        <is>
          <t>T1071.001:Web Protocols | T1568:Dynamic Resolution</t>
        </is>
      </c>
      <c r="W1239" s="188" t="n">
        <v>1</v>
      </c>
      <c r="X1239" s="188" t="inlineStr">
        <is>
          <t>LOW (40%)</t>
        </is>
      </c>
      <c r="Y1239" s="188" t="inlineStr">
        <is>
          <t>NONE</t>
        </is>
      </c>
      <c r="Z1239" s="188" t="inlineStr">
        <is>
          <t>NONE</t>
        </is>
      </c>
      <c r="AA1239" s="188" t="inlineStr">
        <is>
          <t>NONE</t>
        </is>
      </c>
      <c r="AB1239" s="188" t="inlineStr">
        <is>
          <t>NONE</t>
        </is>
      </c>
      <c r="AC1239" s="188" t="n">
        <v>0</v>
      </c>
      <c r="AD1239" s="188" t="inlineStr"/>
    </row>
    <row r="1240">
      <c r="A1240" s="188" t="inlineStr">
        <is>
          <t>THREATMINER</t>
        </is>
      </c>
      <c r="B1240" s="188" t="inlineStr">
        <is>
          <t>d41d8cd98f00</t>
        </is>
      </c>
      <c r="C1240" s="188" t="inlineStr">
        <is>
          <t xml:space="preserve">Malicious domain:  | IP: 185.91.69.217 | Last seen: </t>
        </is>
      </c>
      <c r="D1240" s="188" t="n">
        <v>6.5</v>
      </c>
      <c r="E1240" s="188" t="inlineStr">
        <is>
          <t>MEDIUM</t>
        </is>
      </c>
      <c r="F1240" s="188" t="n">
        <v>2</v>
      </c>
      <c r="G1240" s="188" t="n">
        <v>2</v>
      </c>
      <c r="H1240" s="188" t="inlineStr">
        <is>
          <t>MEDIUM</t>
        </is>
      </c>
      <c r="I1240" s="188" t="n">
        <v>10.5</v>
      </c>
      <c r="J1240" s="188" t="inlineStr">
        <is>
          <t>NO</t>
        </is>
      </c>
      <c r="K1240" s="188" t="inlineStr">
        <is>
          <t>https://www.threatminer.org/domain.php?q=</t>
        </is>
      </c>
      <c r="L1240" s="188" t="inlineStr"/>
      <c r="M1240" s="188" t="inlineStr">
        <is>
          <t>Block domain</t>
        </is>
      </c>
      <c r="N1240" s="188" t="inlineStr">
        <is>
          <t>https://www.threatminer.org/domain.php?q=</t>
        </is>
      </c>
      <c r="O1240" s="188" t="inlineStr">
        <is>
          <t>Block domain  at DNS/firewall</t>
        </is>
      </c>
      <c r="P1240" s="188" t="inlineStr">
        <is>
          <t>DNS/Network</t>
        </is>
      </c>
      <c r="Q1240" s="188" t="inlineStr">
        <is>
          <t>P4</t>
        </is>
      </c>
      <c r="R1240" s="188" t="inlineStr">
        <is>
          <t>🔍 Investigate and apply appropriate controls</t>
        </is>
      </c>
      <c r="S1240" s="188" t="inlineStr">
        <is>
          <t>Domain IOC - check IP separately</t>
        </is>
      </c>
      <c r="T1240" s="188" t="n">
        <v>0</v>
      </c>
      <c r="U1240" s="188" t="n">
        <v>0</v>
      </c>
      <c r="V1240" s="188" t="inlineStr">
        <is>
          <t>T1071.001:Web Protocols | T1568:Dynamic Resolution</t>
        </is>
      </c>
      <c r="W1240" s="188" t="n">
        <v>1</v>
      </c>
      <c r="X1240" s="188" t="inlineStr">
        <is>
          <t>LOW (40%)</t>
        </is>
      </c>
      <c r="Y1240" s="188" t="inlineStr">
        <is>
          <t>NONE</t>
        </is>
      </c>
      <c r="Z1240" s="188" t="inlineStr">
        <is>
          <t>NONE</t>
        </is>
      </c>
      <c r="AA1240" s="188" t="inlineStr">
        <is>
          <t>NONE</t>
        </is>
      </c>
      <c r="AB1240" s="188" t="inlineStr">
        <is>
          <t>NONE</t>
        </is>
      </c>
      <c r="AC1240" s="188" t="n">
        <v>0</v>
      </c>
      <c r="AD1240" s="188" t="inlineStr"/>
    </row>
    <row r="1241">
      <c r="A1241" s="188" t="inlineStr">
        <is>
          <t>THREATMINER</t>
        </is>
      </c>
      <c r="B1241" s="188" t="inlineStr">
        <is>
          <t>d41d8cd98f00</t>
        </is>
      </c>
      <c r="C1241" s="188" t="inlineStr">
        <is>
          <t xml:space="preserve">Malicious domain:  | IP: 195.178.110.15 | Last seen: </t>
        </is>
      </c>
      <c r="D1241" s="188" t="n">
        <v>6.5</v>
      </c>
      <c r="E1241" s="188" t="inlineStr">
        <is>
          <t>MEDIUM</t>
        </is>
      </c>
      <c r="F1241" s="188" t="n">
        <v>2</v>
      </c>
      <c r="G1241" s="188" t="n">
        <v>2</v>
      </c>
      <c r="H1241" s="188" t="inlineStr">
        <is>
          <t>MEDIUM</t>
        </is>
      </c>
      <c r="I1241" s="188" t="n">
        <v>10.5</v>
      </c>
      <c r="J1241" s="188" t="inlineStr">
        <is>
          <t>NO</t>
        </is>
      </c>
      <c r="K1241" s="188" t="inlineStr">
        <is>
          <t>https://www.threatminer.org/domain.php?q=</t>
        </is>
      </c>
      <c r="L1241" s="188" t="inlineStr"/>
      <c r="M1241" s="188" t="inlineStr">
        <is>
          <t>Block domain</t>
        </is>
      </c>
      <c r="N1241" s="188" t="inlineStr">
        <is>
          <t>https://www.threatminer.org/domain.php?q=</t>
        </is>
      </c>
      <c r="O1241" s="188" t="inlineStr">
        <is>
          <t>Block domain  at DNS/firewall</t>
        </is>
      </c>
      <c r="P1241" s="188" t="inlineStr">
        <is>
          <t>DNS/Network</t>
        </is>
      </c>
      <c r="Q1241" s="188" t="inlineStr">
        <is>
          <t>P4</t>
        </is>
      </c>
      <c r="R1241" s="188" t="inlineStr">
        <is>
          <t>🔍 Investigate and apply appropriate controls</t>
        </is>
      </c>
      <c r="S1241" s="188" t="inlineStr">
        <is>
          <t>Domain IOC - check IP separately</t>
        </is>
      </c>
      <c r="T1241" s="188" t="n">
        <v>0</v>
      </c>
      <c r="U1241" s="188" t="n">
        <v>0</v>
      </c>
      <c r="V1241" s="188" t="inlineStr">
        <is>
          <t>T1071.001:Web Protocols | T1568:Dynamic Resolution</t>
        </is>
      </c>
      <c r="W1241" s="188" t="n">
        <v>1</v>
      </c>
      <c r="X1241" s="188" t="inlineStr">
        <is>
          <t>LOW (40%)</t>
        </is>
      </c>
      <c r="Y1241" s="188" t="inlineStr">
        <is>
          <t>NONE</t>
        </is>
      </c>
      <c r="Z1241" s="188" t="inlineStr">
        <is>
          <t>NONE</t>
        </is>
      </c>
      <c r="AA1241" s="188" t="inlineStr">
        <is>
          <t>NONE</t>
        </is>
      </c>
      <c r="AB1241" s="188" t="inlineStr">
        <is>
          <t>NONE</t>
        </is>
      </c>
      <c r="AC1241" s="188" t="n">
        <v>0</v>
      </c>
      <c r="AD1241" s="188" t="inlineStr"/>
    </row>
    <row r="1242">
      <c r="A1242" s="188" t="inlineStr">
        <is>
          <t>THREATMINER</t>
        </is>
      </c>
      <c r="B1242" s="188" t="inlineStr">
        <is>
          <t>d41d8cd98f00</t>
        </is>
      </c>
      <c r="C1242" s="188" t="inlineStr">
        <is>
          <t xml:space="preserve">Malicious domain:  | IP: 3.131.220.121 | Last seen: </t>
        </is>
      </c>
      <c r="D1242" s="188" t="n">
        <v>6.5</v>
      </c>
      <c r="E1242" s="188" t="inlineStr">
        <is>
          <t>MEDIUM</t>
        </is>
      </c>
      <c r="F1242" s="188" t="n">
        <v>2</v>
      </c>
      <c r="G1242" s="188" t="n">
        <v>2</v>
      </c>
      <c r="H1242" s="188" t="inlineStr">
        <is>
          <t>MEDIUM</t>
        </is>
      </c>
      <c r="I1242" s="188" t="n">
        <v>10.5</v>
      </c>
      <c r="J1242" s="188" t="inlineStr">
        <is>
          <t>NO</t>
        </is>
      </c>
      <c r="K1242" s="188" t="inlineStr">
        <is>
          <t>https://www.threatminer.org/domain.php?q=</t>
        </is>
      </c>
      <c r="L1242" s="188" t="inlineStr"/>
      <c r="M1242" s="188" t="inlineStr">
        <is>
          <t>Block domain</t>
        </is>
      </c>
      <c r="N1242" s="188" t="inlineStr">
        <is>
          <t>https://www.threatminer.org/domain.php?q=</t>
        </is>
      </c>
      <c r="O1242" s="188" t="inlineStr">
        <is>
          <t>Block domain  at DNS/firewall</t>
        </is>
      </c>
      <c r="P1242" s="188" t="inlineStr">
        <is>
          <t>DNS/Network</t>
        </is>
      </c>
      <c r="Q1242" s="188" t="inlineStr">
        <is>
          <t>P4</t>
        </is>
      </c>
      <c r="R1242" s="188" t="inlineStr">
        <is>
          <t>🔍 Investigate and apply appropriate controls</t>
        </is>
      </c>
      <c r="S1242" s="188" t="inlineStr">
        <is>
          <t>Domain IOC - check IP separately</t>
        </is>
      </c>
      <c r="T1242" s="188" t="n">
        <v>0</v>
      </c>
      <c r="U1242" s="188" t="n">
        <v>0</v>
      </c>
      <c r="V1242" s="188" t="inlineStr">
        <is>
          <t>T1071.001:Web Protocols | T1568:Dynamic Resolution</t>
        </is>
      </c>
      <c r="W1242" s="188" t="n">
        <v>1</v>
      </c>
      <c r="X1242" s="188" t="inlineStr">
        <is>
          <t>LOW (40%)</t>
        </is>
      </c>
      <c r="Y1242" s="188" t="inlineStr">
        <is>
          <t>NONE</t>
        </is>
      </c>
      <c r="Z1242" s="188" t="inlineStr">
        <is>
          <t>NONE</t>
        </is>
      </c>
      <c r="AA1242" s="188" t="inlineStr">
        <is>
          <t>NONE</t>
        </is>
      </c>
      <c r="AB1242" s="188" t="inlineStr">
        <is>
          <t>NONE</t>
        </is>
      </c>
      <c r="AC1242" s="188" t="n">
        <v>0</v>
      </c>
      <c r="AD1242" s="188" t="inlineStr"/>
    </row>
    <row r="1243">
      <c r="A1243" s="188" t="inlineStr">
        <is>
          <t>THREATMINER</t>
        </is>
      </c>
      <c r="B1243" s="188" t="inlineStr">
        <is>
          <t>d41d8cd98f00</t>
        </is>
      </c>
      <c r="C1243" s="188" t="inlineStr">
        <is>
          <t xml:space="preserve">Malicious domain:  | IP: 18.218.118.203 | Last seen: </t>
        </is>
      </c>
      <c r="D1243" s="188" t="n">
        <v>6.5</v>
      </c>
      <c r="E1243" s="188" t="inlineStr">
        <is>
          <t>MEDIUM</t>
        </is>
      </c>
      <c r="F1243" s="188" t="n">
        <v>2</v>
      </c>
      <c r="G1243" s="188" t="n">
        <v>2</v>
      </c>
      <c r="H1243" s="188" t="inlineStr">
        <is>
          <t>MEDIUM</t>
        </is>
      </c>
      <c r="I1243" s="188" t="n">
        <v>10.5</v>
      </c>
      <c r="J1243" s="188" t="inlineStr">
        <is>
          <t>NO</t>
        </is>
      </c>
      <c r="K1243" s="188" t="inlineStr">
        <is>
          <t>https://www.threatminer.org/domain.php?q=</t>
        </is>
      </c>
      <c r="L1243" s="188" t="inlineStr"/>
      <c r="M1243" s="188" t="inlineStr">
        <is>
          <t>Block domain</t>
        </is>
      </c>
      <c r="N1243" s="188" t="inlineStr">
        <is>
          <t>https://www.threatminer.org/domain.php?q=</t>
        </is>
      </c>
      <c r="O1243" s="188" t="inlineStr">
        <is>
          <t>Block domain  at DNS/firewall</t>
        </is>
      </c>
      <c r="P1243" s="188" t="inlineStr">
        <is>
          <t>DNS/Network</t>
        </is>
      </c>
      <c r="Q1243" s="188" t="inlineStr">
        <is>
          <t>P4</t>
        </is>
      </c>
      <c r="R1243" s="188" t="inlineStr">
        <is>
          <t>🔍 Investigate and apply appropriate controls</t>
        </is>
      </c>
      <c r="S1243" s="188" t="inlineStr">
        <is>
          <t>Domain IOC - check IP separately</t>
        </is>
      </c>
      <c r="T1243" s="188" t="n">
        <v>0</v>
      </c>
      <c r="U1243" s="188" t="n">
        <v>0</v>
      </c>
      <c r="V1243" s="188" t="inlineStr">
        <is>
          <t>T1071.001:Web Protocols | T1568:Dynamic Resolution</t>
        </is>
      </c>
      <c r="W1243" s="188" t="n">
        <v>1</v>
      </c>
      <c r="X1243" s="188" t="inlineStr">
        <is>
          <t>LOW (40%)</t>
        </is>
      </c>
      <c r="Y1243" s="188" t="inlineStr">
        <is>
          <t>NONE</t>
        </is>
      </c>
      <c r="Z1243" s="188" t="inlineStr">
        <is>
          <t>NONE</t>
        </is>
      </c>
      <c r="AA1243" s="188" t="inlineStr">
        <is>
          <t>NONE</t>
        </is>
      </c>
      <c r="AB1243" s="188" t="inlineStr">
        <is>
          <t>NONE</t>
        </is>
      </c>
      <c r="AC1243" s="188" t="n">
        <v>0</v>
      </c>
      <c r="AD1243" s="188" t="inlineStr"/>
    </row>
    <row r="1244">
      <c r="A1244" s="188" t="inlineStr">
        <is>
          <t>THREATMINER</t>
        </is>
      </c>
      <c r="B1244" s="188" t="inlineStr">
        <is>
          <t>d41d8cd98f00</t>
        </is>
      </c>
      <c r="C1244" s="188" t="inlineStr">
        <is>
          <t xml:space="preserve">Malicious domain:  | IP: 34.47.117.84 | Last seen: </t>
        </is>
      </c>
      <c r="D1244" s="188" t="n">
        <v>6.5</v>
      </c>
      <c r="E1244" s="188" t="inlineStr">
        <is>
          <t>MEDIUM</t>
        </is>
      </c>
      <c r="F1244" s="188" t="n">
        <v>2</v>
      </c>
      <c r="G1244" s="188" t="n">
        <v>2</v>
      </c>
      <c r="H1244" s="188" t="inlineStr">
        <is>
          <t>MEDIUM</t>
        </is>
      </c>
      <c r="I1244" s="188" t="n">
        <v>10.5</v>
      </c>
      <c r="J1244" s="188" t="inlineStr">
        <is>
          <t>NO</t>
        </is>
      </c>
      <c r="K1244" s="188" t="inlineStr">
        <is>
          <t>https://www.threatminer.org/domain.php?q=</t>
        </is>
      </c>
      <c r="L1244" s="188" t="inlineStr"/>
      <c r="M1244" s="188" t="inlineStr">
        <is>
          <t>Block domain</t>
        </is>
      </c>
      <c r="N1244" s="188" t="inlineStr">
        <is>
          <t>https://www.threatminer.org/domain.php?q=</t>
        </is>
      </c>
      <c r="O1244" s="188" t="inlineStr">
        <is>
          <t>Block domain  at DNS/firewall</t>
        </is>
      </c>
      <c r="P1244" s="188" t="inlineStr">
        <is>
          <t>DNS/Network</t>
        </is>
      </c>
      <c r="Q1244" s="188" t="inlineStr">
        <is>
          <t>P4</t>
        </is>
      </c>
      <c r="R1244" s="188" t="inlineStr">
        <is>
          <t>🔍 Investigate and apply appropriate controls</t>
        </is>
      </c>
      <c r="S1244" s="188" t="inlineStr">
        <is>
          <t>Domain IOC - check IP separately</t>
        </is>
      </c>
      <c r="T1244" s="188" t="n">
        <v>0</v>
      </c>
      <c r="U1244" s="188" t="n">
        <v>0</v>
      </c>
      <c r="V1244" s="188" t="inlineStr">
        <is>
          <t>T1071.001:Web Protocols | T1568:Dynamic Resolution</t>
        </is>
      </c>
      <c r="W1244" s="188" t="n">
        <v>1</v>
      </c>
      <c r="X1244" s="188" t="inlineStr">
        <is>
          <t>LOW (40%)</t>
        </is>
      </c>
      <c r="Y1244" s="188" t="inlineStr">
        <is>
          <t>NONE</t>
        </is>
      </c>
      <c r="Z1244" s="188" t="inlineStr">
        <is>
          <t>NONE</t>
        </is>
      </c>
      <c r="AA1244" s="188" t="inlineStr">
        <is>
          <t>NONE</t>
        </is>
      </c>
      <c r="AB1244" s="188" t="inlineStr">
        <is>
          <t>NONE</t>
        </is>
      </c>
      <c r="AC1244" s="188" t="n">
        <v>0</v>
      </c>
      <c r="AD1244" s="188" t="inlineStr"/>
    </row>
    <row r="1245">
      <c r="A1245" s="188" t="inlineStr">
        <is>
          <t>THREATMINER</t>
        </is>
      </c>
      <c r="B1245" s="188" t="inlineStr">
        <is>
          <t>d41d8cd98f00</t>
        </is>
      </c>
      <c r="C1245" s="188" t="inlineStr">
        <is>
          <t xml:space="preserve">Malicious domain:  | IP: 41.63.63.134 | Last seen: </t>
        </is>
      </c>
      <c r="D1245" s="188" t="n">
        <v>6.5</v>
      </c>
      <c r="E1245" s="188" t="inlineStr">
        <is>
          <t>MEDIUM</t>
        </is>
      </c>
      <c r="F1245" s="188" t="n">
        <v>2</v>
      </c>
      <c r="G1245" s="188" t="n">
        <v>2</v>
      </c>
      <c r="H1245" s="188" t="inlineStr">
        <is>
          <t>MEDIUM</t>
        </is>
      </c>
      <c r="I1245" s="188" t="n">
        <v>10.5</v>
      </c>
      <c r="J1245" s="188" t="inlineStr">
        <is>
          <t>NO</t>
        </is>
      </c>
      <c r="K1245" s="188" t="inlineStr">
        <is>
          <t>https://www.threatminer.org/domain.php?q=</t>
        </is>
      </c>
      <c r="L1245" s="188" t="inlineStr"/>
      <c r="M1245" s="188" t="inlineStr">
        <is>
          <t>Block domain</t>
        </is>
      </c>
      <c r="N1245" s="188" t="inlineStr">
        <is>
          <t>https://www.threatminer.org/domain.php?q=</t>
        </is>
      </c>
      <c r="O1245" s="188" t="inlineStr">
        <is>
          <t>Block domain  at DNS/firewall</t>
        </is>
      </c>
      <c r="P1245" s="188" t="inlineStr">
        <is>
          <t>DNS/Network</t>
        </is>
      </c>
      <c r="Q1245" s="188" t="inlineStr">
        <is>
          <t>P4</t>
        </is>
      </c>
      <c r="R1245" s="188" t="inlineStr">
        <is>
          <t>🔍 Investigate and apply appropriate controls</t>
        </is>
      </c>
      <c r="S1245" s="188" t="inlineStr">
        <is>
          <t>Domain IOC - check IP separately</t>
        </is>
      </c>
      <c r="T1245" s="188" t="n">
        <v>0</v>
      </c>
      <c r="U1245" s="188" t="n">
        <v>0</v>
      </c>
      <c r="V1245" s="188" t="inlineStr">
        <is>
          <t>T1071.001:Web Protocols | T1568:Dynamic Resolution</t>
        </is>
      </c>
      <c r="W1245" s="188" t="n">
        <v>1</v>
      </c>
      <c r="X1245" s="188" t="inlineStr">
        <is>
          <t>LOW (40%)</t>
        </is>
      </c>
      <c r="Y1245" s="188" t="inlineStr">
        <is>
          <t>NONE</t>
        </is>
      </c>
      <c r="Z1245" s="188" t="inlineStr">
        <is>
          <t>NONE</t>
        </is>
      </c>
      <c r="AA1245" s="188" t="inlineStr">
        <is>
          <t>NONE</t>
        </is>
      </c>
      <c r="AB1245" s="188" t="inlineStr">
        <is>
          <t>NONE</t>
        </is>
      </c>
      <c r="AC1245" s="188" t="n">
        <v>0</v>
      </c>
      <c r="AD1245" s="188" t="inlineStr"/>
    </row>
    <row r="1246">
      <c r="A1246" s="188" t="inlineStr">
        <is>
          <t>THREATMINER</t>
        </is>
      </c>
      <c r="B1246" s="188" t="inlineStr">
        <is>
          <t>d41d8cd98f00</t>
        </is>
      </c>
      <c r="C1246" s="188" t="inlineStr">
        <is>
          <t xml:space="preserve">Malicious domain:  | IP: 43.160.207.2 | Last seen: </t>
        </is>
      </c>
      <c r="D1246" s="188" t="n">
        <v>6.5</v>
      </c>
      <c r="E1246" s="188" t="inlineStr">
        <is>
          <t>MEDIUM</t>
        </is>
      </c>
      <c r="F1246" s="188" t="n">
        <v>2</v>
      </c>
      <c r="G1246" s="188" t="n">
        <v>2</v>
      </c>
      <c r="H1246" s="188" t="inlineStr">
        <is>
          <t>MEDIUM</t>
        </is>
      </c>
      <c r="I1246" s="188" t="n">
        <v>10.5</v>
      </c>
      <c r="J1246" s="188" t="inlineStr">
        <is>
          <t>NO</t>
        </is>
      </c>
      <c r="K1246" s="188" t="inlineStr">
        <is>
          <t>https://www.threatminer.org/domain.php?q=</t>
        </is>
      </c>
      <c r="L1246" s="188" t="inlineStr"/>
      <c r="M1246" s="188" t="inlineStr">
        <is>
          <t>Block domain</t>
        </is>
      </c>
      <c r="N1246" s="188" t="inlineStr">
        <is>
          <t>https://www.threatminer.org/domain.php?q=</t>
        </is>
      </c>
      <c r="O1246" s="188" t="inlineStr">
        <is>
          <t>Block domain  at DNS/firewall</t>
        </is>
      </c>
      <c r="P1246" s="188" t="inlineStr">
        <is>
          <t>DNS/Network</t>
        </is>
      </c>
      <c r="Q1246" s="188" t="inlineStr">
        <is>
          <t>P4</t>
        </is>
      </c>
      <c r="R1246" s="188" t="inlineStr">
        <is>
          <t>🔍 Investigate and apply appropriate controls</t>
        </is>
      </c>
      <c r="S1246" s="188" t="inlineStr">
        <is>
          <t>Domain IOC - check IP separately</t>
        </is>
      </c>
      <c r="T1246" s="188" t="n">
        <v>0</v>
      </c>
      <c r="U1246" s="188" t="n">
        <v>0</v>
      </c>
      <c r="V1246" s="188" t="inlineStr">
        <is>
          <t>T1071.001:Web Protocols | T1568:Dynamic Resolution</t>
        </is>
      </c>
      <c r="W1246" s="188" t="n">
        <v>1</v>
      </c>
      <c r="X1246" s="188" t="inlineStr">
        <is>
          <t>LOW (40%)</t>
        </is>
      </c>
      <c r="Y1246" s="188" t="inlineStr">
        <is>
          <t>NONE</t>
        </is>
      </c>
      <c r="Z1246" s="188" t="inlineStr">
        <is>
          <t>NONE</t>
        </is>
      </c>
      <c r="AA1246" s="188" t="inlineStr">
        <is>
          <t>NONE</t>
        </is>
      </c>
      <c r="AB1246" s="188" t="inlineStr">
        <is>
          <t>NONE</t>
        </is>
      </c>
      <c r="AC1246" s="188" t="n">
        <v>0</v>
      </c>
      <c r="AD1246" s="188" t="inlineStr"/>
    </row>
    <row r="1247">
      <c r="A1247" s="188" t="inlineStr">
        <is>
          <t>THREATMINER</t>
        </is>
      </c>
      <c r="B1247" s="188" t="inlineStr">
        <is>
          <t>d41d8cd98f00</t>
        </is>
      </c>
      <c r="C1247" s="188" t="inlineStr">
        <is>
          <t xml:space="preserve">Malicious domain:  | IP: 45.148.10.121 | Last seen: </t>
        </is>
      </c>
      <c r="D1247" s="188" t="n">
        <v>6.5</v>
      </c>
      <c r="E1247" s="188" t="inlineStr">
        <is>
          <t>MEDIUM</t>
        </is>
      </c>
      <c r="F1247" s="188" t="n">
        <v>2</v>
      </c>
      <c r="G1247" s="188" t="n">
        <v>2</v>
      </c>
      <c r="H1247" s="188" t="inlineStr">
        <is>
          <t>MEDIUM</t>
        </is>
      </c>
      <c r="I1247" s="188" t="n">
        <v>10.5</v>
      </c>
      <c r="J1247" s="188" t="inlineStr">
        <is>
          <t>NO</t>
        </is>
      </c>
      <c r="K1247" s="188" t="inlineStr">
        <is>
          <t>https://www.threatminer.org/domain.php?q=</t>
        </is>
      </c>
      <c r="L1247" s="188" t="inlineStr"/>
      <c r="M1247" s="188" t="inlineStr">
        <is>
          <t>Block domain</t>
        </is>
      </c>
      <c r="N1247" s="188" t="inlineStr">
        <is>
          <t>https://www.threatminer.org/domain.php?q=</t>
        </is>
      </c>
      <c r="O1247" s="188" t="inlineStr">
        <is>
          <t>Block domain  at DNS/firewall</t>
        </is>
      </c>
      <c r="P1247" s="188" t="inlineStr">
        <is>
          <t>DNS/Network</t>
        </is>
      </c>
      <c r="Q1247" s="188" t="inlineStr">
        <is>
          <t>P4</t>
        </is>
      </c>
      <c r="R1247" s="188" t="inlineStr">
        <is>
          <t>🔍 Investigate and apply appropriate controls</t>
        </is>
      </c>
      <c r="S1247" s="188" t="inlineStr">
        <is>
          <t>Domain IOC - check IP separately</t>
        </is>
      </c>
      <c r="T1247" s="188" t="n">
        <v>0</v>
      </c>
      <c r="U1247" s="188" t="n">
        <v>0</v>
      </c>
      <c r="V1247" s="188" t="inlineStr">
        <is>
          <t>T1071.001:Web Protocols | T1568:Dynamic Resolution</t>
        </is>
      </c>
      <c r="W1247" s="188" t="n">
        <v>1</v>
      </c>
      <c r="X1247" s="188" t="inlineStr">
        <is>
          <t>LOW (40%)</t>
        </is>
      </c>
      <c r="Y1247" s="188" t="inlineStr">
        <is>
          <t>NONE</t>
        </is>
      </c>
      <c r="Z1247" s="188" t="inlineStr">
        <is>
          <t>NONE</t>
        </is>
      </c>
      <c r="AA1247" s="188" t="inlineStr">
        <is>
          <t>NONE</t>
        </is>
      </c>
      <c r="AB1247" s="188" t="inlineStr">
        <is>
          <t>NONE</t>
        </is>
      </c>
      <c r="AC1247" s="188" t="n">
        <v>0</v>
      </c>
      <c r="AD1247" s="188" t="inlineStr"/>
    </row>
    <row r="1248">
      <c r="A1248" s="187" t="inlineStr">
        <is>
          <t>SHODAN_VULN</t>
        </is>
      </c>
      <c r="B1248" s="187" t="inlineStr">
        <is>
          <t>0439529d4154</t>
        </is>
      </c>
      <c r="C1248" s="187" t="inlineStr">
        <is>
          <t>InternetDB: 162.243.103.246 | Ports: 22, 80, 443, 8080 | wearoddball.com | CVE: CVE-2022-28330 | Tags: cloud</t>
        </is>
      </c>
      <c r="D1248" s="187" t="n">
        <v>7.5</v>
      </c>
      <c r="E1248" s="187" t="inlineStr">
        <is>
          <t>HIGH</t>
        </is>
      </c>
      <c r="F1248" s="187" t="n">
        <v>2</v>
      </c>
      <c r="G1248" s="187" t="n">
        <v>2</v>
      </c>
      <c r="H1248" s="187" t="inlineStr">
        <is>
          <t>MEDIUM</t>
        </is>
      </c>
      <c r="I1248" s="187" t="n">
        <v>11.5</v>
      </c>
      <c r="J1248" s="187" t="inlineStr">
        <is>
          <t>NO</t>
        </is>
      </c>
      <c r="K1248" s="187" t="inlineStr">
        <is>
          <t>https://www.shodan.io/host/162.243.103.246</t>
        </is>
      </c>
      <c r="L1248" s="187" t="inlineStr">
        <is>
          <t>2026-02-27 20:47</t>
        </is>
      </c>
      <c r="M1248" s="187" t="inlineStr">
        <is>
          <t>Apply patch and restrict exposed ports</t>
        </is>
      </c>
      <c r="N1248" s="187" t="inlineStr">
        <is>
          <t>https://www.shodan.io/host/162.243.103.246</t>
        </is>
      </c>
      <c r="O1248" s="187" t="inlineStr">
        <is>
          <t>Close or firewall port(s) 22, 80, 443, 8080 on 162.243.103.246</t>
        </is>
      </c>
      <c r="P1248" s="187" t="inlineStr">
        <is>
          <t>wearoddball.com</t>
        </is>
      </c>
      <c r="Q1248" s="187" t="inlineStr">
        <is>
          <t>P4</t>
        </is>
      </c>
      <c r="R1248" s="187" t="inlineStr">
        <is>
          <t>🔍 Investigate and apply appropriate controls</t>
        </is>
      </c>
      <c r="S1248" s="187" t="inlineStr">
        <is>
          <t>Shodan InternetDB — see ip-api.com context for scanner classification</t>
        </is>
      </c>
      <c r="T1248" s="187" t="n">
        <v>0</v>
      </c>
      <c r="U1248" s="187" t="n">
        <v>0</v>
      </c>
      <c r="V1248" s="187" t="inlineStr">
        <is>
          <t>T1190:Exploit Public-Facing Application | T1046:Network Service Discovery</t>
        </is>
      </c>
      <c r="W1248" s="187" t="n">
        <v>1</v>
      </c>
      <c r="X1248" s="187" t="inlineStr">
        <is>
          <t>LOW (40%)</t>
        </is>
      </c>
      <c r="Y1248" s="187" t="inlineStr">
        <is>
          <t>CHECK_VULNS</t>
        </is>
      </c>
      <c r="Z1248" s="187" t="inlineStr">
        <is>
          <t>Restrict access</t>
        </is>
      </c>
      <c r="AA1248" s="187" t="inlineStr">
        <is>
          <t>https://www.shodan.io/host/162.243.103.246</t>
        </is>
      </c>
      <c r="AB1248" s="187" t="inlineStr">
        <is>
          <t>NONE</t>
        </is>
      </c>
      <c r="AC1248" s="187" t="n">
        <v>0</v>
      </c>
      <c r="AD1248" s="187" t="inlineStr"/>
    </row>
    <row r="1249">
      <c r="A1249" s="187" t="inlineStr">
        <is>
          <t>SHODAN_VULN</t>
        </is>
      </c>
      <c r="B1249" s="187" t="inlineStr">
        <is>
          <t>649d5e00aac7</t>
        </is>
      </c>
      <c r="C1249" s="187" t="inlineStr">
        <is>
          <t>InternetDB: 162.243.103.246 | Ports: 22, 80, 443, 8080 | wearoddball.com | CVE: CVE-2014-3479 | Tags: cloud</t>
        </is>
      </c>
      <c r="D1249" s="187" t="n">
        <v>7.5</v>
      </c>
      <c r="E1249" s="187" t="inlineStr">
        <is>
          <t>HIGH</t>
        </is>
      </c>
      <c r="F1249" s="187" t="n">
        <v>2</v>
      </c>
      <c r="G1249" s="187" t="n">
        <v>2</v>
      </c>
      <c r="H1249" s="187" t="inlineStr">
        <is>
          <t>MEDIUM</t>
        </is>
      </c>
      <c r="I1249" s="187" t="n">
        <v>11.5</v>
      </c>
      <c r="J1249" s="187" t="inlineStr">
        <is>
          <t>NO</t>
        </is>
      </c>
      <c r="K1249" s="187" t="inlineStr">
        <is>
          <t>https://www.shodan.io/host/162.243.103.246</t>
        </is>
      </c>
      <c r="L1249" s="187" t="inlineStr">
        <is>
          <t>2026-02-27 20:47</t>
        </is>
      </c>
      <c r="M1249" s="187" t="inlineStr">
        <is>
          <t>Apply patch and restrict exposed ports</t>
        </is>
      </c>
      <c r="N1249" s="187" t="inlineStr">
        <is>
          <t>https://www.shodan.io/host/162.243.103.246</t>
        </is>
      </c>
      <c r="O1249" s="187" t="inlineStr">
        <is>
          <t>Close or firewall port(s) 22, 80, 443, 8080 on 162.243.103.246</t>
        </is>
      </c>
      <c r="P1249" s="187" t="inlineStr">
        <is>
          <t>wearoddball.com</t>
        </is>
      </c>
      <c r="Q1249" s="187" t="inlineStr">
        <is>
          <t>P4</t>
        </is>
      </c>
      <c r="R1249" s="187" t="inlineStr">
        <is>
          <t>🔍 Investigate and apply appropriate controls</t>
        </is>
      </c>
      <c r="S1249" s="187" t="inlineStr">
        <is>
          <t>Shodan InternetDB — see ip-api.com context for scanner classification</t>
        </is>
      </c>
      <c r="T1249" s="187" t="n">
        <v>0</v>
      </c>
      <c r="U1249" s="187" t="n">
        <v>0</v>
      </c>
      <c r="V1249" s="187" t="inlineStr">
        <is>
          <t>T1190:Exploit Public-Facing Application | T1046:Network Service Discovery</t>
        </is>
      </c>
      <c r="W1249" s="187" t="n">
        <v>1</v>
      </c>
      <c r="X1249" s="187" t="inlineStr">
        <is>
          <t>LOW (40%)</t>
        </is>
      </c>
      <c r="Y1249" s="187" t="inlineStr">
        <is>
          <t>CHECK_VULNS</t>
        </is>
      </c>
      <c r="Z1249" s="187" t="inlineStr">
        <is>
          <t>Restrict access</t>
        </is>
      </c>
      <c r="AA1249" s="187" t="inlineStr">
        <is>
          <t>https://www.shodan.io/host/162.243.103.246</t>
        </is>
      </c>
      <c r="AB1249" s="187" t="inlineStr">
        <is>
          <t>NONE</t>
        </is>
      </c>
      <c r="AC1249" s="187" t="n">
        <v>0</v>
      </c>
      <c r="AD1249" s="187" t="inlineStr"/>
    </row>
    <row r="1250">
      <c r="A1250" s="187" t="inlineStr">
        <is>
          <t>SHODAN_VULN</t>
        </is>
      </c>
      <c r="B1250" s="187" t="inlineStr">
        <is>
          <t>426e9dd2c17f</t>
        </is>
      </c>
      <c r="C1250" s="187" t="inlineStr">
        <is>
          <t>InternetDB: 162.243.103.246 | Ports: 22, 80, 443, 8080 | wearoddball.com | CVE: CVE-2016-4071 | Tags: cloud</t>
        </is>
      </c>
      <c r="D1250" s="187" t="n">
        <v>7.5</v>
      </c>
      <c r="E1250" s="187" t="inlineStr">
        <is>
          <t>HIGH</t>
        </is>
      </c>
      <c r="F1250" s="187" t="n">
        <v>2</v>
      </c>
      <c r="G1250" s="187" t="n">
        <v>2</v>
      </c>
      <c r="H1250" s="187" t="inlineStr">
        <is>
          <t>MEDIUM</t>
        </is>
      </c>
      <c r="I1250" s="187" t="n">
        <v>11.5</v>
      </c>
      <c r="J1250" s="187" t="inlineStr">
        <is>
          <t>NO</t>
        </is>
      </c>
      <c r="K1250" s="187" t="inlineStr">
        <is>
          <t>https://www.shodan.io/host/162.243.103.246</t>
        </is>
      </c>
      <c r="L1250" s="187" t="inlineStr">
        <is>
          <t>2026-02-27 20:47</t>
        </is>
      </c>
      <c r="M1250" s="187" t="inlineStr">
        <is>
          <t>Apply patch and restrict exposed ports</t>
        </is>
      </c>
      <c r="N1250" s="187" t="inlineStr">
        <is>
          <t>https://www.shodan.io/host/162.243.103.246</t>
        </is>
      </c>
      <c r="O1250" s="187" t="inlineStr">
        <is>
          <t>Close or firewall port(s) 22, 80, 443, 8080 on 162.243.103.246</t>
        </is>
      </c>
      <c r="P1250" s="187" t="inlineStr">
        <is>
          <t>wearoddball.com</t>
        </is>
      </c>
      <c r="Q1250" s="187" t="inlineStr">
        <is>
          <t>P4</t>
        </is>
      </c>
      <c r="R1250" s="187" t="inlineStr">
        <is>
          <t>🔍 Investigate and apply appropriate controls</t>
        </is>
      </c>
      <c r="S1250" s="187" t="inlineStr">
        <is>
          <t>Shodan InternetDB — see ip-api.com context for scanner classification</t>
        </is>
      </c>
      <c r="T1250" s="187" t="n">
        <v>0</v>
      </c>
      <c r="U1250" s="187" t="n">
        <v>0</v>
      </c>
      <c r="V1250" s="187" t="inlineStr">
        <is>
          <t>T1190:Exploit Public-Facing Application | T1046:Network Service Discovery</t>
        </is>
      </c>
      <c r="W1250" s="187" t="n">
        <v>1</v>
      </c>
      <c r="X1250" s="187" t="inlineStr">
        <is>
          <t>LOW (40%)</t>
        </is>
      </c>
      <c r="Y1250" s="187" t="inlineStr">
        <is>
          <t>CHECK_VULNS</t>
        </is>
      </c>
      <c r="Z1250" s="187" t="inlineStr">
        <is>
          <t>Restrict access</t>
        </is>
      </c>
      <c r="AA1250" s="187" t="inlineStr">
        <is>
          <t>https://www.shodan.io/host/162.243.103.246</t>
        </is>
      </c>
      <c r="AB1250" s="187" t="inlineStr">
        <is>
          <t>NONE</t>
        </is>
      </c>
      <c r="AC1250" s="187" t="n">
        <v>0</v>
      </c>
      <c r="AD1250" s="187" t="inlineStr"/>
    </row>
    <row r="1251">
      <c r="A1251" s="188" t="inlineStr">
        <is>
          <t>SHODAN_VULN</t>
        </is>
      </c>
      <c r="B1251" s="188" t="inlineStr">
        <is>
          <t>f357a582e404</t>
        </is>
      </c>
      <c r="C1251" s="188" t="inlineStr">
        <is>
          <t>InternetDB: 178.62.3.223 | Ports: 22, 25, 53, 80, 443, 587, 993, 995 | box.nautadb.com | Tags: starttls, cloud</t>
        </is>
      </c>
      <c r="D1251" s="188" t="n">
        <v>5</v>
      </c>
      <c r="E1251" s="188" t="inlineStr">
        <is>
          <t>MEDIUM</t>
        </is>
      </c>
      <c r="F1251" s="188" t="n">
        <v>1</v>
      </c>
      <c r="G1251" s="188" t="n">
        <v>2</v>
      </c>
      <c r="H1251" s="188" t="inlineStr">
        <is>
          <t>LOW</t>
        </is>
      </c>
      <c r="I1251" s="188" t="n">
        <v>7</v>
      </c>
      <c r="J1251" s="188" t="inlineStr">
        <is>
          <t>NO</t>
        </is>
      </c>
      <c r="K1251" s="188" t="inlineStr">
        <is>
          <t>https://www.shodan.io/host/178.62.3.223</t>
        </is>
      </c>
      <c r="L1251" s="188" t="inlineStr">
        <is>
          <t>2026-02-27 20:47</t>
        </is>
      </c>
      <c r="M1251" s="188" t="inlineStr">
        <is>
          <t>Review and firewall exposed ports</t>
        </is>
      </c>
      <c r="N1251" s="188" t="inlineStr">
        <is>
          <t>https://www.shodan.io/host/178.62.3.223</t>
        </is>
      </c>
      <c r="O1251" s="188" t="inlineStr">
        <is>
          <t>Review and restrict port(s) 22, 25, 53, 80, 443, 587, 993, 995 on 178.62.3.223</t>
        </is>
      </c>
      <c r="P1251" s="188" t="inlineStr">
        <is>
          <t>box.nautadb.com</t>
        </is>
      </c>
      <c r="Q1251" s="188" t="inlineStr">
        <is>
          <t>P4</t>
        </is>
      </c>
      <c r="R1251" s="188" t="inlineStr">
        <is>
          <t>🔍 Investigate and apply appropriate controls</t>
        </is>
      </c>
      <c r="S1251" s="188" t="inlineStr">
        <is>
          <t>Shodan InternetDB — open ports, no known CVEs indexed</t>
        </is>
      </c>
      <c r="T1251" s="188" t="n">
        <v>0</v>
      </c>
      <c r="U1251" s="188" t="n">
        <v>0</v>
      </c>
      <c r="V1251" s="188" t="inlineStr">
        <is>
          <t>T1046:Network Service Discovery</t>
        </is>
      </c>
      <c r="W1251" s="188" t="n">
        <v>1</v>
      </c>
      <c r="X1251" s="188" t="inlineStr">
        <is>
          <t>LOW (40%)</t>
        </is>
      </c>
      <c r="Y1251" s="188" t="inlineStr">
        <is>
          <t>NONE</t>
        </is>
      </c>
      <c r="Z1251" s="188" t="inlineStr">
        <is>
          <t>Restrict access</t>
        </is>
      </c>
      <c r="AA1251" s="188" t="inlineStr">
        <is>
          <t>https://www.shodan.io/host/178.62.3.223</t>
        </is>
      </c>
      <c r="AB1251" s="188" t="inlineStr">
        <is>
          <t>NONE</t>
        </is>
      </c>
      <c r="AC1251" s="188" t="n">
        <v>0</v>
      </c>
      <c r="AD1251" s="188" t="inlineStr"/>
    </row>
    <row r="1252">
      <c r="A1252" s="188" t="inlineStr">
        <is>
          <t>SHODAN_VULN</t>
        </is>
      </c>
      <c r="B1252" s="188" t="inlineStr">
        <is>
          <t>126704e0a40b</t>
        </is>
      </c>
      <c r="C1252" s="188" t="inlineStr">
        <is>
          <t>InternetDB: 34.204.119.63 | Ports: 80, 443 | ec2-34-204-119-63.compute-1.amazonaws.com | Tags: cloud</t>
        </is>
      </c>
      <c r="D1252" s="188" t="n">
        <v>5</v>
      </c>
      <c r="E1252" s="188" t="inlineStr">
        <is>
          <t>MEDIUM</t>
        </is>
      </c>
      <c r="F1252" s="188" t="n">
        <v>1</v>
      </c>
      <c r="G1252" s="188" t="n">
        <v>2</v>
      </c>
      <c r="H1252" s="188" t="inlineStr">
        <is>
          <t>LOW</t>
        </is>
      </c>
      <c r="I1252" s="188" t="n">
        <v>7</v>
      </c>
      <c r="J1252" s="188" t="inlineStr">
        <is>
          <t>NO</t>
        </is>
      </c>
      <c r="K1252" s="188" t="inlineStr">
        <is>
          <t>https://www.shodan.io/host/34.204.119.63</t>
        </is>
      </c>
      <c r="L1252" s="188" t="inlineStr">
        <is>
          <t>2026-02-27 20:47</t>
        </is>
      </c>
      <c r="M1252" s="188" t="inlineStr">
        <is>
          <t>Review and firewall exposed ports</t>
        </is>
      </c>
      <c r="N1252" s="188" t="inlineStr">
        <is>
          <t>https://www.shodan.io/host/34.204.119.63</t>
        </is>
      </c>
      <c r="O1252" s="188" t="inlineStr">
        <is>
          <t>Review and restrict port(s) 80, 443 on 34.204.119.63</t>
        </is>
      </c>
      <c r="P1252" s="188" t="inlineStr">
        <is>
          <t>ec2-34-204-119-63.compute-1.amazonaws.com</t>
        </is>
      </c>
      <c r="Q1252" s="188" t="inlineStr">
        <is>
          <t>P4</t>
        </is>
      </c>
      <c r="R1252" s="188" t="inlineStr">
        <is>
          <t>🔍 Investigate and apply appropriate controls</t>
        </is>
      </c>
      <c r="S1252" s="188" t="inlineStr">
        <is>
          <t>Shodan InternetDB — open ports, no known CVEs indexed</t>
        </is>
      </c>
      <c r="T1252" s="188" t="n">
        <v>0</v>
      </c>
      <c r="U1252" s="188" t="n">
        <v>0</v>
      </c>
      <c r="V1252" s="188" t="inlineStr">
        <is>
          <t>T1046:Network Service Discovery</t>
        </is>
      </c>
      <c r="W1252" s="188" t="n">
        <v>1</v>
      </c>
      <c r="X1252" s="188" t="inlineStr">
        <is>
          <t>LOW (40%)</t>
        </is>
      </c>
      <c r="Y1252" s="188" t="inlineStr">
        <is>
          <t>NONE</t>
        </is>
      </c>
      <c r="Z1252" s="188" t="inlineStr">
        <is>
          <t>Restrict access</t>
        </is>
      </c>
      <c r="AA1252" s="188" t="inlineStr">
        <is>
          <t>https://www.shodan.io/host/34.204.119.63</t>
        </is>
      </c>
      <c r="AB1252" s="188" t="inlineStr">
        <is>
          <t>NONE</t>
        </is>
      </c>
      <c r="AC1252" s="188" t="n">
        <v>0</v>
      </c>
      <c r="AD1252" s="188" t="inlineStr"/>
    </row>
    <row r="1253">
      <c r="A1253" s="188" t="inlineStr">
        <is>
          <t>ABUSE_IP</t>
        </is>
      </c>
      <c r="B1253" s="188" t="inlineStr">
        <is>
          <t>db98361a53e4</t>
        </is>
      </c>
      <c r="C1253" s="188" t="inlineStr">
        <is>
          <t>Malicious IP: 221.159.150.85 | Country: KR | ISP: Unknown | Confidence: 100% | Sources: ABUSEIPDB</t>
        </is>
      </c>
      <c r="D1253" s="188" t="n">
        <v>6.5</v>
      </c>
      <c r="E1253" s="188" t="inlineStr">
        <is>
          <t>MEDIUM</t>
        </is>
      </c>
      <c r="F1253" s="188" t="n">
        <v>3</v>
      </c>
      <c r="G1253" s="188" t="n">
        <v>1</v>
      </c>
      <c r="H1253" s="188" t="inlineStr">
        <is>
          <t>MEDIUM</t>
        </is>
      </c>
      <c r="I1253" s="188" t="n">
        <v>9.5</v>
      </c>
      <c r="J1253" s="188" t="inlineStr">
        <is>
          <t>NO</t>
        </is>
      </c>
      <c r="K1253" s="188" t="inlineStr">
        <is>
          <t>https://www.abuseipdb.com/check/221.159.150.85</t>
        </is>
      </c>
      <c r="L1253" s="188" t="inlineStr">
        <is>
          <t>2026-02-27T13:17:02+00:00</t>
        </is>
      </c>
      <c r="M1253" s="188" t="inlineStr">
        <is>
          <t>Block IP</t>
        </is>
      </c>
      <c r="N1253" s="188" t="inlineStr">
        <is>
          <t>https://www.abuseipdb.com/check/221.159.150.85</t>
        </is>
      </c>
      <c r="O1253" s="188" t="inlineStr">
        <is>
          <t>Block IP 221.159.150.85 at firewall | Monitor for new reports</t>
        </is>
      </c>
      <c r="P1253" s="188" t="inlineStr">
        <is>
          <t>Firewall/Network</t>
        </is>
      </c>
      <c r="Q1253" s="188" t="inlineStr">
        <is>
          <t>P4</t>
        </is>
      </c>
      <c r="R1253" s="188" t="inlineStr">
        <is>
          <t>🚫 Block IP at firewall immediately | 🔍 Check logs for existing connections | 🛡️ Add to threat intelligence blocklist</t>
        </is>
      </c>
      <c r="S1253" s="188" t="inlineStr">
        <is>
          <t>Skipped (20/run cap)</t>
        </is>
      </c>
      <c r="T1253" s="188" t="n">
        <v>0</v>
      </c>
      <c r="U1253" s="188" t="n">
        <v>0</v>
      </c>
      <c r="V1253" s="188" t="inlineStr">
        <is>
          <t>T1110:Brute Force | T1078:Valid Accounts</t>
        </is>
      </c>
      <c r="W1253" s="188" t="n">
        <v>1</v>
      </c>
      <c r="X1253" s="188" t="inlineStr">
        <is>
          <t>LOW (40%)</t>
        </is>
      </c>
      <c r="Y1253" s="188" t="inlineStr">
        <is>
          <t>NONE</t>
        </is>
      </c>
      <c r="Z1253" s="188" t="inlineStr">
        <is>
          <t>NONE</t>
        </is>
      </c>
      <c r="AA1253" s="188" t="inlineStr">
        <is>
          <t>NONE</t>
        </is>
      </c>
      <c r="AB1253" s="188" t="inlineStr">
        <is>
          <t>NONE</t>
        </is>
      </c>
      <c r="AC1253" s="188" t="n">
        <v>0</v>
      </c>
      <c r="AD1253" s="188" t="inlineStr"/>
    </row>
    <row r="1254">
      <c r="A1254" s="188" t="inlineStr">
        <is>
          <t>ABUSE_IP</t>
        </is>
      </c>
      <c r="B1254" s="188" t="inlineStr">
        <is>
          <t>9d0458cd72b5</t>
        </is>
      </c>
      <c r="C1254" s="188" t="inlineStr">
        <is>
          <t>Malicious IP: 162.19.170.81 | Country: DE | ISP: Unknown | Confidence: 100% | Sources: ABUSEIPDB</t>
        </is>
      </c>
      <c r="D1254" s="188" t="n">
        <v>6.5</v>
      </c>
      <c r="E1254" s="188" t="inlineStr">
        <is>
          <t>MEDIUM</t>
        </is>
      </c>
      <c r="F1254" s="188" t="n">
        <v>3</v>
      </c>
      <c r="G1254" s="188" t="n">
        <v>1</v>
      </c>
      <c r="H1254" s="188" t="inlineStr">
        <is>
          <t>MEDIUM</t>
        </is>
      </c>
      <c r="I1254" s="188" t="n">
        <v>9.5</v>
      </c>
      <c r="J1254" s="188" t="inlineStr">
        <is>
          <t>NO</t>
        </is>
      </c>
      <c r="K1254" s="188" t="inlineStr">
        <is>
          <t>https://www.abuseipdb.com/check/162.19.170.81</t>
        </is>
      </c>
      <c r="L1254" s="188" t="inlineStr">
        <is>
          <t>2026-02-27T13:17:02+00:00</t>
        </is>
      </c>
      <c r="M1254" s="188" t="inlineStr">
        <is>
          <t>Block IP</t>
        </is>
      </c>
      <c r="N1254" s="188" t="inlineStr">
        <is>
          <t>https://www.abuseipdb.com/check/162.19.170.81</t>
        </is>
      </c>
      <c r="O1254" s="188" t="inlineStr">
        <is>
          <t>Block IP 162.19.170.81 at firewall | Monitor for new reports</t>
        </is>
      </c>
      <c r="P1254" s="188" t="inlineStr">
        <is>
          <t>Firewall/Network</t>
        </is>
      </c>
      <c r="Q1254" s="188" t="inlineStr">
        <is>
          <t>P4</t>
        </is>
      </c>
      <c r="R1254" s="188" t="inlineStr">
        <is>
          <t>🚫 Block IP at firewall immediately | 🔍 Check logs for existing connections | 🛡️ Add to threat intelligence blocklist</t>
        </is>
      </c>
      <c r="S1254" s="188" t="inlineStr">
        <is>
          <t>Skipped (20/run cap)</t>
        </is>
      </c>
      <c r="T1254" s="188" t="n">
        <v>0</v>
      </c>
      <c r="U1254" s="188" t="n">
        <v>0</v>
      </c>
      <c r="V1254" s="188" t="inlineStr">
        <is>
          <t>T1110:Brute Force | T1078:Valid Accounts</t>
        </is>
      </c>
      <c r="W1254" s="188" t="n">
        <v>1</v>
      </c>
      <c r="X1254" s="188" t="inlineStr">
        <is>
          <t>LOW (40%)</t>
        </is>
      </c>
      <c r="Y1254" s="188" t="inlineStr">
        <is>
          <t>NONE</t>
        </is>
      </c>
      <c r="Z1254" s="188" t="inlineStr">
        <is>
          <t>NONE</t>
        </is>
      </c>
      <c r="AA1254" s="188" t="inlineStr">
        <is>
          <t>NONE</t>
        </is>
      </c>
      <c r="AB1254" s="188" t="inlineStr">
        <is>
          <t>NONE</t>
        </is>
      </c>
      <c r="AC1254" s="188" t="n">
        <v>0</v>
      </c>
      <c r="AD1254" s="188" t="inlineStr"/>
    </row>
    <row r="1255">
      <c r="A1255" s="188" t="inlineStr">
        <is>
          <t>ABUSE_IP</t>
        </is>
      </c>
      <c r="B1255" s="188" t="inlineStr">
        <is>
          <t>99b8d16a0608</t>
        </is>
      </c>
      <c r="C1255" s="188" t="inlineStr">
        <is>
          <t>Malicious IP: 65.49.1.10 | Country: US | ISP: Unknown | Confidence: 100% | Sources: ABUSEIPDB</t>
        </is>
      </c>
      <c r="D1255" s="188" t="n">
        <v>6.5</v>
      </c>
      <c r="E1255" s="188" t="inlineStr">
        <is>
          <t>MEDIUM</t>
        </is>
      </c>
      <c r="F1255" s="188" t="n">
        <v>3</v>
      </c>
      <c r="G1255" s="188" t="n">
        <v>1</v>
      </c>
      <c r="H1255" s="188" t="inlineStr">
        <is>
          <t>MEDIUM</t>
        </is>
      </c>
      <c r="I1255" s="188" t="n">
        <v>9.5</v>
      </c>
      <c r="J1255" s="188" t="inlineStr">
        <is>
          <t>NO</t>
        </is>
      </c>
      <c r="K1255" s="188" t="inlineStr">
        <is>
          <t>https://www.abuseipdb.com/check/65.49.1.10</t>
        </is>
      </c>
      <c r="L1255" s="188" t="inlineStr">
        <is>
          <t>2026-02-27T13:17:02+00:00</t>
        </is>
      </c>
      <c r="M1255" s="188" t="inlineStr">
        <is>
          <t>Block IP</t>
        </is>
      </c>
      <c r="N1255" s="188" t="inlineStr">
        <is>
          <t>https://www.abuseipdb.com/check/65.49.1.10</t>
        </is>
      </c>
      <c r="O1255" s="188" t="inlineStr">
        <is>
          <t>Block IP 65.49.1.10 at firewall | Monitor for new reports</t>
        </is>
      </c>
      <c r="P1255" s="188" t="inlineStr">
        <is>
          <t>Firewall/Network</t>
        </is>
      </c>
      <c r="Q1255" s="188" t="inlineStr">
        <is>
          <t>P4</t>
        </is>
      </c>
      <c r="R1255" s="188" t="inlineStr">
        <is>
          <t>🚫 Block IP at firewall immediately | 🔍 Check logs for existing connections | 🛡️ Add to threat intelligence blocklist</t>
        </is>
      </c>
      <c r="S1255" s="188" t="inlineStr">
        <is>
          <t>🚨 MALICIOUS: The Shadow Server Foundation | 🌍 United States | Pleasanton | 🏢 The Shadow Server Foundation | ASN: AS6939 Hurricane Electric LLC | 🖥️ Hosting/DC | 🚨 AbuseIPDB: 100% malicious (Data Center/Web Hosting/Transit)</t>
        </is>
      </c>
      <c r="T1255" s="188" t="n">
        <v>0</v>
      </c>
      <c r="U1255" s="188" t="n">
        <v>0</v>
      </c>
      <c r="V1255" s="188" t="inlineStr">
        <is>
          <t>T1110:Brute Force | T1078:Valid Accounts</t>
        </is>
      </c>
      <c r="W1255" s="188" t="n">
        <v>1</v>
      </c>
      <c r="X1255" s="188" t="inlineStr">
        <is>
          <t>LOW (40%)</t>
        </is>
      </c>
      <c r="Y1255" s="188" t="inlineStr">
        <is>
          <t>NONE</t>
        </is>
      </c>
      <c r="Z1255" s="188" t="inlineStr">
        <is>
          <t>NONE</t>
        </is>
      </c>
      <c r="AA1255" s="188" t="inlineStr">
        <is>
          <t>NONE</t>
        </is>
      </c>
      <c r="AB1255" s="188" t="inlineStr">
        <is>
          <t>NONE</t>
        </is>
      </c>
      <c r="AC1255" s="188" t="n">
        <v>0</v>
      </c>
      <c r="AD1255" s="188" t="inlineStr"/>
    </row>
    <row r="1256">
      <c r="A1256" s="188" t="inlineStr">
        <is>
          <t>ABUSE_IP</t>
        </is>
      </c>
      <c r="B1256" s="188" t="inlineStr">
        <is>
          <t>23e834103cb8</t>
        </is>
      </c>
      <c r="C1256" s="188" t="inlineStr">
        <is>
          <t>Malicious IP: 118.194.230.231 | Country: JP | ISP: Unknown | Confidence: 100% | Sources: ABUSEIPDB</t>
        </is>
      </c>
      <c r="D1256" s="188" t="n">
        <v>6.5</v>
      </c>
      <c r="E1256" s="188" t="inlineStr">
        <is>
          <t>MEDIUM</t>
        </is>
      </c>
      <c r="F1256" s="188" t="n">
        <v>3</v>
      </c>
      <c r="G1256" s="188" t="n">
        <v>1</v>
      </c>
      <c r="H1256" s="188" t="inlineStr">
        <is>
          <t>MEDIUM</t>
        </is>
      </c>
      <c r="I1256" s="188" t="n">
        <v>9.5</v>
      </c>
      <c r="J1256" s="188" t="inlineStr">
        <is>
          <t>NO</t>
        </is>
      </c>
      <c r="K1256" s="188" t="inlineStr">
        <is>
          <t>https://www.abuseipdb.com/check/118.194.230.231</t>
        </is>
      </c>
      <c r="L1256" s="188" t="inlineStr">
        <is>
          <t>2026-02-27T13:17:02+00:00</t>
        </is>
      </c>
      <c r="M1256" s="188" t="inlineStr">
        <is>
          <t>Block IP</t>
        </is>
      </c>
      <c r="N1256" s="188" t="inlineStr">
        <is>
          <t>https://www.abuseipdb.com/check/118.194.230.231</t>
        </is>
      </c>
      <c r="O1256" s="188" t="inlineStr">
        <is>
          <t>Block IP 118.194.230.231 at firewall | Monitor for new reports</t>
        </is>
      </c>
      <c r="P1256" s="188" t="inlineStr">
        <is>
          <t>Firewall/Network</t>
        </is>
      </c>
      <c r="Q1256" s="188" t="inlineStr">
        <is>
          <t>P4</t>
        </is>
      </c>
      <c r="R1256" s="188" t="inlineStr">
        <is>
          <t>🚫 Block IP at firewall immediately | 🔍 Check logs for existing connections | 🛡️ Add to threat intelligence blocklist</t>
        </is>
      </c>
      <c r="S1256" s="188" t="inlineStr">
        <is>
          <t>🚨 MALICIOUS: Ucloud Information Technology (hk) Limited | 🌍 Japan | Tokyo | 🏢 Ucloud Information Technology (hk) Limited | ASN: AS135377 UCLOUD INFORMATION TECHNOLOGY (HK) LIMITED | 🔀 VPN/Proxy | 🖥️ Hosting/DC | 🚨 AbuseIPDB: 100% malicious (Data Center/Web Hosting/Transit)</t>
        </is>
      </c>
      <c r="T1256" s="188" t="n">
        <v>0</v>
      </c>
      <c r="U1256" s="188" t="n">
        <v>0</v>
      </c>
      <c r="V1256" s="188" t="inlineStr">
        <is>
          <t>T1110:Brute Force | T1078:Valid Accounts</t>
        </is>
      </c>
      <c r="W1256" s="188" t="n">
        <v>1</v>
      </c>
      <c r="X1256" s="188" t="inlineStr">
        <is>
          <t>LOW (40%)</t>
        </is>
      </c>
      <c r="Y1256" s="188" t="inlineStr">
        <is>
          <t>NONE</t>
        </is>
      </c>
      <c r="Z1256" s="188" t="inlineStr">
        <is>
          <t>NONE</t>
        </is>
      </c>
      <c r="AA1256" s="188" t="inlineStr">
        <is>
          <t>NONE</t>
        </is>
      </c>
      <c r="AB1256" s="188" t="inlineStr">
        <is>
          <t>NONE</t>
        </is>
      </c>
      <c r="AC1256" s="188" t="n">
        <v>0</v>
      </c>
      <c r="AD1256" s="188" t="inlineStr"/>
    </row>
    <row r="1257">
      <c r="A1257" s="188" t="inlineStr">
        <is>
          <t>ABUSE_IP</t>
        </is>
      </c>
      <c r="B1257" s="188" t="inlineStr">
        <is>
          <t>bafb703bbe94</t>
        </is>
      </c>
      <c r="C1257" s="188" t="inlineStr">
        <is>
          <t>Malicious IP: 191.36.152.28 | Country: BR | ISP: Unknown | Confidence: 100% | Sources: ABUSEIPDB</t>
        </is>
      </c>
      <c r="D1257" s="188" t="n">
        <v>6.5</v>
      </c>
      <c r="E1257" s="188" t="inlineStr">
        <is>
          <t>MEDIUM</t>
        </is>
      </c>
      <c r="F1257" s="188" t="n">
        <v>3</v>
      </c>
      <c r="G1257" s="188" t="n">
        <v>1</v>
      </c>
      <c r="H1257" s="188" t="inlineStr">
        <is>
          <t>MEDIUM</t>
        </is>
      </c>
      <c r="I1257" s="188" t="n">
        <v>9.5</v>
      </c>
      <c r="J1257" s="188" t="inlineStr">
        <is>
          <t>NO</t>
        </is>
      </c>
      <c r="K1257" s="188" t="inlineStr">
        <is>
          <t>https://www.abuseipdb.com/check/191.36.152.28</t>
        </is>
      </c>
      <c r="L1257" s="188" t="inlineStr">
        <is>
          <t>2026-02-27T13:17:02+00:00</t>
        </is>
      </c>
      <c r="M1257" s="188" t="inlineStr">
        <is>
          <t>Block IP</t>
        </is>
      </c>
      <c r="N1257" s="188" t="inlineStr">
        <is>
          <t>https://www.abuseipdb.com/check/191.36.152.28</t>
        </is>
      </c>
      <c r="O1257" s="188" t="inlineStr">
        <is>
          <t>Block IP 191.36.152.28 at firewall | Monitor for new reports</t>
        </is>
      </c>
      <c r="P1257" s="188" t="inlineStr">
        <is>
          <t>Firewall/Network</t>
        </is>
      </c>
      <c r="Q1257" s="188" t="inlineStr">
        <is>
          <t>P4</t>
        </is>
      </c>
      <c r="R1257" s="188" t="inlineStr">
        <is>
          <t>🚫 Block IP at firewall immediately | 🔍 Check logs for existing connections | 🛡️ Add to threat intelligence blocklist</t>
        </is>
      </c>
      <c r="S1257" s="188" t="inlineStr">
        <is>
          <t>🚨 MALICIOUS: VIPTURBO COMÉRCIO &amp; SERVIÇOS DE INFORMÁTICA LTDA | 🌍 Brazil | São Gabriel | 🏢 VIPTURBO COMÉRCIO &amp; SERVIÇOS DE INFORMÁTICA LTDA | ASN: AS263333 VIPTURBO COMÉRCIO &amp; SERVIÇOS DE INFORMÁTICA LTDA | 🚨 AbuseIPDB: 100% malicious (Fixed Line ISP)</t>
        </is>
      </c>
      <c r="T1257" s="188" t="n">
        <v>0</v>
      </c>
      <c r="U1257" s="188" t="n">
        <v>0</v>
      </c>
      <c r="V1257" s="188" t="inlineStr">
        <is>
          <t>T1110:Brute Force | T1078:Valid Accounts</t>
        </is>
      </c>
      <c r="W1257" s="188" t="n">
        <v>1</v>
      </c>
      <c r="X1257" s="188" t="inlineStr">
        <is>
          <t>LOW (40%)</t>
        </is>
      </c>
      <c r="Y1257" s="188" t="inlineStr">
        <is>
          <t>NONE</t>
        </is>
      </c>
      <c r="Z1257" s="188" t="inlineStr">
        <is>
          <t>NONE</t>
        </is>
      </c>
      <c r="AA1257" s="188" t="inlineStr">
        <is>
          <t>NONE</t>
        </is>
      </c>
      <c r="AB1257" s="188" t="inlineStr">
        <is>
          <t>NONE</t>
        </is>
      </c>
      <c r="AC1257" s="188" t="n">
        <v>0</v>
      </c>
      <c r="AD1257" s="188" t="inlineStr"/>
    </row>
    <row r="1258">
      <c r="A1258" s="188" t="inlineStr">
        <is>
          <t>ABUSE_IP</t>
        </is>
      </c>
      <c r="B1258" s="188" t="inlineStr">
        <is>
          <t>85f3063a4d9b</t>
        </is>
      </c>
      <c r="C1258" s="188" t="inlineStr">
        <is>
          <t>Malicious IP: 92.118.39.56 | Country: RO | ISP: Unknown | Confidence: 100% | Sources: ABUSEIPDB</t>
        </is>
      </c>
      <c r="D1258" s="188" t="n">
        <v>6.5</v>
      </c>
      <c r="E1258" s="188" t="inlineStr">
        <is>
          <t>MEDIUM</t>
        </is>
      </c>
      <c r="F1258" s="188" t="n">
        <v>3</v>
      </c>
      <c r="G1258" s="188" t="n">
        <v>1</v>
      </c>
      <c r="H1258" s="188" t="inlineStr">
        <is>
          <t>MEDIUM</t>
        </is>
      </c>
      <c r="I1258" s="188" t="n">
        <v>9.5</v>
      </c>
      <c r="J1258" s="188" t="inlineStr">
        <is>
          <t>NO</t>
        </is>
      </c>
      <c r="K1258" s="188" t="inlineStr">
        <is>
          <t>https://www.abuseipdb.com/check/92.118.39.56</t>
        </is>
      </c>
      <c r="L1258" s="188" t="inlineStr">
        <is>
          <t>2026-02-27T13:17:01+00:00</t>
        </is>
      </c>
      <c r="M1258" s="188" t="inlineStr">
        <is>
          <t>Block IP</t>
        </is>
      </c>
      <c r="N1258" s="188" t="inlineStr">
        <is>
          <t>https://www.abuseipdb.com/check/92.118.39.56</t>
        </is>
      </c>
      <c r="O1258" s="188" t="inlineStr">
        <is>
          <t>Block IP 92.118.39.56 at firewall | Monitor for new reports</t>
        </is>
      </c>
      <c r="P1258" s="188" t="inlineStr">
        <is>
          <t>Firewall/Network</t>
        </is>
      </c>
      <c r="Q1258" s="188" t="inlineStr">
        <is>
          <t>P4</t>
        </is>
      </c>
      <c r="R1258" s="188" t="inlineStr">
        <is>
          <t>🚫 Block IP at firewall immediately | 🔍 Check logs for existing connections | 🛡️ Add to threat intelligence blocklist</t>
        </is>
      </c>
      <c r="S1258" s="188" t="inlineStr">
        <is>
          <t>🚨 MALICIOUS: Pptechnology Limited | 🌍 United States | Dallas | 🏢 Pptechnology Limited | ASN: AS47890 UNMANAGED LTD | 🔀 VPN/Proxy | 🚨 AbuseIPDB: 100% malicious (Data Center/Web Hosting/Transit)</t>
        </is>
      </c>
      <c r="T1258" s="188" t="n">
        <v>0</v>
      </c>
      <c r="U1258" s="188" t="n">
        <v>0</v>
      </c>
      <c r="V1258" s="188" t="inlineStr">
        <is>
          <t>T1110:Brute Force | T1078:Valid Accounts</t>
        </is>
      </c>
      <c r="W1258" s="188" t="n">
        <v>1</v>
      </c>
      <c r="X1258" s="188" t="inlineStr">
        <is>
          <t>LOW (40%)</t>
        </is>
      </c>
      <c r="Y1258" s="188" t="inlineStr">
        <is>
          <t>NONE</t>
        </is>
      </c>
      <c r="Z1258" s="188" t="inlineStr">
        <is>
          <t>NONE</t>
        </is>
      </c>
      <c r="AA1258" s="188" t="inlineStr">
        <is>
          <t>NONE</t>
        </is>
      </c>
      <c r="AB1258" s="188" t="inlineStr">
        <is>
          <t>NONE</t>
        </is>
      </c>
      <c r="AC1258" s="188" t="n">
        <v>0</v>
      </c>
      <c r="AD1258" s="188" t="inlineStr"/>
    </row>
    <row r="1259">
      <c r="A1259" s="188" t="inlineStr">
        <is>
          <t>ABUSE_IP</t>
        </is>
      </c>
      <c r="B1259" s="188" t="inlineStr">
        <is>
          <t>57152c521e30</t>
        </is>
      </c>
      <c r="C1259" s="188" t="inlineStr">
        <is>
          <t>Malicious IP: 74.208.90.100 | Country: US | ISP: Unknown | Confidence: 100% | Sources: ABUSEIPDB</t>
        </is>
      </c>
      <c r="D1259" s="188" t="n">
        <v>6.5</v>
      </c>
      <c r="E1259" s="188" t="inlineStr">
        <is>
          <t>MEDIUM</t>
        </is>
      </c>
      <c r="F1259" s="188" t="n">
        <v>3</v>
      </c>
      <c r="G1259" s="188" t="n">
        <v>1</v>
      </c>
      <c r="H1259" s="188" t="inlineStr">
        <is>
          <t>MEDIUM</t>
        </is>
      </c>
      <c r="I1259" s="188" t="n">
        <v>9.5</v>
      </c>
      <c r="J1259" s="188" t="inlineStr">
        <is>
          <t>NO</t>
        </is>
      </c>
      <c r="K1259" s="188" t="inlineStr">
        <is>
          <t>https://www.abuseipdb.com/check/74.208.90.100</t>
        </is>
      </c>
      <c r="L1259" s="188" t="inlineStr">
        <is>
          <t>2026-02-27T13:17:01+00:00</t>
        </is>
      </c>
      <c r="M1259" s="188" t="inlineStr">
        <is>
          <t>Block IP</t>
        </is>
      </c>
      <c r="N1259" s="188" t="inlineStr">
        <is>
          <t>https://www.abuseipdb.com/check/74.208.90.100</t>
        </is>
      </c>
      <c r="O1259" s="188" t="inlineStr">
        <is>
          <t>Block IP 74.208.90.100 at firewall | Monitor for new reports</t>
        </is>
      </c>
      <c r="P1259" s="188" t="inlineStr">
        <is>
          <t>Firewall/Network</t>
        </is>
      </c>
      <c r="Q1259" s="188" t="inlineStr">
        <is>
          <t>P4</t>
        </is>
      </c>
      <c r="R1259" s="188" t="inlineStr">
        <is>
          <t>🚫 Block IP at firewall immediately | 🔍 Check logs for existing connections | 🛡️ Add to threat intelligence blocklist</t>
        </is>
      </c>
      <c r="S1259" s="188" t="inlineStr">
        <is>
          <t>Skipped (20/run cap)</t>
        </is>
      </c>
      <c r="T1259" s="188" t="n">
        <v>0</v>
      </c>
      <c r="U1259" s="188" t="n">
        <v>0</v>
      </c>
      <c r="V1259" s="188" t="inlineStr">
        <is>
          <t>T1110:Brute Force | T1078:Valid Accounts</t>
        </is>
      </c>
      <c r="W1259" s="188" t="n">
        <v>1</v>
      </c>
      <c r="X1259" s="188" t="inlineStr">
        <is>
          <t>LOW (40%)</t>
        </is>
      </c>
      <c r="Y1259" s="188" t="inlineStr">
        <is>
          <t>NONE</t>
        </is>
      </c>
      <c r="Z1259" s="188" t="inlineStr">
        <is>
          <t>NONE</t>
        </is>
      </c>
      <c r="AA1259" s="188" t="inlineStr">
        <is>
          <t>NONE</t>
        </is>
      </c>
      <c r="AB1259" s="188" t="inlineStr">
        <is>
          <t>NONE</t>
        </is>
      </c>
      <c r="AC1259" s="188" t="n">
        <v>0</v>
      </c>
      <c r="AD1259" s="188" t="inlineStr"/>
    </row>
    <row r="1260">
      <c r="A1260" s="188" t="inlineStr">
        <is>
          <t>ABUSE_IP</t>
        </is>
      </c>
      <c r="B1260" s="188" t="inlineStr">
        <is>
          <t>1c9e454bffa8</t>
        </is>
      </c>
      <c r="C1260" s="188" t="inlineStr">
        <is>
          <t>Malicious IP: 1.241.64.237 | Country: KR | ISP: Unknown | Confidence: 100% | Sources: BLOCKLIST_DE, ABUSEIPDB</t>
        </is>
      </c>
      <c r="D1260" s="188" t="n">
        <v>6.5</v>
      </c>
      <c r="E1260" s="188" t="inlineStr">
        <is>
          <t>MEDIUM</t>
        </is>
      </c>
      <c r="F1260" s="188" t="n">
        <v>3</v>
      </c>
      <c r="G1260" s="188" t="n">
        <v>1</v>
      </c>
      <c r="H1260" s="188" t="inlineStr">
        <is>
          <t>MEDIUM</t>
        </is>
      </c>
      <c r="I1260" s="188" t="n">
        <v>9.5</v>
      </c>
      <c r="J1260" s="188" t="inlineStr">
        <is>
          <t>NO</t>
        </is>
      </c>
      <c r="K1260" s="188" t="inlineStr">
        <is>
          <t>https://www.abuseipdb.com/check/1.241.64.237</t>
        </is>
      </c>
      <c r="L1260" s="188" t="inlineStr">
        <is>
          <t>2026-02-27T13:17:01+00:00</t>
        </is>
      </c>
      <c r="M1260" s="188" t="inlineStr">
        <is>
          <t>Block IP</t>
        </is>
      </c>
      <c r="N1260" s="188" t="inlineStr">
        <is>
          <t>https://www.abuseipdb.com/check/1.241.64.237</t>
        </is>
      </c>
      <c r="O1260" s="188" t="inlineStr">
        <is>
          <t>Block IP 1.241.64.237 at firewall | Monitor for new reports</t>
        </is>
      </c>
      <c r="P1260" s="188" t="inlineStr">
        <is>
          <t>Firewall/Network</t>
        </is>
      </c>
      <c r="Q1260" s="188" t="inlineStr">
        <is>
          <t>P3</t>
        </is>
      </c>
      <c r="R1260" s="188" t="inlineStr">
        <is>
          <t>🚫 Block IP at firewall immediately | 🔍 Check logs for existing connections | 🛡️ Add to threat intelligence blocklist</t>
        </is>
      </c>
      <c r="S1260" s="188" t="inlineStr">
        <is>
          <t>🚨 MALICIOUS: SK Broadband Co Ltd | 🌍 South Korea | Siheung-si | 🏢 SK Broadband Co Ltd | ASN: AS9318 SK Broadband Co Ltd | 🚨 AbuseIPDB: 100% malicious (Fixed Line ISP)</t>
        </is>
      </c>
      <c r="T1260" s="188" t="n">
        <v>0</v>
      </c>
      <c r="U1260" s="188" t="n">
        <v>0</v>
      </c>
      <c r="V1260" s="188" t="inlineStr">
        <is>
          <t>T1110:Brute Force | T1078:Valid Accounts</t>
        </is>
      </c>
      <c r="W1260" s="188" t="n">
        <v>2</v>
      </c>
      <c r="X1260" s="188" t="inlineStr">
        <is>
          <t>MEDIUM (52%)</t>
        </is>
      </c>
      <c r="Y1260" s="188" t="inlineStr">
        <is>
          <t>NONE</t>
        </is>
      </c>
      <c r="Z1260" s="188" t="inlineStr">
        <is>
          <t>NONE</t>
        </is>
      </c>
      <c r="AA1260" s="188" t="inlineStr">
        <is>
          <t>NONE</t>
        </is>
      </c>
      <c r="AB1260" s="188" t="inlineStr">
        <is>
          <t>NONE</t>
        </is>
      </c>
      <c r="AC1260" s="188" t="n">
        <v>0</v>
      </c>
      <c r="AD1260" s="188" t="inlineStr"/>
    </row>
    <row r="1261">
      <c r="A1261" s="188" t="inlineStr">
        <is>
          <t>ABUSE_IP</t>
        </is>
      </c>
      <c r="B1261" s="188" t="inlineStr">
        <is>
          <t>4b285fa59c2b</t>
        </is>
      </c>
      <c r="C1261" s="188" t="inlineStr">
        <is>
          <t>Malicious IP: 14.103.112.42 | Country: CN | ISP: Unknown | Confidence: 100% | Sources: ABUSEIPDB</t>
        </is>
      </c>
      <c r="D1261" s="188" t="n">
        <v>6.5</v>
      </c>
      <c r="E1261" s="188" t="inlineStr">
        <is>
          <t>MEDIUM</t>
        </is>
      </c>
      <c r="F1261" s="188" t="n">
        <v>3</v>
      </c>
      <c r="G1261" s="188" t="n">
        <v>1</v>
      </c>
      <c r="H1261" s="188" t="inlineStr">
        <is>
          <t>MEDIUM</t>
        </is>
      </c>
      <c r="I1261" s="188" t="n">
        <v>9.5</v>
      </c>
      <c r="J1261" s="188" t="inlineStr">
        <is>
          <t>NO</t>
        </is>
      </c>
      <c r="K1261" s="188" t="inlineStr">
        <is>
          <t>https://www.abuseipdb.com/check/14.103.112.42</t>
        </is>
      </c>
      <c r="L1261" s="188" t="inlineStr">
        <is>
          <t>2026-02-27T13:17:01+00:00</t>
        </is>
      </c>
      <c r="M1261" s="188" t="inlineStr">
        <is>
          <t>Block IP</t>
        </is>
      </c>
      <c r="N1261" s="188" t="inlineStr">
        <is>
          <t>https://www.abuseipdb.com/check/14.103.112.42</t>
        </is>
      </c>
      <c r="O1261" s="188" t="inlineStr">
        <is>
          <t>Block IP 14.103.112.42 at firewall | Monitor for new reports</t>
        </is>
      </c>
      <c r="P1261" s="188" t="inlineStr">
        <is>
          <t>Firewall/Network</t>
        </is>
      </c>
      <c r="Q1261" s="188" t="inlineStr">
        <is>
          <t>P4</t>
        </is>
      </c>
      <c r="R1261" s="188" t="inlineStr">
        <is>
          <t>🚫 Block IP at firewall immediately | 🔍 Check logs for existing connections | 🛡️ Add to threat intelligence blocklist</t>
        </is>
      </c>
      <c r="S1261" s="188" t="inlineStr">
        <is>
          <t>Skipped (20/run cap)</t>
        </is>
      </c>
      <c r="T1261" s="188" t="n">
        <v>0</v>
      </c>
      <c r="U1261" s="188" t="n">
        <v>0</v>
      </c>
      <c r="V1261" s="188" t="inlineStr">
        <is>
          <t>T1110:Brute Force | T1078:Valid Accounts</t>
        </is>
      </c>
      <c r="W1261" s="188" t="n">
        <v>1</v>
      </c>
      <c r="X1261" s="188" t="inlineStr">
        <is>
          <t>LOW (40%)</t>
        </is>
      </c>
      <c r="Y1261" s="188" t="inlineStr">
        <is>
          <t>NONE</t>
        </is>
      </c>
      <c r="Z1261" s="188" t="inlineStr">
        <is>
          <t>NONE</t>
        </is>
      </c>
      <c r="AA1261" s="188" t="inlineStr">
        <is>
          <t>NONE</t>
        </is>
      </c>
      <c r="AB1261" s="188" t="inlineStr">
        <is>
          <t>NONE</t>
        </is>
      </c>
      <c r="AC1261" s="188" t="n">
        <v>0</v>
      </c>
      <c r="AD1261" s="188" t="inlineStr"/>
    </row>
    <row r="1262">
      <c r="A1262" s="188" t="inlineStr">
        <is>
          <t>ABUSE_IP</t>
        </is>
      </c>
      <c r="B1262" s="188" t="inlineStr">
        <is>
          <t>1545caeb84fa</t>
        </is>
      </c>
      <c r="C1262" s="188" t="inlineStr">
        <is>
          <t>Malicious IP: 51.75.253.68 | Country: FR | ISP: Unknown | Confidence: 100% | Sources: ABUSEIPDB</t>
        </is>
      </c>
      <c r="D1262" s="188" t="n">
        <v>6.5</v>
      </c>
      <c r="E1262" s="188" t="inlineStr">
        <is>
          <t>MEDIUM</t>
        </is>
      </c>
      <c r="F1262" s="188" t="n">
        <v>3</v>
      </c>
      <c r="G1262" s="188" t="n">
        <v>1</v>
      </c>
      <c r="H1262" s="188" t="inlineStr">
        <is>
          <t>MEDIUM</t>
        </is>
      </c>
      <c r="I1262" s="188" t="n">
        <v>9.5</v>
      </c>
      <c r="J1262" s="188" t="inlineStr">
        <is>
          <t>NO</t>
        </is>
      </c>
      <c r="K1262" s="188" t="inlineStr">
        <is>
          <t>https://www.abuseipdb.com/check/51.75.253.68</t>
        </is>
      </c>
      <c r="L1262" s="188" t="inlineStr">
        <is>
          <t>2026-02-27T13:17:01+00:00</t>
        </is>
      </c>
      <c r="M1262" s="188" t="inlineStr">
        <is>
          <t>Block IP</t>
        </is>
      </c>
      <c r="N1262" s="188" t="inlineStr">
        <is>
          <t>https://www.abuseipdb.com/check/51.75.253.68</t>
        </is>
      </c>
      <c r="O1262" s="188" t="inlineStr">
        <is>
          <t>Block IP 51.75.253.68 at firewall | Monitor for new reports</t>
        </is>
      </c>
      <c r="P1262" s="188" t="inlineStr">
        <is>
          <t>Firewall/Network</t>
        </is>
      </c>
      <c r="Q1262" s="188" t="inlineStr">
        <is>
          <t>P4</t>
        </is>
      </c>
      <c r="R1262" s="188" t="inlineStr">
        <is>
          <t>🚫 Block IP at firewall immediately | 🔍 Check logs for existing connections | 🛡️ Add to threat intelligence blocklist</t>
        </is>
      </c>
      <c r="S1262" s="188" t="inlineStr">
        <is>
          <t>Skipped (20/run cap)</t>
        </is>
      </c>
      <c r="T1262" s="188" t="n">
        <v>0</v>
      </c>
      <c r="U1262" s="188" t="n">
        <v>0</v>
      </c>
      <c r="V1262" s="188" t="inlineStr">
        <is>
          <t>T1110:Brute Force | T1078:Valid Accounts</t>
        </is>
      </c>
      <c r="W1262" s="188" t="n">
        <v>1</v>
      </c>
      <c r="X1262" s="188" t="inlineStr">
        <is>
          <t>LOW (40%)</t>
        </is>
      </c>
      <c r="Y1262" s="188" t="inlineStr">
        <is>
          <t>NONE</t>
        </is>
      </c>
      <c r="Z1262" s="188" t="inlineStr">
        <is>
          <t>NONE</t>
        </is>
      </c>
      <c r="AA1262" s="188" t="inlineStr">
        <is>
          <t>NONE</t>
        </is>
      </c>
      <c r="AB1262" s="188" t="inlineStr">
        <is>
          <t>NONE</t>
        </is>
      </c>
      <c r="AC1262" s="188" t="n">
        <v>0</v>
      </c>
      <c r="AD1262" s="188" t="inlineStr"/>
    </row>
    <row r="1263">
      <c r="A1263" s="188" t="inlineStr">
        <is>
          <t>ABUSE_IP</t>
        </is>
      </c>
      <c r="B1263" s="188" t="inlineStr">
        <is>
          <t>a9ea40f9521d</t>
        </is>
      </c>
      <c r="C1263" s="188" t="inlineStr">
        <is>
          <t>Malicious IP: 64.62.156.140 | Country: US | ISP: Unknown | Confidence: 100% | Sources: ABUSEIPDB</t>
        </is>
      </c>
      <c r="D1263" s="188" t="n">
        <v>6.5</v>
      </c>
      <c r="E1263" s="188" t="inlineStr">
        <is>
          <t>MEDIUM</t>
        </is>
      </c>
      <c r="F1263" s="188" t="n">
        <v>3</v>
      </c>
      <c r="G1263" s="188" t="n">
        <v>1</v>
      </c>
      <c r="H1263" s="188" t="inlineStr">
        <is>
          <t>MEDIUM</t>
        </is>
      </c>
      <c r="I1263" s="188" t="n">
        <v>9.5</v>
      </c>
      <c r="J1263" s="188" t="inlineStr">
        <is>
          <t>NO</t>
        </is>
      </c>
      <c r="K1263" s="188" t="inlineStr">
        <is>
          <t>https://www.abuseipdb.com/check/64.62.156.140</t>
        </is>
      </c>
      <c r="L1263" s="188" t="inlineStr">
        <is>
          <t>2026-02-27T13:17:01+00:00</t>
        </is>
      </c>
      <c r="M1263" s="188" t="inlineStr">
        <is>
          <t>Block IP</t>
        </is>
      </c>
      <c r="N1263" s="188" t="inlineStr">
        <is>
          <t>https://www.abuseipdb.com/check/64.62.156.140</t>
        </is>
      </c>
      <c r="O1263" s="188" t="inlineStr">
        <is>
          <t>Block IP 64.62.156.140 at firewall | Monitor for new reports</t>
        </is>
      </c>
      <c r="P1263" s="188" t="inlineStr">
        <is>
          <t>Firewall/Network</t>
        </is>
      </c>
      <c r="Q1263" s="188" t="inlineStr">
        <is>
          <t>P4</t>
        </is>
      </c>
      <c r="R1263" s="188" t="inlineStr">
        <is>
          <t>🚫 Block IP at firewall immediately | 🔍 Check logs for existing connections | 🛡️ Add to threat intelligence blocklist</t>
        </is>
      </c>
      <c r="S1263" s="188" t="inlineStr">
        <is>
          <t>Skipped (20/run cap)</t>
        </is>
      </c>
      <c r="T1263" s="188" t="n">
        <v>0</v>
      </c>
      <c r="U1263" s="188" t="n">
        <v>0</v>
      </c>
      <c r="V1263" s="188" t="inlineStr">
        <is>
          <t>T1110:Brute Force | T1078:Valid Accounts</t>
        </is>
      </c>
      <c r="W1263" s="188" t="n">
        <v>1</v>
      </c>
      <c r="X1263" s="188" t="inlineStr">
        <is>
          <t>LOW (40%)</t>
        </is>
      </c>
      <c r="Y1263" s="188" t="inlineStr">
        <is>
          <t>NONE</t>
        </is>
      </c>
      <c r="Z1263" s="188" t="inlineStr">
        <is>
          <t>NONE</t>
        </is>
      </c>
      <c r="AA1263" s="188" t="inlineStr">
        <is>
          <t>NONE</t>
        </is>
      </c>
      <c r="AB1263" s="188" t="inlineStr">
        <is>
          <t>NONE</t>
        </is>
      </c>
      <c r="AC1263" s="188" t="n">
        <v>0</v>
      </c>
      <c r="AD1263" s="188" t="inlineStr"/>
    </row>
    <row r="1264">
      <c r="A1264" s="188" t="inlineStr">
        <is>
          <t>ABUSE_IP</t>
        </is>
      </c>
      <c r="B1264" s="188" t="inlineStr">
        <is>
          <t>2916c2be7371</t>
        </is>
      </c>
      <c r="C1264" s="188" t="inlineStr">
        <is>
          <t>Malicious IP: 69.57.172.96 | Country: IN | ISP: Unknown | Confidence: 100% | Sources: ABUSEIPDB</t>
        </is>
      </c>
      <c r="D1264" s="188" t="n">
        <v>6.5</v>
      </c>
      <c r="E1264" s="188" t="inlineStr">
        <is>
          <t>MEDIUM</t>
        </is>
      </c>
      <c r="F1264" s="188" t="n">
        <v>3</v>
      </c>
      <c r="G1264" s="188" t="n">
        <v>1</v>
      </c>
      <c r="H1264" s="188" t="inlineStr">
        <is>
          <t>MEDIUM</t>
        </is>
      </c>
      <c r="I1264" s="188" t="n">
        <v>9.5</v>
      </c>
      <c r="J1264" s="188" t="inlineStr">
        <is>
          <t>NO</t>
        </is>
      </c>
      <c r="K1264" s="188" t="inlineStr">
        <is>
          <t>https://www.abuseipdb.com/check/69.57.172.96</t>
        </is>
      </c>
      <c r="L1264" s="188" t="inlineStr">
        <is>
          <t>2026-02-27T13:17:01+00:00</t>
        </is>
      </c>
      <c r="M1264" s="188" t="inlineStr">
        <is>
          <t>Block IP</t>
        </is>
      </c>
      <c r="N1264" s="188" t="inlineStr">
        <is>
          <t>https://www.abuseipdb.com/check/69.57.172.96</t>
        </is>
      </c>
      <c r="O1264" s="188" t="inlineStr">
        <is>
          <t>Block IP 69.57.172.96 at firewall | Monitor for new reports</t>
        </is>
      </c>
      <c r="P1264" s="188" t="inlineStr">
        <is>
          <t>Firewall/Network</t>
        </is>
      </c>
      <c r="Q1264" s="188" t="inlineStr">
        <is>
          <t>P4</t>
        </is>
      </c>
      <c r="R1264" s="188" t="inlineStr">
        <is>
          <t>🚫 Block IP at firewall immediately | 🔍 Check logs for existing connections | 🛡️ Add to threat intelligence blocklist</t>
        </is>
      </c>
      <c r="S1264" s="188" t="inlineStr">
        <is>
          <t>Skipped (20/run cap)</t>
        </is>
      </c>
      <c r="T1264" s="188" t="n">
        <v>0</v>
      </c>
      <c r="U1264" s="188" t="n">
        <v>0</v>
      </c>
      <c r="V1264" s="188" t="inlineStr">
        <is>
          <t>T1110:Brute Force | T1078:Valid Accounts</t>
        </is>
      </c>
      <c r="W1264" s="188" t="n">
        <v>1</v>
      </c>
      <c r="X1264" s="188" t="inlineStr">
        <is>
          <t>LOW (40%)</t>
        </is>
      </c>
      <c r="Y1264" s="188" t="inlineStr">
        <is>
          <t>NONE</t>
        </is>
      </c>
      <c r="Z1264" s="188" t="inlineStr">
        <is>
          <t>NONE</t>
        </is>
      </c>
      <c r="AA1264" s="188" t="inlineStr">
        <is>
          <t>NONE</t>
        </is>
      </c>
      <c r="AB1264" s="188" t="inlineStr">
        <is>
          <t>NONE</t>
        </is>
      </c>
      <c r="AC1264" s="188" t="n">
        <v>0</v>
      </c>
      <c r="AD1264" s="188" t="inlineStr"/>
    </row>
    <row r="1265">
      <c r="A1265" s="188" t="inlineStr">
        <is>
          <t>ABUSE_IP</t>
        </is>
      </c>
      <c r="B1265" s="188" t="inlineStr">
        <is>
          <t>5e246d5f78ac</t>
        </is>
      </c>
      <c r="C1265" s="188" t="inlineStr">
        <is>
          <t>Malicious IP: 36.92.9.2 | Country: ID | ISP: Unknown | Confidence: 100% | Sources: ABUSEIPDB</t>
        </is>
      </c>
      <c r="D1265" s="188" t="n">
        <v>6.5</v>
      </c>
      <c r="E1265" s="188" t="inlineStr">
        <is>
          <t>MEDIUM</t>
        </is>
      </c>
      <c r="F1265" s="188" t="n">
        <v>3</v>
      </c>
      <c r="G1265" s="188" t="n">
        <v>1</v>
      </c>
      <c r="H1265" s="188" t="inlineStr">
        <is>
          <t>MEDIUM</t>
        </is>
      </c>
      <c r="I1265" s="188" t="n">
        <v>9.5</v>
      </c>
      <c r="J1265" s="188" t="inlineStr">
        <is>
          <t>NO</t>
        </is>
      </c>
      <c r="K1265" s="188" t="inlineStr">
        <is>
          <t>https://www.abuseipdb.com/check/36.92.9.2</t>
        </is>
      </c>
      <c r="L1265" s="188" t="inlineStr">
        <is>
          <t>2026-02-27T13:17:01+00:00</t>
        </is>
      </c>
      <c r="M1265" s="188" t="inlineStr">
        <is>
          <t>Block IP</t>
        </is>
      </c>
      <c r="N1265" s="188" t="inlineStr">
        <is>
          <t>https://www.abuseipdb.com/check/36.92.9.2</t>
        </is>
      </c>
      <c r="O1265" s="188" t="inlineStr">
        <is>
          <t>Block IP 36.92.9.2 at firewall | Monitor for new reports</t>
        </is>
      </c>
      <c r="P1265" s="188" t="inlineStr">
        <is>
          <t>Firewall/Network</t>
        </is>
      </c>
      <c r="Q1265" s="188" t="inlineStr">
        <is>
          <t>P4</t>
        </is>
      </c>
      <c r="R1265" s="188" t="inlineStr">
        <is>
          <t>🚫 Block IP at firewall immediately | 🔍 Check logs for existing connections | 🛡️ Add to threat intelligence blocklist</t>
        </is>
      </c>
      <c r="S1265" s="188" t="inlineStr">
        <is>
          <t>🚨 MALICIOUS: Telkomnet | 🌍 Indonesia | Kotabunan | 🏢 Telkomnet | ASN: AS7713 PT Telekomunikasi Indonesia | 🚨 AbuseIPDB: 100% malicious (Mobile ISP)</t>
        </is>
      </c>
      <c r="T1265" s="188" t="n">
        <v>0</v>
      </c>
      <c r="U1265" s="188" t="n">
        <v>0</v>
      </c>
      <c r="V1265" s="188" t="inlineStr">
        <is>
          <t>T1110:Brute Force | T1078:Valid Accounts</t>
        </is>
      </c>
      <c r="W1265" s="188" t="n">
        <v>1</v>
      </c>
      <c r="X1265" s="188" t="inlineStr">
        <is>
          <t>LOW (40%)</t>
        </is>
      </c>
      <c r="Y1265" s="188" t="inlineStr">
        <is>
          <t>NONE</t>
        </is>
      </c>
      <c r="Z1265" s="188" t="inlineStr">
        <is>
          <t>NONE</t>
        </is>
      </c>
      <c r="AA1265" s="188" t="inlineStr">
        <is>
          <t>NONE</t>
        </is>
      </c>
      <c r="AB1265" s="188" t="inlineStr">
        <is>
          <t>NONE</t>
        </is>
      </c>
      <c r="AC1265" s="188" t="n">
        <v>0</v>
      </c>
      <c r="AD1265" s="188" t="inlineStr"/>
    </row>
    <row r="1266">
      <c r="A1266" s="188" t="inlineStr">
        <is>
          <t>ABUSE_IP</t>
        </is>
      </c>
      <c r="B1266" s="188" t="inlineStr">
        <is>
          <t>fb88d06b81b9</t>
        </is>
      </c>
      <c r="C1266" s="188" t="inlineStr">
        <is>
          <t>Malicious IP: 45.148.10.152 | Country: NL | ISP: Unknown | Confidence: 100% | Sources: ABUSEIPDB</t>
        </is>
      </c>
      <c r="D1266" s="188" t="n">
        <v>6.5</v>
      </c>
      <c r="E1266" s="188" t="inlineStr">
        <is>
          <t>MEDIUM</t>
        </is>
      </c>
      <c r="F1266" s="188" t="n">
        <v>3</v>
      </c>
      <c r="G1266" s="188" t="n">
        <v>1</v>
      </c>
      <c r="H1266" s="188" t="inlineStr">
        <is>
          <t>MEDIUM</t>
        </is>
      </c>
      <c r="I1266" s="188" t="n">
        <v>9.5</v>
      </c>
      <c r="J1266" s="188" t="inlineStr">
        <is>
          <t>NO</t>
        </is>
      </c>
      <c r="K1266" s="188" t="inlineStr">
        <is>
          <t>https://www.abuseipdb.com/check/45.148.10.152</t>
        </is>
      </c>
      <c r="L1266" s="188" t="inlineStr">
        <is>
          <t>2026-02-27T13:17:00+00:00</t>
        </is>
      </c>
      <c r="M1266" s="188" t="inlineStr">
        <is>
          <t>Block IP</t>
        </is>
      </c>
      <c r="N1266" s="188" t="inlineStr">
        <is>
          <t>https://www.abuseipdb.com/check/45.148.10.152</t>
        </is>
      </c>
      <c r="O1266" s="188" t="inlineStr">
        <is>
          <t>Block IP 45.148.10.152 at firewall | Monitor for new reports</t>
        </is>
      </c>
      <c r="P1266" s="188" t="inlineStr">
        <is>
          <t>Firewall/Network</t>
        </is>
      </c>
      <c r="Q1266" s="188" t="inlineStr">
        <is>
          <t>P4</t>
        </is>
      </c>
      <c r="R1266" s="188" t="inlineStr">
        <is>
          <t>🚫 Block IP at firewall immediately | 🔍 Check logs for existing connections | 🛡️ Add to threat intelligence blocklist</t>
        </is>
      </c>
      <c r="S1266" s="188" t="inlineStr">
        <is>
          <t>Skipped (20/run cap)</t>
        </is>
      </c>
      <c r="T1266" s="188" t="n">
        <v>0</v>
      </c>
      <c r="U1266" s="188" t="n">
        <v>0</v>
      </c>
      <c r="V1266" s="188" t="inlineStr">
        <is>
          <t>T1110:Brute Force | T1078:Valid Accounts</t>
        </is>
      </c>
      <c r="W1266" s="188" t="n">
        <v>1</v>
      </c>
      <c r="X1266" s="188" t="inlineStr">
        <is>
          <t>LOW (40%)</t>
        </is>
      </c>
      <c r="Y1266" s="188" t="inlineStr">
        <is>
          <t>NONE</t>
        </is>
      </c>
      <c r="Z1266" s="188" t="inlineStr">
        <is>
          <t>NONE</t>
        </is>
      </c>
      <c r="AA1266" s="188" t="inlineStr">
        <is>
          <t>NONE</t>
        </is>
      </c>
      <c r="AB1266" s="188" t="inlineStr">
        <is>
          <t>NONE</t>
        </is>
      </c>
      <c r="AC1266" s="188" t="n">
        <v>0</v>
      </c>
      <c r="AD1266" s="188" t="inlineStr"/>
    </row>
    <row r="1267">
      <c r="A1267" s="188" t="inlineStr">
        <is>
          <t>ABUSE_IP</t>
        </is>
      </c>
      <c r="B1267" s="188" t="inlineStr">
        <is>
          <t>9d0d94f2f59e</t>
        </is>
      </c>
      <c r="C1267" s="188" t="inlineStr">
        <is>
          <t>Malicious IP: 113.172.100.122 | Country: VN | ISP: Unknown | Confidence: 100% | Sources: ABUSEIPDB</t>
        </is>
      </c>
      <c r="D1267" s="188" t="n">
        <v>6.5</v>
      </c>
      <c r="E1267" s="188" t="inlineStr">
        <is>
          <t>MEDIUM</t>
        </is>
      </c>
      <c r="F1267" s="188" t="n">
        <v>3</v>
      </c>
      <c r="G1267" s="188" t="n">
        <v>1</v>
      </c>
      <c r="H1267" s="188" t="inlineStr">
        <is>
          <t>MEDIUM</t>
        </is>
      </c>
      <c r="I1267" s="188" t="n">
        <v>9.5</v>
      </c>
      <c r="J1267" s="188" t="inlineStr">
        <is>
          <t>NO</t>
        </is>
      </c>
      <c r="K1267" s="188" t="inlineStr">
        <is>
          <t>https://www.abuseipdb.com/check/113.172.100.122</t>
        </is>
      </c>
      <c r="L1267" s="188" t="inlineStr">
        <is>
          <t>2026-02-27T13:17:00+00:00</t>
        </is>
      </c>
      <c r="M1267" s="188" t="inlineStr">
        <is>
          <t>Block IP</t>
        </is>
      </c>
      <c r="N1267" s="188" t="inlineStr">
        <is>
          <t>https://www.abuseipdb.com/check/113.172.100.122</t>
        </is>
      </c>
      <c r="O1267" s="188" t="inlineStr">
        <is>
          <t>Block IP 113.172.100.122 at firewall | Monitor for new reports</t>
        </is>
      </c>
      <c r="P1267" s="188" t="inlineStr">
        <is>
          <t>Firewall/Network</t>
        </is>
      </c>
      <c r="Q1267" s="188" t="inlineStr">
        <is>
          <t>P4</t>
        </is>
      </c>
      <c r="R1267" s="188" t="inlineStr">
        <is>
          <t>🚫 Block IP at firewall immediately | 🔍 Check logs for existing connections | 🛡️ Add to threat intelligence blocklist</t>
        </is>
      </c>
      <c r="S1267" s="188" t="inlineStr">
        <is>
          <t>🚨 MALICIOUS: Vietnam Posts and Telecommunications Group | 🌍 Vietnam | Ho Chi Minh City | 🏢 Vietnam Posts and Telecommunications Group | ASN: AS45899 VNPT Corp | 🚨 AbuseIPDB: 100% malicious (Fixed Line ISP)</t>
        </is>
      </c>
      <c r="T1267" s="188" t="n">
        <v>0</v>
      </c>
      <c r="U1267" s="188" t="n">
        <v>0</v>
      </c>
      <c r="V1267" s="188" t="inlineStr">
        <is>
          <t>T1110:Brute Force | T1078:Valid Accounts</t>
        </is>
      </c>
      <c r="W1267" s="188" t="n">
        <v>1</v>
      </c>
      <c r="X1267" s="188" t="inlineStr">
        <is>
          <t>LOW (40%)</t>
        </is>
      </c>
      <c r="Y1267" s="188" t="inlineStr">
        <is>
          <t>NONE</t>
        </is>
      </c>
      <c r="Z1267" s="188" t="inlineStr">
        <is>
          <t>NONE</t>
        </is>
      </c>
      <c r="AA1267" s="188" t="inlineStr">
        <is>
          <t>NONE</t>
        </is>
      </c>
      <c r="AB1267" s="188" t="inlineStr">
        <is>
          <t>NONE</t>
        </is>
      </c>
      <c r="AC1267" s="188" t="n">
        <v>0</v>
      </c>
      <c r="AD1267" s="188" t="inlineStr"/>
    </row>
    <row r="1268">
      <c r="A1268" s="188" t="inlineStr">
        <is>
          <t>ABUSE_IP</t>
        </is>
      </c>
      <c r="B1268" s="188" t="inlineStr">
        <is>
          <t>26ed86fb269b</t>
        </is>
      </c>
      <c r="C1268" s="188" t="inlineStr">
        <is>
          <t>Malicious IP: 65.49.1.130 | Country: US | ISP: Unknown | Confidence: 100% | Sources: ABUSEIPDB</t>
        </is>
      </c>
      <c r="D1268" s="188" t="n">
        <v>6.5</v>
      </c>
      <c r="E1268" s="188" t="inlineStr">
        <is>
          <t>MEDIUM</t>
        </is>
      </c>
      <c r="F1268" s="188" t="n">
        <v>3</v>
      </c>
      <c r="G1268" s="188" t="n">
        <v>1</v>
      </c>
      <c r="H1268" s="188" t="inlineStr">
        <is>
          <t>MEDIUM</t>
        </is>
      </c>
      <c r="I1268" s="188" t="n">
        <v>9.5</v>
      </c>
      <c r="J1268" s="188" t="inlineStr">
        <is>
          <t>NO</t>
        </is>
      </c>
      <c r="K1268" s="188" t="inlineStr">
        <is>
          <t>https://www.abuseipdb.com/check/65.49.1.130</t>
        </is>
      </c>
      <c r="L1268" s="188" t="inlineStr">
        <is>
          <t>2026-02-27T13:17:00+00:00</t>
        </is>
      </c>
      <c r="M1268" s="188" t="inlineStr">
        <is>
          <t>Block IP</t>
        </is>
      </c>
      <c r="N1268" s="188" t="inlineStr">
        <is>
          <t>https://www.abuseipdb.com/check/65.49.1.130</t>
        </is>
      </c>
      <c r="O1268" s="188" t="inlineStr">
        <is>
          <t>Block IP 65.49.1.130 at firewall | Monitor for new reports</t>
        </is>
      </c>
      <c r="P1268" s="188" t="inlineStr">
        <is>
          <t>Firewall/Network</t>
        </is>
      </c>
      <c r="Q1268" s="188" t="inlineStr">
        <is>
          <t>P4</t>
        </is>
      </c>
      <c r="R1268" s="188" t="inlineStr">
        <is>
          <t>🚫 Block IP at firewall immediately | 🔍 Check logs for existing connections | 🛡️ Add to threat intelligence blocklist</t>
        </is>
      </c>
      <c r="S1268" s="188" t="inlineStr">
        <is>
          <t>Skipped (20/run cap)</t>
        </is>
      </c>
      <c r="T1268" s="188" t="n">
        <v>0</v>
      </c>
      <c r="U1268" s="188" t="n">
        <v>0</v>
      </c>
      <c r="V1268" s="188" t="inlineStr">
        <is>
          <t>T1110:Brute Force | T1078:Valid Accounts</t>
        </is>
      </c>
      <c r="W1268" s="188" t="n">
        <v>1</v>
      </c>
      <c r="X1268" s="188" t="inlineStr">
        <is>
          <t>LOW (40%)</t>
        </is>
      </c>
      <c r="Y1268" s="188" t="inlineStr">
        <is>
          <t>NONE</t>
        </is>
      </c>
      <c r="Z1268" s="188" t="inlineStr">
        <is>
          <t>NONE</t>
        </is>
      </c>
      <c r="AA1268" s="188" t="inlineStr">
        <is>
          <t>NONE</t>
        </is>
      </c>
      <c r="AB1268" s="188" t="inlineStr">
        <is>
          <t>NONE</t>
        </is>
      </c>
      <c r="AC1268" s="188" t="n">
        <v>0</v>
      </c>
      <c r="AD1268" s="188" t="inlineStr"/>
    </row>
    <row r="1269">
      <c r="A1269" s="188" t="inlineStr">
        <is>
          <t>ABUSE_IP</t>
        </is>
      </c>
      <c r="B1269" s="188" t="inlineStr">
        <is>
          <t>7cea55a74c59</t>
        </is>
      </c>
      <c r="C1269" s="188" t="inlineStr">
        <is>
          <t>Malicious IP: 91.224.92.108 | Country: LT | ISP: Unknown | Confidence: 100% | Sources: ABUSEIPDB</t>
        </is>
      </c>
      <c r="D1269" s="188" t="n">
        <v>6.5</v>
      </c>
      <c r="E1269" s="188" t="inlineStr">
        <is>
          <t>MEDIUM</t>
        </is>
      </c>
      <c r="F1269" s="188" t="n">
        <v>3</v>
      </c>
      <c r="G1269" s="188" t="n">
        <v>1</v>
      </c>
      <c r="H1269" s="188" t="inlineStr">
        <is>
          <t>MEDIUM</t>
        </is>
      </c>
      <c r="I1269" s="188" t="n">
        <v>9.5</v>
      </c>
      <c r="J1269" s="188" t="inlineStr">
        <is>
          <t>NO</t>
        </is>
      </c>
      <c r="K1269" s="188" t="inlineStr">
        <is>
          <t>https://www.abuseipdb.com/check/91.224.92.108</t>
        </is>
      </c>
      <c r="L1269" s="188" t="inlineStr">
        <is>
          <t>2026-02-27T13:17:00+00:00</t>
        </is>
      </c>
      <c r="M1269" s="188" t="inlineStr">
        <is>
          <t>Block IP</t>
        </is>
      </c>
      <c r="N1269" s="188" t="inlineStr">
        <is>
          <t>https://www.abuseipdb.com/check/91.224.92.108</t>
        </is>
      </c>
      <c r="O1269" s="188" t="inlineStr">
        <is>
          <t>Block IP 91.224.92.108 at firewall | Monitor for new reports</t>
        </is>
      </c>
      <c r="P1269" s="188" t="inlineStr">
        <is>
          <t>Firewall/Network</t>
        </is>
      </c>
      <c r="Q1269" s="188" t="inlineStr">
        <is>
          <t>P4</t>
        </is>
      </c>
      <c r="R1269" s="188" t="inlineStr">
        <is>
          <t>🚫 Block IP at firewall immediately | 🔍 Check logs for existing connections | 🛡️ Add to threat intelligence blocklist</t>
        </is>
      </c>
      <c r="S1269" s="188" t="inlineStr">
        <is>
          <t>🚨 MALICIOUS: UAB Host Baltic | 🌍 Lithuania | Vilnius | 🏢 UAB Host Baltic | ASN: AS209605 UAB Host Baltic | 🔀 VPN/Proxy | 🚨 AbuseIPDB: 100% malicious (Data Center/Web Hosting/Transit)</t>
        </is>
      </c>
      <c r="T1269" s="188" t="n">
        <v>0</v>
      </c>
      <c r="U1269" s="188" t="n">
        <v>0</v>
      </c>
      <c r="V1269" s="188" t="inlineStr">
        <is>
          <t>T1110:Brute Force | T1078:Valid Accounts</t>
        </is>
      </c>
      <c r="W1269" s="188" t="n">
        <v>1</v>
      </c>
      <c r="X1269" s="188" t="inlineStr">
        <is>
          <t>LOW (40%)</t>
        </is>
      </c>
      <c r="Y1269" s="188" t="inlineStr">
        <is>
          <t>NONE</t>
        </is>
      </c>
      <c r="Z1269" s="188" t="inlineStr">
        <is>
          <t>NONE</t>
        </is>
      </c>
      <c r="AA1269" s="188" t="inlineStr">
        <is>
          <t>NONE</t>
        </is>
      </c>
      <c r="AB1269" s="188" t="inlineStr">
        <is>
          <t>NONE</t>
        </is>
      </c>
      <c r="AC1269" s="188" t="n">
        <v>0</v>
      </c>
      <c r="AD1269" s="188" t="inlineStr"/>
    </row>
    <row r="1270">
      <c r="A1270" s="188" t="inlineStr">
        <is>
          <t>ABUSE_IP</t>
        </is>
      </c>
      <c r="B1270" s="188" t="inlineStr">
        <is>
          <t>ab33b00b00c0</t>
        </is>
      </c>
      <c r="C1270" s="188" t="inlineStr">
        <is>
          <t>Malicious IP: 123.163.51.4 | Country: CN | ISP: Unknown | Confidence: 100% | Sources: ABUSEIPDB</t>
        </is>
      </c>
      <c r="D1270" s="188" t="n">
        <v>6.5</v>
      </c>
      <c r="E1270" s="188" t="inlineStr">
        <is>
          <t>MEDIUM</t>
        </is>
      </c>
      <c r="F1270" s="188" t="n">
        <v>3</v>
      </c>
      <c r="G1270" s="188" t="n">
        <v>1</v>
      </c>
      <c r="H1270" s="188" t="inlineStr">
        <is>
          <t>MEDIUM</t>
        </is>
      </c>
      <c r="I1270" s="188" t="n">
        <v>9.5</v>
      </c>
      <c r="J1270" s="188" t="inlineStr">
        <is>
          <t>NO</t>
        </is>
      </c>
      <c r="K1270" s="188" t="inlineStr">
        <is>
          <t>https://www.abuseipdb.com/check/123.163.51.4</t>
        </is>
      </c>
      <c r="L1270" s="188" t="inlineStr">
        <is>
          <t>2026-02-27T13:17:00+00:00</t>
        </is>
      </c>
      <c r="M1270" s="188" t="inlineStr">
        <is>
          <t>Block IP</t>
        </is>
      </c>
      <c r="N1270" s="188" t="inlineStr">
        <is>
          <t>https://www.abuseipdb.com/check/123.163.51.4</t>
        </is>
      </c>
      <c r="O1270" s="188" t="inlineStr">
        <is>
          <t>Block IP 123.163.51.4 at firewall | Monitor for new reports</t>
        </is>
      </c>
      <c r="P1270" s="188" t="inlineStr">
        <is>
          <t>Firewall/Network</t>
        </is>
      </c>
      <c r="Q1270" s="188" t="inlineStr">
        <is>
          <t>P4</t>
        </is>
      </c>
      <c r="R1270" s="188" t="inlineStr">
        <is>
          <t>🚫 Block IP at firewall immediately | 🔍 Check logs for existing connections | 🛡️ Add to threat intelligence blocklist</t>
        </is>
      </c>
      <c r="S1270" s="188" t="inlineStr">
        <is>
          <t>🚨 MALICIOUS: Chinanet HA | 🌍 China | Guancheng | 🏢 Chinanet HA | ASN: AS4134 CHINANET-BACKBONE | 🚨 AbuseIPDB: 100% malicious (Fixed Line ISP)</t>
        </is>
      </c>
      <c r="T1270" s="188" t="n">
        <v>0</v>
      </c>
      <c r="U1270" s="188" t="n">
        <v>0</v>
      </c>
      <c r="V1270" s="188" t="inlineStr">
        <is>
          <t>T1110:Brute Force | T1078:Valid Accounts</t>
        </is>
      </c>
      <c r="W1270" s="188" t="n">
        <v>1</v>
      </c>
      <c r="X1270" s="188" t="inlineStr">
        <is>
          <t>LOW (40%)</t>
        </is>
      </c>
      <c r="Y1270" s="188" t="inlineStr">
        <is>
          <t>NONE</t>
        </is>
      </c>
      <c r="Z1270" s="188" t="inlineStr">
        <is>
          <t>NONE</t>
        </is>
      </c>
      <c r="AA1270" s="188" t="inlineStr">
        <is>
          <t>NONE</t>
        </is>
      </c>
      <c r="AB1270" s="188" t="inlineStr">
        <is>
          <t>NONE</t>
        </is>
      </c>
      <c r="AC1270" s="188" t="n">
        <v>0</v>
      </c>
      <c r="AD1270" s="188" t="inlineStr"/>
    </row>
    <row r="1271">
      <c r="A1271" s="188" t="inlineStr">
        <is>
          <t>ABUSE_IP</t>
        </is>
      </c>
      <c r="B1271" s="188" t="inlineStr">
        <is>
          <t>0af250c0c7df</t>
        </is>
      </c>
      <c r="C1271" s="188" t="inlineStr">
        <is>
          <t>Malicious IP: 186.19.138.103 | Country: AR | ISP: Unknown | Confidence: 100% | Sources: ABUSEIPDB</t>
        </is>
      </c>
      <c r="D1271" s="188" t="n">
        <v>6.5</v>
      </c>
      <c r="E1271" s="188" t="inlineStr">
        <is>
          <t>MEDIUM</t>
        </is>
      </c>
      <c r="F1271" s="188" t="n">
        <v>3</v>
      </c>
      <c r="G1271" s="188" t="n">
        <v>1</v>
      </c>
      <c r="H1271" s="188" t="inlineStr">
        <is>
          <t>MEDIUM</t>
        </is>
      </c>
      <c r="I1271" s="188" t="n">
        <v>9.5</v>
      </c>
      <c r="J1271" s="188" t="inlineStr">
        <is>
          <t>NO</t>
        </is>
      </c>
      <c r="K1271" s="188" t="inlineStr">
        <is>
          <t>https://www.abuseipdb.com/check/186.19.138.103</t>
        </is>
      </c>
      <c r="L1271" s="188" t="inlineStr">
        <is>
          <t>2026-02-27T13:17:00+00:00</t>
        </is>
      </c>
      <c r="M1271" s="188" t="inlineStr">
        <is>
          <t>Block IP</t>
        </is>
      </c>
      <c r="N1271" s="188" t="inlineStr">
        <is>
          <t>https://www.abuseipdb.com/check/186.19.138.103</t>
        </is>
      </c>
      <c r="O1271" s="188" t="inlineStr">
        <is>
          <t>Block IP 186.19.138.103 at firewall | Monitor for new reports</t>
        </is>
      </c>
      <c r="P1271" s="188" t="inlineStr">
        <is>
          <t>Firewall/Network</t>
        </is>
      </c>
      <c r="Q1271" s="188" t="inlineStr">
        <is>
          <t>P4</t>
        </is>
      </c>
      <c r="R1271" s="188" t="inlineStr">
        <is>
          <t>🚫 Block IP at firewall immediately | 🔍 Check logs for existing connections | 🛡️ Add to threat intelligence blocklist</t>
        </is>
      </c>
      <c r="S1271" s="188" t="inlineStr">
        <is>
          <t>Skipped (20/run cap)</t>
        </is>
      </c>
      <c r="T1271" s="188" t="n">
        <v>0</v>
      </c>
      <c r="U1271" s="188" t="n">
        <v>0</v>
      </c>
      <c r="V1271" s="188" t="inlineStr">
        <is>
          <t>T1110:Brute Force | T1078:Valid Accounts</t>
        </is>
      </c>
      <c r="W1271" s="188" t="n">
        <v>1</v>
      </c>
      <c r="X1271" s="188" t="inlineStr">
        <is>
          <t>LOW (40%)</t>
        </is>
      </c>
      <c r="Y1271" s="188" t="inlineStr">
        <is>
          <t>NONE</t>
        </is>
      </c>
      <c r="Z1271" s="188" t="inlineStr">
        <is>
          <t>NONE</t>
        </is>
      </c>
      <c r="AA1271" s="188" t="inlineStr">
        <is>
          <t>NONE</t>
        </is>
      </c>
      <c r="AB1271" s="188" t="inlineStr">
        <is>
          <t>NONE</t>
        </is>
      </c>
      <c r="AC1271" s="188" t="n">
        <v>0</v>
      </c>
      <c r="AD1271" s="188" t="inlineStr"/>
    </row>
    <row r="1272">
      <c r="A1272" s="188" t="inlineStr">
        <is>
          <t>ABUSE_IP</t>
        </is>
      </c>
      <c r="B1272" s="188" t="inlineStr">
        <is>
          <t>3a298fa4ddc8</t>
        </is>
      </c>
      <c r="C1272" s="188" t="inlineStr">
        <is>
          <t>Malicious IP: 159.65.113.234 | Country: DE | ISP: Unknown | Confidence: 100% | Sources: ABUSEIPDB</t>
        </is>
      </c>
      <c r="D1272" s="188" t="n">
        <v>6.5</v>
      </c>
      <c r="E1272" s="188" t="inlineStr">
        <is>
          <t>MEDIUM</t>
        </is>
      </c>
      <c r="F1272" s="188" t="n">
        <v>3</v>
      </c>
      <c r="G1272" s="188" t="n">
        <v>1</v>
      </c>
      <c r="H1272" s="188" t="inlineStr">
        <is>
          <t>MEDIUM</t>
        </is>
      </c>
      <c r="I1272" s="188" t="n">
        <v>9.5</v>
      </c>
      <c r="J1272" s="188" t="inlineStr">
        <is>
          <t>NO</t>
        </is>
      </c>
      <c r="K1272" s="188" t="inlineStr">
        <is>
          <t>https://www.abuseipdb.com/check/159.65.113.234</t>
        </is>
      </c>
      <c r="L1272" s="188" t="inlineStr">
        <is>
          <t>2026-02-27T13:17:00+00:00</t>
        </is>
      </c>
      <c r="M1272" s="188" t="inlineStr">
        <is>
          <t>Block IP</t>
        </is>
      </c>
      <c r="N1272" s="188" t="inlineStr">
        <is>
          <t>https://www.abuseipdb.com/check/159.65.113.234</t>
        </is>
      </c>
      <c r="O1272" s="188" t="inlineStr">
        <is>
          <t>Block IP 159.65.113.234 at firewall | Monitor for new reports</t>
        </is>
      </c>
      <c r="P1272" s="188" t="inlineStr">
        <is>
          <t>Firewall/Network</t>
        </is>
      </c>
      <c r="Q1272" s="188" t="inlineStr">
        <is>
          <t>P4</t>
        </is>
      </c>
      <c r="R1272" s="188" t="inlineStr">
        <is>
          <t>🚫 Block IP at firewall immediately | 🔍 Check logs for existing connections | 🛡️ Add to threat intelligence blocklist</t>
        </is>
      </c>
      <c r="S1272" s="188" t="inlineStr">
        <is>
          <t>🚨 MALICIOUS: DigitalOcean, LLC | 🌍 Germany | Frankfurt am Main | 🏢 DigitalOcean, LLC | ASN: AS14061 DigitalOcean, LLC | 🔀 VPN/Proxy | 🖥️ Hosting/DC | 🚨 AbuseIPDB: 100% malicious (Data Center/Web Hosting/Transit)</t>
        </is>
      </c>
      <c r="T1272" s="188" t="n">
        <v>0</v>
      </c>
      <c r="U1272" s="188" t="n">
        <v>0</v>
      </c>
      <c r="V1272" s="188" t="inlineStr">
        <is>
          <t>T1110:Brute Force | T1078:Valid Accounts</t>
        </is>
      </c>
      <c r="W1272" s="188" t="n">
        <v>1</v>
      </c>
      <c r="X1272" s="188" t="inlineStr">
        <is>
          <t>LOW (40%)</t>
        </is>
      </c>
      <c r="Y1272" s="188" t="inlineStr">
        <is>
          <t>NONE</t>
        </is>
      </c>
      <c r="Z1272" s="188" t="inlineStr">
        <is>
          <t>NONE</t>
        </is>
      </c>
      <c r="AA1272" s="188" t="inlineStr">
        <is>
          <t>NONE</t>
        </is>
      </c>
      <c r="AB1272" s="188" t="inlineStr">
        <is>
          <t>NONE</t>
        </is>
      </c>
      <c r="AC1272" s="188" t="n">
        <v>0</v>
      </c>
      <c r="AD1272" s="188" t="inlineStr"/>
    </row>
    <row r="1273">
      <c r="A1273" s="188" t="inlineStr">
        <is>
          <t>ABUSE_IP</t>
        </is>
      </c>
      <c r="B1273" s="188" t="inlineStr">
        <is>
          <t>8f1954a4abf7</t>
        </is>
      </c>
      <c r="C1273" s="188" t="inlineStr">
        <is>
          <t>Malicious IP: 156.227.237.176 | Country: JP | ISP: Unknown | Confidence: 100% | Sources: ABUSEIPDB</t>
        </is>
      </c>
      <c r="D1273" s="188" t="n">
        <v>6.5</v>
      </c>
      <c r="E1273" s="188" t="inlineStr">
        <is>
          <t>MEDIUM</t>
        </is>
      </c>
      <c r="F1273" s="188" t="n">
        <v>3</v>
      </c>
      <c r="G1273" s="188" t="n">
        <v>1</v>
      </c>
      <c r="H1273" s="188" t="inlineStr">
        <is>
          <t>MEDIUM</t>
        </is>
      </c>
      <c r="I1273" s="188" t="n">
        <v>9.5</v>
      </c>
      <c r="J1273" s="188" t="inlineStr">
        <is>
          <t>NO</t>
        </is>
      </c>
      <c r="K1273" s="188" t="inlineStr">
        <is>
          <t>https://www.abuseipdb.com/check/156.227.237.176</t>
        </is>
      </c>
      <c r="L1273" s="188" t="inlineStr">
        <is>
          <t>2026-02-27T13:16:59+00:00</t>
        </is>
      </c>
      <c r="M1273" s="188" t="inlineStr">
        <is>
          <t>Block IP</t>
        </is>
      </c>
      <c r="N1273" s="188" t="inlineStr">
        <is>
          <t>https://www.abuseipdb.com/check/156.227.237.176</t>
        </is>
      </c>
      <c r="O1273" s="188" t="inlineStr">
        <is>
          <t>Block IP 156.227.237.176 at firewall | Monitor for new reports</t>
        </is>
      </c>
      <c r="P1273" s="188" t="inlineStr">
        <is>
          <t>Firewall/Network</t>
        </is>
      </c>
      <c r="Q1273" s="188" t="inlineStr">
        <is>
          <t>P4</t>
        </is>
      </c>
      <c r="R1273" s="188" t="inlineStr">
        <is>
          <t>🚫 Block IP at firewall immediately | 🔍 Check logs for existing connections | 🛡️ Add to threat intelligence blocklist</t>
        </is>
      </c>
      <c r="S1273" s="188" t="inlineStr">
        <is>
          <t>🚨 MALICIOUS: Yisu Cloud Ltd | 🌍 Japan | Tokyo | 🏢 Yisu Cloud Ltd | ASN: AS138152 YISU CLOUD LTD | 🚨 AbuseIPDB: 100% malicious (Data Center/Web Hosting/Transit)</t>
        </is>
      </c>
      <c r="T1273" s="188" t="n">
        <v>0</v>
      </c>
      <c r="U1273" s="188" t="n">
        <v>0</v>
      </c>
      <c r="V1273" s="188" t="inlineStr">
        <is>
          <t>T1110:Brute Force | T1078:Valid Accounts</t>
        </is>
      </c>
      <c r="W1273" s="188" t="n">
        <v>1</v>
      </c>
      <c r="X1273" s="188" t="inlineStr">
        <is>
          <t>LOW (40%)</t>
        </is>
      </c>
      <c r="Y1273" s="188" t="inlineStr">
        <is>
          <t>NONE</t>
        </is>
      </c>
      <c r="Z1273" s="188" t="inlineStr">
        <is>
          <t>NONE</t>
        </is>
      </c>
      <c r="AA1273" s="188" t="inlineStr">
        <is>
          <t>NONE</t>
        </is>
      </c>
      <c r="AB1273" s="188" t="inlineStr">
        <is>
          <t>NONE</t>
        </is>
      </c>
      <c r="AC1273" s="188" t="n">
        <v>0</v>
      </c>
      <c r="AD1273" s="188" t="inlineStr"/>
    </row>
    <row r="1274">
      <c r="A1274" s="188" t="inlineStr">
        <is>
          <t>ABUSE_IP</t>
        </is>
      </c>
      <c r="B1274" s="188" t="inlineStr">
        <is>
          <t>3d968cc69891</t>
        </is>
      </c>
      <c r="C1274" s="188" t="inlineStr">
        <is>
          <t>Malicious IP: 95.79.108.51 | Country: RU | ISP: Unknown | Confidence: 100% | Sources: ABUSEIPDB</t>
        </is>
      </c>
      <c r="D1274" s="188" t="n">
        <v>6.5</v>
      </c>
      <c r="E1274" s="188" t="inlineStr">
        <is>
          <t>MEDIUM</t>
        </is>
      </c>
      <c r="F1274" s="188" t="n">
        <v>3</v>
      </c>
      <c r="G1274" s="188" t="n">
        <v>1</v>
      </c>
      <c r="H1274" s="188" t="inlineStr">
        <is>
          <t>MEDIUM</t>
        </is>
      </c>
      <c r="I1274" s="188" t="n">
        <v>9.5</v>
      </c>
      <c r="J1274" s="188" t="inlineStr">
        <is>
          <t>NO</t>
        </is>
      </c>
      <c r="K1274" s="188" t="inlineStr">
        <is>
          <t>https://www.abuseipdb.com/check/95.79.108.51</t>
        </is>
      </c>
      <c r="L1274" s="188" t="inlineStr">
        <is>
          <t>2026-02-27T13:16:59+00:00</t>
        </is>
      </c>
      <c r="M1274" s="188" t="inlineStr">
        <is>
          <t>Block IP</t>
        </is>
      </c>
      <c r="N1274" s="188" t="inlineStr">
        <is>
          <t>https://www.abuseipdb.com/check/95.79.108.51</t>
        </is>
      </c>
      <c r="O1274" s="188" t="inlineStr">
        <is>
          <t>Block IP 95.79.108.51 at firewall | Monitor for new reports</t>
        </is>
      </c>
      <c r="P1274" s="188" t="inlineStr">
        <is>
          <t>Firewall/Network</t>
        </is>
      </c>
      <c r="Q1274" s="188" t="inlineStr">
        <is>
          <t>P4</t>
        </is>
      </c>
      <c r="R1274" s="188" t="inlineStr">
        <is>
          <t>🚫 Block IP at firewall immediately | 🔍 Check logs for existing connections | 🛡️ Add to threat intelligence blocklist</t>
        </is>
      </c>
      <c r="S1274" s="188" t="inlineStr">
        <is>
          <t>🚨 MALICIOUS: JSC "ER-Telecom Holding" Nizhny Novgorod | 🌍 Russia | Nizhniy Novgorod | 🏢 JSC "ER-Telecom Holding" Nizhny Novgorod | ASN: AS42682 JSC ER-Telecom Holding | 🚨 AbuseIPDB: 100% malicious (Fixed Line ISP)</t>
        </is>
      </c>
      <c r="T1274" s="188" t="n">
        <v>0</v>
      </c>
      <c r="U1274" s="188" t="n">
        <v>0</v>
      </c>
      <c r="V1274" s="188" t="inlineStr">
        <is>
          <t>T1110:Brute Force | T1078:Valid Accounts</t>
        </is>
      </c>
      <c r="W1274" s="188" t="n">
        <v>1</v>
      </c>
      <c r="X1274" s="188" t="inlineStr">
        <is>
          <t>LOW (40%)</t>
        </is>
      </c>
      <c r="Y1274" s="188" t="inlineStr">
        <is>
          <t>NONE</t>
        </is>
      </c>
      <c r="Z1274" s="188" t="inlineStr">
        <is>
          <t>NONE</t>
        </is>
      </c>
      <c r="AA1274" s="188" t="inlineStr">
        <is>
          <t>NONE</t>
        </is>
      </c>
      <c r="AB1274" s="188" t="inlineStr">
        <is>
          <t>NONE</t>
        </is>
      </c>
      <c r="AC1274" s="188" t="n">
        <v>0</v>
      </c>
      <c r="AD1274" s="188" t="inlineStr"/>
    </row>
    <row r="1275">
      <c r="A1275" s="188" t="inlineStr">
        <is>
          <t>ABUSE_IP</t>
        </is>
      </c>
      <c r="B1275" s="188" t="inlineStr">
        <is>
          <t>cbb150e591b5</t>
        </is>
      </c>
      <c r="C1275" s="188" t="inlineStr">
        <is>
          <t>Malicious IP: 115.190.241.219 | Country: CN | ISP: Unknown | Confidence: 100% | Sources: ABUSEIPDB</t>
        </is>
      </c>
      <c r="D1275" s="188" t="n">
        <v>6.5</v>
      </c>
      <c r="E1275" s="188" t="inlineStr">
        <is>
          <t>MEDIUM</t>
        </is>
      </c>
      <c r="F1275" s="188" t="n">
        <v>3</v>
      </c>
      <c r="G1275" s="188" t="n">
        <v>1</v>
      </c>
      <c r="H1275" s="188" t="inlineStr">
        <is>
          <t>MEDIUM</t>
        </is>
      </c>
      <c r="I1275" s="188" t="n">
        <v>9.5</v>
      </c>
      <c r="J1275" s="188" t="inlineStr">
        <is>
          <t>NO</t>
        </is>
      </c>
      <c r="K1275" s="188" t="inlineStr">
        <is>
          <t>https://www.abuseipdb.com/check/115.190.241.219</t>
        </is>
      </c>
      <c r="L1275" s="188" t="inlineStr">
        <is>
          <t>2026-02-27T13:16:59+00:00</t>
        </is>
      </c>
      <c r="M1275" s="188" t="inlineStr">
        <is>
          <t>Block IP</t>
        </is>
      </c>
      <c r="N1275" s="188" t="inlineStr">
        <is>
          <t>https://www.abuseipdb.com/check/115.190.241.219</t>
        </is>
      </c>
      <c r="O1275" s="188" t="inlineStr">
        <is>
          <t>Block IP 115.190.241.219 at firewall | Monitor for new reports</t>
        </is>
      </c>
      <c r="P1275" s="188" t="inlineStr">
        <is>
          <t>Firewall/Network</t>
        </is>
      </c>
      <c r="Q1275" s="188" t="inlineStr">
        <is>
          <t>P4</t>
        </is>
      </c>
      <c r="R1275" s="188" t="inlineStr">
        <is>
          <t>🚫 Block IP at firewall immediately | 🔍 Check logs for existing connections | 🛡️ Add to threat intelligence blocklist</t>
        </is>
      </c>
      <c r="S1275" s="188" t="inlineStr">
        <is>
          <t>🚨 MALICIOUS: AS137718 Beijing Volcano Engine Technology Co., Ltd. | 🌍 China | Beijing | 🏢  | ASN: AS137718 Beijing Volcano Engine Technology Co., Ltd. | 🚨 AbuseIPDB: 100% malicious (Data Center/Web Hosting/Transit)</t>
        </is>
      </c>
      <c r="T1275" s="188" t="n">
        <v>0</v>
      </c>
      <c r="U1275" s="188" t="n">
        <v>0</v>
      </c>
      <c r="V1275" s="188" t="inlineStr">
        <is>
          <t>T1110:Brute Force | T1078:Valid Accounts</t>
        </is>
      </c>
      <c r="W1275" s="188" t="n">
        <v>1</v>
      </c>
      <c r="X1275" s="188" t="inlineStr">
        <is>
          <t>LOW (40%)</t>
        </is>
      </c>
      <c r="Y1275" s="188" t="inlineStr">
        <is>
          <t>NONE</t>
        </is>
      </c>
      <c r="Z1275" s="188" t="inlineStr">
        <is>
          <t>NONE</t>
        </is>
      </c>
      <c r="AA1275" s="188" t="inlineStr">
        <is>
          <t>NONE</t>
        </is>
      </c>
      <c r="AB1275" s="188" t="inlineStr">
        <is>
          <t>NONE</t>
        </is>
      </c>
      <c r="AC1275" s="188" t="n">
        <v>0</v>
      </c>
      <c r="AD1275" s="188" t="inlineStr"/>
    </row>
    <row r="1276">
      <c r="A1276" s="188" t="inlineStr">
        <is>
          <t>ABUSE_IP</t>
        </is>
      </c>
      <c r="B1276" s="188" t="inlineStr">
        <is>
          <t>4790a7c771b9</t>
        </is>
      </c>
      <c r="C1276" s="188" t="inlineStr">
        <is>
          <t>Malicious IP: 195.178.110.187 | Country: NL | ISP: Unknown | Confidence: 100% | Sources: ABUSEIPDB</t>
        </is>
      </c>
      <c r="D1276" s="188" t="n">
        <v>6.5</v>
      </c>
      <c r="E1276" s="188" t="inlineStr">
        <is>
          <t>MEDIUM</t>
        </is>
      </c>
      <c r="F1276" s="188" t="n">
        <v>3</v>
      </c>
      <c r="G1276" s="188" t="n">
        <v>1</v>
      </c>
      <c r="H1276" s="188" t="inlineStr">
        <is>
          <t>MEDIUM</t>
        </is>
      </c>
      <c r="I1276" s="188" t="n">
        <v>9.5</v>
      </c>
      <c r="J1276" s="188" t="inlineStr">
        <is>
          <t>NO</t>
        </is>
      </c>
      <c r="K1276" s="188" t="inlineStr">
        <is>
          <t>https://www.abuseipdb.com/check/195.178.110.187</t>
        </is>
      </c>
      <c r="L1276" s="188" t="inlineStr">
        <is>
          <t>2026-02-27T13:16:59+00:00</t>
        </is>
      </c>
      <c r="M1276" s="188" t="inlineStr">
        <is>
          <t>Block IP</t>
        </is>
      </c>
      <c r="N1276" s="188" t="inlineStr">
        <is>
          <t>https://www.abuseipdb.com/check/195.178.110.187</t>
        </is>
      </c>
      <c r="O1276" s="188" t="inlineStr">
        <is>
          <t>Block IP 195.178.110.187 at firewall | Monitor for new reports</t>
        </is>
      </c>
      <c r="P1276" s="188" t="inlineStr">
        <is>
          <t>Firewall/Network</t>
        </is>
      </c>
      <c r="Q1276" s="188" t="inlineStr">
        <is>
          <t>P4</t>
        </is>
      </c>
      <c r="R1276" s="188" t="inlineStr">
        <is>
          <t>🚫 Block IP at firewall immediately | 🔍 Check logs for existing connections | 🛡️ Add to threat intelligence blocklist</t>
        </is>
      </c>
      <c r="S1276" s="188" t="inlineStr">
        <is>
          <t>🚨 MALICIOUS: Techoff SRV Limited | 🌍 Andorra | Andorra la Vella | 🏢 Techoff SRV Limited | ASN: AS48090 TECHOFF SRV LIMITED | 🚨 AbuseIPDB: 100% malicious (Data Center/Web Hosting/Transit)</t>
        </is>
      </c>
      <c r="T1276" s="188" t="n">
        <v>0</v>
      </c>
      <c r="U1276" s="188" t="n">
        <v>0</v>
      </c>
      <c r="V1276" s="188" t="inlineStr">
        <is>
          <t>T1110:Brute Force | T1078:Valid Accounts</t>
        </is>
      </c>
      <c r="W1276" s="188" t="n">
        <v>1</v>
      </c>
      <c r="X1276" s="188" t="inlineStr">
        <is>
          <t>LOW (40%)</t>
        </is>
      </c>
      <c r="Y1276" s="188" t="inlineStr">
        <is>
          <t>NONE</t>
        </is>
      </c>
      <c r="Z1276" s="188" t="inlineStr">
        <is>
          <t>NONE</t>
        </is>
      </c>
      <c r="AA1276" s="188" t="inlineStr">
        <is>
          <t>NONE</t>
        </is>
      </c>
      <c r="AB1276" s="188" t="inlineStr">
        <is>
          <t>NONE</t>
        </is>
      </c>
      <c r="AC1276" s="188" t="n">
        <v>0</v>
      </c>
      <c r="AD1276" s="188" t="inlineStr"/>
    </row>
    <row r="1277">
      <c r="A1277" s="188" t="inlineStr">
        <is>
          <t>ABUSE_IP</t>
        </is>
      </c>
      <c r="B1277" s="188" t="inlineStr">
        <is>
          <t>3fd27b97b9e4</t>
        </is>
      </c>
      <c r="C1277" s="188" t="inlineStr">
        <is>
          <t>Malicious IP: 116.118.2.113 | Country: VN | ISP: Unknown | Confidence: 100% | Sources: ABUSEIPDB</t>
        </is>
      </c>
      <c r="D1277" s="188" t="n">
        <v>6.5</v>
      </c>
      <c r="E1277" s="188" t="inlineStr">
        <is>
          <t>MEDIUM</t>
        </is>
      </c>
      <c r="F1277" s="188" t="n">
        <v>3</v>
      </c>
      <c r="G1277" s="188" t="n">
        <v>1</v>
      </c>
      <c r="H1277" s="188" t="inlineStr">
        <is>
          <t>MEDIUM</t>
        </is>
      </c>
      <c r="I1277" s="188" t="n">
        <v>9.5</v>
      </c>
      <c r="J1277" s="188" t="inlineStr">
        <is>
          <t>NO</t>
        </is>
      </c>
      <c r="K1277" s="188" t="inlineStr">
        <is>
          <t>https://www.abuseipdb.com/check/116.118.2.113</t>
        </is>
      </c>
      <c r="L1277" s="188" t="inlineStr">
        <is>
          <t>2026-02-27T13:16:59+00:00</t>
        </is>
      </c>
      <c r="M1277" s="188" t="inlineStr">
        <is>
          <t>Block IP</t>
        </is>
      </c>
      <c r="N1277" s="188" t="inlineStr">
        <is>
          <t>https://www.abuseipdb.com/check/116.118.2.113</t>
        </is>
      </c>
      <c r="O1277" s="188" t="inlineStr">
        <is>
          <t>Block IP 116.118.2.113 at firewall | Monitor for new reports</t>
        </is>
      </c>
      <c r="P1277" s="188" t="inlineStr">
        <is>
          <t>Firewall/Network</t>
        </is>
      </c>
      <c r="Q1277" s="188" t="inlineStr">
        <is>
          <t>P4</t>
        </is>
      </c>
      <c r="R1277" s="188" t="inlineStr">
        <is>
          <t>🚫 Block IP at firewall immediately | 🔍 Check logs for existing connections | 🛡️ Add to threat intelligence blocklist</t>
        </is>
      </c>
      <c r="S1277" s="188" t="inlineStr">
        <is>
          <t>Skipped (20/run cap)</t>
        </is>
      </c>
      <c r="T1277" s="188" t="n">
        <v>0</v>
      </c>
      <c r="U1277" s="188" t="n">
        <v>0</v>
      </c>
      <c r="V1277" s="188" t="inlineStr">
        <is>
          <t>T1110:Brute Force | T1078:Valid Accounts</t>
        </is>
      </c>
      <c r="W1277" s="188" t="n">
        <v>1</v>
      </c>
      <c r="X1277" s="188" t="inlineStr">
        <is>
          <t>LOW (40%)</t>
        </is>
      </c>
      <c r="Y1277" s="188" t="inlineStr">
        <is>
          <t>NONE</t>
        </is>
      </c>
      <c r="Z1277" s="188" t="inlineStr">
        <is>
          <t>NONE</t>
        </is>
      </c>
      <c r="AA1277" s="188" t="inlineStr">
        <is>
          <t>NONE</t>
        </is>
      </c>
      <c r="AB1277" s="188" t="inlineStr">
        <is>
          <t>NONE</t>
        </is>
      </c>
      <c r="AC1277" s="188" t="n">
        <v>0</v>
      </c>
      <c r="AD1277" s="188" t="inlineStr"/>
    </row>
    <row r="1278">
      <c r="A1278" s="187" t="inlineStr">
        <is>
          <t>CISA_ICS</t>
        </is>
      </c>
      <c r="B1278" s="187" t="inlineStr">
        <is>
          <t>CVE-2021-26828</t>
        </is>
      </c>
      <c r="C1278" s="187" t="inlineStr">
        <is>
          <t>ICS Advisory: OpenPLC ScadaBR — OpenPLC ScadaBR contains an unrestricted upload of file with dangerous type vulnerability that allow</t>
        </is>
      </c>
      <c r="D1278" s="187" t="n">
        <v>7</v>
      </c>
      <c r="E1278" s="187" t="inlineStr">
        <is>
          <t>HIGH</t>
        </is>
      </c>
      <c r="F1278" s="187" t="n">
        <v>2</v>
      </c>
      <c r="G1278" s="187" t="n">
        <v>3</v>
      </c>
      <c r="H1278" s="187" t="inlineStr">
        <is>
          <t>HIGH</t>
        </is>
      </c>
      <c r="I1278" s="187" t="n">
        <v>13</v>
      </c>
      <c r="J1278" s="187" t="inlineStr">
        <is>
          <t>NO</t>
        </is>
      </c>
      <c r="K1278" s="187" t="inlineStr">
        <is>
          <t>https://www.cisa.gov/uscert/ics/advisories/CVE-2021-26828</t>
        </is>
      </c>
      <c r="L1278" s="187" t="inlineStr">
        <is>
          <t>2025-12-03</t>
        </is>
      </c>
      <c r="M1278" s="187" t="inlineStr">
        <is>
          <t>CHECK_VENDOR</t>
        </is>
      </c>
      <c r="N1278" s="187" t="inlineStr">
        <is>
          <t>https://www.cisa.gov/uscert/ics/advisories/CVE-2021-26828</t>
        </is>
      </c>
      <c r="O1278" s="187" t="inlineStr">
        <is>
          <t>Follow ICS best practices | Network segmentation | Disable unnecessary services</t>
        </is>
      </c>
      <c r="P1278" s="187" t="inlineStr">
        <is>
          <t>ICS/SCADA/OT</t>
        </is>
      </c>
      <c r="Q1278" s="187" t="inlineStr">
        <is>
          <t>P3</t>
        </is>
      </c>
      <c r="R1278" s="187" t="inlineStr">
        <is>
          <t>🔍 Investigate and apply appropriate controls</t>
        </is>
      </c>
      <c r="S1278" s="187" t="inlineStr">
        <is>
          <t>ICS advisory - no IP context</t>
        </is>
      </c>
      <c r="T1278" s="187" t="n">
        <v>0</v>
      </c>
      <c r="U1278" s="187" t="n">
        <v>0</v>
      </c>
      <c r="V1278" s="187" t="inlineStr">
        <is>
          <t>T0812:Default Credentials | T0866:Exploitation of Remote Services</t>
        </is>
      </c>
      <c r="W1278" s="187" t="n">
        <v>2</v>
      </c>
      <c r="X1278" s="187" t="inlineStr">
        <is>
          <t>CONFIRMED (82%)</t>
        </is>
      </c>
      <c r="Y1278" s="187" t="inlineStr">
        <is>
          <t>NONE</t>
        </is>
      </c>
      <c r="Z1278" s="187" t="inlineStr">
        <is>
          <t>NONE</t>
        </is>
      </c>
      <c r="AA1278" s="187" t="inlineStr">
        <is>
          <t>NONE</t>
        </is>
      </c>
      <c r="AB1278" s="187" t="inlineStr">
        <is>
          <t>NONE</t>
        </is>
      </c>
      <c r="AC1278" s="187" t="n">
        <v>0</v>
      </c>
      <c r="AD1278" s="187" t="inlineStr"/>
    </row>
    <row r="1279">
      <c r="A1279" s="187" t="inlineStr">
        <is>
          <t>CISA_ICS</t>
        </is>
      </c>
      <c r="B1279" s="187" t="inlineStr">
        <is>
          <t>CVE-2021-26829</t>
        </is>
      </c>
      <c r="C1279" s="187" t="inlineStr">
        <is>
          <t>ICS Advisory: OpenPLC ScadaBR — OpenPLC ScadaBR contains a cross-site scripting vulnerability via system_settings.shtm.</t>
        </is>
      </c>
      <c r="D1279" s="187" t="n">
        <v>7</v>
      </c>
      <c r="E1279" s="187" t="inlineStr">
        <is>
          <t>HIGH</t>
        </is>
      </c>
      <c r="F1279" s="187" t="n">
        <v>2</v>
      </c>
      <c r="G1279" s="187" t="n">
        <v>3</v>
      </c>
      <c r="H1279" s="187" t="inlineStr">
        <is>
          <t>HIGH</t>
        </is>
      </c>
      <c r="I1279" s="187" t="n">
        <v>13</v>
      </c>
      <c r="J1279" s="187" t="inlineStr">
        <is>
          <t>NO</t>
        </is>
      </c>
      <c r="K1279" s="187" t="inlineStr">
        <is>
          <t>https://www.cisa.gov/uscert/ics/advisories/CVE-2021-26829</t>
        </is>
      </c>
      <c r="L1279" s="187" t="inlineStr">
        <is>
          <t>2025-11-28</t>
        </is>
      </c>
      <c r="M1279" s="187" t="inlineStr">
        <is>
          <t>CHECK_VENDOR</t>
        </is>
      </c>
      <c r="N1279" s="187" t="inlineStr">
        <is>
          <t>https://www.cisa.gov/uscert/ics/advisories/CVE-2021-26829</t>
        </is>
      </c>
      <c r="O1279" s="187" t="inlineStr">
        <is>
          <t>Follow ICS best practices | Network segmentation | Disable unnecessary services</t>
        </is>
      </c>
      <c r="P1279" s="187" t="inlineStr">
        <is>
          <t>ICS/SCADA/OT</t>
        </is>
      </c>
      <c r="Q1279" s="187" t="inlineStr">
        <is>
          <t>P3</t>
        </is>
      </c>
      <c r="R1279" s="187" t="inlineStr">
        <is>
          <t>🔍 Investigate and apply appropriate controls</t>
        </is>
      </c>
      <c r="S1279" s="187" t="inlineStr">
        <is>
          <t>ICS advisory - no IP context</t>
        </is>
      </c>
      <c r="T1279" s="187" t="n">
        <v>0</v>
      </c>
      <c r="U1279" s="187" t="n">
        <v>0</v>
      </c>
      <c r="V1279" s="187" t="inlineStr">
        <is>
          <t>T0812:Default Credentials | T0866:Exploitation of Remote Services</t>
        </is>
      </c>
      <c r="W1279" s="187" t="n">
        <v>2</v>
      </c>
      <c r="X1279" s="187" t="inlineStr">
        <is>
          <t>CONFIRMED (82%)</t>
        </is>
      </c>
      <c r="Y1279" s="187" t="inlineStr">
        <is>
          <t>NONE</t>
        </is>
      </c>
      <c r="Z1279" s="187" t="inlineStr">
        <is>
          <t>NONE</t>
        </is>
      </c>
      <c r="AA1279" s="187" t="inlineStr">
        <is>
          <t>NONE</t>
        </is>
      </c>
      <c r="AB1279" s="187" t="inlineStr">
        <is>
          <t>NONE</t>
        </is>
      </c>
      <c r="AC1279" s="187" t="n">
        <v>0</v>
      </c>
      <c r="AD1279" s="187" t="inlineStr"/>
    </row>
    <row r="1280">
      <c r="A1280" s="187" t="inlineStr">
        <is>
          <t>CISA_ICS</t>
        </is>
      </c>
      <c r="B1280" s="187" t="inlineStr">
        <is>
          <t>CVE-2022-43769</t>
        </is>
      </c>
      <c r="C1280" s="187" t="inlineStr">
        <is>
          <t xml:space="preserve">ICS Advisory: Hitachi Vantara Pentaho Business Analytics (BA) Server — Hitachi Vantara Pentaho BA Server contains a special element injection vulnerability that allows an </t>
        </is>
      </c>
      <c r="D1280" s="187" t="n">
        <v>7</v>
      </c>
      <c r="E1280" s="187" t="inlineStr">
        <is>
          <t>HIGH</t>
        </is>
      </c>
      <c r="F1280" s="187" t="n">
        <v>2</v>
      </c>
      <c r="G1280" s="187" t="n">
        <v>3</v>
      </c>
      <c r="H1280" s="187" t="inlineStr">
        <is>
          <t>HIGH</t>
        </is>
      </c>
      <c r="I1280" s="187" t="n">
        <v>13</v>
      </c>
      <c r="J1280" s="187" t="inlineStr">
        <is>
          <t>NO</t>
        </is>
      </c>
      <c r="K1280" s="187" t="inlineStr">
        <is>
          <t>https://www.cisa.gov/uscert/ics/advisories/CVE-2022-43769</t>
        </is>
      </c>
      <c r="L1280" s="187" t="inlineStr">
        <is>
          <t>2025-03-03</t>
        </is>
      </c>
      <c r="M1280" s="187" t="inlineStr">
        <is>
          <t>CHECK_VENDOR</t>
        </is>
      </c>
      <c r="N1280" s="187" t="inlineStr">
        <is>
          <t>https://www.cisa.gov/uscert/ics/advisories/CVE-2022-43769</t>
        </is>
      </c>
      <c r="O1280" s="187" t="inlineStr">
        <is>
          <t>Follow ICS best practices | Network segmentation | Disable unnecessary services</t>
        </is>
      </c>
      <c r="P1280" s="187" t="inlineStr">
        <is>
          <t>ICS/SCADA/OT</t>
        </is>
      </c>
      <c r="Q1280" s="187" t="inlineStr">
        <is>
          <t>P3</t>
        </is>
      </c>
      <c r="R1280" s="187" t="inlineStr">
        <is>
          <t>🔍 Investigate and apply appropriate controls</t>
        </is>
      </c>
      <c r="S1280" s="187" t="inlineStr">
        <is>
          <t>ICS advisory - no IP context</t>
        </is>
      </c>
      <c r="T1280" s="187" t="n">
        <v>0</v>
      </c>
      <c r="U1280" s="187" t="n">
        <v>0</v>
      </c>
      <c r="V1280" s="187" t="inlineStr">
        <is>
          <t>T0812:Default Credentials | T0866:Exploitation of Remote Services</t>
        </is>
      </c>
      <c r="W1280" s="187" t="n">
        <v>2</v>
      </c>
      <c r="X1280" s="187" t="inlineStr">
        <is>
          <t>CONFIRMED (82%)</t>
        </is>
      </c>
      <c r="Y1280" s="187" t="inlineStr">
        <is>
          <t>NONE</t>
        </is>
      </c>
      <c r="Z1280" s="187" t="inlineStr">
        <is>
          <t>NONE</t>
        </is>
      </c>
      <c r="AA1280" s="187" t="inlineStr">
        <is>
          <t>NONE</t>
        </is>
      </c>
      <c r="AB1280" s="187" t="inlineStr">
        <is>
          <t>NONE</t>
        </is>
      </c>
      <c r="AC1280" s="187" t="n">
        <v>0</v>
      </c>
      <c r="AD1280" s="187" t="inlineStr"/>
    </row>
    <row r="1281">
      <c r="A1281" s="187" t="inlineStr">
        <is>
          <t>CISA_ICS</t>
        </is>
      </c>
      <c r="B1281" s="187" t="inlineStr">
        <is>
          <t>CVE-2022-43939</t>
        </is>
      </c>
      <c r="C1281" s="187" t="inlineStr">
        <is>
          <t>ICS Advisory: Hitachi Vantara Pentaho Business Analytics (BA) Server — Hitachi Vantara Pentaho BA Server contains a use of non-canonical URL paths for authorization decisi</t>
        </is>
      </c>
      <c r="D1281" s="187" t="n">
        <v>7</v>
      </c>
      <c r="E1281" s="187" t="inlineStr">
        <is>
          <t>HIGH</t>
        </is>
      </c>
      <c r="F1281" s="187" t="n">
        <v>2</v>
      </c>
      <c r="G1281" s="187" t="n">
        <v>3</v>
      </c>
      <c r="H1281" s="187" t="inlineStr">
        <is>
          <t>HIGH</t>
        </is>
      </c>
      <c r="I1281" s="187" t="n">
        <v>13</v>
      </c>
      <c r="J1281" s="187" t="inlineStr">
        <is>
          <t>NO</t>
        </is>
      </c>
      <c r="K1281" s="187" t="inlineStr">
        <is>
          <t>https://www.cisa.gov/uscert/ics/advisories/CVE-2022-43939</t>
        </is>
      </c>
      <c r="L1281" s="187" t="inlineStr">
        <is>
          <t>2025-03-03</t>
        </is>
      </c>
      <c r="M1281" s="187" t="inlineStr">
        <is>
          <t>CHECK_VENDOR</t>
        </is>
      </c>
      <c r="N1281" s="187" t="inlineStr">
        <is>
          <t>https://www.cisa.gov/uscert/ics/advisories/CVE-2022-43939</t>
        </is>
      </c>
      <c r="O1281" s="187" t="inlineStr">
        <is>
          <t>Follow ICS best practices | Network segmentation | Disable unnecessary services</t>
        </is>
      </c>
      <c r="P1281" s="187" t="inlineStr">
        <is>
          <t>ICS/SCADA/OT</t>
        </is>
      </c>
      <c r="Q1281" s="187" t="inlineStr">
        <is>
          <t>P3</t>
        </is>
      </c>
      <c r="R1281" s="187" t="inlineStr">
        <is>
          <t>🔍 Investigate and apply appropriate controls</t>
        </is>
      </c>
      <c r="S1281" s="187" t="inlineStr">
        <is>
          <t>ICS advisory - no IP context</t>
        </is>
      </c>
      <c r="T1281" s="187" t="n">
        <v>0</v>
      </c>
      <c r="U1281" s="187" t="n">
        <v>0</v>
      </c>
      <c r="V1281" s="187" t="inlineStr">
        <is>
          <t>T0812:Default Credentials | T0866:Exploitation of Remote Services</t>
        </is>
      </c>
      <c r="W1281" s="187" t="n">
        <v>2</v>
      </c>
      <c r="X1281" s="187" t="inlineStr">
        <is>
          <t>CONFIRMED (82%)</t>
        </is>
      </c>
      <c r="Y1281" s="187" t="inlineStr">
        <is>
          <t>NONE</t>
        </is>
      </c>
      <c r="Z1281" s="187" t="inlineStr">
        <is>
          <t>NONE</t>
        </is>
      </c>
      <c r="AA1281" s="187" t="inlineStr">
        <is>
          <t>NONE</t>
        </is>
      </c>
      <c r="AB1281" s="187" t="inlineStr">
        <is>
          <t>NONE</t>
        </is>
      </c>
      <c r="AC1281" s="187" t="n">
        <v>0</v>
      </c>
      <c r="AD1281" s="187" t="inlineStr"/>
    </row>
    <row r="1282">
      <c r="A1282" s="187" t="inlineStr">
        <is>
          <t>CISA_ICS</t>
        </is>
      </c>
      <c r="B1282" s="187" t="inlineStr">
        <is>
          <t>CVE-2024-8956</t>
        </is>
      </c>
      <c r="C1282" s="187" t="inlineStr">
        <is>
          <t>ICS Advisory: PTZOptics PT30X-SDI/NDI Cameras — PTZOptics PT30X-SDI/NDI cameras contain an insecure direct object reference (IDOR) vulnerability tha</t>
        </is>
      </c>
      <c r="D1282" s="187" t="n">
        <v>7</v>
      </c>
      <c r="E1282" s="187" t="inlineStr">
        <is>
          <t>HIGH</t>
        </is>
      </c>
      <c r="F1282" s="187" t="n">
        <v>2</v>
      </c>
      <c r="G1282" s="187" t="n">
        <v>3</v>
      </c>
      <c r="H1282" s="187" t="inlineStr">
        <is>
          <t>HIGH</t>
        </is>
      </c>
      <c r="I1282" s="187" t="n">
        <v>13</v>
      </c>
      <c r="J1282" s="187" t="inlineStr">
        <is>
          <t>NO</t>
        </is>
      </c>
      <c r="K1282" s="187" t="inlineStr">
        <is>
          <t>https://www.cisa.gov/uscert/ics/advisories/CVE-2024-8956</t>
        </is>
      </c>
      <c r="L1282" s="187" t="inlineStr">
        <is>
          <t>2024-11-04</t>
        </is>
      </c>
      <c r="M1282" s="187" t="inlineStr">
        <is>
          <t>CHECK_VENDOR</t>
        </is>
      </c>
      <c r="N1282" s="187" t="inlineStr">
        <is>
          <t>https://www.cisa.gov/uscert/ics/advisories/CVE-2024-8956</t>
        </is>
      </c>
      <c r="O1282" s="187" t="inlineStr">
        <is>
          <t>Follow ICS best practices | Network segmentation | Disable unnecessary services</t>
        </is>
      </c>
      <c r="P1282" s="187" t="inlineStr">
        <is>
          <t>ICS/SCADA/OT</t>
        </is>
      </c>
      <c r="Q1282" s="187" t="inlineStr">
        <is>
          <t>P3</t>
        </is>
      </c>
      <c r="R1282" s="187" t="inlineStr">
        <is>
          <t>🔍 Investigate and apply appropriate controls</t>
        </is>
      </c>
      <c r="S1282" s="187" t="inlineStr">
        <is>
          <t>ICS advisory - no IP context</t>
        </is>
      </c>
      <c r="T1282" s="187" t="n">
        <v>0</v>
      </c>
      <c r="U1282" s="187" t="n">
        <v>0</v>
      </c>
      <c r="V1282" s="187" t="inlineStr">
        <is>
          <t>T0812:Default Credentials | T0866:Exploitation of Remote Services</t>
        </is>
      </c>
      <c r="W1282" s="187" t="n">
        <v>2</v>
      </c>
      <c r="X1282" s="187" t="inlineStr">
        <is>
          <t>CONFIRMED (82%)</t>
        </is>
      </c>
      <c r="Y1282" s="187" t="inlineStr">
        <is>
          <t>NONE</t>
        </is>
      </c>
      <c r="Z1282" s="187" t="inlineStr">
        <is>
          <t>NONE</t>
        </is>
      </c>
      <c r="AA1282" s="187" t="inlineStr">
        <is>
          <t>NONE</t>
        </is>
      </c>
      <c r="AB1282" s="187" t="inlineStr">
        <is>
          <t>NONE</t>
        </is>
      </c>
      <c r="AC1282" s="187" t="n">
        <v>0</v>
      </c>
      <c r="AD1282" s="187" t="inlineStr"/>
    </row>
    <row r="1283">
      <c r="A1283" s="187" t="inlineStr">
        <is>
          <t>CISA_ICS</t>
        </is>
      </c>
      <c r="B1283" s="187" t="inlineStr">
        <is>
          <t>CVE-2024-8957</t>
        </is>
      </c>
      <c r="C1283" s="187" t="inlineStr">
        <is>
          <t xml:space="preserve">ICS Advisory: PTZOptics PT30X-SDI/NDI Cameras — PTZOptics PT30X-SDI/NDI cameras contain an OS command injection vulnerability that allows a remote, </t>
        </is>
      </c>
      <c r="D1283" s="187" t="n">
        <v>7</v>
      </c>
      <c r="E1283" s="187" t="inlineStr">
        <is>
          <t>HIGH</t>
        </is>
      </c>
      <c r="F1283" s="187" t="n">
        <v>2</v>
      </c>
      <c r="G1283" s="187" t="n">
        <v>3</v>
      </c>
      <c r="H1283" s="187" t="inlineStr">
        <is>
          <t>HIGH</t>
        </is>
      </c>
      <c r="I1283" s="187" t="n">
        <v>13</v>
      </c>
      <c r="J1283" s="187" t="inlineStr">
        <is>
          <t>NO</t>
        </is>
      </c>
      <c r="K1283" s="187" t="inlineStr">
        <is>
          <t>https://www.cisa.gov/uscert/ics/advisories/CVE-2024-8957</t>
        </is>
      </c>
      <c r="L1283" s="187" t="inlineStr">
        <is>
          <t>2024-11-04</t>
        </is>
      </c>
      <c r="M1283" s="187" t="inlineStr">
        <is>
          <t>CHECK_VENDOR</t>
        </is>
      </c>
      <c r="N1283" s="187" t="inlineStr">
        <is>
          <t>https://www.cisa.gov/uscert/ics/advisories/CVE-2024-8957</t>
        </is>
      </c>
      <c r="O1283" s="187" t="inlineStr">
        <is>
          <t>Follow ICS best practices | Network segmentation | Disable unnecessary services</t>
        </is>
      </c>
      <c r="P1283" s="187" t="inlineStr">
        <is>
          <t>ICS/SCADA/OT</t>
        </is>
      </c>
      <c r="Q1283" s="187" t="inlineStr">
        <is>
          <t>P3</t>
        </is>
      </c>
      <c r="R1283" s="187" t="inlineStr">
        <is>
          <t>🔍 Investigate and apply appropriate controls</t>
        </is>
      </c>
      <c r="S1283" s="187" t="inlineStr">
        <is>
          <t>ICS advisory - no IP context</t>
        </is>
      </c>
      <c r="T1283" s="187" t="n">
        <v>0</v>
      </c>
      <c r="U1283" s="187" t="n">
        <v>0</v>
      </c>
      <c r="V1283" s="187" t="inlineStr">
        <is>
          <t>T0812:Default Credentials | T0866:Exploitation of Remote Services</t>
        </is>
      </c>
      <c r="W1283" s="187" t="n">
        <v>2</v>
      </c>
      <c r="X1283" s="187" t="inlineStr">
        <is>
          <t>CONFIRMED (82%)</t>
        </is>
      </c>
      <c r="Y1283" s="187" t="inlineStr">
        <is>
          <t>NONE</t>
        </is>
      </c>
      <c r="Z1283" s="187" t="inlineStr">
        <is>
          <t>NONE</t>
        </is>
      </c>
      <c r="AA1283" s="187" t="inlineStr">
        <is>
          <t>NONE</t>
        </is>
      </c>
      <c r="AB1283" s="187" t="inlineStr">
        <is>
          <t>NONE</t>
        </is>
      </c>
      <c r="AC1283" s="187" t="n">
        <v>0</v>
      </c>
      <c r="AD1283" s="187" t="inlineStr"/>
    </row>
    <row r="1284">
      <c r="A1284" s="187" t="inlineStr">
        <is>
          <t>CISA_ICS</t>
        </is>
      </c>
      <c r="B1284" s="187" t="inlineStr">
        <is>
          <t>CVE-2021-31196</t>
        </is>
      </c>
      <c r="C1284" s="187" t="inlineStr">
        <is>
          <t>ICS Advisory: Microsoft Exchange Server — Microsoft Exchange Server contains an information disclosure vulnerability that allows for remote co</t>
        </is>
      </c>
      <c r="D1284" s="187" t="n">
        <v>7</v>
      </c>
      <c r="E1284" s="187" t="inlineStr">
        <is>
          <t>HIGH</t>
        </is>
      </c>
      <c r="F1284" s="187" t="n">
        <v>2</v>
      </c>
      <c r="G1284" s="187" t="n">
        <v>3</v>
      </c>
      <c r="H1284" s="187" t="inlineStr">
        <is>
          <t>HIGH</t>
        </is>
      </c>
      <c r="I1284" s="187" t="n">
        <v>13</v>
      </c>
      <c r="J1284" s="187" t="inlineStr">
        <is>
          <t>NO</t>
        </is>
      </c>
      <c r="K1284" s="187" t="inlineStr">
        <is>
          <t>https://www.cisa.gov/uscert/ics/advisories/CVE-2021-31196</t>
        </is>
      </c>
      <c r="L1284" s="187" t="inlineStr">
        <is>
          <t>2024-08-21</t>
        </is>
      </c>
      <c r="M1284" s="187" t="inlineStr">
        <is>
          <t>CHECK_VENDOR</t>
        </is>
      </c>
      <c r="N1284" s="187" t="inlineStr">
        <is>
          <t>https://www.cisa.gov/uscert/ics/advisories/CVE-2021-31196</t>
        </is>
      </c>
      <c r="O1284" s="187" t="inlineStr">
        <is>
          <t>Follow ICS best practices | Network segmentation | Disable unnecessary services</t>
        </is>
      </c>
      <c r="P1284" s="187" t="inlineStr">
        <is>
          <t>ICS/SCADA/OT</t>
        </is>
      </c>
      <c r="Q1284" s="187" t="inlineStr">
        <is>
          <t>P3</t>
        </is>
      </c>
      <c r="R1284" s="187" t="inlineStr">
        <is>
          <t>🔍 Investigate and apply appropriate controls</t>
        </is>
      </c>
      <c r="S1284" s="187" t="inlineStr">
        <is>
          <t>ICS advisory - no IP context</t>
        </is>
      </c>
      <c r="T1284" s="187" t="n">
        <v>0</v>
      </c>
      <c r="U1284" s="187" t="n">
        <v>0</v>
      </c>
      <c r="V1284" s="187" t="inlineStr">
        <is>
          <t>T0812:Default Credentials | T0866:Exploitation of Remote Services</t>
        </is>
      </c>
      <c r="W1284" s="187" t="n">
        <v>2</v>
      </c>
      <c r="X1284" s="187" t="inlineStr">
        <is>
          <t>CONFIRMED (82%)</t>
        </is>
      </c>
      <c r="Y1284" s="187" t="inlineStr">
        <is>
          <t>NONE</t>
        </is>
      </c>
      <c r="Z1284" s="187" t="inlineStr">
        <is>
          <t>NONE</t>
        </is>
      </c>
      <c r="AA1284" s="187" t="inlineStr">
        <is>
          <t>NONE</t>
        </is>
      </c>
      <c r="AB1284" s="187" t="inlineStr">
        <is>
          <t>NONE</t>
        </is>
      </c>
      <c r="AC1284" s="187" t="n">
        <v>0</v>
      </c>
      <c r="AD1284" s="187" t="inlineStr"/>
    </row>
    <row r="1285">
      <c r="A1285" s="187" t="inlineStr">
        <is>
          <t>CISA_ICS</t>
        </is>
      </c>
      <c r="B1285" s="187" t="inlineStr">
        <is>
          <t>CVE-2019-7256</t>
        </is>
      </c>
      <c r="C1285" s="187" t="inlineStr">
        <is>
          <t xml:space="preserve">ICS Advisory: Nice Linear eMerge E3-Series — Nice Linear eMerge E3-Series contains an OS command injection vulnerability that allows an attacker </t>
        </is>
      </c>
      <c r="D1285" s="187" t="n">
        <v>7</v>
      </c>
      <c r="E1285" s="187" t="inlineStr">
        <is>
          <t>HIGH</t>
        </is>
      </c>
      <c r="F1285" s="187" t="n">
        <v>2</v>
      </c>
      <c r="G1285" s="187" t="n">
        <v>3</v>
      </c>
      <c r="H1285" s="187" t="inlineStr">
        <is>
          <t>HIGH</t>
        </is>
      </c>
      <c r="I1285" s="187" t="n">
        <v>13</v>
      </c>
      <c r="J1285" s="187" t="inlineStr">
        <is>
          <t>NO</t>
        </is>
      </c>
      <c r="K1285" s="187" t="inlineStr">
        <is>
          <t>https://www.cisa.gov/uscert/ics/advisories/CVE-2019-7256</t>
        </is>
      </c>
      <c r="L1285" s="187" t="inlineStr">
        <is>
          <t>2024-03-25</t>
        </is>
      </c>
      <c r="M1285" s="187" t="inlineStr">
        <is>
          <t>CHECK_VENDOR</t>
        </is>
      </c>
      <c r="N1285" s="187" t="inlineStr">
        <is>
          <t>https://www.cisa.gov/uscert/ics/advisories/CVE-2019-7256</t>
        </is>
      </c>
      <c r="O1285" s="187" t="inlineStr">
        <is>
          <t>Follow ICS best practices | Network segmentation | Disable unnecessary services</t>
        </is>
      </c>
      <c r="P1285" s="187" t="inlineStr">
        <is>
          <t>ICS/SCADA/OT</t>
        </is>
      </c>
      <c r="Q1285" s="187" t="inlineStr">
        <is>
          <t>P3</t>
        </is>
      </c>
      <c r="R1285" s="187" t="inlineStr">
        <is>
          <t>🔍 Investigate and apply appropriate controls</t>
        </is>
      </c>
      <c r="S1285" s="187" t="inlineStr">
        <is>
          <t>ICS advisory - no IP context</t>
        </is>
      </c>
      <c r="T1285" s="187" t="n">
        <v>0</v>
      </c>
      <c r="U1285" s="187" t="n">
        <v>0</v>
      </c>
      <c r="V1285" s="187" t="inlineStr">
        <is>
          <t>T0812:Default Credentials | T0866:Exploitation of Remote Services</t>
        </is>
      </c>
      <c r="W1285" s="187" t="n">
        <v>2</v>
      </c>
      <c r="X1285" s="187" t="inlineStr">
        <is>
          <t>CONFIRMED (82%)</t>
        </is>
      </c>
      <c r="Y1285" s="187" t="inlineStr">
        <is>
          <t>NONE</t>
        </is>
      </c>
      <c r="Z1285" s="187" t="inlineStr">
        <is>
          <t>NONE</t>
        </is>
      </c>
      <c r="AA1285" s="187" t="inlineStr">
        <is>
          <t>NONE</t>
        </is>
      </c>
      <c r="AB1285" s="187" t="inlineStr">
        <is>
          <t>NONE</t>
        </is>
      </c>
      <c r="AC1285" s="187" t="n">
        <v>0</v>
      </c>
      <c r="AD1285" s="187" t="inlineStr"/>
    </row>
    <row r="1286">
      <c r="A1286" s="187" t="inlineStr">
        <is>
          <t>CISA_ICS</t>
        </is>
      </c>
      <c r="B1286" s="187" t="inlineStr">
        <is>
          <t>CVE-2024-21410</t>
        </is>
      </c>
      <c r="C1286" s="187" t="inlineStr">
        <is>
          <t>ICS Advisory: Microsoft Exchange Server — Microsoft Exchange Server contains an unspecified vulnerability that allows for privilege escalation</t>
        </is>
      </c>
      <c r="D1286" s="187" t="n">
        <v>7</v>
      </c>
      <c r="E1286" s="187" t="inlineStr">
        <is>
          <t>HIGH</t>
        </is>
      </c>
      <c r="F1286" s="187" t="n">
        <v>2</v>
      </c>
      <c r="G1286" s="187" t="n">
        <v>3</v>
      </c>
      <c r="H1286" s="187" t="inlineStr">
        <is>
          <t>HIGH</t>
        </is>
      </c>
      <c r="I1286" s="187" t="n">
        <v>13</v>
      </c>
      <c r="J1286" s="187" t="inlineStr">
        <is>
          <t>NO</t>
        </is>
      </c>
      <c r="K1286" s="187" t="inlineStr">
        <is>
          <t>https://www.cisa.gov/uscert/ics/advisories/CVE-2024-21410</t>
        </is>
      </c>
      <c r="L1286" s="187" t="inlineStr">
        <is>
          <t>2024-02-15</t>
        </is>
      </c>
      <c r="M1286" s="187" t="inlineStr">
        <is>
          <t>CHECK_VENDOR</t>
        </is>
      </c>
      <c r="N1286" s="187" t="inlineStr">
        <is>
          <t>https://www.cisa.gov/uscert/ics/advisories/CVE-2024-21410</t>
        </is>
      </c>
      <c r="O1286" s="187" t="inlineStr">
        <is>
          <t>Follow ICS best practices | Network segmentation | Disable unnecessary services</t>
        </is>
      </c>
      <c r="P1286" s="187" t="inlineStr">
        <is>
          <t>ICS/SCADA/OT</t>
        </is>
      </c>
      <c r="Q1286" s="187" t="inlineStr">
        <is>
          <t>P3</t>
        </is>
      </c>
      <c r="R1286" s="187" t="inlineStr">
        <is>
          <t>🔍 Investigate and apply appropriate controls</t>
        </is>
      </c>
      <c r="S1286" s="187" t="inlineStr">
        <is>
          <t>ICS advisory - no IP context</t>
        </is>
      </c>
      <c r="T1286" s="187" t="n">
        <v>0</v>
      </c>
      <c r="U1286" s="187" t="n">
        <v>0</v>
      </c>
      <c r="V1286" s="187" t="inlineStr">
        <is>
          <t>T0812:Default Credentials | T0866:Exploitation of Remote Services</t>
        </is>
      </c>
      <c r="W1286" s="187" t="n">
        <v>2</v>
      </c>
      <c r="X1286" s="187" t="inlineStr">
        <is>
          <t>CONFIRMED (82%)</t>
        </is>
      </c>
      <c r="Y1286" s="187" t="inlineStr">
        <is>
          <t>NONE</t>
        </is>
      </c>
      <c r="Z1286" s="187" t="inlineStr">
        <is>
          <t>NONE</t>
        </is>
      </c>
      <c r="AA1286" s="187" t="inlineStr">
        <is>
          <t>NONE</t>
        </is>
      </c>
      <c r="AB1286" s="187" t="inlineStr">
        <is>
          <t>NONE</t>
        </is>
      </c>
      <c r="AC1286" s="187" t="n">
        <v>0</v>
      </c>
      <c r="AD1286" s="187" t="inlineStr"/>
    </row>
    <row r="1287">
      <c r="A1287" s="187" t="inlineStr">
        <is>
          <t>CISA_ICS</t>
        </is>
      </c>
      <c r="B1287" s="187" t="inlineStr">
        <is>
          <t>CVE-2023-6448</t>
        </is>
      </c>
      <c r="C1287" s="187" t="inlineStr">
        <is>
          <t>ICS Advisory: Unitronics Vision PLC and HMI — Unitronics Vision Series PLCs and HMIs ship with an insecure default password, which if left unchang</t>
        </is>
      </c>
      <c r="D1287" s="187" t="n">
        <v>7</v>
      </c>
      <c r="E1287" s="187" t="inlineStr">
        <is>
          <t>HIGH</t>
        </is>
      </c>
      <c r="F1287" s="187" t="n">
        <v>2</v>
      </c>
      <c r="G1287" s="187" t="n">
        <v>3</v>
      </c>
      <c r="H1287" s="187" t="inlineStr">
        <is>
          <t>HIGH</t>
        </is>
      </c>
      <c r="I1287" s="187" t="n">
        <v>13</v>
      </c>
      <c r="J1287" s="187" t="inlineStr">
        <is>
          <t>NO</t>
        </is>
      </c>
      <c r="K1287" s="187" t="inlineStr">
        <is>
          <t>https://www.cisa.gov/uscert/ics/advisories/CVE-2023-6448</t>
        </is>
      </c>
      <c r="L1287" s="187" t="inlineStr">
        <is>
          <t>2023-12-11</t>
        </is>
      </c>
      <c r="M1287" s="187" t="inlineStr">
        <is>
          <t>CHECK_VENDOR</t>
        </is>
      </c>
      <c r="N1287" s="187" t="inlineStr">
        <is>
          <t>https://www.cisa.gov/uscert/ics/advisories/CVE-2023-6448</t>
        </is>
      </c>
      <c r="O1287" s="187" t="inlineStr">
        <is>
          <t>Follow ICS best practices | Network segmentation | Disable unnecessary services</t>
        </is>
      </c>
      <c r="P1287" s="187" t="inlineStr">
        <is>
          <t>ICS/SCADA/OT</t>
        </is>
      </c>
      <c r="Q1287" s="187" t="inlineStr">
        <is>
          <t>P3</t>
        </is>
      </c>
      <c r="R1287" s="187" t="inlineStr">
        <is>
          <t>🔍 Investigate and apply appropriate controls</t>
        </is>
      </c>
      <c r="S1287" s="187" t="inlineStr">
        <is>
          <t>ICS advisory - no IP context</t>
        </is>
      </c>
      <c r="T1287" s="187" t="n">
        <v>0</v>
      </c>
      <c r="U1287" s="187" t="n">
        <v>0</v>
      </c>
      <c r="V1287" s="187" t="inlineStr">
        <is>
          <t>T0812:Default Credentials | T0866:Exploitation of Remote Services</t>
        </is>
      </c>
      <c r="W1287" s="187" t="n">
        <v>2</v>
      </c>
      <c r="X1287" s="187" t="inlineStr">
        <is>
          <t>CONFIRMED (82%)</t>
        </is>
      </c>
      <c r="Y1287" s="187" t="inlineStr">
        <is>
          <t>NONE</t>
        </is>
      </c>
      <c r="Z1287" s="187" t="inlineStr">
        <is>
          <t>NONE</t>
        </is>
      </c>
      <c r="AA1287" s="187" t="inlineStr">
        <is>
          <t>NONE</t>
        </is>
      </c>
      <c r="AB1287" s="187" t="inlineStr">
        <is>
          <t>NONE</t>
        </is>
      </c>
      <c r="AC1287" s="187" t="n">
        <v>0</v>
      </c>
      <c r="AD1287" s="187" t="inlineStr"/>
    </row>
    <row r="1288">
      <c r="A1288" s="187" t="inlineStr">
        <is>
          <t>CISA_ICS</t>
        </is>
      </c>
      <c r="B1288" s="187" t="inlineStr">
        <is>
          <t>CVE-2021-29256</t>
        </is>
      </c>
      <c r="C1288" s="187" t="inlineStr">
        <is>
          <t>ICS Advisory: Arm Mali Graphics Processing Unit (GPU) — Arm Mali GPU Kernel Driver contains a use-after-free vulnerability that may allow a non-privileged u</t>
        </is>
      </c>
      <c r="D1288" s="187" t="n">
        <v>7</v>
      </c>
      <c r="E1288" s="187" t="inlineStr">
        <is>
          <t>HIGH</t>
        </is>
      </c>
      <c r="F1288" s="187" t="n">
        <v>2</v>
      </c>
      <c r="G1288" s="187" t="n">
        <v>3</v>
      </c>
      <c r="H1288" s="187" t="inlineStr">
        <is>
          <t>HIGH</t>
        </is>
      </c>
      <c r="I1288" s="187" t="n">
        <v>13</v>
      </c>
      <c r="J1288" s="187" t="inlineStr">
        <is>
          <t>NO</t>
        </is>
      </c>
      <c r="K1288" s="187" t="inlineStr">
        <is>
          <t>https://www.cisa.gov/uscert/ics/advisories/CVE-2021-29256</t>
        </is>
      </c>
      <c r="L1288" s="187" t="inlineStr">
        <is>
          <t>2023-07-07</t>
        </is>
      </c>
      <c r="M1288" s="187" t="inlineStr">
        <is>
          <t>CHECK_VENDOR</t>
        </is>
      </c>
      <c r="N1288" s="187" t="inlineStr">
        <is>
          <t>https://www.cisa.gov/uscert/ics/advisories/CVE-2021-29256</t>
        </is>
      </c>
      <c r="O1288" s="187" t="inlineStr">
        <is>
          <t>Follow ICS best practices | Network segmentation | Disable unnecessary services</t>
        </is>
      </c>
      <c r="P1288" s="187" t="inlineStr">
        <is>
          <t>ICS/SCADA/OT</t>
        </is>
      </c>
      <c r="Q1288" s="187" t="inlineStr">
        <is>
          <t>P3</t>
        </is>
      </c>
      <c r="R1288" s="187" t="inlineStr">
        <is>
          <t>🔍 Investigate and apply appropriate controls</t>
        </is>
      </c>
      <c r="S1288" s="187" t="inlineStr">
        <is>
          <t>ICS advisory - no IP context</t>
        </is>
      </c>
      <c r="T1288" s="187" t="n">
        <v>0</v>
      </c>
      <c r="U1288" s="187" t="n">
        <v>0</v>
      </c>
      <c r="V1288" s="187" t="inlineStr">
        <is>
          <t>T0812:Default Credentials | T0866:Exploitation of Remote Services</t>
        </is>
      </c>
      <c r="W1288" s="187" t="n">
        <v>2</v>
      </c>
      <c r="X1288" s="187" t="inlineStr">
        <is>
          <t>CONFIRMED (82%)</t>
        </is>
      </c>
      <c r="Y1288" s="187" t="inlineStr">
        <is>
          <t>NONE</t>
        </is>
      </c>
      <c r="Z1288" s="187" t="inlineStr">
        <is>
          <t>NONE</t>
        </is>
      </c>
      <c r="AA1288" s="187" t="inlineStr">
        <is>
          <t>NONE</t>
        </is>
      </c>
      <c r="AB1288" s="187" t="inlineStr">
        <is>
          <t>NONE</t>
        </is>
      </c>
      <c r="AC1288" s="187" t="n">
        <v>0</v>
      </c>
      <c r="AD1288" s="187" t="inlineStr"/>
    </row>
    <row r="1289">
      <c r="A1289" s="187" t="inlineStr">
        <is>
          <t>CISA_ICS</t>
        </is>
      </c>
      <c r="B1289" s="187" t="inlineStr">
        <is>
          <t>CVE-2023-27992</t>
        </is>
      </c>
      <c r="C1289" s="187" t="inlineStr">
        <is>
          <t>ICS Advisory: Zyxel Multiple Network-Attached Storage (NAS) Devices — Multiple Zyxel network-attached storage (NAS) devices contain a pre-authentication command injection</t>
        </is>
      </c>
      <c r="D1289" s="187" t="n">
        <v>7</v>
      </c>
      <c r="E1289" s="187" t="inlineStr">
        <is>
          <t>HIGH</t>
        </is>
      </c>
      <c r="F1289" s="187" t="n">
        <v>2</v>
      </c>
      <c r="G1289" s="187" t="n">
        <v>3</v>
      </c>
      <c r="H1289" s="187" t="inlineStr">
        <is>
          <t>HIGH</t>
        </is>
      </c>
      <c r="I1289" s="187" t="n">
        <v>13</v>
      </c>
      <c r="J1289" s="187" t="inlineStr">
        <is>
          <t>NO</t>
        </is>
      </c>
      <c r="K1289" s="187" t="inlineStr">
        <is>
          <t>https://www.cisa.gov/uscert/ics/advisories/CVE-2023-27992</t>
        </is>
      </c>
      <c r="L1289" s="187" t="inlineStr">
        <is>
          <t>2023-06-23</t>
        </is>
      </c>
      <c r="M1289" s="187" t="inlineStr">
        <is>
          <t>CHECK_VENDOR</t>
        </is>
      </c>
      <c r="N1289" s="187" t="inlineStr">
        <is>
          <t>https://www.cisa.gov/uscert/ics/advisories/CVE-2023-27992</t>
        </is>
      </c>
      <c r="O1289" s="187" t="inlineStr">
        <is>
          <t>Follow ICS best practices | Network segmentation | Disable unnecessary services</t>
        </is>
      </c>
      <c r="P1289" s="187" t="inlineStr">
        <is>
          <t>ICS/SCADA/OT</t>
        </is>
      </c>
      <c r="Q1289" s="187" t="inlineStr">
        <is>
          <t>P3</t>
        </is>
      </c>
      <c r="R1289" s="187" t="inlineStr">
        <is>
          <t>🔍 Investigate and apply appropriate controls</t>
        </is>
      </c>
      <c r="S1289" s="187" t="inlineStr">
        <is>
          <t>ICS advisory - no IP context</t>
        </is>
      </c>
      <c r="T1289" s="187" t="n">
        <v>0</v>
      </c>
      <c r="U1289" s="187" t="n">
        <v>0</v>
      </c>
      <c r="V1289" s="187" t="inlineStr">
        <is>
          <t>T0812:Default Credentials | T0866:Exploitation of Remote Services</t>
        </is>
      </c>
      <c r="W1289" s="187" t="n">
        <v>2</v>
      </c>
      <c r="X1289" s="187" t="inlineStr">
        <is>
          <t>CONFIRMED (82%)</t>
        </is>
      </c>
      <c r="Y1289" s="187" t="inlineStr">
        <is>
          <t>NONE</t>
        </is>
      </c>
      <c r="Z1289" s="187" t="inlineStr">
        <is>
          <t>NONE</t>
        </is>
      </c>
      <c r="AA1289" s="187" t="inlineStr">
        <is>
          <t>NONE</t>
        </is>
      </c>
      <c r="AB1289" s="187" t="inlineStr">
        <is>
          <t>NONE</t>
        </is>
      </c>
      <c r="AC1289" s="187" t="n">
        <v>0</v>
      </c>
      <c r="AD1289" s="187" t="inlineStr"/>
    </row>
    <row r="1290">
      <c r="A1290" s="187" t="inlineStr">
        <is>
          <t>CISA_ICS</t>
        </is>
      </c>
      <c r="B1290" s="187" t="inlineStr">
        <is>
          <t>CVE-2023-26083</t>
        </is>
      </c>
      <c r="C1290" s="187" t="inlineStr">
        <is>
          <t>ICS Advisory: Arm Mali Graphics Processing Unit (GPU) — Arm Mali GPU Kernel Driver contains an information disclosure vulnerability that allows a non-privil</t>
        </is>
      </c>
      <c r="D1290" s="187" t="n">
        <v>7</v>
      </c>
      <c r="E1290" s="187" t="inlineStr">
        <is>
          <t>HIGH</t>
        </is>
      </c>
      <c r="F1290" s="187" t="n">
        <v>2</v>
      </c>
      <c r="G1290" s="187" t="n">
        <v>3</v>
      </c>
      <c r="H1290" s="187" t="inlineStr">
        <is>
          <t>HIGH</t>
        </is>
      </c>
      <c r="I1290" s="187" t="n">
        <v>13</v>
      </c>
      <c r="J1290" s="187" t="inlineStr">
        <is>
          <t>NO</t>
        </is>
      </c>
      <c r="K1290" s="187" t="inlineStr">
        <is>
          <t>https://www.cisa.gov/uscert/ics/advisories/CVE-2023-26083</t>
        </is>
      </c>
      <c r="L1290" s="187" t="inlineStr">
        <is>
          <t>2023-04-07</t>
        </is>
      </c>
      <c r="M1290" s="187" t="inlineStr">
        <is>
          <t>CHECK_VENDOR</t>
        </is>
      </c>
      <c r="N1290" s="187" t="inlineStr">
        <is>
          <t>https://www.cisa.gov/uscert/ics/advisories/CVE-2023-26083</t>
        </is>
      </c>
      <c r="O1290" s="187" t="inlineStr">
        <is>
          <t>Follow ICS best practices | Network segmentation | Disable unnecessary services</t>
        </is>
      </c>
      <c r="P1290" s="187" t="inlineStr">
        <is>
          <t>ICS/SCADA/OT</t>
        </is>
      </c>
      <c r="Q1290" s="187" t="inlineStr">
        <is>
          <t>P3</t>
        </is>
      </c>
      <c r="R1290" s="187" t="inlineStr">
        <is>
          <t>🔍 Investigate and apply appropriate controls</t>
        </is>
      </c>
      <c r="S1290" s="187" t="inlineStr">
        <is>
          <t>ICS advisory - no IP context</t>
        </is>
      </c>
      <c r="T1290" s="187" t="n">
        <v>0</v>
      </c>
      <c r="U1290" s="187" t="n">
        <v>0</v>
      </c>
      <c r="V1290" s="187" t="inlineStr">
        <is>
          <t>T0812:Default Credentials | T0866:Exploitation of Remote Services</t>
        </is>
      </c>
      <c r="W1290" s="187" t="n">
        <v>2</v>
      </c>
      <c r="X1290" s="187" t="inlineStr">
        <is>
          <t>CONFIRMED (82%)</t>
        </is>
      </c>
      <c r="Y1290" s="187" t="inlineStr">
        <is>
          <t>NONE</t>
        </is>
      </c>
      <c r="Z1290" s="187" t="inlineStr">
        <is>
          <t>NONE</t>
        </is>
      </c>
      <c r="AA1290" s="187" t="inlineStr">
        <is>
          <t>NONE</t>
        </is>
      </c>
      <c r="AB1290" s="187" t="inlineStr">
        <is>
          <t>NONE</t>
        </is>
      </c>
      <c r="AC1290" s="187" t="n">
        <v>0</v>
      </c>
      <c r="AD1290" s="187" t="inlineStr"/>
    </row>
    <row r="1291">
      <c r="A1291" s="187" t="inlineStr">
        <is>
          <t>CISA_ICS</t>
        </is>
      </c>
      <c r="B1291" s="187" t="inlineStr">
        <is>
          <t>CVE-2022-38181</t>
        </is>
      </c>
      <c r="C1291" s="187" t="inlineStr">
        <is>
          <t>ICS Advisory: Arm Mali Graphics Processing Unit (GPU) — Arm Mali GPU Kernel Driver contains a use-after-free vulnerability that may allow a non-privileged u</t>
        </is>
      </c>
      <c r="D1291" s="187" t="n">
        <v>7</v>
      </c>
      <c r="E1291" s="187" t="inlineStr">
        <is>
          <t>HIGH</t>
        </is>
      </c>
      <c r="F1291" s="187" t="n">
        <v>2</v>
      </c>
      <c r="G1291" s="187" t="n">
        <v>3</v>
      </c>
      <c r="H1291" s="187" t="inlineStr">
        <is>
          <t>HIGH</t>
        </is>
      </c>
      <c r="I1291" s="187" t="n">
        <v>13</v>
      </c>
      <c r="J1291" s="187" t="inlineStr">
        <is>
          <t>NO</t>
        </is>
      </c>
      <c r="K1291" s="187" t="inlineStr">
        <is>
          <t>https://www.cisa.gov/uscert/ics/advisories/CVE-2022-38181</t>
        </is>
      </c>
      <c r="L1291" s="187" t="inlineStr">
        <is>
          <t>2023-03-30</t>
        </is>
      </c>
      <c r="M1291" s="187" t="inlineStr">
        <is>
          <t>CHECK_VENDOR</t>
        </is>
      </c>
      <c r="N1291" s="187" t="inlineStr">
        <is>
          <t>https://www.cisa.gov/uscert/ics/advisories/CVE-2022-38181</t>
        </is>
      </c>
      <c r="O1291" s="187" t="inlineStr">
        <is>
          <t>Follow ICS best practices | Network segmentation | Disable unnecessary services</t>
        </is>
      </c>
      <c r="P1291" s="187" t="inlineStr">
        <is>
          <t>ICS/SCADA/OT</t>
        </is>
      </c>
      <c r="Q1291" s="187" t="inlineStr">
        <is>
          <t>P3</t>
        </is>
      </c>
      <c r="R1291" s="187" t="inlineStr">
        <is>
          <t>🔍 Investigate and apply appropriate controls</t>
        </is>
      </c>
      <c r="S1291" s="187" t="inlineStr">
        <is>
          <t>ICS advisory - no IP context</t>
        </is>
      </c>
      <c r="T1291" s="187" t="n">
        <v>0</v>
      </c>
      <c r="U1291" s="187" t="n">
        <v>0</v>
      </c>
      <c r="V1291" s="187" t="inlineStr">
        <is>
          <t>T0812:Default Credentials | T0866:Exploitation of Remote Services</t>
        </is>
      </c>
      <c r="W1291" s="187" t="n">
        <v>2</v>
      </c>
      <c r="X1291" s="187" t="inlineStr">
        <is>
          <t>CONFIRMED (82%)</t>
        </is>
      </c>
      <c r="Y1291" s="187" t="inlineStr">
        <is>
          <t>NONE</t>
        </is>
      </c>
      <c r="Z1291" s="187" t="inlineStr">
        <is>
          <t>NONE</t>
        </is>
      </c>
      <c r="AA1291" s="187" t="inlineStr">
        <is>
          <t>NONE</t>
        </is>
      </c>
      <c r="AB1291" s="187" t="inlineStr">
        <is>
          <t>NONE</t>
        </is>
      </c>
      <c r="AC1291" s="187" t="n">
        <v>0</v>
      </c>
      <c r="AD1291" s="187" t="inlineStr"/>
    </row>
    <row r="1292">
      <c r="A1292" s="187" t="inlineStr">
        <is>
          <t>CISA_ICS</t>
        </is>
      </c>
      <c r="B1292" s="187" t="inlineStr">
        <is>
          <t>CVE-2022-22706</t>
        </is>
      </c>
      <c r="C1292" s="187" t="inlineStr">
        <is>
          <t>ICS Advisory: Arm Mali Graphics Processing Unit (GPU) — Arm Mali GPU Kernel Driver contains an unspecified vulnerability that allows a non-privileged user t</t>
        </is>
      </c>
      <c r="D1292" s="187" t="n">
        <v>7</v>
      </c>
      <c r="E1292" s="187" t="inlineStr">
        <is>
          <t>HIGH</t>
        </is>
      </c>
      <c r="F1292" s="187" t="n">
        <v>2</v>
      </c>
      <c r="G1292" s="187" t="n">
        <v>3</v>
      </c>
      <c r="H1292" s="187" t="inlineStr">
        <is>
          <t>HIGH</t>
        </is>
      </c>
      <c r="I1292" s="187" t="n">
        <v>13</v>
      </c>
      <c r="J1292" s="187" t="inlineStr">
        <is>
          <t>NO</t>
        </is>
      </c>
      <c r="K1292" s="187" t="inlineStr">
        <is>
          <t>https://www.cisa.gov/uscert/ics/advisories/CVE-2022-22706</t>
        </is>
      </c>
      <c r="L1292" s="187" t="inlineStr">
        <is>
          <t>2023-03-30</t>
        </is>
      </c>
      <c r="M1292" s="187" t="inlineStr">
        <is>
          <t>CHECK_VENDOR</t>
        </is>
      </c>
      <c r="N1292" s="187" t="inlineStr">
        <is>
          <t>https://www.cisa.gov/uscert/ics/advisories/CVE-2022-22706</t>
        </is>
      </c>
      <c r="O1292" s="187" t="inlineStr">
        <is>
          <t>Follow ICS best practices | Network segmentation | Disable unnecessary services</t>
        </is>
      </c>
      <c r="P1292" s="187" t="inlineStr">
        <is>
          <t>ICS/SCADA/OT</t>
        </is>
      </c>
      <c r="Q1292" s="187" t="inlineStr">
        <is>
          <t>P3</t>
        </is>
      </c>
      <c r="R1292" s="187" t="inlineStr">
        <is>
          <t>🔍 Investigate and apply appropriate controls</t>
        </is>
      </c>
      <c r="S1292" s="187" t="inlineStr">
        <is>
          <t>ICS advisory - no IP context</t>
        </is>
      </c>
      <c r="T1292" s="187" t="n">
        <v>0</v>
      </c>
      <c r="U1292" s="187" t="n">
        <v>0</v>
      </c>
      <c r="V1292" s="187" t="inlineStr">
        <is>
          <t>T0812:Default Credentials | T0866:Exploitation of Remote Services</t>
        </is>
      </c>
      <c r="W1292" s="187" t="n">
        <v>2</v>
      </c>
      <c r="X1292" s="187" t="inlineStr">
        <is>
          <t>CONFIRMED (82%)</t>
        </is>
      </c>
      <c r="Y1292" s="187" t="inlineStr">
        <is>
          <t>NONE</t>
        </is>
      </c>
      <c r="Z1292" s="187" t="inlineStr">
        <is>
          <t>NONE</t>
        </is>
      </c>
      <c r="AA1292" s="187" t="inlineStr">
        <is>
          <t>NONE</t>
        </is>
      </c>
      <c r="AB1292" s="187" t="inlineStr">
        <is>
          <t>NONE</t>
        </is>
      </c>
      <c r="AC1292" s="187" t="n">
        <v>0</v>
      </c>
      <c r="AD1292" s="187" t="inlineStr"/>
    </row>
    <row r="1293">
      <c r="A1293" s="187" t="inlineStr">
        <is>
          <t>FEODO_C2</t>
        </is>
      </c>
      <c r="B1293" s="187" t="inlineStr">
        <is>
          <t>dd4f0099a454</t>
        </is>
      </c>
      <c r="C1293" s="187" t="inlineStr">
        <is>
          <t>Botnet C2 [Emotet]: 162.243.103.246:8080 | Country: US | Last online: 2026-02-06 | Also in: FEODO</t>
        </is>
      </c>
      <c r="D1293" s="187" t="n">
        <v>8</v>
      </c>
      <c r="E1293" s="187" t="inlineStr">
        <is>
          <t>HIGH</t>
        </is>
      </c>
      <c r="F1293" s="187" t="n">
        <v>3</v>
      </c>
      <c r="G1293" s="187" t="n">
        <v>3</v>
      </c>
      <c r="H1293" s="187" t="inlineStr">
        <is>
          <t>CRITICAL</t>
        </is>
      </c>
      <c r="I1293" s="187" t="n">
        <v>17</v>
      </c>
      <c r="J1293" s="187" t="inlineStr">
        <is>
          <t>NO</t>
        </is>
      </c>
      <c r="K1293" s="187" t="inlineStr">
        <is>
          <t>https://feodotracker.abuse.ch/</t>
        </is>
      </c>
      <c r="L1293" s="187" t="inlineStr">
        <is>
          <t>2026-02-06</t>
        </is>
      </c>
      <c r="M1293" s="187" t="inlineStr">
        <is>
          <t>Block C2 immediately</t>
        </is>
      </c>
      <c r="N1293" s="187" t="inlineStr">
        <is>
          <t>https://feodotracker.abuse.ch/browse.php?search=162.243.103.246</t>
        </is>
      </c>
      <c r="O1293" s="187" t="inlineStr">
        <is>
          <t>Block C2 IP 162.243.103.246:8080 immediately | Hunt for infected hosts</t>
        </is>
      </c>
      <c r="P1293" s="187" t="inlineStr">
        <is>
          <t>Network/Endpoints</t>
        </is>
      </c>
      <c r="Q1293" s="187" t="inlineStr">
        <is>
          <t>P1</t>
        </is>
      </c>
      <c r="R1293" s="187" t="inlineStr">
        <is>
          <t>🚫 Block IP at firewall immediately | 🔍 Check logs for existing connections | 🛡️ Add to threat intelligence blocklist</t>
        </is>
      </c>
      <c r="S1293" s="187" t="inlineStr">
        <is>
          <t>🖥️ HOSTING/DC: Digital Ocean | 🌍 United States | Secaucus | 🏢 Digital Ocean | ASN: AS14061 DigitalOcean, LLC | 🖥️ Hosting/DC</t>
        </is>
      </c>
      <c r="T1293" s="187" t="n">
        <v>0</v>
      </c>
      <c r="U1293" s="187" t="n">
        <v>0</v>
      </c>
      <c r="V1293" s="187" t="inlineStr">
        <is>
          <t>T1071:Application Layer Protocol | T1041:Exfiltration Over C2 Channel | T1486:Data Encrypted for Impact</t>
        </is>
      </c>
      <c r="W1293" s="187" t="n">
        <v>1</v>
      </c>
      <c r="X1293" s="187" t="inlineStr">
        <is>
          <t>HIGH (70%)</t>
        </is>
      </c>
      <c r="Y1293" s="187" t="inlineStr">
        <is>
          <t>NONE</t>
        </is>
      </c>
      <c r="Z1293" s="187" t="inlineStr">
        <is>
          <t>NONE</t>
        </is>
      </c>
      <c r="AA1293" s="187" t="inlineStr">
        <is>
          <t>NONE</t>
        </is>
      </c>
      <c r="AB1293" s="187" t="inlineStr">
        <is>
          <t>NONE</t>
        </is>
      </c>
      <c r="AC1293" s="187" t="n">
        <v>0</v>
      </c>
      <c r="AD1293" s="187" t="inlineStr"/>
    </row>
    <row r="1294">
      <c r="A1294" s="187" t="inlineStr">
        <is>
          <t>FEODO_C2</t>
        </is>
      </c>
      <c r="B1294" s="187" t="inlineStr">
        <is>
          <t>5c72177d8436</t>
        </is>
      </c>
      <c r="C1294" s="187" t="inlineStr">
        <is>
          <t>Botnet C2 [QakBot]: 34.204.119.63:443 | Country: US | Last online: 2026-02-26 | Also in: FEODO</t>
        </is>
      </c>
      <c r="D1294" s="187" t="n">
        <v>8</v>
      </c>
      <c r="E1294" s="187" t="inlineStr">
        <is>
          <t>HIGH</t>
        </is>
      </c>
      <c r="F1294" s="187" t="n">
        <v>3</v>
      </c>
      <c r="G1294" s="187" t="n">
        <v>3</v>
      </c>
      <c r="H1294" s="187" t="inlineStr">
        <is>
          <t>CRITICAL</t>
        </is>
      </c>
      <c r="I1294" s="187" t="n">
        <v>17</v>
      </c>
      <c r="J1294" s="187" t="inlineStr">
        <is>
          <t>NO</t>
        </is>
      </c>
      <c r="K1294" s="187" t="inlineStr">
        <is>
          <t>https://feodotracker.abuse.ch/</t>
        </is>
      </c>
      <c r="L1294" s="187" t="inlineStr">
        <is>
          <t>2026-02-26</t>
        </is>
      </c>
      <c r="M1294" s="187" t="inlineStr">
        <is>
          <t>Block C2 immediately</t>
        </is>
      </c>
      <c r="N1294" s="187" t="inlineStr">
        <is>
          <t>https://feodotracker.abuse.ch/browse.php?search=34.204.119.63</t>
        </is>
      </c>
      <c r="O1294" s="187" t="inlineStr">
        <is>
          <t>Block C2 IP 34.204.119.63:443 immediately | Hunt for infected hosts</t>
        </is>
      </c>
      <c r="P1294" s="187" t="inlineStr">
        <is>
          <t>Network/Endpoints</t>
        </is>
      </c>
      <c r="Q1294" s="187" t="inlineStr">
        <is>
          <t>P1</t>
        </is>
      </c>
      <c r="R1294" s="187" t="inlineStr">
        <is>
          <t>🚫 Block IP at firewall immediately | 🔍 Check logs for existing connections | 🛡️ Add to threat intelligence blocklist</t>
        </is>
      </c>
      <c r="S1294" s="187" t="inlineStr">
        <is>
          <t>🖥️ HOSTING/DC: AWS EC2 (us-east-1) | 🌍 United States | Ashburn | 🏢 AWS EC2 (us-east-1) | ASN: AS14618 Amazon.com, Inc. | 🖥️ Hosting/DC</t>
        </is>
      </c>
      <c r="T1294" s="187" t="n">
        <v>0</v>
      </c>
      <c r="U1294" s="187" t="n">
        <v>0</v>
      </c>
      <c r="V1294" s="187" t="inlineStr">
        <is>
          <t>T1071:Application Layer Protocol | T1041:Exfiltration Over C2 Channel | T1486:Data Encrypted for Impact</t>
        </is>
      </c>
      <c r="W1294" s="187" t="n">
        <v>1</v>
      </c>
      <c r="X1294" s="187" t="inlineStr">
        <is>
          <t>HIGH (70%)</t>
        </is>
      </c>
      <c r="Y1294" s="187" t="inlineStr">
        <is>
          <t>NONE</t>
        </is>
      </c>
      <c r="Z1294" s="187" t="inlineStr">
        <is>
          <t>NONE</t>
        </is>
      </c>
      <c r="AA1294" s="187" t="inlineStr">
        <is>
          <t>NONE</t>
        </is>
      </c>
      <c r="AB1294" s="187" t="inlineStr">
        <is>
          <t>NONE</t>
        </is>
      </c>
      <c r="AC1294" s="187" t="n">
        <v>0</v>
      </c>
      <c r="AD1294" s="187" t="inlineStr"/>
    </row>
    <row r="1295">
      <c r="A1295" s="187" t="inlineStr">
        <is>
          <t>FEODO_C2</t>
        </is>
      </c>
      <c r="B1295" s="187" t="inlineStr">
        <is>
          <t>3e7bffdfcbae</t>
        </is>
      </c>
      <c r="C1295" s="187" t="inlineStr">
        <is>
          <t>Botnet C2 [QakBot]: 178.62.3.223:443 | Country: GB | Last online: 2026-02-18 | Also in: FEODO</t>
        </is>
      </c>
      <c r="D1295" s="187" t="n">
        <v>8</v>
      </c>
      <c r="E1295" s="187" t="inlineStr">
        <is>
          <t>HIGH</t>
        </is>
      </c>
      <c r="F1295" s="187" t="n">
        <v>3</v>
      </c>
      <c r="G1295" s="187" t="n">
        <v>3</v>
      </c>
      <c r="H1295" s="187" t="inlineStr">
        <is>
          <t>CRITICAL</t>
        </is>
      </c>
      <c r="I1295" s="187" t="n">
        <v>17</v>
      </c>
      <c r="J1295" s="187" t="inlineStr">
        <is>
          <t>NO</t>
        </is>
      </c>
      <c r="K1295" s="187" t="inlineStr">
        <is>
          <t>https://feodotracker.abuse.ch/</t>
        </is>
      </c>
      <c r="L1295" s="187" t="inlineStr">
        <is>
          <t>2026-02-18</t>
        </is>
      </c>
      <c r="M1295" s="187" t="inlineStr">
        <is>
          <t>Block C2 immediately</t>
        </is>
      </c>
      <c r="N1295" s="187" t="inlineStr">
        <is>
          <t>https://feodotracker.abuse.ch/browse.php?search=178.62.3.223</t>
        </is>
      </c>
      <c r="O1295" s="187" t="inlineStr">
        <is>
          <t>Block C2 IP 178.62.3.223:443 immediately | Hunt for infected hosts</t>
        </is>
      </c>
      <c r="P1295" s="187" t="inlineStr">
        <is>
          <t>Network/Endpoints</t>
        </is>
      </c>
      <c r="Q1295" s="187" t="inlineStr">
        <is>
          <t>P1</t>
        </is>
      </c>
      <c r="R1295" s="187" t="inlineStr">
        <is>
          <t>🚫 Block IP at firewall immediately | 🔍 Check logs for existing connections | 🛡️ Add to threat intelligence blocklist</t>
        </is>
      </c>
      <c r="S1295" s="187" t="inlineStr">
        <is>
          <t>Skipped (20/run cap)</t>
        </is>
      </c>
      <c r="T1295" s="187" t="n">
        <v>0</v>
      </c>
      <c r="U1295" s="187" t="n">
        <v>0</v>
      </c>
      <c r="V1295" s="187" t="inlineStr">
        <is>
          <t>T1071:Application Layer Protocol | T1041:Exfiltration Over C2 Channel | T1486:Data Encrypted for Impact</t>
        </is>
      </c>
      <c r="W1295" s="187" t="n">
        <v>1</v>
      </c>
      <c r="X1295" s="187" t="inlineStr">
        <is>
          <t>HIGH (70%)</t>
        </is>
      </c>
      <c r="Y1295" s="187" t="inlineStr">
        <is>
          <t>NONE</t>
        </is>
      </c>
      <c r="Z1295" s="187" t="inlineStr">
        <is>
          <t>NONE</t>
        </is>
      </c>
      <c r="AA1295" s="187" t="inlineStr">
        <is>
          <t>NONE</t>
        </is>
      </c>
      <c r="AB1295" s="187" t="inlineStr">
        <is>
          <t>NONE</t>
        </is>
      </c>
      <c r="AC1295" s="187" t="n">
        <v>0</v>
      </c>
      <c r="AD1295" s="187" t="inlineStr"/>
    </row>
    <row r="1296">
      <c r="A1296" s="188" t="inlineStr">
        <is>
          <t>FIREHOL_THREAT</t>
        </is>
      </c>
      <c r="B1296" s="188" t="inlineStr">
        <is>
          <t>41744fea4be9</t>
        </is>
      </c>
      <c r="C1296" s="188" t="inlineStr">
        <is>
          <t>DROP List CIDR: 0.0.0.0/8 | FireHOL L1 threat IP/CIDR | ASN: FireHOL-L1</t>
        </is>
      </c>
      <c r="D1296" s="188" t="n">
        <v>6</v>
      </c>
      <c r="E1296" s="188" t="inlineStr">
        <is>
          <t>MEDIUM</t>
        </is>
      </c>
      <c r="F1296" s="188" t="n">
        <v>2</v>
      </c>
      <c r="G1296" s="188" t="n">
        <v>2</v>
      </c>
      <c r="H1296" s="188" t="inlineStr">
        <is>
          <t>MEDIUM</t>
        </is>
      </c>
      <c r="I1296" s="188" t="n">
        <v>10</v>
      </c>
      <c r="J1296" s="188" t="inlineStr">
        <is>
          <t>NO</t>
        </is>
      </c>
      <c r="K1296" s="188" t="inlineStr">
        <is>
          <t>https://www.spamhaus.org/drop/</t>
        </is>
      </c>
      <c r="L1296" s="188" t="inlineStr">
        <is>
          <t>2026-02-27 20:47</t>
        </is>
      </c>
      <c r="M1296" s="188" t="inlineStr">
        <is>
          <t>Block CIDR</t>
        </is>
      </c>
      <c r="N1296" s="188" t="inlineStr">
        <is>
          <t>https://www.spamhaus.org/drop/</t>
        </is>
      </c>
      <c r="O1296" s="188" t="inlineStr">
        <is>
          <t>Block CIDR 0.0.0.0/8 at firewall</t>
        </is>
      </c>
      <c r="P1296" s="188" t="inlineStr">
        <is>
          <t>Firewall/Email</t>
        </is>
      </c>
      <c r="Q1296" s="188" t="inlineStr">
        <is>
          <t>P4</t>
        </is>
      </c>
      <c r="R1296" s="188" t="inlineStr">
        <is>
          <t>🔍 Investigate and apply appropriate controls</t>
        </is>
      </c>
      <c r="S1296" s="188" t="inlineStr">
        <is>
          <t>Spamhaus - CIDR range</t>
        </is>
      </c>
      <c r="T1296" s="188" t="n">
        <v>0</v>
      </c>
      <c r="U1296" s="188" t="n">
        <v>0</v>
      </c>
      <c r="V1296" s="188" t="inlineStr">
        <is>
          <t>T1566:Phishing | T1078:Valid Accounts</t>
        </is>
      </c>
      <c r="W1296" s="188" t="n">
        <v>1</v>
      </c>
      <c r="X1296" s="188" t="inlineStr">
        <is>
          <t>LOW (40%)</t>
        </is>
      </c>
      <c r="Y1296" s="188" t="inlineStr">
        <is>
          <t>NONE</t>
        </is>
      </c>
      <c r="Z1296" s="188" t="inlineStr">
        <is>
          <t>NONE</t>
        </is>
      </c>
      <c r="AA1296" s="188" t="inlineStr">
        <is>
          <t>NONE</t>
        </is>
      </c>
      <c r="AB1296" s="188" t="inlineStr">
        <is>
          <t>NONE</t>
        </is>
      </c>
      <c r="AC1296" s="188" t="n">
        <v>0</v>
      </c>
      <c r="AD1296" s="188" t="inlineStr"/>
    </row>
    <row r="1297">
      <c r="A1297" s="188" t="inlineStr">
        <is>
          <t>FIREHOL_THREAT</t>
        </is>
      </c>
      <c r="B1297" s="188" t="inlineStr">
        <is>
          <t>16557aba7819</t>
        </is>
      </c>
      <c r="C1297" s="188" t="inlineStr">
        <is>
          <t>DROP List CIDR: 1.10.16.0/20 | FireHOL L1 threat IP/CIDR | ASN: FireHOL-L1</t>
        </is>
      </c>
      <c r="D1297" s="188" t="n">
        <v>6</v>
      </c>
      <c r="E1297" s="188" t="inlineStr">
        <is>
          <t>MEDIUM</t>
        </is>
      </c>
      <c r="F1297" s="188" t="n">
        <v>2</v>
      </c>
      <c r="G1297" s="188" t="n">
        <v>2</v>
      </c>
      <c r="H1297" s="188" t="inlineStr">
        <is>
          <t>MEDIUM</t>
        </is>
      </c>
      <c r="I1297" s="188" t="n">
        <v>10</v>
      </c>
      <c r="J1297" s="188" t="inlineStr">
        <is>
          <t>NO</t>
        </is>
      </c>
      <c r="K1297" s="188" t="inlineStr">
        <is>
          <t>https://www.spamhaus.org/drop/</t>
        </is>
      </c>
      <c r="L1297" s="188" t="inlineStr">
        <is>
          <t>2026-02-27 20:47</t>
        </is>
      </c>
      <c r="M1297" s="188" t="inlineStr">
        <is>
          <t>Block CIDR</t>
        </is>
      </c>
      <c r="N1297" s="188" t="inlineStr">
        <is>
          <t>https://www.spamhaus.org/drop/</t>
        </is>
      </c>
      <c r="O1297" s="188" t="inlineStr">
        <is>
          <t>Block CIDR 1.10.16.0/20 at firewall</t>
        </is>
      </c>
      <c r="P1297" s="188" t="inlineStr">
        <is>
          <t>Firewall/Email</t>
        </is>
      </c>
      <c r="Q1297" s="188" t="inlineStr">
        <is>
          <t>P4</t>
        </is>
      </c>
      <c r="R1297" s="188" t="inlineStr">
        <is>
          <t>🔍 Investigate and apply appropriate controls</t>
        </is>
      </c>
      <c r="S1297" s="188" t="inlineStr">
        <is>
          <t>Spamhaus - CIDR range</t>
        </is>
      </c>
      <c r="T1297" s="188" t="n">
        <v>0</v>
      </c>
      <c r="U1297" s="188" t="n">
        <v>0</v>
      </c>
      <c r="V1297" s="188" t="inlineStr">
        <is>
          <t>T1566:Phishing | T1078:Valid Accounts</t>
        </is>
      </c>
      <c r="W1297" s="188" t="n">
        <v>1</v>
      </c>
      <c r="X1297" s="188" t="inlineStr">
        <is>
          <t>LOW (40%)</t>
        </is>
      </c>
      <c r="Y1297" s="188" t="inlineStr">
        <is>
          <t>NONE</t>
        </is>
      </c>
      <c r="Z1297" s="188" t="inlineStr">
        <is>
          <t>NONE</t>
        </is>
      </c>
      <c r="AA1297" s="188" t="inlineStr">
        <is>
          <t>NONE</t>
        </is>
      </c>
      <c r="AB1297" s="188" t="inlineStr">
        <is>
          <t>NONE</t>
        </is>
      </c>
      <c r="AC1297" s="188" t="n">
        <v>0</v>
      </c>
      <c r="AD1297" s="188" t="inlineStr"/>
    </row>
    <row r="1298">
      <c r="A1298" s="188" t="inlineStr">
        <is>
          <t>FIREHOL_THREAT</t>
        </is>
      </c>
      <c r="B1298" s="188" t="inlineStr">
        <is>
          <t>036d6cf17ed5</t>
        </is>
      </c>
      <c r="C1298" s="188" t="inlineStr">
        <is>
          <t>DROP List CIDR: 1.19.0.0/16 | FireHOL L1 threat IP/CIDR | ASN: FireHOL-L1</t>
        </is>
      </c>
      <c r="D1298" s="188" t="n">
        <v>6</v>
      </c>
      <c r="E1298" s="188" t="inlineStr">
        <is>
          <t>MEDIUM</t>
        </is>
      </c>
      <c r="F1298" s="188" t="n">
        <v>2</v>
      </c>
      <c r="G1298" s="188" t="n">
        <v>2</v>
      </c>
      <c r="H1298" s="188" t="inlineStr">
        <is>
          <t>MEDIUM</t>
        </is>
      </c>
      <c r="I1298" s="188" t="n">
        <v>10</v>
      </c>
      <c r="J1298" s="188" t="inlineStr">
        <is>
          <t>NO</t>
        </is>
      </c>
      <c r="K1298" s="188" t="inlineStr">
        <is>
          <t>https://www.spamhaus.org/drop/</t>
        </is>
      </c>
      <c r="L1298" s="188" t="inlineStr">
        <is>
          <t>2026-02-27 20:47</t>
        </is>
      </c>
      <c r="M1298" s="188" t="inlineStr">
        <is>
          <t>Block CIDR</t>
        </is>
      </c>
      <c r="N1298" s="188" t="inlineStr">
        <is>
          <t>https://www.spamhaus.org/drop/</t>
        </is>
      </c>
      <c r="O1298" s="188" t="inlineStr">
        <is>
          <t>Block CIDR 1.19.0.0/16 at firewall</t>
        </is>
      </c>
      <c r="P1298" s="188" t="inlineStr">
        <is>
          <t>Firewall/Email</t>
        </is>
      </c>
      <c r="Q1298" s="188" t="inlineStr">
        <is>
          <t>P4</t>
        </is>
      </c>
      <c r="R1298" s="188" t="inlineStr">
        <is>
          <t>🔍 Investigate and apply appropriate controls</t>
        </is>
      </c>
      <c r="S1298" s="188" t="inlineStr">
        <is>
          <t>Spamhaus - CIDR range</t>
        </is>
      </c>
      <c r="T1298" s="188" t="n">
        <v>0</v>
      </c>
      <c r="U1298" s="188" t="n">
        <v>0</v>
      </c>
      <c r="V1298" s="188" t="inlineStr">
        <is>
          <t>T1566:Phishing | T1078:Valid Accounts</t>
        </is>
      </c>
      <c r="W1298" s="188" t="n">
        <v>1</v>
      </c>
      <c r="X1298" s="188" t="inlineStr">
        <is>
          <t>LOW (40%)</t>
        </is>
      </c>
      <c r="Y1298" s="188" t="inlineStr">
        <is>
          <t>NONE</t>
        </is>
      </c>
      <c r="Z1298" s="188" t="inlineStr">
        <is>
          <t>NONE</t>
        </is>
      </c>
      <c r="AA1298" s="188" t="inlineStr">
        <is>
          <t>NONE</t>
        </is>
      </c>
      <c r="AB1298" s="188" t="inlineStr">
        <is>
          <t>NONE</t>
        </is>
      </c>
      <c r="AC1298" s="188" t="n">
        <v>0</v>
      </c>
      <c r="AD1298" s="188" t="inlineStr"/>
    </row>
    <row r="1299">
      <c r="A1299" s="188" t="inlineStr">
        <is>
          <t>FIREHOL_THREAT</t>
        </is>
      </c>
      <c r="B1299" s="188" t="inlineStr">
        <is>
          <t>087f73381bbd</t>
        </is>
      </c>
      <c r="C1299" s="188" t="inlineStr">
        <is>
          <t>DROP List CIDR: 1.32.128.0/18 | FireHOL L1 threat IP/CIDR | ASN: FireHOL-L1</t>
        </is>
      </c>
      <c r="D1299" s="188" t="n">
        <v>6</v>
      </c>
      <c r="E1299" s="188" t="inlineStr">
        <is>
          <t>MEDIUM</t>
        </is>
      </c>
      <c r="F1299" s="188" t="n">
        <v>2</v>
      </c>
      <c r="G1299" s="188" t="n">
        <v>2</v>
      </c>
      <c r="H1299" s="188" t="inlineStr">
        <is>
          <t>MEDIUM</t>
        </is>
      </c>
      <c r="I1299" s="188" t="n">
        <v>10</v>
      </c>
      <c r="J1299" s="188" t="inlineStr">
        <is>
          <t>NO</t>
        </is>
      </c>
      <c r="K1299" s="188" t="inlineStr">
        <is>
          <t>https://www.spamhaus.org/drop/</t>
        </is>
      </c>
      <c r="L1299" s="188" t="inlineStr">
        <is>
          <t>2026-02-27 20:47</t>
        </is>
      </c>
      <c r="M1299" s="188" t="inlineStr">
        <is>
          <t>Block CIDR</t>
        </is>
      </c>
      <c r="N1299" s="188" t="inlineStr">
        <is>
          <t>https://www.spamhaus.org/drop/</t>
        </is>
      </c>
      <c r="O1299" s="188" t="inlineStr">
        <is>
          <t>Block CIDR 1.32.128.0/18 at firewall</t>
        </is>
      </c>
      <c r="P1299" s="188" t="inlineStr">
        <is>
          <t>Firewall/Email</t>
        </is>
      </c>
      <c r="Q1299" s="188" t="inlineStr">
        <is>
          <t>P4</t>
        </is>
      </c>
      <c r="R1299" s="188" t="inlineStr">
        <is>
          <t>🔍 Investigate and apply appropriate controls</t>
        </is>
      </c>
      <c r="S1299" s="188" t="inlineStr">
        <is>
          <t>Spamhaus - CIDR range</t>
        </is>
      </c>
      <c r="T1299" s="188" t="n">
        <v>0</v>
      </c>
      <c r="U1299" s="188" t="n">
        <v>0</v>
      </c>
      <c r="V1299" s="188" t="inlineStr">
        <is>
          <t>T1566:Phishing | T1078:Valid Accounts</t>
        </is>
      </c>
      <c r="W1299" s="188" t="n">
        <v>1</v>
      </c>
      <c r="X1299" s="188" t="inlineStr">
        <is>
          <t>LOW (40%)</t>
        </is>
      </c>
      <c r="Y1299" s="188" t="inlineStr">
        <is>
          <t>NONE</t>
        </is>
      </c>
      <c r="Z1299" s="188" t="inlineStr">
        <is>
          <t>NONE</t>
        </is>
      </c>
      <c r="AA1299" s="188" t="inlineStr">
        <is>
          <t>NONE</t>
        </is>
      </c>
      <c r="AB1299" s="188" t="inlineStr">
        <is>
          <t>NONE</t>
        </is>
      </c>
      <c r="AC1299" s="188" t="n">
        <v>0</v>
      </c>
      <c r="AD1299" s="188" t="inlineStr"/>
    </row>
    <row r="1300">
      <c r="A1300" s="188" t="inlineStr">
        <is>
          <t>FIREHOL_THREAT</t>
        </is>
      </c>
      <c r="B1300" s="188" t="inlineStr">
        <is>
          <t>452c623d084c</t>
        </is>
      </c>
      <c r="C1300" s="188" t="inlineStr">
        <is>
          <t>DROP List CIDR: 2.56.192.0/22 | FireHOL L1 threat IP/CIDR | ASN: FireHOL-L1</t>
        </is>
      </c>
      <c r="D1300" s="188" t="n">
        <v>6</v>
      </c>
      <c r="E1300" s="188" t="inlineStr">
        <is>
          <t>MEDIUM</t>
        </is>
      </c>
      <c r="F1300" s="188" t="n">
        <v>2</v>
      </c>
      <c r="G1300" s="188" t="n">
        <v>2</v>
      </c>
      <c r="H1300" s="188" t="inlineStr">
        <is>
          <t>MEDIUM</t>
        </is>
      </c>
      <c r="I1300" s="188" t="n">
        <v>10</v>
      </c>
      <c r="J1300" s="188" t="inlineStr">
        <is>
          <t>NO</t>
        </is>
      </c>
      <c r="K1300" s="188" t="inlineStr">
        <is>
          <t>https://www.spamhaus.org/drop/</t>
        </is>
      </c>
      <c r="L1300" s="188" t="inlineStr">
        <is>
          <t>2026-02-27 20:47</t>
        </is>
      </c>
      <c r="M1300" s="188" t="inlineStr">
        <is>
          <t>Block CIDR</t>
        </is>
      </c>
      <c r="N1300" s="188" t="inlineStr">
        <is>
          <t>https://www.spamhaus.org/drop/</t>
        </is>
      </c>
      <c r="O1300" s="188" t="inlineStr">
        <is>
          <t>Block CIDR 2.56.192.0/22 at firewall</t>
        </is>
      </c>
      <c r="P1300" s="188" t="inlineStr">
        <is>
          <t>Firewall/Email</t>
        </is>
      </c>
      <c r="Q1300" s="188" t="inlineStr">
        <is>
          <t>P4</t>
        </is>
      </c>
      <c r="R1300" s="188" t="inlineStr">
        <is>
          <t>🔍 Investigate and apply appropriate controls</t>
        </is>
      </c>
      <c r="S1300" s="188" t="inlineStr">
        <is>
          <t>Spamhaus - CIDR range</t>
        </is>
      </c>
      <c r="T1300" s="188" t="n">
        <v>0</v>
      </c>
      <c r="U1300" s="188" t="n">
        <v>0</v>
      </c>
      <c r="V1300" s="188" t="inlineStr">
        <is>
          <t>T1566:Phishing | T1078:Valid Accounts</t>
        </is>
      </c>
      <c r="W1300" s="188" t="n">
        <v>1</v>
      </c>
      <c r="X1300" s="188" t="inlineStr">
        <is>
          <t>LOW (40%)</t>
        </is>
      </c>
      <c r="Y1300" s="188" t="inlineStr">
        <is>
          <t>NONE</t>
        </is>
      </c>
      <c r="Z1300" s="188" t="inlineStr">
        <is>
          <t>NONE</t>
        </is>
      </c>
      <c r="AA1300" s="188" t="inlineStr">
        <is>
          <t>NONE</t>
        </is>
      </c>
      <c r="AB1300" s="188" t="inlineStr">
        <is>
          <t>NONE</t>
        </is>
      </c>
      <c r="AC1300" s="188" t="n">
        <v>0</v>
      </c>
      <c r="AD1300" s="188" t="inlineStr"/>
    </row>
    <row r="1301">
      <c r="A1301" s="188" t="inlineStr">
        <is>
          <t>FIREHOL_THREAT</t>
        </is>
      </c>
      <c r="B1301" s="188" t="inlineStr">
        <is>
          <t>7ceaa959d06d</t>
        </is>
      </c>
      <c r="C1301" s="188" t="inlineStr">
        <is>
          <t>DROP List CIDR: 2.57.122.0/24 | FireHOL L1 threat IP/CIDR | ASN: FireHOL-L1</t>
        </is>
      </c>
      <c r="D1301" s="188" t="n">
        <v>6</v>
      </c>
      <c r="E1301" s="188" t="inlineStr">
        <is>
          <t>MEDIUM</t>
        </is>
      </c>
      <c r="F1301" s="188" t="n">
        <v>2</v>
      </c>
      <c r="G1301" s="188" t="n">
        <v>2</v>
      </c>
      <c r="H1301" s="188" t="inlineStr">
        <is>
          <t>MEDIUM</t>
        </is>
      </c>
      <c r="I1301" s="188" t="n">
        <v>10</v>
      </c>
      <c r="J1301" s="188" t="inlineStr">
        <is>
          <t>NO</t>
        </is>
      </c>
      <c r="K1301" s="188" t="inlineStr">
        <is>
          <t>https://www.spamhaus.org/drop/</t>
        </is>
      </c>
      <c r="L1301" s="188" t="inlineStr">
        <is>
          <t>2026-02-27 20:47</t>
        </is>
      </c>
      <c r="M1301" s="188" t="inlineStr">
        <is>
          <t>Block CIDR</t>
        </is>
      </c>
      <c r="N1301" s="188" t="inlineStr">
        <is>
          <t>https://www.spamhaus.org/drop/</t>
        </is>
      </c>
      <c r="O1301" s="188" t="inlineStr">
        <is>
          <t>Block CIDR 2.57.122.0/24 at firewall</t>
        </is>
      </c>
      <c r="P1301" s="188" t="inlineStr">
        <is>
          <t>Firewall/Email</t>
        </is>
      </c>
      <c r="Q1301" s="188" t="inlineStr">
        <is>
          <t>P4</t>
        </is>
      </c>
      <c r="R1301" s="188" t="inlineStr">
        <is>
          <t>🔍 Investigate and apply appropriate controls</t>
        </is>
      </c>
      <c r="S1301" s="188" t="inlineStr">
        <is>
          <t>Spamhaus - CIDR range</t>
        </is>
      </c>
      <c r="T1301" s="188" t="n">
        <v>0</v>
      </c>
      <c r="U1301" s="188" t="n">
        <v>0</v>
      </c>
      <c r="V1301" s="188" t="inlineStr">
        <is>
          <t>T1566:Phishing | T1078:Valid Accounts</t>
        </is>
      </c>
      <c r="W1301" s="188" t="n">
        <v>1</v>
      </c>
      <c r="X1301" s="188" t="inlineStr">
        <is>
          <t>LOW (40%)</t>
        </is>
      </c>
      <c r="Y1301" s="188" t="inlineStr">
        <is>
          <t>NONE</t>
        </is>
      </c>
      <c r="Z1301" s="188" t="inlineStr">
        <is>
          <t>NONE</t>
        </is>
      </c>
      <c r="AA1301" s="188" t="inlineStr">
        <is>
          <t>NONE</t>
        </is>
      </c>
      <c r="AB1301" s="188" t="inlineStr">
        <is>
          <t>NONE</t>
        </is>
      </c>
      <c r="AC1301" s="188" t="n">
        <v>0</v>
      </c>
      <c r="AD1301" s="188" t="inlineStr"/>
    </row>
    <row r="1302">
      <c r="A1302" s="188" t="inlineStr">
        <is>
          <t>FIREHOL_THREAT</t>
        </is>
      </c>
      <c r="B1302" s="188" t="inlineStr">
        <is>
          <t>b7c5eff6534b</t>
        </is>
      </c>
      <c r="C1302" s="188" t="inlineStr">
        <is>
          <t>DROP List CIDR: 2.57.149.0/24 | FireHOL L1 threat IP/CIDR | ASN: FireHOL-L1</t>
        </is>
      </c>
      <c r="D1302" s="188" t="n">
        <v>6</v>
      </c>
      <c r="E1302" s="188" t="inlineStr">
        <is>
          <t>MEDIUM</t>
        </is>
      </c>
      <c r="F1302" s="188" t="n">
        <v>2</v>
      </c>
      <c r="G1302" s="188" t="n">
        <v>2</v>
      </c>
      <c r="H1302" s="188" t="inlineStr">
        <is>
          <t>MEDIUM</t>
        </is>
      </c>
      <c r="I1302" s="188" t="n">
        <v>10</v>
      </c>
      <c r="J1302" s="188" t="inlineStr">
        <is>
          <t>NO</t>
        </is>
      </c>
      <c r="K1302" s="188" t="inlineStr">
        <is>
          <t>https://www.spamhaus.org/drop/</t>
        </is>
      </c>
      <c r="L1302" s="188" t="inlineStr">
        <is>
          <t>2026-02-27 20:47</t>
        </is>
      </c>
      <c r="M1302" s="188" t="inlineStr">
        <is>
          <t>Block CIDR</t>
        </is>
      </c>
      <c r="N1302" s="188" t="inlineStr">
        <is>
          <t>https://www.spamhaus.org/drop/</t>
        </is>
      </c>
      <c r="O1302" s="188" t="inlineStr">
        <is>
          <t>Block CIDR 2.57.149.0/24 at firewall</t>
        </is>
      </c>
      <c r="P1302" s="188" t="inlineStr">
        <is>
          <t>Firewall/Email</t>
        </is>
      </c>
      <c r="Q1302" s="188" t="inlineStr">
        <is>
          <t>P4</t>
        </is>
      </c>
      <c r="R1302" s="188" t="inlineStr">
        <is>
          <t>🔍 Investigate and apply appropriate controls</t>
        </is>
      </c>
      <c r="S1302" s="188" t="inlineStr">
        <is>
          <t>Spamhaus - CIDR range</t>
        </is>
      </c>
      <c r="T1302" s="188" t="n">
        <v>0</v>
      </c>
      <c r="U1302" s="188" t="n">
        <v>0</v>
      </c>
      <c r="V1302" s="188" t="inlineStr">
        <is>
          <t>T1566:Phishing | T1078:Valid Accounts</t>
        </is>
      </c>
      <c r="W1302" s="188" t="n">
        <v>1</v>
      </c>
      <c r="X1302" s="188" t="inlineStr">
        <is>
          <t>LOW (40%)</t>
        </is>
      </c>
      <c r="Y1302" s="188" t="inlineStr">
        <is>
          <t>NONE</t>
        </is>
      </c>
      <c r="Z1302" s="188" t="inlineStr">
        <is>
          <t>NONE</t>
        </is>
      </c>
      <c r="AA1302" s="188" t="inlineStr">
        <is>
          <t>NONE</t>
        </is>
      </c>
      <c r="AB1302" s="188" t="inlineStr">
        <is>
          <t>NONE</t>
        </is>
      </c>
      <c r="AC1302" s="188" t="n">
        <v>0</v>
      </c>
      <c r="AD1302" s="188" t="inlineStr"/>
    </row>
    <row r="1303">
      <c r="A1303" s="188" t="inlineStr">
        <is>
          <t>FIREHOL_THREAT</t>
        </is>
      </c>
      <c r="B1303" s="188" t="inlineStr">
        <is>
          <t>211aeb418ce4</t>
        </is>
      </c>
      <c r="C1303" s="188" t="inlineStr">
        <is>
          <t>DROP List CIDR: 2.57.232.0/22 | FireHOL L1 threat IP/CIDR | ASN: FireHOL-L1</t>
        </is>
      </c>
      <c r="D1303" s="188" t="n">
        <v>6</v>
      </c>
      <c r="E1303" s="188" t="inlineStr">
        <is>
          <t>MEDIUM</t>
        </is>
      </c>
      <c r="F1303" s="188" t="n">
        <v>2</v>
      </c>
      <c r="G1303" s="188" t="n">
        <v>2</v>
      </c>
      <c r="H1303" s="188" t="inlineStr">
        <is>
          <t>MEDIUM</t>
        </is>
      </c>
      <c r="I1303" s="188" t="n">
        <v>10</v>
      </c>
      <c r="J1303" s="188" t="inlineStr">
        <is>
          <t>NO</t>
        </is>
      </c>
      <c r="K1303" s="188" t="inlineStr">
        <is>
          <t>https://www.spamhaus.org/drop/</t>
        </is>
      </c>
      <c r="L1303" s="188" t="inlineStr">
        <is>
          <t>2026-02-27 20:47</t>
        </is>
      </c>
      <c r="M1303" s="188" t="inlineStr">
        <is>
          <t>Block CIDR</t>
        </is>
      </c>
      <c r="N1303" s="188" t="inlineStr">
        <is>
          <t>https://www.spamhaus.org/drop/</t>
        </is>
      </c>
      <c r="O1303" s="188" t="inlineStr">
        <is>
          <t>Block CIDR 2.57.232.0/22 at firewall</t>
        </is>
      </c>
      <c r="P1303" s="188" t="inlineStr">
        <is>
          <t>Firewall/Email</t>
        </is>
      </c>
      <c r="Q1303" s="188" t="inlineStr">
        <is>
          <t>P4</t>
        </is>
      </c>
      <c r="R1303" s="188" t="inlineStr">
        <is>
          <t>🔍 Investigate and apply appropriate controls</t>
        </is>
      </c>
      <c r="S1303" s="188" t="inlineStr">
        <is>
          <t>Spamhaus - CIDR range</t>
        </is>
      </c>
      <c r="T1303" s="188" t="n">
        <v>0</v>
      </c>
      <c r="U1303" s="188" t="n">
        <v>0</v>
      </c>
      <c r="V1303" s="188" t="inlineStr">
        <is>
          <t>T1566:Phishing | T1078:Valid Accounts</t>
        </is>
      </c>
      <c r="W1303" s="188" t="n">
        <v>1</v>
      </c>
      <c r="X1303" s="188" t="inlineStr">
        <is>
          <t>LOW (40%)</t>
        </is>
      </c>
      <c r="Y1303" s="188" t="inlineStr">
        <is>
          <t>NONE</t>
        </is>
      </c>
      <c r="Z1303" s="188" t="inlineStr">
        <is>
          <t>NONE</t>
        </is>
      </c>
      <c r="AA1303" s="188" t="inlineStr">
        <is>
          <t>NONE</t>
        </is>
      </c>
      <c r="AB1303" s="188" t="inlineStr">
        <is>
          <t>NONE</t>
        </is>
      </c>
      <c r="AC1303" s="188" t="n">
        <v>0</v>
      </c>
      <c r="AD1303" s="188" t="inlineStr"/>
    </row>
    <row r="1304">
      <c r="A1304" s="188" t="inlineStr">
        <is>
          <t>FIREHOL_THREAT</t>
        </is>
      </c>
      <c r="B1304" s="188" t="inlineStr">
        <is>
          <t>b25bffd553fe</t>
        </is>
      </c>
      <c r="C1304" s="188" t="inlineStr">
        <is>
          <t>DROP List CIDR: 2.58.56.0/24 | FireHOL L1 threat IP/CIDR | ASN: FireHOL-L1</t>
        </is>
      </c>
      <c r="D1304" s="188" t="n">
        <v>6</v>
      </c>
      <c r="E1304" s="188" t="inlineStr">
        <is>
          <t>MEDIUM</t>
        </is>
      </c>
      <c r="F1304" s="188" t="n">
        <v>2</v>
      </c>
      <c r="G1304" s="188" t="n">
        <v>2</v>
      </c>
      <c r="H1304" s="188" t="inlineStr">
        <is>
          <t>MEDIUM</t>
        </is>
      </c>
      <c r="I1304" s="188" t="n">
        <v>10</v>
      </c>
      <c r="J1304" s="188" t="inlineStr">
        <is>
          <t>NO</t>
        </is>
      </c>
      <c r="K1304" s="188" t="inlineStr">
        <is>
          <t>https://www.spamhaus.org/drop/</t>
        </is>
      </c>
      <c r="L1304" s="188" t="inlineStr">
        <is>
          <t>2026-02-27 20:47</t>
        </is>
      </c>
      <c r="M1304" s="188" t="inlineStr">
        <is>
          <t>Block CIDR</t>
        </is>
      </c>
      <c r="N1304" s="188" t="inlineStr">
        <is>
          <t>https://www.spamhaus.org/drop/</t>
        </is>
      </c>
      <c r="O1304" s="188" t="inlineStr">
        <is>
          <t>Block CIDR 2.58.56.0/24 at firewall</t>
        </is>
      </c>
      <c r="P1304" s="188" t="inlineStr">
        <is>
          <t>Firewall/Email</t>
        </is>
      </c>
      <c r="Q1304" s="188" t="inlineStr">
        <is>
          <t>P4</t>
        </is>
      </c>
      <c r="R1304" s="188" t="inlineStr">
        <is>
          <t>🔍 Investigate and apply appropriate controls</t>
        </is>
      </c>
      <c r="S1304" s="188" t="inlineStr">
        <is>
          <t>Spamhaus - CIDR range</t>
        </is>
      </c>
      <c r="T1304" s="188" t="n">
        <v>0</v>
      </c>
      <c r="U1304" s="188" t="n">
        <v>0</v>
      </c>
      <c r="V1304" s="188" t="inlineStr">
        <is>
          <t>T1566:Phishing | T1078:Valid Accounts</t>
        </is>
      </c>
      <c r="W1304" s="188" t="n">
        <v>1</v>
      </c>
      <c r="X1304" s="188" t="inlineStr">
        <is>
          <t>LOW (40%)</t>
        </is>
      </c>
      <c r="Y1304" s="188" t="inlineStr">
        <is>
          <t>NONE</t>
        </is>
      </c>
      <c r="Z1304" s="188" t="inlineStr">
        <is>
          <t>NONE</t>
        </is>
      </c>
      <c r="AA1304" s="188" t="inlineStr">
        <is>
          <t>NONE</t>
        </is>
      </c>
      <c r="AB1304" s="188" t="inlineStr">
        <is>
          <t>NONE</t>
        </is>
      </c>
      <c r="AC1304" s="188" t="n">
        <v>0</v>
      </c>
      <c r="AD1304" s="188" t="inlineStr"/>
    </row>
    <row r="1305">
      <c r="A1305" s="188" t="inlineStr">
        <is>
          <t>FIREHOL_THREAT</t>
        </is>
      </c>
      <c r="B1305" s="188" t="inlineStr">
        <is>
          <t>28fb5dc4a3f6</t>
        </is>
      </c>
      <c r="C1305" s="188" t="inlineStr">
        <is>
          <t>DROP List CIDR: 2.58.95.0/24 | FireHOL L1 threat IP/CIDR | ASN: FireHOL-L1</t>
        </is>
      </c>
      <c r="D1305" s="188" t="n">
        <v>6</v>
      </c>
      <c r="E1305" s="188" t="inlineStr">
        <is>
          <t>MEDIUM</t>
        </is>
      </c>
      <c r="F1305" s="188" t="n">
        <v>2</v>
      </c>
      <c r="G1305" s="188" t="n">
        <v>2</v>
      </c>
      <c r="H1305" s="188" t="inlineStr">
        <is>
          <t>MEDIUM</t>
        </is>
      </c>
      <c r="I1305" s="188" t="n">
        <v>10</v>
      </c>
      <c r="J1305" s="188" t="inlineStr">
        <is>
          <t>NO</t>
        </is>
      </c>
      <c r="K1305" s="188" t="inlineStr">
        <is>
          <t>https://www.spamhaus.org/drop/</t>
        </is>
      </c>
      <c r="L1305" s="188" t="inlineStr">
        <is>
          <t>2026-02-27 20:47</t>
        </is>
      </c>
      <c r="M1305" s="188" t="inlineStr">
        <is>
          <t>Block CIDR</t>
        </is>
      </c>
      <c r="N1305" s="188" t="inlineStr">
        <is>
          <t>https://www.spamhaus.org/drop/</t>
        </is>
      </c>
      <c r="O1305" s="188" t="inlineStr">
        <is>
          <t>Block CIDR 2.58.95.0/24 at firewall</t>
        </is>
      </c>
      <c r="P1305" s="188" t="inlineStr">
        <is>
          <t>Firewall/Email</t>
        </is>
      </c>
      <c r="Q1305" s="188" t="inlineStr">
        <is>
          <t>P4</t>
        </is>
      </c>
      <c r="R1305" s="188" t="inlineStr">
        <is>
          <t>🔍 Investigate and apply appropriate controls</t>
        </is>
      </c>
      <c r="S1305" s="188" t="inlineStr">
        <is>
          <t>Spamhaus - CIDR range</t>
        </is>
      </c>
      <c r="T1305" s="188" t="n">
        <v>0</v>
      </c>
      <c r="U1305" s="188" t="n">
        <v>0</v>
      </c>
      <c r="V1305" s="188" t="inlineStr">
        <is>
          <t>T1566:Phishing | T1078:Valid Accounts</t>
        </is>
      </c>
      <c r="W1305" s="188" t="n">
        <v>1</v>
      </c>
      <c r="X1305" s="188" t="inlineStr">
        <is>
          <t>LOW (40%)</t>
        </is>
      </c>
      <c r="Y1305" s="188" t="inlineStr">
        <is>
          <t>NONE</t>
        </is>
      </c>
      <c r="Z1305" s="188" t="inlineStr">
        <is>
          <t>NONE</t>
        </is>
      </c>
      <c r="AA1305" s="188" t="inlineStr">
        <is>
          <t>NONE</t>
        </is>
      </c>
      <c r="AB1305" s="188" t="inlineStr">
        <is>
          <t>NONE</t>
        </is>
      </c>
      <c r="AC1305" s="188" t="n">
        <v>0</v>
      </c>
      <c r="AD1305" s="188" t="inlineStr"/>
    </row>
    <row r="1306">
      <c r="A1306" s="188" t="inlineStr">
        <is>
          <t>FIREHOL_THREAT</t>
        </is>
      </c>
      <c r="B1306" s="188" t="inlineStr">
        <is>
          <t>dcb2a79dd6f5</t>
        </is>
      </c>
      <c r="C1306" s="188" t="inlineStr">
        <is>
          <t>DROP List CIDR: 2.59.152.0/24 | FireHOL L1 threat IP/CIDR | ASN: FireHOL-L1</t>
        </is>
      </c>
      <c r="D1306" s="188" t="n">
        <v>6</v>
      </c>
      <c r="E1306" s="188" t="inlineStr">
        <is>
          <t>MEDIUM</t>
        </is>
      </c>
      <c r="F1306" s="188" t="n">
        <v>2</v>
      </c>
      <c r="G1306" s="188" t="n">
        <v>2</v>
      </c>
      <c r="H1306" s="188" t="inlineStr">
        <is>
          <t>MEDIUM</t>
        </is>
      </c>
      <c r="I1306" s="188" t="n">
        <v>10</v>
      </c>
      <c r="J1306" s="188" t="inlineStr">
        <is>
          <t>NO</t>
        </is>
      </c>
      <c r="K1306" s="188" t="inlineStr">
        <is>
          <t>https://www.spamhaus.org/drop/</t>
        </is>
      </c>
      <c r="L1306" s="188" t="inlineStr">
        <is>
          <t>2026-02-27 20:47</t>
        </is>
      </c>
      <c r="M1306" s="188" t="inlineStr">
        <is>
          <t>Block CIDR</t>
        </is>
      </c>
      <c r="N1306" s="188" t="inlineStr">
        <is>
          <t>https://www.spamhaus.org/drop/</t>
        </is>
      </c>
      <c r="O1306" s="188" t="inlineStr">
        <is>
          <t>Block CIDR 2.59.152.0/24 at firewall</t>
        </is>
      </c>
      <c r="P1306" s="188" t="inlineStr">
        <is>
          <t>Firewall/Email</t>
        </is>
      </c>
      <c r="Q1306" s="188" t="inlineStr">
        <is>
          <t>P4</t>
        </is>
      </c>
      <c r="R1306" s="188" t="inlineStr">
        <is>
          <t>🔍 Investigate and apply appropriate controls</t>
        </is>
      </c>
      <c r="S1306" s="188" t="inlineStr">
        <is>
          <t>Spamhaus - CIDR range</t>
        </is>
      </c>
      <c r="T1306" s="188" t="n">
        <v>0</v>
      </c>
      <c r="U1306" s="188" t="n">
        <v>0</v>
      </c>
      <c r="V1306" s="188" t="inlineStr">
        <is>
          <t>T1566:Phishing | T1078:Valid Accounts</t>
        </is>
      </c>
      <c r="W1306" s="188" t="n">
        <v>1</v>
      </c>
      <c r="X1306" s="188" t="inlineStr">
        <is>
          <t>LOW (40%)</t>
        </is>
      </c>
      <c r="Y1306" s="188" t="inlineStr">
        <is>
          <t>NONE</t>
        </is>
      </c>
      <c r="Z1306" s="188" t="inlineStr">
        <is>
          <t>NONE</t>
        </is>
      </c>
      <c r="AA1306" s="188" t="inlineStr">
        <is>
          <t>NONE</t>
        </is>
      </c>
      <c r="AB1306" s="188" t="inlineStr">
        <is>
          <t>NONE</t>
        </is>
      </c>
      <c r="AC1306" s="188" t="n">
        <v>0</v>
      </c>
      <c r="AD1306" s="188" t="inlineStr"/>
    </row>
    <row r="1307">
      <c r="A1307" s="188" t="inlineStr">
        <is>
          <t>FIREHOL_THREAT</t>
        </is>
      </c>
      <c r="B1307" s="188" t="inlineStr">
        <is>
          <t>74eb2ddc71aa</t>
        </is>
      </c>
      <c r="C1307" s="188" t="inlineStr">
        <is>
          <t>DROP List CIDR: 5.42.64.0/22 | FireHOL L1 threat IP/CIDR | ASN: FireHOL-L1</t>
        </is>
      </c>
      <c r="D1307" s="188" t="n">
        <v>6</v>
      </c>
      <c r="E1307" s="188" t="inlineStr">
        <is>
          <t>MEDIUM</t>
        </is>
      </c>
      <c r="F1307" s="188" t="n">
        <v>2</v>
      </c>
      <c r="G1307" s="188" t="n">
        <v>2</v>
      </c>
      <c r="H1307" s="188" t="inlineStr">
        <is>
          <t>MEDIUM</t>
        </is>
      </c>
      <c r="I1307" s="188" t="n">
        <v>10</v>
      </c>
      <c r="J1307" s="188" t="inlineStr">
        <is>
          <t>NO</t>
        </is>
      </c>
      <c r="K1307" s="188" t="inlineStr">
        <is>
          <t>https://www.spamhaus.org/drop/</t>
        </is>
      </c>
      <c r="L1307" s="188" t="inlineStr">
        <is>
          <t>2026-02-27 20:47</t>
        </is>
      </c>
      <c r="M1307" s="188" t="inlineStr">
        <is>
          <t>Block CIDR</t>
        </is>
      </c>
      <c r="N1307" s="188" t="inlineStr">
        <is>
          <t>https://www.spamhaus.org/drop/</t>
        </is>
      </c>
      <c r="O1307" s="188" t="inlineStr">
        <is>
          <t>Block CIDR 5.42.64.0/22 at firewall</t>
        </is>
      </c>
      <c r="P1307" s="188" t="inlineStr">
        <is>
          <t>Firewall/Email</t>
        </is>
      </c>
      <c r="Q1307" s="188" t="inlineStr">
        <is>
          <t>P4</t>
        </is>
      </c>
      <c r="R1307" s="188" t="inlineStr">
        <is>
          <t>🔍 Investigate and apply appropriate controls</t>
        </is>
      </c>
      <c r="S1307" s="188" t="inlineStr">
        <is>
          <t>Spamhaus - CIDR range</t>
        </is>
      </c>
      <c r="T1307" s="188" t="n">
        <v>0</v>
      </c>
      <c r="U1307" s="188" t="n">
        <v>0</v>
      </c>
      <c r="V1307" s="188" t="inlineStr">
        <is>
          <t>T1566:Phishing | T1078:Valid Accounts</t>
        </is>
      </c>
      <c r="W1307" s="188" t="n">
        <v>1</v>
      </c>
      <c r="X1307" s="188" t="inlineStr">
        <is>
          <t>LOW (40%)</t>
        </is>
      </c>
      <c r="Y1307" s="188" t="inlineStr">
        <is>
          <t>NONE</t>
        </is>
      </c>
      <c r="Z1307" s="188" t="inlineStr">
        <is>
          <t>NONE</t>
        </is>
      </c>
      <c r="AA1307" s="188" t="inlineStr">
        <is>
          <t>NONE</t>
        </is>
      </c>
      <c r="AB1307" s="188" t="inlineStr">
        <is>
          <t>NONE</t>
        </is>
      </c>
      <c r="AC1307" s="188" t="n">
        <v>0</v>
      </c>
      <c r="AD1307" s="188" t="inlineStr"/>
    </row>
    <row r="1308">
      <c r="A1308" s="188" t="inlineStr">
        <is>
          <t>FIREHOL_THREAT</t>
        </is>
      </c>
      <c r="B1308" s="188" t="inlineStr">
        <is>
          <t>73e8123fa2f9</t>
        </is>
      </c>
      <c r="C1308" s="188" t="inlineStr">
        <is>
          <t>DROP List CIDR: 5.42.92.0/24 | FireHOL L1 threat IP/CIDR | ASN: FireHOL-L1</t>
        </is>
      </c>
      <c r="D1308" s="188" t="n">
        <v>6</v>
      </c>
      <c r="E1308" s="188" t="inlineStr">
        <is>
          <t>MEDIUM</t>
        </is>
      </c>
      <c r="F1308" s="188" t="n">
        <v>2</v>
      </c>
      <c r="G1308" s="188" t="n">
        <v>2</v>
      </c>
      <c r="H1308" s="188" t="inlineStr">
        <is>
          <t>MEDIUM</t>
        </is>
      </c>
      <c r="I1308" s="188" t="n">
        <v>10</v>
      </c>
      <c r="J1308" s="188" t="inlineStr">
        <is>
          <t>NO</t>
        </is>
      </c>
      <c r="K1308" s="188" t="inlineStr">
        <is>
          <t>https://www.spamhaus.org/drop/</t>
        </is>
      </c>
      <c r="L1308" s="188" t="inlineStr">
        <is>
          <t>2026-02-27 20:47</t>
        </is>
      </c>
      <c r="M1308" s="188" t="inlineStr">
        <is>
          <t>Block CIDR</t>
        </is>
      </c>
      <c r="N1308" s="188" t="inlineStr">
        <is>
          <t>https://www.spamhaus.org/drop/</t>
        </is>
      </c>
      <c r="O1308" s="188" t="inlineStr">
        <is>
          <t>Block CIDR 5.42.92.0/24 at firewall</t>
        </is>
      </c>
      <c r="P1308" s="188" t="inlineStr">
        <is>
          <t>Firewall/Email</t>
        </is>
      </c>
      <c r="Q1308" s="188" t="inlineStr">
        <is>
          <t>P4</t>
        </is>
      </c>
      <c r="R1308" s="188" t="inlineStr">
        <is>
          <t>🔍 Investigate and apply appropriate controls</t>
        </is>
      </c>
      <c r="S1308" s="188" t="inlineStr">
        <is>
          <t>Spamhaus - CIDR range</t>
        </is>
      </c>
      <c r="T1308" s="188" t="n">
        <v>0</v>
      </c>
      <c r="U1308" s="188" t="n">
        <v>0</v>
      </c>
      <c r="V1308" s="188" t="inlineStr">
        <is>
          <t>T1566:Phishing | T1078:Valid Accounts</t>
        </is>
      </c>
      <c r="W1308" s="188" t="n">
        <v>1</v>
      </c>
      <c r="X1308" s="188" t="inlineStr">
        <is>
          <t>LOW (40%)</t>
        </is>
      </c>
      <c r="Y1308" s="188" t="inlineStr">
        <is>
          <t>NONE</t>
        </is>
      </c>
      <c r="Z1308" s="188" t="inlineStr">
        <is>
          <t>NONE</t>
        </is>
      </c>
      <c r="AA1308" s="188" t="inlineStr">
        <is>
          <t>NONE</t>
        </is>
      </c>
      <c r="AB1308" s="188" t="inlineStr">
        <is>
          <t>NONE</t>
        </is>
      </c>
      <c r="AC1308" s="188" t="n">
        <v>0</v>
      </c>
      <c r="AD1308" s="188" t="inlineStr"/>
    </row>
    <row r="1309">
      <c r="A1309" s="188" t="inlineStr">
        <is>
          <t>FIREHOL_THREAT</t>
        </is>
      </c>
      <c r="B1309" s="188" t="inlineStr">
        <is>
          <t>5546223b9d75</t>
        </is>
      </c>
      <c r="C1309" s="188" t="inlineStr">
        <is>
          <t>DROP List CIDR: 5.42.96.0/24 | FireHOL L1 threat IP/CIDR | ASN: FireHOL-L1</t>
        </is>
      </c>
      <c r="D1309" s="188" t="n">
        <v>6</v>
      </c>
      <c r="E1309" s="188" t="inlineStr">
        <is>
          <t>MEDIUM</t>
        </is>
      </c>
      <c r="F1309" s="188" t="n">
        <v>2</v>
      </c>
      <c r="G1309" s="188" t="n">
        <v>2</v>
      </c>
      <c r="H1309" s="188" t="inlineStr">
        <is>
          <t>MEDIUM</t>
        </is>
      </c>
      <c r="I1309" s="188" t="n">
        <v>10</v>
      </c>
      <c r="J1309" s="188" t="inlineStr">
        <is>
          <t>NO</t>
        </is>
      </c>
      <c r="K1309" s="188" t="inlineStr">
        <is>
          <t>https://www.spamhaus.org/drop/</t>
        </is>
      </c>
      <c r="L1309" s="188" t="inlineStr">
        <is>
          <t>2026-02-27 20:47</t>
        </is>
      </c>
      <c r="M1309" s="188" t="inlineStr">
        <is>
          <t>Block CIDR</t>
        </is>
      </c>
      <c r="N1309" s="188" t="inlineStr">
        <is>
          <t>https://www.spamhaus.org/drop/</t>
        </is>
      </c>
      <c r="O1309" s="188" t="inlineStr">
        <is>
          <t>Block CIDR 5.42.96.0/24 at firewall</t>
        </is>
      </c>
      <c r="P1309" s="188" t="inlineStr">
        <is>
          <t>Firewall/Email</t>
        </is>
      </c>
      <c r="Q1309" s="188" t="inlineStr">
        <is>
          <t>P4</t>
        </is>
      </c>
      <c r="R1309" s="188" t="inlineStr">
        <is>
          <t>🔍 Investigate and apply appropriate controls</t>
        </is>
      </c>
      <c r="S1309" s="188" t="inlineStr">
        <is>
          <t>Spamhaus - CIDR range</t>
        </is>
      </c>
      <c r="T1309" s="188" t="n">
        <v>0</v>
      </c>
      <c r="U1309" s="188" t="n">
        <v>0</v>
      </c>
      <c r="V1309" s="188" t="inlineStr">
        <is>
          <t>T1566:Phishing | T1078:Valid Accounts</t>
        </is>
      </c>
      <c r="W1309" s="188" t="n">
        <v>1</v>
      </c>
      <c r="X1309" s="188" t="inlineStr">
        <is>
          <t>LOW (40%)</t>
        </is>
      </c>
      <c r="Y1309" s="188" t="inlineStr">
        <is>
          <t>NONE</t>
        </is>
      </c>
      <c r="Z1309" s="188" t="inlineStr">
        <is>
          <t>NONE</t>
        </is>
      </c>
      <c r="AA1309" s="188" t="inlineStr">
        <is>
          <t>NONE</t>
        </is>
      </c>
      <c r="AB1309" s="188" t="inlineStr">
        <is>
          <t>NONE</t>
        </is>
      </c>
      <c r="AC1309" s="188" t="n">
        <v>0</v>
      </c>
      <c r="AD1309" s="188" t="inlineStr"/>
    </row>
    <row r="1310">
      <c r="A1310" s="188" t="inlineStr">
        <is>
          <t>FIREHOL_THREAT</t>
        </is>
      </c>
      <c r="B1310" s="188" t="inlineStr">
        <is>
          <t>b77d61d1245c</t>
        </is>
      </c>
      <c r="C1310" s="188" t="inlineStr">
        <is>
          <t>DROP List CIDR: 5.101.82.0/24 | FireHOL L1 threat IP/CIDR | ASN: FireHOL-L1</t>
        </is>
      </c>
      <c r="D1310" s="188" t="n">
        <v>6</v>
      </c>
      <c r="E1310" s="188" t="inlineStr">
        <is>
          <t>MEDIUM</t>
        </is>
      </c>
      <c r="F1310" s="188" t="n">
        <v>2</v>
      </c>
      <c r="G1310" s="188" t="n">
        <v>2</v>
      </c>
      <c r="H1310" s="188" t="inlineStr">
        <is>
          <t>MEDIUM</t>
        </is>
      </c>
      <c r="I1310" s="188" t="n">
        <v>10</v>
      </c>
      <c r="J1310" s="188" t="inlineStr">
        <is>
          <t>NO</t>
        </is>
      </c>
      <c r="K1310" s="188" t="inlineStr">
        <is>
          <t>https://www.spamhaus.org/drop/</t>
        </is>
      </c>
      <c r="L1310" s="188" t="inlineStr">
        <is>
          <t>2026-02-27 20:47</t>
        </is>
      </c>
      <c r="M1310" s="188" t="inlineStr">
        <is>
          <t>Block CIDR</t>
        </is>
      </c>
      <c r="N1310" s="188" t="inlineStr">
        <is>
          <t>https://www.spamhaus.org/drop/</t>
        </is>
      </c>
      <c r="O1310" s="188" t="inlineStr">
        <is>
          <t>Block CIDR 5.101.82.0/24 at firewall</t>
        </is>
      </c>
      <c r="P1310" s="188" t="inlineStr">
        <is>
          <t>Firewall/Email</t>
        </is>
      </c>
      <c r="Q1310" s="188" t="inlineStr">
        <is>
          <t>P4</t>
        </is>
      </c>
      <c r="R1310" s="188" t="inlineStr">
        <is>
          <t>🔍 Investigate and apply appropriate controls</t>
        </is>
      </c>
      <c r="S1310" s="188" t="inlineStr">
        <is>
          <t>Spamhaus - CIDR range</t>
        </is>
      </c>
      <c r="T1310" s="188" t="n">
        <v>0</v>
      </c>
      <c r="U1310" s="188" t="n">
        <v>0</v>
      </c>
      <c r="V1310" s="188" t="inlineStr">
        <is>
          <t>T1566:Phishing | T1078:Valid Accounts</t>
        </is>
      </c>
      <c r="W1310" s="188" t="n">
        <v>1</v>
      </c>
      <c r="X1310" s="188" t="inlineStr">
        <is>
          <t>LOW (40%)</t>
        </is>
      </c>
      <c r="Y1310" s="188" t="inlineStr">
        <is>
          <t>NONE</t>
        </is>
      </c>
      <c r="Z1310" s="188" t="inlineStr">
        <is>
          <t>NONE</t>
        </is>
      </c>
      <c r="AA1310" s="188" t="inlineStr">
        <is>
          <t>NONE</t>
        </is>
      </c>
      <c r="AB1310" s="188" t="inlineStr">
        <is>
          <t>NONE</t>
        </is>
      </c>
      <c r="AC1310" s="188" t="n">
        <v>0</v>
      </c>
      <c r="AD1310" s="188" t="inlineStr"/>
    </row>
    <row r="1311">
      <c r="A1311" s="188" t="inlineStr">
        <is>
          <t>FIREHOL_THREAT</t>
        </is>
      </c>
      <c r="B1311" s="188" t="inlineStr">
        <is>
          <t>ccba24c5f897</t>
        </is>
      </c>
      <c r="C1311" s="188" t="inlineStr">
        <is>
          <t>DROP List CIDR: 5.105.62.0/24 | FireHOL L1 threat IP/CIDR | ASN: FireHOL-L1</t>
        </is>
      </c>
      <c r="D1311" s="188" t="n">
        <v>6</v>
      </c>
      <c r="E1311" s="188" t="inlineStr">
        <is>
          <t>MEDIUM</t>
        </is>
      </c>
      <c r="F1311" s="188" t="n">
        <v>2</v>
      </c>
      <c r="G1311" s="188" t="n">
        <v>2</v>
      </c>
      <c r="H1311" s="188" t="inlineStr">
        <is>
          <t>MEDIUM</t>
        </is>
      </c>
      <c r="I1311" s="188" t="n">
        <v>10</v>
      </c>
      <c r="J1311" s="188" t="inlineStr">
        <is>
          <t>NO</t>
        </is>
      </c>
      <c r="K1311" s="188" t="inlineStr">
        <is>
          <t>https://www.spamhaus.org/drop/</t>
        </is>
      </c>
      <c r="L1311" s="188" t="inlineStr">
        <is>
          <t>2026-02-27 20:47</t>
        </is>
      </c>
      <c r="M1311" s="188" t="inlineStr">
        <is>
          <t>Block CIDR</t>
        </is>
      </c>
      <c r="N1311" s="188" t="inlineStr">
        <is>
          <t>https://www.spamhaus.org/drop/</t>
        </is>
      </c>
      <c r="O1311" s="188" t="inlineStr">
        <is>
          <t>Block CIDR 5.105.62.0/24 at firewall</t>
        </is>
      </c>
      <c r="P1311" s="188" t="inlineStr">
        <is>
          <t>Firewall/Email</t>
        </is>
      </c>
      <c r="Q1311" s="188" t="inlineStr">
        <is>
          <t>P4</t>
        </is>
      </c>
      <c r="R1311" s="188" t="inlineStr">
        <is>
          <t>🔍 Investigate and apply appropriate controls</t>
        </is>
      </c>
      <c r="S1311" s="188" t="inlineStr">
        <is>
          <t>Spamhaus - CIDR range</t>
        </is>
      </c>
      <c r="T1311" s="188" t="n">
        <v>0</v>
      </c>
      <c r="U1311" s="188" t="n">
        <v>0</v>
      </c>
      <c r="V1311" s="188" t="inlineStr">
        <is>
          <t>T1566:Phishing | T1078:Valid Accounts</t>
        </is>
      </c>
      <c r="W1311" s="188" t="n">
        <v>1</v>
      </c>
      <c r="X1311" s="188" t="inlineStr">
        <is>
          <t>LOW (40%)</t>
        </is>
      </c>
      <c r="Y1311" s="188" t="inlineStr">
        <is>
          <t>NONE</t>
        </is>
      </c>
      <c r="Z1311" s="188" t="inlineStr">
        <is>
          <t>NONE</t>
        </is>
      </c>
      <c r="AA1311" s="188" t="inlineStr">
        <is>
          <t>NONE</t>
        </is>
      </c>
      <c r="AB1311" s="188" t="inlineStr">
        <is>
          <t>NONE</t>
        </is>
      </c>
      <c r="AC1311" s="188" t="n">
        <v>0</v>
      </c>
      <c r="AD1311" s="188" t="inlineStr"/>
    </row>
    <row r="1312">
      <c r="A1312" s="188" t="inlineStr">
        <is>
          <t>FIREHOL_THREAT</t>
        </is>
      </c>
      <c r="B1312" s="188" t="inlineStr">
        <is>
          <t>b7923b1de143</t>
        </is>
      </c>
      <c r="C1312" s="188" t="inlineStr">
        <is>
          <t>DROP List CIDR: 5.105.220.0/24 | FireHOL L1 threat IP/CIDR | ASN: FireHOL-L1</t>
        </is>
      </c>
      <c r="D1312" s="188" t="n">
        <v>6</v>
      </c>
      <c r="E1312" s="188" t="inlineStr">
        <is>
          <t>MEDIUM</t>
        </is>
      </c>
      <c r="F1312" s="188" t="n">
        <v>2</v>
      </c>
      <c r="G1312" s="188" t="n">
        <v>2</v>
      </c>
      <c r="H1312" s="188" t="inlineStr">
        <is>
          <t>MEDIUM</t>
        </is>
      </c>
      <c r="I1312" s="188" t="n">
        <v>10</v>
      </c>
      <c r="J1312" s="188" t="inlineStr">
        <is>
          <t>NO</t>
        </is>
      </c>
      <c r="K1312" s="188" t="inlineStr">
        <is>
          <t>https://www.spamhaus.org/drop/</t>
        </is>
      </c>
      <c r="L1312" s="188" t="inlineStr">
        <is>
          <t>2026-02-27 20:47</t>
        </is>
      </c>
      <c r="M1312" s="188" t="inlineStr">
        <is>
          <t>Block CIDR</t>
        </is>
      </c>
      <c r="N1312" s="188" t="inlineStr">
        <is>
          <t>https://www.spamhaus.org/drop/</t>
        </is>
      </c>
      <c r="O1312" s="188" t="inlineStr">
        <is>
          <t>Block CIDR 5.105.220.0/24 at firewall</t>
        </is>
      </c>
      <c r="P1312" s="188" t="inlineStr">
        <is>
          <t>Firewall/Email</t>
        </is>
      </c>
      <c r="Q1312" s="188" t="inlineStr">
        <is>
          <t>P4</t>
        </is>
      </c>
      <c r="R1312" s="188" t="inlineStr">
        <is>
          <t>🔍 Investigate and apply appropriate controls</t>
        </is>
      </c>
      <c r="S1312" s="188" t="inlineStr">
        <is>
          <t>Spamhaus - CIDR range</t>
        </is>
      </c>
      <c r="T1312" s="188" t="n">
        <v>0</v>
      </c>
      <c r="U1312" s="188" t="n">
        <v>0</v>
      </c>
      <c r="V1312" s="188" t="inlineStr">
        <is>
          <t>T1566:Phishing | T1078:Valid Accounts</t>
        </is>
      </c>
      <c r="W1312" s="188" t="n">
        <v>1</v>
      </c>
      <c r="X1312" s="188" t="inlineStr">
        <is>
          <t>LOW (40%)</t>
        </is>
      </c>
      <c r="Y1312" s="188" t="inlineStr">
        <is>
          <t>NONE</t>
        </is>
      </c>
      <c r="Z1312" s="188" t="inlineStr">
        <is>
          <t>NONE</t>
        </is>
      </c>
      <c r="AA1312" s="188" t="inlineStr">
        <is>
          <t>NONE</t>
        </is>
      </c>
      <c r="AB1312" s="188" t="inlineStr">
        <is>
          <t>NONE</t>
        </is>
      </c>
      <c r="AC1312" s="188" t="n">
        <v>0</v>
      </c>
      <c r="AD1312" s="188" t="inlineStr"/>
    </row>
    <row r="1313">
      <c r="A1313" s="188" t="inlineStr">
        <is>
          <t>FIREHOL_THREAT</t>
        </is>
      </c>
      <c r="B1313" s="188" t="inlineStr">
        <is>
          <t>5d964bd4d6cf</t>
        </is>
      </c>
      <c r="C1313" s="188" t="inlineStr">
        <is>
          <t>DROP List CIDR: 5.133.101.0/24 | FireHOL L1 threat IP/CIDR | ASN: FireHOL-L1</t>
        </is>
      </c>
      <c r="D1313" s="188" t="n">
        <v>6</v>
      </c>
      <c r="E1313" s="188" t="inlineStr">
        <is>
          <t>MEDIUM</t>
        </is>
      </c>
      <c r="F1313" s="188" t="n">
        <v>2</v>
      </c>
      <c r="G1313" s="188" t="n">
        <v>2</v>
      </c>
      <c r="H1313" s="188" t="inlineStr">
        <is>
          <t>MEDIUM</t>
        </is>
      </c>
      <c r="I1313" s="188" t="n">
        <v>10</v>
      </c>
      <c r="J1313" s="188" t="inlineStr">
        <is>
          <t>NO</t>
        </is>
      </c>
      <c r="K1313" s="188" t="inlineStr">
        <is>
          <t>https://www.spamhaus.org/drop/</t>
        </is>
      </c>
      <c r="L1313" s="188" t="inlineStr">
        <is>
          <t>2026-02-27 20:47</t>
        </is>
      </c>
      <c r="M1313" s="188" t="inlineStr">
        <is>
          <t>Block CIDR</t>
        </is>
      </c>
      <c r="N1313" s="188" t="inlineStr">
        <is>
          <t>https://www.spamhaus.org/drop/</t>
        </is>
      </c>
      <c r="O1313" s="188" t="inlineStr">
        <is>
          <t>Block CIDR 5.133.101.0/24 at firewall</t>
        </is>
      </c>
      <c r="P1313" s="188" t="inlineStr">
        <is>
          <t>Firewall/Email</t>
        </is>
      </c>
      <c r="Q1313" s="188" t="inlineStr">
        <is>
          <t>P4</t>
        </is>
      </c>
      <c r="R1313" s="188" t="inlineStr">
        <is>
          <t>🔍 Investigate and apply appropriate controls</t>
        </is>
      </c>
      <c r="S1313" s="188" t="inlineStr">
        <is>
          <t>Spamhaus - CIDR range</t>
        </is>
      </c>
      <c r="T1313" s="188" t="n">
        <v>0</v>
      </c>
      <c r="U1313" s="188" t="n">
        <v>0</v>
      </c>
      <c r="V1313" s="188" t="inlineStr">
        <is>
          <t>T1566:Phishing | T1078:Valid Accounts</t>
        </is>
      </c>
      <c r="W1313" s="188" t="n">
        <v>1</v>
      </c>
      <c r="X1313" s="188" t="inlineStr">
        <is>
          <t>LOW (40%)</t>
        </is>
      </c>
      <c r="Y1313" s="188" t="inlineStr">
        <is>
          <t>NONE</t>
        </is>
      </c>
      <c r="Z1313" s="188" t="inlineStr">
        <is>
          <t>NONE</t>
        </is>
      </c>
      <c r="AA1313" s="188" t="inlineStr">
        <is>
          <t>NONE</t>
        </is>
      </c>
      <c r="AB1313" s="188" t="inlineStr">
        <is>
          <t>NONE</t>
        </is>
      </c>
      <c r="AC1313" s="188" t="n">
        <v>0</v>
      </c>
      <c r="AD1313" s="188" t="inlineStr"/>
    </row>
    <row r="1314">
      <c r="A1314" s="188" t="inlineStr">
        <is>
          <t>FIREHOL_THREAT</t>
        </is>
      </c>
      <c r="B1314" s="188" t="inlineStr">
        <is>
          <t>c4fe416e3720</t>
        </is>
      </c>
      <c r="C1314" s="188" t="inlineStr">
        <is>
          <t>DROP List CIDR: 5.182.210.0/23 | FireHOL L1 threat IP/CIDR | ASN: FireHOL-L1</t>
        </is>
      </c>
      <c r="D1314" s="188" t="n">
        <v>6</v>
      </c>
      <c r="E1314" s="188" t="inlineStr">
        <is>
          <t>MEDIUM</t>
        </is>
      </c>
      <c r="F1314" s="188" t="n">
        <v>2</v>
      </c>
      <c r="G1314" s="188" t="n">
        <v>2</v>
      </c>
      <c r="H1314" s="188" t="inlineStr">
        <is>
          <t>MEDIUM</t>
        </is>
      </c>
      <c r="I1314" s="188" t="n">
        <v>10</v>
      </c>
      <c r="J1314" s="188" t="inlineStr">
        <is>
          <t>NO</t>
        </is>
      </c>
      <c r="K1314" s="188" t="inlineStr">
        <is>
          <t>https://www.spamhaus.org/drop/</t>
        </is>
      </c>
      <c r="L1314" s="188" t="inlineStr">
        <is>
          <t>2026-02-27 20:47</t>
        </is>
      </c>
      <c r="M1314" s="188" t="inlineStr">
        <is>
          <t>Block CIDR</t>
        </is>
      </c>
      <c r="N1314" s="188" t="inlineStr">
        <is>
          <t>https://www.spamhaus.org/drop/</t>
        </is>
      </c>
      <c r="O1314" s="188" t="inlineStr">
        <is>
          <t>Block CIDR 5.182.210.0/23 at firewall</t>
        </is>
      </c>
      <c r="P1314" s="188" t="inlineStr">
        <is>
          <t>Firewall/Email</t>
        </is>
      </c>
      <c r="Q1314" s="188" t="inlineStr">
        <is>
          <t>P4</t>
        </is>
      </c>
      <c r="R1314" s="188" t="inlineStr">
        <is>
          <t>🔍 Investigate and apply appropriate controls</t>
        </is>
      </c>
      <c r="S1314" s="188" t="inlineStr">
        <is>
          <t>Spamhaus - CIDR range</t>
        </is>
      </c>
      <c r="T1314" s="188" t="n">
        <v>0</v>
      </c>
      <c r="U1314" s="188" t="n">
        <v>0</v>
      </c>
      <c r="V1314" s="188" t="inlineStr">
        <is>
          <t>T1566:Phishing | T1078:Valid Accounts</t>
        </is>
      </c>
      <c r="W1314" s="188" t="n">
        <v>1</v>
      </c>
      <c r="X1314" s="188" t="inlineStr">
        <is>
          <t>LOW (40%)</t>
        </is>
      </c>
      <c r="Y1314" s="188" t="inlineStr">
        <is>
          <t>NONE</t>
        </is>
      </c>
      <c r="Z1314" s="188" t="inlineStr">
        <is>
          <t>NONE</t>
        </is>
      </c>
      <c r="AA1314" s="188" t="inlineStr">
        <is>
          <t>NONE</t>
        </is>
      </c>
      <c r="AB1314" s="188" t="inlineStr">
        <is>
          <t>NONE</t>
        </is>
      </c>
      <c r="AC1314" s="188" t="n">
        <v>0</v>
      </c>
      <c r="AD1314" s="188" t="inlineStr"/>
    </row>
    <row r="1315">
      <c r="A1315" s="188" t="inlineStr">
        <is>
          <t>FIREHOL_THREAT</t>
        </is>
      </c>
      <c r="B1315" s="188" t="inlineStr">
        <is>
          <t>abf3929f9458</t>
        </is>
      </c>
      <c r="C1315" s="188" t="inlineStr">
        <is>
          <t>DROP List CIDR: 5.183.60.0/22 | FireHOL L1 threat IP/CIDR | ASN: FireHOL-L1</t>
        </is>
      </c>
      <c r="D1315" s="188" t="n">
        <v>6</v>
      </c>
      <c r="E1315" s="188" t="inlineStr">
        <is>
          <t>MEDIUM</t>
        </is>
      </c>
      <c r="F1315" s="188" t="n">
        <v>2</v>
      </c>
      <c r="G1315" s="188" t="n">
        <v>2</v>
      </c>
      <c r="H1315" s="188" t="inlineStr">
        <is>
          <t>MEDIUM</t>
        </is>
      </c>
      <c r="I1315" s="188" t="n">
        <v>10</v>
      </c>
      <c r="J1315" s="188" t="inlineStr">
        <is>
          <t>NO</t>
        </is>
      </c>
      <c r="K1315" s="188" t="inlineStr">
        <is>
          <t>https://www.spamhaus.org/drop/</t>
        </is>
      </c>
      <c r="L1315" s="188" t="inlineStr">
        <is>
          <t>2026-02-27 20:47</t>
        </is>
      </c>
      <c r="M1315" s="188" t="inlineStr">
        <is>
          <t>Block CIDR</t>
        </is>
      </c>
      <c r="N1315" s="188" t="inlineStr">
        <is>
          <t>https://www.spamhaus.org/drop/</t>
        </is>
      </c>
      <c r="O1315" s="188" t="inlineStr">
        <is>
          <t>Block CIDR 5.183.60.0/22 at firewall</t>
        </is>
      </c>
      <c r="P1315" s="188" t="inlineStr">
        <is>
          <t>Firewall/Email</t>
        </is>
      </c>
      <c r="Q1315" s="188" t="inlineStr">
        <is>
          <t>P4</t>
        </is>
      </c>
      <c r="R1315" s="188" t="inlineStr">
        <is>
          <t>🔍 Investigate and apply appropriate controls</t>
        </is>
      </c>
      <c r="S1315" s="188" t="inlineStr">
        <is>
          <t>Spamhaus - CIDR range</t>
        </is>
      </c>
      <c r="T1315" s="188" t="n">
        <v>0</v>
      </c>
      <c r="U1315" s="188" t="n">
        <v>0</v>
      </c>
      <c r="V1315" s="188" t="inlineStr">
        <is>
          <t>T1566:Phishing | T1078:Valid Accounts</t>
        </is>
      </c>
      <c r="W1315" s="188" t="n">
        <v>1</v>
      </c>
      <c r="X1315" s="188" t="inlineStr">
        <is>
          <t>LOW (40%)</t>
        </is>
      </c>
      <c r="Y1315" s="188" t="inlineStr">
        <is>
          <t>NONE</t>
        </is>
      </c>
      <c r="Z1315" s="188" t="inlineStr">
        <is>
          <t>NONE</t>
        </is>
      </c>
      <c r="AA1315" s="188" t="inlineStr">
        <is>
          <t>NONE</t>
        </is>
      </c>
      <c r="AB1315" s="188" t="inlineStr">
        <is>
          <t>NONE</t>
        </is>
      </c>
      <c r="AC1315" s="188" t="n">
        <v>0</v>
      </c>
      <c r="AD1315" s="188" t="inlineStr"/>
    </row>
    <row r="1316">
      <c r="A1316" s="188" t="inlineStr">
        <is>
          <t>FIREHOL_THREAT</t>
        </is>
      </c>
      <c r="B1316" s="188" t="inlineStr">
        <is>
          <t>37c61e81282e</t>
        </is>
      </c>
      <c r="C1316" s="188" t="inlineStr">
        <is>
          <t>DROP List CIDR: 5.188.11.0/24 | FireHOL L1 threat IP/CIDR | ASN: FireHOL-L1</t>
        </is>
      </c>
      <c r="D1316" s="188" t="n">
        <v>6</v>
      </c>
      <c r="E1316" s="188" t="inlineStr">
        <is>
          <t>MEDIUM</t>
        </is>
      </c>
      <c r="F1316" s="188" t="n">
        <v>2</v>
      </c>
      <c r="G1316" s="188" t="n">
        <v>2</v>
      </c>
      <c r="H1316" s="188" t="inlineStr">
        <is>
          <t>MEDIUM</t>
        </is>
      </c>
      <c r="I1316" s="188" t="n">
        <v>10</v>
      </c>
      <c r="J1316" s="188" t="inlineStr">
        <is>
          <t>NO</t>
        </is>
      </c>
      <c r="K1316" s="188" t="inlineStr">
        <is>
          <t>https://www.spamhaus.org/drop/</t>
        </is>
      </c>
      <c r="L1316" s="188" t="inlineStr">
        <is>
          <t>2026-02-27 20:47</t>
        </is>
      </c>
      <c r="M1316" s="188" t="inlineStr">
        <is>
          <t>Block CIDR</t>
        </is>
      </c>
      <c r="N1316" s="188" t="inlineStr">
        <is>
          <t>https://www.spamhaus.org/drop/</t>
        </is>
      </c>
      <c r="O1316" s="188" t="inlineStr">
        <is>
          <t>Block CIDR 5.188.11.0/24 at firewall</t>
        </is>
      </c>
      <c r="P1316" s="188" t="inlineStr">
        <is>
          <t>Firewall/Email</t>
        </is>
      </c>
      <c r="Q1316" s="188" t="inlineStr">
        <is>
          <t>P4</t>
        </is>
      </c>
      <c r="R1316" s="188" t="inlineStr">
        <is>
          <t>🔍 Investigate and apply appropriate controls</t>
        </is>
      </c>
      <c r="S1316" s="188" t="inlineStr">
        <is>
          <t>Spamhaus - CIDR range</t>
        </is>
      </c>
      <c r="T1316" s="188" t="n">
        <v>0</v>
      </c>
      <c r="U1316" s="188" t="n">
        <v>0</v>
      </c>
      <c r="V1316" s="188" t="inlineStr">
        <is>
          <t>T1566:Phishing | T1078:Valid Accounts</t>
        </is>
      </c>
      <c r="W1316" s="188" t="n">
        <v>1</v>
      </c>
      <c r="X1316" s="188" t="inlineStr">
        <is>
          <t>LOW (40%)</t>
        </is>
      </c>
      <c r="Y1316" s="188" t="inlineStr">
        <is>
          <t>NONE</t>
        </is>
      </c>
      <c r="Z1316" s="188" t="inlineStr">
        <is>
          <t>NONE</t>
        </is>
      </c>
      <c r="AA1316" s="188" t="inlineStr">
        <is>
          <t>NONE</t>
        </is>
      </c>
      <c r="AB1316" s="188" t="inlineStr">
        <is>
          <t>NONE</t>
        </is>
      </c>
      <c r="AC1316" s="188" t="n">
        <v>0</v>
      </c>
      <c r="AD1316" s="188" t="inlineStr"/>
    </row>
    <row r="1317">
      <c r="A1317" s="188" t="inlineStr">
        <is>
          <t>FIREHOL_THREAT</t>
        </is>
      </c>
      <c r="B1317" s="188" t="inlineStr">
        <is>
          <t>67385c68666e</t>
        </is>
      </c>
      <c r="C1317" s="188" t="inlineStr">
        <is>
          <t>DROP List CIDR: 5.188.236.0/23 | FireHOL L1 threat IP/CIDR | ASN: FireHOL-L1</t>
        </is>
      </c>
      <c r="D1317" s="188" t="n">
        <v>6</v>
      </c>
      <c r="E1317" s="188" t="inlineStr">
        <is>
          <t>MEDIUM</t>
        </is>
      </c>
      <c r="F1317" s="188" t="n">
        <v>2</v>
      </c>
      <c r="G1317" s="188" t="n">
        <v>2</v>
      </c>
      <c r="H1317" s="188" t="inlineStr">
        <is>
          <t>MEDIUM</t>
        </is>
      </c>
      <c r="I1317" s="188" t="n">
        <v>10</v>
      </c>
      <c r="J1317" s="188" t="inlineStr">
        <is>
          <t>NO</t>
        </is>
      </c>
      <c r="K1317" s="188" t="inlineStr">
        <is>
          <t>https://www.spamhaus.org/drop/</t>
        </is>
      </c>
      <c r="L1317" s="188" t="inlineStr">
        <is>
          <t>2026-02-27 20:47</t>
        </is>
      </c>
      <c r="M1317" s="188" t="inlineStr">
        <is>
          <t>Block CIDR</t>
        </is>
      </c>
      <c r="N1317" s="188" t="inlineStr">
        <is>
          <t>https://www.spamhaus.org/drop/</t>
        </is>
      </c>
      <c r="O1317" s="188" t="inlineStr">
        <is>
          <t>Block CIDR 5.188.236.0/23 at firewall</t>
        </is>
      </c>
      <c r="P1317" s="188" t="inlineStr">
        <is>
          <t>Firewall/Email</t>
        </is>
      </c>
      <c r="Q1317" s="188" t="inlineStr">
        <is>
          <t>P4</t>
        </is>
      </c>
      <c r="R1317" s="188" t="inlineStr">
        <is>
          <t>🔍 Investigate and apply appropriate controls</t>
        </is>
      </c>
      <c r="S1317" s="188" t="inlineStr">
        <is>
          <t>Spamhaus - CIDR range</t>
        </is>
      </c>
      <c r="T1317" s="188" t="n">
        <v>0</v>
      </c>
      <c r="U1317" s="188" t="n">
        <v>0</v>
      </c>
      <c r="V1317" s="188" t="inlineStr">
        <is>
          <t>T1566:Phishing | T1078:Valid Accounts</t>
        </is>
      </c>
      <c r="W1317" s="188" t="n">
        <v>1</v>
      </c>
      <c r="X1317" s="188" t="inlineStr">
        <is>
          <t>LOW (40%)</t>
        </is>
      </c>
      <c r="Y1317" s="188" t="inlineStr">
        <is>
          <t>NONE</t>
        </is>
      </c>
      <c r="Z1317" s="188" t="inlineStr">
        <is>
          <t>NONE</t>
        </is>
      </c>
      <c r="AA1317" s="188" t="inlineStr">
        <is>
          <t>NONE</t>
        </is>
      </c>
      <c r="AB1317" s="188" t="inlineStr">
        <is>
          <t>NONE</t>
        </is>
      </c>
      <c r="AC1317" s="188" t="n">
        <v>0</v>
      </c>
      <c r="AD1317" s="188" t="inlineStr"/>
    </row>
    <row r="1318">
      <c r="A1318" s="188" t="inlineStr">
        <is>
          <t>FIREHOL_THREAT</t>
        </is>
      </c>
      <c r="B1318" s="188" t="inlineStr">
        <is>
          <t>d4714d0e2eaa</t>
        </is>
      </c>
      <c r="C1318" s="188" t="inlineStr">
        <is>
          <t>DROP List CIDR: 10.0.0.0/8 | FireHOL L1 threat IP/CIDR | ASN: FireHOL-L1</t>
        </is>
      </c>
      <c r="D1318" s="188" t="n">
        <v>6</v>
      </c>
      <c r="E1318" s="188" t="inlineStr">
        <is>
          <t>MEDIUM</t>
        </is>
      </c>
      <c r="F1318" s="188" t="n">
        <v>2</v>
      </c>
      <c r="G1318" s="188" t="n">
        <v>2</v>
      </c>
      <c r="H1318" s="188" t="inlineStr">
        <is>
          <t>MEDIUM</t>
        </is>
      </c>
      <c r="I1318" s="188" t="n">
        <v>10</v>
      </c>
      <c r="J1318" s="188" t="inlineStr">
        <is>
          <t>NO</t>
        </is>
      </c>
      <c r="K1318" s="188" t="inlineStr">
        <is>
          <t>https://www.spamhaus.org/drop/</t>
        </is>
      </c>
      <c r="L1318" s="188" t="inlineStr">
        <is>
          <t>2026-02-27 20:47</t>
        </is>
      </c>
      <c r="M1318" s="188" t="inlineStr">
        <is>
          <t>Block CIDR</t>
        </is>
      </c>
      <c r="N1318" s="188" t="inlineStr">
        <is>
          <t>https://www.spamhaus.org/drop/</t>
        </is>
      </c>
      <c r="O1318" s="188" t="inlineStr">
        <is>
          <t>Block CIDR 10.0.0.0/8 at firewall</t>
        </is>
      </c>
      <c r="P1318" s="188" t="inlineStr">
        <is>
          <t>Firewall/Email</t>
        </is>
      </c>
      <c r="Q1318" s="188" t="inlineStr">
        <is>
          <t>P4</t>
        </is>
      </c>
      <c r="R1318" s="188" t="inlineStr">
        <is>
          <t>🔍 Investigate and apply appropriate controls</t>
        </is>
      </c>
      <c r="S1318" s="188" t="inlineStr">
        <is>
          <t>Spamhaus - CIDR range</t>
        </is>
      </c>
      <c r="T1318" s="188" t="n">
        <v>0</v>
      </c>
      <c r="U1318" s="188" t="n">
        <v>0</v>
      </c>
      <c r="V1318" s="188" t="inlineStr">
        <is>
          <t>T1566:Phishing | T1078:Valid Accounts</t>
        </is>
      </c>
      <c r="W1318" s="188" t="n">
        <v>1</v>
      </c>
      <c r="X1318" s="188" t="inlineStr">
        <is>
          <t>LOW (40%)</t>
        </is>
      </c>
      <c r="Y1318" s="188" t="inlineStr">
        <is>
          <t>NONE</t>
        </is>
      </c>
      <c r="Z1318" s="188" t="inlineStr">
        <is>
          <t>NONE</t>
        </is>
      </c>
      <c r="AA1318" s="188" t="inlineStr">
        <is>
          <t>NONE</t>
        </is>
      </c>
      <c r="AB1318" s="188" t="inlineStr">
        <is>
          <t>NONE</t>
        </is>
      </c>
      <c r="AC1318" s="188" t="n">
        <v>0</v>
      </c>
      <c r="AD1318" s="188" t="inlineStr"/>
    </row>
    <row r="1319">
      <c r="A1319" s="188" t="inlineStr">
        <is>
          <t>FIREHOL_THREAT</t>
        </is>
      </c>
      <c r="B1319" s="188" t="inlineStr">
        <is>
          <t>19418b89cc5a</t>
        </is>
      </c>
      <c r="C1319" s="188" t="inlineStr">
        <is>
          <t>DROP List CIDR: 14.102.240.0/20 | FireHOL L1 threat IP/CIDR | ASN: FireHOL-L1</t>
        </is>
      </c>
      <c r="D1319" s="188" t="n">
        <v>6</v>
      </c>
      <c r="E1319" s="188" t="inlineStr">
        <is>
          <t>MEDIUM</t>
        </is>
      </c>
      <c r="F1319" s="188" t="n">
        <v>2</v>
      </c>
      <c r="G1319" s="188" t="n">
        <v>2</v>
      </c>
      <c r="H1319" s="188" t="inlineStr">
        <is>
          <t>MEDIUM</t>
        </is>
      </c>
      <c r="I1319" s="188" t="n">
        <v>10</v>
      </c>
      <c r="J1319" s="188" t="inlineStr">
        <is>
          <t>NO</t>
        </is>
      </c>
      <c r="K1319" s="188" t="inlineStr">
        <is>
          <t>https://www.spamhaus.org/drop/</t>
        </is>
      </c>
      <c r="L1319" s="188" t="inlineStr">
        <is>
          <t>2026-02-27 20:47</t>
        </is>
      </c>
      <c r="M1319" s="188" t="inlineStr">
        <is>
          <t>Block CIDR</t>
        </is>
      </c>
      <c r="N1319" s="188" t="inlineStr">
        <is>
          <t>https://www.spamhaus.org/drop/</t>
        </is>
      </c>
      <c r="O1319" s="188" t="inlineStr">
        <is>
          <t>Block CIDR 14.102.240.0/20 at firewall</t>
        </is>
      </c>
      <c r="P1319" s="188" t="inlineStr">
        <is>
          <t>Firewall/Email</t>
        </is>
      </c>
      <c r="Q1319" s="188" t="inlineStr">
        <is>
          <t>P4</t>
        </is>
      </c>
      <c r="R1319" s="188" t="inlineStr">
        <is>
          <t>🔍 Investigate and apply appropriate controls</t>
        </is>
      </c>
      <c r="S1319" s="188" t="inlineStr">
        <is>
          <t>Spamhaus - CIDR range</t>
        </is>
      </c>
      <c r="T1319" s="188" t="n">
        <v>0</v>
      </c>
      <c r="U1319" s="188" t="n">
        <v>0</v>
      </c>
      <c r="V1319" s="188" t="inlineStr">
        <is>
          <t>T1566:Phishing | T1078:Valid Accounts</t>
        </is>
      </c>
      <c r="W1319" s="188" t="n">
        <v>1</v>
      </c>
      <c r="X1319" s="188" t="inlineStr">
        <is>
          <t>LOW (40%)</t>
        </is>
      </c>
      <c r="Y1319" s="188" t="inlineStr">
        <is>
          <t>NONE</t>
        </is>
      </c>
      <c r="Z1319" s="188" t="inlineStr">
        <is>
          <t>NONE</t>
        </is>
      </c>
      <c r="AA1319" s="188" t="inlineStr">
        <is>
          <t>NONE</t>
        </is>
      </c>
      <c r="AB1319" s="188" t="inlineStr">
        <is>
          <t>NONE</t>
        </is>
      </c>
      <c r="AC1319" s="188" t="n">
        <v>0</v>
      </c>
      <c r="AD1319" s="188" t="inlineStr"/>
    </row>
    <row r="1320">
      <c r="A1320" s="188" t="inlineStr">
        <is>
          <t>FIREHOL_THREAT</t>
        </is>
      </c>
      <c r="B1320" s="188" t="inlineStr">
        <is>
          <t>45af21402405</t>
        </is>
      </c>
      <c r="C1320" s="188" t="inlineStr">
        <is>
          <t>DROP List CIDR: 14.128.32.0/20 | FireHOL L1 threat IP/CIDR | ASN: FireHOL-L1</t>
        </is>
      </c>
      <c r="D1320" s="188" t="n">
        <v>6</v>
      </c>
      <c r="E1320" s="188" t="inlineStr">
        <is>
          <t>MEDIUM</t>
        </is>
      </c>
      <c r="F1320" s="188" t="n">
        <v>2</v>
      </c>
      <c r="G1320" s="188" t="n">
        <v>2</v>
      </c>
      <c r="H1320" s="188" t="inlineStr">
        <is>
          <t>MEDIUM</t>
        </is>
      </c>
      <c r="I1320" s="188" t="n">
        <v>10</v>
      </c>
      <c r="J1320" s="188" t="inlineStr">
        <is>
          <t>NO</t>
        </is>
      </c>
      <c r="K1320" s="188" t="inlineStr">
        <is>
          <t>https://www.spamhaus.org/drop/</t>
        </is>
      </c>
      <c r="L1320" s="188" t="inlineStr">
        <is>
          <t>2026-02-27 20:47</t>
        </is>
      </c>
      <c r="M1320" s="188" t="inlineStr">
        <is>
          <t>Block CIDR</t>
        </is>
      </c>
      <c r="N1320" s="188" t="inlineStr">
        <is>
          <t>https://www.spamhaus.org/drop/</t>
        </is>
      </c>
      <c r="O1320" s="188" t="inlineStr">
        <is>
          <t>Block CIDR 14.128.32.0/20 at firewall</t>
        </is>
      </c>
      <c r="P1320" s="188" t="inlineStr">
        <is>
          <t>Firewall/Email</t>
        </is>
      </c>
      <c r="Q1320" s="188" t="inlineStr">
        <is>
          <t>P4</t>
        </is>
      </c>
      <c r="R1320" s="188" t="inlineStr">
        <is>
          <t>🔍 Investigate and apply appropriate controls</t>
        </is>
      </c>
      <c r="S1320" s="188" t="inlineStr">
        <is>
          <t>Spamhaus - CIDR range</t>
        </is>
      </c>
      <c r="T1320" s="188" t="n">
        <v>0</v>
      </c>
      <c r="U1320" s="188" t="n">
        <v>0</v>
      </c>
      <c r="V1320" s="188" t="inlineStr">
        <is>
          <t>T1566:Phishing | T1078:Valid Accounts</t>
        </is>
      </c>
      <c r="W1320" s="188" t="n">
        <v>1</v>
      </c>
      <c r="X1320" s="188" t="inlineStr">
        <is>
          <t>LOW (40%)</t>
        </is>
      </c>
      <c r="Y1320" s="188" t="inlineStr">
        <is>
          <t>NONE</t>
        </is>
      </c>
      <c r="Z1320" s="188" t="inlineStr">
        <is>
          <t>NONE</t>
        </is>
      </c>
      <c r="AA1320" s="188" t="inlineStr">
        <is>
          <t>NONE</t>
        </is>
      </c>
      <c r="AB1320" s="188" t="inlineStr">
        <is>
          <t>NONE</t>
        </is>
      </c>
      <c r="AC1320" s="188" t="n">
        <v>0</v>
      </c>
      <c r="AD1320" s="188" t="inlineStr"/>
    </row>
    <row r="1321">
      <c r="A1321" s="188" t="inlineStr">
        <is>
          <t>FIREHOL_THREAT</t>
        </is>
      </c>
      <c r="B1321" s="188" t="inlineStr">
        <is>
          <t>88b39c15dff0</t>
        </is>
      </c>
      <c r="C1321" s="188" t="inlineStr">
        <is>
          <t>DROP List CIDR: 1.1.179.83 | FireHOL L2 threat IP/CIDR | ASN: FireHOL-L2</t>
        </is>
      </c>
      <c r="D1321" s="188" t="n">
        <v>6</v>
      </c>
      <c r="E1321" s="188" t="inlineStr">
        <is>
          <t>MEDIUM</t>
        </is>
      </c>
      <c r="F1321" s="188" t="n">
        <v>2</v>
      </c>
      <c r="G1321" s="188" t="n">
        <v>2</v>
      </c>
      <c r="H1321" s="188" t="inlineStr">
        <is>
          <t>MEDIUM</t>
        </is>
      </c>
      <c r="I1321" s="188" t="n">
        <v>10</v>
      </c>
      <c r="J1321" s="188" t="inlineStr">
        <is>
          <t>NO</t>
        </is>
      </c>
      <c r="K1321" s="188" t="inlineStr">
        <is>
          <t>https://www.spamhaus.org/drop/</t>
        </is>
      </c>
      <c r="L1321" s="188" t="inlineStr">
        <is>
          <t>2026-02-27 20:47</t>
        </is>
      </c>
      <c r="M1321" s="188" t="inlineStr">
        <is>
          <t>Block CIDR</t>
        </is>
      </c>
      <c r="N1321" s="188" t="inlineStr">
        <is>
          <t>https://www.spamhaus.org/drop/</t>
        </is>
      </c>
      <c r="O1321" s="188" t="inlineStr">
        <is>
          <t>Block CIDR 1.1.179.83 at firewall</t>
        </is>
      </c>
      <c r="P1321" s="188" t="inlineStr">
        <is>
          <t>Firewall/Email</t>
        </is>
      </c>
      <c r="Q1321" s="188" t="inlineStr">
        <is>
          <t>P4</t>
        </is>
      </c>
      <c r="R1321" s="188" t="inlineStr">
        <is>
          <t>🔍 Investigate and apply appropriate controls</t>
        </is>
      </c>
      <c r="S1321" s="188" t="inlineStr">
        <is>
          <t>Spamhaus - CIDR range</t>
        </is>
      </c>
      <c r="T1321" s="188" t="n">
        <v>0</v>
      </c>
      <c r="U1321" s="188" t="n">
        <v>0</v>
      </c>
      <c r="V1321" s="188" t="inlineStr">
        <is>
          <t>T1566:Phishing | T1078:Valid Accounts</t>
        </is>
      </c>
      <c r="W1321" s="188" t="n">
        <v>1</v>
      </c>
      <c r="X1321" s="188" t="inlineStr">
        <is>
          <t>LOW (40%)</t>
        </is>
      </c>
      <c r="Y1321" s="188" t="inlineStr">
        <is>
          <t>NONE</t>
        </is>
      </c>
      <c r="Z1321" s="188" t="inlineStr">
        <is>
          <t>NONE</t>
        </is>
      </c>
      <c r="AA1321" s="188" t="inlineStr">
        <is>
          <t>NONE</t>
        </is>
      </c>
      <c r="AB1321" s="188" t="inlineStr">
        <is>
          <t>NONE</t>
        </is>
      </c>
      <c r="AC1321" s="188" t="n">
        <v>0</v>
      </c>
      <c r="AD1321" s="188" t="inlineStr"/>
    </row>
    <row r="1322">
      <c r="A1322" s="188" t="inlineStr">
        <is>
          <t>FIREHOL_THREAT</t>
        </is>
      </c>
      <c r="B1322" s="188" t="inlineStr">
        <is>
          <t>339937eb8b72</t>
        </is>
      </c>
      <c r="C1322" s="188" t="inlineStr">
        <is>
          <t>DROP List CIDR: 1.10.182.240 | FireHOL L2 threat IP/CIDR | ASN: FireHOL-L2</t>
        </is>
      </c>
      <c r="D1322" s="188" t="n">
        <v>6</v>
      </c>
      <c r="E1322" s="188" t="inlineStr">
        <is>
          <t>MEDIUM</t>
        </is>
      </c>
      <c r="F1322" s="188" t="n">
        <v>2</v>
      </c>
      <c r="G1322" s="188" t="n">
        <v>2</v>
      </c>
      <c r="H1322" s="188" t="inlineStr">
        <is>
          <t>MEDIUM</t>
        </is>
      </c>
      <c r="I1322" s="188" t="n">
        <v>10</v>
      </c>
      <c r="J1322" s="188" t="inlineStr">
        <is>
          <t>NO</t>
        </is>
      </c>
      <c r="K1322" s="188" t="inlineStr">
        <is>
          <t>https://www.spamhaus.org/drop/</t>
        </is>
      </c>
      <c r="L1322" s="188" t="inlineStr">
        <is>
          <t>2026-02-27 20:47</t>
        </is>
      </c>
      <c r="M1322" s="188" t="inlineStr">
        <is>
          <t>Block CIDR</t>
        </is>
      </c>
      <c r="N1322" s="188" t="inlineStr">
        <is>
          <t>https://www.spamhaus.org/drop/</t>
        </is>
      </c>
      <c r="O1322" s="188" t="inlineStr">
        <is>
          <t>Block CIDR 1.10.182.240 at firewall</t>
        </is>
      </c>
      <c r="P1322" s="188" t="inlineStr">
        <is>
          <t>Firewall/Email</t>
        </is>
      </c>
      <c r="Q1322" s="188" t="inlineStr">
        <is>
          <t>P4</t>
        </is>
      </c>
      <c r="R1322" s="188" t="inlineStr">
        <is>
          <t>🔍 Investigate and apply appropriate controls</t>
        </is>
      </c>
      <c r="S1322" s="188" t="inlineStr">
        <is>
          <t>Spamhaus - CIDR range</t>
        </is>
      </c>
      <c r="T1322" s="188" t="n">
        <v>0</v>
      </c>
      <c r="U1322" s="188" t="n">
        <v>0</v>
      </c>
      <c r="V1322" s="188" t="inlineStr">
        <is>
          <t>T1566:Phishing | T1078:Valid Accounts</t>
        </is>
      </c>
      <c r="W1322" s="188" t="n">
        <v>1</v>
      </c>
      <c r="X1322" s="188" t="inlineStr">
        <is>
          <t>LOW (40%)</t>
        </is>
      </c>
      <c r="Y1322" s="188" t="inlineStr">
        <is>
          <t>NONE</t>
        </is>
      </c>
      <c r="Z1322" s="188" t="inlineStr">
        <is>
          <t>NONE</t>
        </is>
      </c>
      <c r="AA1322" s="188" t="inlineStr">
        <is>
          <t>NONE</t>
        </is>
      </c>
      <c r="AB1322" s="188" t="inlineStr">
        <is>
          <t>NONE</t>
        </is>
      </c>
      <c r="AC1322" s="188" t="n">
        <v>0</v>
      </c>
      <c r="AD1322" s="188" t="inlineStr"/>
    </row>
    <row r="1323">
      <c r="A1323" s="188" t="inlineStr">
        <is>
          <t>FIREHOL_THREAT</t>
        </is>
      </c>
      <c r="B1323" s="188" t="inlineStr">
        <is>
          <t>ad7b0e2ec0a2</t>
        </is>
      </c>
      <c r="C1323" s="188" t="inlineStr">
        <is>
          <t>DROP List CIDR: 1.10.205.170 | FireHOL L2 threat IP/CIDR | ASN: FireHOL-L2</t>
        </is>
      </c>
      <c r="D1323" s="188" t="n">
        <v>6</v>
      </c>
      <c r="E1323" s="188" t="inlineStr">
        <is>
          <t>MEDIUM</t>
        </is>
      </c>
      <c r="F1323" s="188" t="n">
        <v>2</v>
      </c>
      <c r="G1323" s="188" t="n">
        <v>2</v>
      </c>
      <c r="H1323" s="188" t="inlineStr">
        <is>
          <t>MEDIUM</t>
        </is>
      </c>
      <c r="I1323" s="188" t="n">
        <v>10</v>
      </c>
      <c r="J1323" s="188" t="inlineStr">
        <is>
          <t>NO</t>
        </is>
      </c>
      <c r="K1323" s="188" t="inlineStr">
        <is>
          <t>https://www.spamhaus.org/drop/</t>
        </is>
      </c>
      <c r="L1323" s="188" t="inlineStr">
        <is>
          <t>2026-02-27 20:47</t>
        </is>
      </c>
      <c r="M1323" s="188" t="inlineStr">
        <is>
          <t>Block CIDR</t>
        </is>
      </c>
      <c r="N1323" s="188" t="inlineStr">
        <is>
          <t>https://www.spamhaus.org/drop/</t>
        </is>
      </c>
      <c r="O1323" s="188" t="inlineStr">
        <is>
          <t>Block CIDR 1.10.205.170 at firewall</t>
        </is>
      </c>
      <c r="P1323" s="188" t="inlineStr">
        <is>
          <t>Firewall/Email</t>
        </is>
      </c>
      <c r="Q1323" s="188" t="inlineStr">
        <is>
          <t>P4</t>
        </is>
      </c>
      <c r="R1323" s="188" t="inlineStr">
        <is>
          <t>🔍 Investigate and apply appropriate controls</t>
        </is>
      </c>
      <c r="S1323" s="188" t="inlineStr">
        <is>
          <t>Spamhaus - CIDR range</t>
        </is>
      </c>
      <c r="T1323" s="188" t="n">
        <v>0</v>
      </c>
      <c r="U1323" s="188" t="n">
        <v>0</v>
      </c>
      <c r="V1323" s="188" t="inlineStr">
        <is>
          <t>T1566:Phishing | T1078:Valid Accounts</t>
        </is>
      </c>
      <c r="W1323" s="188" t="n">
        <v>1</v>
      </c>
      <c r="X1323" s="188" t="inlineStr">
        <is>
          <t>LOW (40%)</t>
        </is>
      </c>
      <c r="Y1323" s="188" t="inlineStr">
        <is>
          <t>NONE</t>
        </is>
      </c>
      <c r="Z1323" s="188" t="inlineStr">
        <is>
          <t>NONE</t>
        </is>
      </c>
      <c r="AA1323" s="188" t="inlineStr">
        <is>
          <t>NONE</t>
        </is>
      </c>
      <c r="AB1323" s="188" t="inlineStr">
        <is>
          <t>NONE</t>
        </is>
      </c>
      <c r="AC1323" s="188" t="n">
        <v>0</v>
      </c>
      <c r="AD1323" s="188" t="inlineStr"/>
    </row>
    <row r="1324">
      <c r="A1324" s="188" t="inlineStr">
        <is>
          <t>FIREHOL_THREAT</t>
        </is>
      </c>
      <c r="B1324" s="188" t="inlineStr">
        <is>
          <t>b923bab4c9da</t>
        </is>
      </c>
      <c r="C1324" s="188" t="inlineStr">
        <is>
          <t>DROP List CIDR: 1.10.225.52 | FireHOL L2 threat IP/CIDR | ASN: FireHOL-L2</t>
        </is>
      </c>
      <c r="D1324" s="188" t="n">
        <v>6</v>
      </c>
      <c r="E1324" s="188" t="inlineStr">
        <is>
          <t>MEDIUM</t>
        </is>
      </c>
      <c r="F1324" s="188" t="n">
        <v>2</v>
      </c>
      <c r="G1324" s="188" t="n">
        <v>2</v>
      </c>
      <c r="H1324" s="188" t="inlineStr">
        <is>
          <t>MEDIUM</t>
        </is>
      </c>
      <c r="I1324" s="188" t="n">
        <v>10</v>
      </c>
      <c r="J1324" s="188" t="inlineStr">
        <is>
          <t>NO</t>
        </is>
      </c>
      <c r="K1324" s="188" t="inlineStr">
        <is>
          <t>https://www.spamhaus.org/drop/</t>
        </is>
      </c>
      <c r="L1324" s="188" t="inlineStr">
        <is>
          <t>2026-02-27 20:47</t>
        </is>
      </c>
      <c r="M1324" s="188" t="inlineStr">
        <is>
          <t>Block CIDR</t>
        </is>
      </c>
      <c r="N1324" s="188" t="inlineStr">
        <is>
          <t>https://www.spamhaus.org/drop/</t>
        </is>
      </c>
      <c r="O1324" s="188" t="inlineStr">
        <is>
          <t>Block CIDR 1.10.225.52 at firewall</t>
        </is>
      </c>
      <c r="P1324" s="188" t="inlineStr">
        <is>
          <t>Firewall/Email</t>
        </is>
      </c>
      <c r="Q1324" s="188" t="inlineStr">
        <is>
          <t>P4</t>
        </is>
      </c>
      <c r="R1324" s="188" t="inlineStr">
        <is>
          <t>🔍 Investigate and apply appropriate controls</t>
        </is>
      </c>
      <c r="S1324" s="188" t="inlineStr">
        <is>
          <t>Spamhaus - CIDR range</t>
        </is>
      </c>
      <c r="T1324" s="188" t="n">
        <v>0</v>
      </c>
      <c r="U1324" s="188" t="n">
        <v>0</v>
      </c>
      <c r="V1324" s="188" t="inlineStr">
        <is>
          <t>T1566:Phishing | T1078:Valid Accounts</t>
        </is>
      </c>
      <c r="W1324" s="188" t="n">
        <v>1</v>
      </c>
      <c r="X1324" s="188" t="inlineStr">
        <is>
          <t>LOW (40%)</t>
        </is>
      </c>
      <c r="Y1324" s="188" t="inlineStr">
        <is>
          <t>NONE</t>
        </is>
      </c>
      <c r="Z1324" s="188" t="inlineStr">
        <is>
          <t>NONE</t>
        </is>
      </c>
      <c r="AA1324" s="188" t="inlineStr">
        <is>
          <t>NONE</t>
        </is>
      </c>
      <c r="AB1324" s="188" t="inlineStr">
        <is>
          <t>NONE</t>
        </is>
      </c>
      <c r="AC1324" s="188" t="n">
        <v>0</v>
      </c>
      <c r="AD1324" s="188" t="inlineStr"/>
    </row>
    <row r="1325">
      <c r="A1325" s="188" t="inlineStr">
        <is>
          <t>FIREHOL_THREAT</t>
        </is>
      </c>
      <c r="B1325" s="188" t="inlineStr">
        <is>
          <t>960dc4429546</t>
        </is>
      </c>
      <c r="C1325" s="188" t="inlineStr">
        <is>
          <t>DROP List CIDR: 1.12.48.131 | FireHOL L2 threat IP/CIDR | ASN: FireHOL-L2</t>
        </is>
      </c>
      <c r="D1325" s="188" t="n">
        <v>6</v>
      </c>
      <c r="E1325" s="188" t="inlineStr">
        <is>
          <t>MEDIUM</t>
        </is>
      </c>
      <c r="F1325" s="188" t="n">
        <v>2</v>
      </c>
      <c r="G1325" s="188" t="n">
        <v>2</v>
      </c>
      <c r="H1325" s="188" t="inlineStr">
        <is>
          <t>MEDIUM</t>
        </is>
      </c>
      <c r="I1325" s="188" t="n">
        <v>10</v>
      </c>
      <c r="J1325" s="188" t="inlineStr">
        <is>
          <t>NO</t>
        </is>
      </c>
      <c r="K1325" s="188" t="inlineStr">
        <is>
          <t>https://www.spamhaus.org/drop/</t>
        </is>
      </c>
      <c r="L1325" s="188" t="inlineStr">
        <is>
          <t>2026-02-27 20:47</t>
        </is>
      </c>
      <c r="M1325" s="188" t="inlineStr">
        <is>
          <t>Block CIDR</t>
        </is>
      </c>
      <c r="N1325" s="188" t="inlineStr">
        <is>
          <t>https://www.spamhaus.org/drop/</t>
        </is>
      </c>
      <c r="O1325" s="188" t="inlineStr">
        <is>
          <t>Block CIDR 1.12.48.131 at firewall</t>
        </is>
      </c>
      <c r="P1325" s="188" t="inlineStr">
        <is>
          <t>Firewall/Email</t>
        </is>
      </c>
      <c r="Q1325" s="188" t="inlineStr">
        <is>
          <t>P4</t>
        </is>
      </c>
      <c r="R1325" s="188" t="inlineStr">
        <is>
          <t>🔍 Investigate and apply appropriate controls</t>
        </is>
      </c>
      <c r="S1325" s="188" t="inlineStr">
        <is>
          <t>Spamhaus - CIDR range</t>
        </is>
      </c>
      <c r="T1325" s="188" t="n">
        <v>0</v>
      </c>
      <c r="U1325" s="188" t="n">
        <v>0</v>
      </c>
      <c r="V1325" s="188" t="inlineStr">
        <is>
          <t>T1566:Phishing | T1078:Valid Accounts</t>
        </is>
      </c>
      <c r="W1325" s="188" t="n">
        <v>1</v>
      </c>
      <c r="X1325" s="188" t="inlineStr">
        <is>
          <t>LOW (40%)</t>
        </is>
      </c>
      <c r="Y1325" s="188" t="inlineStr">
        <is>
          <t>NONE</t>
        </is>
      </c>
      <c r="Z1325" s="188" t="inlineStr">
        <is>
          <t>NONE</t>
        </is>
      </c>
      <c r="AA1325" s="188" t="inlineStr">
        <is>
          <t>NONE</t>
        </is>
      </c>
      <c r="AB1325" s="188" t="inlineStr">
        <is>
          <t>NONE</t>
        </is>
      </c>
      <c r="AC1325" s="188" t="n">
        <v>0</v>
      </c>
      <c r="AD1325" s="188" t="inlineStr"/>
    </row>
    <row r="1326">
      <c r="A1326" s="188" t="inlineStr">
        <is>
          <t>FIREHOL_THREAT</t>
        </is>
      </c>
      <c r="B1326" s="188" t="inlineStr">
        <is>
          <t>4eefa27549e0</t>
        </is>
      </c>
      <c r="C1326" s="188" t="inlineStr">
        <is>
          <t>DROP List CIDR: 1.12.55.42 | FireHOL L2 threat IP/CIDR | ASN: FireHOL-L2</t>
        </is>
      </c>
      <c r="D1326" s="188" t="n">
        <v>6</v>
      </c>
      <c r="E1326" s="188" t="inlineStr">
        <is>
          <t>MEDIUM</t>
        </is>
      </c>
      <c r="F1326" s="188" t="n">
        <v>2</v>
      </c>
      <c r="G1326" s="188" t="n">
        <v>2</v>
      </c>
      <c r="H1326" s="188" t="inlineStr">
        <is>
          <t>MEDIUM</t>
        </is>
      </c>
      <c r="I1326" s="188" t="n">
        <v>10</v>
      </c>
      <c r="J1326" s="188" t="inlineStr">
        <is>
          <t>NO</t>
        </is>
      </c>
      <c r="K1326" s="188" t="inlineStr">
        <is>
          <t>https://www.spamhaus.org/drop/</t>
        </is>
      </c>
      <c r="L1326" s="188" t="inlineStr">
        <is>
          <t>2026-02-27 20:47</t>
        </is>
      </c>
      <c r="M1326" s="188" t="inlineStr">
        <is>
          <t>Block CIDR</t>
        </is>
      </c>
      <c r="N1326" s="188" t="inlineStr">
        <is>
          <t>https://www.spamhaus.org/drop/</t>
        </is>
      </c>
      <c r="O1326" s="188" t="inlineStr">
        <is>
          <t>Block CIDR 1.12.55.42 at firewall</t>
        </is>
      </c>
      <c r="P1326" s="188" t="inlineStr">
        <is>
          <t>Firewall/Email</t>
        </is>
      </c>
      <c r="Q1326" s="188" t="inlineStr">
        <is>
          <t>P4</t>
        </is>
      </c>
      <c r="R1326" s="188" t="inlineStr">
        <is>
          <t>🔍 Investigate and apply appropriate controls</t>
        </is>
      </c>
      <c r="S1326" s="188" t="inlineStr">
        <is>
          <t>Spamhaus - CIDR range</t>
        </is>
      </c>
      <c r="T1326" s="188" t="n">
        <v>0</v>
      </c>
      <c r="U1326" s="188" t="n">
        <v>0</v>
      </c>
      <c r="V1326" s="188" t="inlineStr">
        <is>
          <t>T1566:Phishing | T1078:Valid Accounts</t>
        </is>
      </c>
      <c r="W1326" s="188" t="n">
        <v>1</v>
      </c>
      <c r="X1326" s="188" t="inlineStr">
        <is>
          <t>LOW (40%)</t>
        </is>
      </c>
      <c r="Y1326" s="188" t="inlineStr">
        <is>
          <t>NONE</t>
        </is>
      </c>
      <c r="Z1326" s="188" t="inlineStr">
        <is>
          <t>NONE</t>
        </is>
      </c>
      <c r="AA1326" s="188" t="inlineStr">
        <is>
          <t>NONE</t>
        </is>
      </c>
      <c r="AB1326" s="188" t="inlineStr">
        <is>
          <t>NONE</t>
        </is>
      </c>
      <c r="AC1326" s="188" t="n">
        <v>0</v>
      </c>
      <c r="AD1326" s="188" t="inlineStr"/>
    </row>
    <row r="1327">
      <c r="A1327" s="188" t="inlineStr">
        <is>
          <t>FIREHOL_THREAT</t>
        </is>
      </c>
      <c r="B1327" s="188" t="inlineStr">
        <is>
          <t>0b0d18fbf54e</t>
        </is>
      </c>
      <c r="C1327" s="188" t="inlineStr">
        <is>
          <t>DROP List CIDR: 1.14.12.141 | FireHOL L2 threat IP/CIDR | ASN: FireHOL-L2</t>
        </is>
      </c>
      <c r="D1327" s="188" t="n">
        <v>6</v>
      </c>
      <c r="E1327" s="188" t="inlineStr">
        <is>
          <t>MEDIUM</t>
        </is>
      </c>
      <c r="F1327" s="188" t="n">
        <v>2</v>
      </c>
      <c r="G1327" s="188" t="n">
        <v>2</v>
      </c>
      <c r="H1327" s="188" t="inlineStr">
        <is>
          <t>MEDIUM</t>
        </is>
      </c>
      <c r="I1327" s="188" t="n">
        <v>10</v>
      </c>
      <c r="J1327" s="188" t="inlineStr">
        <is>
          <t>NO</t>
        </is>
      </c>
      <c r="K1327" s="188" t="inlineStr">
        <is>
          <t>https://www.spamhaus.org/drop/</t>
        </is>
      </c>
      <c r="L1327" s="188" t="inlineStr">
        <is>
          <t>2026-02-27 20:47</t>
        </is>
      </c>
      <c r="M1327" s="188" t="inlineStr">
        <is>
          <t>Block CIDR</t>
        </is>
      </c>
      <c r="N1327" s="188" t="inlineStr">
        <is>
          <t>https://www.spamhaus.org/drop/</t>
        </is>
      </c>
      <c r="O1327" s="188" t="inlineStr">
        <is>
          <t>Block CIDR 1.14.12.141 at firewall</t>
        </is>
      </c>
      <c r="P1327" s="188" t="inlineStr">
        <is>
          <t>Firewall/Email</t>
        </is>
      </c>
      <c r="Q1327" s="188" t="inlineStr">
        <is>
          <t>P4</t>
        </is>
      </c>
      <c r="R1327" s="188" t="inlineStr">
        <is>
          <t>🔍 Investigate and apply appropriate controls</t>
        </is>
      </c>
      <c r="S1327" s="188" t="inlineStr">
        <is>
          <t>Spamhaus - CIDR range</t>
        </is>
      </c>
      <c r="T1327" s="188" t="n">
        <v>0</v>
      </c>
      <c r="U1327" s="188" t="n">
        <v>0</v>
      </c>
      <c r="V1327" s="188" t="inlineStr">
        <is>
          <t>T1566:Phishing | T1078:Valid Accounts</t>
        </is>
      </c>
      <c r="W1327" s="188" t="n">
        <v>1</v>
      </c>
      <c r="X1327" s="188" t="inlineStr">
        <is>
          <t>LOW (40%)</t>
        </is>
      </c>
      <c r="Y1327" s="188" t="inlineStr">
        <is>
          <t>NONE</t>
        </is>
      </c>
      <c r="Z1327" s="188" t="inlineStr">
        <is>
          <t>NONE</t>
        </is>
      </c>
      <c r="AA1327" s="188" t="inlineStr">
        <is>
          <t>NONE</t>
        </is>
      </c>
      <c r="AB1327" s="188" t="inlineStr">
        <is>
          <t>NONE</t>
        </is>
      </c>
      <c r="AC1327" s="188" t="n">
        <v>0</v>
      </c>
      <c r="AD1327" s="188" t="inlineStr"/>
    </row>
    <row r="1328">
      <c r="A1328" s="188" t="inlineStr">
        <is>
          <t>FIREHOL_THREAT</t>
        </is>
      </c>
      <c r="B1328" s="188" t="inlineStr">
        <is>
          <t>1c994f7ff000</t>
        </is>
      </c>
      <c r="C1328" s="188" t="inlineStr">
        <is>
          <t>DROP List CIDR: 1.14.254.146 | FireHOL L2 threat IP/CIDR | ASN: FireHOL-L2</t>
        </is>
      </c>
      <c r="D1328" s="188" t="n">
        <v>6</v>
      </c>
      <c r="E1328" s="188" t="inlineStr">
        <is>
          <t>MEDIUM</t>
        </is>
      </c>
      <c r="F1328" s="188" t="n">
        <v>2</v>
      </c>
      <c r="G1328" s="188" t="n">
        <v>2</v>
      </c>
      <c r="H1328" s="188" t="inlineStr">
        <is>
          <t>MEDIUM</t>
        </is>
      </c>
      <c r="I1328" s="188" t="n">
        <v>10</v>
      </c>
      <c r="J1328" s="188" t="inlineStr">
        <is>
          <t>NO</t>
        </is>
      </c>
      <c r="K1328" s="188" t="inlineStr">
        <is>
          <t>https://www.spamhaus.org/drop/</t>
        </is>
      </c>
      <c r="L1328" s="188" t="inlineStr">
        <is>
          <t>2026-02-27 20:47</t>
        </is>
      </c>
      <c r="M1328" s="188" t="inlineStr">
        <is>
          <t>Block CIDR</t>
        </is>
      </c>
      <c r="N1328" s="188" t="inlineStr">
        <is>
          <t>https://www.spamhaus.org/drop/</t>
        </is>
      </c>
      <c r="O1328" s="188" t="inlineStr">
        <is>
          <t>Block CIDR 1.14.254.146 at firewall</t>
        </is>
      </c>
      <c r="P1328" s="188" t="inlineStr">
        <is>
          <t>Firewall/Email</t>
        </is>
      </c>
      <c r="Q1328" s="188" t="inlineStr">
        <is>
          <t>P4</t>
        </is>
      </c>
      <c r="R1328" s="188" t="inlineStr">
        <is>
          <t>🔍 Investigate and apply appropriate controls</t>
        </is>
      </c>
      <c r="S1328" s="188" t="inlineStr">
        <is>
          <t>Spamhaus - CIDR range</t>
        </is>
      </c>
      <c r="T1328" s="188" t="n">
        <v>0</v>
      </c>
      <c r="U1328" s="188" t="n">
        <v>0</v>
      </c>
      <c r="V1328" s="188" t="inlineStr">
        <is>
          <t>T1566:Phishing | T1078:Valid Accounts</t>
        </is>
      </c>
      <c r="W1328" s="188" t="n">
        <v>1</v>
      </c>
      <c r="X1328" s="188" t="inlineStr">
        <is>
          <t>LOW (40%)</t>
        </is>
      </c>
      <c r="Y1328" s="188" t="inlineStr">
        <is>
          <t>NONE</t>
        </is>
      </c>
      <c r="Z1328" s="188" t="inlineStr">
        <is>
          <t>NONE</t>
        </is>
      </c>
      <c r="AA1328" s="188" t="inlineStr">
        <is>
          <t>NONE</t>
        </is>
      </c>
      <c r="AB1328" s="188" t="inlineStr">
        <is>
          <t>NONE</t>
        </is>
      </c>
      <c r="AC1328" s="188" t="n">
        <v>0</v>
      </c>
      <c r="AD1328" s="188" t="inlineStr"/>
    </row>
    <row r="1329">
      <c r="A1329" s="188" t="inlineStr">
        <is>
          <t>FIREHOL_THREAT</t>
        </is>
      </c>
      <c r="B1329" s="188" t="inlineStr">
        <is>
          <t>b2c07aa1d291</t>
        </is>
      </c>
      <c r="C1329" s="188" t="inlineStr">
        <is>
          <t>DROP List CIDR: 1.15.136.28 | FireHOL L2 threat IP/CIDR | ASN: FireHOL-L2</t>
        </is>
      </c>
      <c r="D1329" s="188" t="n">
        <v>6</v>
      </c>
      <c r="E1329" s="188" t="inlineStr">
        <is>
          <t>MEDIUM</t>
        </is>
      </c>
      <c r="F1329" s="188" t="n">
        <v>2</v>
      </c>
      <c r="G1329" s="188" t="n">
        <v>2</v>
      </c>
      <c r="H1329" s="188" t="inlineStr">
        <is>
          <t>MEDIUM</t>
        </is>
      </c>
      <c r="I1329" s="188" t="n">
        <v>10</v>
      </c>
      <c r="J1329" s="188" t="inlineStr">
        <is>
          <t>NO</t>
        </is>
      </c>
      <c r="K1329" s="188" t="inlineStr">
        <is>
          <t>https://www.spamhaus.org/drop/</t>
        </is>
      </c>
      <c r="L1329" s="188" t="inlineStr">
        <is>
          <t>2026-02-27 20:47</t>
        </is>
      </c>
      <c r="M1329" s="188" t="inlineStr">
        <is>
          <t>Block CIDR</t>
        </is>
      </c>
      <c r="N1329" s="188" t="inlineStr">
        <is>
          <t>https://www.spamhaus.org/drop/</t>
        </is>
      </c>
      <c r="O1329" s="188" t="inlineStr">
        <is>
          <t>Block CIDR 1.15.136.28 at firewall</t>
        </is>
      </c>
      <c r="P1329" s="188" t="inlineStr">
        <is>
          <t>Firewall/Email</t>
        </is>
      </c>
      <c r="Q1329" s="188" t="inlineStr">
        <is>
          <t>P4</t>
        </is>
      </c>
      <c r="R1329" s="188" t="inlineStr">
        <is>
          <t>🔍 Investigate and apply appropriate controls</t>
        </is>
      </c>
      <c r="S1329" s="188" t="inlineStr">
        <is>
          <t>Spamhaus - CIDR range</t>
        </is>
      </c>
      <c r="T1329" s="188" t="n">
        <v>0</v>
      </c>
      <c r="U1329" s="188" t="n">
        <v>0</v>
      </c>
      <c r="V1329" s="188" t="inlineStr">
        <is>
          <t>T1566:Phishing | T1078:Valid Accounts</t>
        </is>
      </c>
      <c r="W1329" s="188" t="n">
        <v>1</v>
      </c>
      <c r="X1329" s="188" t="inlineStr">
        <is>
          <t>LOW (40%)</t>
        </is>
      </c>
      <c r="Y1329" s="188" t="inlineStr">
        <is>
          <t>NONE</t>
        </is>
      </c>
      <c r="Z1329" s="188" t="inlineStr">
        <is>
          <t>NONE</t>
        </is>
      </c>
      <c r="AA1329" s="188" t="inlineStr">
        <is>
          <t>NONE</t>
        </is>
      </c>
      <c r="AB1329" s="188" t="inlineStr">
        <is>
          <t>NONE</t>
        </is>
      </c>
      <c r="AC1329" s="188" t="n">
        <v>0</v>
      </c>
      <c r="AD1329" s="188" t="inlineStr"/>
    </row>
    <row r="1330">
      <c r="A1330" s="188" t="inlineStr">
        <is>
          <t>FIREHOL_THREAT</t>
        </is>
      </c>
      <c r="B1330" s="188" t="inlineStr">
        <is>
          <t>996b0d132082</t>
        </is>
      </c>
      <c r="C1330" s="188" t="inlineStr">
        <is>
          <t>DROP List CIDR: 1.20.91.61 | FireHOL L2 threat IP/CIDR | ASN: FireHOL-L2</t>
        </is>
      </c>
      <c r="D1330" s="188" t="n">
        <v>6</v>
      </c>
      <c r="E1330" s="188" t="inlineStr">
        <is>
          <t>MEDIUM</t>
        </is>
      </c>
      <c r="F1330" s="188" t="n">
        <v>2</v>
      </c>
      <c r="G1330" s="188" t="n">
        <v>2</v>
      </c>
      <c r="H1330" s="188" t="inlineStr">
        <is>
          <t>MEDIUM</t>
        </is>
      </c>
      <c r="I1330" s="188" t="n">
        <v>10</v>
      </c>
      <c r="J1330" s="188" t="inlineStr">
        <is>
          <t>NO</t>
        </is>
      </c>
      <c r="K1330" s="188" t="inlineStr">
        <is>
          <t>https://www.spamhaus.org/drop/</t>
        </is>
      </c>
      <c r="L1330" s="188" t="inlineStr">
        <is>
          <t>2026-02-27 20:47</t>
        </is>
      </c>
      <c r="M1330" s="188" t="inlineStr">
        <is>
          <t>Block CIDR</t>
        </is>
      </c>
      <c r="N1330" s="188" t="inlineStr">
        <is>
          <t>https://www.spamhaus.org/drop/</t>
        </is>
      </c>
      <c r="O1330" s="188" t="inlineStr">
        <is>
          <t>Block CIDR 1.20.91.61 at firewall</t>
        </is>
      </c>
      <c r="P1330" s="188" t="inlineStr">
        <is>
          <t>Firewall/Email</t>
        </is>
      </c>
      <c r="Q1330" s="188" t="inlineStr">
        <is>
          <t>P4</t>
        </is>
      </c>
      <c r="R1330" s="188" t="inlineStr">
        <is>
          <t>🔍 Investigate and apply appropriate controls</t>
        </is>
      </c>
      <c r="S1330" s="188" t="inlineStr">
        <is>
          <t>Spamhaus - CIDR range</t>
        </is>
      </c>
      <c r="T1330" s="188" t="n">
        <v>0</v>
      </c>
      <c r="U1330" s="188" t="n">
        <v>0</v>
      </c>
      <c r="V1330" s="188" t="inlineStr">
        <is>
          <t>T1566:Phishing | T1078:Valid Accounts</t>
        </is>
      </c>
      <c r="W1330" s="188" t="n">
        <v>1</v>
      </c>
      <c r="X1330" s="188" t="inlineStr">
        <is>
          <t>LOW (40%)</t>
        </is>
      </c>
      <c r="Y1330" s="188" t="inlineStr">
        <is>
          <t>NONE</t>
        </is>
      </c>
      <c r="Z1330" s="188" t="inlineStr">
        <is>
          <t>NONE</t>
        </is>
      </c>
      <c r="AA1330" s="188" t="inlineStr">
        <is>
          <t>NONE</t>
        </is>
      </c>
      <c r="AB1330" s="188" t="inlineStr">
        <is>
          <t>NONE</t>
        </is>
      </c>
      <c r="AC1330" s="188" t="n">
        <v>0</v>
      </c>
      <c r="AD1330" s="188" t="inlineStr"/>
    </row>
    <row r="1331">
      <c r="A1331" s="188" t="inlineStr">
        <is>
          <t>FIREHOL_THREAT</t>
        </is>
      </c>
      <c r="B1331" s="188" t="inlineStr">
        <is>
          <t>d28316cdbee2</t>
        </is>
      </c>
      <c r="C1331" s="188" t="inlineStr">
        <is>
          <t>DROP List CIDR: 1.24.210.27 | FireHOL L2 threat IP/CIDR | ASN: FireHOL-L2</t>
        </is>
      </c>
      <c r="D1331" s="188" t="n">
        <v>6</v>
      </c>
      <c r="E1331" s="188" t="inlineStr">
        <is>
          <t>MEDIUM</t>
        </is>
      </c>
      <c r="F1331" s="188" t="n">
        <v>2</v>
      </c>
      <c r="G1331" s="188" t="n">
        <v>2</v>
      </c>
      <c r="H1331" s="188" t="inlineStr">
        <is>
          <t>MEDIUM</t>
        </is>
      </c>
      <c r="I1331" s="188" t="n">
        <v>10</v>
      </c>
      <c r="J1331" s="188" t="inlineStr">
        <is>
          <t>NO</t>
        </is>
      </c>
      <c r="K1331" s="188" t="inlineStr">
        <is>
          <t>https://www.spamhaus.org/drop/</t>
        </is>
      </c>
      <c r="L1331" s="188" t="inlineStr">
        <is>
          <t>2026-02-27 20:47</t>
        </is>
      </c>
      <c r="M1331" s="188" t="inlineStr">
        <is>
          <t>Block CIDR</t>
        </is>
      </c>
      <c r="N1331" s="188" t="inlineStr">
        <is>
          <t>https://www.spamhaus.org/drop/</t>
        </is>
      </c>
      <c r="O1331" s="188" t="inlineStr">
        <is>
          <t>Block CIDR 1.24.210.27 at firewall</t>
        </is>
      </c>
      <c r="P1331" s="188" t="inlineStr">
        <is>
          <t>Firewall/Email</t>
        </is>
      </c>
      <c r="Q1331" s="188" t="inlineStr">
        <is>
          <t>P4</t>
        </is>
      </c>
      <c r="R1331" s="188" t="inlineStr">
        <is>
          <t>🔍 Investigate and apply appropriate controls</t>
        </is>
      </c>
      <c r="S1331" s="188" t="inlineStr">
        <is>
          <t>Spamhaus - CIDR range</t>
        </is>
      </c>
      <c r="T1331" s="188" t="n">
        <v>0</v>
      </c>
      <c r="U1331" s="188" t="n">
        <v>0</v>
      </c>
      <c r="V1331" s="188" t="inlineStr">
        <is>
          <t>T1566:Phishing | T1078:Valid Accounts</t>
        </is>
      </c>
      <c r="W1331" s="188" t="n">
        <v>1</v>
      </c>
      <c r="X1331" s="188" t="inlineStr">
        <is>
          <t>LOW (40%)</t>
        </is>
      </c>
      <c r="Y1331" s="188" t="inlineStr">
        <is>
          <t>NONE</t>
        </is>
      </c>
      <c r="Z1331" s="188" t="inlineStr">
        <is>
          <t>NONE</t>
        </is>
      </c>
      <c r="AA1331" s="188" t="inlineStr">
        <is>
          <t>NONE</t>
        </is>
      </c>
      <c r="AB1331" s="188" t="inlineStr">
        <is>
          <t>NONE</t>
        </is>
      </c>
      <c r="AC1331" s="188" t="n">
        <v>0</v>
      </c>
      <c r="AD1331" s="188" t="inlineStr"/>
    </row>
    <row r="1332">
      <c r="A1332" s="188" t="inlineStr">
        <is>
          <t>FIREHOL_THREAT</t>
        </is>
      </c>
      <c r="B1332" s="188" t="inlineStr">
        <is>
          <t>286e31c4d50b</t>
        </is>
      </c>
      <c r="C1332" s="188" t="inlineStr">
        <is>
          <t>DROP List CIDR: 1.30.20.98 | FireHOL L2 threat IP/CIDR | ASN: FireHOL-L2</t>
        </is>
      </c>
      <c r="D1332" s="188" t="n">
        <v>6</v>
      </c>
      <c r="E1332" s="188" t="inlineStr">
        <is>
          <t>MEDIUM</t>
        </is>
      </c>
      <c r="F1332" s="188" t="n">
        <v>2</v>
      </c>
      <c r="G1332" s="188" t="n">
        <v>2</v>
      </c>
      <c r="H1332" s="188" t="inlineStr">
        <is>
          <t>MEDIUM</t>
        </is>
      </c>
      <c r="I1332" s="188" t="n">
        <v>10</v>
      </c>
      <c r="J1332" s="188" t="inlineStr">
        <is>
          <t>NO</t>
        </is>
      </c>
      <c r="K1332" s="188" t="inlineStr">
        <is>
          <t>https://www.spamhaus.org/drop/</t>
        </is>
      </c>
      <c r="L1332" s="188" t="inlineStr">
        <is>
          <t>2026-02-27 20:47</t>
        </is>
      </c>
      <c r="M1332" s="188" t="inlineStr">
        <is>
          <t>Block CIDR</t>
        </is>
      </c>
      <c r="N1332" s="188" t="inlineStr">
        <is>
          <t>https://www.spamhaus.org/drop/</t>
        </is>
      </c>
      <c r="O1332" s="188" t="inlineStr">
        <is>
          <t>Block CIDR 1.30.20.98 at firewall</t>
        </is>
      </c>
      <c r="P1332" s="188" t="inlineStr">
        <is>
          <t>Firewall/Email</t>
        </is>
      </c>
      <c r="Q1332" s="188" t="inlineStr">
        <is>
          <t>P4</t>
        </is>
      </c>
      <c r="R1332" s="188" t="inlineStr">
        <is>
          <t>🔍 Investigate and apply appropriate controls</t>
        </is>
      </c>
      <c r="S1332" s="188" t="inlineStr">
        <is>
          <t>Spamhaus - CIDR range</t>
        </is>
      </c>
      <c r="T1332" s="188" t="n">
        <v>0</v>
      </c>
      <c r="U1332" s="188" t="n">
        <v>0</v>
      </c>
      <c r="V1332" s="188" t="inlineStr">
        <is>
          <t>T1566:Phishing | T1078:Valid Accounts</t>
        </is>
      </c>
      <c r="W1332" s="188" t="n">
        <v>1</v>
      </c>
      <c r="X1332" s="188" t="inlineStr">
        <is>
          <t>LOW (40%)</t>
        </is>
      </c>
      <c r="Y1332" s="188" t="inlineStr">
        <is>
          <t>NONE</t>
        </is>
      </c>
      <c r="Z1332" s="188" t="inlineStr">
        <is>
          <t>NONE</t>
        </is>
      </c>
      <c r="AA1332" s="188" t="inlineStr">
        <is>
          <t>NONE</t>
        </is>
      </c>
      <c r="AB1332" s="188" t="inlineStr">
        <is>
          <t>NONE</t>
        </is>
      </c>
      <c r="AC1332" s="188" t="n">
        <v>0</v>
      </c>
      <c r="AD1332" s="188" t="inlineStr"/>
    </row>
    <row r="1333">
      <c r="A1333" s="188" t="inlineStr">
        <is>
          <t>FIREHOL_THREAT</t>
        </is>
      </c>
      <c r="B1333" s="188" t="inlineStr">
        <is>
          <t>a6c72b943d06</t>
        </is>
      </c>
      <c r="C1333" s="188" t="inlineStr">
        <is>
          <t>DROP List CIDR: 1.30.20.238 | FireHOL L2 threat IP/CIDR | ASN: FireHOL-L2</t>
        </is>
      </c>
      <c r="D1333" s="188" t="n">
        <v>6</v>
      </c>
      <c r="E1333" s="188" t="inlineStr">
        <is>
          <t>MEDIUM</t>
        </is>
      </c>
      <c r="F1333" s="188" t="n">
        <v>2</v>
      </c>
      <c r="G1333" s="188" t="n">
        <v>2</v>
      </c>
      <c r="H1333" s="188" t="inlineStr">
        <is>
          <t>MEDIUM</t>
        </is>
      </c>
      <c r="I1333" s="188" t="n">
        <v>10</v>
      </c>
      <c r="J1333" s="188" t="inlineStr">
        <is>
          <t>NO</t>
        </is>
      </c>
      <c r="K1333" s="188" t="inlineStr">
        <is>
          <t>https://www.spamhaus.org/drop/</t>
        </is>
      </c>
      <c r="L1333" s="188" t="inlineStr">
        <is>
          <t>2026-02-27 20:47</t>
        </is>
      </c>
      <c r="M1333" s="188" t="inlineStr">
        <is>
          <t>Block CIDR</t>
        </is>
      </c>
      <c r="N1333" s="188" t="inlineStr">
        <is>
          <t>https://www.spamhaus.org/drop/</t>
        </is>
      </c>
      <c r="O1333" s="188" t="inlineStr">
        <is>
          <t>Block CIDR 1.30.20.238 at firewall</t>
        </is>
      </c>
      <c r="P1333" s="188" t="inlineStr">
        <is>
          <t>Firewall/Email</t>
        </is>
      </c>
      <c r="Q1333" s="188" t="inlineStr">
        <is>
          <t>P4</t>
        </is>
      </c>
      <c r="R1333" s="188" t="inlineStr">
        <is>
          <t>🔍 Investigate and apply appropriate controls</t>
        </is>
      </c>
      <c r="S1333" s="188" t="inlineStr">
        <is>
          <t>Spamhaus - CIDR range</t>
        </is>
      </c>
      <c r="T1333" s="188" t="n">
        <v>0</v>
      </c>
      <c r="U1333" s="188" t="n">
        <v>0</v>
      </c>
      <c r="V1333" s="188" t="inlineStr">
        <is>
          <t>T1566:Phishing | T1078:Valid Accounts</t>
        </is>
      </c>
      <c r="W1333" s="188" t="n">
        <v>1</v>
      </c>
      <c r="X1333" s="188" t="inlineStr">
        <is>
          <t>LOW (40%)</t>
        </is>
      </c>
      <c r="Y1333" s="188" t="inlineStr">
        <is>
          <t>NONE</t>
        </is>
      </c>
      <c r="Z1333" s="188" t="inlineStr">
        <is>
          <t>NONE</t>
        </is>
      </c>
      <c r="AA1333" s="188" t="inlineStr">
        <is>
          <t>NONE</t>
        </is>
      </c>
      <c r="AB1333" s="188" t="inlineStr">
        <is>
          <t>NONE</t>
        </is>
      </c>
      <c r="AC1333" s="188" t="n">
        <v>0</v>
      </c>
      <c r="AD1333" s="188" t="inlineStr"/>
    </row>
    <row r="1334">
      <c r="A1334" s="188" t="inlineStr">
        <is>
          <t>FIREHOL_THREAT</t>
        </is>
      </c>
      <c r="B1334" s="188" t="inlineStr">
        <is>
          <t>4e6db5098243</t>
        </is>
      </c>
      <c r="C1334" s="188" t="inlineStr">
        <is>
          <t>DROP List CIDR: 1.30.199.218 | FireHOL L2 threat IP/CIDR | ASN: FireHOL-L2</t>
        </is>
      </c>
      <c r="D1334" s="188" t="n">
        <v>6</v>
      </c>
      <c r="E1334" s="188" t="inlineStr">
        <is>
          <t>MEDIUM</t>
        </is>
      </c>
      <c r="F1334" s="188" t="n">
        <v>2</v>
      </c>
      <c r="G1334" s="188" t="n">
        <v>2</v>
      </c>
      <c r="H1334" s="188" t="inlineStr">
        <is>
          <t>MEDIUM</t>
        </is>
      </c>
      <c r="I1334" s="188" t="n">
        <v>10</v>
      </c>
      <c r="J1334" s="188" t="inlineStr">
        <is>
          <t>NO</t>
        </is>
      </c>
      <c r="K1334" s="188" t="inlineStr">
        <is>
          <t>https://www.spamhaus.org/drop/</t>
        </is>
      </c>
      <c r="L1334" s="188" t="inlineStr">
        <is>
          <t>2026-02-27 20:47</t>
        </is>
      </c>
      <c r="M1334" s="188" t="inlineStr">
        <is>
          <t>Block CIDR</t>
        </is>
      </c>
      <c r="N1334" s="188" t="inlineStr">
        <is>
          <t>https://www.spamhaus.org/drop/</t>
        </is>
      </c>
      <c r="O1334" s="188" t="inlineStr">
        <is>
          <t>Block CIDR 1.30.199.218 at firewall</t>
        </is>
      </c>
      <c r="P1334" s="188" t="inlineStr">
        <is>
          <t>Firewall/Email</t>
        </is>
      </c>
      <c r="Q1334" s="188" t="inlineStr">
        <is>
          <t>P4</t>
        </is>
      </c>
      <c r="R1334" s="188" t="inlineStr">
        <is>
          <t>🔍 Investigate and apply appropriate controls</t>
        </is>
      </c>
      <c r="S1334" s="188" t="inlineStr">
        <is>
          <t>Spamhaus - CIDR range</t>
        </is>
      </c>
      <c r="T1334" s="188" t="n">
        <v>0</v>
      </c>
      <c r="U1334" s="188" t="n">
        <v>0</v>
      </c>
      <c r="V1334" s="188" t="inlineStr">
        <is>
          <t>T1566:Phishing | T1078:Valid Accounts</t>
        </is>
      </c>
      <c r="W1334" s="188" t="n">
        <v>1</v>
      </c>
      <c r="X1334" s="188" t="inlineStr">
        <is>
          <t>LOW (40%)</t>
        </is>
      </c>
      <c r="Y1334" s="188" t="inlineStr">
        <is>
          <t>NONE</t>
        </is>
      </c>
      <c r="Z1334" s="188" t="inlineStr">
        <is>
          <t>NONE</t>
        </is>
      </c>
      <c r="AA1334" s="188" t="inlineStr">
        <is>
          <t>NONE</t>
        </is>
      </c>
      <c r="AB1334" s="188" t="inlineStr">
        <is>
          <t>NONE</t>
        </is>
      </c>
      <c r="AC1334" s="188" t="n">
        <v>0</v>
      </c>
      <c r="AD1334" s="188" t="inlineStr"/>
    </row>
    <row r="1335">
      <c r="A1335" s="188" t="inlineStr">
        <is>
          <t>FIREHOL_THREAT</t>
        </is>
      </c>
      <c r="B1335" s="188" t="inlineStr">
        <is>
          <t>12bfaf24ccb6</t>
        </is>
      </c>
      <c r="C1335" s="188" t="inlineStr">
        <is>
          <t>DROP List CIDR: 1.31.80.222 | FireHOL L2 threat IP/CIDR | ASN: FireHOL-L2</t>
        </is>
      </c>
      <c r="D1335" s="188" t="n">
        <v>6</v>
      </c>
      <c r="E1335" s="188" t="inlineStr">
        <is>
          <t>MEDIUM</t>
        </is>
      </c>
      <c r="F1335" s="188" t="n">
        <v>2</v>
      </c>
      <c r="G1335" s="188" t="n">
        <v>2</v>
      </c>
      <c r="H1335" s="188" t="inlineStr">
        <is>
          <t>MEDIUM</t>
        </is>
      </c>
      <c r="I1335" s="188" t="n">
        <v>10</v>
      </c>
      <c r="J1335" s="188" t="inlineStr">
        <is>
          <t>NO</t>
        </is>
      </c>
      <c r="K1335" s="188" t="inlineStr">
        <is>
          <t>https://www.spamhaus.org/drop/</t>
        </is>
      </c>
      <c r="L1335" s="188" t="inlineStr">
        <is>
          <t>2026-02-27 20:47</t>
        </is>
      </c>
      <c r="M1335" s="188" t="inlineStr">
        <is>
          <t>Block CIDR</t>
        </is>
      </c>
      <c r="N1335" s="188" t="inlineStr">
        <is>
          <t>https://www.spamhaus.org/drop/</t>
        </is>
      </c>
      <c r="O1335" s="188" t="inlineStr">
        <is>
          <t>Block CIDR 1.31.80.222 at firewall</t>
        </is>
      </c>
      <c r="P1335" s="188" t="inlineStr">
        <is>
          <t>Firewall/Email</t>
        </is>
      </c>
      <c r="Q1335" s="188" t="inlineStr">
        <is>
          <t>P4</t>
        </is>
      </c>
      <c r="R1335" s="188" t="inlineStr">
        <is>
          <t>🔍 Investigate and apply appropriate controls</t>
        </is>
      </c>
      <c r="S1335" s="188" t="inlineStr">
        <is>
          <t>Spamhaus - CIDR range</t>
        </is>
      </c>
      <c r="T1335" s="188" t="n">
        <v>0</v>
      </c>
      <c r="U1335" s="188" t="n">
        <v>0</v>
      </c>
      <c r="V1335" s="188" t="inlineStr">
        <is>
          <t>T1566:Phishing | T1078:Valid Accounts</t>
        </is>
      </c>
      <c r="W1335" s="188" t="n">
        <v>1</v>
      </c>
      <c r="X1335" s="188" t="inlineStr">
        <is>
          <t>LOW (40%)</t>
        </is>
      </c>
      <c r="Y1335" s="188" t="inlineStr">
        <is>
          <t>NONE</t>
        </is>
      </c>
      <c r="Z1335" s="188" t="inlineStr">
        <is>
          <t>NONE</t>
        </is>
      </c>
      <c r="AA1335" s="188" t="inlineStr">
        <is>
          <t>NONE</t>
        </is>
      </c>
      <c r="AB1335" s="188" t="inlineStr">
        <is>
          <t>NONE</t>
        </is>
      </c>
      <c r="AC1335" s="188" t="n">
        <v>0</v>
      </c>
      <c r="AD1335" s="188" t="inlineStr"/>
    </row>
    <row r="1336">
      <c r="A1336" s="188" t="inlineStr">
        <is>
          <t>FIREHOL_THREAT</t>
        </is>
      </c>
      <c r="B1336" s="188" t="inlineStr">
        <is>
          <t>41c623fe7993</t>
        </is>
      </c>
      <c r="C1336" s="188" t="inlineStr">
        <is>
          <t>DROP List CIDR: 1.34.27.213 | FireHOL L2 threat IP/CIDR | ASN: FireHOL-L2</t>
        </is>
      </c>
      <c r="D1336" s="188" t="n">
        <v>6</v>
      </c>
      <c r="E1336" s="188" t="inlineStr">
        <is>
          <t>MEDIUM</t>
        </is>
      </c>
      <c r="F1336" s="188" t="n">
        <v>2</v>
      </c>
      <c r="G1336" s="188" t="n">
        <v>2</v>
      </c>
      <c r="H1336" s="188" t="inlineStr">
        <is>
          <t>MEDIUM</t>
        </is>
      </c>
      <c r="I1336" s="188" t="n">
        <v>10</v>
      </c>
      <c r="J1336" s="188" t="inlineStr">
        <is>
          <t>NO</t>
        </is>
      </c>
      <c r="K1336" s="188" t="inlineStr">
        <is>
          <t>https://www.spamhaus.org/drop/</t>
        </is>
      </c>
      <c r="L1336" s="188" t="inlineStr">
        <is>
          <t>2026-02-27 20:47</t>
        </is>
      </c>
      <c r="M1336" s="188" t="inlineStr">
        <is>
          <t>Block CIDR</t>
        </is>
      </c>
      <c r="N1336" s="188" t="inlineStr">
        <is>
          <t>https://www.spamhaus.org/drop/</t>
        </is>
      </c>
      <c r="O1336" s="188" t="inlineStr">
        <is>
          <t>Block CIDR 1.34.27.213 at firewall</t>
        </is>
      </c>
      <c r="P1336" s="188" t="inlineStr">
        <is>
          <t>Firewall/Email</t>
        </is>
      </c>
      <c r="Q1336" s="188" t="inlineStr">
        <is>
          <t>P4</t>
        </is>
      </c>
      <c r="R1336" s="188" t="inlineStr">
        <is>
          <t>🔍 Investigate and apply appropriate controls</t>
        </is>
      </c>
      <c r="S1336" s="188" t="inlineStr">
        <is>
          <t>Spamhaus - CIDR range</t>
        </is>
      </c>
      <c r="T1336" s="188" t="n">
        <v>0</v>
      </c>
      <c r="U1336" s="188" t="n">
        <v>0</v>
      </c>
      <c r="V1336" s="188" t="inlineStr">
        <is>
          <t>T1566:Phishing | T1078:Valid Accounts</t>
        </is>
      </c>
      <c r="W1336" s="188" t="n">
        <v>1</v>
      </c>
      <c r="X1336" s="188" t="inlineStr">
        <is>
          <t>LOW (40%)</t>
        </is>
      </c>
      <c r="Y1336" s="188" t="inlineStr">
        <is>
          <t>NONE</t>
        </is>
      </c>
      <c r="Z1336" s="188" t="inlineStr">
        <is>
          <t>NONE</t>
        </is>
      </c>
      <c r="AA1336" s="188" t="inlineStr">
        <is>
          <t>NONE</t>
        </is>
      </c>
      <c r="AB1336" s="188" t="inlineStr">
        <is>
          <t>NONE</t>
        </is>
      </c>
      <c r="AC1336" s="188" t="n">
        <v>0</v>
      </c>
      <c r="AD1336" s="188" t="inlineStr"/>
    </row>
    <row r="1337">
      <c r="A1337" s="188" t="inlineStr">
        <is>
          <t>FIREHOL_THREAT</t>
        </is>
      </c>
      <c r="B1337" s="188" t="inlineStr">
        <is>
          <t>74a3da35f7f1</t>
        </is>
      </c>
      <c r="C1337" s="188" t="inlineStr">
        <is>
          <t>DROP List CIDR: 1.34.219.246 | FireHOL L2 threat IP/CIDR | ASN: FireHOL-L2</t>
        </is>
      </c>
      <c r="D1337" s="188" t="n">
        <v>6</v>
      </c>
      <c r="E1337" s="188" t="inlineStr">
        <is>
          <t>MEDIUM</t>
        </is>
      </c>
      <c r="F1337" s="188" t="n">
        <v>2</v>
      </c>
      <c r="G1337" s="188" t="n">
        <v>2</v>
      </c>
      <c r="H1337" s="188" t="inlineStr">
        <is>
          <t>MEDIUM</t>
        </is>
      </c>
      <c r="I1337" s="188" t="n">
        <v>10</v>
      </c>
      <c r="J1337" s="188" t="inlineStr">
        <is>
          <t>NO</t>
        </is>
      </c>
      <c r="K1337" s="188" t="inlineStr">
        <is>
          <t>https://www.spamhaus.org/drop/</t>
        </is>
      </c>
      <c r="L1337" s="188" t="inlineStr">
        <is>
          <t>2026-02-27 20:47</t>
        </is>
      </c>
      <c r="M1337" s="188" t="inlineStr">
        <is>
          <t>Block CIDR</t>
        </is>
      </c>
      <c r="N1337" s="188" t="inlineStr">
        <is>
          <t>https://www.spamhaus.org/drop/</t>
        </is>
      </c>
      <c r="O1337" s="188" t="inlineStr">
        <is>
          <t>Block CIDR 1.34.219.246 at firewall</t>
        </is>
      </c>
      <c r="P1337" s="188" t="inlineStr">
        <is>
          <t>Firewall/Email</t>
        </is>
      </c>
      <c r="Q1337" s="188" t="inlineStr">
        <is>
          <t>P4</t>
        </is>
      </c>
      <c r="R1337" s="188" t="inlineStr">
        <is>
          <t>🔍 Investigate and apply appropriate controls</t>
        </is>
      </c>
      <c r="S1337" s="188" t="inlineStr">
        <is>
          <t>Spamhaus - CIDR range</t>
        </is>
      </c>
      <c r="T1337" s="188" t="n">
        <v>0</v>
      </c>
      <c r="U1337" s="188" t="n">
        <v>0</v>
      </c>
      <c r="V1337" s="188" t="inlineStr">
        <is>
          <t>T1566:Phishing | T1078:Valid Accounts</t>
        </is>
      </c>
      <c r="W1337" s="188" t="n">
        <v>1</v>
      </c>
      <c r="X1337" s="188" t="inlineStr">
        <is>
          <t>LOW (40%)</t>
        </is>
      </c>
      <c r="Y1337" s="188" t="inlineStr">
        <is>
          <t>NONE</t>
        </is>
      </c>
      <c r="Z1337" s="188" t="inlineStr">
        <is>
          <t>NONE</t>
        </is>
      </c>
      <c r="AA1337" s="188" t="inlineStr">
        <is>
          <t>NONE</t>
        </is>
      </c>
      <c r="AB1337" s="188" t="inlineStr">
        <is>
          <t>NONE</t>
        </is>
      </c>
      <c r="AC1337" s="188" t="n">
        <v>0</v>
      </c>
      <c r="AD1337" s="188" t="inlineStr"/>
    </row>
    <row r="1338">
      <c r="A1338" s="188" t="inlineStr">
        <is>
          <t>FIREHOL_THREAT</t>
        </is>
      </c>
      <c r="B1338" s="188" t="inlineStr">
        <is>
          <t>fccf04dab0d5</t>
        </is>
      </c>
      <c r="C1338" s="188" t="inlineStr">
        <is>
          <t>DROP List CIDR: 1.40.137.105 | FireHOL L2 threat IP/CIDR | ASN: FireHOL-L2</t>
        </is>
      </c>
      <c r="D1338" s="188" t="n">
        <v>6</v>
      </c>
      <c r="E1338" s="188" t="inlineStr">
        <is>
          <t>MEDIUM</t>
        </is>
      </c>
      <c r="F1338" s="188" t="n">
        <v>2</v>
      </c>
      <c r="G1338" s="188" t="n">
        <v>2</v>
      </c>
      <c r="H1338" s="188" t="inlineStr">
        <is>
          <t>MEDIUM</t>
        </is>
      </c>
      <c r="I1338" s="188" t="n">
        <v>10</v>
      </c>
      <c r="J1338" s="188" t="inlineStr">
        <is>
          <t>NO</t>
        </is>
      </c>
      <c r="K1338" s="188" t="inlineStr">
        <is>
          <t>https://www.spamhaus.org/drop/</t>
        </is>
      </c>
      <c r="L1338" s="188" t="inlineStr">
        <is>
          <t>2026-02-27 20:47</t>
        </is>
      </c>
      <c r="M1338" s="188" t="inlineStr">
        <is>
          <t>Block CIDR</t>
        </is>
      </c>
      <c r="N1338" s="188" t="inlineStr">
        <is>
          <t>https://www.spamhaus.org/drop/</t>
        </is>
      </c>
      <c r="O1338" s="188" t="inlineStr">
        <is>
          <t>Block CIDR 1.40.137.105 at firewall</t>
        </is>
      </c>
      <c r="P1338" s="188" t="inlineStr">
        <is>
          <t>Firewall/Email</t>
        </is>
      </c>
      <c r="Q1338" s="188" t="inlineStr">
        <is>
          <t>P4</t>
        </is>
      </c>
      <c r="R1338" s="188" t="inlineStr">
        <is>
          <t>🔍 Investigate and apply appropriate controls</t>
        </is>
      </c>
      <c r="S1338" s="188" t="inlineStr">
        <is>
          <t>Spamhaus - CIDR range</t>
        </is>
      </c>
      <c r="T1338" s="188" t="n">
        <v>0</v>
      </c>
      <c r="U1338" s="188" t="n">
        <v>0</v>
      </c>
      <c r="V1338" s="188" t="inlineStr">
        <is>
          <t>T1566:Phishing | T1078:Valid Accounts</t>
        </is>
      </c>
      <c r="W1338" s="188" t="n">
        <v>1</v>
      </c>
      <c r="X1338" s="188" t="inlineStr">
        <is>
          <t>LOW (40%)</t>
        </is>
      </c>
      <c r="Y1338" s="188" t="inlineStr">
        <is>
          <t>NONE</t>
        </is>
      </c>
      <c r="Z1338" s="188" t="inlineStr">
        <is>
          <t>NONE</t>
        </is>
      </c>
      <c r="AA1338" s="188" t="inlineStr">
        <is>
          <t>NONE</t>
        </is>
      </c>
      <c r="AB1338" s="188" t="inlineStr">
        <is>
          <t>NONE</t>
        </is>
      </c>
      <c r="AC1338" s="188" t="n">
        <v>0</v>
      </c>
      <c r="AD1338" s="188" t="inlineStr"/>
    </row>
    <row r="1339">
      <c r="A1339" s="188" t="inlineStr">
        <is>
          <t>FIREHOL_THREAT</t>
        </is>
      </c>
      <c r="B1339" s="188" t="inlineStr">
        <is>
          <t>8dc6aeadd95a</t>
        </is>
      </c>
      <c r="C1339" s="188" t="inlineStr">
        <is>
          <t>DROP List CIDR: 1.55.33.86 | FireHOL L2 threat IP/CIDR | ASN: FireHOL-L2</t>
        </is>
      </c>
      <c r="D1339" s="188" t="n">
        <v>6</v>
      </c>
      <c r="E1339" s="188" t="inlineStr">
        <is>
          <t>MEDIUM</t>
        </is>
      </c>
      <c r="F1339" s="188" t="n">
        <v>2</v>
      </c>
      <c r="G1339" s="188" t="n">
        <v>2</v>
      </c>
      <c r="H1339" s="188" t="inlineStr">
        <is>
          <t>MEDIUM</t>
        </is>
      </c>
      <c r="I1339" s="188" t="n">
        <v>10</v>
      </c>
      <c r="J1339" s="188" t="inlineStr">
        <is>
          <t>NO</t>
        </is>
      </c>
      <c r="K1339" s="188" t="inlineStr">
        <is>
          <t>https://www.spamhaus.org/drop/</t>
        </is>
      </c>
      <c r="L1339" s="188" t="inlineStr">
        <is>
          <t>2026-02-27 20:47</t>
        </is>
      </c>
      <c r="M1339" s="188" t="inlineStr">
        <is>
          <t>Block CIDR</t>
        </is>
      </c>
      <c r="N1339" s="188" t="inlineStr">
        <is>
          <t>https://www.spamhaus.org/drop/</t>
        </is>
      </c>
      <c r="O1339" s="188" t="inlineStr">
        <is>
          <t>Block CIDR 1.55.33.86 at firewall</t>
        </is>
      </c>
      <c r="P1339" s="188" t="inlineStr">
        <is>
          <t>Firewall/Email</t>
        </is>
      </c>
      <c r="Q1339" s="188" t="inlineStr">
        <is>
          <t>P4</t>
        </is>
      </c>
      <c r="R1339" s="188" t="inlineStr">
        <is>
          <t>🔍 Investigate and apply appropriate controls</t>
        </is>
      </c>
      <c r="S1339" s="188" t="inlineStr">
        <is>
          <t>Spamhaus - CIDR range</t>
        </is>
      </c>
      <c r="T1339" s="188" t="n">
        <v>0</v>
      </c>
      <c r="U1339" s="188" t="n">
        <v>0</v>
      </c>
      <c r="V1339" s="188" t="inlineStr">
        <is>
          <t>T1566:Phishing | T1078:Valid Accounts</t>
        </is>
      </c>
      <c r="W1339" s="188" t="n">
        <v>1</v>
      </c>
      <c r="X1339" s="188" t="inlineStr">
        <is>
          <t>LOW (40%)</t>
        </is>
      </c>
      <c r="Y1339" s="188" t="inlineStr">
        <is>
          <t>NONE</t>
        </is>
      </c>
      <c r="Z1339" s="188" t="inlineStr">
        <is>
          <t>NONE</t>
        </is>
      </c>
      <c r="AA1339" s="188" t="inlineStr">
        <is>
          <t>NONE</t>
        </is>
      </c>
      <c r="AB1339" s="188" t="inlineStr">
        <is>
          <t>NONE</t>
        </is>
      </c>
      <c r="AC1339" s="188" t="n">
        <v>0</v>
      </c>
      <c r="AD1339" s="188" t="inlineStr"/>
    </row>
    <row r="1340">
      <c r="A1340" s="188" t="inlineStr">
        <is>
          <t>FIREHOL_THREAT</t>
        </is>
      </c>
      <c r="B1340" s="188" t="inlineStr">
        <is>
          <t>d4ecff0c645a</t>
        </is>
      </c>
      <c r="C1340" s="188" t="inlineStr">
        <is>
          <t>DROP List CIDR: 1.55.112.41 | FireHOL L2 threat IP/CIDR | ASN: FireHOL-L2</t>
        </is>
      </c>
      <c r="D1340" s="188" t="n">
        <v>6</v>
      </c>
      <c r="E1340" s="188" t="inlineStr">
        <is>
          <t>MEDIUM</t>
        </is>
      </c>
      <c r="F1340" s="188" t="n">
        <v>2</v>
      </c>
      <c r="G1340" s="188" t="n">
        <v>2</v>
      </c>
      <c r="H1340" s="188" t="inlineStr">
        <is>
          <t>MEDIUM</t>
        </is>
      </c>
      <c r="I1340" s="188" t="n">
        <v>10</v>
      </c>
      <c r="J1340" s="188" t="inlineStr">
        <is>
          <t>NO</t>
        </is>
      </c>
      <c r="K1340" s="188" t="inlineStr">
        <is>
          <t>https://www.spamhaus.org/drop/</t>
        </is>
      </c>
      <c r="L1340" s="188" t="inlineStr">
        <is>
          <t>2026-02-27 20:47</t>
        </is>
      </c>
      <c r="M1340" s="188" t="inlineStr">
        <is>
          <t>Block CIDR</t>
        </is>
      </c>
      <c r="N1340" s="188" t="inlineStr">
        <is>
          <t>https://www.spamhaus.org/drop/</t>
        </is>
      </c>
      <c r="O1340" s="188" t="inlineStr">
        <is>
          <t>Block CIDR 1.55.112.41 at firewall</t>
        </is>
      </c>
      <c r="P1340" s="188" t="inlineStr">
        <is>
          <t>Firewall/Email</t>
        </is>
      </c>
      <c r="Q1340" s="188" t="inlineStr">
        <is>
          <t>P4</t>
        </is>
      </c>
      <c r="R1340" s="188" t="inlineStr">
        <is>
          <t>🔍 Investigate and apply appropriate controls</t>
        </is>
      </c>
      <c r="S1340" s="188" t="inlineStr">
        <is>
          <t>Spamhaus - CIDR range</t>
        </is>
      </c>
      <c r="T1340" s="188" t="n">
        <v>0</v>
      </c>
      <c r="U1340" s="188" t="n">
        <v>0</v>
      </c>
      <c r="V1340" s="188" t="inlineStr">
        <is>
          <t>T1566:Phishing | T1078:Valid Accounts</t>
        </is>
      </c>
      <c r="W1340" s="188" t="n">
        <v>1</v>
      </c>
      <c r="X1340" s="188" t="inlineStr">
        <is>
          <t>LOW (40%)</t>
        </is>
      </c>
      <c r="Y1340" s="188" t="inlineStr">
        <is>
          <t>NONE</t>
        </is>
      </c>
      <c r="Z1340" s="188" t="inlineStr">
        <is>
          <t>NONE</t>
        </is>
      </c>
      <c r="AA1340" s="188" t="inlineStr">
        <is>
          <t>NONE</t>
        </is>
      </c>
      <c r="AB1340" s="188" t="inlineStr">
        <is>
          <t>NONE</t>
        </is>
      </c>
      <c r="AC1340" s="188" t="n">
        <v>0</v>
      </c>
      <c r="AD1340" s="188" t="inlineStr"/>
    </row>
    <row r="1341">
      <c r="A1341" s="188" t="inlineStr">
        <is>
          <t>FIREHOL_THREAT</t>
        </is>
      </c>
      <c r="B1341" s="188" t="inlineStr">
        <is>
          <t>c480b3c0b45e</t>
        </is>
      </c>
      <c r="C1341" s="188" t="inlineStr">
        <is>
          <t>DROP List CIDR: 1.55.210.222 | FireHOL L2 threat IP/CIDR | ASN: FireHOL-L2</t>
        </is>
      </c>
      <c r="D1341" s="188" t="n">
        <v>6</v>
      </c>
      <c r="E1341" s="188" t="inlineStr">
        <is>
          <t>MEDIUM</t>
        </is>
      </c>
      <c r="F1341" s="188" t="n">
        <v>2</v>
      </c>
      <c r="G1341" s="188" t="n">
        <v>2</v>
      </c>
      <c r="H1341" s="188" t="inlineStr">
        <is>
          <t>MEDIUM</t>
        </is>
      </c>
      <c r="I1341" s="188" t="n">
        <v>10</v>
      </c>
      <c r="J1341" s="188" t="inlineStr">
        <is>
          <t>NO</t>
        </is>
      </c>
      <c r="K1341" s="188" t="inlineStr">
        <is>
          <t>https://www.spamhaus.org/drop/</t>
        </is>
      </c>
      <c r="L1341" s="188" t="inlineStr">
        <is>
          <t>2026-02-27 20:47</t>
        </is>
      </c>
      <c r="M1341" s="188" t="inlineStr">
        <is>
          <t>Block CIDR</t>
        </is>
      </c>
      <c r="N1341" s="188" t="inlineStr">
        <is>
          <t>https://www.spamhaus.org/drop/</t>
        </is>
      </c>
      <c r="O1341" s="188" t="inlineStr">
        <is>
          <t>Block CIDR 1.55.210.222 at firewall</t>
        </is>
      </c>
      <c r="P1341" s="188" t="inlineStr">
        <is>
          <t>Firewall/Email</t>
        </is>
      </c>
      <c r="Q1341" s="188" t="inlineStr">
        <is>
          <t>P4</t>
        </is>
      </c>
      <c r="R1341" s="188" t="inlineStr">
        <is>
          <t>🔍 Investigate and apply appropriate controls</t>
        </is>
      </c>
      <c r="S1341" s="188" t="inlineStr">
        <is>
          <t>Spamhaus - CIDR range</t>
        </is>
      </c>
      <c r="T1341" s="188" t="n">
        <v>0</v>
      </c>
      <c r="U1341" s="188" t="n">
        <v>0</v>
      </c>
      <c r="V1341" s="188" t="inlineStr">
        <is>
          <t>T1566:Phishing | T1078:Valid Accounts</t>
        </is>
      </c>
      <c r="W1341" s="188" t="n">
        <v>1</v>
      </c>
      <c r="X1341" s="188" t="inlineStr">
        <is>
          <t>LOW (40%)</t>
        </is>
      </c>
      <c r="Y1341" s="188" t="inlineStr">
        <is>
          <t>NONE</t>
        </is>
      </c>
      <c r="Z1341" s="188" t="inlineStr">
        <is>
          <t>NONE</t>
        </is>
      </c>
      <c r="AA1341" s="188" t="inlineStr">
        <is>
          <t>NONE</t>
        </is>
      </c>
      <c r="AB1341" s="188" t="inlineStr">
        <is>
          <t>NONE</t>
        </is>
      </c>
      <c r="AC1341" s="188" t="n">
        <v>0</v>
      </c>
      <c r="AD1341" s="188" t="inlineStr"/>
    </row>
    <row r="1342">
      <c r="A1342" s="188" t="inlineStr">
        <is>
          <t>FIREHOL_THREAT</t>
        </is>
      </c>
      <c r="B1342" s="188" t="inlineStr">
        <is>
          <t>c07b65ee5207</t>
        </is>
      </c>
      <c r="C1342" s="188" t="inlineStr">
        <is>
          <t>DROP List CIDR: 1.82.133.130 | FireHOL L2 threat IP/CIDR | ASN: FireHOL-L2</t>
        </is>
      </c>
      <c r="D1342" s="188" t="n">
        <v>6</v>
      </c>
      <c r="E1342" s="188" t="inlineStr">
        <is>
          <t>MEDIUM</t>
        </is>
      </c>
      <c r="F1342" s="188" t="n">
        <v>2</v>
      </c>
      <c r="G1342" s="188" t="n">
        <v>2</v>
      </c>
      <c r="H1342" s="188" t="inlineStr">
        <is>
          <t>MEDIUM</t>
        </is>
      </c>
      <c r="I1342" s="188" t="n">
        <v>10</v>
      </c>
      <c r="J1342" s="188" t="inlineStr">
        <is>
          <t>NO</t>
        </is>
      </c>
      <c r="K1342" s="188" t="inlineStr">
        <is>
          <t>https://www.spamhaus.org/drop/</t>
        </is>
      </c>
      <c r="L1342" s="188" t="inlineStr">
        <is>
          <t>2026-02-27 20:47</t>
        </is>
      </c>
      <c r="M1342" s="188" t="inlineStr">
        <is>
          <t>Block CIDR</t>
        </is>
      </c>
      <c r="N1342" s="188" t="inlineStr">
        <is>
          <t>https://www.spamhaus.org/drop/</t>
        </is>
      </c>
      <c r="O1342" s="188" t="inlineStr">
        <is>
          <t>Block CIDR 1.82.133.130 at firewall</t>
        </is>
      </c>
      <c r="P1342" s="188" t="inlineStr">
        <is>
          <t>Firewall/Email</t>
        </is>
      </c>
      <c r="Q1342" s="188" t="inlineStr">
        <is>
          <t>P4</t>
        </is>
      </c>
      <c r="R1342" s="188" t="inlineStr">
        <is>
          <t>🔍 Investigate and apply appropriate controls</t>
        </is>
      </c>
      <c r="S1342" s="188" t="inlineStr">
        <is>
          <t>Spamhaus - CIDR range</t>
        </is>
      </c>
      <c r="T1342" s="188" t="n">
        <v>0</v>
      </c>
      <c r="U1342" s="188" t="n">
        <v>0</v>
      </c>
      <c r="V1342" s="188" t="inlineStr">
        <is>
          <t>T1566:Phishing | T1078:Valid Accounts</t>
        </is>
      </c>
      <c r="W1342" s="188" t="n">
        <v>1</v>
      </c>
      <c r="X1342" s="188" t="inlineStr">
        <is>
          <t>LOW (40%)</t>
        </is>
      </c>
      <c r="Y1342" s="188" t="inlineStr">
        <is>
          <t>NONE</t>
        </is>
      </c>
      <c r="Z1342" s="188" t="inlineStr">
        <is>
          <t>NONE</t>
        </is>
      </c>
      <c r="AA1342" s="188" t="inlineStr">
        <is>
          <t>NONE</t>
        </is>
      </c>
      <c r="AB1342" s="188" t="inlineStr">
        <is>
          <t>NONE</t>
        </is>
      </c>
      <c r="AC1342" s="188" t="n">
        <v>0</v>
      </c>
      <c r="AD1342" s="188" t="inlineStr"/>
    </row>
    <row r="1343">
      <c r="A1343" s="188" t="inlineStr">
        <is>
          <t>FIREHOL_THREAT</t>
        </is>
      </c>
      <c r="B1343" s="188" t="inlineStr">
        <is>
          <t>008a9291a602</t>
        </is>
      </c>
      <c r="C1343" s="188" t="inlineStr">
        <is>
          <t>DROP List CIDR: 1.82.135.154 | FireHOL L2 threat IP/CIDR | ASN: FireHOL-L2</t>
        </is>
      </c>
      <c r="D1343" s="188" t="n">
        <v>6</v>
      </c>
      <c r="E1343" s="188" t="inlineStr">
        <is>
          <t>MEDIUM</t>
        </is>
      </c>
      <c r="F1343" s="188" t="n">
        <v>2</v>
      </c>
      <c r="G1343" s="188" t="n">
        <v>2</v>
      </c>
      <c r="H1343" s="188" t="inlineStr">
        <is>
          <t>MEDIUM</t>
        </is>
      </c>
      <c r="I1343" s="188" t="n">
        <v>10</v>
      </c>
      <c r="J1343" s="188" t="inlineStr">
        <is>
          <t>NO</t>
        </is>
      </c>
      <c r="K1343" s="188" t="inlineStr">
        <is>
          <t>https://www.spamhaus.org/drop/</t>
        </is>
      </c>
      <c r="L1343" s="188" t="inlineStr">
        <is>
          <t>2026-02-27 20:47</t>
        </is>
      </c>
      <c r="M1343" s="188" t="inlineStr">
        <is>
          <t>Block CIDR</t>
        </is>
      </c>
      <c r="N1343" s="188" t="inlineStr">
        <is>
          <t>https://www.spamhaus.org/drop/</t>
        </is>
      </c>
      <c r="O1343" s="188" t="inlineStr">
        <is>
          <t>Block CIDR 1.82.135.154 at firewall</t>
        </is>
      </c>
      <c r="P1343" s="188" t="inlineStr">
        <is>
          <t>Firewall/Email</t>
        </is>
      </c>
      <c r="Q1343" s="188" t="inlineStr">
        <is>
          <t>P4</t>
        </is>
      </c>
      <c r="R1343" s="188" t="inlineStr">
        <is>
          <t>🔍 Investigate and apply appropriate controls</t>
        </is>
      </c>
      <c r="S1343" s="188" t="inlineStr">
        <is>
          <t>Spamhaus - CIDR range</t>
        </is>
      </c>
      <c r="T1343" s="188" t="n">
        <v>0</v>
      </c>
      <c r="U1343" s="188" t="n">
        <v>0</v>
      </c>
      <c r="V1343" s="188" t="inlineStr">
        <is>
          <t>T1566:Phishing | T1078:Valid Accounts</t>
        </is>
      </c>
      <c r="W1343" s="188" t="n">
        <v>1</v>
      </c>
      <c r="X1343" s="188" t="inlineStr">
        <is>
          <t>LOW (40%)</t>
        </is>
      </c>
      <c r="Y1343" s="188" t="inlineStr">
        <is>
          <t>NONE</t>
        </is>
      </c>
      <c r="Z1343" s="188" t="inlineStr">
        <is>
          <t>NONE</t>
        </is>
      </c>
      <c r="AA1343" s="188" t="inlineStr">
        <is>
          <t>NONE</t>
        </is>
      </c>
      <c r="AB1343" s="188" t="inlineStr">
        <is>
          <t>NONE</t>
        </is>
      </c>
      <c r="AC1343" s="188" t="n">
        <v>0</v>
      </c>
      <c r="AD1343" s="188" t="inlineStr"/>
    </row>
    <row r="1344">
      <c r="A1344" s="188" t="inlineStr">
        <is>
          <t>FIREHOL_THREAT</t>
        </is>
      </c>
      <c r="B1344" s="188" t="inlineStr">
        <is>
          <t>07c6179971a8</t>
        </is>
      </c>
      <c r="C1344" s="188" t="inlineStr">
        <is>
          <t>DROP List CIDR: 1.92.79.150 | FireHOL L2 threat IP/CIDR | ASN: FireHOL-L2</t>
        </is>
      </c>
      <c r="D1344" s="188" t="n">
        <v>6</v>
      </c>
      <c r="E1344" s="188" t="inlineStr">
        <is>
          <t>MEDIUM</t>
        </is>
      </c>
      <c r="F1344" s="188" t="n">
        <v>2</v>
      </c>
      <c r="G1344" s="188" t="n">
        <v>2</v>
      </c>
      <c r="H1344" s="188" t="inlineStr">
        <is>
          <t>MEDIUM</t>
        </is>
      </c>
      <c r="I1344" s="188" t="n">
        <v>10</v>
      </c>
      <c r="J1344" s="188" t="inlineStr">
        <is>
          <t>NO</t>
        </is>
      </c>
      <c r="K1344" s="188" t="inlineStr">
        <is>
          <t>https://www.spamhaus.org/drop/</t>
        </is>
      </c>
      <c r="L1344" s="188" t="inlineStr">
        <is>
          <t>2026-02-27 20:47</t>
        </is>
      </c>
      <c r="M1344" s="188" t="inlineStr">
        <is>
          <t>Block CIDR</t>
        </is>
      </c>
      <c r="N1344" s="188" t="inlineStr">
        <is>
          <t>https://www.spamhaus.org/drop/</t>
        </is>
      </c>
      <c r="O1344" s="188" t="inlineStr">
        <is>
          <t>Block CIDR 1.92.79.150 at firewall</t>
        </is>
      </c>
      <c r="P1344" s="188" t="inlineStr">
        <is>
          <t>Firewall/Email</t>
        </is>
      </c>
      <c r="Q1344" s="188" t="inlineStr">
        <is>
          <t>P4</t>
        </is>
      </c>
      <c r="R1344" s="188" t="inlineStr">
        <is>
          <t>🔍 Investigate and apply appropriate controls</t>
        </is>
      </c>
      <c r="S1344" s="188" t="inlineStr">
        <is>
          <t>Spamhaus - CIDR range</t>
        </is>
      </c>
      <c r="T1344" s="188" t="n">
        <v>0</v>
      </c>
      <c r="U1344" s="188" t="n">
        <v>0</v>
      </c>
      <c r="V1344" s="188" t="inlineStr">
        <is>
          <t>T1566:Phishing | T1078:Valid Accounts</t>
        </is>
      </c>
      <c r="W1344" s="188" t="n">
        <v>1</v>
      </c>
      <c r="X1344" s="188" t="inlineStr">
        <is>
          <t>LOW (40%)</t>
        </is>
      </c>
      <c r="Y1344" s="188" t="inlineStr">
        <is>
          <t>NONE</t>
        </is>
      </c>
      <c r="Z1344" s="188" t="inlineStr">
        <is>
          <t>NONE</t>
        </is>
      </c>
      <c r="AA1344" s="188" t="inlineStr">
        <is>
          <t>NONE</t>
        </is>
      </c>
      <c r="AB1344" s="188" t="inlineStr">
        <is>
          <t>NONE</t>
        </is>
      </c>
      <c r="AC1344" s="188" t="n">
        <v>0</v>
      </c>
      <c r="AD1344" s="188" t="inlineStr"/>
    </row>
    <row r="1345">
      <c r="A1345" s="188" t="inlineStr">
        <is>
          <t>FIREHOL_THREAT</t>
        </is>
      </c>
      <c r="B1345" s="188" t="inlineStr">
        <is>
          <t>214c40b48c03</t>
        </is>
      </c>
      <c r="C1345" s="188" t="inlineStr">
        <is>
          <t>DROP List CIDR: 1.92.94.62 | FireHOL L2 threat IP/CIDR | ASN: FireHOL-L2</t>
        </is>
      </c>
      <c r="D1345" s="188" t="n">
        <v>6</v>
      </c>
      <c r="E1345" s="188" t="inlineStr">
        <is>
          <t>MEDIUM</t>
        </is>
      </c>
      <c r="F1345" s="188" t="n">
        <v>2</v>
      </c>
      <c r="G1345" s="188" t="n">
        <v>2</v>
      </c>
      <c r="H1345" s="188" t="inlineStr">
        <is>
          <t>MEDIUM</t>
        </is>
      </c>
      <c r="I1345" s="188" t="n">
        <v>10</v>
      </c>
      <c r="J1345" s="188" t="inlineStr">
        <is>
          <t>NO</t>
        </is>
      </c>
      <c r="K1345" s="188" t="inlineStr">
        <is>
          <t>https://www.spamhaus.org/drop/</t>
        </is>
      </c>
      <c r="L1345" s="188" t="inlineStr">
        <is>
          <t>2026-02-27 20:47</t>
        </is>
      </c>
      <c r="M1345" s="188" t="inlineStr">
        <is>
          <t>Block CIDR</t>
        </is>
      </c>
      <c r="N1345" s="188" t="inlineStr">
        <is>
          <t>https://www.spamhaus.org/drop/</t>
        </is>
      </c>
      <c r="O1345" s="188" t="inlineStr">
        <is>
          <t>Block CIDR 1.92.94.62 at firewall</t>
        </is>
      </c>
      <c r="P1345" s="188" t="inlineStr">
        <is>
          <t>Firewall/Email</t>
        </is>
      </c>
      <c r="Q1345" s="188" t="inlineStr">
        <is>
          <t>P4</t>
        </is>
      </c>
      <c r="R1345" s="188" t="inlineStr">
        <is>
          <t>🔍 Investigate and apply appropriate controls</t>
        </is>
      </c>
      <c r="S1345" s="188" t="inlineStr">
        <is>
          <t>Spamhaus - CIDR range</t>
        </is>
      </c>
      <c r="T1345" s="188" t="n">
        <v>0</v>
      </c>
      <c r="U1345" s="188" t="n">
        <v>0</v>
      </c>
      <c r="V1345" s="188" t="inlineStr">
        <is>
          <t>T1566:Phishing | T1078:Valid Accounts</t>
        </is>
      </c>
      <c r="W1345" s="188" t="n">
        <v>1</v>
      </c>
      <c r="X1345" s="188" t="inlineStr">
        <is>
          <t>LOW (40%)</t>
        </is>
      </c>
      <c r="Y1345" s="188" t="inlineStr">
        <is>
          <t>NONE</t>
        </is>
      </c>
      <c r="Z1345" s="188" t="inlineStr">
        <is>
          <t>NONE</t>
        </is>
      </c>
      <c r="AA1345" s="188" t="inlineStr">
        <is>
          <t>NONE</t>
        </is>
      </c>
      <c r="AB1345" s="188" t="inlineStr">
        <is>
          <t>NONE</t>
        </is>
      </c>
      <c r="AC1345" s="188" t="n">
        <v>0</v>
      </c>
      <c r="AD1345" s="188" t="inlineStr"/>
    </row>
    <row r="1346">
      <c r="A1346" s="188" t="inlineStr">
        <is>
          <t>UBUNTU_SEC</t>
        </is>
      </c>
      <c r="B1346" s="188" t="inlineStr">
        <is>
          <t>USN-5376-5</t>
        </is>
      </c>
      <c r="C1346" s="188" t="inlineStr">
        <is>
          <t>USN-5376-5: Git regression | USN-5376-4 fixed a regression in Git. The update introduced a regression when specifying configuration includes due to additional restrictions. This update fixes the problem. We apologize for the inco</t>
        </is>
      </c>
      <c r="D1346" s="188" t="n">
        <v>6.5</v>
      </c>
      <c r="E1346" s="188" t="inlineStr">
        <is>
          <t>MEDIUM</t>
        </is>
      </c>
      <c r="F1346" s="188" t="n">
        <v>2</v>
      </c>
      <c r="G1346" s="188" t="n">
        <v>2</v>
      </c>
      <c r="H1346" s="188" t="inlineStr">
        <is>
          <t>MEDIUM</t>
        </is>
      </c>
      <c r="I1346" s="188" t="n">
        <v>10.5</v>
      </c>
      <c r="J1346" s="188" t="inlineStr">
        <is>
          <t>NO</t>
        </is>
      </c>
      <c r="K1346" s="188" t="inlineStr">
        <is>
          <t>https://ubuntu.com/security/notices/USN-5376-5</t>
        </is>
      </c>
      <c r="L1346" s="188" t="inlineStr">
        <is>
          <t>2026-02-27</t>
        </is>
      </c>
      <c r="M1346" s="188" t="inlineStr">
        <is>
          <t>YES</t>
        </is>
      </c>
      <c r="N1346" s="188" t="inlineStr">
        <is>
          <t>apt-get update &amp;&amp; apt-get upgrade</t>
        </is>
      </c>
      <c r="O1346" s="188" t="inlineStr">
        <is>
          <t>Run: sudo apt-get update &amp;&amp; sudo apt-get upgrade</t>
        </is>
      </c>
      <c r="P1346" s="188" t="inlineStr">
        <is>
          <t>Ubuntu Linux</t>
        </is>
      </c>
      <c r="Q1346" s="188" t="inlineStr">
        <is>
          <t>P4</t>
        </is>
      </c>
      <c r="R1346" s="188" t="inlineStr">
        <is>
          <t>🔍 Investigate and apply appropriate controls</t>
        </is>
      </c>
      <c r="S1346" s="188" t="inlineStr">
        <is>
          <t>Ubuntu advisory - no IP context</t>
        </is>
      </c>
      <c r="T1346" s="188" t="n">
        <v>0</v>
      </c>
      <c r="U1346" s="188" t="n">
        <v>0</v>
      </c>
      <c r="V1346" s="188" t="inlineStr">
        <is>
          <t>T1068:Exploitation for Privilege Escalation</t>
        </is>
      </c>
      <c r="W1346" s="188" t="n">
        <v>1</v>
      </c>
      <c r="X1346" s="188" t="inlineStr">
        <is>
          <t>LOW (40%)</t>
        </is>
      </c>
      <c r="Y1346" s="188" t="inlineStr">
        <is>
          <t>CHECK_USN</t>
        </is>
      </c>
      <c r="Z1346" s="188" t="inlineStr">
        <is>
          <t>YES</t>
        </is>
      </c>
      <c r="AA1346" s="188" t="inlineStr">
        <is>
          <t>https://ubuntu.com/security/notices/USN-5376-5</t>
        </is>
      </c>
      <c r="AB1346" s="188" t="inlineStr">
        <is>
          <t>NONE</t>
        </is>
      </c>
      <c r="AC1346" s="188" t="n">
        <v>0</v>
      </c>
      <c r="AD1346" s="188" t="inlineStr"/>
    </row>
    <row r="1347">
      <c r="A1347" s="188" t="inlineStr">
        <is>
          <t>UBUNTU_SEC</t>
        </is>
      </c>
      <c r="B1347" s="188" t="inlineStr">
        <is>
          <t>USN-8059-6</t>
        </is>
      </c>
      <c r="C1347" s="188" t="inlineStr">
        <is>
          <t>USN-8059-6: Linux kernel vulnerabilities | Several security issues were discovered in the Linux kernel. An attacker could possibly use these to compromise the system. This update corrects flaws in the following subsystems: - SMB network file s</t>
        </is>
      </c>
      <c r="D1347" s="188" t="n">
        <v>6.5</v>
      </c>
      <c r="E1347" s="188" t="inlineStr">
        <is>
          <t>MEDIUM</t>
        </is>
      </c>
      <c r="F1347" s="188" t="n">
        <v>2</v>
      </c>
      <c r="G1347" s="188" t="n">
        <v>2</v>
      </c>
      <c r="H1347" s="188" t="inlineStr">
        <is>
          <t>MEDIUM</t>
        </is>
      </c>
      <c r="I1347" s="188" t="n">
        <v>10.5</v>
      </c>
      <c r="J1347" s="188" t="inlineStr">
        <is>
          <t>NO</t>
        </is>
      </c>
      <c r="K1347" s="188" t="inlineStr">
        <is>
          <t>https://ubuntu.com/security/notices/USN-8059-6</t>
        </is>
      </c>
      <c r="L1347" s="188" t="inlineStr">
        <is>
          <t>2026-02-26</t>
        </is>
      </c>
      <c r="M1347" s="188" t="inlineStr">
        <is>
          <t>YES</t>
        </is>
      </c>
      <c r="N1347" s="188" t="inlineStr">
        <is>
          <t>apt-get update &amp;&amp; apt-get upgrade</t>
        </is>
      </c>
      <c r="O1347" s="188" t="inlineStr">
        <is>
          <t>Run: sudo apt-get update &amp;&amp; sudo apt-get upgrade</t>
        </is>
      </c>
      <c r="P1347" s="188" t="inlineStr">
        <is>
          <t>Ubuntu Linux</t>
        </is>
      </c>
      <c r="Q1347" s="188" t="inlineStr">
        <is>
          <t>P4</t>
        </is>
      </c>
      <c r="R1347" s="188" t="inlineStr">
        <is>
          <t>🔍 Investigate and apply appropriate controls</t>
        </is>
      </c>
      <c r="S1347" s="188" t="inlineStr">
        <is>
          <t>Ubuntu advisory - no IP context</t>
        </is>
      </c>
      <c r="T1347" s="188" t="n">
        <v>0</v>
      </c>
      <c r="U1347" s="188" t="n">
        <v>0</v>
      </c>
      <c r="V1347" s="188" t="inlineStr">
        <is>
          <t>T1068:Exploitation for Privilege Escalation</t>
        </is>
      </c>
      <c r="W1347" s="188" t="n">
        <v>1</v>
      </c>
      <c r="X1347" s="188" t="inlineStr">
        <is>
          <t>LOW (40%)</t>
        </is>
      </c>
      <c r="Y1347" s="188" t="inlineStr">
        <is>
          <t>CHECK_USN</t>
        </is>
      </c>
      <c r="Z1347" s="188" t="inlineStr">
        <is>
          <t>YES</t>
        </is>
      </c>
      <c r="AA1347" s="188" t="inlineStr">
        <is>
          <t>https://ubuntu.com/security/notices/USN-8059-6</t>
        </is>
      </c>
      <c r="AB1347" s="188" t="inlineStr">
        <is>
          <t>NONE</t>
        </is>
      </c>
      <c r="AC1347" s="188" t="n">
        <v>0</v>
      </c>
      <c r="AD1347" s="188" t="inlineStr"/>
    </row>
    <row r="1348">
      <c r="A1348" s="188" t="inlineStr">
        <is>
          <t>UBUNTU_SEC</t>
        </is>
      </c>
      <c r="B1348" s="188" t="inlineStr">
        <is>
          <t>USN-8066-1</t>
        </is>
      </c>
      <c r="C1348" s="188" t="inlineStr">
        <is>
          <t>USN-8066-1: Rack vulnerabilities | Minh Pham Quang discovered that Rack did not correctly handle parsing certain paths, which could lead to a path traversal attack. An attacker could possibly use this issue to leak sensitive informatio</t>
        </is>
      </c>
      <c r="D1348" s="188" t="n">
        <v>6.5</v>
      </c>
      <c r="E1348" s="188" t="inlineStr">
        <is>
          <t>MEDIUM</t>
        </is>
      </c>
      <c r="F1348" s="188" t="n">
        <v>2</v>
      </c>
      <c r="G1348" s="188" t="n">
        <v>2</v>
      </c>
      <c r="H1348" s="188" t="inlineStr">
        <is>
          <t>MEDIUM</t>
        </is>
      </c>
      <c r="I1348" s="188" t="n">
        <v>10.5</v>
      </c>
      <c r="J1348" s="188" t="inlineStr">
        <is>
          <t>NO</t>
        </is>
      </c>
      <c r="K1348" s="188" t="inlineStr">
        <is>
          <t>https://ubuntu.com/security/notices/USN-8066-1</t>
        </is>
      </c>
      <c r="L1348" s="188" t="inlineStr">
        <is>
          <t>2026-02-26</t>
        </is>
      </c>
      <c r="M1348" s="188" t="inlineStr">
        <is>
          <t>YES</t>
        </is>
      </c>
      <c r="N1348" s="188" t="inlineStr">
        <is>
          <t>apt-get update &amp;&amp; apt-get upgrade</t>
        </is>
      </c>
      <c r="O1348" s="188" t="inlineStr">
        <is>
          <t>Run: sudo apt-get update &amp;&amp; sudo apt-get upgrade</t>
        </is>
      </c>
      <c r="P1348" s="188" t="inlineStr">
        <is>
          <t>Ubuntu Linux</t>
        </is>
      </c>
      <c r="Q1348" s="188" t="inlineStr">
        <is>
          <t>P4</t>
        </is>
      </c>
      <c r="R1348" s="188" t="inlineStr">
        <is>
          <t>🔍 Investigate and apply appropriate controls</t>
        </is>
      </c>
      <c r="S1348" s="188" t="inlineStr">
        <is>
          <t>Ubuntu advisory - no IP context</t>
        </is>
      </c>
      <c r="T1348" s="188" t="n">
        <v>0</v>
      </c>
      <c r="U1348" s="188" t="n">
        <v>0</v>
      </c>
      <c r="V1348" s="188" t="inlineStr">
        <is>
          <t>T1068:Exploitation for Privilege Escalation</t>
        </is>
      </c>
      <c r="W1348" s="188" t="n">
        <v>1</v>
      </c>
      <c r="X1348" s="188" t="inlineStr">
        <is>
          <t>LOW (40%)</t>
        </is>
      </c>
      <c r="Y1348" s="188" t="inlineStr">
        <is>
          <t>CHECK_USN</t>
        </is>
      </c>
      <c r="Z1348" s="188" t="inlineStr">
        <is>
          <t>YES</t>
        </is>
      </c>
      <c r="AA1348" s="188" t="inlineStr">
        <is>
          <t>https://ubuntu.com/security/notices/USN-8066-1</t>
        </is>
      </c>
      <c r="AB1348" s="188" t="inlineStr">
        <is>
          <t>NONE</t>
        </is>
      </c>
      <c r="AC1348" s="188" t="n">
        <v>0</v>
      </c>
      <c r="AD1348" s="188" t="inlineStr"/>
    </row>
    <row r="1349">
      <c r="A1349" s="188" t="inlineStr">
        <is>
          <t>UBUNTU_SEC</t>
        </is>
      </c>
      <c r="B1349" s="188" t="inlineStr">
        <is>
          <t>USN-8065-1</t>
        </is>
      </c>
      <c r="C1349" s="188" t="inlineStr">
        <is>
          <t>USN-8065-1: Authlib vulnerabilities | Millie Solem discovered that Authlib did not properly restrict algorithm selection during JWT verification, allowing HMAC verification with asymmetric public keys when no algorithm was specified. A re</t>
        </is>
      </c>
      <c r="D1349" s="188" t="n">
        <v>6.5</v>
      </c>
      <c r="E1349" s="188" t="inlineStr">
        <is>
          <t>MEDIUM</t>
        </is>
      </c>
      <c r="F1349" s="188" t="n">
        <v>2</v>
      </c>
      <c r="G1349" s="188" t="n">
        <v>2</v>
      </c>
      <c r="H1349" s="188" t="inlineStr">
        <is>
          <t>MEDIUM</t>
        </is>
      </c>
      <c r="I1349" s="188" t="n">
        <v>10.5</v>
      </c>
      <c r="J1349" s="188" t="inlineStr">
        <is>
          <t>NO</t>
        </is>
      </c>
      <c r="K1349" s="188" t="inlineStr">
        <is>
          <t>https://ubuntu.com/security/notices/USN-8065-1</t>
        </is>
      </c>
      <c r="L1349" s="188" t="inlineStr">
        <is>
          <t>2026-02-25</t>
        </is>
      </c>
      <c r="M1349" s="188" t="inlineStr">
        <is>
          <t>YES</t>
        </is>
      </c>
      <c r="N1349" s="188" t="inlineStr">
        <is>
          <t>apt-get update &amp;&amp; apt-get upgrade</t>
        </is>
      </c>
      <c r="O1349" s="188" t="inlineStr">
        <is>
          <t>Run: sudo apt-get update &amp;&amp; sudo apt-get upgrade</t>
        </is>
      </c>
      <c r="P1349" s="188" t="inlineStr">
        <is>
          <t>Ubuntu Linux</t>
        </is>
      </c>
      <c r="Q1349" s="188" t="inlineStr">
        <is>
          <t>P4</t>
        </is>
      </c>
      <c r="R1349" s="188" t="inlineStr">
        <is>
          <t>🔍 Investigate and apply appropriate controls</t>
        </is>
      </c>
      <c r="S1349" s="188" t="inlineStr">
        <is>
          <t>Ubuntu advisory - no IP context</t>
        </is>
      </c>
      <c r="T1349" s="188" t="n">
        <v>0</v>
      </c>
      <c r="U1349" s="188" t="n">
        <v>0</v>
      </c>
      <c r="V1349" s="188" t="inlineStr">
        <is>
          <t>T1068:Exploitation for Privilege Escalation</t>
        </is>
      </c>
      <c r="W1349" s="188" t="n">
        <v>1</v>
      </c>
      <c r="X1349" s="188" t="inlineStr">
        <is>
          <t>LOW (40%)</t>
        </is>
      </c>
      <c r="Y1349" s="188" t="inlineStr">
        <is>
          <t>CHECK_USN</t>
        </is>
      </c>
      <c r="Z1349" s="188" t="inlineStr">
        <is>
          <t>YES</t>
        </is>
      </c>
      <c r="AA1349" s="188" t="inlineStr">
        <is>
          <t>https://ubuntu.com/security/notices/USN-8065-1</t>
        </is>
      </c>
      <c r="AB1349" s="188" t="inlineStr">
        <is>
          <t>NONE</t>
        </is>
      </c>
      <c r="AC1349" s="188" t="n">
        <v>0</v>
      </c>
      <c r="AD1349" s="188" t="inlineStr"/>
    </row>
    <row r="1350">
      <c r="A1350" s="188" t="inlineStr">
        <is>
          <t>UBUNTU_SEC</t>
        </is>
      </c>
      <c r="B1350" s="188" t="inlineStr">
        <is>
          <t>USN-8064-1</t>
        </is>
      </c>
      <c r="C1350" s="188" t="inlineStr">
        <is>
          <t>USN-8064-1: MongoDB vulnerabilities | Eliot Horowitz discovered that MongoDB may fail to validate some instances of malformed BSON. A remote attacker could possibly use this issue to cause MongoDB to crash, resulting in a denial of servic</t>
        </is>
      </c>
      <c r="D1350" s="188" t="n">
        <v>6.5</v>
      </c>
      <c r="E1350" s="188" t="inlineStr">
        <is>
          <t>MEDIUM</t>
        </is>
      </c>
      <c r="F1350" s="188" t="n">
        <v>2</v>
      </c>
      <c r="G1350" s="188" t="n">
        <v>2</v>
      </c>
      <c r="H1350" s="188" t="inlineStr">
        <is>
          <t>MEDIUM</t>
        </is>
      </c>
      <c r="I1350" s="188" t="n">
        <v>10.5</v>
      </c>
      <c r="J1350" s="188" t="inlineStr">
        <is>
          <t>NO</t>
        </is>
      </c>
      <c r="K1350" s="188" t="inlineStr">
        <is>
          <t>https://ubuntu.com/security/notices/USN-8064-1</t>
        </is>
      </c>
      <c r="L1350" s="188" t="inlineStr">
        <is>
          <t>2026-02-25</t>
        </is>
      </c>
      <c r="M1350" s="188" t="inlineStr">
        <is>
          <t>YES</t>
        </is>
      </c>
      <c r="N1350" s="188" t="inlineStr">
        <is>
          <t>apt-get update &amp;&amp; apt-get upgrade</t>
        </is>
      </c>
      <c r="O1350" s="188" t="inlineStr">
        <is>
          <t>Run: sudo apt-get update &amp;&amp; sudo apt-get upgrade</t>
        </is>
      </c>
      <c r="P1350" s="188" t="inlineStr">
        <is>
          <t>Ubuntu Linux</t>
        </is>
      </c>
      <c r="Q1350" s="188" t="inlineStr">
        <is>
          <t>P4</t>
        </is>
      </c>
      <c r="R1350" s="188" t="inlineStr">
        <is>
          <t>🔍 Investigate and apply appropriate controls</t>
        </is>
      </c>
      <c r="S1350" s="188" t="inlineStr">
        <is>
          <t>Ubuntu advisory - no IP context</t>
        </is>
      </c>
      <c r="T1350" s="188" t="n">
        <v>0</v>
      </c>
      <c r="U1350" s="188" t="n">
        <v>0</v>
      </c>
      <c r="V1350" s="188" t="inlineStr">
        <is>
          <t>T1068:Exploitation for Privilege Escalation</t>
        </is>
      </c>
      <c r="W1350" s="188" t="n">
        <v>1</v>
      </c>
      <c r="X1350" s="188" t="inlineStr">
        <is>
          <t>LOW (40%)</t>
        </is>
      </c>
      <c r="Y1350" s="188" t="inlineStr">
        <is>
          <t>CHECK_USN</t>
        </is>
      </c>
      <c r="Z1350" s="188" t="inlineStr">
        <is>
          <t>YES</t>
        </is>
      </c>
      <c r="AA1350" s="188" t="inlineStr">
        <is>
          <t>https://ubuntu.com/security/notices/USN-8064-1</t>
        </is>
      </c>
      <c r="AB1350" s="188" t="inlineStr">
        <is>
          <t>NONE</t>
        </is>
      </c>
      <c r="AC1350" s="188" t="n">
        <v>0</v>
      </c>
      <c r="AD1350" s="188" t="inlineStr"/>
    </row>
    <row r="1351">
      <c r="A1351" s="188" t="inlineStr">
        <is>
          <t>UBUNTU_SEC</t>
        </is>
      </c>
      <c r="B1351" s="188" t="inlineStr">
        <is>
          <t>USN-5376-4</t>
        </is>
      </c>
      <c r="C1351" s="188" t="inlineStr">
        <is>
          <t>USN-5376-4: Git regression | USN-5376-1 fixed a vulnerability in Git. It was discovered that the safety checks introduced in the update were not able to be set using the command line, contrary to expectations. This update fixes t</t>
        </is>
      </c>
      <c r="D1351" s="188" t="n">
        <v>6.5</v>
      </c>
      <c r="E1351" s="188" t="inlineStr">
        <is>
          <t>MEDIUM</t>
        </is>
      </c>
      <c r="F1351" s="188" t="n">
        <v>2</v>
      </c>
      <c r="G1351" s="188" t="n">
        <v>2</v>
      </c>
      <c r="H1351" s="188" t="inlineStr">
        <is>
          <t>MEDIUM</t>
        </is>
      </c>
      <c r="I1351" s="188" t="n">
        <v>10.5</v>
      </c>
      <c r="J1351" s="188" t="inlineStr">
        <is>
          <t>NO</t>
        </is>
      </c>
      <c r="K1351" s="188" t="inlineStr">
        <is>
          <t>https://ubuntu.com/security/notices/USN-5376-4</t>
        </is>
      </c>
      <c r="L1351" s="188" t="inlineStr">
        <is>
          <t>2026-02-25</t>
        </is>
      </c>
      <c r="M1351" s="188" t="inlineStr">
        <is>
          <t>YES</t>
        </is>
      </c>
      <c r="N1351" s="188" t="inlineStr">
        <is>
          <t>apt-get update &amp;&amp; apt-get upgrade</t>
        </is>
      </c>
      <c r="O1351" s="188" t="inlineStr">
        <is>
          <t>Run: sudo apt-get update &amp;&amp; sudo apt-get upgrade</t>
        </is>
      </c>
      <c r="P1351" s="188" t="inlineStr">
        <is>
          <t>Ubuntu Linux</t>
        </is>
      </c>
      <c r="Q1351" s="188" t="inlineStr">
        <is>
          <t>P4</t>
        </is>
      </c>
      <c r="R1351" s="188" t="inlineStr">
        <is>
          <t>🔍 Investigate and apply appropriate controls</t>
        </is>
      </c>
      <c r="S1351" s="188" t="inlineStr">
        <is>
          <t>Ubuntu advisory - no IP context</t>
        </is>
      </c>
      <c r="T1351" s="188" t="n">
        <v>0</v>
      </c>
      <c r="U1351" s="188" t="n">
        <v>0</v>
      </c>
      <c r="V1351" s="188" t="inlineStr">
        <is>
          <t>T1068:Exploitation for Privilege Escalation</t>
        </is>
      </c>
      <c r="W1351" s="188" t="n">
        <v>1</v>
      </c>
      <c r="X1351" s="188" t="inlineStr">
        <is>
          <t>LOW (40%)</t>
        </is>
      </c>
      <c r="Y1351" s="188" t="inlineStr">
        <is>
          <t>CHECK_USN</t>
        </is>
      </c>
      <c r="Z1351" s="188" t="inlineStr">
        <is>
          <t>YES</t>
        </is>
      </c>
      <c r="AA1351" s="188" t="inlineStr">
        <is>
          <t>https://ubuntu.com/security/notices/USN-5376-4</t>
        </is>
      </c>
      <c r="AB1351" s="188" t="inlineStr">
        <is>
          <t>NONE</t>
        </is>
      </c>
      <c r="AC1351" s="188" t="n">
        <v>0</v>
      </c>
      <c r="AD1351" s="188" t="inlineStr"/>
    </row>
    <row r="1352">
      <c r="A1352" s="188" t="inlineStr">
        <is>
          <t>UBUNTU_SEC</t>
        </is>
      </c>
      <c r="B1352" s="188" t="inlineStr">
        <is>
          <t>USN-8063-1</t>
        </is>
      </c>
      <c r="C1352" s="188" t="inlineStr">
        <is>
          <t>USN-8063-1: Protocol Buffers vulnerability | It was discovered that Protocol Buffers incorrectly handled recursion when the Python google.protobuf.json_format.ParseDict() function is being used. An attacker could possibly use this issue to cause</t>
        </is>
      </c>
      <c r="D1352" s="188" t="n">
        <v>6.5</v>
      </c>
      <c r="E1352" s="188" t="inlineStr">
        <is>
          <t>MEDIUM</t>
        </is>
      </c>
      <c r="F1352" s="188" t="n">
        <v>2</v>
      </c>
      <c r="G1352" s="188" t="n">
        <v>2</v>
      </c>
      <c r="H1352" s="188" t="inlineStr">
        <is>
          <t>MEDIUM</t>
        </is>
      </c>
      <c r="I1352" s="188" t="n">
        <v>10.5</v>
      </c>
      <c r="J1352" s="188" t="inlineStr">
        <is>
          <t>NO</t>
        </is>
      </c>
      <c r="K1352" s="188" t="inlineStr">
        <is>
          <t>https://ubuntu.com/security/notices/USN-8063-1</t>
        </is>
      </c>
      <c r="L1352" s="188" t="inlineStr">
        <is>
          <t>2026-02-25</t>
        </is>
      </c>
      <c r="M1352" s="188" t="inlineStr">
        <is>
          <t>YES</t>
        </is>
      </c>
      <c r="N1352" s="188" t="inlineStr">
        <is>
          <t>apt-get update &amp;&amp; apt-get upgrade</t>
        </is>
      </c>
      <c r="O1352" s="188" t="inlineStr">
        <is>
          <t>Run: sudo apt-get update &amp;&amp; sudo apt-get upgrade</t>
        </is>
      </c>
      <c r="P1352" s="188" t="inlineStr">
        <is>
          <t>Ubuntu Linux</t>
        </is>
      </c>
      <c r="Q1352" s="188" t="inlineStr">
        <is>
          <t>P4</t>
        </is>
      </c>
      <c r="R1352" s="188" t="inlineStr">
        <is>
          <t>🔍 Investigate and apply appropriate controls</t>
        </is>
      </c>
      <c r="S1352" s="188" t="inlineStr">
        <is>
          <t>Ubuntu advisory - no IP context</t>
        </is>
      </c>
      <c r="T1352" s="188" t="n">
        <v>0</v>
      </c>
      <c r="U1352" s="188" t="n">
        <v>0</v>
      </c>
      <c r="V1352" s="188" t="inlineStr">
        <is>
          <t>T1068:Exploitation for Privilege Escalation</t>
        </is>
      </c>
      <c r="W1352" s="188" t="n">
        <v>1</v>
      </c>
      <c r="X1352" s="188" t="inlineStr">
        <is>
          <t>LOW (40%)</t>
        </is>
      </c>
      <c r="Y1352" s="188" t="inlineStr">
        <is>
          <t>CHECK_USN</t>
        </is>
      </c>
      <c r="Z1352" s="188" t="inlineStr">
        <is>
          <t>YES</t>
        </is>
      </c>
      <c r="AA1352" s="188" t="inlineStr">
        <is>
          <t>https://ubuntu.com/security/notices/USN-8063-1</t>
        </is>
      </c>
      <c r="AB1352" s="188" t="inlineStr">
        <is>
          <t>NONE</t>
        </is>
      </c>
      <c r="AC1352" s="188" t="n">
        <v>0</v>
      </c>
      <c r="AD1352" s="188" t="inlineStr"/>
    </row>
    <row r="1353">
      <c r="A1353" s="188" t="inlineStr">
        <is>
          <t>UBUNTU_SEC</t>
        </is>
      </c>
      <c r="B1353" s="188" t="inlineStr">
        <is>
          <t>USN-8060-4</t>
        </is>
      </c>
      <c r="C1353" s="188" t="inlineStr">
        <is>
          <t>USN-8060-4: Linux kernel (FIPS) vulnerabilities | Several security issues were discovered in the Linux kernel. An attacker could possibly use these to compromise the system. This update corrects flaws in the following subsystems: - GPU drivers; - MMC</t>
        </is>
      </c>
      <c r="D1353" s="188" t="n">
        <v>6.5</v>
      </c>
      <c r="E1353" s="188" t="inlineStr">
        <is>
          <t>MEDIUM</t>
        </is>
      </c>
      <c r="F1353" s="188" t="n">
        <v>2</v>
      </c>
      <c r="G1353" s="188" t="n">
        <v>2</v>
      </c>
      <c r="H1353" s="188" t="inlineStr">
        <is>
          <t>MEDIUM</t>
        </is>
      </c>
      <c r="I1353" s="188" t="n">
        <v>10.5</v>
      </c>
      <c r="J1353" s="188" t="inlineStr">
        <is>
          <t>NO</t>
        </is>
      </c>
      <c r="K1353" s="188" t="inlineStr">
        <is>
          <t>https://ubuntu.com/security/notices/USN-8060-4</t>
        </is>
      </c>
      <c r="L1353" s="188" t="inlineStr">
        <is>
          <t>2026-02-25</t>
        </is>
      </c>
      <c r="M1353" s="188" t="inlineStr">
        <is>
          <t>YES</t>
        </is>
      </c>
      <c r="N1353" s="188" t="inlineStr">
        <is>
          <t>apt-get update &amp;&amp; apt-get upgrade</t>
        </is>
      </c>
      <c r="O1353" s="188" t="inlineStr">
        <is>
          <t>Run: sudo apt-get update &amp;&amp; sudo apt-get upgrade</t>
        </is>
      </c>
      <c r="P1353" s="188" t="inlineStr">
        <is>
          <t>Ubuntu Linux</t>
        </is>
      </c>
      <c r="Q1353" s="188" t="inlineStr">
        <is>
          <t>P4</t>
        </is>
      </c>
      <c r="R1353" s="188" t="inlineStr">
        <is>
          <t>🔍 Investigate and apply appropriate controls</t>
        </is>
      </c>
      <c r="S1353" s="188" t="inlineStr">
        <is>
          <t>Ubuntu advisory - no IP context</t>
        </is>
      </c>
      <c r="T1353" s="188" t="n">
        <v>0</v>
      </c>
      <c r="U1353" s="188" t="n">
        <v>0</v>
      </c>
      <c r="V1353" s="188" t="inlineStr">
        <is>
          <t>T1068:Exploitation for Privilege Escalation</t>
        </is>
      </c>
      <c r="W1353" s="188" t="n">
        <v>1</v>
      </c>
      <c r="X1353" s="188" t="inlineStr">
        <is>
          <t>LOW (40%)</t>
        </is>
      </c>
      <c r="Y1353" s="188" t="inlineStr">
        <is>
          <t>CHECK_USN</t>
        </is>
      </c>
      <c r="Z1353" s="188" t="inlineStr">
        <is>
          <t>YES</t>
        </is>
      </c>
      <c r="AA1353" s="188" t="inlineStr">
        <is>
          <t>https://ubuntu.com/security/notices/USN-8060-4</t>
        </is>
      </c>
      <c r="AB1353" s="188" t="inlineStr">
        <is>
          <t>NONE</t>
        </is>
      </c>
      <c r="AC1353" s="188" t="n">
        <v>0</v>
      </c>
      <c r="AD1353" s="188" t="inlineStr"/>
    </row>
    <row r="1354">
      <c r="A1354" s="188" t="inlineStr">
        <is>
          <t>UBUNTU_SEC</t>
        </is>
      </c>
      <c r="B1354" s="188" t="inlineStr">
        <is>
          <t>USN-8059-5</t>
        </is>
      </c>
      <c r="C1354" s="188" t="inlineStr">
        <is>
          <t>USN-8059-5: Linux kernel (FIPS) vulnerabilities | Several security issues were discovered in the Linux kernel. An attacker could possibly use these to compromise the system. This update corrects flaws in the following subsystems: - SMB network file s</t>
        </is>
      </c>
      <c r="D1354" s="188" t="n">
        <v>6.5</v>
      </c>
      <c r="E1354" s="188" t="inlineStr">
        <is>
          <t>MEDIUM</t>
        </is>
      </c>
      <c r="F1354" s="188" t="n">
        <v>2</v>
      </c>
      <c r="G1354" s="188" t="n">
        <v>2</v>
      </c>
      <c r="H1354" s="188" t="inlineStr">
        <is>
          <t>MEDIUM</t>
        </is>
      </c>
      <c r="I1354" s="188" t="n">
        <v>10.5</v>
      </c>
      <c r="J1354" s="188" t="inlineStr">
        <is>
          <t>NO</t>
        </is>
      </c>
      <c r="K1354" s="188" t="inlineStr">
        <is>
          <t>https://ubuntu.com/security/notices/USN-8059-5</t>
        </is>
      </c>
      <c r="L1354" s="188" t="inlineStr">
        <is>
          <t>2026-02-25</t>
        </is>
      </c>
      <c r="M1354" s="188" t="inlineStr">
        <is>
          <t>YES</t>
        </is>
      </c>
      <c r="N1354" s="188" t="inlineStr">
        <is>
          <t>apt-get update &amp;&amp; apt-get upgrade</t>
        </is>
      </c>
      <c r="O1354" s="188" t="inlineStr">
        <is>
          <t>Run: sudo apt-get update &amp;&amp; sudo apt-get upgrade</t>
        </is>
      </c>
      <c r="P1354" s="188" t="inlineStr">
        <is>
          <t>Ubuntu Linux</t>
        </is>
      </c>
      <c r="Q1354" s="188" t="inlineStr">
        <is>
          <t>P4</t>
        </is>
      </c>
      <c r="R1354" s="188" t="inlineStr">
        <is>
          <t>🔍 Investigate and apply appropriate controls</t>
        </is>
      </c>
      <c r="S1354" s="188" t="inlineStr">
        <is>
          <t>Ubuntu advisory - no IP context</t>
        </is>
      </c>
      <c r="T1354" s="188" t="n">
        <v>0</v>
      </c>
      <c r="U1354" s="188" t="n">
        <v>0</v>
      </c>
      <c r="V1354" s="188" t="inlineStr">
        <is>
          <t>T1068:Exploitation for Privilege Escalation</t>
        </is>
      </c>
      <c r="W1354" s="188" t="n">
        <v>1</v>
      </c>
      <c r="X1354" s="188" t="inlineStr">
        <is>
          <t>LOW (40%)</t>
        </is>
      </c>
      <c r="Y1354" s="188" t="inlineStr">
        <is>
          <t>CHECK_USN</t>
        </is>
      </c>
      <c r="Z1354" s="188" t="inlineStr">
        <is>
          <t>YES</t>
        </is>
      </c>
      <c r="AA1354" s="188" t="inlineStr">
        <is>
          <t>https://ubuntu.com/security/notices/USN-8059-5</t>
        </is>
      </c>
      <c r="AB1354" s="188" t="inlineStr">
        <is>
          <t>NONE</t>
        </is>
      </c>
      <c r="AC1354" s="188" t="n">
        <v>0</v>
      </c>
      <c r="AD1354" s="188" t="inlineStr"/>
    </row>
    <row r="1355">
      <c r="A1355" s="188" t="inlineStr">
        <is>
          <t>UBUNTU_SEC</t>
        </is>
      </c>
      <c r="B1355" s="188" t="inlineStr">
        <is>
          <t>USN-8059-4</t>
        </is>
      </c>
      <c r="C1355" s="188" t="inlineStr">
        <is>
          <t>USN-8059-4: Linux kernel (Real-time) vulnerabilities | Several security issues were discovered in the Linux kernel. An attacker could possibly use these to compromise the system. This update corrects flaws in the following subsystems: - SMB network file s</t>
        </is>
      </c>
      <c r="D1355" s="188" t="n">
        <v>6.5</v>
      </c>
      <c r="E1355" s="188" t="inlineStr">
        <is>
          <t>MEDIUM</t>
        </is>
      </c>
      <c r="F1355" s="188" t="n">
        <v>2</v>
      </c>
      <c r="G1355" s="188" t="n">
        <v>2</v>
      </c>
      <c r="H1355" s="188" t="inlineStr">
        <is>
          <t>MEDIUM</t>
        </is>
      </c>
      <c r="I1355" s="188" t="n">
        <v>10.5</v>
      </c>
      <c r="J1355" s="188" t="inlineStr">
        <is>
          <t>NO</t>
        </is>
      </c>
      <c r="K1355" s="188" t="inlineStr">
        <is>
          <t>https://ubuntu.com/security/notices/USN-8059-4</t>
        </is>
      </c>
      <c r="L1355" s="188" t="inlineStr">
        <is>
          <t>2026-02-25</t>
        </is>
      </c>
      <c r="M1355" s="188" t="inlineStr">
        <is>
          <t>YES</t>
        </is>
      </c>
      <c r="N1355" s="188" t="inlineStr">
        <is>
          <t>apt-get update &amp;&amp; apt-get upgrade</t>
        </is>
      </c>
      <c r="O1355" s="188" t="inlineStr">
        <is>
          <t>Run: sudo apt-get update &amp;&amp; sudo apt-get upgrade</t>
        </is>
      </c>
      <c r="P1355" s="188" t="inlineStr">
        <is>
          <t>Ubuntu Linux</t>
        </is>
      </c>
      <c r="Q1355" s="188" t="inlineStr">
        <is>
          <t>P4</t>
        </is>
      </c>
      <c r="R1355" s="188" t="inlineStr">
        <is>
          <t>🔍 Investigate and apply appropriate controls</t>
        </is>
      </c>
      <c r="S1355" s="188" t="inlineStr">
        <is>
          <t>Ubuntu advisory - no IP context</t>
        </is>
      </c>
      <c r="T1355" s="188" t="n">
        <v>0</v>
      </c>
      <c r="U1355" s="188" t="n">
        <v>0</v>
      </c>
      <c r="V1355" s="188" t="inlineStr">
        <is>
          <t>T1068:Exploitation for Privilege Escalation</t>
        </is>
      </c>
      <c r="W1355" s="188" t="n">
        <v>1</v>
      </c>
      <c r="X1355" s="188" t="inlineStr">
        <is>
          <t>LOW (40%)</t>
        </is>
      </c>
      <c r="Y1355" s="188" t="inlineStr">
        <is>
          <t>CHECK_USN</t>
        </is>
      </c>
      <c r="Z1355" s="188" t="inlineStr">
        <is>
          <t>YES</t>
        </is>
      </c>
      <c r="AA1355" s="188" t="inlineStr">
        <is>
          <t>https://ubuntu.com/security/notices/USN-8059-4</t>
        </is>
      </c>
      <c r="AB1355" s="188" t="inlineStr">
        <is>
          <t>NONE</t>
        </is>
      </c>
      <c r="AC1355" s="188" t="n">
        <v>0</v>
      </c>
      <c r="AD1355" s="188" t="inlineStr"/>
    </row>
    <row r="1356">
      <c r="A1356" s="188" t="inlineStr">
        <is>
          <t>TOR_EXIT</t>
        </is>
      </c>
      <c r="B1356" s="188" t="inlineStr">
        <is>
          <t>9a131c4cff23</t>
        </is>
      </c>
      <c r="C1356" s="188" t="inlineStr">
        <is>
          <t>Tor Exit Node: 101.99.92.198 | Traffic from this IP may be anonymized/malicious</t>
        </is>
      </c>
      <c r="D1356" s="188" t="n">
        <v>5</v>
      </c>
      <c r="E1356" s="188" t="inlineStr">
        <is>
          <t>MEDIUM</t>
        </is>
      </c>
      <c r="F1356" s="188" t="n">
        <v>2</v>
      </c>
      <c r="G1356" s="188" t="n">
        <v>1</v>
      </c>
      <c r="H1356" s="188" t="inlineStr">
        <is>
          <t>LOW</t>
        </is>
      </c>
      <c r="I1356" s="188" t="n">
        <v>7</v>
      </c>
      <c r="J1356" s="188" t="inlineStr">
        <is>
          <t>NO</t>
        </is>
      </c>
      <c r="K1356" s="188" t="inlineStr">
        <is>
          <t>https://check.torproject.org/</t>
        </is>
      </c>
      <c r="L1356" s="188" t="inlineStr">
        <is>
          <t>2026-02-27 20:47</t>
        </is>
      </c>
      <c r="M1356" s="188" t="inlineStr">
        <is>
          <t>Block or monitor</t>
        </is>
      </c>
      <c r="N1356" s="188" t="inlineStr">
        <is>
          <t>https://check.torproject.org/torbulkexitlist</t>
        </is>
      </c>
      <c r="O1356" s="188" t="inlineStr">
        <is>
          <t>Monitor traffic from Tor exit 101.99.92.198 | Apply policy controls</t>
        </is>
      </c>
      <c r="P1356" s="188" t="inlineStr">
        <is>
          <t>Network perimeter</t>
        </is>
      </c>
      <c r="Q1356" s="188" t="inlineStr">
        <is>
          <t>P4</t>
        </is>
      </c>
      <c r="R1356" s="188" t="inlineStr">
        <is>
          <t>🔍 Investigate and apply appropriate controls</t>
        </is>
      </c>
      <c r="S1356" s="188" t="inlineStr">
        <is>
          <t>Tor exit node - known anonymization service</t>
        </is>
      </c>
      <c r="T1356" s="188" t="n">
        <v>0</v>
      </c>
      <c r="U1356" s="188" t="n">
        <v>0</v>
      </c>
      <c r="V1356" s="188" t="inlineStr">
        <is>
          <t>T1090.003:Multi-hop Proxy</t>
        </is>
      </c>
      <c r="W1356" s="188" t="n">
        <v>1</v>
      </c>
      <c r="X1356" s="188" t="inlineStr">
        <is>
          <t>LOW (40%)</t>
        </is>
      </c>
      <c r="Y1356" s="188" t="inlineStr">
        <is>
          <t>NONE</t>
        </is>
      </c>
      <c r="Z1356" s="188" t="inlineStr">
        <is>
          <t>NONE</t>
        </is>
      </c>
      <c r="AA1356" s="188" t="inlineStr">
        <is>
          <t>NONE</t>
        </is>
      </c>
      <c r="AB1356" s="188" t="inlineStr">
        <is>
          <t>NONE</t>
        </is>
      </c>
      <c r="AC1356" s="188" t="n">
        <v>0</v>
      </c>
      <c r="AD1356" s="188" t="inlineStr"/>
    </row>
    <row r="1357">
      <c r="A1357" s="188" t="inlineStr">
        <is>
          <t>TOR_EXIT</t>
        </is>
      </c>
      <c r="B1357" s="188" t="inlineStr">
        <is>
          <t>1a091ce53664</t>
        </is>
      </c>
      <c r="C1357" s="188" t="inlineStr">
        <is>
          <t>Tor Exit Node: 45.95.169.99 | Traffic from this IP may be anonymized/malicious</t>
        </is>
      </c>
      <c r="D1357" s="188" t="n">
        <v>5</v>
      </c>
      <c r="E1357" s="188" t="inlineStr">
        <is>
          <t>MEDIUM</t>
        </is>
      </c>
      <c r="F1357" s="188" t="n">
        <v>2</v>
      </c>
      <c r="G1357" s="188" t="n">
        <v>1</v>
      </c>
      <c r="H1357" s="188" t="inlineStr">
        <is>
          <t>LOW</t>
        </is>
      </c>
      <c r="I1357" s="188" t="n">
        <v>7</v>
      </c>
      <c r="J1357" s="188" t="inlineStr">
        <is>
          <t>NO</t>
        </is>
      </c>
      <c r="K1357" s="188" t="inlineStr">
        <is>
          <t>https://check.torproject.org/</t>
        </is>
      </c>
      <c r="L1357" s="188" t="inlineStr">
        <is>
          <t>2026-02-27 20:47</t>
        </is>
      </c>
      <c r="M1357" s="188" t="inlineStr">
        <is>
          <t>Block or monitor</t>
        </is>
      </c>
      <c r="N1357" s="188" t="inlineStr">
        <is>
          <t>https://check.torproject.org/torbulkexitlist</t>
        </is>
      </c>
      <c r="O1357" s="188" t="inlineStr">
        <is>
          <t>Monitor traffic from Tor exit 45.95.169.99 | Apply policy controls</t>
        </is>
      </c>
      <c r="P1357" s="188" t="inlineStr">
        <is>
          <t>Network perimeter</t>
        </is>
      </c>
      <c r="Q1357" s="188" t="inlineStr">
        <is>
          <t>P4</t>
        </is>
      </c>
      <c r="R1357" s="188" t="inlineStr">
        <is>
          <t>🔍 Investigate and apply appropriate controls</t>
        </is>
      </c>
      <c r="S1357" s="188" t="inlineStr">
        <is>
          <t>Tor exit node - known anonymization service</t>
        </is>
      </c>
      <c r="T1357" s="188" t="n">
        <v>0</v>
      </c>
      <c r="U1357" s="188" t="n">
        <v>0</v>
      </c>
      <c r="V1357" s="188" t="inlineStr">
        <is>
          <t>T1090.003:Multi-hop Proxy</t>
        </is>
      </c>
      <c r="W1357" s="188" t="n">
        <v>1</v>
      </c>
      <c r="X1357" s="188" t="inlineStr">
        <is>
          <t>LOW (40%)</t>
        </is>
      </c>
      <c r="Y1357" s="188" t="inlineStr">
        <is>
          <t>NONE</t>
        </is>
      </c>
      <c r="Z1357" s="188" t="inlineStr">
        <is>
          <t>NONE</t>
        </is>
      </c>
      <c r="AA1357" s="188" t="inlineStr">
        <is>
          <t>NONE</t>
        </is>
      </c>
      <c r="AB1357" s="188" t="inlineStr">
        <is>
          <t>NONE</t>
        </is>
      </c>
      <c r="AC1357" s="188" t="n">
        <v>0</v>
      </c>
      <c r="AD1357" s="188" t="inlineStr"/>
    </row>
    <row r="1358">
      <c r="A1358" s="188" t="inlineStr">
        <is>
          <t>TOR_EXIT</t>
        </is>
      </c>
      <c r="B1358" s="188" t="inlineStr">
        <is>
          <t>6d3279b7f0a5</t>
        </is>
      </c>
      <c r="C1358" s="188" t="inlineStr">
        <is>
          <t>Tor Exit Node: 162.247.74.201 | Traffic from this IP may be anonymized/malicious</t>
        </is>
      </c>
      <c r="D1358" s="188" t="n">
        <v>5</v>
      </c>
      <c r="E1358" s="188" t="inlineStr">
        <is>
          <t>MEDIUM</t>
        </is>
      </c>
      <c r="F1358" s="188" t="n">
        <v>2</v>
      </c>
      <c r="G1358" s="188" t="n">
        <v>1</v>
      </c>
      <c r="H1358" s="188" t="inlineStr">
        <is>
          <t>LOW</t>
        </is>
      </c>
      <c r="I1358" s="188" t="n">
        <v>7</v>
      </c>
      <c r="J1358" s="188" t="inlineStr">
        <is>
          <t>NO</t>
        </is>
      </c>
      <c r="K1358" s="188" t="inlineStr">
        <is>
          <t>https://check.torproject.org/</t>
        </is>
      </c>
      <c r="L1358" s="188" t="inlineStr">
        <is>
          <t>2026-02-27 20:47</t>
        </is>
      </c>
      <c r="M1358" s="188" t="inlineStr">
        <is>
          <t>Block or monitor</t>
        </is>
      </c>
      <c r="N1358" s="188" t="inlineStr">
        <is>
          <t>https://check.torproject.org/torbulkexitlist</t>
        </is>
      </c>
      <c r="O1358" s="188" t="inlineStr">
        <is>
          <t>Monitor traffic from Tor exit 162.247.74.201 | Apply policy controls</t>
        </is>
      </c>
      <c r="P1358" s="188" t="inlineStr">
        <is>
          <t>Network perimeter</t>
        </is>
      </c>
      <c r="Q1358" s="188" t="inlineStr">
        <is>
          <t>P4</t>
        </is>
      </c>
      <c r="R1358" s="188" t="inlineStr">
        <is>
          <t>🔍 Investigate and apply appropriate controls</t>
        </is>
      </c>
      <c r="S1358" s="188" t="inlineStr">
        <is>
          <t>Tor exit node - known anonymization service</t>
        </is>
      </c>
      <c r="T1358" s="188" t="n">
        <v>0</v>
      </c>
      <c r="U1358" s="188" t="n">
        <v>0</v>
      </c>
      <c r="V1358" s="188" t="inlineStr">
        <is>
          <t>T1090.003:Multi-hop Proxy</t>
        </is>
      </c>
      <c r="W1358" s="188" t="n">
        <v>1</v>
      </c>
      <c r="X1358" s="188" t="inlineStr">
        <is>
          <t>LOW (40%)</t>
        </is>
      </c>
      <c r="Y1358" s="188" t="inlineStr">
        <is>
          <t>NONE</t>
        </is>
      </c>
      <c r="Z1358" s="188" t="inlineStr">
        <is>
          <t>NONE</t>
        </is>
      </c>
      <c r="AA1358" s="188" t="inlineStr">
        <is>
          <t>NONE</t>
        </is>
      </c>
      <c r="AB1358" s="188" t="inlineStr">
        <is>
          <t>NONE</t>
        </is>
      </c>
      <c r="AC1358" s="188" t="n">
        <v>0</v>
      </c>
      <c r="AD1358" s="188" t="inlineStr"/>
    </row>
    <row r="1359">
      <c r="A1359" s="188" t="inlineStr">
        <is>
          <t>TOR_EXIT</t>
        </is>
      </c>
      <c r="B1359" s="188" t="inlineStr">
        <is>
          <t>a512df97d614</t>
        </is>
      </c>
      <c r="C1359" s="188" t="inlineStr">
        <is>
          <t>Tor Exit Node: 185.195.71.3 | Traffic from this IP may be anonymized/malicious</t>
        </is>
      </c>
      <c r="D1359" s="188" t="n">
        <v>5</v>
      </c>
      <c r="E1359" s="188" t="inlineStr">
        <is>
          <t>MEDIUM</t>
        </is>
      </c>
      <c r="F1359" s="188" t="n">
        <v>2</v>
      </c>
      <c r="G1359" s="188" t="n">
        <v>1</v>
      </c>
      <c r="H1359" s="188" t="inlineStr">
        <is>
          <t>LOW</t>
        </is>
      </c>
      <c r="I1359" s="188" t="n">
        <v>7</v>
      </c>
      <c r="J1359" s="188" t="inlineStr">
        <is>
          <t>NO</t>
        </is>
      </c>
      <c r="K1359" s="188" t="inlineStr">
        <is>
          <t>https://check.torproject.org/</t>
        </is>
      </c>
      <c r="L1359" s="188" t="inlineStr">
        <is>
          <t>2026-02-27 20:47</t>
        </is>
      </c>
      <c r="M1359" s="188" t="inlineStr">
        <is>
          <t>Block or monitor</t>
        </is>
      </c>
      <c r="N1359" s="188" t="inlineStr">
        <is>
          <t>https://check.torproject.org/torbulkexitlist</t>
        </is>
      </c>
      <c r="O1359" s="188" t="inlineStr">
        <is>
          <t>Monitor traffic from Tor exit 185.195.71.3 | Apply policy controls</t>
        </is>
      </c>
      <c r="P1359" s="188" t="inlineStr">
        <is>
          <t>Network perimeter</t>
        </is>
      </c>
      <c r="Q1359" s="188" t="inlineStr">
        <is>
          <t>P4</t>
        </is>
      </c>
      <c r="R1359" s="188" t="inlineStr">
        <is>
          <t>🔍 Investigate and apply appropriate controls</t>
        </is>
      </c>
      <c r="S1359" s="188" t="inlineStr">
        <is>
          <t>Tor exit node - known anonymization service</t>
        </is>
      </c>
      <c r="T1359" s="188" t="n">
        <v>0</v>
      </c>
      <c r="U1359" s="188" t="n">
        <v>0</v>
      </c>
      <c r="V1359" s="188" t="inlineStr">
        <is>
          <t>T1090.003:Multi-hop Proxy</t>
        </is>
      </c>
      <c r="W1359" s="188" t="n">
        <v>1</v>
      </c>
      <c r="X1359" s="188" t="inlineStr">
        <is>
          <t>LOW (40%)</t>
        </is>
      </c>
      <c r="Y1359" s="188" t="inlineStr">
        <is>
          <t>NONE</t>
        </is>
      </c>
      <c r="Z1359" s="188" t="inlineStr">
        <is>
          <t>NONE</t>
        </is>
      </c>
      <c r="AA1359" s="188" t="inlineStr">
        <is>
          <t>NONE</t>
        </is>
      </c>
      <c r="AB1359" s="188" t="inlineStr">
        <is>
          <t>NONE</t>
        </is>
      </c>
      <c r="AC1359" s="188" t="n">
        <v>0</v>
      </c>
      <c r="AD1359" s="188" t="inlineStr"/>
    </row>
    <row r="1360">
      <c r="A1360" s="188" t="inlineStr">
        <is>
          <t>TOR_EXIT</t>
        </is>
      </c>
      <c r="B1360" s="188" t="inlineStr">
        <is>
          <t>13659a65d44e</t>
        </is>
      </c>
      <c r="C1360" s="188" t="inlineStr">
        <is>
          <t>Tor Exit Node: 185.220.101.128 | Traffic from this IP may be anonymized/malicious</t>
        </is>
      </c>
      <c r="D1360" s="188" t="n">
        <v>5</v>
      </c>
      <c r="E1360" s="188" t="inlineStr">
        <is>
          <t>MEDIUM</t>
        </is>
      </c>
      <c r="F1360" s="188" t="n">
        <v>2</v>
      </c>
      <c r="G1360" s="188" t="n">
        <v>1</v>
      </c>
      <c r="H1360" s="188" t="inlineStr">
        <is>
          <t>LOW</t>
        </is>
      </c>
      <c r="I1360" s="188" t="n">
        <v>7</v>
      </c>
      <c r="J1360" s="188" t="inlineStr">
        <is>
          <t>NO</t>
        </is>
      </c>
      <c r="K1360" s="188" t="inlineStr">
        <is>
          <t>https://check.torproject.org/</t>
        </is>
      </c>
      <c r="L1360" s="188" t="inlineStr">
        <is>
          <t>2026-02-27 20:47</t>
        </is>
      </c>
      <c r="M1360" s="188" t="inlineStr">
        <is>
          <t>Block or monitor</t>
        </is>
      </c>
      <c r="N1360" s="188" t="inlineStr">
        <is>
          <t>https://check.torproject.org/torbulkexitlist</t>
        </is>
      </c>
      <c r="O1360" s="188" t="inlineStr">
        <is>
          <t>Monitor traffic from Tor exit 185.220.101.128 | Apply policy controls</t>
        </is>
      </c>
      <c r="P1360" s="188" t="inlineStr">
        <is>
          <t>Network perimeter</t>
        </is>
      </c>
      <c r="Q1360" s="188" t="inlineStr">
        <is>
          <t>P4</t>
        </is>
      </c>
      <c r="R1360" s="188" t="inlineStr">
        <is>
          <t>🔍 Investigate and apply appropriate controls</t>
        </is>
      </c>
      <c r="S1360" s="188" t="inlineStr">
        <is>
          <t>Tor exit node - known anonymization service</t>
        </is>
      </c>
      <c r="T1360" s="188" t="n">
        <v>0</v>
      </c>
      <c r="U1360" s="188" t="n">
        <v>0</v>
      </c>
      <c r="V1360" s="188" t="inlineStr">
        <is>
          <t>T1090.003:Multi-hop Proxy</t>
        </is>
      </c>
      <c r="W1360" s="188" t="n">
        <v>1</v>
      </c>
      <c r="X1360" s="188" t="inlineStr">
        <is>
          <t>LOW (40%)</t>
        </is>
      </c>
      <c r="Y1360" s="188" t="inlineStr">
        <is>
          <t>NONE</t>
        </is>
      </c>
      <c r="Z1360" s="188" t="inlineStr">
        <is>
          <t>NONE</t>
        </is>
      </c>
      <c r="AA1360" s="188" t="inlineStr">
        <is>
          <t>NONE</t>
        </is>
      </c>
      <c r="AB1360" s="188" t="inlineStr">
        <is>
          <t>NONE</t>
        </is>
      </c>
      <c r="AC1360" s="188" t="n">
        <v>0</v>
      </c>
      <c r="AD1360" s="188" t="inlineStr"/>
    </row>
    <row r="1361">
      <c r="A1361" s="188" t="inlineStr">
        <is>
          <t>TOR_EXIT</t>
        </is>
      </c>
      <c r="B1361" s="188" t="inlineStr">
        <is>
          <t>6d7f7c8bc98f</t>
        </is>
      </c>
      <c r="C1361" s="188" t="inlineStr">
        <is>
          <t>Tor Exit Node: 45.80.158.205 | Traffic from this IP may be anonymized/malicious</t>
        </is>
      </c>
      <c r="D1361" s="188" t="n">
        <v>5</v>
      </c>
      <c r="E1361" s="188" t="inlineStr">
        <is>
          <t>MEDIUM</t>
        </is>
      </c>
      <c r="F1361" s="188" t="n">
        <v>2</v>
      </c>
      <c r="G1361" s="188" t="n">
        <v>1</v>
      </c>
      <c r="H1361" s="188" t="inlineStr">
        <is>
          <t>LOW</t>
        </is>
      </c>
      <c r="I1361" s="188" t="n">
        <v>7</v>
      </c>
      <c r="J1361" s="188" t="inlineStr">
        <is>
          <t>NO</t>
        </is>
      </c>
      <c r="K1361" s="188" t="inlineStr">
        <is>
          <t>https://check.torproject.org/</t>
        </is>
      </c>
      <c r="L1361" s="188" t="inlineStr">
        <is>
          <t>2026-02-27 20:47</t>
        </is>
      </c>
      <c r="M1361" s="188" t="inlineStr">
        <is>
          <t>Block or monitor</t>
        </is>
      </c>
      <c r="N1361" s="188" t="inlineStr">
        <is>
          <t>https://check.torproject.org/torbulkexitlist</t>
        </is>
      </c>
      <c r="O1361" s="188" t="inlineStr">
        <is>
          <t>Monitor traffic from Tor exit 45.80.158.205 | Apply policy controls</t>
        </is>
      </c>
      <c r="P1361" s="188" t="inlineStr">
        <is>
          <t>Network perimeter</t>
        </is>
      </c>
      <c r="Q1361" s="188" t="inlineStr">
        <is>
          <t>P4</t>
        </is>
      </c>
      <c r="R1361" s="188" t="inlineStr">
        <is>
          <t>🔍 Investigate and apply appropriate controls</t>
        </is>
      </c>
      <c r="S1361" s="188" t="inlineStr">
        <is>
          <t>Tor exit node - known anonymization service</t>
        </is>
      </c>
      <c r="T1361" s="188" t="n">
        <v>0</v>
      </c>
      <c r="U1361" s="188" t="n">
        <v>0</v>
      </c>
      <c r="V1361" s="188" t="inlineStr">
        <is>
          <t>T1090.003:Multi-hop Proxy</t>
        </is>
      </c>
      <c r="W1361" s="188" t="n">
        <v>1</v>
      </c>
      <c r="X1361" s="188" t="inlineStr">
        <is>
          <t>LOW (40%)</t>
        </is>
      </c>
      <c r="Y1361" s="188" t="inlineStr">
        <is>
          <t>NONE</t>
        </is>
      </c>
      <c r="Z1361" s="188" t="inlineStr">
        <is>
          <t>NONE</t>
        </is>
      </c>
      <c r="AA1361" s="188" t="inlineStr">
        <is>
          <t>NONE</t>
        </is>
      </c>
      <c r="AB1361" s="188" t="inlineStr">
        <is>
          <t>NONE</t>
        </is>
      </c>
      <c r="AC1361" s="188" t="n">
        <v>0</v>
      </c>
      <c r="AD1361" s="188" t="inlineStr"/>
    </row>
    <row r="1362">
      <c r="A1362" s="188" t="inlineStr">
        <is>
          <t>TOR_EXIT</t>
        </is>
      </c>
      <c r="B1362" s="188" t="inlineStr">
        <is>
          <t>b8c43bffb164</t>
        </is>
      </c>
      <c r="C1362" s="188" t="inlineStr">
        <is>
          <t>Tor Exit Node: 51.15.227.109 | Traffic from this IP may be anonymized/malicious</t>
        </is>
      </c>
      <c r="D1362" s="188" t="n">
        <v>5</v>
      </c>
      <c r="E1362" s="188" t="inlineStr">
        <is>
          <t>MEDIUM</t>
        </is>
      </c>
      <c r="F1362" s="188" t="n">
        <v>2</v>
      </c>
      <c r="G1362" s="188" t="n">
        <v>1</v>
      </c>
      <c r="H1362" s="188" t="inlineStr">
        <is>
          <t>LOW</t>
        </is>
      </c>
      <c r="I1362" s="188" t="n">
        <v>7</v>
      </c>
      <c r="J1362" s="188" t="inlineStr">
        <is>
          <t>NO</t>
        </is>
      </c>
      <c r="K1362" s="188" t="inlineStr">
        <is>
          <t>https://check.torproject.org/</t>
        </is>
      </c>
      <c r="L1362" s="188" t="inlineStr">
        <is>
          <t>2026-02-27 20:47</t>
        </is>
      </c>
      <c r="M1362" s="188" t="inlineStr">
        <is>
          <t>Block or monitor</t>
        </is>
      </c>
      <c r="N1362" s="188" t="inlineStr">
        <is>
          <t>https://check.torproject.org/torbulkexitlist</t>
        </is>
      </c>
      <c r="O1362" s="188" t="inlineStr">
        <is>
          <t>Monitor traffic from Tor exit 51.15.227.109 | Apply policy controls</t>
        </is>
      </c>
      <c r="P1362" s="188" t="inlineStr">
        <is>
          <t>Network perimeter</t>
        </is>
      </c>
      <c r="Q1362" s="188" t="inlineStr">
        <is>
          <t>P4</t>
        </is>
      </c>
      <c r="R1362" s="188" t="inlineStr">
        <is>
          <t>🔍 Investigate and apply appropriate controls</t>
        </is>
      </c>
      <c r="S1362" s="188" t="inlineStr">
        <is>
          <t>Tor exit node - known anonymization service</t>
        </is>
      </c>
      <c r="T1362" s="188" t="n">
        <v>0</v>
      </c>
      <c r="U1362" s="188" t="n">
        <v>0</v>
      </c>
      <c r="V1362" s="188" t="inlineStr">
        <is>
          <t>T1090.003:Multi-hop Proxy</t>
        </is>
      </c>
      <c r="W1362" s="188" t="n">
        <v>1</v>
      </c>
      <c r="X1362" s="188" t="inlineStr">
        <is>
          <t>LOW (40%)</t>
        </is>
      </c>
      <c r="Y1362" s="188" t="inlineStr">
        <is>
          <t>NONE</t>
        </is>
      </c>
      <c r="Z1362" s="188" t="inlineStr">
        <is>
          <t>NONE</t>
        </is>
      </c>
      <c r="AA1362" s="188" t="inlineStr">
        <is>
          <t>NONE</t>
        </is>
      </c>
      <c r="AB1362" s="188" t="inlineStr">
        <is>
          <t>NONE</t>
        </is>
      </c>
      <c r="AC1362" s="188" t="n">
        <v>0</v>
      </c>
      <c r="AD1362" s="188" t="inlineStr"/>
    </row>
    <row r="1363">
      <c r="A1363" s="188" t="inlineStr">
        <is>
          <t>TOR_EXIT</t>
        </is>
      </c>
      <c r="B1363" s="188" t="inlineStr">
        <is>
          <t>c0e70b28e0cb</t>
        </is>
      </c>
      <c r="C1363" s="188" t="inlineStr">
        <is>
          <t>Tor Exit Node: 45.138.16.230 | Traffic from this IP may be anonymized/malicious</t>
        </is>
      </c>
      <c r="D1363" s="188" t="n">
        <v>5</v>
      </c>
      <c r="E1363" s="188" t="inlineStr">
        <is>
          <t>MEDIUM</t>
        </is>
      </c>
      <c r="F1363" s="188" t="n">
        <v>2</v>
      </c>
      <c r="G1363" s="188" t="n">
        <v>1</v>
      </c>
      <c r="H1363" s="188" t="inlineStr">
        <is>
          <t>LOW</t>
        </is>
      </c>
      <c r="I1363" s="188" t="n">
        <v>7</v>
      </c>
      <c r="J1363" s="188" t="inlineStr">
        <is>
          <t>NO</t>
        </is>
      </c>
      <c r="K1363" s="188" t="inlineStr">
        <is>
          <t>https://check.torproject.org/</t>
        </is>
      </c>
      <c r="L1363" s="188" t="inlineStr">
        <is>
          <t>2026-02-27 20:47</t>
        </is>
      </c>
      <c r="M1363" s="188" t="inlineStr">
        <is>
          <t>Block or monitor</t>
        </is>
      </c>
      <c r="N1363" s="188" t="inlineStr">
        <is>
          <t>https://check.torproject.org/torbulkexitlist</t>
        </is>
      </c>
      <c r="O1363" s="188" t="inlineStr">
        <is>
          <t>Monitor traffic from Tor exit 45.138.16.230 | Apply policy controls</t>
        </is>
      </c>
      <c r="P1363" s="188" t="inlineStr">
        <is>
          <t>Network perimeter</t>
        </is>
      </c>
      <c r="Q1363" s="188" t="inlineStr">
        <is>
          <t>P4</t>
        </is>
      </c>
      <c r="R1363" s="188" t="inlineStr">
        <is>
          <t>🔍 Investigate and apply appropriate controls</t>
        </is>
      </c>
      <c r="S1363" s="188" t="inlineStr">
        <is>
          <t>Tor exit node - known anonymization service</t>
        </is>
      </c>
      <c r="T1363" s="188" t="n">
        <v>0</v>
      </c>
      <c r="U1363" s="188" t="n">
        <v>0</v>
      </c>
      <c r="V1363" s="188" t="inlineStr">
        <is>
          <t>T1090.003:Multi-hop Proxy</t>
        </is>
      </c>
      <c r="W1363" s="188" t="n">
        <v>1</v>
      </c>
      <c r="X1363" s="188" t="inlineStr">
        <is>
          <t>LOW (40%)</t>
        </is>
      </c>
      <c r="Y1363" s="188" t="inlineStr">
        <is>
          <t>NONE</t>
        </is>
      </c>
      <c r="Z1363" s="188" t="inlineStr">
        <is>
          <t>NONE</t>
        </is>
      </c>
      <c r="AA1363" s="188" t="inlineStr">
        <is>
          <t>NONE</t>
        </is>
      </c>
      <c r="AB1363" s="188" t="inlineStr">
        <is>
          <t>NONE</t>
        </is>
      </c>
      <c r="AC1363" s="188" t="n">
        <v>0</v>
      </c>
      <c r="AD1363" s="188" t="inlineStr"/>
    </row>
    <row r="1364">
      <c r="A1364" s="188" t="inlineStr">
        <is>
          <t>TOR_EXIT</t>
        </is>
      </c>
      <c r="B1364" s="188" t="inlineStr">
        <is>
          <t>37b536cb08f9</t>
        </is>
      </c>
      <c r="C1364" s="188" t="inlineStr">
        <is>
          <t>Tor Exit Node: 192.42.116.18 | Traffic from this IP may be anonymized/malicious</t>
        </is>
      </c>
      <c r="D1364" s="188" t="n">
        <v>5</v>
      </c>
      <c r="E1364" s="188" t="inlineStr">
        <is>
          <t>MEDIUM</t>
        </is>
      </c>
      <c r="F1364" s="188" t="n">
        <v>2</v>
      </c>
      <c r="G1364" s="188" t="n">
        <v>1</v>
      </c>
      <c r="H1364" s="188" t="inlineStr">
        <is>
          <t>LOW</t>
        </is>
      </c>
      <c r="I1364" s="188" t="n">
        <v>7</v>
      </c>
      <c r="J1364" s="188" t="inlineStr">
        <is>
          <t>NO</t>
        </is>
      </c>
      <c r="K1364" s="188" t="inlineStr">
        <is>
          <t>https://check.torproject.org/</t>
        </is>
      </c>
      <c r="L1364" s="188" t="inlineStr">
        <is>
          <t>2026-02-27 20:47</t>
        </is>
      </c>
      <c r="M1364" s="188" t="inlineStr">
        <is>
          <t>Block or monitor</t>
        </is>
      </c>
      <c r="N1364" s="188" t="inlineStr">
        <is>
          <t>https://check.torproject.org/torbulkexitlist</t>
        </is>
      </c>
      <c r="O1364" s="188" t="inlineStr">
        <is>
          <t>Monitor traffic from Tor exit 192.42.116.18 | Apply policy controls</t>
        </is>
      </c>
      <c r="P1364" s="188" t="inlineStr">
        <is>
          <t>Network perimeter</t>
        </is>
      </c>
      <c r="Q1364" s="188" t="inlineStr">
        <is>
          <t>P4</t>
        </is>
      </c>
      <c r="R1364" s="188" t="inlineStr">
        <is>
          <t>🔍 Investigate and apply appropriate controls</t>
        </is>
      </c>
      <c r="S1364" s="188" t="inlineStr">
        <is>
          <t>Tor exit node - known anonymization service</t>
        </is>
      </c>
      <c r="T1364" s="188" t="n">
        <v>0</v>
      </c>
      <c r="U1364" s="188" t="n">
        <v>0</v>
      </c>
      <c r="V1364" s="188" t="inlineStr">
        <is>
          <t>T1090.003:Multi-hop Proxy</t>
        </is>
      </c>
      <c r="W1364" s="188" t="n">
        <v>1</v>
      </c>
      <c r="X1364" s="188" t="inlineStr">
        <is>
          <t>LOW (40%)</t>
        </is>
      </c>
      <c r="Y1364" s="188" t="inlineStr">
        <is>
          <t>NONE</t>
        </is>
      </c>
      <c r="Z1364" s="188" t="inlineStr">
        <is>
          <t>NONE</t>
        </is>
      </c>
      <c r="AA1364" s="188" t="inlineStr">
        <is>
          <t>NONE</t>
        </is>
      </c>
      <c r="AB1364" s="188" t="inlineStr">
        <is>
          <t>NONE</t>
        </is>
      </c>
      <c r="AC1364" s="188" t="n">
        <v>0</v>
      </c>
      <c r="AD1364" s="188" t="inlineStr"/>
    </row>
    <row r="1365">
      <c r="A1365" s="188" t="inlineStr">
        <is>
          <t>TOR_EXIT</t>
        </is>
      </c>
      <c r="B1365" s="188" t="inlineStr">
        <is>
          <t>414d42cbb35d</t>
        </is>
      </c>
      <c r="C1365" s="188" t="inlineStr">
        <is>
          <t>Tor Exit Node: 185.129.61.1 | Traffic from this IP may be anonymized/malicious</t>
        </is>
      </c>
      <c r="D1365" s="188" t="n">
        <v>5</v>
      </c>
      <c r="E1365" s="188" t="inlineStr">
        <is>
          <t>MEDIUM</t>
        </is>
      </c>
      <c r="F1365" s="188" t="n">
        <v>2</v>
      </c>
      <c r="G1365" s="188" t="n">
        <v>1</v>
      </c>
      <c r="H1365" s="188" t="inlineStr">
        <is>
          <t>LOW</t>
        </is>
      </c>
      <c r="I1365" s="188" t="n">
        <v>7</v>
      </c>
      <c r="J1365" s="188" t="inlineStr">
        <is>
          <t>NO</t>
        </is>
      </c>
      <c r="K1365" s="188" t="inlineStr">
        <is>
          <t>https://check.torproject.org/</t>
        </is>
      </c>
      <c r="L1365" s="188" t="inlineStr">
        <is>
          <t>2026-02-27 20:47</t>
        </is>
      </c>
      <c r="M1365" s="188" t="inlineStr">
        <is>
          <t>Block or monitor</t>
        </is>
      </c>
      <c r="N1365" s="188" t="inlineStr">
        <is>
          <t>https://check.torproject.org/torbulkexitlist</t>
        </is>
      </c>
      <c r="O1365" s="188" t="inlineStr">
        <is>
          <t>Monitor traffic from Tor exit 185.129.61.1 | Apply policy controls</t>
        </is>
      </c>
      <c r="P1365" s="188" t="inlineStr">
        <is>
          <t>Network perimeter</t>
        </is>
      </c>
      <c r="Q1365" s="188" t="inlineStr">
        <is>
          <t>P4</t>
        </is>
      </c>
      <c r="R1365" s="188" t="inlineStr">
        <is>
          <t>🔍 Investigate and apply appropriate controls</t>
        </is>
      </c>
      <c r="S1365" s="188" t="inlineStr">
        <is>
          <t>Tor exit node - known anonymization service</t>
        </is>
      </c>
      <c r="T1365" s="188" t="n">
        <v>0</v>
      </c>
      <c r="U1365" s="188" t="n">
        <v>0</v>
      </c>
      <c r="V1365" s="188" t="inlineStr">
        <is>
          <t>T1090.003:Multi-hop Proxy</t>
        </is>
      </c>
      <c r="W1365" s="188" t="n">
        <v>1</v>
      </c>
      <c r="X1365" s="188" t="inlineStr">
        <is>
          <t>LOW (40%)</t>
        </is>
      </c>
      <c r="Y1365" s="188" t="inlineStr">
        <is>
          <t>NONE</t>
        </is>
      </c>
      <c r="Z1365" s="188" t="inlineStr">
        <is>
          <t>NONE</t>
        </is>
      </c>
      <c r="AA1365" s="188" t="inlineStr">
        <is>
          <t>NONE</t>
        </is>
      </c>
      <c r="AB1365" s="188" t="inlineStr">
        <is>
          <t>NONE</t>
        </is>
      </c>
      <c r="AC1365" s="188" t="n">
        <v>0</v>
      </c>
      <c r="AD1365" s="188" t="inlineStr"/>
    </row>
    <row r="1366">
      <c r="A1366" s="188" t="inlineStr">
        <is>
          <t>TOR_EXIT</t>
        </is>
      </c>
      <c r="B1366" s="188" t="inlineStr">
        <is>
          <t>289d35cbeaed</t>
        </is>
      </c>
      <c r="C1366" s="188" t="inlineStr">
        <is>
          <t>Tor Exit Node: 163.172.213.212 | Traffic from this IP may be anonymized/malicious</t>
        </is>
      </c>
      <c r="D1366" s="188" t="n">
        <v>5</v>
      </c>
      <c r="E1366" s="188" t="inlineStr">
        <is>
          <t>MEDIUM</t>
        </is>
      </c>
      <c r="F1366" s="188" t="n">
        <v>2</v>
      </c>
      <c r="G1366" s="188" t="n">
        <v>1</v>
      </c>
      <c r="H1366" s="188" t="inlineStr">
        <is>
          <t>LOW</t>
        </is>
      </c>
      <c r="I1366" s="188" t="n">
        <v>7</v>
      </c>
      <c r="J1366" s="188" t="inlineStr">
        <is>
          <t>NO</t>
        </is>
      </c>
      <c r="K1366" s="188" t="inlineStr">
        <is>
          <t>https://check.torproject.org/</t>
        </is>
      </c>
      <c r="L1366" s="188" t="inlineStr">
        <is>
          <t>2026-02-27 20:47</t>
        </is>
      </c>
      <c r="M1366" s="188" t="inlineStr">
        <is>
          <t>Block or monitor</t>
        </is>
      </c>
      <c r="N1366" s="188" t="inlineStr">
        <is>
          <t>https://check.torproject.org/torbulkexitlist</t>
        </is>
      </c>
      <c r="O1366" s="188" t="inlineStr">
        <is>
          <t>Monitor traffic from Tor exit 163.172.213.212 | Apply policy controls</t>
        </is>
      </c>
      <c r="P1366" s="188" t="inlineStr">
        <is>
          <t>Network perimeter</t>
        </is>
      </c>
      <c r="Q1366" s="188" t="inlineStr">
        <is>
          <t>P4</t>
        </is>
      </c>
      <c r="R1366" s="188" t="inlineStr">
        <is>
          <t>🔍 Investigate and apply appropriate controls</t>
        </is>
      </c>
      <c r="S1366" s="188" t="inlineStr">
        <is>
          <t>Tor exit node - known anonymization service</t>
        </is>
      </c>
      <c r="T1366" s="188" t="n">
        <v>0</v>
      </c>
      <c r="U1366" s="188" t="n">
        <v>0</v>
      </c>
      <c r="V1366" s="188" t="inlineStr">
        <is>
          <t>T1090.003:Multi-hop Proxy</t>
        </is>
      </c>
      <c r="W1366" s="188" t="n">
        <v>1</v>
      </c>
      <c r="X1366" s="188" t="inlineStr">
        <is>
          <t>LOW (40%)</t>
        </is>
      </c>
      <c r="Y1366" s="188" t="inlineStr">
        <is>
          <t>NONE</t>
        </is>
      </c>
      <c r="Z1366" s="188" t="inlineStr">
        <is>
          <t>NONE</t>
        </is>
      </c>
      <c r="AA1366" s="188" t="inlineStr">
        <is>
          <t>NONE</t>
        </is>
      </c>
      <c r="AB1366" s="188" t="inlineStr">
        <is>
          <t>NONE</t>
        </is>
      </c>
      <c r="AC1366" s="188" t="n">
        <v>0</v>
      </c>
      <c r="AD1366" s="188" t="inlineStr"/>
    </row>
    <row r="1367">
      <c r="A1367" s="188" t="inlineStr">
        <is>
          <t>TOR_EXIT</t>
        </is>
      </c>
      <c r="B1367" s="188" t="inlineStr">
        <is>
          <t>3091c7fb156e</t>
        </is>
      </c>
      <c r="C1367" s="188" t="inlineStr">
        <is>
          <t>Tor Exit Node: 185.220.101.109 | Traffic from this IP may be anonymized/malicious</t>
        </is>
      </c>
      <c r="D1367" s="188" t="n">
        <v>5</v>
      </c>
      <c r="E1367" s="188" t="inlineStr">
        <is>
          <t>MEDIUM</t>
        </is>
      </c>
      <c r="F1367" s="188" t="n">
        <v>2</v>
      </c>
      <c r="G1367" s="188" t="n">
        <v>1</v>
      </c>
      <c r="H1367" s="188" t="inlineStr">
        <is>
          <t>LOW</t>
        </is>
      </c>
      <c r="I1367" s="188" t="n">
        <v>7</v>
      </c>
      <c r="J1367" s="188" t="inlineStr">
        <is>
          <t>NO</t>
        </is>
      </c>
      <c r="K1367" s="188" t="inlineStr">
        <is>
          <t>https://check.torproject.org/</t>
        </is>
      </c>
      <c r="L1367" s="188" t="inlineStr">
        <is>
          <t>2026-02-27 20:47</t>
        </is>
      </c>
      <c r="M1367" s="188" t="inlineStr">
        <is>
          <t>Block or monitor</t>
        </is>
      </c>
      <c r="N1367" s="188" t="inlineStr">
        <is>
          <t>https://check.torproject.org/torbulkexitlist</t>
        </is>
      </c>
      <c r="O1367" s="188" t="inlineStr">
        <is>
          <t>Monitor traffic from Tor exit 185.220.101.109 | Apply policy controls</t>
        </is>
      </c>
      <c r="P1367" s="188" t="inlineStr">
        <is>
          <t>Network perimeter</t>
        </is>
      </c>
      <c r="Q1367" s="188" t="inlineStr">
        <is>
          <t>P4</t>
        </is>
      </c>
      <c r="R1367" s="188" t="inlineStr">
        <is>
          <t>🔍 Investigate and apply appropriate controls</t>
        </is>
      </c>
      <c r="S1367" s="188" t="inlineStr">
        <is>
          <t>Tor exit node - known anonymization service</t>
        </is>
      </c>
      <c r="T1367" s="188" t="n">
        <v>0</v>
      </c>
      <c r="U1367" s="188" t="n">
        <v>0</v>
      </c>
      <c r="V1367" s="188" t="inlineStr">
        <is>
          <t>T1090.003:Multi-hop Proxy</t>
        </is>
      </c>
      <c r="W1367" s="188" t="n">
        <v>1</v>
      </c>
      <c r="X1367" s="188" t="inlineStr">
        <is>
          <t>LOW (40%)</t>
        </is>
      </c>
      <c r="Y1367" s="188" t="inlineStr">
        <is>
          <t>NONE</t>
        </is>
      </c>
      <c r="Z1367" s="188" t="inlineStr">
        <is>
          <t>NONE</t>
        </is>
      </c>
      <c r="AA1367" s="188" t="inlineStr">
        <is>
          <t>NONE</t>
        </is>
      </c>
      <c r="AB1367" s="188" t="inlineStr">
        <is>
          <t>NONE</t>
        </is>
      </c>
      <c r="AC1367" s="188" t="n">
        <v>0</v>
      </c>
      <c r="AD1367" s="188" t="inlineStr"/>
    </row>
    <row r="1368">
      <c r="A1368" s="188" t="inlineStr">
        <is>
          <t>TOR_EXIT</t>
        </is>
      </c>
      <c r="B1368" s="188" t="inlineStr">
        <is>
          <t>25cbde4253f0</t>
        </is>
      </c>
      <c r="C1368" s="188" t="inlineStr">
        <is>
          <t>Tor Exit Node: 185.195.71.244 | Traffic from this IP may be anonymized/malicious</t>
        </is>
      </c>
      <c r="D1368" s="188" t="n">
        <v>5</v>
      </c>
      <c r="E1368" s="188" t="inlineStr">
        <is>
          <t>MEDIUM</t>
        </is>
      </c>
      <c r="F1368" s="188" t="n">
        <v>2</v>
      </c>
      <c r="G1368" s="188" t="n">
        <v>1</v>
      </c>
      <c r="H1368" s="188" t="inlineStr">
        <is>
          <t>LOW</t>
        </is>
      </c>
      <c r="I1368" s="188" t="n">
        <v>7</v>
      </c>
      <c r="J1368" s="188" t="inlineStr">
        <is>
          <t>NO</t>
        </is>
      </c>
      <c r="K1368" s="188" t="inlineStr">
        <is>
          <t>https://check.torproject.org/</t>
        </is>
      </c>
      <c r="L1368" s="188" t="inlineStr">
        <is>
          <t>2026-02-27 20:47</t>
        </is>
      </c>
      <c r="M1368" s="188" t="inlineStr">
        <is>
          <t>Block or monitor</t>
        </is>
      </c>
      <c r="N1368" s="188" t="inlineStr">
        <is>
          <t>https://check.torproject.org/torbulkexitlist</t>
        </is>
      </c>
      <c r="O1368" s="188" t="inlineStr">
        <is>
          <t>Monitor traffic from Tor exit 185.195.71.244 | Apply policy controls</t>
        </is>
      </c>
      <c r="P1368" s="188" t="inlineStr">
        <is>
          <t>Network perimeter</t>
        </is>
      </c>
      <c r="Q1368" s="188" t="inlineStr">
        <is>
          <t>P4</t>
        </is>
      </c>
      <c r="R1368" s="188" t="inlineStr">
        <is>
          <t>🔍 Investigate and apply appropriate controls</t>
        </is>
      </c>
      <c r="S1368" s="188" t="inlineStr">
        <is>
          <t>Tor exit node - known anonymization service</t>
        </is>
      </c>
      <c r="T1368" s="188" t="n">
        <v>0</v>
      </c>
      <c r="U1368" s="188" t="n">
        <v>0</v>
      </c>
      <c r="V1368" s="188" t="inlineStr">
        <is>
          <t>T1090.003:Multi-hop Proxy</t>
        </is>
      </c>
      <c r="W1368" s="188" t="n">
        <v>1</v>
      </c>
      <c r="X1368" s="188" t="inlineStr">
        <is>
          <t>LOW (40%)</t>
        </is>
      </c>
      <c r="Y1368" s="188" t="inlineStr">
        <is>
          <t>NONE</t>
        </is>
      </c>
      <c r="Z1368" s="188" t="inlineStr">
        <is>
          <t>NONE</t>
        </is>
      </c>
      <c r="AA1368" s="188" t="inlineStr">
        <is>
          <t>NONE</t>
        </is>
      </c>
      <c r="AB1368" s="188" t="inlineStr">
        <is>
          <t>NONE</t>
        </is>
      </c>
      <c r="AC1368" s="188" t="n">
        <v>0</v>
      </c>
      <c r="AD1368" s="188" t="inlineStr"/>
    </row>
    <row r="1369">
      <c r="A1369" s="188" t="inlineStr">
        <is>
          <t>TOR_EXIT</t>
        </is>
      </c>
      <c r="B1369" s="188" t="inlineStr">
        <is>
          <t>a55cb66009b7</t>
        </is>
      </c>
      <c r="C1369" s="188" t="inlineStr">
        <is>
          <t>Tor Exit Node: 86.104.194.13 | Traffic from this IP may be anonymized/malicious</t>
        </is>
      </c>
      <c r="D1369" s="188" t="n">
        <v>5</v>
      </c>
      <c r="E1369" s="188" t="inlineStr">
        <is>
          <t>MEDIUM</t>
        </is>
      </c>
      <c r="F1369" s="188" t="n">
        <v>2</v>
      </c>
      <c r="G1369" s="188" t="n">
        <v>1</v>
      </c>
      <c r="H1369" s="188" t="inlineStr">
        <is>
          <t>LOW</t>
        </is>
      </c>
      <c r="I1369" s="188" t="n">
        <v>7</v>
      </c>
      <c r="J1369" s="188" t="inlineStr">
        <is>
          <t>NO</t>
        </is>
      </c>
      <c r="K1369" s="188" t="inlineStr">
        <is>
          <t>https://check.torproject.org/</t>
        </is>
      </c>
      <c r="L1369" s="188" t="inlineStr">
        <is>
          <t>2026-02-27 20:47</t>
        </is>
      </c>
      <c r="M1369" s="188" t="inlineStr">
        <is>
          <t>Block or monitor</t>
        </is>
      </c>
      <c r="N1369" s="188" t="inlineStr">
        <is>
          <t>https://check.torproject.org/torbulkexitlist</t>
        </is>
      </c>
      <c r="O1369" s="188" t="inlineStr">
        <is>
          <t>Monitor traffic from Tor exit 86.104.194.13 | Apply policy controls</t>
        </is>
      </c>
      <c r="P1369" s="188" t="inlineStr">
        <is>
          <t>Network perimeter</t>
        </is>
      </c>
      <c r="Q1369" s="188" t="inlineStr">
        <is>
          <t>P4</t>
        </is>
      </c>
      <c r="R1369" s="188" t="inlineStr">
        <is>
          <t>🔍 Investigate and apply appropriate controls</t>
        </is>
      </c>
      <c r="S1369" s="188" t="inlineStr">
        <is>
          <t>Tor exit node - known anonymization service</t>
        </is>
      </c>
      <c r="T1369" s="188" t="n">
        <v>0</v>
      </c>
      <c r="U1369" s="188" t="n">
        <v>0</v>
      </c>
      <c r="V1369" s="188" t="inlineStr">
        <is>
          <t>T1090.003:Multi-hop Proxy</t>
        </is>
      </c>
      <c r="W1369" s="188" t="n">
        <v>1</v>
      </c>
      <c r="X1369" s="188" t="inlineStr">
        <is>
          <t>LOW (40%)</t>
        </is>
      </c>
      <c r="Y1369" s="188" t="inlineStr">
        <is>
          <t>NONE</t>
        </is>
      </c>
      <c r="Z1369" s="188" t="inlineStr">
        <is>
          <t>NONE</t>
        </is>
      </c>
      <c r="AA1369" s="188" t="inlineStr">
        <is>
          <t>NONE</t>
        </is>
      </c>
      <c r="AB1369" s="188" t="inlineStr">
        <is>
          <t>NONE</t>
        </is>
      </c>
      <c r="AC1369" s="188" t="n">
        <v>0</v>
      </c>
      <c r="AD1369" s="188" t="inlineStr"/>
    </row>
    <row r="1370">
      <c r="A1370" s="188" t="inlineStr">
        <is>
          <t>TOR_EXIT</t>
        </is>
      </c>
      <c r="B1370" s="188" t="inlineStr">
        <is>
          <t>9f00e28ff447</t>
        </is>
      </c>
      <c r="C1370" s="188" t="inlineStr">
        <is>
          <t>Tor Exit Node: 94.102.51.15 | Traffic from this IP may be anonymized/malicious</t>
        </is>
      </c>
      <c r="D1370" s="188" t="n">
        <v>5</v>
      </c>
      <c r="E1370" s="188" t="inlineStr">
        <is>
          <t>MEDIUM</t>
        </is>
      </c>
      <c r="F1370" s="188" t="n">
        <v>2</v>
      </c>
      <c r="G1370" s="188" t="n">
        <v>1</v>
      </c>
      <c r="H1370" s="188" t="inlineStr">
        <is>
          <t>LOW</t>
        </is>
      </c>
      <c r="I1370" s="188" t="n">
        <v>7</v>
      </c>
      <c r="J1370" s="188" t="inlineStr">
        <is>
          <t>NO</t>
        </is>
      </c>
      <c r="K1370" s="188" t="inlineStr">
        <is>
          <t>https://check.torproject.org/</t>
        </is>
      </c>
      <c r="L1370" s="188" t="inlineStr">
        <is>
          <t>2026-02-27 20:47</t>
        </is>
      </c>
      <c r="M1370" s="188" t="inlineStr">
        <is>
          <t>Block or monitor</t>
        </is>
      </c>
      <c r="N1370" s="188" t="inlineStr">
        <is>
          <t>https://check.torproject.org/torbulkexitlist</t>
        </is>
      </c>
      <c r="O1370" s="188" t="inlineStr">
        <is>
          <t>Monitor traffic from Tor exit 94.102.51.15 | Apply policy controls</t>
        </is>
      </c>
      <c r="P1370" s="188" t="inlineStr">
        <is>
          <t>Network perimeter</t>
        </is>
      </c>
      <c r="Q1370" s="188" t="inlineStr">
        <is>
          <t>P4</t>
        </is>
      </c>
      <c r="R1370" s="188" t="inlineStr">
        <is>
          <t>🔍 Investigate and apply appropriate controls</t>
        </is>
      </c>
      <c r="S1370" s="188" t="inlineStr">
        <is>
          <t>Tor exit node - known anonymization service</t>
        </is>
      </c>
      <c r="T1370" s="188" t="n">
        <v>0</v>
      </c>
      <c r="U1370" s="188" t="n">
        <v>0</v>
      </c>
      <c r="V1370" s="188" t="inlineStr">
        <is>
          <t>T1090.003:Multi-hop Proxy</t>
        </is>
      </c>
      <c r="W1370" s="188" t="n">
        <v>1</v>
      </c>
      <c r="X1370" s="188" t="inlineStr">
        <is>
          <t>LOW (40%)</t>
        </is>
      </c>
      <c r="Y1370" s="188" t="inlineStr">
        <is>
          <t>NONE</t>
        </is>
      </c>
      <c r="Z1370" s="188" t="inlineStr">
        <is>
          <t>NONE</t>
        </is>
      </c>
      <c r="AA1370" s="188" t="inlineStr">
        <is>
          <t>NONE</t>
        </is>
      </c>
      <c r="AB1370" s="188" t="inlineStr">
        <is>
          <t>NONE</t>
        </is>
      </c>
      <c r="AC1370" s="188" t="n">
        <v>0</v>
      </c>
      <c r="AD1370" s="188" t="inlineStr"/>
    </row>
    <row r="1371">
      <c r="A1371" s="188" t="inlineStr">
        <is>
          <t>TOR_EXIT</t>
        </is>
      </c>
      <c r="B1371" s="188" t="inlineStr">
        <is>
          <t>e5691e2ab50c</t>
        </is>
      </c>
      <c r="C1371" s="188" t="inlineStr">
        <is>
          <t>Tor Exit Node: 74.207.248.172 | Traffic from this IP may be anonymized/malicious</t>
        </is>
      </c>
      <c r="D1371" s="188" t="n">
        <v>5</v>
      </c>
      <c r="E1371" s="188" t="inlineStr">
        <is>
          <t>MEDIUM</t>
        </is>
      </c>
      <c r="F1371" s="188" t="n">
        <v>2</v>
      </c>
      <c r="G1371" s="188" t="n">
        <v>1</v>
      </c>
      <c r="H1371" s="188" t="inlineStr">
        <is>
          <t>LOW</t>
        </is>
      </c>
      <c r="I1371" s="188" t="n">
        <v>7</v>
      </c>
      <c r="J1371" s="188" t="inlineStr">
        <is>
          <t>NO</t>
        </is>
      </c>
      <c r="K1371" s="188" t="inlineStr">
        <is>
          <t>https://check.torproject.org/</t>
        </is>
      </c>
      <c r="L1371" s="188" t="inlineStr">
        <is>
          <t>2026-02-27 20:47</t>
        </is>
      </c>
      <c r="M1371" s="188" t="inlineStr">
        <is>
          <t>Block or monitor</t>
        </is>
      </c>
      <c r="N1371" s="188" t="inlineStr">
        <is>
          <t>https://check.torproject.org/torbulkexitlist</t>
        </is>
      </c>
      <c r="O1371" s="188" t="inlineStr">
        <is>
          <t>Monitor traffic from Tor exit 74.207.248.172 | Apply policy controls</t>
        </is>
      </c>
      <c r="P1371" s="188" t="inlineStr">
        <is>
          <t>Network perimeter</t>
        </is>
      </c>
      <c r="Q1371" s="188" t="inlineStr">
        <is>
          <t>P4</t>
        </is>
      </c>
      <c r="R1371" s="188" t="inlineStr">
        <is>
          <t>🔍 Investigate and apply appropriate controls</t>
        </is>
      </c>
      <c r="S1371" s="188" t="inlineStr">
        <is>
          <t>Tor exit node - known anonymization service</t>
        </is>
      </c>
      <c r="T1371" s="188" t="n">
        <v>0</v>
      </c>
      <c r="U1371" s="188" t="n">
        <v>0</v>
      </c>
      <c r="V1371" s="188" t="inlineStr">
        <is>
          <t>T1090.003:Multi-hop Proxy</t>
        </is>
      </c>
      <c r="W1371" s="188" t="n">
        <v>1</v>
      </c>
      <c r="X1371" s="188" t="inlineStr">
        <is>
          <t>LOW (40%)</t>
        </is>
      </c>
      <c r="Y1371" s="188" t="inlineStr">
        <is>
          <t>NONE</t>
        </is>
      </c>
      <c r="Z1371" s="188" t="inlineStr">
        <is>
          <t>NONE</t>
        </is>
      </c>
      <c r="AA1371" s="188" t="inlineStr">
        <is>
          <t>NONE</t>
        </is>
      </c>
      <c r="AB1371" s="188" t="inlineStr">
        <is>
          <t>NONE</t>
        </is>
      </c>
      <c r="AC1371" s="188" t="n">
        <v>0</v>
      </c>
      <c r="AD1371" s="188" t="inlineStr"/>
    </row>
    <row r="1372">
      <c r="A1372" s="188" t="inlineStr">
        <is>
          <t>TOR_EXIT</t>
        </is>
      </c>
      <c r="B1372" s="188" t="inlineStr">
        <is>
          <t>953f788997ad</t>
        </is>
      </c>
      <c r="C1372" s="188" t="inlineStr">
        <is>
          <t>Tor Exit Node: 195.80.151.30 | Traffic from this IP may be anonymized/malicious</t>
        </is>
      </c>
      <c r="D1372" s="188" t="n">
        <v>5</v>
      </c>
      <c r="E1372" s="188" t="inlineStr">
        <is>
          <t>MEDIUM</t>
        </is>
      </c>
      <c r="F1372" s="188" t="n">
        <v>2</v>
      </c>
      <c r="G1372" s="188" t="n">
        <v>1</v>
      </c>
      <c r="H1372" s="188" t="inlineStr">
        <is>
          <t>LOW</t>
        </is>
      </c>
      <c r="I1372" s="188" t="n">
        <v>7</v>
      </c>
      <c r="J1372" s="188" t="inlineStr">
        <is>
          <t>NO</t>
        </is>
      </c>
      <c r="K1372" s="188" t="inlineStr">
        <is>
          <t>https://check.torproject.org/</t>
        </is>
      </c>
      <c r="L1372" s="188" t="inlineStr">
        <is>
          <t>2026-02-27 20:47</t>
        </is>
      </c>
      <c r="M1372" s="188" t="inlineStr">
        <is>
          <t>Block or monitor</t>
        </is>
      </c>
      <c r="N1372" s="188" t="inlineStr">
        <is>
          <t>https://check.torproject.org/torbulkexitlist</t>
        </is>
      </c>
      <c r="O1372" s="188" t="inlineStr">
        <is>
          <t>Monitor traffic from Tor exit 195.80.151.30 | Apply policy controls</t>
        </is>
      </c>
      <c r="P1372" s="188" t="inlineStr">
        <is>
          <t>Network perimeter</t>
        </is>
      </c>
      <c r="Q1372" s="188" t="inlineStr">
        <is>
          <t>P4</t>
        </is>
      </c>
      <c r="R1372" s="188" t="inlineStr">
        <is>
          <t>🔍 Investigate and apply appropriate controls</t>
        </is>
      </c>
      <c r="S1372" s="188" t="inlineStr">
        <is>
          <t>Tor exit node - known anonymization service</t>
        </is>
      </c>
      <c r="T1372" s="188" t="n">
        <v>0</v>
      </c>
      <c r="U1372" s="188" t="n">
        <v>0</v>
      </c>
      <c r="V1372" s="188" t="inlineStr">
        <is>
          <t>T1090.003:Multi-hop Proxy</t>
        </is>
      </c>
      <c r="W1372" s="188" t="n">
        <v>1</v>
      </c>
      <c r="X1372" s="188" t="inlineStr">
        <is>
          <t>LOW (40%)</t>
        </is>
      </c>
      <c r="Y1372" s="188" t="inlineStr">
        <is>
          <t>NONE</t>
        </is>
      </c>
      <c r="Z1372" s="188" t="inlineStr">
        <is>
          <t>NONE</t>
        </is>
      </c>
      <c r="AA1372" s="188" t="inlineStr">
        <is>
          <t>NONE</t>
        </is>
      </c>
      <c r="AB1372" s="188" t="inlineStr">
        <is>
          <t>NONE</t>
        </is>
      </c>
      <c r="AC1372" s="188" t="n">
        <v>0</v>
      </c>
      <c r="AD1372" s="188" t="inlineStr"/>
    </row>
    <row r="1373">
      <c r="A1373" s="188" t="inlineStr">
        <is>
          <t>TOR_EXIT</t>
        </is>
      </c>
      <c r="B1373" s="188" t="inlineStr">
        <is>
          <t>70a91b15cc91</t>
        </is>
      </c>
      <c r="C1373" s="188" t="inlineStr">
        <is>
          <t>Tor Exit Node: 185.241.208.243 | Traffic from this IP may be anonymized/malicious</t>
        </is>
      </c>
      <c r="D1373" s="188" t="n">
        <v>5</v>
      </c>
      <c r="E1373" s="188" t="inlineStr">
        <is>
          <t>MEDIUM</t>
        </is>
      </c>
      <c r="F1373" s="188" t="n">
        <v>2</v>
      </c>
      <c r="G1373" s="188" t="n">
        <v>1</v>
      </c>
      <c r="H1373" s="188" t="inlineStr">
        <is>
          <t>LOW</t>
        </is>
      </c>
      <c r="I1373" s="188" t="n">
        <v>7</v>
      </c>
      <c r="J1373" s="188" t="inlineStr">
        <is>
          <t>NO</t>
        </is>
      </c>
      <c r="K1373" s="188" t="inlineStr">
        <is>
          <t>https://check.torproject.org/</t>
        </is>
      </c>
      <c r="L1373" s="188" t="inlineStr">
        <is>
          <t>2026-02-27 20:47</t>
        </is>
      </c>
      <c r="M1373" s="188" t="inlineStr">
        <is>
          <t>Block or monitor</t>
        </is>
      </c>
      <c r="N1373" s="188" t="inlineStr">
        <is>
          <t>https://check.torproject.org/torbulkexitlist</t>
        </is>
      </c>
      <c r="O1373" s="188" t="inlineStr">
        <is>
          <t>Monitor traffic from Tor exit 185.241.208.243 | Apply policy controls</t>
        </is>
      </c>
      <c r="P1373" s="188" t="inlineStr">
        <is>
          <t>Network perimeter</t>
        </is>
      </c>
      <c r="Q1373" s="188" t="inlineStr">
        <is>
          <t>P4</t>
        </is>
      </c>
      <c r="R1373" s="188" t="inlineStr">
        <is>
          <t>🔍 Investigate and apply appropriate controls</t>
        </is>
      </c>
      <c r="S1373" s="188" t="inlineStr">
        <is>
          <t>Tor exit node - known anonymization service</t>
        </is>
      </c>
      <c r="T1373" s="188" t="n">
        <v>0</v>
      </c>
      <c r="U1373" s="188" t="n">
        <v>0</v>
      </c>
      <c r="V1373" s="188" t="inlineStr">
        <is>
          <t>T1090.003:Multi-hop Proxy</t>
        </is>
      </c>
      <c r="W1373" s="188" t="n">
        <v>1</v>
      </c>
      <c r="X1373" s="188" t="inlineStr">
        <is>
          <t>LOW (40%)</t>
        </is>
      </c>
      <c r="Y1373" s="188" t="inlineStr">
        <is>
          <t>NONE</t>
        </is>
      </c>
      <c r="Z1373" s="188" t="inlineStr">
        <is>
          <t>NONE</t>
        </is>
      </c>
      <c r="AA1373" s="188" t="inlineStr">
        <is>
          <t>NONE</t>
        </is>
      </c>
      <c r="AB1373" s="188" t="inlineStr">
        <is>
          <t>NONE</t>
        </is>
      </c>
      <c r="AC1373" s="188" t="n">
        <v>0</v>
      </c>
      <c r="AD1373" s="188" t="inlineStr"/>
    </row>
    <row r="1374">
      <c r="A1374" s="188" t="inlineStr">
        <is>
          <t>TOR_EXIT</t>
        </is>
      </c>
      <c r="B1374" s="188" t="inlineStr">
        <is>
          <t>3074c8e65f65</t>
        </is>
      </c>
      <c r="C1374" s="188" t="inlineStr">
        <is>
          <t>Tor Exit Node: 185.220.101.1 | Traffic from this IP may be anonymized/malicious</t>
        </is>
      </c>
      <c r="D1374" s="188" t="n">
        <v>5</v>
      </c>
      <c r="E1374" s="188" t="inlineStr">
        <is>
          <t>MEDIUM</t>
        </is>
      </c>
      <c r="F1374" s="188" t="n">
        <v>2</v>
      </c>
      <c r="G1374" s="188" t="n">
        <v>1</v>
      </c>
      <c r="H1374" s="188" t="inlineStr">
        <is>
          <t>LOW</t>
        </is>
      </c>
      <c r="I1374" s="188" t="n">
        <v>7</v>
      </c>
      <c r="J1374" s="188" t="inlineStr">
        <is>
          <t>NO</t>
        </is>
      </c>
      <c r="K1374" s="188" t="inlineStr">
        <is>
          <t>https://check.torproject.org/</t>
        </is>
      </c>
      <c r="L1374" s="188" t="inlineStr">
        <is>
          <t>2026-02-27 20:47</t>
        </is>
      </c>
      <c r="M1374" s="188" t="inlineStr">
        <is>
          <t>Block or monitor</t>
        </is>
      </c>
      <c r="N1374" s="188" t="inlineStr">
        <is>
          <t>https://check.torproject.org/torbulkexitlist</t>
        </is>
      </c>
      <c r="O1374" s="188" t="inlineStr">
        <is>
          <t>Monitor traffic from Tor exit 185.220.101.1 | Apply policy controls</t>
        </is>
      </c>
      <c r="P1374" s="188" t="inlineStr">
        <is>
          <t>Network perimeter</t>
        </is>
      </c>
      <c r="Q1374" s="188" t="inlineStr">
        <is>
          <t>P4</t>
        </is>
      </c>
      <c r="R1374" s="188" t="inlineStr">
        <is>
          <t>🔍 Investigate and apply appropriate controls</t>
        </is>
      </c>
      <c r="S1374" s="188" t="inlineStr">
        <is>
          <t>Tor exit node - known anonymization service</t>
        </is>
      </c>
      <c r="T1374" s="188" t="n">
        <v>0</v>
      </c>
      <c r="U1374" s="188" t="n">
        <v>0</v>
      </c>
      <c r="V1374" s="188" t="inlineStr">
        <is>
          <t>T1090.003:Multi-hop Proxy</t>
        </is>
      </c>
      <c r="W1374" s="188" t="n">
        <v>1</v>
      </c>
      <c r="X1374" s="188" t="inlineStr">
        <is>
          <t>LOW (40%)</t>
        </is>
      </c>
      <c r="Y1374" s="188" t="inlineStr">
        <is>
          <t>NONE</t>
        </is>
      </c>
      <c r="Z1374" s="188" t="inlineStr">
        <is>
          <t>NONE</t>
        </is>
      </c>
      <c r="AA1374" s="188" t="inlineStr">
        <is>
          <t>NONE</t>
        </is>
      </c>
      <c r="AB1374" s="188" t="inlineStr">
        <is>
          <t>NONE</t>
        </is>
      </c>
      <c r="AC1374" s="188" t="n">
        <v>0</v>
      </c>
      <c r="AD1374" s="188" t="inlineStr"/>
    </row>
    <row r="1375">
      <c r="A1375" s="188" t="inlineStr">
        <is>
          <t>TOR_EXIT</t>
        </is>
      </c>
      <c r="B1375" s="188" t="inlineStr">
        <is>
          <t>55e12e23847e</t>
        </is>
      </c>
      <c r="C1375" s="188" t="inlineStr">
        <is>
          <t>Tor Exit Node: 185.181.61.18 | Traffic from this IP may be anonymized/malicious</t>
        </is>
      </c>
      <c r="D1375" s="188" t="n">
        <v>5</v>
      </c>
      <c r="E1375" s="188" t="inlineStr">
        <is>
          <t>MEDIUM</t>
        </is>
      </c>
      <c r="F1375" s="188" t="n">
        <v>2</v>
      </c>
      <c r="G1375" s="188" t="n">
        <v>1</v>
      </c>
      <c r="H1375" s="188" t="inlineStr">
        <is>
          <t>LOW</t>
        </is>
      </c>
      <c r="I1375" s="188" t="n">
        <v>7</v>
      </c>
      <c r="J1375" s="188" t="inlineStr">
        <is>
          <t>NO</t>
        </is>
      </c>
      <c r="K1375" s="188" t="inlineStr">
        <is>
          <t>https://check.torproject.org/</t>
        </is>
      </c>
      <c r="L1375" s="188" t="inlineStr">
        <is>
          <t>2026-02-27 20:47</t>
        </is>
      </c>
      <c r="M1375" s="188" t="inlineStr">
        <is>
          <t>Block or monitor</t>
        </is>
      </c>
      <c r="N1375" s="188" t="inlineStr">
        <is>
          <t>https://check.torproject.org/torbulkexitlist</t>
        </is>
      </c>
      <c r="O1375" s="188" t="inlineStr">
        <is>
          <t>Monitor traffic from Tor exit 185.181.61.18 | Apply policy controls</t>
        </is>
      </c>
      <c r="P1375" s="188" t="inlineStr">
        <is>
          <t>Network perimeter</t>
        </is>
      </c>
      <c r="Q1375" s="188" t="inlineStr">
        <is>
          <t>P4</t>
        </is>
      </c>
      <c r="R1375" s="188" t="inlineStr">
        <is>
          <t>🔍 Investigate and apply appropriate controls</t>
        </is>
      </c>
      <c r="S1375" s="188" t="inlineStr">
        <is>
          <t>Tor exit node - known anonymization service</t>
        </is>
      </c>
      <c r="T1375" s="188" t="n">
        <v>0</v>
      </c>
      <c r="U1375" s="188" t="n">
        <v>0</v>
      </c>
      <c r="V1375" s="188" t="inlineStr">
        <is>
          <t>T1090.003:Multi-hop Proxy</t>
        </is>
      </c>
      <c r="W1375" s="188" t="n">
        <v>1</v>
      </c>
      <c r="X1375" s="188" t="inlineStr">
        <is>
          <t>LOW (40%)</t>
        </is>
      </c>
      <c r="Y1375" s="188" t="inlineStr">
        <is>
          <t>NONE</t>
        </is>
      </c>
      <c r="Z1375" s="188" t="inlineStr">
        <is>
          <t>NONE</t>
        </is>
      </c>
      <c r="AA1375" s="188" t="inlineStr">
        <is>
          <t>NONE</t>
        </is>
      </c>
      <c r="AB1375" s="188" t="inlineStr">
        <is>
          <t>NONE</t>
        </is>
      </c>
      <c r="AC1375" s="188" t="n">
        <v>0</v>
      </c>
      <c r="AD1375" s="188" t="inlineStr"/>
    </row>
    <row r="1376">
      <c r="A1376" s="188" t="inlineStr">
        <is>
          <t>TOR_EXIT</t>
        </is>
      </c>
      <c r="B1376" s="188" t="inlineStr">
        <is>
          <t>756d560e03cd</t>
        </is>
      </c>
      <c r="C1376" s="188" t="inlineStr">
        <is>
          <t>Tor Exit Node: 81.19.137.127 | Traffic from this IP may be anonymized/malicious</t>
        </is>
      </c>
      <c r="D1376" s="188" t="n">
        <v>5</v>
      </c>
      <c r="E1376" s="188" t="inlineStr">
        <is>
          <t>MEDIUM</t>
        </is>
      </c>
      <c r="F1376" s="188" t="n">
        <v>2</v>
      </c>
      <c r="G1376" s="188" t="n">
        <v>1</v>
      </c>
      <c r="H1376" s="188" t="inlineStr">
        <is>
          <t>LOW</t>
        </is>
      </c>
      <c r="I1376" s="188" t="n">
        <v>7</v>
      </c>
      <c r="J1376" s="188" t="inlineStr">
        <is>
          <t>NO</t>
        </is>
      </c>
      <c r="K1376" s="188" t="inlineStr">
        <is>
          <t>https://check.torproject.org/</t>
        </is>
      </c>
      <c r="L1376" s="188" t="inlineStr">
        <is>
          <t>2026-02-27 20:47</t>
        </is>
      </c>
      <c r="M1376" s="188" t="inlineStr">
        <is>
          <t>Block or monitor</t>
        </is>
      </c>
      <c r="N1376" s="188" t="inlineStr">
        <is>
          <t>https://check.torproject.org/torbulkexitlist</t>
        </is>
      </c>
      <c r="O1376" s="188" t="inlineStr">
        <is>
          <t>Monitor traffic from Tor exit 81.19.137.127 | Apply policy controls</t>
        </is>
      </c>
      <c r="P1376" s="188" t="inlineStr">
        <is>
          <t>Network perimeter</t>
        </is>
      </c>
      <c r="Q1376" s="188" t="inlineStr">
        <is>
          <t>P4</t>
        </is>
      </c>
      <c r="R1376" s="188" t="inlineStr">
        <is>
          <t>🔍 Investigate and apply appropriate controls</t>
        </is>
      </c>
      <c r="S1376" s="188" t="inlineStr">
        <is>
          <t>Tor exit node - known anonymization service</t>
        </is>
      </c>
      <c r="T1376" s="188" t="n">
        <v>0</v>
      </c>
      <c r="U1376" s="188" t="n">
        <v>0</v>
      </c>
      <c r="V1376" s="188" t="inlineStr">
        <is>
          <t>T1090.003:Multi-hop Proxy</t>
        </is>
      </c>
      <c r="W1376" s="188" t="n">
        <v>1</v>
      </c>
      <c r="X1376" s="188" t="inlineStr">
        <is>
          <t>LOW (40%)</t>
        </is>
      </c>
      <c r="Y1376" s="188" t="inlineStr">
        <is>
          <t>NONE</t>
        </is>
      </c>
      <c r="Z1376" s="188" t="inlineStr">
        <is>
          <t>NONE</t>
        </is>
      </c>
      <c r="AA1376" s="188" t="inlineStr">
        <is>
          <t>NONE</t>
        </is>
      </c>
      <c r="AB1376" s="188" t="inlineStr">
        <is>
          <t>NONE</t>
        </is>
      </c>
      <c r="AC1376" s="188" t="n">
        <v>0</v>
      </c>
      <c r="AD1376" s="188" t="inlineStr"/>
    </row>
    <row r="1377">
      <c r="A1377" s="188" t="inlineStr">
        <is>
          <t>TOR_EXIT</t>
        </is>
      </c>
      <c r="B1377" s="188" t="inlineStr">
        <is>
          <t>dcfe9e0ae506</t>
        </is>
      </c>
      <c r="C1377" s="188" t="inlineStr">
        <is>
          <t>Tor Exit Node: 103.81.180.100 | Traffic from this IP may be anonymized/malicious</t>
        </is>
      </c>
      <c r="D1377" s="188" t="n">
        <v>5</v>
      </c>
      <c r="E1377" s="188" t="inlineStr">
        <is>
          <t>MEDIUM</t>
        </is>
      </c>
      <c r="F1377" s="188" t="n">
        <v>2</v>
      </c>
      <c r="G1377" s="188" t="n">
        <v>1</v>
      </c>
      <c r="H1377" s="188" t="inlineStr">
        <is>
          <t>LOW</t>
        </is>
      </c>
      <c r="I1377" s="188" t="n">
        <v>7</v>
      </c>
      <c r="J1377" s="188" t="inlineStr">
        <is>
          <t>NO</t>
        </is>
      </c>
      <c r="K1377" s="188" t="inlineStr">
        <is>
          <t>https://check.torproject.org/</t>
        </is>
      </c>
      <c r="L1377" s="188" t="inlineStr">
        <is>
          <t>2026-02-27 20:47</t>
        </is>
      </c>
      <c r="M1377" s="188" t="inlineStr">
        <is>
          <t>Block or monitor</t>
        </is>
      </c>
      <c r="N1377" s="188" t="inlineStr">
        <is>
          <t>https://check.torproject.org/torbulkexitlist</t>
        </is>
      </c>
      <c r="O1377" s="188" t="inlineStr">
        <is>
          <t>Monitor traffic from Tor exit 103.81.180.100 | Apply policy controls</t>
        </is>
      </c>
      <c r="P1377" s="188" t="inlineStr">
        <is>
          <t>Network perimeter</t>
        </is>
      </c>
      <c r="Q1377" s="188" t="inlineStr">
        <is>
          <t>P4</t>
        </is>
      </c>
      <c r="R1377" s="188" t="inlineStr">
        <is>
          <t>🔍 Investigate and apply appropriate controls</t>
        </is>
      </c>
      <c r="S1377" s="188" t="inlineStr">
        <is>
          <t>Tor exit node - known anonymization service</t>
        </is>
      </c>
      <c r="T1377" s="188" t="n">
        <v>0</v>
      </c>
      <c r="U1377" s="188" t="n">
        <v>0</v>
      </c>
      <c r="V1377" s="188" t="inlineStr">
        <is>
          <t>T1090.003:Multi-hop Proxy</t>
        </is>
      </c>
      <c r="W1377" s="188" t="n">
        <v>1</v>
      </c>
      <c r="X1377" s="188" t="inlineStr">
        <is>
          <t>LOW (40%)</t>
        </is>
      </c>
      <c r="Y1377" s="188" t="inlineStr">
        <is>
          <t>NONE</t>
        </is>
      </c>
      <c r="Z1377" s="188" t="inlineStr">
        <is>
          <t>NONE</t>
        </is>
      </c>
      <c r="AA1377" s="188" t="inlineStr">
        <is>
          <t>NONE</t>
        </is>
      </c>
      <c r="AB1377" s="188" t="inlineStr">
        <is>
          <t>NONE</t>
        </is>
      </c>
      <c r="AC1377" s="188" t="n">
        <v>0</v>
      </c>
      <c r="AD1377" s="188" t="inlineStr"/>
    </row>
    <row r="1378">
      <c r="A1378" s="188" t="inlineStr">
        <is>
          <t>TOR_EXIT</t>
        </is>
      </c>
      <c r="B1378" s="188" t="inlineStr">
        <is>
          <t>5e904a629373</t>
        </is>
      </c>
      <c r="C1378" s="188" t="inlineStr">
        <is>
          <t>Tor Exit Node: 104.244.72.132 | Traffic from this IP may be anonymized/malicious</t>
        </is>
      </c>
      <c r="D1378" s="188" t="n">
        <v>5</v>
      </c>
      <c r="E1378" s="188" t="inlineStr">
        <is>
          <t>MEDIUM</t>
        </is>
      </c>
      <c r="F1378" s="188" t="n">
        <v>2</v>
      </c>
      <c r="G1378" s="188" t="n">
        <v>1</v>
      </c>
      <c r="H1378" s="188" t="inlineStr">
        <is>
          <t>LOW</t>
        </is>
      </c>
      <c r="I1378" s="188" t="n">
        <v>7</v>
      </c>
      <c r="J1378" s="188" t="inlineStr">
        <is>
          <t>NO</t>
        </is>
      </c>
      <c r="K1378" s="188" t="inlineStr">
        <is>
          <t>https://check.torproject.org/</t>
        </is>
      </c>
      <c r="L1378" s="188" t="inlineStr">
        <is>
          <t>2026-02-27 20:47</t>
        </is>
      </c>
      <c r="M1378" s="188" t="inlineStr">
        <is>
          <t>Block or monitor</t>
        </is>
      </c>
      <c r="N1378" s="188" t="inlineStr">
        <is>
          <t>https://check.torproject.org/torbulkexitlist</t>
        </is>
      </c>
      <c r="O1378" s="188" t="inlineStr">
        <is>
          <t>Monitor traffic from Tor exit 104.244.72.132 | Apply policy controls</t>
        </is>
      </c>
      <c r="P1378" s="188" t="inlineStr">
        <is>
          <t>Network perimeter</t>
        </is>
      </c>
      <c r="Q1378" s="188" t="inlineStr">
        <is>
          <t>P4</t>
        </is>
      </c>
      <c r="R1378" s="188" t="inlineStr">
        <is>
          <t>🔍 Investigate and apply appropriate controls</t>
        </is>
      </c>
      <c r="S1378" s="188" t="inlineStr">
        <is>
          <t>Tor exit node - known anonymization service</t>
        </is>
      </c>
      <c r="T1378" s="188" t="n">
        <v>0</v>
      </c>
      <c r="U1378" s="188" t="n">
        <v>0</v>
      </c>
      <c r="V1378" s="188" t="inlineStr">
        <is>
          <t>T1090.003:Multi-hop Proxy</t>
        </is>
      </c>
      <c r="W1378" s="188" t="n">
        <v>1</v>
      </c>
      <c r="X1378" s="188" t="inlineStr">
        <is>
          <t>LOW (40%)</t>
        </is>
      </c>
      <c r="Y1378" s="188" t="inlineStr">
        <is>
          <t>NONE</t>
        </is>
      </c>
      <c r="Z1378" s="188" t="inlineStr">
        <is>
          <t>NONE</t>
        </is>
      </c>
      <c r="AA1378" s="188" t="inlineStr">
        <is>
          <t>NONE</t>
        </is>
      </c>
      <c r="AB1378" s="188" t="inlineStr">
        <is>
          <t>NONE</t>
        </is>
      </c>
      <c r="AC1378" s="188" t="n">
        <v>0</v>
      </c>
      <c r="AD1378" s="188" t="inlineStr"/>
    </row>
    <row r="1379">
      <c r="A1379" s="188" t="inlineStr">
        <is>
          <t>TOR_EXIT</t>
        </is>
      </c>
      <c r="B1379" s="188" t="inlineStr">
        <is>
          <t>5ad76977a6e4</t>
        </is>
      </c>
      <c r="C1379" s="188" t="inlineStr">
        <is>
          <t>Tor Exit Node: 87.120.254.132 | Traffic from this IP may be anonymized/malicious</t>
        </is>
      </c>
      <c r="D1379" s="188" t="n">
        <v>5</v>
      </c>
      <c r="E1379" s="188" t="inlineStr">
        <is>
          <t>MEDIUM</t>
        </is>
      </c>
      <c r="F1379" s="188" t="n">
        <v>2</v>
      </c>
      <c r="G1379" s="188" t="n">
        <v>1</v>
      </c>
      <c r="H1379" s="188" t="inlineStr">
        <is>
          <t>LOW</t>
        </is>
      </c>
      <c r="I1379" s="188" t="n">
        <v>7</v>
      </c>
      <c r="J1379" s="188" t="inlineStr">
        <is>
          <t>NO</t>
        </is>
      </c>
      <c r="K1379" s="188" t="inlineStr">
        <is>
          <t>https://check.torproject.org/</t>
        </is>
      </c>
      <c r="L1379" s="188" t="inlineStr">
        <is>
          <t>2026-02-27 20:47</t>
        </is>
      </c>
      <c r="M1379" s="188" t="inlineStr">
        <is>
          <t>Block or monitor</t>
        </is>
      </c>
      <c r="N1379" s="188" t="inlineStr">
        <is>
          <t>https://check.torproject.org/torbulkexitlist</t>
        </is>
      </c>
      <c r="O1379" s="188" t="inlineStr">
        <is>
          <t>Monitor traffic from Tor exit 87.120.254.132 | Apply policy controls</t>
        </is>
      </c>
      <c r="P1379" s="188" t="inlineStr">
        <is>
          <t>Network perimeter</t>
        </is>
      </c>
      <c r="Q1379" s="188" t="inlineStr">
        <is>
          <t>P4</t>
        </is>
      </c>
      <c r="R1379" s="188" t="inlineStr">
        <is>
          <t>🔍 Investigate and apply appropriate controls</t>
        </is>
      </c>
      <c r="S1379" s="188" t="inlineStr">
        <is>
          <t>Tor exit node - known anonymization service</t>
        </is>
      </c>
      <c r="T1379" s="188" t="n">
        <v>0</v>
      </c>
      <c r="U1379" s="188" t="n">
        <v>0</v>
      </c>
      <c r="V1379" s="188" t="inlineStr">
        <is>
          <t>T1090.003:Multi-hop Proxy</t>
        </is>
      </c>
      <c r="W1379" s="188" t="n">
        <v>1</v>
      </c>
      <c r="X1379" s="188" t="inlineStr">
        <is>
          <t>LOW (40%)</t>
        </is>
      </c>
      <c r="Y1379" s="188" t="inlineStr">
        <is>
          <t>NONE</t>
        </is>
      </c>
      <c r="Z1379" s="188" t="inlineStr">
        <is>
          <t>NONE</t>
        </is>
      </c>
      <c r="AA1379" s="188" t="inlineStr">
        <is>
          <t>NONE</t>
        </is>
      </c>
      <c r="AB1379" s="188" t="inlineStr">
        <is>
          <t>NONE</t>
        </is>
      </c>
      <c r="AC1379" s="188" t="n">
        <v>0</v>
      </c>
      <c r="AD1379" s="188" t="inlineStr"/>
    </row>
    <row r="1380">
      <c r="A1380" s="188" t="inlineStr">
        <is>
          <t>TOR_EXIT</t>
        </is>
      </c>
      <c r="B1380" s="188" t="inlineStr">
        <is>
          <t>20c71cc8b190</t>
        </is>
      </c>
      <c r="C1380" s="188" t="inlineStr">
        <is>
          <t>Tor Exit Node: 193.30.120.139 | Traffic from this IP may be anonymized/malicious</t>
        </is>
      </c>
      <c r="D1380" s="188" t="n">
        <v>5</v>
      </c>
      <c r="E1380" s="188" t="inlineStr">
        <is>
          <t>MEDIUM</t>
        </is>
      </c>
      <c r="F1380" s="188" t="n">
        <v>2</v>
      </c>
      <c r="G1380" s="188" t="n">
        <v>1</v>
      </c>
      <c r="H1380" s="188" t="inlineStr">
        <is>
          <t>LOW</t>
        </is>
      </c>
      <c r="I1380" s="188" t="n">
        <v>7</v>
      </c>
      <c r="J1380" s="188" t="inlineStr">
        <is>
          <t>NO</t>
        </is>
      </c>
      <c r="K1380" s="188" t="inlineStr">
        <is>
          <t>https://check.torproject.org/</t>
        </is>
      </c>
      <c r="L1380" s="188" t="inlineStr">
        <is>
          <t>2026-02-27 20:47</t>
        </is>
      </c>
      <c r="M1380" s="188" t="inlineStr">
        <is>
          <t>Block or monitor</t>
        </is>
      </c>
      <c r="N1380" s="188" t="inlineStr">
        <is>
          <t>https://check.torproject.org/torbulkexitlist</t>
        </is>
      </c>
      <c r="O1380" s="188" t="inlineStr">
        <is>
          <t>Monitor traffic from Tor exit 193.30.120.139 | Apply policy controls</t>
        </is>
      </c>
      <c r="P1380" s="188" t="inlineStr">
        <is>
          <t>Network perimeter</t>
        </is>
      </c>
      <c r="Q1380" s="188" t="inlineStr">
        <is>
          <t>P4</t>
        </is>
      </c>
      <c r="R1380" s="188" t="inlineStr">
        <is>
          <t>🔍 Investigate and apply appropriate controls</t>
        </is>
      </c>
      <c r="S1380" s="188" t="inlineStr">
        <is>
          <t>Tor exit node - known anonymization service</t>
        </is>
      </c>
      <c r="T1380" s="188" t="n">
        <v>0</v>
      </c>
      <c r="U1380" s="188" t="n">
        <v>0</v>
      </c>
      <c r="V1380" s="188" t="inlineStr">
        <is>
          <t>T1090.003:Multi-hop Proxy</t>
        </is>
      </c>
      <c r="W1380" s="188" t="n">
        <v>1</v>
      </c>
      <c r="X1380" s="188" t="inlineStr">
        <is>
          <t>LOW (40%)</t>
        </is>
      </c>
      <c r="Y1380" s="188" t="inlineStr">
        <is>
          <t>NONE</t>
        </is>
      </c>
      <c r="Z1380" s="188" t="inlineStr">
        <is>
          <t>NONE</t>
        </is>
      </c>
      <c r="AA1380" s="188" t="inlineStr">
        <is>
          <t>NONE</t>
        </is>
      </c>
      <c r="AB1380" s="188" t="inlineStr">
        <is>
          <t>NONE</t>
        </is>
      </c>
      <c r="AC1380" s="188" t="n">
        <v>0</v>
      </c>
      <c r="AD1380" s="188" t="inlineStr"/>
    </row>
    <row r="1381">
      <c r="A1381" s="188" t="inlineStr">
        <is>
          <t>TOR_EXIT</t>
        </is>
      </c>
      <c r="B1381" s="188" t="inlineStr">
        <is>
          <t>b08516681dda</t>
        </is>
      </c>
      <c r="C1381" s="188" t="inlineStr">
        <is>
          <t>Tor Exit Node: 2.57.122.246 | Traffic from this IP may be anonymized/malicious</t>
        </is>
      </c>
      <c r="D1381" s="188" t="n">
        <v>5</v>
      </c>
      <c r="E1381" s="188" t="inlineStr">
        <is>
          <t>MEDIUM</t>
        </is>
      </c>
      <c r="F1381" s="188" t="n">
        <v>2</v>
      </c>
      <c r="G1381" s="188" t="n">
        <v>1</v>
      </c>
      <c r="H1381" s="188" t="inlineStr">
        <is>
          <t>LOW</t>
        </is>
      </c>
      <c r="I1381" s="188" t="n">
        <v>7</v>
      </c>
      <c r="J1381" s="188" t="inlineStr">
        <is>
          <t>NO</t>
        </is>
      </c>
      <c r="K1381" s="188" t="inlineStr">
        <is>
          <t>https://check.torproject.org/</t>
        </is>
      </c>
      <c r="L1381" s="188" t="inlineStr">
        <is>
          <t>2026-02-27 20:47</t>
        </is>
      </c>
      <c r="M1381" s="188" t="inlineStr">
        <is>
          <t>Block or monitor</t>
        </is>
      </c>
      <c r="N1381" s="188" t="inlineStr">
        <is>
          <t>https://check.torproject.org/torbulkexitlist</t>
        </is>
      </c>
      <c r="O1381" s="188" t="inlineStr">
        <is>
          <t>Monitor traffic from Tor exit 2.57.122.246 | Apply policy controls</t>
        </is>
      </c>
      <c r="P1381" s="188" t="inlineStr">
        <is>
          <t>Network perimeter</t>
        </is>
      </c>
      <c r="Q1381" s="188" t="inlineStr">
        <is>
          <t>P4</t>
        </is>
      </c>
      <c r="R1381" s="188" t="inlineStr">
        <is>
          <t>🔍 Investigate and apply appropriate controls</t>
        </is>
      </c>
      <c r="S1381" s="188" t="inlineStr">
        <is>
          <t>Tor exit node - known anonymization service</t>
        </is>
      </c>
      <c r="T1381" s="188" t="n">
        <v>0</v>
      </c>
      <c r="U1381" s="188" t="n">
        <v>0</v>
      </c>
      <c r="V1381" s="188" t="inlineStr">
        <is>
          <t>T1090.003:Multi-hop Proxy</t>
        </is>
      </c>
      <c r="W1381" s="188" t="n">
        <v>1</v>
      </c>
      <c r="X1381" s="188" t="inlineStr">
        <is>
          <t>LOW (40%)</t>
        </is>
      </c>
      <c r="Y1381" s="188" t="inlineStr">
        <is>
          <t>NONE</t>
        </is>
      </c>
      <c r="Z1381" s="188" t="inlineStr">
        <is>
          <t>NONE</t>
        </is>
      </c>
      <c r="AA1381" s="188" t="inlineStr">
        <is>
          <t>NONE</t>
        </is>
      </c>
      <c r="AB1381" s="188" t="inlineStr">
        <is>
          <t>NONE</t>
        </is>
      </c>
      <c r="AC1381" s="188" t="n">
        <v>0</v>
      </c>
      <c r="AD1381" s="188" t="inlineStr"/>
    </row>
    <row r="1382">
      <c r="A1382" s="188" t="inlineStr">
        <is>
          <t>TOR_EXIT</t>
        </is>
      </c>
      <c r="B1382" s="188" t="inlineStr">
        <is>
          <t>18535a31977b</t>
        </is>
      </c>
      <c r="C1382" s="188" t="inlineStr">
        <is>
          <t>Tor Exit Node: 185.220.101.25 | Traffic from this IP may be anonymized/malicious</t>
        </is>
      </c>
      <c r="D1382" s="188" t="n">
        <v>5</v>
      </c>
      <c r="E1382" s="188" t="inlineStr">
        <is>
          <t>MEDIUM</t>
        </is>
      </c>
      <c r="F1382" s="188" t="n">
        <v>2</v>
      </c>
      <c r="G1382" s="188" t="n">
        <v>1</v>
      </c>
      <c r="H1382" s="188" t="inlineStr">
        <is>
          <t>LOW</t>
        </is>
      </c>
      <c r="I1382" s="188" t="n">
        <v>7</v>
      </c>
      <c r="J1382" s="188" t="inlineStr">
        <is>
          <t>NO</t>
        </is>
      </c>
      <c r="K1382" s="188" t="inlineStr">
        <is>
          <t>https://check.torproject.org/</t>
        </is>
      </c>
      <c r="L1382" s="188" t="inlineStr">
        <is>
          <t>2026-02-27 20:47</t>
        </is>
      </c>
      <c r="M1382" s="188" t="inlineStr">
        <is>
          <t>Block or monitor</t>
        </is>
      </c>
      <c r="N1382" s="188" t="inlineStr">
        <is>
          <t>https://check.torproject.org/torbulkexitlist</t>
        </is>
      </c>
      <c r="O1382" s="188" t="inlineStr">
        <is>
          <t>Monitor traffic from Tor exit 185.220.101.25 | Apply policy controls</t>
        </is>
      </c>
      <c r="P1382" s="188" t="inlineStr">
        <is>
          <t>Network perimeter</t>
        </is>
      </c>
      <c r="Q1382" s="188" t="inlineStr">
        <is>
          <t>P4</t>
        </is>
      </c>
      <c r="R1382" s="188" t="inlineStr">
        <is>
          <t>🔍 Investigate and apply appropriate controls</t>
        </is>
      </c>
      <c r="S1382" s="188" t="inlineStr">
        <is>
          <t>Tor exit node - known anonymization service</t>
        </is>
      </c>
      <c r="T1382" s="188" t="n">
        <v>0</v>
      </c>
      <c r="U1382" s="188" t="n">
        <v>0</v>
      </c>
      <c r="V1382" s="188" t="inlineStr">
        <is>
          <t>T1090.003:Multi-hop Proxy</t>
        </is>
      </c>
      <c r="W1382" s="188" t="n">
        <v>1</v>
      </c>
      <c r="X1382" s="188" t="inlineStr">
        <is>
          <t>LOW (40%)</t>
        </is>
      </c>
      <c r="Y1382" s="188" t="inlineStr">
        <is>
          <t>NONE</t>
        </is>
      </c>
      <c r="Z1382" s="188" t="inlineStr">
        <is>
          <t>NONE</t>
        </is>
      </c>
      <c r="AA1382" s="188" t="inlineStr">
        <is>
          <t>NONE</t>
        </is>
      </c>
      <c r="AB1382" s="188" t="inlineStr">
        <is>
          <t>NONE</t>
        </is>
      </c>
      <c r="AC1382" s="188" t="n">
        <v>0</v>
      </c>
      <c r="AD1382" s="188" t="inlineStr"/>
    </row>
    <row r="1383">
      <c r="A1383" s="188" t="inlineStr">
        <is>
          <t>TOR_EXIT</t>
        </is>
      </c>
      <c r="B1383" s="188" t="inlineStr">
        <is>
          <t>f8e7af6742e9</t>
        </is>
      </c>
      <c r="C1383" s="188" t="inlineStr">
        <is>
          <t>Tor Exit Node: 91.208.75.3 | Traffic from this IP may be anonymized/malicious</t>
        </is>
      </c>
      <c r="D1383" s="188" t="n">
        <v>5</v>
      </c>
      <c r="E1383" s="188" t="inlineStr">
        <is>
          <t>MEDIUM</t>
        </is>
      </c>
      <c r="F1383" s="188" t="n">
        <v>2</v>
      </c>
      <c r="G1383" s="188" t="n">
        <v>1</v>
      </c>
      <c r="H1383" s="188" t="inlineStr">
        <is>
          <t>LOW</t>
        </is>
      </c>
      <c r="I1383" s="188" t="n">
        <v>7</v>
      </c>
      <c r="J1383" s="188" t="inlineStr">
        <is>
          <t>NO</t>
        </is>
      </c>
      <c r="K1383" s="188" t="inlineStr">
        <is>
          <t>https://check.torproject.org/</t>
        </is>
      </c>
      <c r="L1383" s="188" t="inlineStr">
        <is>
          <t>2026-02-27 20:47</t>
        </is>
      </c>
      <c r="M1383" s="188" t="inlineStr">
        <is>
          <t>Block or monitor</t>
        </is>
      </c>
      <c r="N1383" s="188" t="inlineStr">
        <is>
          <t>https://check.torproject.org/torbulkexitlist</t>
        </is>
      </c>
      <c r="O1383" s="188" t="inlineStr">
        <is>
          <t>Monitor traffic from Tor exit 91.208.75.3 | Apply policy controls</t>
        </is>
      </c>
      <c r="P1383" s="188" t="inlineStr">
        <is>
          <t>Network perimeter</t>
        </is>
      </c>
      <c r="Q1383" s="188" t="inlineStr">
        <is>
          <t>P4</t>
        </is>
      </c>
      <c r="R1383" s="188" t="inlineStr">
        <is>
          <t>🔍 Investigate and apply appropriate controls</t>
        </is>
      </c>
      <c r="S1383" s="188" t="inlineStr">
        <is>
          <t>Tor exit node - known anonymization service</t>
        </is>
      </c>
      <c r="T1383" s="188" t="n">
        <v>0</v>
      </c>
      <c r="U1383" s="188" t="n">
        <v>0</v>
      </c>
      <c r="V1383" s="188" t="inlineStr">
        <is>
          <t>T1090.003:Multi-hop Proxy</t>
        </is>
      </c>
      <c r="W1383" s="188" t="n">
        <v>1</v>
      </c>
      <c r="X1383" s="188" t="inlineStr">
        <is>
          <t>LOW (40%)</t>
        </is>
      </c>
      <c r="Y1383" s="188" t="inlineStr">
        <is>
          <t>NONE</t>
        </is>
      </c>
      <c r="Z1383" s="188" t="inlineStr">
        <is>
          <t>NONE</t>
        </is>
      </c>
      <c r="AA1383" s="188" t="inlineStr">
        <is>
          <t>NONE</t>
        </is>
      </c>
      <c r="AB1383" s="188" t="inlineStr">
        <is>
          <t>NONE</t>
        </is>
      </c>
      <c r="AC1383" s="188" t="n">
        <v>0</v>
      </c>
      <c r="AD1383" s="188" t="inlineStr"/>
    </row>
    <row r="1384">
      <c r="A1384" s="188" t="inlineStr">
        <is>
          <t>TOR_EXIT</t>
        </is>
      </c>
      <c r="B1384" s="188" t="inlineStr">
        <is>
          <t>989fe14bb6c5</t>
        </is>
      </c>
      <c r="C1384" s="188" t="inlineStr">
        <is>
          <t>Tor Exit Node: 141.239.149.94 | Traffic from this IP may be anonymized/malicious</t>
        </is>
      </c>
      <c r="D1384" s="188" t="n">
        <v>5</v>
      </c>
      <c r="E1384" s="188" t="inlineStr">
        <is>
          <t>MEDIUM</t>
        </is>
      </c>
      <c r="F1384" s="188" t="n">
        <v>2</v>
      </c>
      <c r="G1384" s="188" t="n">
        <v>1</v>
      </c>
      <c r="H1384" s="188" t="inlineStr">
        <is>
          <t>LOW</t>
        </is>
      </c>
      <c r="I1384" s="188" t="n">
        <v>7</v>
      </c>
      <c r="J1384" s="188" t="inlineStr">
        <is>
          <t>NO</t>
        </is>
      </c>
      <c r="K1384" s="188" t="inlineStr">
        <is>
          <t>https://check.torproject.org/</t>
        </is>
      </c>
      <c r="L1384" s="188" t="inlineStr">
        <is>
          <t>2026-02-27 20:47</t>
        </is>
      </c>
      <c r="M1384" s="188" t="inlineStr">
        <is>
          <t>Block or monitor</t>
        </is>
      </c>
      <c r="N1384" s="188" t="inlineStr">
        <is>
          <t>https://check.torproject.org/torbulkexitlist</t>
        </is>
      </c>
      <c r="O1384" s="188" t="inlineStr">
        <is>
          <t>Monitor traffic from Tor exit 141.239.149.94 | Apply policy controls</t>
        </is>
      </c>
      <c r="P1384" s="188" t="inlineStr">
        <is>
          <t>Network perimeter</t>
        </is>
      </c>
      <c r="Q1384" s="188" t="inlineStr">
        <is>
          <t>P4</t>
        </is>
      </c>
      <c r="R1384" s="188" t="inlineStr">
        <is>
          <t>🔍 Investigate and apply appropriate controls</t>
        </is>
      </c>
      <c r="S1384" s="188" t="inlineStr">
        <is>
          <t>Tor exit node - known anonymization service</t>
        </is>
      </c>
      <c r="T1384" s="188" t="n">
        <v>0</v>
      </c>
      <c r="U1384" s="188" t="n">
        <v>0</v>
      </c>
      <c r="V1384" s="188" t="inlineStr">
        <is>
          <t>T1090.003:Multi-hop Proxy</t>
        </is>
      </c>
      <c r="W1384" s="188" t="n">
        <v>1</v>
      </c>
      <c r="X1384" s="188" t="inlineStr">
        <is>
          <t>LOW (40%)</t>
        </is>
      </c>
      <c r="Y1384" s="188" t="inlineStr">
        <is>
          <t>NONE</t>
        </is>
      </c>
      <c r="Z1384" s="188" t="inlineStr">
        <is>
          <t>NONE</t>
        </is>
      </c>
      <c r="AA1384" s="188" t="inlineStr">
        <is>
          <t>NONE</t>
        </is>
      </c>
      <c r="AB1384" s="188" t="inlineStr">
        <is>
          <t>NONE</t>
        </is>
      </c>
      <c r="AC1384" s="188" t="n">
        <v>0</v>
      </c>
      <c r="AD1384" s="188" t="inlineStr"/>
    </row>
    <row r="1385">
      <c r="A1385" s="188" t="inlineStr">
        <is>
          <t>TOR_EXIT</t>
        </is>
      </c>
      <c r="B1385" s="188" t="inlineStr">
        <is>
          <t>be32d78d179c</t>
        </is>
      </c>
      <c r="C1385" s="188" t="inlineStr">
        <is>
          <t>Tor Exit Node: 217.27.189.205 | Traffic from this IP may be anonymized/malicious</t>
        </is>
      </c>
      <c r="D1385" s="188" t="n">
        <v>5</v>
      </c>
      <c r="E1385" s="188" t="inlineStr">
        <is>
          <t>MEDIUM</t>
        </is>
      </c>
      <c r="F1385" s="188" t="n">
        <v>2</v>
      </c>
      <c r="G1385" s="188" t="n">
        <v>1</v>
      </c>
      <c r="H1385" s="188" t="inlineStr">
        <is>
          <t>LOW</t>
        </is>
      </c>
      <c r="I1385" s="188" t="n">
        <v>7</v>
      </c>
      <c r="J1385" s="188" t="inlineStr">
        <is>
          <t>NO</t>
        </is>
      </c>
      <c r="K1385" s="188" t="inlineStr">
        <is>
          <t>https://check.torproject.org/</t>
        </is>
      </c>
      <c r="L1385" s="188" t="inlineStr">
        <is>
          <t>2026-02-27 20:47</t>
        </is>
      </c>
      <c r="M1385" s="188" t="inlineStr">
        <is>
          <t>Block or monitor</t>
        </is>
      </c>
      <c r="N1385" s="188" t="inlineStr">
        <is>
          <t>https://check.torproject.org/torbulkexitlist</t>
        </is>
      </c>
      <c r="O1385" s="188" t="inlineStr">
        <is>
          <t>Monitor traffic from Tor exit 217.27.189.205 | Apply policy controls</t>
        </is>
      </c>
      <c r="P1385" s="188" t="inlineStr">
        <is>
          <t>Network perimeter</t>
        </is>
      </c>
      <c r="Q1385" s="188" t="inlineStr">
        <is>
          <t>P4</t>
        </is>
      </c>
      <c r="R1385" s="188" t="inlineStr">
        <is>
          <t>🔍 Investigate and apply appropriate controls</t>
        </is>
      </c>
      <c r="S1385" s="188" t="inlineStr">
        <is>
          <t>Tor exit node - known anonymization service</t>
        </is>
      </c>
      <c r="T1385" s="188" t="n">
        <v>0</v>
      </c>
      <c r="U1385" s="188" t="n">
        <v>0</v>
      </c>
      <c r="V1385" s="188" t="inlineStr">
        <is>
          <t>T1090.003:Multi-hop Proxy</t>
        </is>
      </c>
      <c r="W1385" s="188" t="n">
        <v>1</v>
      </c>
      <c r="X1385" s="188" t="inlineStr">
        <is>
          <t>LOW (40%)</t>
        </is>
      </c>
      <c r="Y1385" s="188" t="inlineStr">
        <is>
          <t>NONE</t>
        </is>
      </c>
      <c r="Z1385" s="188" t="inlineStr">
        <is>
          <t>NONE</t>
        </is>
      </c>
      <c r="AA1385" s="188" t="inlineStr">
        <is>
          <t>NONE</t>
        </is>
      </c>
      <c r="AB1385" s="188" t="inlineStr">
        <is>
          <t>NONE</t>
        </is>
      </c>
      <c r="AC1385" s="188" t="n">
        <v>0</v>
      </c>
      <c r="AD1385" s="188" t="inlineStr"/>
    </row>
    <row r="1386">
      <c r="A1386" s="188" t="inlineStr">
        <is>
          <t>BLOCKLIST_DE</t>
        </is>
      </c>
      <c r="B1386" s="188" t="inlineStr">
        <is>
          <t>88b39c15dff0</t>
        </is>
      </c>
      <c r="C1386" s="188" t="inlineStr">
        <is>
          <t>Blocklist.de: 1.1.179.83 | Attack activity reported | Sources: BLOCKLIST_DE</t>
        </is>
      </c>
      <c r="D1386" s="188" t="n">
        <v>6</v>
      </c>
      <c r="E1386" s="188" t="inlineStr">
        <is>
          <t>MEDIUM</t>
        </is>
      </c>
      <c r="F1386" s="188" t="n">
        <v>2</v>
      </c>
      <c r="G1386" s="188" t="n">
        <v>2</v>
      </c>
      <c r="H1386" s="188" t="inlineStr">
        <is>
          <t>MEDIUM</t>
        </is>
      </c>
      <c r="I1386" s="188" t="n">
        <v>10</v>
      </c>
      <c r="J1386" s="188" t="inlineStr">
        <is>
          <t>NO</t>
        </is>
      </c>
      <c r="K1386" s="188" t="inlineStr">
        <is>
          <t>https://www.blocklist.de/</t>
        </is>
      </c>
      <c r="L1386" s="188" t="inlineStr">
        <is>
          <t>2026-02-27 20:47</t>
        </is>
      </c>
      <c r="M1386" s="188" t="inlineStr">
        <is>
          <t>Block IP</t>
        </is>
      </c>
      <c r="N1386" s="188" t="inlineStr">
        <is>
          <t>https://www.blocklist.de/</t>
        </is>
      </c>
      <c r="O1386" s="188" t="inlineStr">
        <is>
          <t>Block IP 1.1.179.83 at firewall | Check SIEM for existing connections</t>
        </is>
      </c>
      <c r="P1386" s="188" t="inlineStr">
        <is>
          <t>Firewall/Network</t>
        </is>
      </c>
      <c r="Q1386" s="188" t="inlineStr">
        <is>
          <t>P4</t>
        </is>
      </c>
      <c r="R1386" s="188" t="inlineStr">
        <is>
          <t>🚫 Block IP at firewall immediately | 🔍 Check logs for existing connections | 🛡️ Add to threat intelligence blocklist</t>
        </is>
      </c>
      <c r="S1386" s="188" t="inlineStr">
        <is>
          <t>Blocklist IP — ip-api.com context available</t>
        </is>
      </c>
      <c r="T1386" s="188" t="n">
        <v>0</v>
      </c>
      <c r="U1386" s="188" t="n">
        <v>0</v>
      </c>
      <c r="V1386" s="188" t="inlineStr">
        <is>
          <t>T1110:Brute Force | T1190:Exploit Public-Facing Application</t>
        </is>
      </c>
      <c r="W1386" s="188" t="n">
        <v>1</v>
      </c>
      <c r="X1386" s="188" t="inlineStr">
        <is>
          <t>LOW (40%)</t>
        </is>
      </c>
      <c r="Y1386" s="188" t="inlineStr">
        <is>
          <t>NONE</t>
        </is>
      </c>
      <c r="Z1386" s="188" t="inlineStr">
        <is>
          <t>NONE</t>
        </is>
      </c>
      <c r="AA1386" s="188" t="inlineStr">
        <is>
          <t>NONE</t>
        </is>
      </c>
      <c r="AB1386" s="188" t="inlineStr">
        <is>
          <t>NONE</t>
        </is>
      </c>
      <c r="AC1386" s="188" t="n">
        <v>0</v>
      </c>
      <c r="AD1386" s="188" t="inlineStr"/>
    </row>
    <row r="1387">
      <c r="A1387" s="188" t="inlineStr">
        <is>
          <t>BLOCKLIST_DE</t>
        </is>
      </c>
      <c r="B1387" s="188" t="inlineStr">
        <is>
          <t>b923bab4c9da</t>
        </is>
      </c>
      <c r="C1387" s="188" t="inlineStr">
        <is>
          <t>Blocklist.de: 1.10.225.52 | Attack activity reported | Sources: BLOCKLIST_DE</t>
        </is>
      </c>
      <c r="D1387" s="188" t="n">
        <v>6</v>
      </c>
      <c r="E1387" s="188" t="inlineStr">
        <is>
          <t>MEDIUM</t>
        </is>
      </c>
      <c r="F1387" s="188" t="n">
        <v>2</v>
      </c>
      <c r="G1387" s="188" t="n">
        <v>2</v>
      </c>
      <c r="H1387" s="188" t="inlineStr">
        <is>
          <t>MEDIUM</t>
        </is>
      </c>
      <c r="I1387" s="188" t="n">
        <v>10</v>
      </c>
      <c r="J1387" s="188" t="inlineStr">
        <is>
          <t>NO</t>
        </is>
      </c>
      <c r="K1387" s="188" t="inlineStr">
        <is>
          <t>https://www.blocklist.de/</t>
        </is>
      </c>
      <c r="L1387" s="188" t="inlineStr">
        <is>
          <t>2026-02-27 20:47</t>
        </is>
      </c>
      <c r="M1387" s="188" t="inlineStr">
        <is>
          <t>Block IP</t>
        </is>
      </c>
      <c r="N1387" s="188" t="inlineStr">
        <is>
          <t>https://www.blocklist.de/</t>
        </is>
      </c>
      <c r="O1387" s="188" t="inlineStr">
        <is>
          <t>Block IP 1.10.225.52 at firewall | Check SIEM for existing connections</t>
        </is>
      </c>
      <c r="P1387" s="188" t="inlineStr">
        <is>
          <t>Firewall/Network</t>
        </is>
      </c>
      <c r="Q1387" s="188" t="inlineStr">
        <is>
          <t>P4</t>
        </is>
      </c>
      <c r="R1387" s="188" t="inlineStr">
        <is>
          <t>🚫 Block IP at firewall immediately | 🔍 Check logs for existing connections | 🛡️ Add to threat intelligence blocklist</t>
        </is>
      </c>
      <c r="S1387" s="188" t="inlineStr">
        <is>
          <t>Blocklist IP — ip-api.com context available</t>
        </is>
      </c>
      <c r="T1387" s="188" t="n">
        <v>0</v>
      </c>
      <c r="U1387" s="188" t="n">
        <v>0</v>
      </c>
      <c r="V1387" s="188" t="inlineStr">
        <is>
          <t>T1110:Brute Force | T1190:Exploit Public-Facing Application</t>
        </is>
      </c>
      <c r="W1387" s="188" t="n">
        <v>1</v>
      </c>
      <c r="X1387" s="188" t="inlineStr">
        <is>
          <t>LOW (40%)</t>
        </is>
      </c>
      <c r="Y1387" s="188" t="inlineStr">
        <is>
          <t>NONE</t>
        </is>
      </c>
      <c r="Z1387" s="188" t="inlineStr">
        <is>
          <t>NONE</t>
        </is>
      </c>
      <c r="AA1387" s="188" t="inlineStr">
        <is>
          <t>NONE</t>
        </is>
      </c>
      <c r="AB1387" s="188" t="inlineStr">
        <is>
          <t>NONE</t>
        </is>
      </c>
      <c r="AC1387" s="188" t="n">
        <v>0</v>
      </c>
      <c r="AD1387" s="188" t="inlineStr"/>
    </row>
    <row r="1388">
      <c r="A1388" s="188" t="inlineStr">
        <is>
          <t>BLOCKLIST_DE</t>
        </is>
      </c>
      <c r="B1388" s="188" t="inlineStr">
        <is>
          <t>0b0d18fbf54e</t>
        </is>
      </c>
      <c r="C1388" s="188" t="inlineStr">
        <is>
          <t>Blocklist.de: 1.14.12.141 | Attack activity reported | Sources: BLOCKLIST_DE</t>
        </is>
      </c>
      <c r="D1388" s="188" t="n">
        <v>6</v>
      </c>
      <c r="E1388" s="188" t="inlineStr">
        <is>
          <t>MEDIUM</t>
        </is>
      </c>
      <c r="F1388" s="188" t="n">
        <v>2</v>
      </c>
      <c r="G1388" s="188" t="n">
        <v>2</v>
      </c>
      <c r="H1388" s="188" t="inlineStr">
        <is>
          <t>MEDIUM</t>
        </is>
      </c>
      <c r="I1388" s="188" t="n">
        <v>10</v>
      </c>
      <c r="J1388" s="188" t="inlineStr">
        <is>
          <t>NO</t>
        </is>
      </c>
      <c r="K1388" s="188" t="inlineStr">
        <is>
          <t>https://www.blocklist.de/</t>
        </is>
      </c>
      <c r="L1388" s="188" t="inlineStr">
        <is>
          <t>2026-02-27 20:47</t>
        </is>
      </c>
      <c r="M1388" s="188" t="inlineStr">
        <is>
          <t>Block IP</t>
        </is>
      </c>
      <c r="N1388" s="188" t="inlineStr">
        <is>
          <t>https://www.blocklist.de/</t>
        </is>
      </c>
      <c r="O1388" s="188" t="inlineStr">
        <is>
          <t>Block IP 1.14.12.141 at firewall | Check SIEM for existing connections</t>
        </is>
      </c>
      <c r="P1388" s="188" t="inlineStr">
        <is>
          <t>Firewall/Network</t>
        </is>
      </c>
      <c r="Q1388" s="188" t="inlineStr">
        <is>
          <t>P4</t>
        </is>
      </c>
      <c r="R1388" s="188" t="inlineStr">
        <is>
          <t>🚫 Block IP at firewall immediately | 🔍 Check logs for existing connections | 🛡️ Add to threat intelligence blocklist</t>
        </is>
      </c>
      <c r="S1388" s="188" t="inlineStr">
        <is>
          <t>Blocklist IP — ip-api.com context available</t>
        </is>
      </c>
      <c r="T1388" s="188" t="n">
        <v>0</v>
      </c>
      <c r="U1388" s="188" t="n">
        <v>0</v>
      </c>
      <c r="V1388" s="188" t="inlineStr">
        <is>
          <t>T1110:Brute Force | T1190:Exploit Public-Facing Application</t>
        </is>
      </c>
      <c r="W1388" s="188" t="n">
        <v>1</v>
      </c>
      <c r="X1388" s="188" t="inlineStr">
        <is>
          <t>LOW (40%)</t>
        </is>
      </c>
      <c r="Y1388" s="188" t="inlineStr">
        <is>
          <t>NONE</t>
        </is>
      </c>
      <c r="Z1388" s="188" t="inlineStr">
        <is>
          <t>NONE</t>
        </is>
      </c>
      <c r="AA1388" s="188" t="inlineStr">
        <is>
          <t>NONE</t>
        </is>
      </c>
      <c r="AB1388" s="188" t="inlineStr">
        <is>
          <t>NONE</t>
        </is>
      </c>
      <c r="AC1388" s="188" t="n">
        <v>0</v>
      </c>
      <c r="AD1388" s="188" t="inlineStr"/>
    </row>
    <row r="1389">
      <c r="A1389" s="188" t="inlineStr">
        <is>
          <t>BLOCKLIST_DE</t>
        </is>
      </c>
      <c r="B1389" s="188" t="inlineStr">
        <is>
          <t>b2c07aa1d291</t>
        </is>
      </c>
      <c r="C1389" s="188" t="inlineStr">
        <is>
          <t>Blocklist.de: 1.15.136.28 | Attack activity reported | Sources: BLOCKLIST_DE</t>
        </is>
      </c>
      <c r="D1389" s="188" t="n">
        <v>6</v>
      </c>
      <c r="E1389" s="188" t="inlineStr">
        <is>
          <t>MEDIUM</t>
        </is>
      </c>
      <c r="F1389" s="188" t="n">
        <v>2</v>
      </c>
      <c r="G1389" s="188" t="n">
        <v>2</v>
      </c>
      <c r="H1389" s="188" t="inlineStr">
        <is>
          <t>MEDIUM</t>
        </is>
      </c>
      <c r="I1389" s="188" t="n">
        <v>10</v>
      </c>
      <c r="J1389" s="188" t="inlineStr">
        <is>
          <t>NO</t>
        </is>
      </c>
      <c r="K1389" s="188" t="inlineStr">
        <is>
          <t>https://www.blocklist.de/</t>
        </is>
      </c>
      <c r="L1389" s="188" t="inlineStr">
        <is>
          <t>2026-02-27 20:47</t>
        </is>
      </c>
      <c r="M1389" s="188" t="inlineStr">
        <is>
          <t>Block IP</t>
        </is>
      </c>
      <c r="N1389" s="188" t="inlineStr">
        <is>
          <t>https://www.blocklist.de/</t>
        </is>
      </c>
      <c r="O1389" s="188" t="inlineStr">
        <is>
          <t>Block IP 1.15.136.28 at firewall | Check SIEM for existing connections</t>
        </is>
      </c>
      <c r="P1389" s="188" t="inlineStr">
        <is>
          <t>Firewall/Network</t>
        </is>
      </c>
      <c r="Q1389" s="188" t="inlineStr">
        <is>
          <t>P4</t>
        </is>
      </c>
      <c r="R1389" s="188" t="inlineStr">
        <is>
          <t>🚫 Block IP at firewall immediately | 🔍 Check logs for existing connections | 🛡️ Add to threat intelligence blocklist</t>
        </is>
      </c>
      <c r="S1389" s="188" t="inlineStr">
        <is>
          <t>Blocklist IP — ip-api.com context available</t>
        </is>
      </c>
      <c r="T1389" s="188" t="n">
        <v>0</v>
      </c>
      <c r="U1389" s="188" t="n">
        <v>0</v>
      </c>
      <c r="V1389" s="188" t="inlineStr">
        <is>
          <t>T1110:Brute Force | T1190:Exploit Public-Facing Application</t>
        </is>
      </c>
      <c r="W1389" s="188" t="n">
        <v>1</v>
      </c>
      <c r="X1389" s="188" t="inlineStr">
        <is>
          <t>LOW (40%)</t>
        </is>
      </c>
      <c r="Y1389" s="188" t="inlineStr">
        <is>
          <t>NONE</t>
        </is>
      </c>
      <c r="Z1389" s="188" t="inlineStr">
        <is>
          <t>NONE</t>
        </is>
      </c>
      <c r="AA1389" s="188" t="inlineStr">
        <is>
          <t>NONE</t>
        </is>
      </c>
      <c r="AB1389" s="188" t="inlineStr">
        <is>
          <t>NONE</t>
        </is>
      </c>
      <c r="AC1389" s="188" t="n">
        <v>0</v>
      </c>
      <c r="AD1389" s="188" t="inlineStr"/>
    </row>
    <row r="1390">
      <c r="A1390" s="188" t="inlineStr">
        <is>
          <t>BLOCKLIST_DE</t>
        </is>
      </c>
      <c r="B1390" s="188" t="inlineStr">
        <is>
          <t>e0d3994d4cc5</t>
        </is>
      </c>
      <c r="C1390" s="188" t="inlineStr">
        <is>
          <t>Blocklist.de: 1.180.62.41 | Attack activity reported | Sources: BLOCKLIST_DE</t>
        </is>
      </c>
      <c r="D1390" s="188" t="n">
        <v>6</v>
      </c>
      <c r="E1390" s="188" t="inlineStr">
        <is>
          <t>MEDIUM</t>
        </is>
      </c>
      <c r="F1390" s="188" t="n">
        <v>2</v>
      </c>
      <c r="G1390" s="188" t="n">
        <v>2</v>
      </c>
      <c r="H1390" s="188" t="inlineStr">
        <is>
          <t>MEDIUM</t>
        </is>
      </c>
      <c r="I1390" s="188" t="n">
        <v>10</v>
      </c>
      <c r="J1390" s="188" t="inlineStr">
        <is>
          <t>NO</t>
        </is>
      </c>
      <c r="K1390" s="188" t="inlineStr">
        <is>
          <t>https://www.blocklist.de/</t>
        </is>
      </c>
      <c r="L1390" s="188" t="inlineStr">
        <is>
          <t>2026-02-27 20:47</t>
        </is>
      </c>
      <c r="M1390" s="188" t="inlineStr">
        <is>
          <t>Block IP</t>
        </is>
      </c>
      <c r="N1390" s="188" t="inlineStr">
        <is>
          <t>https://www.blocklist.de/</t>
        </is>
      </c>
      <c r="O1390" s="188" t="inlineStr">
        <is>
          <t>Block IP 1.180.62.41 at firewall | Check SIEM for existing connections</t>
        </is>
      </c>
      <c r="P1390" s="188" t="inlineStr">
        <is>
          <t>Firewall/Network</t>
        </is>
      </c>
      <c r="Q1390" s="188" t="inlineStr">
        <is>
          <t>P4</t>
        </is>
      </c>
      <c r="R1390" s="188" t="inlineStr">
        <is>
          <t>🚫 Block IP at firewall immediately | 🔍 Check logs for existing connections | 🛡️ Add to threat intelligence blocklist</t>
        </is>
      </c>
      <c r="S1390" s="188" t="inlineStr">
        <is>
          <t>Blocklist IP — ip-api.com context available</t>
        </is>
      </c>
      <c r="T1390" s="188" t="n">
        <v>0</v>
      </c>
      <c r="U1390" s="188" t="n">
        <v>0</v>
      </c>
      <c r="V1390" s="188" t="inlineStr">
        <is>
          <t>T1110:Brute Force | T1190:Exploit Public-Facing Application</t>
        </is>
      </c>
      <c r="W1390" s="188" t="n">
        <v>1</v>
      </c>
      <c r="X1390" s="188" t="inlineStr">
        <is>
          <t>LOW (40%)</t>
        </is>
      </c>
      <c r="Y1390" s="188" t="inlineStr">
        <is>
          <t>NONE</t>
        </is>
      </c>
      <c r="Z1390" s="188" t="inlineStr">
        <is>
          <t>NONE</t>
        </is>
      </c>
      <c r="AA1390" s="188" t="inlineStr">
        <is>
          <t>NONE</t>
        </is>
      </c>
      <c r="AB1390" s="188" t="inlineStr">
        <is>
          <t>NONE</t>
        </is>
      </c>
      <c r="AC1390" s="188" t="n">
        <v>0</v>
      </c>
      <c r="AD1390" s="188" t="inlineStr"/>
    </row>
    <row r="1391">
      <c r="A1391" s="188" t="inlineStr">
        <is>
          <t>BLOCKLIST_DE</t>
        </is>
      </c>
      <c r="B1391" s="188" t="inlineStr">
        <is>
          <t>2fbdd1028b90</t>
        </is>
      </c>
      <c r="C1391" s="188" t="inlineStr">
        <is>
          <t>Blocklist.de: 1.183.3.58 | Attack activity reported | Sources: BLOCKLIST_DE</t>
        </is>
      </c>
      <c r="D1391" s="188" t="n">
        <v>6</v>
      </c>
      <c r="E1391" s="188" t="inlineStr">
        <is>
          <t>MEDIUM</t>
        </is>
      </c>
      <c r="F1391" s="188" t="n">
        <v>2</v>
      </c>
      <c r="G1391" s="188" t="n">
        <v>2</v>
      </c>
      <c r="H1391" s="188" t="inlineStr">
        <is>
          <t>MEDIUM</t>
        </is>
      </c>
      <c r="I1391" s="188" t="n">
        <v>10</v>
      </c>
      <c r="J1391" s="188" t="inlineStr">
        <is>
          <t>NO</t>
        </is>
      </c>
      <c r="K1391" s="188" t="inlineStr">
        <is>
          <t>https://www.blocklist.de/</t>
        </is>
      </c>
      <c r="L1391" s="188" t="inlineStr">
        <is>
          <t>2026-02-27 20:47</t>
        </is>
      </c>
      <c r="M1391" s="188" t="inlineStr">
        <is>
          <t>Block IP</t>
        </is>
      </c>
      <c r="N1391" s="188" t="inlineStr">
        <is>
          <t>https://www.blocklist.de/</t>
        </is>
      </c>
      <c r="O1391" s="188" t="inlineStr">
        <is>
          <t>Block IP 1.183.3.58 at firewall | Check SIEM for existing connections</t>
        </is>
      </c>
      <c r="P1391" s="188" t="inlineStr">
        <is>
          <t>Firewall/Network</t>
        </is>
      </c>
      <c r="Q1391" s="188" t="inlineStr">
        <is>
          <t>P4</t>
        </is>
      </c>
      <c r="R1391" s="188" t="inlineStr">
        <is>
          <t>🚫 Block IP at firewall immediately | 🔍 Check logs for existing connections | 🛡️ Add to threat intelligence blocklist</t>
        </is>
      </c>
      <c r="S1391" s="188" t="inlineStr">
        <is>
          <t>Blocklist IP — ip-api.com context available</t>
        </is>
      </c>
      <c r="T1391" s="188" t="n">
        <v>0</v>
      </c>
      <c r="U1391" s="188" t="n">
        <v>0</v>
      </c>
      <c r="V1391" s="188" t="inlineStr">
        <is>
          <t>T1110:Brute Force | T1190:Exploit Public-Facing Application</t>
        </is>
      </c>
      <c r="W1391" s="188" t="n">
        <v>1</v>
      </c>
      <c r="X1391" s="188" t="inlineStr">
        <is>
          <t>LOW (40%)</t>
        </is>
      </c>
      <c r="Y1391" s="188" t="inlineStr">
        <is>
          <t>NONE</t>
        </is>
      </c>
      <c r="Z1391" s="188" t="inlineStr">
        <is>
          <t>NONE</t>
        </is>
      </c>
      <c r="AA1391" s="188" t="inlineStr">
        <is>
          <t>NONE</t>
        </is>
      </c>
      <c r="AB1391" s="188" t="inlineStr">
        <is>
          <t>NONE</t>
        </is>
      </c>
      <c r="AC1391" s="188" t="n">
        <v>0</v>
      </c>
      <c r="AD1391" s="188" t="inlineStr"/>
    </row>
    <row r="1392">
      <c r="A1392" s="188" t="inlineStr">
        <is>
          <t>BLOCKLIST_DE</t>
        </is>
      </c>
      <c r="B1392" s="188" t="inlineStr">
        <is>
          <t>9fdfa884d26a</t>
        </is>
      </c>
      <c r="C1392" s="188" t="inlineStr">
        <is>
          <t>Blocklist.de: 1.193.163.2 | Attack activity reported | Sources: BLOCKLIST_DE</t>
        </is>
      </c>
      <c r="D1392" s="188" t="n">
        <v>6</v>
      </c>
      <c r="E1392" s="188" t="inlineStr">
        <is>
          <t>MEDIUM</t>
        </is>
      </c>
      <c r="F1392" s="188" t="n">
        <v>2</v>
      </c>
      <c r="G1392" s="188" t="n">
        <v>2</v>
      </c>
      <c r="H1392" s="188" t="inlineStr">
        <is>
          <t>MEDIUM</t>
        </is>
      </c>
      <c r="I1392" s="188" t="n">
        <v>10</v>
      </c>
      <c r="J1392" s="188" t="inlineStr">
        <is>
          <t>NO</t>
        </is>
      </c>
      <c r="K1392" s="188" t="inlineStr">
        <is>
          <t>https://www.blocklist.de/</t>
        </is>
      </c>
      <c r="L1392" s="188" t="inlineStr">
        <is>
          <t>2026-02-27 20:47</t>
        </is>
      </c>
      <c r="M1392" s="188" t="inlineStr">
        <is>
          <t>Block IP</t>
        </is>
      </c>
      <c r="N1392" s="188" t="inlineStr">
        <is>
          <t>https://www.blocklist.de/</t>
        </is>
      </c>
      <c r="O1392" s="188" t="inlineStr">
        <is>
          <t>Block IP 1.193.163.2 at firewall | Check SIEM for existing connections</t>
        </is>
      </c>
      <c r="P1392" s="188" t="inlineStr">
        <is>
          <t>Firewall/Network</t>
        </is>
      </c>
      <c r="Q1392" s="188" t="inlineStr">
        <is>
          <t>P4</t>
        </is>
      </c>
      <c r="R1392" s="188" t="inlineStr">
        <is>
          <t>🚫 Block IP at firewall immediately | 🔍 Check logs for existing connections | 🛡️ Add to threat intelligence blocklist</t>
        </is>
      </c>
      <c r="S1392" s="188" t="inlineStr">
        <is>
          <t>Blocklist IP — ip-api.com context available</t>
        </is>
      </c>
      <c r="T1392" s="188" t="n">
        <v>0</v>
      </c>
      <c r="U1392" s="188" t="n">
        <v>0</v>
      </c>
      <c r="V1392" s="188" t="inlineStr">
        <is>
          <t>T1110:Brute Force | T1190:Exploit Public-Facing Application</t>
        </is>
      </c>
      <c r="W1392" s="188" t="n">
        <v>1</v>
      </c>
      <c r="X1392" s="188" t="inlineStr">
        <is>
          <t>LOW (40%)</t>
        </is>
      </c>
      <c r="Y1392" s="188" t="inlineStr">
        <is>
          <t>NONE</t>
        </is>
      </c>
      <c r="Z1392" s="188" t="inlineStr">
        <is>
          <t>NONE</t>
        </is>
      </c>
      <c r="AA1392" s="188" t="inlineStr">
        <is>
          <t>NONE</t>
        </is>
      </c>
      <c r="AB1392" s="188" t="inlineStr">
        <is>
          <t>NONE</t>
        </is>
      </c>
      <c r="AC1392" s="188" t="n">
        <v>0</v>
      </c>
      <c r="AD1392" s="188" t="inlineStr"/>
    </row>
    <row r="1393">
      <c r="A1393" s="188" t="inlineStr">
        <is>
          <t>BLOCKLIST_DE</t>
        </is>
      </c>
      <c r="B1393" s="188" t="inlineStr">
        <is>
          <t>13ca9928126d</t>
        </is>
      </c>
      <c r="C1393" s="188" t="inlineStr">
        <is>
          <t>Blocklist.de: 1.194.219.159 | Attack activity reported | Sources: BLOCKLIST_DE</t>
        </is>
      </c>
      <c r="D1393" s="188" t="n">
        <v>6</v>
      </c>
      <c r="E1393" s="188" t="inlineStr">
        <is>
          <t>MEDIUM</t>
        </is>
      </c>
      <c r="F1393" s="188" t="n">
        <v>2</v>
      </c>
      <c r="G1393" s="188" t="n">
        <v>2</v>
      </c>
      <c r="H1393" s="188" t="inlineStr">
        <is>
          <t>MEDIUM</t>
        </is>
      </c>
      <c r="I1393" s="188" t="n">
        <v>10</v>
      </c>
      <c r="J1393" s="188" t="inlineStr">
        <is>
          <t>NO</t>
        </is>
      </c>
      <c r="K1393" s="188" t="inlineStr">
        <is>
          <t>https://www.blocklist.de/</t>
        </is>
      </c>
      <c r="L1393" s="188" t="inlineStr">
        <is>
          <t>2026-02-27 20:47</t>
        </is>
      </c>
      <c r="M1393" s="188" t="inlineStr">
        <is>
          <t>Block IP</t>
        </is>
      </c>
      <c r="N1393" s="188" t="inlineStr">
        <is>
          <t>https://www.blocklist.de/</t>
        </is>
      </c>
      <c r="O1393" s="188" t="inlineStr">
        <is>
          <t>Block IP 1.194.219.159 at firewall | Check SIEM for existing connections</t>
        </is>
      </c>
      <c r="P1393" s="188" t="inlineStr">
        <is>
          <t>Firewall/Network</t>
        </is>
      </c>
      <c r="Q1393" s="188" t="inlineStr">
        <is>
          <t>P4</t>
        </is>
      </c>
      <c r="R1393" s="188" t="inlineStr">
        <is>
          <t>🚫 Block IP at firewall immediately | 🔍 Check logs for existing connections | 🛡️ Add to threat intelligence blocklist</t>
        </is>
      </c>
      <c r="S1393" s="188" t="inlineStr">
        <is>
          <t>Blocklist IP — ip-api.com context available</t>
        </is>
      </c>
      <c r="T1393" s="188" t="n">
        <v>0</v>
      </c>
      <c r="U1393" s="188" t="n">
        <v>0</v>
      </c>
      <c r="V1393" s="188" t="inlineStr">
        <is>
          <t>T1110:Brute Force | T1190:Exploit Public-Facing Application</t>
        </is>
      </c>
      <c r="W1393" s="188" t="n">
        <v>1</v>
      </c>
      <c r="X1393" s="188" t="inlineStr">
        <is>
          <t>LOW (40%)</t>
        </is>
      </c>
      <c r="Y1393" s="188" t="inlineStr">
        <is>
          <t>NONE</t>
        </is>
      </c>
      <c r="Z1393" s="188" t="inlineStr">
        <is>
          <t>NONE</t>
        </is>
      </c>
      <c r="AA1393" s="188" t="inlineStr">
        <is>
          <t>NONE</t>
        </is>
      </c>
      <c r="AB1393" s="188" t="inlineStr">
        <is>
          <t>NONE</t>
        </is>
      </c>
      <c r="AC1393" s="188" t="n">
        <v>0</v>
      </c>
      <c r="AD1393" s="188" t="inlineStr"/>
    </row>
    <row r="1394">
      <c r="A1394" s="188" t="inlineStr">
        <is>
          <t>BLOCKLIST_DE</t>
        </is>
      </c>
      <c r="B1394" s="188" t="inlineStr">
        <is>
          <t>996b0d132082</t>
        </is>
      </c>
      <c r="C1394" s="188" t="inlineStr">
        <is>
          <t>Blocklist.de: 1.20.91.61 | Attack activity reported | Sources: BLOCKLIST_DE</t>
        </is>
      </c>
      <c r="D1394" s="188" t="n">
        <v>6</v>
      </c>
      <c r="E1394" s="188" t="inlineStr">
        <is>
          <t>MEDIUM</t>
        </is>
      </c>
      <c r="F1394" s="188" t="n">
        <v>2</v>
      </c>
      <c r="G1394" s="188" t="n">
        <v>2</v>
      </c>
      <c r="H1394" s="188" t="inlineStr">
        <is>
          <t>MEDIUM</t>
        </is>
      </c>
      <c r="I1394" s="188" t="n">
        <v>10</v>
      </c>
      <c r="J1394" s="188" t="inlineStr">
        <is>
          <t>NO</t>
        </is>
      </c>
      <c r="K1394" s="188" t="inlineStr">
        <is>
          <t>https://www.blocklist.de/</t>
        </is>
      </c>
      <c r="L1394" s="188" t="inlineStr">
        <is>
          <t>2026-02-27 20:47</t>
        </is>
      </c>
      <c r="M1394" s="188" t="inlineStr">
        <is>
          <t>Block IP</t>
        </is>
      </c>
      <c r="N1394" s="188" t="inlineStr">
        <is>
          <t>https://www.blocklist.de/</t>
        </is>
      </c>
      <c r="O1394" s="188" t="inlineStr">
        <is>
          <t>Block IP 1.20.91.61 at firewall | Check SIEM for existing connections</t>
        </is>
      </c>
      <c r="P1394" s="188" t="inlineStr">
        <is>
          <t>Firewall/Network</t>
        </is>
      </c>
      <c r="Q1394" s="188" t="inlineStr">
        <is>
          <t>P4</t>
        </is>
      </c>
      <c r="R1394" s="188" t="inlineStr">
        <is>
          <t>🚫 Block IP at firewall immediately | 🔍 Check logs for existing connections | 🛡️ Add to threat intelligence blocklist</t>
        </is>
      </c>
      <c r="S1394" s="188" t="inlineStr">
        <is>
          <t>Blocklist IP — ip-api.com context available</t>
        </is>
      </c>
      <c r="T1394" s="188" t="n">
        <v>0</v>
      </c>
      <c r="U1394" s="188" t="n">
        <v>0</v>
      </c>
      <c r="V1394" s="188" t="inlineStr">
        <is>
          <t>T1110:Brute Force | T1190:Exploit Public-Facing Application</t>
        </is>
      </c>
      <c r="W1394" s="188" t="n">
        <v>1</v>
      </c>
      <c r="X1394" s="188" t="inlineStr">
        <is>
          <t>LOW (40%)</t>
        </is>
      </c>
      <c r="Y1394" s="188" t="inlineStr">
        <is>
          <t>NONE</t>
        </is>
      </c>
      <c r="Z1394" s="188" t="inlineStr">
        <is>
          <t>NONE</t>
        </is>
      </c>
      <c r="AA1394" s="188" t="inlineStr">
        <is>
          <t>NONE</t>
        </is>
      </c>
      <c r="AB1394" s="188" t="inlineStr">
        <is>
          <t>NONE</t>
        </is>
      </c>
      <c r="AC1394" s="188" t="n">
        <v>0</v>
      </c>
      <c r="AD1394" s="188" t="inlineStr"/>
    </row>
    <row r="1395">
      <c r="A1395" s="188" t="inlineStr">
        <is>
          <t>BLOCKLIST_DE</t>
        </is>
      </c>
      <c r="B1395" s="188" t="inlineStr">
        <is>
          <t>319a0d0315ac</t>
        </is>
      </c>
      <c r="C1395" s="188" t="inlineStr">
        <is>
          <t>Blocklist.de: 1.204.166.3 | Attack activity reported | Sources: BLOCKLIST_DE</t>
        </is>
      </c>
      <c r="D1395" s="188" t="n">
        <v>6</v>
      </c>
      <c r="E1395" s="188" t="inlineStr">
        <is>
          <t>MEDIUM</t>
        </is>
      </c>
      <c r="F1395" s="188" t="n">
        <v>2</v>
      </c>
      <c r="G1395" s="188" t="n">
        <v>2</v>
      </c>
      <c r="H1395" s="188" t="inlineStr">
        <is>
          <t>MEDIUM</t>
        </is>
      </c>
      <c r="I1395" s="188" t="n">
        <v>10</v>
      </c>
      <c r="J1395" s="188" t="inlineStr">
        <is>
          <t>NO</t>
        </is>
      </c>
      <c r="K1395" s="188" t="inlineStr">
        <is>
          <t>https://www.blocklist.de/</t>
        </is>
      </c>
      <c r="L1395" s="188" t="inlineStr">
        <is>
          <t>2026-02-27 20:47</t>
        </is>
      </c>
      <c r="M1395" s="188" t="inlineStr">
        <is>
          <t>Block IP</t>
        </is>
      </c>
      <c r="N1395" s="188" t="inlineStr">
        <is>
          <t>https://www.blocklist.de/</t>
        </is>
      </c>
      <c r="O1395" s="188" t="inlineStr">
        <is>
          <t>Block IP 1.204.166.3 at firewall | Check SIEM for existing connections</t>
        </is>
      </c>
      <c r="P1395" s="188" t="inlineStr">
        <is>
          <t>Firewall/Network</t>
        </is>
      </c>
      <c r="Q1395" s="188" t="inlineStr">
        <is>
          <t>P4</t>
        </is>
      </c>
      <c r="R1395" s="188" t="inlineStr">
        <is>
          <t>🚫 Block IP at firewall immediately | 🔍 Check logs for existing connections | 🛡️ Add to threat intelligence blocklist</t>
        </is>
      </c>
      <c r="S1395" s="188" t="inlineStr">
        <is>
          <t>Blocklist IP — ip-api.com context available</t>
        </is>
      </c>
      <c r="T1395" s="188" t="n">
        <v>0</v>
      </c>
      <c r="U1395" s="188" t="n">
        <v>0</v>
      </c>
      <c r="V1395" s="188" t="inlineStr">
        <is>
          <t>T1110:Brute Force | T1190:Exploit Public-Facing Application</t>
        </is>
      </c>
      <c r="W1395" s="188" t="n">
        <v>1</v>
      </c>
      <c r="X1395" s="188" t="inlineStr">
        <is>
          <t>LOW (40%)</t>
        </is>
      </c>
      <c r="Y1395" s="188" t="inlineStr">
        <is>
          <t>NONE</t>
        </is>
      </c>
      <c r="Z1395" s="188" t="inlineStr">
        <is>
          <t>NONE</t>
        </is>
      </c>
      <c r="AA1395" s="188" t="inlineStr">
        <is>
          <t>NONE</t>
        </is>
      </c>
      <c r="AB1395" s="188" t="inlineStr">
        <is>
          <t>NONE</t>
        </is>
      </c>
      <c r="AC1395" s="188" t="n">
        <v>0</v>
      </c>
      <c r="AD1395" s="188" t="inlineStr"/>
    </row>
    <row r="1396">
      <c r="A1396" s="188" t="inlineStr">
        <is>
          <t>BLOCKLIST_DE</t>
        </is>
      </c>
      <c r="B1396" s="188" t="inlineStr">
        <is>
          <t>a166dd92f267</t>
        </is>
      </c>
      <c r="C1396" s="188" t="inlineStr">
        <is>
          <t>Blocklist.de: 1.204.58.120 | Attack activity reported | Sources: BLOCKLIST_DE</t>
        </is>
      </c>
      <c r="D1396" s="188" t="n">
        <v>6</v>
      </c>
      <c r="E1396" s="188" t="inlineStr">
        <is>
          <t>MEDIUM</t>
        </is>
      </c>
      <c r="F1396" s="188" t="n">
        <v>2</v>
      </c>
      <c r="G1396" s="188" t="n">
        <v>2</v>
      </c>
      <c r="H1396" s="188" t="inlineStr">
        <is>
          <t>MEDIUM</t>
        </is>
      </c>
      <c r="I1396" s="188" t="n">
        <v>10</v>
      </c>
      <c r="J1396" s="188" t="inlineStr">
        <is>
          <t>NO</t>
        </is>
      </c>
      <c r="K1396" s="188" t="inlineStr">
        <is>
          <t>https://www.blocklist.de/</t>
        </is>
      </c>
      <c r="L1396" s="188" t="inlineStr">
        <is>
          <t>2026-02-27 20:47</t>
        </is>
      </c>
      <c r="M1396" s="188" t="inlineStr">
        <is>
          <t>Block IP</t>
        </is>
      </c>
      <c r="N1396" s="188" t="inlineStr">
        <is>
          <t>https://www.blocklist.de/</t>
        </is>
      </c>
      <c r="O1396" s="188" t="inlineStr">
        <is>
          <t>Block IP 1.204.58.120 at firewall | Check SIEM for existing connections</t>
        </is>
      </c>
      <c r="P1396" s="188" t="inlineStr">
        <is>
          <t>Firewall/Network</t>
        </is>
      </c>
      <c r="Q1396" s="188" t="inlineStr">
        <is>
          <t>P4</t>
        </is>
      </c>
      <c r="R1396" s="188" t="inlineStr">
        <is>
          <t>🚫 Block IP at firewall immediately | 🔍 Check logs for existing connections | 🛡️ Add to threat intelligence blocklist</t>
        </is>
      </c>
      <c r="S1396" s="188" t="inlineStr">
        <is>
          <t>Blocklist IP — ip-api.com context available</t>
        </is>
      </c>
      <c r="T1396" s="188" t="n">
        <v>0</v>
      </c>
      <c r="U1396" s="188" t="n">
        <v>0</v>
      </c>
      <c r="V1396" s="188" t="inlineStr">
        <is>
          <t>T1110:Brute Force | T1190:Exploit Public-Facing Application</t>
        </is>
      </c>
      <c r="W1396" s="188" t="n">
        <v>1</v>
      </c>
      <c r="X1396" s="188" t="inlineStr">
        <is>
          <t>LOW (40%)</t>
        </is>
      </c>
      <c r="Y1396" s="188" t="inlineStr">
        <is>
          <t>NONE</t>
        </is>
      </c>
      <c r="Z1396" s="188" t="inlineStr">
        <is>
          <t>NONE</t>
        </is>
      </c>
      <c r="AA1396" s="188" t="inlineStr">
        <is>
          <t>NONE</t>
        </is>
      </c>
      <c r="AB1396" s="188" t="inlineStr">
        <is>
          <t>NONE</t>
        </is>
      </c>
      <c r="AC1396" s="188" t="n">
        <v>0</v>
      </c>
      <c r="AD1396" s="188" t="inlineStr"/>
    </row>
    <row r="1397">
      <c r="A1397" s="188" t="inlineStr">
        <is>
          <t>BLOCKLIST_DE</t>
        </is>
      </c>
      <c r="B1397" s="188" t="inlineStr">
        <is>
          <t>adaaac596473</t>
        </is>
      </c>
      <c r="C1397" s="188" t="inlineStr">
        <is>
          <t>Blocklist.de: 1.212.225.99 | Attack activity reported | Sources: BLOCKLIST_DE</t>
        </is>
      </c>
      <c r="D1397" s="188" t="n">
        <v>6</v>
      </c>
      <c r="E1397" s="188" t="inlineStr">
        <is>
          <t>MEDIUM</t>
        </is>
      </c>
      <c r="F1397" s="188" t="n">
        <v>2</v>
      </c>
      <c r="G1397" s="188" t="n">
        <v>2</v>
      </c>
      <c r="H1397" s="188" t="inlineStr">
        <is>
          <t>MEDIUM</t>
        </is>
      </c>
      <c r="I1397" s="188" t="n">
        <v>10</v>
      </c>
      <c r="J1397" s="188" t="inlineStr">
        <is>
          <t>NO</t>
        </is>
      </c>
      <c r="K1397" s="188" t="inlineStr">
        <is>
          <t>https://www.blocklist.de/</t>
        </is>
      </c>
      <c r="L1397" s="188" t="inlineStr">
        <is>
          <t>2026-02-27 20:47</t>
        </is>
      </c>
      <c r="M1397" s="188" t="inlineStr">
        <is>
          <t>Block IP</t>
        </is>
      </c>
      <c r="N1397" s="188" t="inlineStr">
        <is>
          <t>https://www.blocklist.de/</t>
        </is>
      </c>
      <c r="O1397" s="188" t="inlineStr">
        <is>
          <t>Block IP 1.212.225.99 at firewall | Check SIEM for existing connections</t>
        </is>
      </c>
      <c r="P1397" s="188" t="inlineStr">
        <is>
          <t>Firewall/Network</t>
        </is>
      </c>
      <c r="Q1397" s="188" t="inlineStr">
        <is>
          <t>P4</t>
        </is>
      </c>
      <c r="R1397" s="188" t="inlineStr">
        <is>
          <t>🚫 Block IP at firewall immediately | 🔍 Check logs for existing connections | 🛡️ Add to threat intelligence blocklist</t>
        </is>
      </c>
      <c r="S1397" s="188" t="inlineStr">
        <is>
          <t>Blocklist IP — ip-api.com context available</t>
        </is>
      </c>
      <c r="T1397" s="188" t="n">
        <v>0</v>
      </c>
      <c r="U1397" s="188" t="n">
        <v>0</v>
      </c>
      <c r="V1397" s="188" t="inlineStr">
        <is>
          <t>T1110:Brute Force | T1190:Exploit Public-Facing Application</t>
        </is>
      </c>
      <c r="W1397" s="188" t="n">
        <v>1</v>
      </c>
      <c r="X1397" s="188" t="inlineStr">
        <is>
          <t>LOW (40%)</t>
        </is>
      </c>
      <c r="Y1397" s="188" t="inlineStr">
        <is>
          <t>NONE</t>
        </is>
      </c>
      <c r="Z1397" s="188" t="inlineStr">
        <is>
          <t>NONE</t>
        </is>
      </c>
      <c r="AA1397" s="188" t="inlineStr">
        <is>
          <t>NONE</t>
        </is>
      </c>
      <c r="AB1397" s="188" t="inlineStr">
        <is>
          <t>NONE</t>
        </is>
      </c>
      <c r="AC1397" s="188" t="n">
        <v>0</v>
      </c>
      <c r="AD1397" s="188" t="inlineStr"/>
    </row>
    <row r="1398">
      <c r="A1398" s="188" t="inlineStr">
        <is>
          <t>BLOCKLIST_DE</t>
        </is>
      </c>
      <c r="B1398" s="188" t="inlineStr">
        <is>
          <t>8662ad84ec1d</t>
        </is>
      </c>
      <c r="C1398" s="188" t="inlineStr">
        <is>
          <t>Blocklist.de: 1.214.117.218 | Attack activity reported | Sources: BLOCKLIST_DE</t>
        </is>
      </c>
      <c r="D1398" s="188" t="n">
        <v>6</v>
      </c>
      <c r="E1398" s="188" t="inlineStr">
        <is>
          <t>MEDIUM</t>
        </is>
      </c>
      <c r="F1398" s="188" t="n">
        <v>2</v>
      </c>
      <c r="G1398" s="188" t="n">
        <v>2</v>
      </c>
      <c r="H1398" s="188" t="inlineStr">
        <is>
          <t>MEDIUM</t>
        </is>
      </c>
      <c r="I1398" s="188" t="n">
        <v>10</v>
      </c>
      <c r="J1398" s="188" t="inlineStr">
        <is>
          <t>NO</t>
        </is>
      </c>
      <c r="K1398" s="188" t="inlineStr">
        <is>
          <t>https://www.blocklist.de/</t>
        </is>
      </c>
      <c r="L1398" s="188" t="inlineStr">
        <is>
          <t>2026-02-27 20:47</t>
        </is>
      </c>
      <c r="M1398" s="188" t="inlineStr">
        <is>
          <t>Block IP</t>
        </is>
      </c>
      <c r="N1398" s="188" t="inlineStr">
        <is>
          <t>https://www.blocklist.de/</t>
        </is>
      </c>
      <c r="O1398" s="188" t="inlineStr">
        <is>
          <t>Block IP 1.214.117.218 at firewall | Check SIEM for existing connections</t>
        </is>
      </c>
      <c r="P1398" s="188" t="inlineStr">
        <is>
          <t>Firewall/Network</t>
        </is>
      </c>
      <c r="Q1398" s="188" t="inlineStr">
        <is>
          <t>P4</t>
        </is>
      </c>
      <c r="R1398" s="188" t="inlineStr">
        <is>
          <t>🚫 Block IP at firewall immediately | 🔍 Check logs for existing connections | 🛡️ Add to threat intelligence blocklist</t>
        </is>
      </c>
      <c r="S1398" s="188" t="inlineStr">
        <is>
          <t>Blocklist IP — ip-api.com context available</t>
        </is>
      </c>
      <c r="T1398" s="188" t="n">
        <v>0</v>
      </c>
      <c r="U1398" s="188" t="n">
        <v>0</v>
      </c>
      <c r="V1398" s="188" t="inlineStr">
        <is>
          <t>T1110:Brute Force | T1190:Exploit Public-Facing Application</t>
        </is>
      </c>
      <c r="W1398" s="188" t="n">
        <v>1</v>
      </c>
      <c r="X1398" s="188" t="inlineStr">
        <is>
          <t>LOW (40%)</t>
        </is>
      </c>
      <c r="Y1398" s="188" t="inlineStr">
        <is>
          <t>NONE</t>
        </is>
      </c>
      <c r="Z1398" s="188" t="inlineStr">
        <is>
          <t>NONE</t>
        </is>
      </c>
      <c r="AA1398" s="188" t="inlineStr">
        <is>
          <t>NONE</t>
        </is>
      </c>
      <c r="AB1398" s="188" t="inlineStr">
        <is>
          <t>NONE</t>
        </is>
      </c>
      <c r="AC1398" s="188" t="n">
        <v>0</v>
      </c>
      <c r="AD1398" s="188" t="inlineStr"/>
    </row>
    <row r="1399">
      <c r="A1399" s="188" t="inlineStr">
        <is>
          <t>BLOCKLIST_DE</t>
        </is>
      </c>
      <c r="B1399" s="188" t="inlineStr">
        <is>
          <t>0d07829f1a7f</t>
        </is>
      </c>
      <c r="C1399" s="188" t="inlineStr">
        <is>
          <t>Blocklist.de: 1.214.197.163 | Attack activity reported | Sources: BLOCKLIST_DE</t>
        </is>
      </c>
      <c r="D1399" s="188" t="n">
        <v>6</v>
      </c>
      <c r="E1399" s="188" t="inlineStr">
        <is>
          <t>MEDIUM</t>
        </is>
      </c>
      <c r="F1399" s="188" t="n">
        <v>2</v>
      </c>
      <c r="G1399" s="188" t="n">
        <v>2</v>
      </c>
      <c r="H1399" s="188" t="inlineStr">
        <is>
          <t>MEDIUM</t>
        </is>
      </c>
      <c r="I1399" s="188" t="n">
        <v>10</v>
      </c>
      <c r="J1399" s="188" t="inlineStr">
        <is>
          <t>NO</t>
        </is>
      </c>
      <c r="K1399" s="188" t="inlineStr">
        <is>
          <t>https://www.blocklist.de/</t>
        </is>
      </c>
      <c r="L1399" s="188" t="inlineStr">
        <is>
          <t>2026-02-27 20:47</t>
        </is>
      </c>
      <c r="M1399" s="188" t="inlineStr">
        <is>
          <t>Block IP</t>
        </is>
      </c>
      <c r="N1399" s="188" t="inlineStr">
        <is>
          <t>https://www.blocklist.de/</t>
        </is>
      </c>
      <c r="O1399" s="188" t="inlineStr">
        <is>
          <t>Block IP 1.214.197.163 at firewall | Check SIEM for existing connections</t>
        </is>
      </c>
      <c r="P1399" s="188" t="inlineStr">
        <is>
          <t>Firewall/Network</t>
        </is>
      </c>
      <c r="Q1399" s="188" t="inlineStr">
        <is>
          <t>P4</t>
        </is>
      </c>
      <c r="R1399" s="188" t="inlineStr">
        <is>
          <t>🚫 Block IP at firewall immediately | 🔍 Check logs for existing connections | 🛡️ Add to threat intelligence blocklist</t>
        </is>
      </c>
      <c r="S1399" s="188" t="inlineStr">
        <is>
          <t>Blocklist IP — ip-api.com context available</t>
        </is>
      </c>
      <c r="T1399" s="188" t="n">
        <v>0</v>
      </c>
      <c r="U1399" s="188" t="n">
        <v>0</v>
      </c>
      <c r="V1399" s="188" t="inlineStr">
        <is>
          <t>T1110:Brute Force | T1190:Exploit Public-Facing Application</t>
        </is>
      </c>
      <c r="W1399" s="188" t="n">
        <v>1</v>
      </c>
      <c r="X1399" s="188" t="inlineStr">
        <is>
          <t>LOW (40%)</t>
        </is>
      </c>
      <c r="Y1399" s="188" t="inlineStr">
        <is>
          <t>NONE</t>
        </is>
      </c>
      <c r="Z1399" s="188" t="inlineStr">
        <is>
          <t>NONE</t>
        </is>
      </c>
      <c r="AA1399" s="188" t="inlineStr">
        <is>
          <t>NONE</t>
        </is>
      </c>
      <c r="AB1399" s="188" t="inlineStr">
        <is>
          <t>NONE</t>
        </is>
      </c>
      <c r="AC1399" s="188" t="n">
        <v>0</v>
      </c>
      <c r="AD1399" s="188" t="inlineStr"/>
    </row>
    <row r="1400">
      <c r="A1400" s="188" t="inlineStr">
        <is>
          <t>BLOCKLIST_DE</t>
        </is>
      </c>
      <c r="B1400" s="188" t="inlineStr">
        <is>
          <t>32bd49ed4ae3</t>
        </is>
      </c>
      <c r="C1400" s="188" t="inlineStr">
        <is>
          <t>Blocklist.de: 1.214.42.172 | Attack activity reported | Sources: BLOCKLIST_DE</t>
        </is>
      </c>
      <c r="D1400" s="188" t="n">
        <v>6</v>
      </c>
      <c r="E1400" s="188" t="inlineStr">
        <is>
          <t>MEDIUM</t>
        </is>
      </c>
      <c r="F1400" s="188" t="n">
        <v>2</v>
      </c>
      <c r="G1400" s="188" t="n">
        <v>2</v>
      </c>
      <c r="H1400" s="188" t="inlineStr">
        <is>
          <t>MEDIUM</t>
        </is>
      </c>
      <c r="I1400" s="188" t="n">
        <v>10</v>
      </c>
      <c r="J1400" s="188" t="inlineStr">
        <is>
          <t>NO</t>
        </is>
      </c>
      <c r="K1400" s="188" t="inlineStr">
        <is>
          <t>https://www.blocklist.de/</t>
        </is>
      </c>
      <c r="L1400" s="188" t="inlineStr">
        <is>
          <t>2026-02-27 20:47</t>
        </is>
      </c>
      <c r="M1400" s="188" t="inlineStr">
        <is>
          <t>Block IP</t>
        </is>
      </c>
      <c r="N1400" s="188" t="inlineStr">
        <is>
          <t>https://www.blocklist.de/</t>
        </is>
      </c>
      <c r="O1400" s="188" t="inlineStr">
        <is>
          <t>Block IP 1.214.42.172 at firewall | Check SIEM for existing connections</t>
        </is>
      </c>
      <c r="P1400" s="188" t="inlineStr">
        <is>
          <t>Firewall/Network</t>
        </is>
      </c>
      <c r="Q1400" s="188" t="inlineStr">
        <is>
          <t>P4</t>
        </is>
      </c>
      <c r="R1400" s="188" t="inlineStr">
        <is>
          <t>🚫 Block IP at firewall immediately | 🔍 Check logs for existing connections | 🛡️ Add to threat intelligence blocklist</t>
        </is>
      </c>
      <c r="S1400" s="188" t="inlineStr">
        <is>
          <t>Blocklist IP — ip-api.com context available</t>
        </is>
      </c>
      <c r="T1400" s="188" t="n">
        <v>0</v>
      </c>
      <c r="U1400" s="188" t="n">
        <v>0</v>
      </c>
      <c r="V1400" s="188" t="inlineStr">
        <is>
          <t>T1110:Brute Force | T1190:Exploit Public-Facing Application</t>
        </is>
      </c>
      <c r="W1400" s="188" t="n">
        <v>1</v>
      </c>
      <c r="X1400" s="188" t="inlineStr">
        <is>
          <t>LOW (40%)</t>
        </is>
      </c>
      <c r="Y1400" s="188" t="inlineStr">
        <is>
          <t>NONE</t>
        </is>
      </c>
      <c r="Z1400" s="188" t="inlineStr">
        <is>
          <t>NONE</t>
        </is>
      </c>
      <c r="AA1400" s="188" t="inlineStr">
        <is>
          <t>NONE</t>
        </is>
      </c>
      <c r="AB1400" s="188" t="inlineStr">
        <is>
          <t>NONE</t>
        </is>
      </c>
      <c r="AC1400" s="188" t="n">
        <v>0</v>
      </c>
      <c r="AD1400" s="188" t="inlineStr"/>
    </row>
    <row r="1401">
      <c r="A1401" s="188" t="inlineStr">
        <is>
          <t>BLOCKLIST_DE</t>
        </is>
      </c>
      <c r="B1401" s="188" t="inlineStr">
        <is>
          <t>da984c9bfb57</t>
        </is>
      </c>
      <c r="C1401" s="188" t="inlineStr">
        <is>
          <t>Blocklist.de: 1.220.64.218 | Attack activity reported | Sources: BLOCKLIST_DE</t>
        </is>
      </c>
      <c r="D1401" s="188" t="n">
        <v>6</v>
      </c>
      <c r="E1401" s="188" t="inlineStr">
        <is>
          <t>MEDIUM</t>
        </is>
      </c>
      <c r="F1401" s="188" t="n">
        <v>2</v>
      </c>
      <c r="G1401" s="188" t="n">
        <v>2</v>
      </c>
      <c r="H1401" s="188" t="inlineStr">
        <is>
          <t>MEDIUM</t>
        </is>
      </c>
      <c r="I1401" s="188" t="n">
        <v>10</v>
      </c>
      <c r="J1401" s="188" t="inlineStr">
        <is>
          <t>NO</t>
        </is>
      </c>
      <c r="K1401" s="188" t="inlineStr">
        <is>
          <t>https://www.blocklist.de/</t>
        </is>
      </c>
      <c r="L1401" s="188" t="inlineStr">
        <is>
          <t>2026-02-27 20:47</t>
        </is>
      </c>
      <c r="M1401" s="188" t="inlineStr">
        <is>
          <t>Block IP</t>
        </is>
      </c>
      <c r="N1401" s="188" t="inlineStr">
        <is>
          <t>https://www.blocklist.de/</t>
        </is>
      </c>
      <c r="O1401" s="188" t="inlineStr">
        <is>
          <t>Block IP 1.220.64.218 at firewall | Check SIEM for existing connections</t>
        </is>
      </c>
      <c r="P1401" s="188" t="inlineStr">
        <is>
          <t>Firewall/Network</t>
        </is>
      </c>
      <c r="Q1401" s="188" t="inlineStr">
        <is>
          <t>P4</t>
        </is>
      </c>
      <c r="R1401" s="188" t="inlineStr">
        <is>
          <t>🚫 Block IP at firewall immediately | 🔍 Check logs for existing connections | 🛡️ Add to threat intelligence blocklist</t>
        </is>
      </c>
      <c r="S1401" s="188" t="inlineStr">
        <is>
          <t>Blocklist IP — ip-api.com context available</t>
        </is>
      </c>
      <c r="T1401" s="188" t="n">
        <v>0</v>
      </c>
      <c r="U1401" s="188" t="n">
        <v>0</v>
      </c>
      <c r="V1401" s="188" t="inlineStr">
        <is>
          <t>T1110:Brute Force | T1190:Exploit Public-Facing Application</t>
        </is>
      </c>
      <c r="W1401" s="188" t="n">
        <v>1</v>
      </c>
      <c r="X1401" s="188" t="inlineStr">
        <is>
          <t>LOW (40%)</t>
        </is>
      </c>
      <c r="Y1401" s="188" t="inlineStr">
        <is>
          <t>NONE</t>
        </is>
      </c>
      <c r="Z1401" s="188" t="inlineStr">
        <is>
          <t>NONE</t>
        </is>
      </c>
      <c r="AA1401" s="188" t="inlineStr">
        <is>
          <t>NONE</t>
        </is>
      </c>
      <c r="AB1401" s="188" t="inlineStr">
        <is>
          <t>NONE</t>
        </is>
      </c>
      <c r="AC1401" s="188" t="n">
        <v>0</v>
      </c>
      <c r="AD1401" s="188" t="inlineStr"/>
    </row>
    <row r="1402">
      <c r="A1402" s="188" t="inlineStr">
        <is>
          <t>BLOCKLIST_DE</t>
        </is>
      </c>
      <c r="B1402" s="188" t="inlineStr">
        <is>
          <t>3c6a3b194059</t>
        </is>
      </c>
      <c r="C1402" s="188" t="inlineStr">
        <is>
          <t>Blocklist.de: 1.222.42.237 | Attack activity reported | Sources: BLOCKLIST_DE</t>
        </is>
      </c>
      <c r="D1402" s="188" t="n">
        <v>6</v>
      </c>
      <c r="E1402" s="188" t="inlineStr">
        <is>
          <t>MEDIUM</t>
        </is>
      </c>
      <c r="F1402" s="188" t="n">
        <v>2</v>
      </c>
      <c r="G1402" s="188" t="n">
        <v>2</v>
      </c>
      <c r="H1402" s="188" t="inlineStr">
        <is>
          <t>MEDIUM</t>
        </is>
      </c>
      <c r="I1402" s="188" t="n">
        <v>10</v>
      </c>
      <c r="J1402" s="188" t="inlineStr">
        <is>
          <t>NO</t>
        </is>
      </c>
      <c r="K1402" s="188" t="inlineStr">
        <is>
          <t>https://www.blocklist.de/</t>
        </is>
      </c>
      <c r="L1402" s="188" t="inlineStr">
        <is>
          <t>2026-02-27 20:47</t>
        </is>
      </c>
      <c r="M1402" s="188" t="inlineStr">
        <is>
          <t>Block IP</t>
        </is>
      </c>
      <c r="N1402" s="188" t="inlineStr">
        <is>
          <t>https://www.blocklist.de/</t>
        </is>
      </c>
      <c r="O1402" s="188" t="inlineStr">
        <is>
          <t>Block IP 1.222.42.237 at firewall | Check SIEM for existing connections</t>
        </is>
      </c>
      <c r="P1402" s="188" t="inlineStr">
        <is>
          <t>Firewall/Network</t>
        </is>
      </c>
      <c r="Q1402" s="188" t="inlineStr">
        <is>
          <t>P4</t>
        </is>
      </c>
      <c r="R1402" s="188" t="inlineStr">
        <is>
          <t>🚫 Block IP at firewall immediately | 🔍 Check logs for existing connections | 🛡️ Add to threat intelligence blocklist</t>
        </is>
      </c>
      <c r="S1402" s="188" t="inlineStr">
        <is>
          <t>Blocklist IP — ip-api.com context available</t>
        </is>
      </c>
      <c r="T1402" s="188" t="n">
        <v>0</v>
      </c>
      <c r="U1402" s="188" t="n">
        <v>0</v>
      </c>
      <c r="V1402" s="188" t="inlineStr">
        <is>
          <t>T1110:Brute Force | T1190:Exploit Public-Facing Application</t>
        </is>
      </c>
      <c r="W1402" s="188" t="n">
        <v>1</v>
      </c>
      <c r="X1402" s="188" t="inlineStr">
        <is>
          <t>LOW (40%)</t>
        </is>
      </c>
      <c r="Y1402" s="188" t="inlineStr">
        <is>
          <t>NONE</t>
        </is>
      </c>
      <c r="Z1402" s="188" t="inlineStr">
        <is>
          <t>NONE</t>
        </is>
      </c>
      <c r="AA1402" s="188" t="inlineStr">
        <is>
          <t>NONE</t>
        </is>
      </c>
      <c r="AB1402" s="188" t="inlineStr">
        <is>
          <t>NONE</t>
        </is>
      </c>
      <c r="AC1402" s="188" t="n">
        <v>0</v>
      </c>
      <c r="AD1402" s="188" t="inlineStr"/>
    </row>
    <row r="1403">
      <c r="A1403" s="188" t="inlineStr">
        <is>
          <t>BLOCKLIST_DE</t>
        </is>
      </c>
      <c r="B1403" s="188" t="inlineStr">
        <is>
          <t>537208cb5a69</t>
        </is>
      </c>
      <c r="C1403" s="188" t="inlineStr">
        <is>
          <t>Blocklist.de: 1.227.228.131 | Attack activity reported | Sources: BLOCKLIST_DE</t>
        </is>
      </c>
      <c r="D1403" s="188" t="n">
        <v>6</v>
      </c>
      <c r="E1403" s="188" t="inlineStr">
        <is>
          <t>MEDIUM</t>
        </is>
      </c>
      <c r="F1403" s="188" t="n">
        <v>2</v>
      </c>
      <c r="G1403" s="188" t="n">
        <v>2</v>
      </c>
      <c r="H1403" s="188" t="inlineStr">
        <is>
          <t>MEDIUM</t>
        </is>
      </c>
      <c r="I1403" s="188" t="n">
        <v>10</v>
      </c>
      <c r="J1403" s="188" t="inlineStr">
        <is>
          <t>NO</t>
        </is>
      </c>
      <c r="K1403" s="188" t="inlineStr">
        <is>
          <t>https://www.blocklist.de/</t>
        </is>
      </c>
      <c r="L1403" s="188" t="inlineStr">
        <is>
          <t>2026-02-27 20:47</t>
        </is>
      </c>
      <c r="M1403" s="188" t="inlineStr">
        <is>
          <t>Block IP</t>
        </is>
      </c>
      <c r="N1403" s="188" t="inlineStr">
        <is>
          <t>https://www.blocklist.de/</t>
        </is>
      </c>
      <c r="O1403" s="188" t="inlineStr">
        <is>
          <t>Block IP 1.227.228.131 at firewall | Check SIEM for existing connections</t>
        </is>
      </c>
      <c r="P1403" s="188" t="inlineStr">
        <is>
          <t>Firewall/Network</t>
        </is>
      </c>
      <c r="Q1403" s="188" t="inlineStr">
        <is>
          <t>P4</t>
        </is>
      </c>
      <c r="R1403" s="188" t="inlineStr">
        <is>
          <t>🚫 Block IP at firewall immediately | 🔍 Check logs for existing connections | 🛡️ Add to threat intelligence blocklist</t>
        </is>
      </c>
      <c r="S1403" s="188" t="inlineStr">
        <is>
          <t>Blocklist IP — ip-api.com context available</t>
        </is>
      </c>
      <c r="T1403" s="188" t="n">
        <v>0</v>
      </c>
      <c r="U1403" s="188" t="n">
        <v>0</v>
      </c>
      <c r="V1403" s="188" t="inlineStr">
        <is>
          <t>T1110:Brute Force | T1190:Exploit Public-Facing Application</t>
        </is>
      </c>
      <c r="W1403" s="188" t="n">
        <v>1</v>
      </c>
      <c r="X1403" s="188" t="inlineStr">
        <is>
          <t>LOW (40%)</t>
        </is>
      </c>
      <c r="Y1403" s="188" t="inlineStr">
        <is>
          <t>NONE</t>
        </is>
      </c>
      <c r="Z1403" s="188" t="inlineStr">
        <is>
          <t>NONE</t>
        </is>
      </c>
      <c r="AA1403" s="188" t="inlineStr">
        <is>
          <t>NONE</t>
        </is>
      </c>
      <c r="AB1403" s="188" t="inlineStr">
        <is>
          <t>NONE</t>
        </is>
      </c>
      <c r="AC1403" s="188" t="n">
        <v>0</v>
      </c>
      <c r="AD1403" s="188" t="inlineStr"/>
    </row>
    <row r="1404">
      <c r="A1404" s="188" t="inlineStr">
        <is>
          <t>BLOCKLIST_DE</t>
        </is>
      </c>
      <c r="B1404" s="188" t="inlineStr">
        <is>
          <t>22149440783b</t>
        </is>
      </c>
      <c r="C1404" s="188" t="inlineStr">
        <is>
          <t>Blocklist.de: 1.234.23.221 | Attack activity reported | Sources: BLOCKLIST_DE</t>
        </is>
      </c>
      <c r="D1404" s="188" t="n">
        <v>6</v>
      </c>
      <c r="E1404" s="188" t="inlineStr">
        <is>
          <t>MEDIUM</t>
        </is>
      </c>
      <c r="F1404" s="188" t="n">
        <v>2</v>
      </c>
      <c r="G1404" s="188" t="n">
        <v>2</v>
      </c>
      <c r="H1404" s="188" t="inlineStr">
        <is>
          <t>MEDIUM</t>
        </is>
      </c>
      <c r="I1404" s="188" t="n">
        <v>10</v>
      </c>
      <c r="J1404" s="188" t="inlineStr">
        <is>
          <t>NO</t>
        </is>
      </c>
      <c r="K1404" s="188" t="inlineStr">
        <is>
          <t>https://www.blocklist.de/</t>
        </is>
      </c>
      <c r="L1404" s="188" t="inlineStr">
        <is>
          <t>2026-02-27 20:47</t>
        </is>
      </c>
      <c r="M1404" s="188" t="inlineStr">
        <is>
          <t>Block IP</t>
        </is>
      </c>
      <c r="N1404" s="188" t="inlineStr">
        <is>
          <t>https://www.blocklist.de/</t>
        </is>
      </c>
      <c r="O1404" s="188" t="inlineStr">
        <is>
          <t>Block IP 1.234.23.221 at firewall | Check SIEM for existing connections</t>
        </is>
      </c>
      <c r="P1404" s="188" t="inlineStr">
        <is>
          <t>Firewall/Network</t>
        </is>
      </c>
      <c r="Q1404" s="188" t="inlineStr">
        <is>
          <t>P4</t>
        </is>
      </c>
      <c r="R1404" s="188" t="inlineStr">
        <is>
          <t>🚫 Block IP at firewall immediately | 🔍 Check logs for existing connections | 🛡️ Add to threat intelligence blocklist</t>
        </is>
      </c>
      <c r="S1404" s="188" t="inlineStr">
        <is>
          <t>Blocklist IP — ip-api.com context available</t>
        </is>
      </c>
      <c r="T1404" s="188" t="n">
        <v>0</v>
      </c>
      <c r="U1404" s="188" t="n">
        <v>0</v>
      </c>
      <c r="V1404" s="188" t="inlineStr">
        <is>
          <t>T1110:Brute Force | T1190:Exploit Public-Facing Application</t>
        </is>
      </c>
      <c r="W1404" s="188" t="n">
        <v>1</v>
      </c>
      <c r="X1404" s="188" t="inlineStr">
        <is>
          <t>LOW (40%)</t>
        </is>
      </c>
      <c r="Y1404" s="188" t="inlineStr">
        <is>
          <t>NONE</t>
        </is>
      </c>
      <c r="Z1404" s="188" t="inlineStr">
        <is>
          <t>NONE</t>
        </is>
      </c>
      <c r="AA1404" s="188" t="inlineStr">
        <is>
          <t>NONE</t>
        </is>
      </c>
      <c r="AB1404" s="188" t="inlineStr">
        <is>
          <t>NONE</t>
        </is>
      </c>
      <c r="AC1404" s="188" t="n">
        <v>0</v>
      </c>
      <c r="AD1404" s="188" t="inlineStr"/>
    </row>
    <row r="1405">
      <c r="A1405" s="188" t="inlineStr">
        <is>
          <t>BLOCKLIST_DE</t>
        </is>
      </c>
      <c r="B1405" s="188" t="inlineStr">
        <is>
          <t>8c9b3a8d25de</t>
        </is>
      </c>
      <c r="C1405" s="188" t="inlineStr">
        <is>
          <t>Blocklist.de: 1.234.27.159 | Attack activity reported | Sources: BLOCKLIST_DE</t>
        </is>
      </c>
      <c r="D1405" s="188" t="n">
        <v>6</v>
      </c>
      <c r="E1405" s="188" t="inlineStr">
        <is>
          <t>MEDIUM</t>
        </is>
      </c>
      <c r="F1405" s="188" t="n">
        <v>2</v>
      </c>
      <c r="G1405" s="188" t="n">
        <v>2</v>
      </c>
      <c r="H1405" s="188" t="inlineStr">
        <is>
          <t>MEDIUM</t>
        </is>
      </c>
      <c r="I1405" s="188" t="n">
        <v>10</v>
      </c>
      <c r="J1405" s="188" t="inlineStr">
        <is>
          <t>NO</t>
        </is>
      </c>
      <c r="K1405" s="188" t="inlineStr">
        <is>
          <t>https://www.blocklist.de/</t>
        </is>
      </c>
      <c r="L1405" s="188" t="inlineStr">
        <is>
          <t>2026-02-27 20:47</t>
        </is>
      </c>
      <c r="M1405" s="188" t="inlineStr">
        <is>
          <t>Block IP</t>
        </is>
      </c>
      <c r="N1405" s="188" t="inlineStr">
        <is>
          <t>https://www.blocklist.de/</t>
        </is>
      </c>
      <c r="O1405" s="188" t="inlineStr">
        <is>
          <t>Block IP 1.234.27.159 at firewall | Check SIEM for existing connections</t>
        </is>
      </c>
      <c r="P1405" s="188" t="inlineStr">
        <is>
          <t>Firewall/Network</t>
        </is>
      </c>
      <c r="Q1405" s="188" t="inlineStr">
        <is>
          <t>P4</t>
        </is>
      </c>
      <c r="R1405" s="188" t="inlineStr">
        <is>
          <t>🚫 Block IP at firewall immediately | 🔍 Check logs for existing connections | 🛡️ Add to threat intelligence blocklist</t>
        </is>
      </c>
      <c r="S1405" s="188" t="inlineStr">
        <is>
          <t>Blocklist IP — ip-api.com context available</t>
        </is>
      </c>
      <c r="T1405" s="188" t="n">
        <v>0</v>
      </c>
      <c r="U1405" s="188" t="n">
        <v>0</v>
      </c>
      <c r="V1405" s="188" t="inlineStr">
        <is>
          <t>T1110:Brute Force | T1190:Exploit Public-Facing Application</t>
        </is>
      </c>
      <c r="W1405" s="188" t="n">
        <v>1</v>
      </c>
      <c r="X1405" s="188" t="inlineStr">
        <is>
          <t>LOW (40%)</t>
        </is>
      </c>
      <c r="Y1405" s="188" t="inlineStr">
        <is>
          <t>NONE</t>
        </is>
      </c>
      <c r="Z1405" s="188" t="inlineStr">
        <is>
          <t>NONE</t>
        </is>
      </c>
      <c r="AA1405" s="188" t="inlineStr">
        <is>
          <t>NONE</t>
        </is>
      </c>
      <c r="AB1405" s="188" t="inlineStr">
        <is>
          <t>NONE</t>
        </is>
      </c>
      <c r="AC1405" s="188" t="n">
        <v>0</v>
      </c>
      <c r="AD1405" s="188" t="inlineStr"/>
    </row>
    <row r="1406">
      <c r="A1406" s="188" t="inlineStr">
        <is>
          <t>BLOCKLIST_DE</t>
        </is>
      </c>
      <c r="B1406" s="188" t="inlineStr">
        <is>
          <t>7f8bda0bd561</t>
        </is>
      </c>
      <c r="C1406" s="188" t="inlineStr">
        <is>
          <t>Blocklist.de: 1.235.192.130 | Attack activity reported | Sources: BLOCKLIST_DE</t>
        </is>
      </c>
      <c r="D1406" s="188" t="n">
        <v>6</v>
      </c>
      <c r="E1406" s="188" t="inlineStr">
        <is>
          <t>MEDIUM</t>
        </is>
      </c>
      <c r="F1406" s="188" t="n">
        <v>2</v>
      </c>
      <c r="G1406" s="188" t="n">
        <v>2</v>
      </c>
      <c r="H1406" s="188" t="inlineStr">
        <is>
          <t>MEDIUM</t>
        </is>
      </c>
      <c r="I1406" s="188" t="n">
        <v>10</v>
      </c>
      <c r="J1406" s="188" t="inlineStr">
        <is>
          <t>NO</t>
        </is>
      </c>
      <c r="K1406" s="188" t="inlineStr">
        <is>
          <t>https://www.blocklist.de/</t>
        </is>
      </c>
      <c r="L1406" s="188" t="inlineStr">
        <is>
          <t>2026-02-27 20:47</t>
        </is>
      </c>
      <c r="M1406" s="188" t="inlineStr">
        <is>
          <t>Block IP</t>
        </is>
      </c>
      <c r="N1406" s="188" t="inlineStr">
        <is>
          <t>https://www.blocklist.de/</t>
        </is>
      </c>
      <c r="O1406" s="188" t="inlineStr">
        <is>
          <t>Block IP 1.235.192.130 at firewall | Check SIEM for existing connections</t>
        </is>
      </c>
      <c r="P1406" s="188" t="inlineStr">
        <is>
          <t>Firewall/Network</t>
        </is>
      </c>
      <c r="Q1406" s="188" t="inlineStr">
        <is>
          <t>P4</t>
        </is>
      </c>
      <c r="R1406" s="188" t="inlineStr">
        <is>
          <t>🚫 Block IP at firewall immediately | 🔍 Check logs for existing connections | 🛡️ Add to threat intelligence blocklist</t>
        </is>
      </c>
      <c r="S1406" s="188" t="inlineStr">
        <is>
          <t>Blocklist IP — ip-api.com context available</t>
        </is>
      </c>
      <c r="T1406" s="188" t="n">
        <v>0</v>
      </c>
      <c r="U1406" s="188" t="n">
        <v>0</v>
      </c>
      <c r="V1406" s="188" t="inlineStr">
        <is>
          <t>T1110:Brute Force | T1190:Exploit Public-Facing Application</t>
        </is>
      </c>
      <c r="W1406" s="188" t="n">
        <v>1</v>
      </c>
      <c r="X1406" s="188" t="inlineStr">
        <is>
          <t>LOW (40%)</t>
        </is>
      </c>
      <c r="Y1406" s="188" t="inlineStr">
        <is>
          <t>NONE</t>
        </is>
      </c>
      <c r="Z1406" s="188" t="inlineStr">
        <is>
          <t>NONE</t>
        </is>
      </c>
      <c r="AA1406" s="188" t="inlineStr">
        <is>
          <t>NONE</t>
        </is>
      </c>
      <c r="AB1406" s="188" t="inlineStr">
        <is>
          <t>NONE</t>
        </is>
      </c>
      <c r="AC1406" s="188" t="n">
        <v>0</v>
      </c>
      <c r="AD1406" s="188" t="inlineStr"/>
    </row>
    <row r="1407">
      <c r="A1407" s="188" t="inlineStr">
        <is>
          <t>BLOCKLIST_DE</t>
        </is>
      </c>
      <c r="B1407" s="188" t="inlineStr">
        <is>
          <t>9c698c7f2054</t>
        </is>
      </c>
      <c r="C1407" s="188" t="inlineStr">
        <is>
          <t>Blocklist.de: 1.235.192.131 | Attack activity reported | Sources: BLOCKLIST_DE</t>
        </is>
      </c>
      <c r="D1407" s="188" t="n">
        <v>6</v>
      </c>
      <c r="E1407" s="188" t="inlineStr">
        <is>
          <t>MEDIUM</t>
        </is>
      </c>
      <c r="F1407" s="188" t="n">
        <v>2</v>
      </c>
      <c r="G1407" s="188" t="n">
        <v>2</v>
      </c>
      <c r="H1407" s="188" t="inlineStr">
        <is>
          <t>MEDIUM</t>
        </is>
      </c>
      <c r="I1407" s="188" t="n">
        <v>10</v>
      </c>
      <c r="J1407" s="188" t="inlineStr">
        <is>
          <t>NO</t>
        </is>
      </c>
      <c r="K1407" s="188" t="inlineStr">
        <is>
          <t>https://www.blocklist.de/</t>
        </is>
      </c>
      <c r="L1407" s="188" t="inlineStr">
        <is>
          <t>2026-02-27 20:47</t>
        </is>
      </c>
      <c r="M1407" s="188" t="inlineStr">
        <is>
          <t>Block IP</t>
        </is>
      </c>
      <c r="N1407" s="188" t="inlineStr">
        <is>
          <t>https://www.blocklist.de/</t>
        </is>
      </c>
      <c r="O1407" s="188" t="inlineStr">
        <is>
          <t>Block IP 1.235.192.131 at firewall | Check SIEM for existing connections</t>
        </is>
      </c>
      <c r="P1407" s="188" t="inlineStr">
        <is>
          <t>Firewall/Network</t>
        </is>
      </c>
      <c r="Q1407" s="188" t="inlineStr">
        <is>
          <t>P4</t>
        </is>
      </c>
      <c r="R1407" s="188" t="inlineStr">
        <is>
          <t>🚫 Block IP at firewall immediately | 🔍 Check logs for existing connections | 🛡️ Add to threat intelligence blocklist</t>
        </is>
      </c>
      <c r="S1407" s="188" t="inlineStr">
        <is>
          <t>Blocklist IP — ip-api.com context available</t>
        </is>
      </c>
      <c r="T1407" s="188" t="n">
        <v>0</v>
      </c>
      <c r="U1407" s="188" t="n">
        <v>0</v>
      </c>
      <c r="V1407" s="188" t="inlineStr">
        <is>
          <t>T1110:Brute Force | T1190:Exploit Public-Facing Application</t>
        </is>
      </c>
      <c r="W1407" s="188" t="n">
        <v>1</v>
      </c>
      <c r="X1407" s="188" t="inlineStr">
        <is>
          <t>LOW (40%)</t>
        </is>
      </c>
      <c r="Y1407" s="188" t="inlineStr">
        <is>
          <t>NONE</t>
        </is>
      </c>
      <c r="Z1407" s="188" t="inlineStr">
        <is>
          <t>NONE</t>
        </is>
      </c>
      <c r="AA1407" s="188" t="inlineStr">
        <is>
          <t>NONE</t>
        </is>
      </c>
      <c r="AB1407" s="188" t="inlineStr">
        <is>
          <t>NONE</t>
        </is>
      </c>
      <c r="AC1407" s="188" t="n">
        <v>0</v>
      </c>
      <c r="AD1407" s="188" t="inlineStr"/>
    </row>
    <row r="1408">
      <c r="A1408" s="188" t="inlineStr">
        <is>
          <t>BLOCKLIST_DE</t>
        </is>
      </c>
      <c r="B1408" s="188" t="inlineStr">
        <is>
          <t>9b6a8ed48afe</t>
        </is>
      </c>
      <c r="C1408" s="188" t="inlineStr">
        <is>
          <t>Blocklist.de: 1.237.155.150 | Attack activity reported | Sources: BLOCKLIST_DE</t>
        </is>
      </c>
      <c r="D1408" s="188" t="n">
        <v>6</v>
      </c>
      <c r="E1408" s="188" t="inlineStr">
        <is>
          <t>MEDIUM</t>
        </is>
      </c>
      <c r="F1408" s="188" t="n">
        <v>2</v>
      </c>
      <c r="G1408" s="188" t="n">
        <v>2</v>
      </c>
      <c r="H1408" s="188" t="inlineStr">
        <is>
          <t>MEDIUM</t>
        </is>
      </c>
      <c r="I1408" s="188" t="n">
        <v>10</v>
      </c>
      <c r="J1408" s="188" t="inlineStr">
        <is>
          <t>NO</t>
        </is>
      </c>
      <c r="K1408" s="188" t="inlineStr">
        <is>
          <t>https://www.blocklist.de/</t>
        </is>
      </c>
      <c r="L1408" s="188" t="inlineStr">
        <is>
          <t>2026-02-27 20:47</t>
        </is>
      </c>
      <c r="M1408" s="188" t="inlineStr">
        <is>
          <t>Block IP</t>
        </is>
      </c>
      <c r="N1408" s="188" t="inlineStr">
        <is>
          <t>https://www.blocklist.de/</t>
        </is>
      </c>
      <c r="O1408" s="188" t="inlineStr">
        <is>
          <t>Block IP 1.237.155.150 at firewall | Check SIEM for existing connections</t>
        </is>
      </c>
      <c r="P1408" s="188" t="inlineStr">
        <is>
          <t>Firewall/Network</t>
        </is>
      </c>
      <c r="Q1408" s="188" t="inlineStr">
        <is>
          <t>P4</t>
        </is>
      </c>
      <c r="R1408" s="188" t="inlineStr">
        <is>
          <t>🚫 Block IP at firewall immediately | 🔍 Check logs for existing connections | 🛡️ Add to threat intelligence blocklist</t>
        </is>
      </c>
      <c r="S1408" s="188" t="inlineStr">
        <is>
          <t>Blocklist IP — ip-api.com context available</t>
        </is>
      </c>
      <c r="T1408" s="188" t="n">
        <v>0</v>
      </c>
      <c r="U1408" s="188" t="n">
        <v>0</v>
      </c>
      <c r="V1408" s="188" t="inlineStr">
        <is>
          <t>T1110:Brute Force | T1190:Exploit Public-Facing Application</t>
        </is>
      </c>
      <c r="W1408" s="188" t="n">
        <v>1</v>
      </c>
      <c r="X1408" s="188" t="inlineStr">
        <is>
          <t>LOW (40%)</t>
        </is>
      </c>
      <c r="Y1408" s="188" t="inlineStr">
        <is>
          <t>NONE</t>
        </is>
      </c>
      <c r="Z1408" s="188" t="inlineStr">
        <is>
          <t>NONE</t>
        </is>
      </c>
      <c r="AA1408" s="188" t="inlineStr">
        <is>
          <t>NONE</t>
        </is>
      </c>
      <c r="AB1408" s="188" t="inlineStr">
        <is>
          <t>NONE</t>
        </is>
      </c>
      <c r="AC1408" s="188" t="n">
        <v>0</v>
      </c>
      <c r="AD1408" s="188" t="inlineStr"/>
    </row>
    <row r="1409">
      <c r="A1409" s="188" t="inlineStr">
        <is>
          <t>BLOCKLIST_DE</t>
        </is>
      </c>
      <c r="B1409" s="188" t="inlineStr">
        <is>
          <t>55fb149617b5</t>
        </is>
      </c>
      <c r="C1409" s="188" t="inlineStr">
        <is>
          <t>Blocklist.de: 1.238.106.229 | Attack activity reported | Sources: BLOCKLIST_DE</t>
        </is>
      </c>
      <c r="D1409" s="188" t="n">
        <v>6</v>
      </c>
      <c r="E1409" s="188" t="inlineStr">
        <is>
          <t>MEDIUM</t>
        </is>
      </c>
      <c r="F1409" s="188" t="n">
        <v>2</v>
      </c>
      <c r="G1409" s="188" t="n">
        <v>2</v>
      </c>
      <c r="H1409" s="188" t="inlineStr">
        <is>
          <t>MEDIUM</t>
        </is>
      </c>
      <c r="I1409" s="188" t="n">
        <v>10</v>
      </c>
      <c r="J1409" s="188" t="inlineStr">
        <is>
          <t>NO</t>
        </is>
      </c>
      <c r="K1409" s="188" t="inlineStr">
        <is>
          <t>https://www.blocklist.de/</t>
        </is>
      </c>
      <c r="L1409" s="188" t="inlineStr">
        <is>
          <t>2026-02-27 20:47</t>
        </is>
      </c>
      <c r="M1409" s="188" t="inlineStr">
        <is>
          <t>Block IP</t>
        </is>
      </c>
      <c r="N1409" s="188" t="inlineStr">
        <is>
          <t>https://www.blocklist.de/</t>
        </is>
      </c>
      <c r="O1409" s="188" t="inlineStr">
        <is>
          <t>Block IP 1.238.106.229 at firewall | Check SIEM for existing connections</t>
        </is>
      </c>
      <c r="P1409" s="188" t="inlineStr">
        <is>
          <t>Firewall/Network</t>
        </is>
      </c>
      <c r="Q1409" s="188" t="inlineStr">
        <is>
          <t>P4</t>
        </is>
      </c>
      <c r="R1409" s="188" t="inlineStr">
        <is>
          <t>🚫 Block IP at firewall immediately | 🔍 Check logs for existing connections | 🛡️ Add to threat intelligence blocklist</t>
        </is>
      </c>
      <c r="S1409" s="188" t="inlineStr">
        <is>
          <t>Blocklist IP — ip-api.com context available</t>
        </is>
      </c>
      <c r="T1409" s="188" t="n">
        <v>0</v>
      </c>
      <c r="U1409" s="188" t="n">
        <v>0</v>
      </c>
      <c r="V1409" s="188" t="inlineStr">
        <is>
          <t>T1110:Brute Force | T1190:Exploit Public-Facing Application</t>
        </is>
      </c>
      <c r="W1409" s="188" t="n">
        <v>1</v>
      </c>
      <c r="X1409" s="188" t="inlineStr">
        <is>
          <t>LOW (40%)</t>
        </is>
      </c>
      <c r="Y1409" s="188" t="inlineStr">
        <is>
          <t>NONE</t>
        </is>
      </c>
      <c r="Z1409" s="188" t="inlineStr">
        <is>
          <t>NONE</t>
        </is>
      </c>
      <c r="AA1409" s="188" t="inlineStr">
        <is>
          <t>NONE</t>
        </is>
      </c>
      <c r="AB1409" s="188" t="inlineStr">
        <is>
          <t>NONE</t>
        </is>
      </c>
      <c r="AC1409" s="188" t="n">
        <v>0</v>
      </c>
      <c r="AD1409" s="188" t="inlineStr"/>
    </row>
    <row r="1410">
      <c r="A1410" s="188" t="inlineStr">
        <is>
          <t>BLOCKLIST_DE</t>
        </is>
      </c>
      <c r="B1410" s="188" t="inlineStr">
        <is>
          <t>d28316cdbee2</t>
        </is>
      </c>
      <c r="C1410" s="188" t="inlineStr">
        <is>
          <t>Blocklist.de: 1.24.210.27 | Attack activity reported | Sources: BLOCKLIST_DE</t>
        </is>
      </c>
      <c r="D1410" s="188" t="n">
        <v>6</v>
      </c>
      <c r="E1410" s="188" t="inlineStr">
        <is>
          <t>MEDIUM</t>
        </is>
      </c>
      <c r="F1410" s="188" t="n">
        <v>2</v>
      </c>
      <c r="G1410" s="188" t="n">
        <v>2</v>
      </c>
      <c r="H1410" s="188" t="inlineStr">
        <is>
          <t>MEDIUM</t>
        </is>
      </c>
      <c r="I1410" s="188" t="n">
        <v>10</v>
      </c>
      <c r="J1410" s="188" t="inlineStr">
        <is>
          <t>NO</t>
        </is>
      </c>
      <c r="K1410" s="188" t="inlineStr">
        <is>
          <t>https://www.blocklist.de/</t>
        </is>
      </c>
      <c r="L1410" s="188" t="inlineStr">
        <is>
          <t>2026-02-27 20:47</t>
        </is>
      </c>
      <c r="M1410" s="188" t="inlineStr">
        <is>
          <t>Block IP</t>
        </is>
      </c>
      <c r="N1410" s="188" t="inlineStr">
        <is>
          <t>https://www.blocklist.de/</t>
        </is>
      </c>
      <c r="O1410" s="188" t="inlineStr">
        <is>
          <t>Block IP 1.24.210.27 at firewall | Check SIEM for existing connections</t>
        </is>
      </c>
      <c r="P1410" s="188" t="inlineStr">
        <is>
          <t>Firewall/Network</t>
        </is>
      </c>
      <c r="Q1410" s="188" t="inlineStr">
        <is>
          <t>P4</t>
        </is>
      </c>
      <c r="R1410" s="188" t="inlineStr">
        <is>
          <t>🚫 Block IP at firewall immediately | 🔍 Check logs for existing connections | 🛡️ Add to threat intelligence blocklist</t>
        </is>
      </c>
      <c r="S1410" s="188" t="inlineStr">
        <is>
          <t>Blocklist IP — ip-api.com context available</t>
        </is>
      </c>
      <c r="T1410" s="188" t="n">
        <v>0</v>
      </c>
      <c r="U1410" s="188" t="n">
        <v>0</v>
      </c>
      <c r="V1410" s="188" t="inlineStr">
        <is>
          <t>T1110:Brute Force | T1190:Exploit Public-Facing Application</t>
        </is>
      </c>
      <c r="W1410" s="188" t="n">
        <v>1</v>
      </c>
      <c r="X1410" s="188" t="inlineStr">
        <is>
          <t>LOW (40%)</t>
        </is>
      </c>
      <c r="Y1410" s="188" t="inlineStr">
        <is>
          <t>NONE</t>
        </is>
      </c>
      <c r="Z1410" s="188" t="inlineStr">
        <is>
          <t>NONE</t>
        </is>
      </c>
      <c r="AA1410" s="188" t="inlineStr">
        <is>
          <t>NONE</t>
        </is>
      </c>
      <c r="AB1410" s="188" t="inlineStr">
        <is>
          <t>NONE</t>
        </is>
      </c>
      <c r="AC1410" s="188" t="n">
        <v>0</v>
      </c>
      <c r="AD1410" s="188" t="inlineStr"/>
    </row>
    <row r="1411">
      <c r="A1411" s="188" t="inlineStr">
        <is>
          <t>BLOCKLIST_DE</t>
        </is>
      </c>
      <c r="B1411" s="188" t="inlineStr">
        <is>
          <t>7b84ff55afa8</t>
        </is>
      </c>
      <c r="C1411" s="188" t="inlineStr">
        <is>
          <t>Blocklist.de: 1.241.174.81 | Attack activity reported | Sources: BLOCKLIST_DE</t>
        </is>
      </c>
      <c r="D1411" s="188" t="n">
        <v>6</v>
      </c>
      <c r="E1411" s="188" t="inlineStr">
        <is>
          <t>MEDIUM</t>
        </is>
      </c>
      <c r="F1411" s="188" t="n">
        <v>2</v>
      </c>
      <c r="G1411" s="188" t="n">
        <v>2</v>
      </c>
      <c r="H1411" s="188" t="inlineStr">
        <is>
          <t>MEDIUM</t>
        </is>
      </c>
      <c r="I1411" s="188" t="n">
        <v>10</v>
      </c>
      <c r="J1411" s="188" t="inlineStr">
        <is>
          <t>NO</t>
        </is>
      </c>
      <c r="K1411" s="188" t="inlineStr">
        <is>
          <t>https://www.blocklist.de/</t>
        </is>
      </c>
      <c r="L1411" s="188" t="inlineStr">
        <is>
          <t>2026-02-27 20:47</t>
        </is>
      </c>
      <c r="M1411" s="188" t="inlineStr">
        <is>
          <t>Block IP</t>
        </is>
      </c>
      <c r="N1411" s="188" t="inlineStr">
        <is>
          <t>https://www.blocklist.de/</t>
        </is>
      </c>
      <c r="O1411" s="188" t="inlineStr">
        <is>
          <t>Block IP 1.241.174.81 at firewall | Check SIEM for existing connections</t>
        </is>
      </c>
      <c r="P1411" s="188" t="inlineStr">
        <is>
          <t>Firewall/Network</t>
        </is>
      </c>
      <c r="Q1411" s="188" t="inlineStr">
        <is>
          <t>P4</t>
        </is>
      </c>
      <c r="R1411" s="188" t="inlineStr">
        <is>
          <t>🚫 Block IP at firewall immediately | 🔍 Check logs for existing connections | 🛡️ Add to threat intelligence blocklist</t>
        </is>
      </c>
      <c r="S1411" s="188" t="inlineStr">
        <is>
          <t>Blocklist IP — ip-api.com context available</t>
        </is>
      </c>
      <c r="T1411" s="188" t="n">
        <v>0</v>
      </c>
      <c r="U1411" s="188" t="n">
        <v>0</v>
      </c>
      <c r="V1411" s="188" t="inlineStr">
        <is>
          <t>T1110:Brute Force | T1190:Exploit Public-Facing Application</t>
        </is>
      </c>
      <c r="W1411" s="188" t="n">
        <v>1</v>
      </c>
      <c r="X1411" s="188" t="inlineStr">
        <is>
          <t>LOW (40%)</t>
        </is>
      </c>
      <c r="Y1411" s="188" t="inlineStr">
        <is>
          <t>NONE</t>
        </is>
      </c>
      <c r="Z1411" s="188" t="inlineStr">
        <is>
          <t>NONE</t>
        </is>
      </c>
      <c r="AA1411" s="188" t="inlineStr">
        <is>
          <t>NONE</t>
        </is>
      </c>
      <c r="AB1411" s="188" t="inlineStr">
        <is>
          <t>NONE</t>
        </is>
      </c>
      <c r="AC1411" s="188" t="n">
        <v>0</v>
      </c>
      <c r="AD1411" s="188" t="inlineStr"/>
    </row>
    <row r="1412">
      <c r="A1412" s="188" t="inlineStr">
        <is>
          <t>BLOCKLIST_DE</t>
        </is>
      </c>
      <c r="B1412" s="188" t="inlineStr">
        <is>
          <t>1c9e454bffa8</t>
        </is>
      </c>
      <c r="C1412" s="188" t="inlineStr">
        <is>
          <t>Blocklist.de: 1.241.64.237 | Attack activity reported | Sources: BLOCKLIST_DE, ABUSEIPDB</t>
        </is>
      </c>
      <c r="D1412" s="188" t="n">
        <v>6</v>
      </c>
      <c r="E1412" s="188" t="inlineStr">
        <is>
          <t>MEDIUM</t>
        </is>
      </c>
      <c r="F1412" s="188" t="n">
        <v>2</v>
      </c>
      <c r="G1412" s="188" t="n">
        <v>2</v>
      </c>
      <c r="H1412" s="188" t="inlineStr">
        <is>
          <t>MEDIUM</t>
        </is>
      </c>
      <c r="I1412" s="188" t="n">
        <v>10</v>
      </c>
      <c r="J1412" s="188" t="inlineStr">
        <is>
          <t>NO</t>
        </is>
      </c>
      <c r="K1412" s="188" t="inlineStr">
        <is>
          <t>https://www.blocklist.de/</t>
        </is>
      </c>
      <c r="L1412" s="188" t="inlineStr">
        <is>
          <t>2026-02-27 20:47</t>
        </is>
      </c>
      <c r="M1412" s="188" t="inlineStr">
        <is>
          <t>Block IP</t>
        </is>
      </c>
      <c r="N1412" s="188" t="inlineStr">
        <is>
          <t>https://www.blocklist.de/</t>
        </is>
      </c>
      <c r="O1412" s="188" t="inlineStr">
        <is>
          <t>Block IP 1.241.64.237 at firewall | Check SIEM for existing connections</t>
        </is>
      </c>
      <c r="P1412" s="188" t="inlineStr">
        <is>
          <t>Firewall/Network</t>
        </is>
      </c>
      <c r="Q1412" s="188" t="inlineStr">
        <is>
          <t>P3</t>
        </is>
      </c>
      <c r="R1412" s="188" t="inlineStr">
        <is>
          <t>🚫 Block IP at firewall immediately | 🔍 Check logs for existing connections | 🛡️ Add to threat intelligence blocklist</t>
        </is>
      </c>
      <c r="S1412" s="188" t="inlineStr">
        <is>
          <t>Blocklist IP — ip-api.com context available</t>
        </is>
      </c>
      <c r="T1412" s="188" t="n">
        <v>0</v>
      </c>
      <c r="U1412" s="188" t="n">
        <v>0</v>
      </c>
      <c r="V1412" s="188" t="inlineStr">
        <is>
          <t>T1110:Brute Force | T1190:Exploit Public-Facing Application</t>
        </is>
      </c>
      <c r="W1412" s="188" t="n">
        <v>2</v>
      </c>
      <c r="X1412" s="188" t="inlineStr">
        <is>
          <t>MEDIUM (52%)</t>
        </is>
      </c>
      <c r="Y1412" s="188" t="inlineStr">
        <is>
          <t>NONE</t>
        </is>
      </c>
      <c r="Z1412" s="188" t="inlineStr">
        <is>
          <t>NONE</t>
        </is>
      </c>
      <c r="AA1412" s="188" t="inlineStr">
        <is>
          <t>NONE</t>
        </is>
      </c>
      <c r="AB1412" s="188" t="inlineStr">
        <is>
          <t>NONE</t>
        </is>
      </c>
      <c r="AC1412" s="188" t="n">
        <v>0</v>
      </c>
      <c r="AD1412" s="188" t="inlineStr"/>
    </row>
    <row r="1413">
      <c r="A1413" s="188" t="inlineStr">
        <is>
          <t>BLOCKLIST_DE</t>
        </is>
      </c>
      <c r="B1413" s="188" t="inlineStr">
        <is>
          <t>982ec68d54bb</t>
        </is>
      </c>
      <c r="C1413" s="188" t="inlineStr">
        <is>
          <t>Blocklist.de: 1.244.246.221 | Attack activity reported | Sources: BLOCKLIST_DE</t>
        </is>
      </c>
      <c r="D1413" s="188" t="n">
        <v>6</v>
      </c>
      <c r="E1413" s="188" t="inlineStr">
        <is>
          <t>MEDIUM</t>
        </is>
      </c>
      <c r="F1413" s="188" t="n">
        <v>2</v>
      </c>
      <c r="G1413" s="188" t="n">
        <v>2</v>
      </c>
      <c r="H1413" s="188" t="inlineStr">
        <is>
          <t>MEDIUM</t>
        </is>
      </c>
      <c r="I1413" s="188" t="n">
        <v>10</v>
      </c>
      <c r="J1413" s="188" t="inlineStr">
        <is>
          <t>NO</t>
        </is>
      </c>
      <c r="K1413" s="188" t="inlineStr">
        <is>
          <t>https://www.blocklist.de/</t>
        </is>
      </c>
      <c r="L1413" s="188" t="inlineStr">
        <is>
          <t>2026-02-27 20:47</t>
        </is>
      </c>
      <c r="M1413" s="188" t="inlineStr">
        <is>
          <t>Block IP</t>
        </is>
      </c>
      <c r="N1413" s="188" t="inlineStr">
        <is>
          <t>https://www.blocklist.de/</t>
        </is>
      </c>
      <c r="O1413" s="188" t="inlineStr">
        <is>
          <t>Block IP 1.244.246.221 at firewall | Check SIEM for existing connections</t>
        </is>
      </c>
      <c r="P1413" s="188" t="inlineStr">
        <is>
          <t>Firewall/Network</t>
        </is>
      </c>
      <c r="Q1413" s="188" t="inlineStr">
        <is>
          <t>P4</t>
        </is>
      </c>
      <c r="R1413" s="188" t="inlineStr">
        <is>
          <t>🚫 Block IP at firewall immediately | 🔍 Check logs for existing connections | 🛡️ Add to threat intelligence blocklist</t>
        </is>
      </c>
      <c r="S1413" s="188" t="inlineStr">
        <is>
          <t>Blocklist IP — ip-api.com context available</t>
        </is>
      </c>
      <c r="T1413" s="188" t="n">
        <v>0</v>
      </c>
      <c r="U1413" s="188" t="n">
        <v>0</v>
      </c>
      <c r="V1413" s="188" t="inlineStr">
        <is>
          <t>T1110:Brute Force | T1190:Exploit Public-Facing Application</t>
        </is>
      </c>
      <c r="W1413" s="188" t="n">
        <v>1</v>
      </c>
      <c r="X1413" s="188" t="inlineStr">
        <is>
          <t>LOW (40%)</t>
        </is>
      </c>
      <c r="Y1413" s="188" t="inlineStr">
        <is>
          <t>NONE</t>
        </is>
      </c>
      <c r="Z1413" s="188" t="inlineStr">
        <is>
          <t>NONE</t>
        </is>
      </c>
      <c r="AA1413" s="188" t="inlineStr">
        <is>
          <t>NONE</t>
        </is>
      </c>
      <c r="AB1413" s="188" t="inlineStr">
        <is>
          <t>NONE</t>
        </is>
      </c>
      <c r="AC1413" s="188" t="n">
        <v>0</v>
      </c>
      <c r="AD1413" s="188" t="inlineStr"/>
    </row>
    <row r="1414">
      <c r="A1414" s="188" t="inlineStr">
        <is>
          <t>BLOCKLIST_DE</t>
        </is>
      </c>
      <c r="B1414" s="188" t="inlineStr">
        <is>
          <t>da77d21102b8</t>
        </is>
      </c>
      <c r="C1414" s="188" t="inlineStr">
        <is>
          <t>Blocklist.de: 1.245.207.104 | Attack activity reported | Sources: BLOCKLIST_DE</t>
        </is>
      </c>
      <c r="D1414" s="188" t="n">
        <v>6</v>
      </c>
      <c r="E1414" s="188" t="inlineStr">
        <is>
          <t>MEDIUM</t>
        </is>
      </c>
      <c r="F1414" s="188" t="n">
        <v>2</v>
      </c>
      <c r="G1414" s="188" t="n">
        <v>2</v>
      </c>
      <c r="H1414" s="188" t="inlineStr">
        <is>
          <t>MEDIUM</t>
        </is>
      </c>
      <c r="I1414" s="188" t="n">
        <v>10</v>
      </c>
      <c r="J1414" s="188" t="inlineStr">
        <is>
          <t>NO</t>
        </is>
      </c>
      <c r="K1414" s="188" t="inlineStr">
        <is>
          <t>https://www.blocklist.de/</t>
        </is>
      </c>
      <c r="L1414" s="188" t="inlineStr">
        <is>
          <t>2026-02-27 20:47</t>
        </is>
      </c>
      <c r="M1414" s="188" t="inlineStr">
        <is>
          <t>Block IP</t>
        </is>
      </c>
      <c r="N1414" s="188" t="inlineStr">
        <is>
          <t>https://www.blocklist.de/</t>
        </is>
      </c>
      <c r="O1414" s="188" t="inlineStr">
        <is>
          <t>Block IP 1.245.207.104 at firewall | Check SIEM for existing connections</t>
        </is>
      </c>
      <c r="P1414" s="188" t="inlineStr">
        <is>
          <t>Firewall/Network</t>
        </is>
      </c>
      <c r="Q1414" s="188" t="inlineStr">
        <is>
          <t>P4</t>
        </is>
      </c>
      <c r="R1414" s="188" t="inlineStr">
        <is>
          <t>🚫 Block IP at firewall immediately | 🔍 Check logs for existing connections | 🛡️ Add to threat intelligence blocklist</t>
        </is>
      </c>
      <c r="S1414" s="188" t="inlineStr">
        <is>
          <t>Blocklist IP — ip-api.com context available</t>
        </is>
      </c>
      <c r="T1414" s="188" t="n">
        <v>0</v>
      </c>
      <c r="U1414" s="188" t="n">
        <v>0</v>
      </c>
      <c r="V1414" s="188" t="inlineStr">
        <is>
          <t>T1110:Brute Force | T1190:Exploit Public-Facing Application</t>
        </is>
      </c>
      <c r="W1414" s="188" t="n">
        <v>1</v>
      </c>
      <c r="X1414" s="188" t="inlineStr">
        <is>
          <t>LOW (40%)</t>
        </is>
      </c>
      <c r="Y1414" s="188" t="inlineStr">
        <is>
          <t>NONE</t>
        </is>
      </c>
      <c r="Z1414" s="188" t="inlineStr">
        <is>
          <t>NONE</t>
        </is>
      </c>
      <c r="AA1414" s="188" t="inlineStr">
        <is>
          <t>NONE</t>
        </is>
      </c>
      <c r="AB1414" s="188" t="inlineStr">
        <is>
          <t>NONE</t>
        </is>
      </c>
      <c r="AC1414" s="188" t="n">
        <v>0</v>
      </c>
      <c r="AD1414" s="188" t="inlineStr"/>
    </row>
    <row r="1415">
      <c r="A1415" s="188" t="inlineStr">
        <is>
          <t>BLOCKLIST_DE</t>
        </is>
      </c>
      <c r="B1415" s="188" t="inlineStr">
        <is>
          <t>3a96bb34832f</t>
        </is>
      </c>
      <c r="C1415" s="188" t="inlineStr">
        <is>
          <t>Blocklist.de: 1.246.14.175 | Attack activity reported | Sources: BLOCKLIST_DE</t>
        </is>
      </c>
      <c r="D1415" s="188" t="n">
        <v>6</v>
      </c>
      <c r="E1415" s="188" t="inlineStr">
        <is>
          <t>MEDIUM</t>
        </is>
      </c>
      <c r="F1415" s="188" t="n">
        <v>2</v>
      </c>
      <c r="G1415" s="188" t="n">
        <v>2</v>
      </c>
      <c r="H1415" s="188" t="inlineStr">
        <is>
          <t>MEDIUM</t>
        </is>
      </c>
      <c r="I1415" s="188" t="n">
        <v>10</v>
      </c>
      <c r="J1415" s="188" t="inlineStr">
        <is>
          <t>NO</t>
        </is>
      </c>
      <c r="K1415" s="188" t="inlineStr">
        <is>
          <t>https://www.blocklist.de/</t>
        </is>
      </c>
      <c r="L1415" s="188" t="inlineStr">
        <is>
          <t>2026-02-27 20:47</t>
        </is>
      </c>
      <c r="M1415" s="188" t="inlineStr">
        <is>
          <t>Block IP</t>
        </is>
      </c>
      <c r="N1415" s="188" t="inlineStr">
        <is>
          <t>https://www.blocklist.de/</t>
        </is>
      </c>
      <c r="O1415" s="188" t="inlineStr">
        <is>
          <t>Block IP 1.246.14.175 at firewall | Check SIEM for existing connections</t>
        </is>
      </c>
      <c r="P1415" s="188" t="inlineStr">
        <is>
          <t>Firewall/Network</t>
        </is>
      </c>
      <c r="Q1415" s="188" t="inlineStr">
        <is>
          <t>P4</t>
        </is>
      </c>
      <c r="R1415" s="188" t="inlineStr">
        <is>
          <t>🚫 Block IP at firewall immediately | 🔍 Check logs for existing connections | 🛡️ Add to threat intelligence blocklist</t>
        </is>
      </c>
      <c r="S1415" s="188" t="inlineStr">
        <is>
          <t>Blocklist IP — ip-api.com context available</t>
        </is>
      </c>
      <c r="T1415" s="188" t="n">
        <v>0</v>
      </c>
      <c r="U1415" s="188" t="n">
        <v>0</v>
      </c>
      <c r="V1415" s="188" t="inlineStr">
        <is>
          <t>T1110:Brute Force | T1190:Exploit Public-Facing Application</t>
        </is>
      </c>
      <c r="W1415" s="188" t="n">
        <v>1</v>
      </c>
      <c r="X1415" s="188" t="inlineStr">
        <is>
          <t>LOW (40%)</t>
        </is>
      </c>
      <c r="Y1415" s="188" t="inlineStr">
        <is>
          <t>NONE</t>
        </is>
      </c>
      <c r="Z1415" s="188" t="inlineStr">
        <is>
          <t>NONE</t>
        </is>
      </c>
      <c r="AA1415" s="188" t="inlineStr">
        <is>
          <t>NONE</t>
        </is>
      </c>
      <c r="AB1415" s="188" t="inlineStr">
        <is>
          <t>NONE</t>
        </is>
      </c>
      <c r="AC1415" s="188" t="n">
        <v>0</v>
      </c>
      <c r="AD1415" s="188" t="inlineStr"/>
    </row>
    <row r="1416">
      <c r="A1416" s="187" t="inlineStr">
        <is>
          <t>MSF_MODULE</t>
        </is>
      </c>
      <c r="B1416" s="187" t="inlineStr">
        <is>
          <t>CVE-2007-4387</t>
        </is>
      </c>
      <c r="C1416" s="187" t="inlineStr">
        <is>
          <t>Metasploit module available: 2Wire Cross-Site Request Forgery Password Reset Vulnerability | Type: auxiliary_admin | CVE-2007-4387</t>
        </is>
      </c>
      <c r="D1416" s="187" t="n">
        <v>7.5</v>
      </c>
      <c r="E1416" s="187" t="inlineStr">
        <is>
          <t>HIGH</t>
        </is>
      </c>
      <c r="F1416" s="187" t="n">
        <v>3</v>
      </c>
      <c r="G1416" s="187" t="n">
        <v>3</v>
      </c>
      <c r="H1416" s="187" t="inlineStr">
        <is>
          <t>CRITICAL</t>
        </is>
      </c>
      <c r="I1416" s="187" t="n">
        <v>16.5</v>
      </c>
      <c r="J1416" s="187" t="inlineStr">
        <is>
          <t>NO</t>
        </is>
      </c>
      <c r="K1416" s="187" t="inlineStr">
        <is>
          <t>https://nvd.nist.gov/vuln/detail/CVE-2007-4387</t>
        </is>
      </c>
      <c r="L1416" s="187" t="inlineStr">
        <is>
          <t>2026-02-27 20:47</t>
        </is>
      </c>
      <c r="M1416" s="187" t="inlineStr">
        <is>
          <t>PATCH_IMMEDIATELY</t>
        </is>
      </c>
      <c r="N1416" s="187" t="inlineStr">
        <is>
          <t>https://nvd.nist.gov/vuln/detail/CVE-2007-4387</t>
        </is>
      </c>
      <c r="O1416" s="187" t="inlineStr">
        <is>
          <t>Patch CVE-2007-4387 immediately — weaponized Metasploit module in public release | Module: 2Wire Cross-Site Request Forgery Password Reset Vulnerability</t>
        </is>
      </c>
      <c r="P1416" s="187" t="inlineStr">
        <is>
          <t>See CVE details</t>
        </is>
      </c>
      <c r="Q1416" s="187" t="inlineStr">
        <is>
          <t>P2</t>
        </is>
      </c>
      <c r="R1416" s="187" t="inlineStr">
        <is>
          <t>🔍 Investigate and apply appropriate controls</t>
        </is>
      </c>
      <c r="S1416" s="187" t="inlineStr">
        <is>
          <t>Rapid7 MSF: 2Wire Cross-Site Request Forgery Password Reset Vulnerability | Module type: auxiliary_admin</t>
        </is>
      </c>
      <c r="T1416" s="187" t="n">
        <v>0</v>
      </c>
      <c r="U1416" s="187" t="n">
        <v>0</v>
      </c>
      <c r="V1416" s="187" t="inlineStr">
        <is>
          <t>T1203:Exploitation for Client Execution | T1190:Exploit Public-Facing Application</t>
        </is>
      </c>
      <c r="W1416" s="187" t="n">
        <v>2</v>
      </c>
      <c r="X1416" s="187" t="inlineStr">
        <is>
          <t>HIGH (72%)</t>
        </is>
      </c>
      <c r="Y1416" s="187" t="inlineStr">
        <is>
          <t>WEAPONIZED</t>
        </is>
      </c>
      <c r="Z1416" s="187" t="inlineStr">
        <is>
          <t>CHECK_VENDOR</t>
        </is>
      </c>
      <c r="AA1416" s="187" t="inlineStr">
        <is>
          <t>https://www.rapid7.com/db/search/?q=CVE-2007-4387</t>
        </is>
      </c>
      <c r="AB1416" s="187" t="inlineStr">
        <is>
          <t>NONE</t>
        </is>
      </c>
      <c r="AC1416" s="187" t="n">
        <v>0</v>
      </c>
      <c r="AD1416" s="187" t="inlineStr"/>
    </row>
    <row r="1417">
      <c r="A1417" s="187" t="inlineStr">
        <is>
          <t>MSF_MODULE</t>
        </is>
      </c>
      <c r="B1417" s="187" t="inlineStr">
        <is>
          <t>CVE-2014-6041</t>
        </is>
      </c>
      <c r="C1417" s="187" t="inlineStr">
        <is>
          <t>Metasploit module available: Android Browser RCE Through Google Play Store XFO | Type: auxiliary_admin | CVE-2014-6041</t>
        </is>
      </c>
      <c r="D1417" s="187" t="n">
        <v>7.5</v>
      </c>
      <c r="E1417" s="187" t="inlineStr">
        <is>
          <t>HIGH</t>
        </is>
      </c>
      <c r="F1417" s="187" t="n">
        <v>3</v>
      </c>
      <c r="G1417" s="187" t="n">
        <v>3</v>
      </c>
      <c r="H1417" s="187" t="inlineStr">
        <is>
          <t>CRITICAL</t>
        </is>
      </c>
      <c r="I1417" s="187" t="n">
        <v>16.5</v>
      </c>
      <c r="J1417" s="187" t="inlineStr">
        <is>
          <t>NO</t>
        </is>
      </c>
      <c r="K1417" s="187" t="inlineStr">
        <is>
          <t>https://nvd.nist.gov/vuln/detail/CVE-2014-6041</t>
        </is>
      </c>
      <c r="L1417" s="187" t="inlineStr">
        <is>
          <t>2026-02-27 20:47</t>
        </is>
      </c>
      <c r="M1417" s="187" t="inlineStr">
        <is>
          <t>PATCH_IMMEDIATELY</t>
        </is>
      </c>
      <c r="N1417" s="187" t="inlineStr">
        <is>
          <t>https://nvd.nist.gov/vuln/detail/CVE-2014-6041</t>
        </is>
      </c>
      <c r="O1417" s="187" t="inlineStr">
        <is>
          <t>Patch CVE-2014-6041 immediately — weaponized Metasploit module in public release | Module: Android Browser RCE Through Google Play Store XFO</t>
        </is>
      </c>
      <c r="P1417" s="187" t="inlineStr">
        <is>
          <t>See CVE details</t>
        </is>
      </c>
      <c r="Q1417" s="187" t="inlineStr">
        <is>
          <t>P2</t>
        </is>
      </c>
      <c r="R1417" s="187" t="inlineStr">
        <is>
          <t>🔍 Investigate and apply appropriate controls</t>
        </is>
      </c>
      <c r="S1417" s="187" t="inlineStr">
        <is>
          <t>Rapid7 MSF: Android Browser RCE Through Google Play Store XFO | Module type: auxiliary_admin</t>
        </is>
      </c>
      <c r="T1417" s="187" t="n">
        <v>0</v>
      </c>
      <c r="U1417" s="187" t="n">
        <v>0</v>
      </c>
      <c r="V1417" s="187" t="inlineStr">
        <is>
          <t>T1203:Exploitation for Client Execution | T1190:Exploit Public-Facing Application</t>
        </is>
      </c>
      <c r="W1417" s="187" t="n">
        <v>2</v>
      </c>
      <c r="X1417" s="187" t="inlineStr">
        <is>
          <t>HIGH (72%)</t>
        </is>
      </c>
      <c r="Y1417" s="187" t="inlineStr">
        <is>
          <t>WEAPONIZED</t>
        </is>
      </c>
      <c r="Z1417" s="187" t="inlineStr">
        <is>
          <t>CHECK_VENDOR</t>
        </is>
      </c>
      <c r="AA1417" s="187" t="inlineStr">
        <is>
          <t>https://www.rapid7.com/db/search/?q=CVE-2014-6041</t>
        </is>
      </c>
      <c r="AB1417" s="187" t="inlineStr">
        <is>
          <t>NONE</t>
        </is>
      </c>
      <c r="AC1417" s="187" t="n">
        <v>0</v>
      </c>
      <c r="AD1417" s="187" t="inlineStr"/>
    </row>
    <row r="1418">
      <c r="A1418" s="187" t="inlineStr">
        <is>
          <t>MSF_MODULE</t>
        </is>
      </c>
      <c r="B1418" s="187" t="inlineStr">
        <is>
          <t>CVE-2005-2611</t>
        </is>
      </c>
      <c r="C1418" s="187" t="inlineStr">
        <is>
          <t>Metasploit module available: Veritas Backup Exec Windows Remote File Access | Type: auxiliary_admin | CVE-2005-2611</t>
        </is>
      </c>
      <c r="D1418" s="187" t="n">
        <v>7.5</v>
      </c>
      <c r="E1418" s="187" t="inlineStr">
        <is>
          <t>HIGH</t>
        </is>
      </c>
      <c r="F1418" s="187" t="n">
        <v>3</v>
      </c>
      <c r="G1418" s="187" t="n">
        <v>3</v>
      </c>
      <c r="H1418" s="187" t="inlineStr">
        <is>
          <t>CRITICAL</t>
        </is>
      </c>
      <c r="I1418" s="187" t="n">
        <v>16.5</v>
      </c>
      <c r="J1418" s="187" t="inlineStr">
        <is>
          <t>NO</t>
        </is>
      </c>
      <c r="K1418" s="187" t="inlineStr">
        <is>
          <t>https://nvd.nist.gov/vuln/detail/CVE-2005-2611</t>
        </is>
      </c>
      <c r="L1418" s="187" t="inlineStr">
        <is>
          <t>2026-02-27 20:47</t>
        </is>
      </c>
      <c r="M1418" s="187" t="inlineStr">
        <is>
          <t>PATCH_IMMEDIATELY</t>
        </is>
      </c>
      <c r="N1418" s="187" t="inlineStr">
        <is>
          <t>https://nvd.nist.gov/vuln/detail/CVE-2005-2611</t>
        </is>
      </c>
      <c r="O1418" s="187" t="inlineStr">
        <is>
          <t>Patch CVE-2005-2611 immediately — weaponized Metasploit module in public release | Module: Veritas Backup Exec Windows Remote File Access</t>
        </is>
      </c>
      <c r="P1418" s="187" t="inlineStr">
        <is>
          <t>See CVE details</t>
        </is>
      </c>
      <c r="Q1418" s="187" t="inlineStr">
        <is>
          <t>P2</t>
        </is>
      </c>
      <c r="R1418" s="187" t="inlineStr">
        <is>
          <t>🔍 Investigate and apply appropriate controls</t>
        </is>
      </c>
      <c r="S1418" s="187" t="inlineStr">
        <is>
          <t>Rapid7 MSF: Veritas Backup Exec Windows Remote File Access | Module type: auxiliary_admin</t>
        </is>
      </c>
      <c r="T1418" s="187" t="n">
        <v>0</v>
      </c>
      <c r="U1418" s="187" t="n">
        <v>0</v>
      </c>
      <c r="V1418" s="187" t="inlineStr">
        <is>
          <t>T1203:Exploitation for Client Execution | T1190:Exploit Public-Facing Application</t>
        </is>
      </c>
      <c r="W1418" s="187" t="n">
        <v>2</v>
      </c>
      <c r="X1418" s="187" t="inlineStr">
        <is>
          <t>HIGH (72%)</t>
        </is>
      </c>
      <c r="Y1418" s="187" t="inlineStr">
        <is>
          <t>WEAPONIZED</t>
        </is>
      </c>
      <c r="Z1418" s="187" t="inlineStr">
        <is>
          <t>CHECK_VENDOR</t>
        </is>
      </c>
      <c r="AA1418" s="187" t="inlineStr">
        <is>
          <t>https://www.rapid7.com/db/search/?q=CVE-2005-2611</t>
        </is>
      </c>
      <c r="AB1418" s="187" t="inlineStr">
        <is>
          <t>NONE</t>
        </is>
      </c>
      <c r="AC1418" s="187" t="n">
        <v>0</v>
      </c>
      <c r="AD1418" s="187" t="inlineStr"/>
    </row>
    <row r="1419">
      <c r="A1419" s="187" t="inlineStr">
        <is>
          <t>MSF_MODULE</t>
        </is>
      </c>
      <c r="B1419" s="187" t="inlineStr">
        <is>
          <t>CVE-2005-0771</t>
        </is>
      </c>
      <c r="C1419" s="187" t="inlineStr">
        <is>
          <t>Metasploit module available: Veritas Backup Exec Server Registry Access | Type: auxiliary_admin | CVE-2005-0771</t>
        </is>
      </c>
      <c r="D1419" s="187" t="n">
        <v>7.5</v>
      </c>
      <c r="E1419" s="187" t="inlineStr">
        <is>
          <t>HIGH</t>
        </is>
      </c>
      <c r="F1419" s="187" t="n">
        <v>3</v>
      </c>
      <c r="G1419" s="187" t="n">
        <v>3</v>
      </c>
      <c r="H1419" s="187" t="inlineStr">
        <is>
          <t>CRITICAL</t>
        </is>
      </c>
      <c r="I1419" s="187" t="n">
        <v>16.5</v>
      </c>
      <c r="J1419" s="187" t="inlineStr">
        <is>
          <t>NO</t>
        </is>
      </c>
      <c r="K1419" s="187" t="inlineStr">
        <is>
          <t>https://nvd.nist.gov/vuln/detail/CVE-2005-0771</t>
        </is>
      </c>
      <c r="L1419" s="187" t="inlineStr">
        <is>
          <t>2026-02-27 20:47</t>
        </is>
      </c>
      <c r="M1419" s="187" t="inlineStr">
        <is>
          <t>PATCH_IMMEDIATELY</t>
        </is>
      </c>
      <c r="N1419" s="187" t="inlineStr">
        <is>
          <t>https://nvd.nist.gov/vuln/detail/CVE-2005-0771</t>
        </is>
      </c>
      <c r="O1419" s="187" t="inlineStr">
        <is>
          <t>Patch CVE-2005-0771 immediately — weaponized Metasploit module in public release | Module: Veritas Backup Exec Server Registry Access</t>
        </is>
      </c>
      <c r="P1419" s="187" t="inlineStr">
        <is>
          <t>See CVE details</t>
        </is>
      </c>
      <c r="Q1419" s="187" t="inlineStr">
        <is>
          <t>P2</t>
        </is>
      </c>
      <c r="R1419" s="187" t="inlineStr">
        <is>
          <t>🔍 Investigate and apply appropriate controls</t>
        </is>
      </c>
      <c r="S1419" s="187" t="inlineStr">
        <is>
          <t>Rapid7 MSF: Veritas Backup Exec Server Registry Access | Module type: auxiliary_admin</t>
        </is>
      </c>
      <c r="T1419" s="187" t="n">
        <v>0</v>
      </c>
      <c r="U1419" s="187" t="n">
        <v>0</v>
      </c>
      <c r="V1419" s="187" t="inlineStr">
        <is>
          <t>T1203:Exploitation for Client Execution | T1190:Exploit Public-Facing Application</t>
        </is>
      </c>
      <c r="W1419" s="187" t="n">
        <v>2</v>
      </c>
      <c r="X1419" s="187" t="inlineStr">
        <is>
          <t>HIGH (72%)</t>
        </is>
      </c>
      <c r="Y1419" s="187" t="inlineStr">
        <is>
          <t>WEAPONIZED</t>
        </is>
      </c>
      <c r="Z1419" s="187" t="inlineStr">
        <is>
          <t>CHECK_VENDOR</t>
        </is>
      </c>
      <c r="AA1419" s="187" t="inlineStr">
        <is>
          <t>https://www.rapid7.com/db/search/?q=CVE-2005-0771</t>
        </is>
      </c>
      <c r="AB1419" s="187" t="inlineStr">
        <is>
          <t>NONE</t>
        </is>
      </c>
      <c r="AC1419" s="187" t="n">
        <v>0</v>
      </c>
      <c r="AD1419" s="187" t="inlineStr"/>
    </row>
    <row r="1420">
      <c r="A1420" s="187" t="inlineStr">
        <is>
          <t>MSF_MODULE</t>
        </is>
      </c>
      <c r="B1420" s="187" t="inlineStr">
        <is>
          <t>CVE-2004-0795</t>
        </is>
      </c>
      <c r="C1420" s="187" t="inlineStr">
        <is>
          <t>Metasploit module available: IBM DB2 db2rcmd.exe Command Execution Vulnerability | Type: auxiliary_admin | CVE-2004-0795</t>
        </is>
      </c>
      <c r="D1420" s="187" t="n">
        <v>7.5</v>
      </c>
      <c r="E1420" s="187" t="inlineStr">
        <is>
          <t>HIGH</t>
        </is>
      </c>
      <c r="F1420" s="187" t="n">
        <v>3</v>
      </c>
      <c r="G1420" s="187" t="n">
        <v>3</v>
      </c>
      <c r="H1420" s="187" t="inlineStr">
        <is>
          <t>CRITICAL</t>
        </is>
      </c>
      <c r="I1420" s="187" t="n">
        <v>16.5</v>
      </c>
      <c r="J1420" s="187" t="inlineStr">
        <is>
          <t>NO</t>
        </is>
      </c>
      <c r="K1420" s="187" t="inlineStr">
        <is>
          <t>https://nvd.nist.gov/vuln/detail/CVE-2004-0795</t>
        </is>
      </c>
      <c r="L1420" s="187" t="inlineStr">
        <is>
          <t>2026-02-27 20:47</t>
        </is>
      </c>
      <c r="M1420" s="187" t="inlineStr">
        <is>
          <t>PATCH_IMMEDIATELY</t>
        </is>
      </c>
      <c r="N1420" s="187" t="inlineStr">
        <is>
          <t>https://nvd.nist.gov/vuln/detail/CVE-2004-0795</t>
        </is>
      </c>
      <c r="O1420" s="187" t="inlineStr">
        <is>
          <t>Patch CVE-2004-0795 immediately — weaponized Metasploit module in public release | Module: IBM DB2 db2rcmd.exe Command Execution Vulnerability</t>
        </is>
      </c>
      <c r="P1420" s="187" t="inlineStr">
        <is>
          <t>See CVE details</t>
        </is>
      </c>
      <c r="Q1420" s="187" t="inlineStr">
        <is>
          <t>P2</t>
        </is>
      </c>
      <c r="R1420" s="187" t="inlineStr">
        <is>
          <t>🔍 Investigate and apply appropriate controls</t>
        </is>
      </c>
      <c r="S1420" s="187" t="inlineStr">
        <is>
          <t>Rapid7 MSF: IBM DB2 db2rcmd.exe Command Execution Vulnerability | Module type: auxiliary_admin</t>
        </is>
      </c>
      <c r="T1420" s="187" t="n">
        <v>0</v>
      </c>
      <c r="U1420" s="187" t="n">
        <v>0</v>
      </c>
      <c r="V1420" s="187" t="inlineStr">
        <is>
          <t>T1203:Exploitation for Client Execution | T1190:Exploit Public-Facing Application</t>
        </is>
      </c>
      <c r="W1420" s="187" t="n">
        <v>2</v>
      </c>
      <c r="X1420" s="187" t="inlineStr">
        <is>
          <t>HIGH (72%)</t>
        </is>
      </c>
      <c r="Y1420" s="187" t="inlineStr">
        <is>
          <t>WEAPONIZED</t>
        </is>
      </c>
      <c r="Z1420" s="187" t="inlineStr">
        <is>
          <t>CHECK_VENDOR</t>
        </is>
      </c>
      <c r="AA1420" s="187" t="inlineStr">
        <is>
          <t>https://www.rapid7.com/db/search/?q=CVE-2004-0795</t>
        </is>
      </c>
      <c r="AB1420" s="187" t="inlineStr">
        <is>
          <t>NONE</t>
        </is>
      </c>
      <c r="AC1420" s="187" t="n">
        <v>0</v>
      </c>
      <c r="AD1420" s="187" t="inlineStr"/>
    </row>
    <row r="1421">
      <c r="A1421" s="187" t="inlineStr">
        <is>
          <t>MSF_MODULE</t>
        </is>
      </c>
      <c r="B1421" s="187" t="inlineStr">
        <is>
          <t>CVE-2020-1472</t>
        </is>
      </c>
      <c r="C1421" s="187" t="inlineStr">
        <is>
          <t>Metasploit module available: Netlogon Weak Cryptographic Authentication | Type: auxiliary_admin | CVE-2020-1472</t>
        </is>
      </c>
      <c r="D1421" s="187" t="n">
        <v>7.5</v>
      </c>
      <c r="E1421" s="187" t="inlineStr">
        <is>
          <t>HIGH</t>
        </is>
      </c>
      <c r="F1421" s="187" t="n">
        <v>3</v>
      </c>
      <c r="G1421" s="187" t="n">
        <v>3</v>
      </c>
      <c r="H1421" s="187" t="inlineStr">
        <is>
          <t>CRITICAL</t>
        </is>
      </c>
      <c r="I1421" s="187" t="n">
        <v>16.5</v>
      </c>
      <c r="J1421" s="187" t="inlineStr">
        <is>
          <t>YES</t>
        </is>
      </c>
      <c r="K1421" s="187" t="inlineStr">
        <is>
          <t>https://nvd.nist.gov/vuln/detail/CVE-2020-1472</t>
        </is>
      </c>
      <c r="L1421" s="187" t="inlineStr">
        <is>
          <t>2026-02-27 20:47</t>
        </is>
      </c>
      <c r="M1421" s="187" t="inlineStr">
        <is>
          <t>PATCH_IMMEDIATELY</t>
        </is>
      </c>
      <c r="N1421" s="187" t="inlineStr">
        <is>
          <t>https://nvd.nist.gov/vuln/detail/CVE-2020-1472</t>
        </is>
      </c>
      <c r="O1421" s="187" t="inlineStr">
        <is>
          <t>Patch CVE-2020-1472 immediately — weaponized Metasploit module in public release | Module: Netlogon Weak Cryptographic Authentication</t>
        </is>
      </c>
      <c r="P1421" s="187" t="inlineStr">
        <is>
          <t>See CVE details</t>
        </is>
      </c>
      <c r="Q1421" s="187" t="inlineStr">
        <is>
          <t>P1</t>
        </is>
      </c>
      <c r="R1421" s="187" t="inlineStr">
        <is>
          <t>🔍 Investigate and apply appropriate controls</t>
        </is>
      </c>
      <c r="S1421" s="187" t="inlineStr">
        <is>
          <t>Rapid7 MSF: Netlogon Weak Cryptographic Authentication | Module type: auxiliary_admin</t>
        </is>
      </c>
      <c r="T1421" s="187" t="n">
        <v>0</v>
      </c>
      <c r="U1421" s="187" t="n">
        <v>0</v>
      </c>
      <c r="V1421" s="187" t="inlineStr">
        <is>
          <t>T1203:Exploitation for Client Execution | T1190:Exploit Public-Facing Application</t>
        </is>
      </c>
      <c r="W1421" s="187" t="n">
        <v>2</v>
      </c>
      <c r="X1421" s="187" t="inlineStr">
        <is>
          <t>HIGH (72%)</t>
        </is>
      </c>
      <c r="Y1421" s="187" t="inlineStr">
        <is>
          <t>WEAPONIZED</t>
        </is>
      </c>
      <c r="Z1421" s="187" t="inlineStr">
        <is>
          <t>CHECK_VENDOR</t>
        </is>
      </c>
      <c r="AA1421" s="187" t="inlineStr">
        <is>
          <t>https://www.rapid7.com/db/search/?q=CVE-2020-1472</t>
        </is>
      </c>
      <c r="AB1421" s="187" t="inlineStr">
        <is>
          <t>NONE</t>
        </is>
      </c>
      <c r="AC1421" s="187" t="n">
        <v>0</v>
      </c>
      <c r="AD1421" s="187" t="inlineStr"/>
    </row>
    <row r="1422">
      <c r="A1422" s="187" t="inlineStr">
        <is>
          <t>MSF_MODULE</t>
        </is>
      </c>
      <c r="B1422" s="187" t="inlineStr">
        <is>
          <t>CVE-2022-26923</t>
        </is>
      </c>
      <c r="C1422" s="187" t="inlineStr">
        <is>
          <t>Metasploit module available: Active Directory Certificate Services (ADCS) privilege escalation (Certifried) | Type: auxiliary_admin | CVE-2022-26923</t>
        </is>
      </c>
      <c r="D1422" s="187" t="n">
        <v>7.5</v>
      </c>
      <c r="E1422" s="187" t="inlineStr">
        <is>
          <t>HIGH</t>
        </is>
      </c>
      <c r="F1422" s="187" t="n">
        <v>3</v>
      </c>
      <c r="G1422" s="187" t="n">
        <v>3</v>
      </c>
      <c r="H1422" s="187" t="inlineStr">
        <is>
          <t>CRITICAL</t>
        </is>
      </c>
      <c r="I1422" s="187" t="n">
        <v>16.5</v>
      </c>
      <c r="J1422" s="187" t="inlineStr">
        <is>
          <t>YES</t>
        </is>
      </c>
      <c r="K1422" s="187" t="inlineStr">
        <is>
          <t>https://nvd.nist.gov/vuln/detail/CVE-2022-26923</t>
        </is>
      </c>
      <c r="L1422" s="187" t="inlineStr">
        <is>
          <t>2026-02-27 20:47</t>
        </is>
      </c>
      <c r="M1422" s="187" t="inlineStr">
        <is>
          <t>PATCH_IMMEDIATELY</t>
        </is>
      </c>
      <c r="N1422" s="187" t="inlineStr">
        <is>
          <t>https://nvd.nist.gov/vuln/detail/CVE-2022-26923</t>
        </is>
      </c>
      <c r="O1422" s="187" t="inlineStr">
        <is>
          <t>Patch CVE-2022-26923 immediately — weaponized Metasploit module in public release | Module: Active Directory Certificate Services (ADCS) privilege escalation (Certifried)</t>
        </is>
      </c>
      <c r="P1422" s="187" t="inlineStr">
        <is>
          <t>See CVE details</t>
        </is>
      </c>
      <c r="Q1422" s="187" t="inlineStr">
        <is>
          <t>P1</t>
        </is>
      </c>
      <c r="R1422" s="187" t="inlineStr">
        <is>
          <t>🔍 Investigate and apply appropriate controls</t>
        </is>
      </c>
      <c r="S1422" s="187" t="inlineStr">
        <is>
          <t>Rapid7 MSF: Active Directory Certificate Services (ADCS) privilege escalation (Certifried) | Module type: auxiliary_admin</t>
        </is>
      </c>
      <c r="T1422" s="187" t="n">
        <v>0</v>
      </c>
      <c r="U1422" s="187" t="n">
        <v>0</v>
      </c>
      <c r="V1422" s="187" t="inlineStr">
        <is>
          <t>T1203:Exploitation for Client Execution | T1190:Exploit Public-Facing Application</t>
        </is>
      </c>
      <c r="W1422" s="187" t="n">
        <v>2</v>
      </c>
      <c r="X1422" s="187" t="inlineStr">
        <is>
          <t>HIGH (72%)</t>
        </is>
      </c>
      <c r="Y1422" s="187" t="inlineStr">
        <is>
          <t>WEAPONIZED</t>
        </is>
      </c>
      <c r="Z1422" s="187" t="inlineStr">
        <is>
          <t>CHECK_VENDOR</t>
        </is>
      </c>
      <c r="AA1422" s="187" t="inlineStr">
        <is>
          <t>https://www.rapid7.com/db/search/?q=CVE-2022-26923</t>
        </is>
      </c>
      <c r="AB1422" s="187" t="inlineStr">
        <is>
          <t>NONE</t>
        </is>
      </c>
      <c r="AC1422" s="187" t="n">
        <v>0</v>
      </c>
      <c r="AD1422" s="187" t="inlineStr"/>
    </row>
    <row r="1423">
      <c r="A1423" s="187" t="inlineStr">
        <is>
          <t>MSF_MODULE</t>
        </is>
      </c>
      <c r="B1423" s="187" t="inlineStr">
        <is>
          <t>CVE-2009-4655</t>
        </is>
      </c>
      <c r="C1423" s="187" t="inlineStr">
        <is>
          <t>Metasploit module available: Novell eDirectory DHOST Predictable Session Cookie | Type: auxiliary_admin | CVE-2009-4655</t>
        </is>
      </c>
      <c r="D1423" s="187" t="n">
        <v>7.5</v>
      </c>
      <c r="E1423" s="187" t="inlineStr">
        <is>
          <t>HIGH</t>
        </is>
      </c>
      <c r="F1423" s="187" t="n">
        <v>3</v>
      </c>
      <c r="G1423" s="187" t="n">
        <v>3</v>
      </c>
      <c r="H1423" s="187" t="inlineStr">
        <is>
          <t>CRITICAL</t>
        </is>
      </c>
      <c r="I1423" s="187" t="n">
        <v>16.5</v>
      </c>
      <c r="J1423" s="187" t="inlineStr">
        <is>
          <t>NO</t>
        </is>
      </c>
      <c r="K1423" s="187" t="inlineStr">
        <is>
          <t>https://nvd.nist.gov/vuln/detail/CVE-2009-4655</t>
        </is>
      </c>
      <c r="L1423" s="187" t="inlineStr">
        <is>
          <t>2026-02-27 20:47</t>
        </is>
      </c>
      <c r="M1423" s="187" t="inlineStr">
        <is>
          <t>PATCH_IMMEDIATELY</t>
        </is>
      </c>
      <c r="N1423" s="187" t="inlineStr">
        <is>
          <t>https://nvd.nist.gov/vuln/detail/CVE-2009-4655</t>
        </is>
      </c>
      <c r="O1423" s="187" t="inlineStr">
        <is>
          <t>Patch CVE-2009-4655 immediately — weaponized Metasploit module in public release | Module: Novell eDirectory DHOST Predictable Session Cookie</t>
        </is>
      </c>
      <c r="P1423" s="187" t="inlineStr">
        <is>
          <t>See CVE details</t>
        </is>
      </c>
      <c r="Q1423" s="187" t="inlineStr">
        <is>
          <t>P2</t>
        </is>
      </c>
      <c r="R1423" s="187" t="inlineStr">
        <is>
          <t>🔍 Investigate and apply appropriate controls</t>
        </is>
      </c>
      <c r="S1423" s="187" t="inlineStr">
        <is>
          <t>Rapid7 MSF: Novell eDirectory DHOST Predictable Session Cookie | Module type: auxiliary_admin</t>
        </is>
      </c>
      <c r="T1423" s="187" t="n">
        <v>0</v>
      </c>
      <c r="U1423" s="187" t="n">
        <v>0</v>
      </c>
      <c r="V1423" s="187" t="inlineStr">
        <is>
          <t>T1203:Exploitation for Client Execution | T1190:Exploit Public-Facing Application</t>
        </is>
      </c>
      <c r="W1423" s="187" t="n">
        <v>2</v>
      </c>
      <c r="X1423" s="187" t="inlineStr">
        <is>
          <t>HIGH (72%)</t>
        </is>
      </c>
      <c r="Y1423" s="187" t="inlineStr">
        <is>
          <t>WEAPONIZED</t>
        </is>
      </c>
      <c r="Z1423" s="187" t="inlineStr">
        <is>
          <t>CHECK_VENDOR</t>
        </is>
      </c>
      <c r="AA1423" s="187" t="inlineStr">
        <is>
          <t>https://www.rapid7.com/db/search/?q=CVE-2009-4655</t>
        </is>
      </c>
      <c r="AB1423" s="187" t="inlineStr">
        <is>
          <t>NONE</t>
        </is>
      </c>
      <c r="AC1423" s="187" t="n">
        <v>0</v>
      </c>
      <c r="AD1423" s="187" t="inlineStr"/>
    </row>
    <row r="1424">
      <c r="A1424" s="187" t="inlineStr">
        <is>
          <t>MSF_MODULE</t>
        </is>
      </c>
      <c r="B1424" s="187" t="inlineStr">
        <is>
          <t>CVE-2008-0926</t>
        </is>
      </c>
      <c r="C1424" s="187" t="inlineStr">
        <is>
          <t>Metasploit module available: Novell eDirectory eMBox Unauthenticated File Access | Type: auxiliary_admin | CVE-2008-0926</t>
        </is>
      </c>
      <c r="D1424" s="187" t="n">
        <v>7.5</v>
      </c>
      <c r="E1424" s="187" t="inlineStr">
        <is>
          <t>HIGH</t>
        </is>
      </c>
      <c r="F1424" s="187" t="n">
        <v>3</v>
      </c>
      <c r="G1424" s="187" t="n">
        <v>3</v>
      </c>
      <c r="H1424" s="187" t="inlineStr">
        <is>
          <t>CRITICAL</t>
        </is>
      </c>
      <c r="I1424" s="187" t="n">
        <v>16.5</v>
      </c>
      <c r="J1424" s="187" t="inlineStr">
        <is>
          <t>NO</t>
        </is>
      </c>
      <c r="K1424" s="187" t="inlineStr">
        <is>
          <t>https://nvd.nist.gov/vuln/detail/CVE-2008-0926</t>
        </is>
      </c>
      <c r="L1424" s="187" t="inlineStr">
        <is>
          <t>2026-02-27 20:47</t>
        </is>
      </c>
      <c r="M1424" s="187" t="inlineStr">
        <is>
          <t>PATCH_IMMEDIATELY</t>
        </is>
      </c>
      <c r="N1424" s="187" t="inlineStr">
        <is>
          <t>https://nvd.nist.gov/vuln/detail/CVE-2008-0926</t>
        </is>
      </c>
      <c r="O1424" s="187" t="inlineStr">
        <is>
          <t>Patch CVE-2008-0926 immediately — weaponized Metasploit module in public release | Module: Novell eDirectory eMBox Unauthenticated File Access</t>
        </is>
      </c>
      <c r="P1424" s="187" t="inlineStr">
        <is>
          <t>See CVE details</t>
        </is>
      </c>
      <c r="Q1424" s="187" t="inlineStr">
        <is>
          <t>P2</t>
        </is>
      </c>
      <c r="R1424" s="187" t="inlineStr">
        <is>
          <t>🔍 Investigate and apply appropriate controls</t>
        </is>
      </c>
      <c r="S1424" s="187" t="inlineStr">
        <is>
          <t>Rapid7 MSF: Novell eDirectory eMBox Unauthenticated File Access | Module type: auxiliary_admin</t>
        </is>
      </c>
      <c r="T1424" s="187" t="n">
        <v>0</v>
      </c>
      <c r="U1424" s="187" t="n">
        <v>0</v>
      </c>
      <c r="V1424" s="187" t="inlineStr">
        <is>
          <t>T1203:Exploitation for Client Execution | T1190:Exploit Public-Facing Application</t>
        </is>
      </c>
      <c r="W1424" s="187" t="n">
        <v>2</v>
      </c>
      <c r="X1424" s="187" t="inlineStr">
        <is>
          <t>HIGH (72%)</t>
        </is>
      </c>
      <c r="Y1424" s="187" t="inlineStr">
        <is>
          <t>WEAPONIZED</t>
        </is>
      </c>
      <c r="Z1424" s="187" t="inlineStr">
        <is>
          <t>CHECK_VENDOR</t>
        </is>
      </c>
      <c r="AA1424" s="187" t="inlineStr">
        <is>
          <t>https://www.rapid7.com/db/search/?q=CVE-2008-0926</t>
        </is>
      </c>
      <c r="AB1424" s="187" t="inlineStr">
        <is>
          <t>NONE</t>
        </is>
      </c>
      <c r="AC1424" s="187" t="n">
        <v>0</v>
      </c>
      <c r="AD1424" s="187" t="inlineStr"/>
    </row>
    <row r="1425">
      <c r="A1425" s="187" t="inlineStr">
        <is>
          <t>MSF_MODULE</t>
        </is>
      </c>
      <c r="B1425" s="187" t="inlineStr">
        <is>
          <t>CVE-2008-2157</t>
        </is>
      </c>
      <c r="C1425" s="187" t="inlineStr">
        <is>
          <t>Metasploit module available: EMC AlphaStor Device Manager Arbitrary Command Execution | Type: auxiliary_admin | CVE-2008-2157</t>
        </is>
      </c>
      <c r="D1425" s="187" t="n">
        <v>7.5</v>
      </c>
      <c r="E1425" s="187" t="inlineStr">
        <is>
          <t>HIGH</t>
        </is>
      </c>
      <c r="F1425" s="187" t="n">
        <v>3</v>
      </c>
      <c r="G1425" s="187" t="n">
        <v>3</v>
      </c>
      <c r="H1425" s="187" t="inlineStr">
        <is>
          <t>CRITICAL</t>
        </is>
      </c>
      <c r="I1425" s="187" t="n">
        <v>16.5</v>
      </c>
      <c r="J1425" s="187" t="inlineStr">
        <is>
          <t>NO</t>
        </is>
      </c>
      <c r="K1425" s="187" t="inlineStr">
        <is>
          <t>https://nvd.nist.gov/vuln/detail/CVE-2008-2157</t>
        </is>
      </c>
      <c r="L1425" s="187" t="inlineStr">
        <is>
          <t>2026-02-27 20:47</t>
        </is>
      </c>
      <c r="M1425" s="187" t="inlineStr">
        <is>
          <t>PATCH_IMMEDIATELY</t>
        </is>
      </c>
      <c r="N1425" s="187" t="inlineStr">
        <is>
          <t>https://nvd.nist.gov/vuln/detail/CVE-2008-2157</t>
        </is>
      </c>
      <c r="O1425" s="187" t="inlineStr">
        <is>
          <t>Patch CVE-2008-2157 immediately — weaponized Metasploit module in public release | Module: EMC AlphaStor Device Manager Arbitrary Command Execution</t>
        </is>
      </c>
      <c r="P1425" s="187" t="inlineStr">
        <is>
          <t>See CVE details</t>
        </is>
      </c>
      <c r="Q1425" s="187" t="inlineStr">
        <is>
          <t>P2</t>
        </is>
      </c>
      <c r="R1425" s="187" t="inlineStr">
        <is>
          <t>🔍 Investigate and apply appropriate controls</t>
        </is>
      </c>
      <c r="S1425" s="187" t="inlineStr">
        <is>
          <t>Rapid7 MSF: EMC AlphaStor Device Manager Arbitrary Command Execution | Module type: auxiliary_admin</t>
        </is>
      </c>
      <c r="T1425" s="187" t="n">
        <v>0</v>
      </c>
      <c r="U1425" s="187" t="n">
        <v>0</v>
      </c>
      <c r="V1425" s="187" t="inlineStr">
        <is>
          <t>T1203:Exploitation for Client Execution | T1190:Exploit Public-Facing Application</t>
        </is>
      </c>
      <c r="W1425" s="187" t="n">
        <v>2</v>
      </c>
      <c r="X1425" s="187" t="inlineStr">
        <is>
          <t>HIGH (72%)</t>
        </is>
      </c>
      <c r="Y1425" s="187" t="inlineStr">
        <is>
          <t>WEAPONIZED</t>
        </is>
      </c>
      <c r="Z1425" s="187" t="inlineStr">
        <is>
          <t>CHECK_VENDOR</t>
        </is>
      </c>
      <c r="AA1425" s="187" t="inlineStr">
        <is>
          <t>https://www.rapid7.com/db/search/?q=CVE-2008-2157</t>
        </is>
      </c>
      <c r="AB1425" s="187" t="inlineStr">
        <is>
          <t>NONE</t>
        </is>
      </c>
      <c r="AC1425" s="187" t="n">
        <v>0</v>
      </c>
      <c r="AD1425" s="187" t="inlineStr"/>
    </row>
    <row r="1426">
      <c r="A1426" s="187" t="inlineStr">
        <is>
          <t>MSF_MODULE</t>
        </is>
      </c>
      <c r="B1426" s="187" t="inlineStr">
        <is>
          <t>CVE-2011-0923</t>
        </is>
      </c>
      <c r="C1426" s="187" t="inlineStr">
        <is>
          <t>Metasploit module available: HP Data Protector 6.1 EXEC_CMD Command Execution | Type: auxiliary_admin | CVE-2011-0923</t>
        </is>
      </c>
      <c r="D1426" s="187" t="n">
        <v>7.5</v>
      </c>
      <c r="E1426" s="187" t="inlineStr">
        <is>
          <t>HIGH</t>
        </is>
      </c>
      <c r="F1426" s="187" t="n">
        <v>3</v>
      </c>
      <c r="G1426" s="187" t="n">
        <v>3</v>
      </c>
      <c r="H1426" s="187" t="inlineStr">
        <is>
          <t>CRITICAL</t>
        </is>
      </c>
      <c r="I1426" s="187" t="n">
        <v>16.5</v>
      </c>
      <c r="J1426" s="187" t="inlineStr">
        <is>
          <t>NO</t>
        </is>
      </c>
      <c r="K1426" s="187" t="inlineStr">
        <is>
          <t>https://nvd.nist.gov/vuln/detail/CVE-2011-0923</t>
        </is>
      </c>
      <c r="L1426" s="187" t="inlineStr">
        <is>
          <t>2026-02-27 20:47</t>
        </is>
      </c>
      <c r="M1426" s="187" t="inlineStr">
        <is>
          <t>PATCH_IMMEDIATELY</t>
        </is>
      </c>
      <c r="N1426" s="187" t="inlineStr">
        <is>
          <t>https://nvd.nist.gov/vuln/detail/CVE-2011-0923</t>
        </is>
      </c>
      <c r="O1426" s="187" t="inlineStr">
        <is>
          <t>Patch CVE-2011-0923 immediately — weaponized Metasploit module in public release | Module: HP Data Protector 6.1 EXEC_CMD Command Execution</t>
        </is>
      </c>
      <c r="P1426" s="187" t="inlineStr">
        <is>
          <t>See CVE details</t>
        </is>
      </c>
      <c r="Q1426" s="187" t="inlineStr">
        <is>
          <t>P2</t>
        </is>
      </c>
      <c r="R1426" s="187" t="inlineStr">
        <is>
          <t>🔍 Investigate and apply appropriate controls</t>
        </is>
      </c>
      <c r="S1426" s="187" t="inlineStr">
        <is>
          <t>Rapid7 MSF: HP Data Protector 6.1 EXEC_CMD Command Execution | Module type: auxiliary_admin</t>
        </is>
      </c>
      <c r="T1426" s="187" t="n">
        <v>0</v>
      </c>
      <c r="U1426" s="187" t="n">
        <v>0</v>
      </c>
      <c r="V1426" s="187" t="inlineStr">
        <is>
          <t>T1203:Exploitation for Client Execution | T1190:Exploit Public-Facing Application</t>
        </is>
      </c>
      <c r="W1426" s="187" t="n">
        <v>2</v>
      </c>
      <c r="X1426" s="187" t="inlineStr">
        <is>
          <t>HIGH (72%)</t>
        </is>
      </c>
      <c r="Y1426" s="187" t="inlineStr">
        <is>
          <t>WEAPONIZED</t>
        </is>
      </c>
      <c r="Z1426" s="187" t="inlineStr">
        <is>
          <t>CHECK_VENDOR</t>
        </is>
      </c>
      <c r="AA1426" s="187" t="inlineStr">
        <is>
          <t>https://www.rapid7.com/db/search/?q=CVE-2011-0923</t>
        </is>
      </c>
      <c r="AB1426" s="187" t="inlineStr">
        <is>
          <t>NONE</t>
        </is>
      </c>
      <c r="AC1426" s="187" t="n">
        <v>0</v>
      </c>
      <c r="AD1426" s="187" t="inlineStr"/>
    </row>
    <row r="1427">
      <c r="A1427" s="187" t="inlineStr">
        <is>
          <t>MSF_MODULE</t>
        </is>
      </c>
      <c r="B1427" s="187" t="inlineStr">
        <is>
          <t>CVE-2017-12542</t>
        </is>
      </c>
      <c r="C1427" s="187" t="inlineStr">
        <is>
          <t>Metasploit module available: HP iLO 4 1.00-2.50 Authentication Bypass Administrator Account Creation | Type: auxiliary_admin | CVE-2017-12542</t>
        </is>
      </c>
      <c r="D1427" s="187" t="n">
        <v>7.5</v>
      </c>
      <c r="E1427" s="187" t="inlineStr">
        <is>
          <t>HIGH</t>
        </is>
      </c>
      <c r="F1427" s="187" t="n">
        <v>3</v>
      </c>
      <c r="G1427" s="187" t="n">
        <v>3</v>
      </c>
      <c r="H1427" s="187" t="inlineStr">
        <is>
          <t>CRITICAL</t>
        </is>
      </c>
      <c r="I1427" s="187" t="n">
        <v>16.5</v>
      </c>
      <c r="J1427" s="187" t="inlineStr">
        <is>
          <t>NO</t>
        </is>
      </c>
      <c r="K1427" s="187" t="inlineStr">
        <is>
          <t>https://nvd.nist.gov/vuln/detail/CVE-2017-12542</t>
        </is>
      </c>
      <c r="L1427" s="187" t="inlineStr">
        <is>
          <t>2026-02-27 20:47</t>
        </is>
      </c>
      <c r="M1427" s="187" t="inlineStr">
        <is>
          <t>PATCH_IMMEDIATELY</t>
        </is>
      </c>
      <c r="N1427" s="187" t="inlineStr">
        <is>
          <t>https://nvd.nist.gov/vuln/detail/CVE-2017-12542</t>
        </is>
      </c>
      <c r="O1427" s="187" t="inlineStr">
        <is>
          <t>Patch CVE-2017-12542 immediately — weaponized Metasploit module in public release | Module: HP iLO 4 1.00-2.50 Authentication Bypass Administrator Account Creation</t>
        </is>
      </c>
      <c r="P1427" s="187" t="inlineStr">
        <is>
          <t>See CVE details</t>
        </is>
      </c>
      <c r="Q1427" s="187" t="inlineStr">
        <is>
          <t>P2</t>
        </is>
      </c>
      <c r="R1427" s="187" t="inlineStr">
        <is>
          <t>🔍 Investigate and apply appropriate controls</t>
        </is>
      </c>
      <c r="S1427" s="187" t="inlineStr">
        <is>
          <t>Rapid7 MSF: HP iLO 4 1.00-2.50 Authentication Bypass Administrator Account Creation | Module type: auxiliary_admin</t>
        </is>
      </c>
      <c r="T1427" s="187" t="n">
        <v>0</v>
      </c>
      <c r="U1427" s="187" t="n">
        <v>0</v>
      </c>
      <c r="V1427" s="187" t="inlineStr">
        <is>
          <t>T1203:Exploitation for Client Execution | T1190:Exploit Public-Facing Application</t>
        </is>
      </c>
      <c r="W1427" s="187" t="n">
        <v>2</v>
      </c>
      <c r="X1427" s="187" t="inlineStr">
        <is>
          <t>HIGH (72%)</t>
        </is>
      </c>
      <c r="Y1427" s="187" t="inlineStr">
        <is>
          <t>WEAPONIZED</t>
        </is>
      </c>
      <c r="Z1427" s="187" t="inlineStr">
        <is>
          <t>CHECK_VENDOR</t>
        </is>
      </c>
      <c r="AA1427" s="187" t="inlineStr">
        <is>
          <t>https://www.rapid7.com/db/search/?q=CVE-2017-12542</t>
        </is>
      </c>
      <c r="AB1427" s="187" t="inlineStr">
        <is>
          <t>NONE</t>
        </is>
      </c>
      <c r="AC1427" s="187" t="n">
        <v>0</v>
      </c>
      <c r="AD1427" s="187" t="inlineStr"/>
    </row>
    <row r="1428">
      <c r="A1428" s="187" t="inlineStr">
        <is>
          <t>MSF_MODULE</t>
        </is>
      </c>
      <c r="B1428" s="187" t="inlineStr">
        <is>
          <t>CVE-2013-4824</t>
        </is>
      </c>
      <c r="C1428" s="187" t="inlineStr">
        <is>
          <t>Metasploit module available: HP Intelligent Management SOM Account Creation | Type: auxiliary_admin | CVE-2013-4824</t>
        </is>
      </c>
      <c r="D1428" s="187" t="n">
        <v>7.5</v>
      </c>
      <c r="E1428" s="187" t="inlineStr">
        <is>
          <t>HIGH</t>
        </is>
      </c>
      <c r="F1428" s="187" t="n">
        <v>3</v>
      </c>
      <c r="G1428" s="187" t="n">
        <v>3</v>
      </c>
      <c r="H1428" s="187" t="inlineStr">
        <is>
          <t>CRITICAL</t>
        </is>
      </c>
      <c r="I1428" s="187" t="n">
        <v>16.5</v>
      </c>
      <c r="J1428" s="187" t="inlineStr">
        <is>
          <t>NO</t>
        </is>
      </c>
      <c r="K1428" s="187" t="inlineStr">
        <is>
          <t>https://nvd.nist.gov/vuln/detail/CVE-2013-4824</t>
        </is>
      </c>
      <c r="L1428" s="187" t="inlineStr">
        <is>
          <t>2026-02-27 20:47</t>
        </is>
      </c>
      <c r="M1428" s="187" t="inlineStr">
        <is>
          <t>PATCH_IMMEDIATELY</t>
        </is>
      </c>
      <c r="N1428" s="187" t="inlineStr">
        <is>
          <t>https://nvd.nist.gov/vuln/detail/CVE-2013-4824</t>
        </is>
      </c>
      <c r="O1428" s="187" t="inlineStr">
        <is>
          <t>Patch CVE-2013-4824 immediately — weaponized Metasploit module in public release | Module: HP Intelligent Management SOM Account Creation</t>
        </is>
      </c>
      <c r="P1428" s="187" t="inlineStr">
        <is>
          <t>See CVE details</t>
        </is>
      </c>
      <c r="Q1428" s="187" t="inlineStr">
        <is>
          <t>P2</t>
        </is>
      </c>
      <c r="R1428" s="187" t="inlineStr">
        <is>
          <t>🔍 Investigate and apply appropriate controls</t>
        </is>
      </c>
      <c r="S1428" s="187" t="inlineStr">
        <is>
          <t>Rapid7 MSF: HP Intelligent Management SOM Account Creation | Module type: auxiliary_admin</t>
        </is>
      </c>
      <c r="T1428" s="187" t="n">
        <v>0</v>
      </c>
      <c r="U1428" s="187" t="n">
        <v>0</v>
      </c>
      <c r="V1428" s="187" t="inlineStr">
        <is>
          <t>T1203:Exploitation for Client Execution | T1190:Exploit Public-Facing Application</t>
        </is>
      </c>
      <c r="W1428" s="187" t="n">
        <v>2</v>
      </c>
      <c r="X1428" s="187" t="inlineStr">
        <is>
          <t>HIGH (72%)</t>
        </is>
      </c>
      <c r="Y1428" s="187" t="inlineStr">
        <is>
          <t>WEAPONIZED</t>
        </is>
      </c>
      <c r="Z1428" s="187" t="inlineStr">
        <is>
          <t>CHECK_VENDOR</t>
        </is>
      </c>
      <c r="AA1428" s="187" t="inlineStr">
        <is>
          <t>https://www.rapid7.com/db/search/?q=CVE-2013-4824</t>
        </is>
      </c>
      <c r="AB1428" s="187" t="inlineStr">
        <is>
          <t>NONE</t>
        </is>
      </c>
      <c r="AC1428" s="187" t="n">
        <v>0</v>
      </c>
      <c r="AD1428" s="187" t="inlineStr"/>
    </row>
    <row r="1429">
      <c r="A1429" s="187" t="inlineStr">
        <is>
          <t>MSF_MODULE</t>
        </is>
      </c>
      <c r="B1429" s="187" t="inlineStr">
        <is>
          <t>CVE-2014-9222</t>
        </is>
      </c>
      <c r="C1429" s="187" t="inlineStr">
        <is>
          <t>Metasploit module available: Allegro Software RomPager 'Misfortune Cookie' (CVE-2014-9222) Authentication Byp | Type: auxiliary_admin | CVE-2014-9222</t>
        </is>
      </c>
      <c r="D1429" s="187" t="n">
        <v>7.5</v>
      </c>
      <c r="E1429" s="187" t="inlineStr">
        <is>
          <t>HIGH</t>
        </is>
      </c>
      <c r="F1429" s="187" t="n">
        <v>3</v>
      </c>
      <c r="G1429" s="187" t="n">
        <v>3</v>
      </c>
      <c r="H1429" s="187" t="inlineStr">
        <is>
          <t>CRITICAL</t>
        </is>
      </c>
      <c r="I1429" s="187" t="n">
        <v>16.5</v>
      </c>
      <c r="J1429" s="187" t="inlineStr">
        <is>
          <t>NO</t>
        </is>
      </c>
      <c r="K1429" s="187" t="inlineStr">
        <is>
          <t>https://nvd.nist.gov/vuln/detail/CVE-2014-9222</t>
        </is>
      </c>
      <c r="L1429" s="187" t="inlineStr">
        <is>
          <t>2026-02-27 20:47</t>
        </is>
      </c>
      <c r="M1429" s="187" t="inlineStr">
        <is>
          <t>PATCH_IMMEDIATELY</t>
        </is>
      </c>
      <c r="N1429" s="187" t="inlineStr">
        <is>
          <t>https://nvd.nist.gov/vuln/detail/CVE-2014-9222</t>
        </is>
      </c>
      <c r="O1429" s="187" t="inlineStr">
        <is>
          <t>Patch CVE-2014-9222 immediately — weaponized Metasploit module in public release | Module: Allegro Software RomPager 'Misfortune Cookie' (CVE-2014-9222) Authentication Byp</t>
        </is>
      </c>
      <c r="P1429" s="187" t="inlineStr">
        <is>
          <t>See CVE details</t>
        </is>
      </c>
      <c r="Q1429" s="187" t="inlineStr">
        <is>
          <t>P2</t>
        </is>
      </c>
      <c r="R1429" s="187" t="inlineStr">
        <is>
          <t>🔍 Investigate and apply appropriate controls</t>
        </is>
      </c>
      <c r="S1429" s="187" t="inlineStr">
        <is>
          <t>Rapid7 MSF: Allegro Software RomPager 'Misfortune Cookie' (CVE-2014-9222) Authentication Byp | Module type: auxiliary_admin</t>
        </is>
      </c>
      <c r="T1429" s="187" t="n">
        <v>0</v>
      </c>
      <c r="U1429" s="187" t="n">
        <v>0</v>
      </c>
      <c r="V1429" s="187" t="inlineStr">
        <is>
          <t>T1203:Exploitation for Client Execution | T1190:Exploit Public-Facing Application</t>
        </is>
      </c>
      <c r="W1429" s="187" t="n">
        <v>2</v>
      </c>
      <c r="X1429" s="187" t="inlineStr">
        <is>
          <t>HIGH (72%)</t>
        </is>
      </c>
      <c r="Y1429" s="187" t="inlineStr">
        <is>
          <t>WEAPONIZED</t>
        </is>
      </c>
      <c r="Z1429" s="187" t="inlineStr">
        <is>
          <t>CHECK_VENDOR</t>
        </is>
      </c>
      <c r="AA1429" s="187" t="inlineStr">
        <is>
          <t>https://www.rapid7.com/db/search/?q=CVE-2014-9222</t>
        </is>
      </c>
      <c r="AB1429" s="187" t="inlineStr">
        <is>
          <t>NONE</t>
        </is>
      </c>
      <c r="AC1429" s="187" t="n">
        <v>0</v>
      </c>
      <c r="AD1429" s="187" t="inlineStr"/>
    </row>
    <row r="1430">
      <c r="A1430" s="187" t="inlineStr">
        <is>
          <t>MSF_MODULE</t>
        </is>
      </c>
      <c r="B1430" s="187" t="inlineStr">
        <is>
          <t>CVE-2015-0964</t>
        </is>
      </c>
      <c r="C1430" s="187" t="inlineStr">
        <is>
          <t>Metasploit module available: Arris / Motorola Surfboard SBG6580 Web Interface Takeover | Type: auxiliary_admin | CVE-2015-0964</t>
        </is>
      </c>
      <c r="D1430" s="187" t="n">
        <v>7.5</v>
      </c>
      <c r="E1430" s="187" t="inlineStr">
        <is>
          <t>HIGH</t>
        </is>
      </c>
      <c r="F1430" s="187" t="n">
        <v>3</v>
      </c>
      <c r="G1430" s="187" t="n">
        <v>3</v>
      </c>
      <c r="H1430" s="187" t="inlineStr">
        <is>
          <t>CRITICAL</t>
        </is>
      </c>
      <c r="I1430" s="187" t="n">
        <v>16.5</v>
      </c>
      <c r="J1430" s="187" t="inlineStr">
        <is>
          <t>NO</t>
        </is>
      </c>
      <c r="K1430" s="187" t="inlineStr">
        <is>
          <t>https://nvd.nist.gov/vuln/detail/CVE-2015-0964</t>
        </is>
      </c>
      <c r="L1430" s="187" t="inlineStr">
        <is>
          <t>2026-02-27 20:47</t>
        </is>
      </c>
      <c r="M1430" s="187" t="inlineStr">
        <is>
          <t>PATCH_IMMEDIATELY</t>
        </is>
      </c>
      <c r="N1430" s="187" t="inlineStr">
        <is>
          <t>https://nvd.nist.gov/vuln/detail/CVE-2015-0964</t>
        </is>
      </c>
      <c r="O1430" s="187" t="inlineStr">
        <is>
          <t>Patch CVE-2015-0964 immediately — weaponized Metasploit module in public release | Module: Arris / Motorola Surfboard SBG6580 Web Interface Takeover</t>
        </is>
      </c>
      <c r="P1430" s="187" t="inlineStr">
        <is>
          <t>See CVE details</t>
        </is>
      </c>
      <c r="Q1430" s="187" t="inlineStr">
        <is>
          <t>P2</t>
        </is>
      </c>
      <c r="R1430" s="187" t="inlineStr">
        <is>
          <t>🔍 Investigate and apply appropriate controls</t>
        </is>
      </c>
      <c r="S1430" s="187" t="inlineStr">
        <is>
          <t>Rapid7 MSF: Arris / Motorola Surfboard SBG6580 Web Interface Takeover | Module type: auxiliary_admin</t>
        </is>
      </c>
      <c r="T1430" s="187" t="n">
        <v>0</v>
      </c>
      <c r="U1430" s="187" t="n">
        <v>0</v>
      </c>
      <c r="V1430" s="187" t="inlineStr">
        <is>
          <t>T1203:Exploitation for Client Execution | T1190:Exploit Public-Facing Application</t>
        </is>
      </c>
      <c r="W1430" s="187" t="n">
        <v>2</v>
      </c>
      <c r="X1430" s="187" t="inlineStr">
        <is>
          <t>HIGH (72%)</t>
        </is>
      </c>
      <c r="Y1430" s="187" t="inlineStr">
        <is>
          <t>WEAPONIZED</t>
        </is>
      </c>
      <c r="Z1430" s="187" t="inlineStr">
        <is>
          <t>CHECK_VENDOR</t>
        </is>
      </c>
      <c r="AA1430" s="187" t="inlineStr">
        <is>
          <t>https://www.rapid7.com/db/search/?q=CVE-2015-0964</t>
        </is>
      </c>
      <c r="AB1430" s="187" t="inlineStr">
        <is>
          <t>NONE</t>
        </is>
      </c>
      <c r="AC1430" s="187" t="n">
        <v>0</v>
      </c>
      <c r="AD1430" s="187" t="inlineStr"/>
    </row>
    <row r="1431">
      <c r="A1431" s="187" t="inlineStr">
        <is>
          <t>MSF_MODULE</t>
        </is>
      </c>
      <c r="B1431" s="187" t="inlineStr">
        <is>
          <t>CVE-2015-0965</t>
        </is>
      </c>
      <c r="C1431" s="187" t="inlineStr">
        <is>
          <t>Metasploit module available: Arris / Motorola Surfboard SBG6580 Web Interface Takeover | Type: auxiliary_admin | CVE-2015-0965</t>
        </is>
      </c>
      <c r="D1431" s="187" t="n">
        <v>7.5</v>
      </c>
      <c r="E1431" s="187" t="inlineStr">
        <is>
          <t>HIGH</t>
        </is>
      </c>
      <c r="F1431" s="187" t="n">
        <v>3</v>
      </c>
      <c r="G1431" s="187" t="n">
        <v>3</v>
      </c>
      <c r="H1431" s="187" t="inlineStr">
        <is>
          <t>CRITICAL</t>
        </is>
      </c>
      <c r="I1431" s="187" t="n">
        <v>16.5</v>
      </c>
      <c r="J1431" s="187" t="inlineStr">
        <is>
          <t>NO</t>
        </is>
      </c>
      <c r="K1431" s="187" t="inlineStr">
        <is>
          <t>https://nvd.nist.gov/vuln/detail/CVE-2015-0965</t>
        </is>
      </c>
      <c r="L1431" s="187" t="inlineStr">
        <is>
          <t>2026-02-27 20:47</t>
        </is>
      </c>
      <c r="M1431" s="187" t="inlineStr">
        <is>
          <t>PATCH_IMMEDIATELY</t>
        </is>
      </c>
      <c r="N1431" s="187" t="inlineStr">
        <is>
          <t>https://nvd.nist.gov/vuln/detail/CVE-2015-0965</t>
        </is>
      </c>
      <c r="O1431" s="187" t="inlineStr">
        <is>
          <t>Patch CVE-2015-0965 immediately — weaponized Metasploit module in public release | Module: Arris / Motorola Surfboard SBG6580 Web Interface Takeover</t>
        </is>
      </c>
      <c r="P1431" s="187" t="inlineStr">
        <is>
          <t>See CVE details</t>
        </is>
      </c>
      <c r="Q1431" s="187" t="inlineStr">
        <is>
          <t>P2</t>
        </is>
      </c>
      <c r="R1431" s="187" t="inlineStr">
        <is>
          <t>🔍 Investigate and apply appropriate controls</t>
        </is>
      </c>
      <c r="S1431" s="187" t="inlineStr">
        <is>
          <t>Rapid7 MSF: Arris / Motorola Surfboard SBG6580 Web Interface Takeover | Module type: auxiliary_admin</t>
        </is>
      </c>
      <c r="T1431" s="187" t="n">
        <v>0</v>
      </c>
      <c r="U1431" s="187" t="n">
        <v>0</v>
      </c>
      <c r="V1431" s="187" t="inlineStr">
        <is>
          <t>T1203:Exploitation for Client Execution | T1190:Exploit Public-Facing Application</t>
        </is>
      </c>
      <c r="W1431" s="187" t="n">
        <v>2</v>
      </c>
      <c r="X1431" s="187" t="inlineStr">
        <is>
          <t>HIGH (72%)</t>
        </is>
      </c>
      <c r="Y1431" s="187" t="inlineStr">
        <is>
          <t>WEAPONIZED</t>
        </is>
      </c>
      <c r="Z1431" s="187" t="inlineStr">
        <is>
          <t>CHECK_VENDOR</t>
        </is>
      </c>
      <c r="AA1431" s="187" t="inlineStr">
        <is>
          <t>https://www.rapid7.com/db/search/?q=CVE-2015-0965</t>
        </is>
      </c>
      <c r="AB1431" s="187" t="inlineStr">
        <is>
          <t>NONE</t>
        </is>
      </c>
      <c r="AC1431" s="187" t="n">
        <v>0</v>
      </c>
      <c r="AD1431" s="187" t="inlineStr"/>
    </row>
    <row r="1432">
      <c r="A1432" s="187" t="inlineStr">
        <is>
          <t>MSF_MODULE</t>
        </is>
      </c>
      <c r="B1432" s="187" t="inlineStr">
        <is>
          <t>CVE-2015-0966</t>
        </is>
      </c>
      <c r="C1432" s="187" t="inlineStr">
        <is>
          <t>Metasploit module available: Arris / Motorola Surfboard SBG6580 Web Interface Takeover | Type: auxiliary_admin | CVE-2015-0966</t>
        </is>
      </c>
      <c r="D1432" s="187" t="n">
        <v>7.5</v>
      </c>
      <c r="E1432" s="187" t="inlineStr">
        <is>
          <t>HIGH</t>
        </is>
      </c>
      <c r="F1432" s="187" t="n">
        <v>3</v>
      </c>
      <c r="G1432" s="187" t="n">
        <v>3</v>
      </c>
      <c r="H1432" s="187" t="inlineStr">
        <is>
          <t>CRITICAL</t>
        </is>
      </c>
      <c r="I1432" s="187" t="n">
        <v>16.5</v>
      </c>
      <c r="J1432" s="187" t="inlineStr">
        <is>
          <t>NO</t>
        </is>
      </c>
      <c r="K1432" s="187" t="inlineStr">
        <is>
          <t>https://nvd.nist.gov/vuln/detail/CVE-2015-0966</t>
        </is>
      </c>
      <c r="L1432" s="187" t="inlineStr">
        <is>
          <t>2026-02-27 20:47</t>
        </is>
      </c>
      <c r="M1432" s="187" t="inlineStr">
        <is>
          <t>PATCH_IMMEDIATELY</t>
        </is>
      </c>
      <c r="N1432" s="187" t="inlineStr">
        <is>
          <t>https://nvd.nist.gov/vuln/detail/CVE-2015-0966</t>
        </is>
      </c>
      <c r="O1432" s="187" t="inlineStr">
        <is>
          <t>Patch CVE-2015-0966 immediately — weaponized Metasploit module in public release | Module: Arris / Motorola Surfboard SBG6580 Web Interface Takeover</t>
        </is>
      </c>
      <c r="P1432" s="187" t="inlineStr">
        <is>
          <t>See CVE details</t>
        </is>
      </c>
      <c r="Q1432" s="187" t="inlineStr">
        <is>
          <t>P2</t>
        </is>
      </c>
      <c r="R1432" s="187" t="inlineStr">
        <is>
          <t>🔍 Investigate and apply appropriate controls</t>
        </is>
      </c>
      <c r="S1432" s="187" t="inlineStr">
        <is>
          <t>Rapid7 MSF: Arris / Motorola Surfboard SBG6580 Web Interface Takeover | Module type: auxiliary_admin</t>
        </is>
      </c>
      <c r="T1432" s="187" t="n">
        <v>0</v>
      </c>
      <c r="U1432" s="187" t="n">
        <v>0</v>
      </c>
      <c r="V1432" s="187" t="inlineStr">
        <is>
          <t>T1203:Exploitation for Client Execution | T1190:Exploit Public-Facing Application</t>
        </is>
      </c>
      <c r="W1432" s="187" t="n">
        <v>2</v>
      </c>
      <c r="X1432" s="187" t="inlineStr">
        <is>
          <t>HIGH (72%)</t>
        </is>
      </c>
      <c r="Y1432" s="187" t="inlineStr">
        <is>
          <t>WEAPONIZED</t>
        </is>
      </c>
      <c r="Z1432" s="187" t="inlineStr">
        <is>
          <t>CHECK_VENDOR</t>
        </is>
      </c>
      <c r="AA1432" s="187" t="inlineStr">
        <is>
          <t>https://www.rapid7.com/db/search/?q=CVE-2015-0966</t>
        </is>
      </c>
      <c r="AB1432" s="187" t="inlineStr">
        <is>
          <t>NONE</t>
        </is>
      </c>
      <c r="AC1432" s="187" t="n">
        <v>0</v>
      </c>
      <c r="AD1432" s="187" t="inlineStr"/>
    </row>
    <row r="1433">
      <c r="A1433" s="187" t="inlineStr">
        <is>
          <t>MSF_MODULE</t>
        </is>
      </c>
      <c r="B1433" s="187" t="inlineStr">
        <is>
          <t>CVE-2023-22515</t>
        </is>
      </c>
      <c r="C1433" s="187" t="inlineStr">
        <is>
          <t>Metasploit module available: Atlassian Confluence Data Center and Server Authentication Bypass via Broken Acc | Type: auxiliary_admin | CVE-2023-22515</t>
        </is>
      </c>
      <c r="D1433" s="187" t="n">
        <v>7.5</v>
      </c>
      <c r="E1433" s="187" t="inlineStr">
        <is>
          <t>HIGH</t>
        </is>
      </c>
      <c r="F1433" s="187" t="n">
        <v>3</v>
      </c>
      <c r="G1433" s="187" t="n">
        <v>3</v>
      </c>
      <c r="H1433" s="187" t="inlineStr">
        <is>
          <t>CRITICAL</t>
        </is>
      </c>
      <c r="I1433" s="187" t="n">
        <v>16.5</v>
      </c>
      <c r="J1433" s="187" t="inlineStr">
        <is>
          <t>YES</t>
        </is>
      </c>
      <c r="K1433" s="187" t="inlineStr">
        <is>
          <t>https://nvd.nist.gov/vuln/detail/CVE-2023-22515</t>
        </is>
      </c>
      <c r="L1433" s="187" t="inlineStr">
        <is>
          <t>2026-02-27 20:47</t>
        </is>
      </c>
      <c r="M1433" s="187" t="inlineStr">
        <is>
          <t>PATCH_IMMEDIATELY</t>
        </is>
      </c>
      <c r="N1433" s="187" t="inlineStr">
        <is>
          <t>https://nvd.nist.gov/vuln/detail/CVE-2023-22515</t>
        </is>
      </c>
      <c r="O1433" s="187" t="inlineStr">
        <is>
          <t>Patch CVE-2023-22515 immediately — weaponized Metasploit module in public release | Module: Atlassian Confluence Data Center and Server Authentication Bypass via Broken Acc</t>
        </is>
      </c>
      <c r="P1433" s="187" t="inlineStr">
        <is>
          <t>See CVE details</t>
        </is>
      </c>
      <c r="Q1433" s="187" t="inlineStr">
        <is>
          <t>P1</t>
        </is>
      </c>
      <c r="R1433" s="187" t="inlineStr">
        <is>
          <t>🔍 Investigate and apply appropriate controls</t>
        </is>
      </c>
      <c r="S1433" s="187" t="inlineStr">
        <is>
          <t>Rapid7 MSF: Atlassian Confluence Data Center and Server Authentication Bypass via Broken Acc | Module type: auxiliary_admin</t>
        </is>
      </c>
      <c r="T1433" s="187" t="n">
        <v>0</v>
      </c>
      <c r="U1433" s="187" t="n">
        <v>0</v>
      </c>
      <c r="V1433" s="187" t="inlineStr">
        <is>
          <t>T1203:Exploitation for Client Execution | T1190:Exploit Public-Facing Application</t>
        </is>
      </c>
      <c r="W1433" s="187" t="n">
        <v>2</v>
      </c>
      <c r="X1433" s="187" t="inlineStr">
        <is>
          <t>HIGH (72%)</t>
        </is>
      </c>
      <c r="Y1433" s="187" t="inlineStr">
        <is>
          <t>WEAPONIZED</t>
        </is>
      </c>
      <c r="Z1433" s="187" t="inlineStr">
        <is>
          <t>CHECK_VENDOR</t>
        </is>
      </c>
      <c r="AA1433" s="187" t="inlineStr">
        <is>
          <t>https://www.rapid7.com/db/search/?q=CVE-2023-22515</t>
        </is>
      </c>
      <c r="AB1433" s="187" t="inlineStr">
        <is>
          <t>NONE</t>
        </is>
      </c>
      <c r="AC1433" s="187" t="n">
        <v>0</v>
      </c>
      <c r="AD1433" s="187" t="inlineStr"/>
    </row>
    <row r="1434">
      <c r="A1434" s="187" t="inlineStr">
        <is>
          <t>MSF_MODULE</t>
        </is>
      </c>
      <c r="B1434" s="187" t="inlineStr">
        <is>
          <t>CVE-2012-4940</t>
        </is>
      </c>
      <c r="C1434" s="187" t="inlineStr">
        <is>
          <t>Metasploit module available: Axigen Arbitrary File Read and Delete | Type: auxiliary_admin | CVE-2012-4940</t>
        </is>
      </c>
      <c r="D1434" s="187" t="n">
        <v>7.5</v>
      </c>
      <c r="E1434" s="187" t="inlineStr">
        <is>
          <t>HIGH</t>
        </is>
      </c>
      <c r="F1434" s="187" t="n">
        <v>3</v>
      </c>
      <c r="G1434" s="187" t="n">
        <v>3</v>
      </c>
      <c r="H1434" s="187" t="inlineStr">
        <is>
          <t>CRITICAL</t>
        </is>
      </c>
      <c r="I1434" s="187" t="n">
        <v>16.5</v>
      </c>
      <c r="J1434" s="187" t="inlineStr">
        <is>
          <t>NO</t>
        </is>
      </c>
      <c r="K1434" s="187" t="inlineStr">
        <is>
          <t>https://nvd.nist.gov/vuln/detail/CVE-2012-4940</t>
        </is>
      </c>
      <c r="L1434" s="187" t="inlineStr">
        <is>
          <t>2026-02-27 20:47</t>
        </is>
      </c>
      <c r="M1434" s="187" t="inlineStr">
        <is>
          <t>PATCH_IMMEDIATELY</t>
        </is>
      </c>
      <c r="N1434" s="187" t="inlineStr">
        <is>
          <t>https://nvd.nist.gov/vuln/detail/CVE-2012-4940</t>
        </is>
      </c>
      <c r="O1434" s="187" t="inlineStr">
        <is>
          <t>Patch CVE-2012-4940 immediately — weaponized Metasploit module in public release | Module: Axigen Arbitrary File Read and Delete</t>
        </is>
      </c>
      <c r="P1434" s="187" t="inlineStr">
        <is>
          <t>See CVE details</t>
        </is>
      </c>
      <c r="Q1434" s="187" t="inlineStr">
        <is>
          <t>P2</t>
        </is>
      </c>
      <c r="R1434" s="187" t="inlineStr">
        <is>
          <t>🔍 Investigate and apply appropriate controls</t>
        </is>
      </c>
      <c r="S1434" s="187" t="inlineStr">
        <is>
          <t>Rapid7 MSF: Axigen Arbitrary File Read and Delete | Module type: auxiliary_admin</t>
        </is>
      </c>
      <c r="T1434" s="187" t="n">
        <v>0</v>
      </c>
      <c r="U1434" s="187" t="n">
        <v>0</v>
      </c>
      <c r="V1434" s="187" t="inlineStr">
        <is>
          <t>T1203:Exploitation for Client Execution | T1190:Exploit Public-Facing Application</t>
        </is>
      </c>
      <c r="W1434" s="187" t="n">
        <v>2</v>
      </c>
      <c r="X1434" s="187" t="inlineStr">
        <is>
          <t>HIGH (72%)</t>
        </is>
      </c>
      <c r="Y1434" s="187" t="inlineStr">
        <is>
          <t>WEAPONIZED</t>
        </is>
      </c>
      <c r="Z1434" s="187" t="inlineStr">
        <is>
          <t>CHECK_VENDOR</t>
        </is>
      </c>
      <c r="AA1434" s="187" t="inlineStr">
        <is>
          <t>https://www.rapid7.com/db/search/?q=CVE-2012-4940</t>
        </is>
      </c>
      <c r="AB1434" s="187" t="inlineStr">
        <is>
          <t>NONE</t>
        </is>
      </c>
      <c r="AC1434" s="187" t="n">
        <v>0</v>
      </c>
      <c r="AD1434" s="187" t="inlineStr"/>
    </row>
    <row r="1435">
      <c r="A1435" s="187" t="inlineStr">
        <is>
          <t>MSF_MODULE</t>
        </is>
      </c>
      <c r="B1435" s="187" t="inlineStr">
        <is>
          <t>CVE-2013-2050</t>
        </is>
      </c>
      <c r="C1435" s="187" t="inlineStr">
        <is>
          <t>Metasploit module available: Red Hat CloudForms Management Engine 5.1 miq_policy/explorer SQL Injection | Type: auxiliary_admin | CVE-2013-2050</t>
        </is>
      </c>
      <c r="D1435" s="187" t="n">
        <v>7.5</v>
      </c>
      <c r="E1435" s="187" t="inlineStr">
        <is>
          <t>HIGH</t>
        </is>
      </c>
      <c r="F1435" s="187" t="n">
        <v>3</v>
      </c>
      <c r="G1435" s="187" t="n">
        <v>3</v>
      </c>
      <c r="H1435" s="187" t="inlineStr">
        <is>
          <t>CRITICAL</t>
        </is>
      </c>
      <c r="I1435" s="187" t="n">
        <v>16.5</v>
      </c>
      <c r="J1435" s="187" t="inlineStr">
        <is>
          <t>NO</t>
        </is>
      </c>
      <c r="K1435" s="187" t="inlineStr">
        <is>
          <t>https://nvd.nist.gov/vuln/detail/CVE-2013-2050</t>
        </is>
      </c>
      <c r="L1435" s="187" t="inlineStr">
        <is>
          <t>2026-02-27 20:47</t>
        </is>
      </c>
      <c r="M1435" s="187" t="inlineStr">
        <is>
          <t>PATCH_IMMEDIATELY</t>
        </is>
      </c>
      <c r="N1435" s="187" t="inlineStr">
        <is>
          <t>https://nvd.nist.gov/vuln/detail/CVE-2013-2050</t>
        </is>
      </c>
      <c r="O1435" s="187" t="inlineStr">
        <is>
          <t>Patch CVE-2013-2050 immediately — weaponized Metasploit module in public release | Module: Red Hat CloudForms Management Engine 5.1 miq_policy/explorer SQL Injection</t>
        </is>
      </c>
      <c r="P1435" s="187" t="inlineStr">
        <is>
          <t>See CVE details</t>
        </is>
      </c>
      <c r="Q1435" s="187" t="inlineStr">
        <is>
          <t>P2</t>
        </is>
      </c>
      <c r="R1435" s="187" t="inlineStr">
        <is>
          <t>🔍 Investigate and apply appropriate controls</t>
        </is>
      </c>
      <c r="S1435" s="187" t="inlineStr">
        <is>
          <t>Rapid7 MSF: Red Hat CloudForms Management Engine 5.1 miq_policy/explorer SQL Injection | Module type: auxiliary_admin</t>
        </is>
      </c>
      <c r="T1435" s="187" t="n">
        <v>0</v>
      </c>
      <c r="U1435" s="187" t="n">
        <v>0</v>
      </c>
      <c r="V1435" s="187" t="inlineStr">
        <is>
          <t>T1203:Exploitation for Client Execution | T1190:Exploit Public-Facing Application</t>
        </is>
      </c>
      <c r="W1435" s="187" t="n">
        <v>2</v>
      </c>
      <c r="X1435" s="187" t="inlineStr">
        <is>
          <t>HIGH (72%)</t>
        </is>
      </c>
      <c r="Y1435" s="187" t="inlineStr">
        <is>
          <t>WEAPONIZED</t>
        </is>
      </c>
      <c r="Z1435" s="187" t="inlineStr">
        <is>
          <t>CHECK_VENDOR</t>
        </is>
      </c>
      <c r="AA1435" s="187" t="inlineStr">
        <is>
          <t>https://www.rapid7.com/db/search/?q=CVE-2013-2050</t>
        </is>
      </c>
      <c r="AB1435" s="187" t="inlineStr">
        <is>
          <t>NONE</t>
        </is>
      </c>
      <c r="AC1435" s="187" t="n">
        <v>0</v>
      </c>
      <c r="AD1435" s="187" t="inlineStr"/>
    </row>
    <row r="1436">
      <c r="A1436" s="187" t="inlineStr">
        <is>
          <t>MSF_MODULE</t>
        </is>
      </c>
      <c r="B1436" s="187" t="inlineStr">
        <is>
          <t>CVE-2020-16137</t>
        </is>
      </c>
      <c r="C1436" s="187" t="inlineStr">
        <is>
          <t>Metasploit module available: Cisco 7937G SSH Privilege Escalation | Type: auxiliary_admin | CVE-2020-16137</t>
        </is>
      </c>
      <c r="D1436" s="187" t="n">
        <v>7.5</v>
      </c>
      <c r="E1436" s="187" t="inlineStr">
        <is>
          <t>HIGH</t>
        </is>
      </c>
      <c r="F1436" s="187" t="n">
        <v>3</v>
      </c>
      <c r="G1436" s="187" t="n">
        <v>3</v>
      </c>
      <c r="H1436" s="187" t="inlineStr">
        <is>
          <t>CRITICAL</t>
        </is>
      </c>
      <c r="I1436" s="187" t="n">
        <v>16.5</v>
      </c>
      <c r="J1436" s="187" t="inlineStr">
        <is>
          <t>NO</t>
        </is>
      </c>
      <c r="K1436" s="187" t="inlineStr">
        <is>
          <t>https://nvd.nist.gov/vuln/detail/CVE-2020-16137</t>
        </is>
      </c>
      <c r="L1436" s="187" t="inlineStr">
        <is>
          <t>2026-02-27 20:47</t>
        </is>
      </c>
      <c r="M1436" s="187" t="inlineStr">
        <is>
          <t>PATCH_IMMEDIATELY</t>
        </is>
      </c>
      <c r="N1436" s="187" t="inlineStr">
        <is>
          <t>https://nvd.nist.gov/vuln/detail/CVE-2020-16137</t>
        </is>
      </c>
      <c r="O1436" s="187" t="inlineStr">
        <is>
          <t>Patch CVE-2020-16137 immediately — weaponized Metasploit module in public release | Module: Cisco 7937G SSH Privilege Escalation</t>
        </is>
      </c>
      <c r="P1436" s="187" t="inlineStr">
        <is>
          <t>See CVE details</t>
        </is>
      </c>
      <c r="Q1436" s="187" t="inlineStr">
        <is>
          <t>P2</t>
        </is>
      </c>
      <c r="R1436" s="187" t="inlineStr">
        <is>
          <t>🔍 Investigate and apply appropriate controls</t>
        </is>
      </c>
      <c r="S1436" s="187" t="inlineStr">
        <is>
          <t>Rapid7 MSF: Cisco 7937G SSH Privilege Escalation | Module type: auxiliary_admin</t>
        </is>
      </c>
      <c r="T1436" s="187" t="n">
        <v>0</v>
      </c>
      <c r="U1436" s="187" t="n">
        <v>0</v>
      </c>
      <c r="V1436" s="187" t="inlineStr">
        <is>
          <t>T1203:Exploitation for Client Execution | T1190:Exploit Public-Facing Application</t>
        </is>
      </c>
      <c r="W1436" s="187" t="n">
        <v>2</v>
      </c>
      <c r="X1436" s="187" t="inlineStr">
        <is>
          <t>HIGH (72%)</t>
        </is>
      </c>
      <c r="Y1436" s="187" t="inlineStr">
        <is>
          <t>WEAPONIZED</t>
        </is>
      </c>
      <c r="Z1436" s="187" t="inlineStr">
        <is>
          <t>CHECK_VENDOR</t>
        </is>
      </c>
      <c r="AA1436" s="187" t="inlineStr">
        <is>
          <t>https://www.rapid7.com/db/search/?q=CVE-2020-16137</t>
        </is>
      </c>
      <c r="AB1436" s="187" t="inlineStr">
        <is>
          <t>NONE</t>
        </is>
      </c>
      <c r="AC1436" s="187" t="n">
        <v>0</v>
      </c>
      <c r="AD1436" s="187" t="inlineStr"/>
    </row>
    <row r="1437">
      <c r="A1437" s="187" t="inlineStr">
        <is>
          <t>MSF_MODULE</t>
        </is>
      </c>
      <c r="B1437" s="187" t="inlineStr">
        <is>
          <t>CVE-2023-20198</t>
        </is>
      </c>
      <c r="C1437" s="187" t="inlineStr">
        <is>
          <t>Metasploit module available: Cisco IOX XE unauthenticated Command Line Interface (CLI) execution | Type: auxiliary_admin | CVE-2023-20198</t>
        </is>
      </c>
      <c r="D1437" s="187" t="n">
        <v>7.5</v>
      </c>
      <c r="E1437" s="187" t="inlineStr">
        <is>
          <t>HIGH</t>
        </is>
      </c>
      <c r="F1437" s="187" t="n">
        <v>3</v>
      </c>
      <c r="G1437" s="187" t="n">
        <v>3</v>
      </c>
      <c r="H1437" s="187" t="inlineStr">
        <is>
          <t>CRITICAL</t>
        </is>
      </c>
      <c r="I1437" s="187" t="n">
        <v>16.5</v>
      </c>
      <c r="J1437" s="187" t="inlineStr">
        <is>
          <t>YES</t>
        </is>
      </c>
      <c r="K1437" s="187" t="inlineStr">
        <is>
          <t>https://nvd.nist.gov/vuln/detail/CVE-2023-20198</t>
        </is>
      </c>
      <c r="L1437" s="187" t="inlineStr">
        <is>
          <t>2026-02-27 20:47</t>
        </is>
      </c>
      <c r="M1437" s="187" t="inlineStr">
        <is>
          <t>PATCH_IMMEDIATELY</t>
        </is>
      </c>
      <c r="N1437" s="187" t="inlineStr">
        <is>
          <t>https://nvd.nist.gov/vuln/detail/CVE-2023-20198</t>
        </is>
      </c>
      <c r="O1437" s="187" t="inlineStr">
        <is>
          <t>Patch CVE-2023-20198 immediately — weaponized Metasploit module in public release | Module: Cisco IOX XE unauthenticated Command Line Interface (CLI) execution</t>
        </is>
      </c>
      <c r="P1437" s="187" t="inlineStr">
        <is>
          <t>See CVE details</t>
        </is>
      </c>
      <c r="Q1437" s="187" t="inlineStr">
        <is>
          <t>P1</t>
        </is>
      </c>
      <c r="R1437" s="187" t="inlineStr">
        <is>
          <t>🔍 Investigate and apply appropriate controls</t>
        </is>
      </c>
      <c r="S1437" s="187" t="inlineStr">
        <is>
          <t>Rapid7 MSF: Cisco IOX XE unauthenticated Command Line Interface (CLI) execution | Module type: auxiliary_admin</t>
        </is>
      </c>
      <c r="T1437" s="187" t="n">
        <v>0</v>
      </c>
      <c r="U1437" s="187" t="n">
        <v>0</v>
      </c>
      <c r="V1437" s="187" t="inlineStr">
        <is>
          <t>T1203:Exploitation for Client Execution | T1190:Exploit Public-Facing Application</t>
        </is>
      </c>
      <c r="W1437" s="187" t="n">
        <v>2</v>
      </c>
      <c r="X1437" s="187" t="inlineStr">
        <is>
          <t>HIGH (72%)</t>
        </is>
      </c>
      <c r="Y1437" s="187" t="inlineStr">
        <is>
          <t>WEAPONIZED</t>
        </is>
      </c>
      <c r="Z1437" s="187" t="inlineStr">
        <is>
          <t>CHECK_VENDOR</t>
        </is>
      </c>
      <c r="AA1437" s="187" t="inlineStr">
        <is>
          <t>https://www.rapid7.com/db/search/?q=CVE-2023-20198</t>
        </is>
      </c>
      <c r="AB1437" s="187" t="inlineStr">
        <is>
          <t>NONE</t>
        </is>
      </c>
      <c r="AC1437" s="187" t="n">
        <v>0</v>
      </c>
      <c r="AD1437" s="187" t="inlineStr"/>
    </row>
    <row r="1438">
      <c r="A1438" s="187" t="inlineStr">
        <is>
          <t>MSF_MODULE</t>
        </is>
      </c>
      <c r="B1438" s="187" t="inlineStr">
        <is>
          <t>CVE-2023-20273</t>
        </is>
      </c>
      <c r="C1438" s="187" t="inlineStr">
        <is>
          <t>Metasploit module available: Cisco IOX XE unauthenticated OS command execution | Type: auxiliary_admin | CVE-2023-20273</t>
        </is>
      </c>
      <c r="D1438" s="187" t="n">
        <v>7.5</v>
      </c>
      <c r="E1438" s="187" t="inlineStr">
        <is>
          <t>HIGH</t>
        </is>
      </c>
      <c r="F1438" s="187" t="n">
        <v>3</v>
      </c>
      <c r="G1438" s="187" t="n">
        <v>3</v>
      </c>
      <c r="H1438" s="187" t="inlineStr">
        <is>
          <t>CRITICAL</t>
        </is>
      </c>
      <c r="I1438" s="187" t="n">
        <v>16.5</v>
      </c>
      <c r="J1438" s="187" t="inlineStr">
        <is>
          <t>YES</t>
        </is>
      </c>
      <c r="K1438" s="187" t="inlineStr">
        <is>
          <t>https://nvd.nist.gov/vuln/detail/CVE-2023-20273</t>
        </is>
      </c>
      <c r="L1438" s="187" t="inlineStr">
        <is>
          <t>2026-02-27 20:47</t>
        </is>
      </c>
      <c r="M1438" s="187" t="inlineStr">
        <is>
          <t>PATCH_IMMEDIATELY</t>
        </is>
      </c>
      <c r="N1438" s="187" t="inlineStr">
        <is>
          <t>https://nvd.nist.gov/vuln/detail/CVE-2023-20273</t>
        </is>
      </c>
      <c r="O1438" s="187" t="inlineStr">
        <is>
          <t>Patch CVE-2023-20273 immediately — weaponized Metasploit module in public release | Module: Cisco IOX XE unauthenticated OS command execution</t>
        </is>
      </c>
      <c r="P1438" s="187" t="inlineStr">
        <is>
          <t>See CVE details</t>
        </is>
      </c>
      <c r="Q1438" s="187" t="inlineStr">
        <is>
          <t>P1</t>
        </is>
      </c>
      <c r="R1438" s="187" t="inlineStr">
        <is>
          <t>🔍 Investigate and apply appropriate controls</t>
        </is>
      </c>
      <c r="S1438" s="187" t="inlineStr">
        <is>
          <t>Rapid7 MSF: Cisco IOX XE unauthenticated OS command execution | Module type: auxiliary_admin</t>
        </is>
      </c>
      <c r="T1438" s="187" t="n">
        <v>0</v>
      </c>
      <c r="U1438" s="187" t="n">
        <v>0</v>
      </c>
      <c r="V1438" s="187" t="inlineStr">
        <is>
          <t>T1203:Exploitation for Client Execution | T1190:Exploit Public-Facing Application</t>
        </is>
      </c>
      <c r="W1438" s="187" t="n">
        <v>2</v>
      </c>
      <c r="X1438" s="187" t="inlineStr">
        <is>
          <t>HIGH (72%)</t>
        </is>
      </c>
      <c r="Y1438" s="187" t="inlineStr">
        <is>
          <t>WEAPONIZED</t>
        </is>
      </c>
      <c r="Z1438" s="187" t="inlineStr">
        <is>
          <t>CHECK_VENDOR</t>
        </is>
      </c>
      <c r="AA1438" s="187" t="inlineStr">
        <is>
          <t>https://www.rapid7.com/db/search/?q=CVE-2023-20273</t>
        </is>
      </c>
      <c r="AB1438" s="187" t="inlineStr">
        <is>
          <t>NONE</t>
        </is>
      </c>
      <c r="AC1438" s="187" t="n">
        <v>0</v>
      </c>
      <c r="AD1438" s="187" t="inlineStr"/>
    </row>
    <row r="1439">
      <c r="A1439" s="187" t="inlineStr">
        <is>
          <t>MSF_MODULE</t>
        </is>
      </c>
      <c r="B1439" s="187" t="inlineStr">
        <is>
          <t>CVE-2024-20419</t>
        </is>
      </c>
      <c r="C1439" s="187" t="inlineStr">
        <is>
          <t>Metasploit module available: Cisco Smart Software Manager (SSM) On-Prem Account Takeover (CVE-2024-20419) | Type: auxiliary_admin | CVE-2024-20419</t>
        </is>
      </c>
      <c r="D1439" s="187" t="n">
        <v>7.5</v>
      </c>
      <c r="E1439" s="187" t="inlineStr">
        <is>
          <t>HIGH</t>
        </is>
      </c>
      <c r="F1439" s="187" t="n">
        <v>3</v>
      </c>
      <c r="G1439" s="187" t="n">
        <v>3</v>
      </c>
      <c r="H1439" s="187" t="inlineStr">
        <is>
          <t>CRITICAL</t>
        </is>
      </c>
      <c r="I1439" s="187" t="n">
        <v>16.5</v>
      </c>
      <c r="J1439" s="187" t="inlineStr">
        <is>
          <t>NO</t>
        </is>
      </c>
      <c r="K1439" s="187" t="inlineStr">
        <is>
          <t>https://nvd.nist.gov/vuln/detail/CVE-2024-20419</t>
        </is>
      </c>
      <c r="L1439" s="187" t="inlineStr">
        <is>
          <t>2026-02-27 20:47</t>
        </is>
      </c>
      <c r="M1439" s="187" t="inlineStr">
        <is>
          <t>PATCH_IMMEDIATELY</t>
        </is>
      </c>
      <c r="N1439" s="187" t="inlineStr">
        <is>
          <t>https://nvd.nist.gov/vuln/detail/CVE-2024-20419</t>
        </is>
      </c>
      <c r="O1439" s="187" t="inlineStr">
        <is>
          <t>Patch CVE-2024-20419 immediately — weaponized Metasploit module in public release | Module: Cisco Smart Software Manager (SSM) On-Prem Account Takeover (CVE-2024-20419)</t>
        </is>
      </c>
      <c r="P1439" s="187" t="inlineStr">
        <is>
          <t>See CVE details</t>
        </is>
      </c>
      <c r="Q1439" s="187" t="inlineStr">
        <is>
          <t>P2</t>
        </is>
      </c>
      <c r="R1439" s="187" t="inlineStr">
        <is>
          <t>🔍 Investigate and apply appropriate controls</t>
        </is>
      </c>
      <c r="S1439" s="187" t="inlineStr">
        <is>
          <t>Rapid7 MSF: Cisco Smart Software Manager (SSM) On-Prem Account Takeover (CVE-2024-20419) | Module type: auxiliary_admin</t>
        </is>
      </c>
      <c r="T1439" s="187" t="n">
        <v>0</v>
      </c>
      <c r="U1439" s="187" t="n">
        <v>0</v>
      </c>
      <c r="V1439" s="187" t="inlineStr">
        <is>
          <t>T1203:Exploitation for Client Execution | T1190:Exploit Public-Facing Application</t>
        </is>
      </c>
      <c r="W1439" s="187" t="n">
        <v>2</v>
      </c>
      <c r="X1439" s="187" t="inlineStr">
        <is>
          <t>HIGH (72%)</t>
        </is>
      </c>
      <c r="Y1439" s="187" t="inlineStr">
        <is>
          <t>WEAPONIZED</t>
        </is>
      </c>
      <c r="Z1439" s="187" t="inlineStr">
        <is>
          <t>CHECK_VENDOR</t>
        </is>
      </c>
      <c r="AA1439" s="187" t="inlineStr">
        <is>
          <t>https://www.rapid7.com/db/search/?q=CVE-2024-20419</t>
        </is>
      </c>
      <c r="AB1439" s="187" t="inlineStr">
        <is>
          <t>NONE</t>
        </is>
      </c>
      <c r="AC1439" s="187" t="n">
        <v>0</v>
      </c>
      <c r="AD1439" s="187" t="inlineStr"/>
    </row>
    <row r="1440">
      <c r="A1440" s="187" t="inlineStr">
        <is>
          <t>MSF_MODULE</t>
        </is>
      </c>
      <c r="B1440" s="187" t="inlineStr">
        <is>
          <t>CVE-2017-5259</t>
        </is>
      </c>
      <c r="C1440" s="187" t="inlineStr">
        <is>
          <t>Metasploit module available: Cambium cnPilot r200/r201 Command Execution as 'root' | Type: auxiliary_admin | CVE-2017-5259</t>
        </is>
      </c>
      <c r="D1440" s="187" t="n">
        <v>7.5</v>
      </c>
      <c r="E1440" s="187" t="inlineStr">
        <is>
          <t>HIGH</t>
        </is>
      </c>
      <c r="F1440" s="187" t="n">
        <v>3</v>
      </c>
      <c r="G1440" s="187" t="n">
        <v>3</v>
      </c>
      <c r="H1440" s="187" t="inlineStr">
        <is>
          <t>CRITICAL</t>
        </is>
      </c>
      <c r="I1440" s="187" t="n">
        <v>16.5</v>
      </c>
      <c r="J1440" s="187" t="inlineStr">
        <is>
          <t>NO</t>
        </is>
      </c>
      <c r="K1440" s="187" t="inlineStr">
        <is>
          <t>https://nvd.nist.gov/vuln/detail/CVE-2017-5259</t>
        </is>
      </c>
      <c r="L1440" s="187" t="inlineStr">
        <is>
          <t>2026-02-27 20:47</t>
        </is>
      </c>
      <c r="M1440" s="187" t="inlineStr">
        <is>
          <t>PATCH_IMMEDIATELY</t>
        </is>
      </c>
      <c r="N1440" s="187" t="inlineStr">
        <is>
          <t>https://nvd.nist.gov/vuln/detail/CVE-2017-5259</t>
        </is>
      </c>
      <c r="O1440" s="187" t="inlineStr">
        <is>
          <t>Patch CVE-2017-5259 immediately — weaponized Metasploit module in public release | Module: Cambium cnPilot r200/r201 Command Execution as 'root'</t>
        </is>
      </c>
      <c r="P1440" s="187" t="inlineStr">
        <is>
          <t>See CVE details</t>
        </is>
      </c>
      <c r="Q1440" s="187" t="inlineStr">
        <is>
          <t>P2</t>
        </is>
      </c>
      <c r="R1440" s="187" t="inlineStr">
        <is>
          <t>🔍 Investigate and apply appropriate controls</t>
        </is>
      </c>
      <c r="S1440" s="187" t="inlineStr">
        <is>
          <t>Rapid7 MSF: Cambium cnPilot r200/r201 Command Execution as 'root' | Module type: auxiliary_admin</t>
        </is>
      </c>
      <c r="T1440" s="187" t="n">
        <v>0</v>
      </c>
      <c r="U1440" s="187" t="n">
        <v>0</v>
      </c>
      <c r="V1440" s="187" t="inlineStr">
        <is>
          <t>T1203:Exploitation for Client Execution | T1190:Exploit Public-Facing Application</t>
        </is>
      </c>
      <c r="W1440" s="187" t="n">
        <v>2</v>
      </c>
      <c r="X1440" s="187" t="inlineStr">
        <is>
          <t>HIGH (72%)</t>
        </is>
      </c>
      <c r="Y1440" s="187" t="inlineStr">
        <is>
          <t>WEAPONIZED</t>
        </is>
      </c>
      <c r="Z1440" s="187" t="inlineStr">
        <is>
          <t>CHECK_VENDOR</t>
        </is>
      </c>
      <c r="AA1440" s="187" t="inlineStr">
        <is>
          <t>https://www.rapid7.com/db/search/?q=CVE-2017-5259</t>
        </is>
      </c>
      <c r="AB1440" s="187" t="inlineStr">
        <is>
          <t>NONE</t>
        </is>
      </c>
      <c r="AC1440" s="187" t="n">
        <v>0</v>
      </c>
      <c r="AD1440" s="187" t="inlineStr"/>
    </row>
    <row r="1441">
      <c r="A1441" s="187" t="inlineStr">
        <is>
          <t>MSF_MODULE</t>
        </is>
      </c>
      <c r="B1441" s="187" t="inlineStr">
        <is>
          <t>CVE-2017-5261</t>
        </is>
      </c>
      <c r="C1441" s="187" t="inlineStr">
        <is>
          <t>Metasploit module available: Cambium cnPilot r200/r201 File Path Traversal | Type: auxiliary_admin | CVE-2017-5261</t>
        </is>
      </c>
      <c r="D1441" s="187" t="n">
        <v>7.5</v>
      </c>
      <c r="E1441" s="187" t="inlineStr">
        <is>
          <t>HIGH</t>
        </is>
      </c>
      <c r="F1441" s="187" t="n">
        <v>3</v>
      </c>
      <c r="G1441" s="187" t="n">
        <v>3</v>
      </c>
      <c r="H1441" s="187" t="inlineStr">
        <is>
          <t>CRITICAL</t>
        </is>
      </c>
      <c r="I1441" s="187" t="n">
        <v>16.5</v>
      </c>
      <c r="J1441" s="187" t="inlineStr">
        <is>
          <t>NO</t>
        </is>
      </c>
      <c r="K1441" s="187" t="inlineStr">
        <is>
          <t>https://nvd.nist.gov/vuln/detail/CVE-2017-5261</t>
        </is>
      </c>
      <c r="L1441" s="187" t="inlineStr">
        <is>
          <t>2026-02-27 20:47</t>
        </is>
      </c>
      <c r="M1441" s="187" t="inlineStr">
        <is>
          <t>PATCH_IMMEDIATELY</t>
        </is>
      </c>
      <c r="N1441" s="187" t="inlineStr">
        <is>
          <t>https://nvd.nist.gov/vuln/detail/CVE-2017-5261</t>
        </is>
      </c>
      <c r="O1441" s="187" t="inlineStr">
        <is>
          <t>Patch CVE-2017-5261 immediately — weaponized Metasploit module in public release | Module: Cambium cnPilot r200/r201 File Path Traversal</t>
        </is>
      </c>
      <c r="P1441" s="187" t="inlineStr">
        <is>
          <t>See CVE details</t>
        </is>
      </c>
      <c r="Q1441" s="187" t="inlineStr">
        <is>
          <t>P2</t>
        </is>
      </c>
      <c r="R1441" s="187" t="inlineStr">
        <is>
          <t>🔍 Investigate and apply appropriate controls</t>
        </is>
      </c>
      <c r="S1441" s="187" t="inlineStr">
        <is>
          <t>Rapid7 MSF: Cambium cnPilot r200/r201 File Path Traversal | Module type: auxiliary_admin</t>
        </is>
      </c>
      <c r="T1441" s="187" t="n">
        <v>0</v>
      </c>
      <c r="U1441" s="187" t="n">
        <v>0</v>
      </c>
      <c r="V1441" s="187" t="inlineStr">
        <is>
          <t>T1203:Exploitation for Client Execution | T1190:Exploit Public-Facing Application</t>
        </is>
      </c>
      <c r="W1441" s="187" t="n">
        <v>2</v>
      </c>
      <c r="X1441" s="187" t="inlineStr">
        <is>
          <t>HIGH (72%)</t>
        </is>
      </c>
      <c r="Y1441" s="187" t="inlineStr">
        <is>
          <t>WEAPONIZED</t>
        </is>
      </c>
      <c r="Z1441" s="187" t="inlineStr">
        <is>
          <t>CHECK_VENDOR</t>
        </is>
      </c>
      <c r="AA1441" s="187" t="inlineStr">
        <is>
          <t>https://www.rapid7.com/db/search/?q=CVE-2017-5261</t>
        </is>
      </c>
      <c r="AB1441" s="187" t="inlineStr">
        <is>
          <t>NONE</t>
        </is>
      </c>
      <c r="AC1441" s="187" t="n">
        <v>0</v>
      </c>
      <c r="AD1441" s="187" t="inlineStr"/>
    </row>
    <row r="1442">
      <c r="A1442" s="187" t="inlineStr">
        <is>
          <t>MSF_MODULE</t>
        </is>
      </c>
      <c r="B1442" s="187" t="inlineStr">
        <is>
          <t>CVE-2009-10005</t>
        </is>
      </c>
      <c r="C1442" s="187" t="inlineStr">
        <is>
          <t>Metasploit module available: ContentKeeper Web Appliance mimencode File Access | Type: auxiliary_admin | CVE-2009-10005</t>
        </is>
      </c>
      <c r="D1442" s="187" t="n">
        <v>7.5</v>
      </c>
      <c r="E1442" s="187" t="inlineStr">
        <is>
          <t>HIGH</t>
        </is>
      </c>
      <c r="F1442" s="187" t="n">
        <v>3</v>
      </c>
      <c r="G1442" s="187" t="n">
        <v>3</v>
      </c>
      <c r="H1442" s="187" t="inlineStr">
        <is>
          <t>CRITICAL</t>
        </is>
      </c>
      <c r="I1442" s="187" t="n">
        <v>16.5</v>
      </c>
      <c r="J1442" s="187" t="inlineStr">
        <is>
          <t>NO</t>
        </is>
      </c>
      <c r="K1442" s="187" t="inlineStr">
        <is>
          <t>https://nvd.nist.gov/vuln/detail/CVE-2009-10005</t>
        </is>
      </c>
      <c r="L1442" s="187" t="inlineStr">
        <is>
          <t>2026-02-27 20:47</t>
        </is>
      </c>
      <c r="M1442" s="187" t="inlineStr">
        <is>
          <t>PATCH_IMMEDIATELY</t>
        </is>
      </c>
      <c r="N1442" s="187" t="inlineStr">
        <is>
          <t>https://nvd.nist.gov/vuln/detail/CVE-2009-10005</t>
        </is>
      </c>
      <c r="O1442" s="187" t="inlineStr">
        <is>
          <t>Patch CVE-2009-10005 immediately — weaponized Metasploit module in public release | Module: ContentKeeper Web Appliance mimencode File Access</t>
        </is>
      </c>
      <c r="P1442" s="187" t="inlineStr">
        <is>
          <t>See CVE details</t>
        </is>
      </c>
      <c r="Q1442" s="187" t="inlineStr">
        <is>
          <t>P2</t>
        </is>
      </c>
      <c r="R1442" s="187" t="inlineStr">
        <is>
          <t>🔍 Investigate and apply appropriate controls</t>
        </is>
      </c>
      <c r="S1442" s="187" t="inlineStr">
        <is>
          <t>Rapid7 MSF: ContentKeeper Web Appliance mimencode File Access | Module type: auxiliary_admin</t>
        </is>
      </c>
      <c r="T1442" s="187" t="n">
        <v>0</v>
      </c>
      <c r="U1442" s="187" t="n">
        <v>0</v>
      </c>
      <c r="V1442" s="187" t="inlineStr">
        <is>
          <t>T1203:Exploitation for Client Execution | T1190:Exploit Public-Facing Application</t>
        </is>
      </c>
      <c r="W1442" s="187" t="n">
        <v>2</v>
      </c>
      <c r="X1442" s="187" t="inlineStr">
        <is>
          <t>HIGH (72%)</t>
        </is>
      </c>
      <c r="Y1442" s="187" t="inlineStr">
        <is>
          <t>WEAPONIZED</t>
        </is>
      </c>
      <c r="Z1442" s="187" t="inlineStr">
        <is>
          <t>CHECK_VENDOR</t>
        </is>
      </c>
      <c r="AA1442" s="187" t="inlineStr">
        <is>
          <t>https://www.rapid7.com/db/search/?q=CVE-2009-10005</t>
        </is>
      </c>
      <c r="AB1442" s="187" t="inlineStr">
        <is>
          <t>NONE</t>
        </is>
      </c>
      <c r="AC1442" s="187" t="n">
        <v>0</v>
      </c>
      <c r="AD1442" s="187" t="inlineStr"/>
    </row>
    <row r="1443">
      <c r="A1443" s="187" t="inlineStr">
        <is>
          <t>MSF_MODULE</t>
        </is>
      </c>
      <c r="B1443" s="187" t="inlineStr">
        <is>
          <t>CVE-2013-10069</t>
        </is>
      </c>
      <c r="C1443" s="187" t="inlineStr">
        <is>
          <t>Metasploit module available: D-Link DIR-600 / DIR-300 Unauthenticated Remote Command Execution | Type: auxiliary_admin | CVE-2013-10069</t>
        </is>
      </c>
      <c r="D1443" s="187" t="n">
        <v>7.5</v>
      </c>
      <c r="E1443" s="187" t="inlineStr">
        <is>
          <t>HIGH</t>
        </is>
      </c>
      <c r="F1443" s="187" t="n">
        <v>3</v>
      </c>
      <c r="G1443" s="187" t="n">
        <v>3</v>
      </c>
      <c r="H1443" s="187" t="inlineStr">
        <is>
          <t>CRITICAL</t>
        </is>
      </c>
      <c r="I1443" s="187" t="n">
        <v>16.5</v>
      </c>
      <c r="J1443" s="187" t="inlineStr">
        <is>
          <t>NO</t>
        </is>
      </c>
      <c r="K1443" s="187" t="inlineStr">
        <is>
          <t>https://nvd.nist.gov/vuln/detail/CVE-2013-10069</t>
        </is>
      </c>
      <c r="L1443" s="187" t="inlineStr">
        <is>
          <t>2026-02-27 20:47</t>
        </is>
      </c>
      <c r="M1443" s="187" t="inlineStr">
        <is>
          <t>PATCH_IMMEDIATELY</t>
        </is>
      </c>
      <c r="N1443" s="187" t="inlineStr">
        <is>
          <t>https://nvd.nist.gov/vuln/detail/CVE-2013-10069</t>
        </is>
      </c>
      <c r="O1443" s="187" t="inlineStr">
        <is>
          <t>Patch CVE-2013-10069 immediately — weaponized Metasploit module in public release | Module: D-Link DIR-600 / DIR-300 Unauthenticated Remote Command Execution</t>
        </is>
      </c>
      <c r="P1443" s="187" t="inlineStr">
        <is>
          <t>See CVE details</t>
        </is>
      </c>
      <c r="Q1443" s="187" t="inlineStr">
        <is>
          <t>P2</t>
        </is>
      </c>
      <c r="R1443" s="187" t="inlineStr">
        <is>
          <t>🔍 Investigate and apply appropriate controls</t>
        </is>
      </c>
      <c r="S1443" s="187" t="inlineStr">
        <is>
          <t>Rapid7 MSF: D-Link DIR-600 / DIR-300 Unauthenticated Remote Command Execution | Module type: auxiliary_admin</t>
        </is>
      </c>
      <c r="T1443" s="187" t="n">
        <v>0</v>
      </c>
      <c r="U1443" s="187" t="n">
        <v>0</v>
      </c>
      <c r="V1443" s="187" t="inlineStr">
        <is>
          <t>T1203:Exploitation for Client Execution | T1190:Exploit Public-Facing Application</t>
        </is>
      </c>
      <c r="W1443" s="187" t="n">
        <v>2</v>
      </c>
      <c r="X1443" s="187" t="inlineStr">
        <is>
          <t>HIGH (72%)</t>
        </is>
      </c>
      <c r="Y1443" s="187" t="inlineStr">
        <is>
          <t>WEAPONIZED</t>
        </is>
      </c>
      <c r="Z1443" s="187" t="inlineStr">
        <is>
          <t>CHECK_VENDOR</t>
        </is>
      </c>
      <c r="AA1443" s="187" t="inlineStr">
        <is>
          <t>https://www.rapid7.com/db/search/?q=CVE-2013-10069</t>
        </is>
      </c>
      <c r="AB1443" s="187" t="inlineStr">
        <is>
          <t>NONE</t>
        </is>
      </c>
      <c r="AC1443" s="187" t="n">
        <v>0</v>
      </c>
      <c r="AD1443" s="187" t="inlineStr"/>
    </row>
    <row r="1444">
      <c r="A1444" s="187" t="inlineStr">
        <is>
          <t>MSF_MODULE</t>
        </is>
      </c>
      <c r="B1444" s="187" t="inlineStr">
        <is>
          <t>CVE-2013-2113</t>
        </is>
      </c>
      <c r="C1444" s="187" t="inlineStr">
        <is>
          <t>Metasploit module available: Foreman (Red Hat OpenStack/Satellite) users/create Mass Assignment | Type: auxiliary_admin | CVE-2013-2113</t>
        </is>
      </c>
      <c r="D1444" s="187" t="n">
        <v>7.5</v>
      </c>
      <c r="E1444" s="187" t="inlineStr">
        <is>
          <t>HIGH</t>
        </is>
      </c>
      <c r="F1444" s="187" t="n">
        <v>3</v>
      </c>
      <c r="G1444" s="187" t="n">
        <v>3</v>
      </c>
      <c r="H1444" s="187" t="inlineStr">
        <is>
          <t>CRITICAL</t>
        </is>
      </c>
      <c r="I1444" s="187" t="n">
        <v>16.5</v>
      </c>
      <c r="J1444" s="187" t="inlineStr">
        <is>
          <t>NO</t>
        </is>
      </c>
      <c r="K1444" s="187" t="inlineStr">
        <is>
          <t>https://nvd.nist.gov/vuln/detail/CVE-2013-2113</t>
        </is>
      </c>
      <c r="L1444" s="187" t="inlineStr">
        <is>
          <t>2026-02-27 20:47</t>
        </is>
      </c>
      <c r="M1444" s="187" t="inlineStr">
        <is>
          <t>PATCH_IMMEDIATELY</t>
        </is>
      </c>
      <c r="N1444" s="187" t="inlineStr">
        <is>
          <t>https://nvd.nist.gov/vuln/detail/CVE-2013-2113</t>
        </is>
      </c>
      <c r="O1444" s="187" t="inlineStr">
        <is>
          <t>Patch CVE-2013-2113 immediately — weaponized Metasploit module in public release | Module: Foreman (Red Hat OpenStack/Satellite) users/create Mass Assignment</t>
        </is>
      </c>
      <c r="P1444" s="187" t="inlineStr">
        <is>
          <t>See CVE details</t>
        </is>
      </c>
      <c r="Q1444" s="187" t="inlineStr">
        <is>
          <t>P2</t>
        </is>
      </c>
      <c r="R1444" s="187" t="inlineStr">
        <is>
          <t>🔍 Investigate and apply appropriate controls</t>
        </is>
      </c>
      <c r="S1444" s="187" t="inlineStr">
        <is>
          <t>Rapid7 MSF: Foreman (Red Hat OpenStack/Satellite) users/create Mass Assignment | Module type: auxiliary_admin</t>
        </is>
      </c>
      <c r="T1444" s="187" t="n">
        <v>0</v>
      </c>
      <c r="U1444" s="187" t="n">
        <v>0</v>
      </c>
      <c r="V1444" s="187" t="inlineStr">
        <is>
          <t>T1203:Exploitation for Client Execution | T1190:Exploit Public-Facing Application</t>
        </is>
      </c>
      <c r="W1444" s="187" t="n">
        <v>2</v>
      </c>
      <c r="X1444" s="187" t="inlineStr">
        <is>
          <t>HIGH (72%)</t>
        </is>
      </c>
      <c r="Y1444" s="187" t="inlineStr">
        <is>
          <t>WEAPONIZED</t>
        </is>
      </c>
      <c r="Z1444" s="187" t="inlineStr">
        <is>
          <t>CHECK_VENDOR</t>
        </is>
      </c>
      <c r="AA1444" s="187" t="inlineStr">
        <is>
          <t>https://www.rapid7.com/db/search/?q=CVE-2013-2113</t>
        </is>
      </c>
      <c r="AB1444" s="187" t="inlineStr">
        <is>
          <t>NONE</t>
        </is>
      </c>
      <c r="AC1444" s="187" t="n">
        <v>0</v>
      </c>
      <c r="AD1444" s="187" t="inlineStr"/>
    </row>
    <row r="1445">
      <c r="A1445" s="187" t="inlineStr">
        <is>
          <t>MSF_MODULE</t>
        </is>
      </c>
      <c r="B1445" s="187" t="inlineStr">
        <is>
          <t>CVE-2025-64446</t>
        </is>
      </c>
      <c r="C1445" s="187" t="inlineStr">
        <is>
          <t>Metasploit module available: Fortinet FortiWeb create new local admin | Type: auxiliary_admin | CVE-2025-64446</t>
        </is>
      </c>
      <c r="D1445" s="187" t="n">
        <v>7.5</v>
      </c>
      <c r="E1445" s="187" t="inlineStr">
        <is>
          <t>HIGH</t>
        </is>
      </c>
      <c r="F1445" s="187" t="n">
        <v>3</v>
      </c>
      <c r="G1445" s="187" t="n">
        <v>3</v>
      </c>
      <c r="H1445" s="187" t="inlineStr">
        <is>
          <t>CRITICAL</t>
        </is>
      </c>
      <c r="I1445" s="187" t="n">
        <v>16.5</v>
      </c>
      <c r="J1445" s="187" t="inlineStr">
        <is>
          <t>YES</t>
        </is>
      </c>
      <c r="K1445" s="187" t="inlineStr">
        <is>
          <t>https://nvd.nist.gov/vuln/detail/CVE-2025-64446</t>
        </is>
      </c>
      <c r="L1445" s="187" t="inlineStr">
        <is>
          <t>2026-02-27 20:47</t>
        </is>
      </c>
      <c r="M1445" s="187" t="inlineStr">
        <is>
          <t>PATCH_IMMEDIATELY</t>
        </is>
      </c>
      <c r="N1445" s="187" t="inlineStr">
        <is>
          <t>https://nvd.nist.gov/vuln/detail/CVE-2025-64446</t>
        </is>
      </c>
      <c r="O1445" s="187" t="inlineStr">
        <is>
          <t>Patch CVE-2025-64446 immediately — weaponized Metasploit module in public release | Module: Fortinet FortiWeb create new local admin</t>
        </is>
      </c>
      <c r="P1445" s="187" t="inlineStr">
        <is>
          <t>See CVE details</t>
        </is>
      </c>
      <c r="Q1445" s="187" t="inlineStr">
        <is>
          <t>P1</t>
        </is>
      </c>
      <c r="R1445" s="187" t="inlineStr">
        <is>
          <t>🔍 Investigate and apply appropriate controls</t>
        </is>
      </c>
      <c r="S1445" s="187" t="inlineStr">
        <is>
          <t>Rapid7 MSF: Fortinet FortiWeb create new local admin | Module type: auxiliary_admin</t>
        </is>
      </c>
      <c r="T1445" s="187" t="n">
        <v>0</v>
      </c>
      <c r="U1445" s="187" t="n">
        <v>0</v>
      </c>
      <c r="V1445" s="187" t="inlineStr">
        <is>
          <t>T1203:Exploitation for Client Execution | T1190:Exploit Public-Facing Application</t>
        </is>
      </c>
      <c r="W1445" s="187" t="n">
        <v>2</v>
      </c>
      <c r="X1445" s="187" t="inlineStr">
        <is>
          <t>HIGH (72%)</t>
        </is>
      </c>
      <c r="Y1445" s="187" t="inlineStr">
        <is>
          <t>WEAPONIZED</t>
        </is>
      </c>
      <c r="Z1445" s="187" t="inlineStr">
        <is>
          <t>CHECK_VENDOR</t>
        </is>
      </c>
      <c r="AA1445" s="187" t="inlineStr">
        <is>
          <t>https://www.rapid7.com/db/search/?q=CVE-2025-64446</t>
        </is>
      </c>
      <c r="AB1445" s="187" t="inlineStr">
        <is>
          <t>NONE</t>
        </is>
      </c>
      <c r="AC1445" s="187" t="n">
        <v>0</v>
      </c>
      <c r="AD1445" s="187" t="inlineStr"/>
    </row>
    <row r="1446">
      <c r="A1446" s="187" t="inlineStr">
        <is>
          <t>MSF_MODULE</t>
        </is>
      </c>
      <c r="B1446" s="187" t="inlineStr">
        <is>
          <t>CVE-2024-5276</t>
        </is>
      </c>
      <c r="C1446" s="187" t="inlineStr">
        <is>
          <t>Metasploit module available: Fortra FileCatalyst Workflow SQL Injection (CVE-2024-5276) | Type: auxiliary_admin | CVE-2024-5276</t>
        </is>
      </c>
      <c r="D1446" s="187" t="n">
        <v>7.5</v>
      </c>
      <c r="E1446" s="187" t="inlineStr">
        <is>
          <t>HIGH</t>
        </is>
      </c>
      <c r="F1446" s="187" t="n">
        <v>3</v>
      </c>
      <c r="G1446" s="187" t="n">
        <v>3</v>
      </c>
      <c r="H1446" s="187" t="inlineStr">
        <is>
          <t>CRITICAL</t>
        </is>
      </c>
      <c r="I1446" s="187" t="n">
        <v>16.5</v>
      </c>
      <c r="J1446" s="187" t="inlineStr">
        <is>
          <t>NO</t>
        </is>
      </c>
      <c r="K1446" s="187" t="inlineStr">
        <is>
          <t>https://nvd.nist.gov/vuln/detail/CVE-2024-5276</t>
        </is>
      </c>
      <c r="L1446" s="187" t="inlineStr">
        <is>
          <t>2026-02-27 20:47</t>
        </is>
      </c>
      <c r="M1446" s="187" t="inlineStr">
        <is>
          <t>PATCH_IMMEDIATELY</t>
        </is>
      </c>
      <c r="N1446" s="187" t="inlineStr">
        <is>
          <t>https://nvd.nist.gov/vuln/detail/CVE-2024-5276</t>
        </is>
      </c>
      <c r="O1446" s="187" t="inlineStr">
        <is>
          <t>Patch CVE-2024-5276 immediately — weaponized Metasploit module in public release | Module: Fortra FileCatalyst Workflow SQL Injection (CVE-2024-5276)</t>
        </is>
      </c>
      <c r="P1446" s="187" t="inlineStr">
        <is>
          <t>See CVE details</t>
        </is>
      </c>
      <c r="Q1446" s="187" t="inlineStr">
        <is>
          <t>P2</t>
        </is>
      </c>
      <c r="R1446" s="187" t="inlineStr">
        <is>
          <t>🔍 Investigate and apply appropriate controls</t>
        </is>
      </c>
      <c r="S1446" s="187" t="inlineStr">
        <is>
          <t>Rapid7 MSF: Fortra FileCatalyst Workflow SQL Injection (CVE-2024-5276) | Module type: auxiliary_admin</t>
        </is>
      </c>
      <c r="T1446" s="187" t="n">
        <v>0</v>
      </c>
      <c r="U1446" s="187" t="n">
        <v>0</v>
      </c>
      <c r="V1446" s="187" t="inlineStr">
        <is>
          <t>T1203:Exploitation for Client Execution | T1190:Exploit Public-Facing Application</t>
        </is>
      </c>
      <c r="W1446" s="187" t="n">
        <v>2</v>
      </c>
      <c r="X1446" s="187" t="inlineStr">
        <is>
          <t>HIGH (72%)</t>
        </is>
      </c>
      <c r="Y1446" s="187" t="inlineStr">
        <is>
          <t>WEAPONIZED</t>
        </is>
      </c>
      <c r="Z1446" s="187" t="inlineStr">
        <is>
          <t>CHECK_VENDOR</t>
        </is>
      </c>
      <c r="AA1446" s="187" t="inlineStr">
        <is>
          <t>https://www.rapid7.com/db/search/?q=CVE-2024-5276</t>
        </is>
      </c>
      <c r="AB1446" s="187" t="inlineStr">
        <is>
          <t>NONE</t>
        </is>
      </c>
      <c r="AC1446" s="187" t="n">
        <v>0</v>
      </c>
      <c r="AD1446" s="187" t="inlineStr"/>
    </row>
    <row r="1447">
      <c r="A1447" s="187" t="inlineStr">
        <is>
          <t>MSF_MODULE</t>
        </is>
      </c>
      <c r="B1447" s="187" t="inlineStr">
        <is>
          <t>CVE-2023-7028</t>
        </is>
      </c>
      <c r="C1447" s="187" t="inlineStr">
        <is>
          <t>Metasploit module available: GitLab Password Reset Account Takeover | Type: auxiliary_admin | CVE-2023-7028</t>
        </is>
      </c>
      <c r="D1447" s="187" t="n">
        <v>7.5</v>
      </c>
      <c r="E1447" s="187" t="inlineStr">
        <is>
          <t>HIGH</t>
        </is>
      </c>
      <c r="F1447" s="187" t="n">
        <v>3</v>
      </c>
      <c r="G1447" s="187" t="n">
        <v>3</v>
      </c>
      <c r="H1447" s="187" t="inlineStr">
        <is>
          <t>CRITICAL</t>
        </is>
      </c>
      <c r="I1447" s="187" t="n">
        <v>16.5</v>
      </c>
      <c r="J1447" s="187" t="inlineStr">
        <is>
          <t>YES</t>
        </is>
      </c>
      <c r="K1447" s="187" t="inlineStr">
        <is>
          <t>https://nvd.nist.gov/vuln/detail/CVE-2023-7028</t>
        </is>
      </c>
      <c r="L1447" s="187" t="inlineStr">
        <is>
          <t>2026-02-27 20:47</t>
        </is>
      </c>
      <c r="M1447" s="187" t="inlineStr">
        <is>
          <t>PATCH_IMMEDIATELY</t>
        </is>
      </c>
      <c r="N1447" s="187" t="inlineStr">
        <is>
          <t>https://nvd.nist.gov/vuln/detail/CVE-2023-7028</t>
        </is>
      </c>
      <c r="O1447" s="187" t="inlineStr">
        <is>
          <t>Patch CVE-2023-7028 immediately — weaponized Metasploit module in public release | Module: GitLab Password Reset Account Takeover</t>
        </is>
      </c>
      <c r="P1447" s="187" t="inlineStr">
        <is>
          <t>See CVE details</t>
        </is>
      </c>
      <c r="Q1447" s="187" t="inlineStr">
        <is>
          <t>P1</t>
        </is>
      </c>
      <c r="R1447" s="187" t="inlineStr">
        <is>
          <t>🔍 Investigate and apply appropriate controls</t>
        </is>
      </c>
      <c r="S1447" s="187" t="inlineStr">
        <is>
          <t>Rapid7 MSF: GitLab Password Reset Account Takeover | Module type: auxiliary_admin</t>
        </is>
      </c>
      <c r="T1447" s="187" t="n">
        <v>0</v>
      </c>
      <c r="U1447" s="187" t="n">
        <v>0</v>
      </c>
      <c r="V1447" s="187" t="inlineStr">
        <is>
          <t>T1203:Exploitation for Client Execution | T1190:Exploit Public-Facing Application</t>
        </is>
      </c>
      <c r="W1447" s="187" t="n">
        <v>2</v>
      </c>
      <c r="X1447" s="187" t="inlineStr">
        <is>
          <t>HIGH (72%)</t>
        </is>
      </c>
      <c r="Y1447" s="187" t="inlineStr">
        <is>
          <t>WEAPONIZED</t>
        </is>
      </c>
      <c r="Z1447" s="187" t="inlineStr">
        <is>
          <t>CHECK_VENDOR</t>
        </is>
      </c>
      <c r="AA1447" s="187" t="inlineStr">
        <is>
          <t>https://www.rapid7.com/db/search/?q=CVE-2023-7028</t>
        </is>
      </c>
      <c r="AB1447" s="187" t="inlineStr">
        <is>
          <t>NONE</t>
        </is>
      </c>
      <c r="AC1447" s="187" t="n">
        <v>0</v>
      </c>
      <c r="AD1447" s="187" t="inlineStr"/>
    </row>
    <row r="1448">
      <c r="A1448" s="187" t="inlineStr">
        <is>
          <t>MSF_MODULE</t>
        </is>
      </c>
      <c r="B1448" s="187" t="inlineStr">
        <is>
          <t>CVE-2018-5955</t>
        </is>
      </c>
      <c r="C1448" s="187" t="inlineStr">
        <is>
          <t>Metasploit module available: GitStack Unauthenticated REST API Requests | Type: auxiliary_admin | CVE-2018-5955</t>
        </is>
      </c>
      <c r="D1448" s="187" t="n">
        <v>7.5</v>
      </c>
      <c r="E1448" s="187" t="inlineStr">
        <is>
          <t>HIGH</t>
        </is>
      </c>
      <c r="F1448" s="187" t="n">
        <v>3</v>
      </c>
      <c r="G1448" s="187" t="n">
        <v>3</v>
      </c>
      <c r="H1448" s="187" t="inlineStr">
        <is>
          <t>CRITICAL</t>
        </is>
      </c>
      <c r="I1448" s="187" t="n">
        <v>16.5</v>
      </c>
      <c r="J1448" s="187" t="inlineStr">
        <is>
          <t>NO</t>
        </is>
      </c>
      <c r="K1448" s="187" t="inlineStr">
        <is>
          <t>https://nvd.nist.gov/vuln/detail/CVE-2018-5955</t>
        </is>
      </c>
      <c r="L1448" s="187" t="inlineStr">
        <is>
          <t>2026-02-27 20:47</t>
        </is>
      </c>
      <c r="M1448" s="187" t="inlineStr">
        <is>
          <t>PATCH_IMMEDIATELY</t>
        </is>
      </c>
      <c r="N1448" s="187" t="inlineStr">
        <is>
          <t>https://nvd.nist.gov/vuln/detail/CVE-2018-5955</t>
        </is>
      </c>
      <c r="O1448" s="187" t="inlineStr">
        <is>
          <t>Patch CVE-2018-5955 immediately — weaponized Metasploit module in public release | Module: GitStack Unauthenticated REST API Requests</t>
        </is>
      </c>
      <c r="P1448" s="187" t="inlineStr">
        <is>
          <t>See CVE details</t>
        </is>
      </c>
      <c r="Q1448" s="187" t="inlineStr">
        <is>
          <t>P2</t>
        </is>
      </c>
      <c r="R1448" s="187" t="inlineStr">
        <is>
          <t>🔍 Investigate and apply appropriate controls</t>
        </is>
      </c>
      <c r="S1448" s="187" t="inlineStr">
        <is>
          <t>Rapid7 MSF: GitStack Unauthenticated REST API Requests | Module type: auxiliary_admin</t>
        </is>
      </c>
      <c r="T1448" s="187" t="n">
        <v>0</v>
      </c>
      <c r="U1448" s="187" t="n">
        <v>0</v>
      </c>
      <c r="V1448" s="187" t="inlineStr">
        <is>
          <t>T1203:Exploitation for Client Execution | T1190:Exploit Public-Facing Application</t>
        </is>
      </c>
      <c r="W1448" s="187" t="n">
        <v>2</v>
      </c>
      <c r="X1448" s="187" t="inlineStr">
        <is>
          <t>HIGH (72%)</t>
        </is>
      </c>
      <c r="Y1448" s="187" t="inlineStr">
        <is>
          <t>WEAPONIZED</t>
        </is>
      </c>
      <c r="Z1448" s="187" t="inlineStr">
        <is>
          <t>CHECK_VENDOR</t>
        </is>
      </c>
      <c r="AA1448" s="187" t="inlineStr">
        <is>
          <t>https://www.rapid7.com/db/search/?q=CVE-2018-5955</t>
        </is>
      </c>
      <c r="AB1448" s="187" t="inlineStr">
        <is>
          <t>NONE</t>
        </is>
      </c>
      <c r="AC1448" s="187" t="n">
        <v>0</v>
      </c>
      <c r="AD1448" s="187" t="inlineStr"/>
    </row>
    <row r="1449">
      <c r="A1449" s="187" t="inlineStr">
        <is>
          <t>MSF_MODULE</t>
        </is>
      </c>
      <c r="B1449" s="187" t="inlineStr">
        <is>
          <t>CVE-2018-15727</t>
        </is>
      </c>
      <c r="C1449" s="187" t="inlineStr">
        <is>
          <t>Metasploit module available: Grafana 2.0 through 5.2.2 authentication bypass for LDAP and OAuth | Type: auxiliary_admin | CVE-2018-15727</t>
        </is>
      </c>
      <c r="D1449" s="187" t="n">
        <v>7.5</v>
      </c>
      <c r="E1449" s="187" t="inlineStr">
        <is>
          <t>HIGH</t>
        </is>
      </c>
      <c r="F1449" s="187" t="n">
        <v>3</v>
      </c>
      <c r="G1449" s="187" t="n">
        <v>3</v>
      </c>
      <c r="H1449" s="187" t="inlineStr">
        <is>
          <t>CRITICAL</t>
        </is>
      </c>
      <c r="I1449" s="187" t="n">
        <v>16.5</v>
      </c>
      <c r="J1449" s="187" t="inlineStr">
        <is>
          <t>NO</t>
        </is>
      </c>
      <c r="K1449" s="187" t="inlineStr">
        <is>
          <t>https://nvd.nist.gov/vuln/detail/CVE-2018-15727</t>
        </is>
      </c>
      <c r="L1449" s="187" t="inlineStr">
        <is>
          <t>2026-02-27 20:47</t>
        </is>
      </c>
      <c r="M1449" s="187" t="inlineStr">
        <is>
          <t>PATCH_IMMEDIATELY</t>
        </is>
      </c>
      <c r="N1449" s="187" t="inlineStr">
        <is>
          <t>https://nvd.nist.gov/vuln/detail/CVE-2018-15727</t>
        </is>
      </c>
      <c r="O1449" s="187" t="inlineStr">
        <is>
          <t>Patch CVE-2018-15727 immediately — weaponized Metasploit module in public release | Module: Grafana 2.0 through 5.2.2 authentication bypass for LDAP and OAuth</t>
        </is>
      </c>
      <c r="P1449" s="187" t="inlineStr">
        <is>
          <t>See CVE details</t>
        </is>
      </c>
      <c r="Q1449" s="187" t="inlineStr">
        <is>
          <t>P2</t>
        </is>
      </c>
      <c r="R1449" s="187" t="inlineStr">
        <is>
          <t>🔍 Investigate and apply appropriate controls</t>
        </is>
      </c>
      <c r="S1449" s="187" t="inlineStr">
        <is>
          <t>Rapid7 MSF: Grafana 2.0 through 5.2.2 authentication bypass for LDAP and OAuth | Module type: auxiliary_admin</t>
        </is>
      </c>
      <c r="T1449" s="187" t="n">
        <v>0</v>
      </c>
      <c r="U1449" s="187" t="n">
        <v>0</v>
      </c>
      <c r="V1449" s="187" t="inlineStr">
        <is>
          <t>T1203:Exploitation for Client Execution | T1190:Exploit Public-Facing Application</t>
        </is>
      </c>
      <c r="W1449" s="187" t="n">
        <v>2</v>
      </c>
      <c r="X1449" s="187" t="inlineStr">
        <is>
          <t>HIGH (72%)</t>
        </is>
      </c>
      <c r="Y1449" s="187" t="inlineStr">
        <is>
          <t>WEAPONIZED</t>
        </is>
      </c>
      <c r="Z1449" s="187" t="inlineStr">
        <is>
          <t>CHECK_VENDOR</t>
        </is>
      </c>
      <c r="AA1449" s="187" t="inlineStr">
        <is>
          <t>https://www.rapid7.com/db/search/?q=CVE-2018-15727</t>
        </is>
      </c>
      <c r="AB1449" s="187" t="inlineStr">
        <is>
          <t>NONE</t>
        </is>
      </c>
      <c r="AC1449" s="187" t="n">
        <v>0</v>
      </c>
      <c r="AD1449" s="187" t="inlineStr"/>
    </row>
    <row r="1450">
      <c r="A1450" s="187" t="inlineStr">
        <is>
          <t>MSF_MODULE</t>
        </is>
      </c>
      <c r="B1450" s="187" t="inlineStr">
        <is>
          <t>CVE-2017-7921</t>
        </is>
      </c>
      <c r="C1450" s="187" t="inlineStr">
        <is>
          <t>Metasploit module available: Hikvision IP Camera Unauthenticated Password Change Via Improper Authentication  | Type: auxiliary_admin | CVE-2017-7921</t>
        </is>
      </c>
      <c r="D1450" s="187" t="n">
        <v>7.5</v>
      </c>
      <c r="E1450" s="187" t="inlineStr">
        <is>
          <t>HIGH</t>
        </is>
      </c>
      <c r="F1450" s="187" t="n">
        <v>3</v>
      </c>
      <c r="G1450" s="187" t="n">
        <v>3</v>
      </c>
      <c r="H1450" s="187" t="inlineStr">
        <is>
          <t>CRITICAL</t>
        </is>
      </c>
      <c r="I1450" s="187" t="n">
        <v>16.5</v>
      </c>
      <c r="J1450" s="187" t="inlineStr">
        <is>
          <t>NO</t>
        </is>
      </c>
      <c r="K1450" s="187" t="inlineStr">
        <is>
          <t>https://nvd.nist.gov/vuln/detail/CVE-2017-7921</t>
        </is>
      </c>
      <c r="L1450" s="187" t="inlineStr">
        <is>
          <t>2026-02-27 20:47</t>
        </is>
      </c>
      <c r="M1450" s="187" t="inlineStr">
        <is>
          <t>PATCH_IMMEDIATELY</t>
        </is>
      </c>
      <c r="N1450" s="187" t="inlineStr">
        <is>
          <t>https://nvd.nist.gov/vuln/detail/CVE-2017-7921</t>
        </is>
      </c>
      <c r="O1450" s="187" t="inlineStr">
        <is>
          <t xml:space="preserve">Patch CVE-2017-7921 immediately — weaponized Metasploit module in public release | Module: Hikvision IP Camera Unauthenticated Password Change Via Improper Authentication </t>
        </is>
      </c>
      <c r="P1450" s="187" t="inlineStr">
        <is>
          <t>See CVE details</t>
        </is>
      </c>
      <c r="Q1450" s="187" t="inlineStr">
        <is>
          <t>P2</t>
        </is>
      </c>
      <c r="R1450" s="187" t="inlineStr">
        <is>
          <t>🔍 Investigate and apply appropriate controls</t>
        </is>
      </c>
      <c r="S1450" s="187" t="inlineStr">
        <is>
          <t>Rapid7 MSF: Hikvision IP Camera Unauthenticated Password Change Via Improper Authentication  | Module type: auxiliary_admin</t>
        </is>
      </c>
      <c r="T1450" s="187" t="n">
        <v>0</v>
      </c>
      <c r="U1450" s="187" t="n">
        <v>0</v>
      </c>
      <c r="V1450" s="187" t="inlineStr">
        <is>
          <t>T1203:Exploitation for Client Execution | T1190:Exploit Public-Facing Application</t>
        </is>
      </c>
      <c r="W1450" s="187" t="n">
        <v>2</v>
      </c>
      <c r="X1450" s="187" t="inlineStr">
        <is>
          <t>HIGH (72%)</t>
        </is>
      </c>
      <c r="Y1450" s="187" t="inlineStr">
        <is>
          <t>WEAPONIZED</t>
        </is>
      </c>
      <c r="Z1450" s="187" t="inlineStr">
        <is>
          <t>CHECK_VENDOR</t>
        </is>
      </c>
      <c r="AA1450" s="187" t="inlineStr">
        <is>
          <t>https://www.rapid7.com/db/search/?q=CVE-2017-7921</t>
        </is>
      </c>
      <c r="AB1450" s="187" t="inlineStr">
        <is>
          <t>NONE</t>
        </is>
      </c>
      <c r="AC1450" s="187" t="n">
        <v>0</v>
      </c>
      <c r="AD1450" s="187" t="inlineStr"/>
    </row>
    <row r="1451">
      <c r="A1451" s="187" t="inlineStr">
        <is>
          <t>MSF_MODULE</t>
        </is>
      </c>
      <c r="B1451" s="187" t="inlineStr">
        <is>
          <t>CVE-2020-4427</t>
        </is>
      </c>
      <c r="C1451" s="187" t="inlineStr">
        <is>
          <t>Metasploit module available: IBM Data Risk Manager Arbitrary File Download | Type: auxiliary_admin | CVE-2020-4427</t>
        </is>
      </c>
      <c r="D1451" s="187" t="n">
        <v>7.5</v>
      </c>
      <c r="E1451" s="187" t="inlineStr">
        <is>
          <t>HIGH</t>
        </is>
      </c>
      <c r="F1451" s="187" t="n">
        <v>3</v>
      </c>
      <c r="G1451" s="187" t="n">
        <v>3</v>
      </c>
      <c r="H1451" s="187" t="inlineStr">
        <is>
          <t>CRITICAL</t>
        </is>
      </c>
      <c r="I1451" s="187" t="n">
        <v>16.5</v>
      </c>
      <c r="J1451" s="187" t="inlineStr">
        <is>
          <t>YES</t>
        </is>
      </c>
      <c r="K1451" s="187" t="inlineStr">
        <is>
          <t>https://nvd.nist.gov/vuln/detail/CVE-2020-4427</t>
        </is>
      </c>
      <c r="L1451" s="187" t="inlineStr">
        <is>
          <t>2026-02-27 20:47</t>
        </is>
      </c>
      <c r="M1451" s="187" t="inlineStr">
        <is>
          <t>PATCH_IMMEDIATELY</t>
        </is>
      </c>
      <c r="N1451" s="187" t="inlineStr">
        <is>
          <t>https://nvd.nist.gov/vuln/detail/CVE-2020-4427</t>
        </is>
      </c>
      <c r="O1451" s="187" t="inlineStr">
        <is>
          <t>Patch CVE-2020-4427 immediately — weaponized Metasploit module in public release | Module: IBM Data Risk Manager Arbitrary File Download</t>
        </is>
      </c>
      <c r="P1451" s="187" t="inlineStr">
        <is>
          <t>See CVE details</t>
        </is>
      </c>
      <c r="Q1451" s="187" t="inlineStr">
        <is>
          <t>P1</t>
        </is>
      </c>
      <c r="R1451" s="187" t="inlineStr">
        <is>
          <t>🔍 Investigate and apply appropriate controls</t>
        </is>
      </c>
      <c r="S1451" s="187" t="inlineStr">
        <is>
          <t>Rapid7 MSF: IBM Data Risk Manager Arbitrary File Download | Module type: auxiliary_admin</t>
        </is>
      </c>
      <c r="T1451" s="187" t="n">
        <v>0</v>
      </c>
      <c r="U1451" s="187" t="n">
        <v>0</v>
      </c>
      <c r="V1451" s="187" t="inlineStr">
        <is>
          <t>T1203:Exploitation for Client Execution | T1190:Exploit Public-Facing Application</t>
        </is>
      </c>
      <c r="W1451" s="187" t="n">
        <v>2</v>
      </c>
      <c r="X1451" s="187" t="inlineStr">
        <is>
          <t>HIGH (72%)</t>
        </is>
      </c>
      <c r="Y1451" s="187" t="inlineStr">
        <is>
          <t>WEAPONIZED</t>
        </is>
      </c>
      <c r="Z1451" s="187" t="inlineStr">
        <is>
          <t>CHECK_VENDOR</t>
        </is>
      </c>
      <c r="AA1451" s="187" t="inlineStr">
        <is>
          <t>https://www.rapid7.com/db/search/?q=CVE-2020-4427</t>
        </is>
      </c>
      <c r="AB1451" s="187" t="inlineStr">
        <is>
          <t>NONE</t>
        </is>
      </c>
      <c r="AC1451" s="187" t="n">
        <v>0</v>
      </c>
      <c r="AD1451" s="187" t="inlineStr"/>
    </row>
    <row r="1452">
      <c r="A1452" s="187" t="inlineStr">
        <is>
          <t>MSF_MODULE</t>
        </is>
      </c>
      <c r="B1452" s="187" t="inlineStr">
        <is>
          <t>CVE-2020-4429</t>
        </is>
      </c>
      <c r="C1452" s="187" t="inlineStr">
        <is>
          <t>Metasploit module available: IBM Data Risk Manager Arbitrary File Download | Type: auxiliary_admin | CVE-2020-4429</t>
        </is>
      </c>
      <c r="D1452" s="187" t="n">
        <v>7.5</v>
      </c>
      <c r="E1452" s="187" t="inlineStr">
        <is>
          <t>HIGH</t>
        </is>
      </c>
      <c r="F1452" s="187" t="n">
        <v>3</v>
      </c>
      <c r="G1452" s="187" t="n">
        <v>3</v>
      </c>
      <c r="H1452" s="187" t="inlineStr">
        <is>
          <t>CRITICAL</t>
        </is>
      </c>
      <c r="I1452" s="187" t="n">
        <v>16.5</v>
      </c>
      <c r="J1452" s="187" t="inlineStr">
        <is>
          <t>NO</t>
        </is>
      </c>
      <c r="K1452" s="187" t="inlineStr">
        <is>
          <t>https://nvd.nist.gov/vuln/detail/CVE-2020-4429</t>
        </is>
      </c>
      <c r="L1452" s="187" t="inlineStr">
        <is>
          <t>2026-02-27 20:47</t>
        </is>
      </c>
      <c r="M1452" s="187" t="inlineStr">
        <is>
          <t>PATCH_IMMEDIATELY</t>
        </is>
      </c>
      <c r="N1452" s="187" t="inlineStr">
        <is>
          <t>https://nvd.nist.gov/vuln/detail/CVE-2020-4429</t>
        </is>
      </c>
      <c r="O1452" s="187" t="inlineStr">
        <is>
          <t>Patch CVE-2020-4429 immediately — weaponized Metasploit module in public release | Module: IBM Data Risk Manager Arbitrary File Download</t>
        </is>
      </c>
      <c r="P1452" s="187" t="inlineStr">
        <is>
          <t>See CVE details</t>
        </is>
      </c>
      <c r="Q1452" s="187" t="inlineStr">
        <is>
          <t>P2</t>
        </is>
      </c>
      <c r="R1452" s="187" t="inlineStr">
        <is>
          <t>🔍 Investigate and apply appropriate controls</t>
        </is>
      </c>
      <c r="S1452" s="187" t="inlineStr">
        <is>
          <t>Rapid7 MSF: IBM Data Risk Manager Arbitrary File Download | Module type: auxiliary_admin</t>
        </is>
      </c>
      <c r="T1452" s="187" t="n">
        <v>0</v>
      </c>
      <c r="U1452" s="187" t="n">
        <v>0</v>
      </c>
      <c r="V1452" s="187" t="inlineStr">
        <is>
          <t>T1203:Exploitation for Client Execution | T1190:Exploit Public-Facing Application</t>
        </is>
      </c>
      <c r="W1452" s="187" t="n">
        <v>2</v>
      </c>
      <c r="X1452" s="187" t="inlineStr">
        <is>
          <t>HIGH (72%)</t>
        </is>
      </c>
      <c r="Y1452" s="187" t="inlineStr">
        <is>
          <t>WEAPONIZED</t>
        </is>
      </c>
      <c r="Z1452" s="187" t="inlineStr">
        <is>
          <t>CHECK_VENDOR</t>
        </is>
      </c>
      <c r="AA1452" s="187" t="inlineStr">
        <is>
          <t>https://www.rapid7.com/db/search/?q=CVE-2020-4429</t>
        </is>
      </c>
      <c r="AB1452" s="187" t="inlineStr">
        <is>
          <t>NONE</t>
        </is>
      </c>
      <c r="AC1452" s="187" t="n">
        <v>0</v>
      </c>
      <c r="AD1452" s="187" t="inlineStr"/>
    </row>
    <row r="1453">
      <c r="A1453" s="187" t="inlineStr">
        <is>
          <t>MSF_MODULE</t>
        </is>
      </c>
      <c r="B1453" s="187" t="inlineStr">
        <is>
          <t>CVE-2023-6329</t>
        </is>
      </c>
      <c r="C1453" s="187" t="inlineStr">
        <is>
          <t>Metasploit module available: Control iD iDSecure Authentication Bypass (CVE-2023-6329) | Type: auxiliary_admin | CVE-2023-6329</t>
        </is>
      </c>
      <c r="D1453" s="187" t="n">
        <v>7.5</v>
      </c>
      <c r="E1453" s="187" t="inlineStr">
        <is>
          <t>HIGH</t>
        </is>
      </c>
      <c r="F1453" s="187" t="n">
        <v>3</v>
      </c>
      <c r="G1453" s="187" t="n">
        <v>3</v>
      </c>
      <c r="H1453" s="187" t="inlineStr">
        <is>
          <t>CRITICAL</t>
        </is>
      </c>
      <c r="I1453" s="187" t="n">
        <v>16.5</v>
      </c>
      <c r="J1453" s="187" t="inlineStr">
        <is>
          <t>NO</t>
        </is>
      </c>
      <c r="K1453" s="187" t="inlineStr">
        <is>
          <t>https://nvd.nist.gov/vuln/detail/CVE-2023-6329</t>
        </is>
      </c>
      <c r="L1453" s="187" t="inlineStr">
        <is>
          <t>2026-02-27 20:47</t>
        </is>
      </c>
      <c r="M1453" s="187" t="inlineStr">
        <is>
          <t>PATCH_IMMEDIATELY</t>
        </is>
      </c>
      <c r="N1453" s="187" t="inlineStr">
        <is>
          <t>https://nvd.nist.gov/vuln/detail/CVE-2023-6329</t>
        </is>
      </c>
      <c r="O1453" s="187" t="inlineStr">
        <is>
          <t>Patch CVE-2023-6329 immediately — weaponized Metasploit module in public release | Module: Control iD iDSecure Authentication Bypass (CVE-2023-6329)</t>
        </is>
      </c>
      <c r="P1453" s="187" t="inlineStr">
        <is>
          <t>See CVE details</t>
        </is>
      </c>
      <c r="Q1453" s="187" t="inlineStr">
        <is>
          <t>P2</t>
        </is>
      </c>
      <c r="R1453" s="187" t="inlineStr">
        <is>
          <t>🔍 Investigate and apply appropriate controls</t>
        </is>
      </c>
      <c r="S1453" s="187" t="inlineStr">
        <is>
          <t>Rapid7 MSF: Control iD iDSecure Authentication Bypass (CVE-2023-6329) | Module type: auxiliary_admin</t>
        </is>
      </c>
      <c r="T1453" s="187" t="n">
        <v>0</v>
      </c>
      <c r="U1453" s="187" t="n">
        <v>0</v>
      </c>
      <c r="V1453" s="187" t="inlineStr">
        <is>
          <t>T1203:Exploitation for Client Execution | T1190:Exploit Public-Facing Application</t>
        </is>
      </c>
      <c r="W1453" s="187" t="n">
        <v>2</v>
      </c>
      <c r="X1453" s="187" t="inlineStr">
        <is>
          <t>HIGH (72%)</t>
        </is>
      </c>
      <c r="Y1453" s="187" t="inlineStr">
        <is>
          <t>WEAPONIZED</t>
        </is>
      </c>
      <c r="Z1453" s="187" t="inlineStr">
        <is>
          <t>CHECK_VENDOR</t>
        </is>
      </c>
      <c r="AA1453" s="187" t="inlineStr">
        <is>
          <t>https://www.rapid7.com/db/search/?q=CVE-2023-6329</t>
        </is>
      </c>
      <c r="AB1453" s="187" t="inlineStr">
        <is>
          <t>NONE</t>
        </is>
      </c>
      <c r="AC1453" s="187" t="n">
        <v>0</v>
      </c>
      <c r="AD1453" s="187" t="inlineStr"/>
    </row>
    <row r="1454">
      <c r="A1454" s="187" t="inlineStr">
        <is>
          <t>MSF_MODULE</t>
        </is>
      </c>
      <c r="B1454" s="187" t="inlineStr">
        <is>
          <t>CVE-2010-2731</t>
        </is>
      </c>
      <c r="C1454" s="187" t="inlineStr">
        <is>
          <t>Metasploit module available: MS10-065 Microsoft IIS 5 NTFS Stream Authentication Bypass | Type: auxiliary_admin | CVE-2010-2731</t>
        </is>
      </c>
      <c r="D1454" s="187" t="n">
        <v>7.5</v>
      </c>
      <c r="E1454" s="187" t="inlineStr">
        <is>
          <t>HIGH</t>
        </is>
      </c>
      <c r="F1454" s="187" t="n">
        <v>3</v>
      </c>
      <c r="G1454" s="187" t="n">
        <v>3</v>
      </c>
      <c r="H1454" s="187" t="inlineStr">
        <is>
          <t>CRITICAL</t>
        </is>
      </c>
      <c r="I1454" s="187" t="n">
        <v>16.5</v>
      </c>
      <c r="J1454" s="187" t="inlineStr">
        <is>
          <t>NO</t>
        </is>
      </c>
      <c r="K1454" s="187" t="inlineStr">
        <is>
          <t>https://nvd.nist.gov/vuln/detail/CVE-2010-2731</t>
        </is>
      </c>
      <c r="L1454" s="187" t="inlineStr">
        <is>
          <t>2026-02-27 20:47</t>
        </is>
      </c>
      <c r="M1454" s="187" t="inlineStr">
        <is>
          <t>PATCH_IMMEDIATELY</t>
        </is>
      </c>
      <c r="N1454" s="187" t="inlineStr">
        <is>
          <t>https://nvd.nist.gov/vuln/detail/CVE-2010-2731</t>
        </is>
      </c>
      <c r="O1454" s="187" t="inlineStr">
        <is>
          <t>Patch CVE-2010-2731 immediately — weaponized Metasploit module in public release | Module: MS10-065 Microsoft IIS 5 NTFS Stream Authentication Bypass</t>
        </is>
      </c>
      <c r="P1454" s="187" t="inlineStr">
        <is>
          <t>See CVE details</t>
        </is>
      </c>
      <c r="Q1454" s="187" t="inlineStr">
        <is>
          <t>P2</t>
        </is>
      </c>
      <c r="R1454" s="187" t="inlineStr">
        <is>
          <t>🔍 Investigate and apply appropriate controls</t>
        </is>
      </c>
      <c r="S1454" s="187" t="inlineStr">
        <is>
          <t>Rapid7 MSF: MS10-065 Microsoft IIS 5 NTFS Stream Authentication Bypass | Module type: auxiliary_admin</t>
        </is>
      </c>
      <c r="T1454" s="187" t="n">
        <v>0</v>
      </c>
      <c r="U1454" s="187" t="n">
        <v>0</v>
      </c>
      <c r="V1454" s="187" t="inlineStr">
        <is>
          <t>T1203:Exploitation for Client Execution | T1190:Exploit Public-Facing Application</t>
        </is>
      </c>
      <c r="W1454" s="187" t="n">
        <v>2</v>
      </c>
      <c r="X1454" s="187" t="inlineStr">
        <is>
          <t>HIGH (72%)</t>
        </is>
      </c>
      <c r="Y1454" s="187" t="inlineStr">
        <is>
          <t>WEAPONIZED</t>
        </is>
      </c>
      <c r="Z1454" s="187" t="inlineStr">
        <is>
          <t>CHECK_VENDOR</t>
        </is>
      </c>
      <c r="AA1454" s="187" t="inlineStr">
        <is>
          <t>https://www.rapid7.com/db/search/?q=CVE-2010-2731</t>
        </is>
      </c>
      <c r="AB1454" s="187" t="inlineStr">
        <is>
          <t>NONE</t>
        </is>
      </c>
      <c r="AC1454" s="187" t="n">
        <v>0</v>
      </c>
      <c r="AD1454" s="187" t="inlineStr"/>
    </row>
    <row r="1455">
      <c r="A1455" s="187" t="inlineStr">
        <is>
          <t>MSF_MODULE</t>
        </is>
      </c>
      <c r="B1455" s="187" t="inlineStr">
        <is>
          <t>CVE-2007-4915</t>
        </is>
      </c>
      <c r="C1455" s="187" t="inlineStr">
        <is>
          <t>Metasploit module available: Intersil (Boa) HTTPd Basic Authentication Password Reset | Type: auxiliary_admin | CVE-2007-4915</t>
        </is>
      </c>
      <c r="D1455" s="187" t="n">
        <v>7.5</v>
      </c>
      <c r="E1455" s="187" t="inlineStr">
        <is>
          <t>HIGH</t>
        </is>
      </c>
      <c r="F1455" s="187" t="n">
        <v>3</v>
      </c>
      <c r="G1455" s="187" t="n">
        <v>3</v>
      </c>
      <c r="H1455" s="187" t="inlineStr">
        <is>
          <t>CRITICAL</t>
        </is>
      </c>
      <c r="I1455" s="187" t="n">
        <v>16.5</v>
      </c>
      <c r="J1455" s="187" t="inlineStr">
        <is>
          <t>NO</t>
        </is>
      </c>
      <c r="K1455" s="187" t="inlineStr">
        <is>
          <t>https://nvd.nist.gov/vuln/detail/CVE-2007-4915</t>
        </is>
      </c>
      <c r="L1455" s="187" t="inlineStr">
        <is>
          <t>2026-02-27 20:47</t>
        </is>
      </c>
      <c r="M1455" s="187" t="inlineStr">
        <is>
          <t>PATCH_IMMEDIATELY</t>
        </is>
      </c>
      <c r="N1455" s="187" t="inlineStr">
        <is>
          <t>https://nvd.nist.gov/vuln/detail/CVE-2007-4915</t>
        </is>
      </c>
      <c r="O1455" s="187" t="inlineStr">
        <is>
          <t>Patch CVE-2007-4915 immediately — weaponized Metasploit module in public release | Module: Intersil (Boa) HTTPd Basic Authentication Password Reset</t>
        </is>
      </c>
      <c r="P1455" s="187" t="inlineStr">
        <is>
          <t>See CVE details</t>
        </is>
      </c>
      <c r="Q1455" s="187" t="inlineStr">
        <is>
          <t>P2</t>
        </is>
      </c>
      <c r="R1455" s="187" t="inlineStr">
        <is>
          <t>🔍 Investigate and apply appropriate controls</t>
        </is>
      </c>
      <c r="S1455" s="187" t="inlineStr">
        <is>
          <t>Rapid7 MSF: Intersil (Boa) HTTPd Basic Authentication Password Reset | Module type: auxiliary_admin</t>
        </is>
      </c>
      <c r="T1455" s="187" t="n">
        <v>0</v>
      </c>
      <c r="U1455" s="187" t="n">
        <v>0</v>
      </c>
      <c r="V1455" s="187" t="inlineStr">
        <is>
          <t>T1203:Exploitation for Client Execution | T1190:Exploit Public-Facing Application</t>
        </is>
      </c>
      <c r="W1455" s="187" t="n">
        <v>2</v>
      </c>
      <c r="X1455" s="187" t="inlineStr">
        <is>
          <t>HIGH (72%)</t>
        </is>
      </c>
      <c r="Y1455" s="187" t="inlineStr">
        <is>
          <t>WEAPONIZED</t>
        </is>
      </c>
      <c r="Z1455" s="187" t="inlineStr">
        <is>
          <t>CHECK_VENDOR</t>
        </is>
      </c>
      <c r="AA1455" s="187" t="inlineStr">
        <is>
          <t>https://www.rapid7.com/db/search/?q=CVE-2007-4915</t>
        </is>
      </c>
      <c r="AB1455" s="187" t="inlineStr">
        <is>
          <t>NONE</t>
        </is>
      </c>
      <c r="AC1455" s="187" t="n">
        <v>0</v>
      </c>
      <c r="AD1455" s="187" t="inlineStr"/>
    </row>
    <row r="1456">
      <c r="A1456" s="187" t="inlineStr">
        <is>
          <t>MSF_MODULE</t>
        </is>
      </c>
      <c r="B1456" s="187" t="inlineStr">
        <is>
          <t>CVE-2009-2367</t>
        </is>
      </c>
      <c r="C1456" s="187" t="inlineStr">
        <is>
          <t>Metasploit module available: Iomega StorCenter Pro NAS Web Authentication Bypass | Type: auxiliary_admin | CVE-2009-2367</t>
        </is>
      </c>
      <c r="D1456" s="187" t="n">
        <v>7.5</v>
      </c>
      <c r="E1456" s="187" t="inlineStr">
        <is>
          <t>HIGH</t>
        </is>
      </c>
      <c r="F1456" s="187" t="n">
        <v>3</v>
      </c>
      <c r="G1456" s="187" t="n">
        <v>3</v>
      </c>
      <c r="H1456" s="187" t="inlineStr">
        <is>
          <t>CRITICAL</t>
        </is>
      </c>
      <c r="I1456" s="187" t="n">
        <v>16.5</v>
      </c>
      <c r="J1456" s="187" t="inlineStr">
        <is>
          <t>NO</t>
        </is>
      </c>
      <c r="K1456" s="187" t="inlineStr">
        <is>
          <t>https://nvd.nist.gov/vuln/detail/CVE-2009-2367</t>
        </is>
      </c>
      <c r="L1456" s="187" t="inlineStr">
        <is>
          <t>2026-02-27 20:47</t>
        </is>
      </c>
      <c r="M1456" s="187" t="inlineStr">
        <is>
          <t>PATCH_IMMEDIATELY</t>
        </is>
      </c>
      <c r="N1456" s="187" t="inlineStr">
        <is>
          <t>https://nvd.nist.gov/vuln/detail/CVE-2009-2367</t>
        </is>
      </c>
      <c r="O1456" s="187" t="inlineStr">
        <is>
          <t>Patch CVE-2009-2367 immediately — weaponized Metasploit module in public release | Module: Iomega StorCenter Pro NAS Web Authentication Bypass</t>
        </is>
      </c>
      <c r="P1456" s="187" t="inlineStr">
        <is>
          <t>See CVE details</t>
        </is>
      </c>
      <c r="Q1456" s="187" t="inlineStr">
        <is>
          <t>P2</t>
        </is>
      </c>
      <c r="R1456" s="187" t="inlineStr">
        <is>
          <t>🔍 Investigate and apply appropriate controls</t>
        </is>
      </c>
      <c r="S1456" s="187" t="inlineStr">
        <is>
          <t>Rapid7 MSF: Iomega StorCenter Pro NAS Web Authentication Bypass | Module type: auxiliary_admin</t>
        </is>
      </c>
      <c r="T1456" s="187" t="n">
        <v>0</v>
      </c>
      <c r="U1456" s="187" t="n">
        <v>0</v>
      </c>
      <c r="V1456" s="187" t="inlineStr">
        <is>
          <t>T1203:Exploitation for Client Execution | T1190:Exploit Public-Facing Application</t>
        </is>
      </c>
      <c r="W1456" s="187" t="n">
        <v>2</v>
      </c>
      <c r="X1456" s="187" t="inlineStr">
        <is>
          <t>HIGH (72%)</t>
        </is>
      </c>
      <c r="Y1456" s="187" t="inlineStr">
        <is>
          <t>WEAPONIZED</t>
        </is>
      </c>
      <c r="Z1456" s="187" t="inlineStr">
        <is>
          <t>CHECK_VENDOR</t>
        </is>
      </c>
      <c r="AA1456" s="187" t="inlineStr">
        <is>
          <t>https://www.rapid7.com/db/search/?q=CVE-2009-2367</t>
        </is>
      </c>
      <c r="AB1456" s="187" t="inlineStr">
        <is>
          <t>NONE</t>
        </is>
      </c>
      <c r="AC1456" s="187" t="n">
        <v>0</v>
      </c>
      <c r="AD1456" s="187" t="inlineStr"/>
    </row>
    <row r="1457">
      <c r="A1457" s="187" t="inlineStr">
        <is>
          <t>MSF_MODULE</t>
        </is>
      </c>
      <c r="B1457" s="187" t="inlineStr">
        <is>
          <t>CVE-2024-7593</t>
        </is>
      </c>
      <c r="C1457" s="187" t="inlineStr">
        <is>
          <t>Metasploit module available: Ivanti Virtual Traffic Manager Authentication Bypass (CVE-2024-7593) | Type: auxiliary_admin | CVE-2024-7593</t>
        </is>
      </c>
      <c r="D1457" s="187" t="n">
        <v>7.5</v>
      </c>
      <c r="E1457" s="187" t="inlineStr">
        <is>
          <t>HIGH</t>
        </is>
      </c>
      <c r="F1457" s="187" t="n">
        <v>3</v>
      </c>
      <c r="G1457" s="187" t="n">
        <v>3</v>
      </c>
      <c r="H1457" s="187" t="inlineStr">
        <is>
          <t>CRITICAL</t>
        </is>
      </c>
      <c r="I1457" s="187" t="n">
        <v>16.5</v>
      </c>
      <c r="J1457" s="187" t="inlineStr">
        <is>
          <t>YES</t>
        </is>
      </c>
      <c r="K1457" s="187" t="inlineStr">
        <is>
          <t>https://nvd.nist.gov/vuln/detail/CVE-2024-7593</t>
        </is>
      </c>
      <c r="L1457" s="187" t="inlineStr">
        <is>
          <t>2026-02-27 20:47</t>
        </is>
      </c>
      <c r="M1457" s="187" t="inlineStr">
        <is>
          <t>PATCH_IMMEDIATELY</t>
        </is>
      </c>
      <c r="N1457" s="187" t="inlineStr">
        <is>
          <t>https://nvd.nist.gov/vuln/detail/CVE-2024-7593</t>
        </is>
      </c>
      <c r="O1457" s="187" t="inlineStr">
        <is>
          <t>Patch CVE-2024-7593 immediately — weaponized Metasploit module in public release | Module: Ivanti Virtual Traffic Manager Authentication Bypass (CVE-2024-7593)</t>
        </is>
      </c>
      <c r="P1457" s="187" t="inlineStr">
        <is>
          <t>See CVE details</t>
        </is>
      </c>
      <c r="Q1457" s="187" t="inlineStr">
        <is>
          <t>P1</t>
        </is>
      </c>
      <c r="R1457" s="187" t="inlineStr">
        <is>
          <t>🔍 Investigate and apply appropriate controls</t>
        </is>
      </c>
      <c r="S1457" s="187" t="inlineStr">
        <is>
          <t>Rapid7 MSF: Ivanti Virtual Traffic Manager Authentication Bypass (CVE-2024-7593) | Module type: auxiliary_admin</t>
        </is>
      </c>
      <c r="T1457" s="187" t="n">
        <v>0</v>
      </c>
      <c r="U1457" s="187" t="n">
        <v>0</v>
      </c>
      <c r="V1457" s="187" t="inlineStr">
        <is>
          <t>T1203:Exploitation for Client Execution | T1190:Exploit Public-Facing Application</t>
        </is>
      </c>
      <c r="W1457" s="187" t="n">
        <v>2</v>
      </c>
      <c r="X1457" s="187" t="inlineStr">
        <is>
          <t>HIGH (72%)</t>
        </is>
      </c>
      <c r="Y1457" s="187" t="inlineStr">
        <is>
          <t>WEAPONIZED</t>
        </is>
      </c>
      <c r="Z1457" s="187" t="inlineStr">
        <is>
          <t>CHECK_VENDOR</t>
        </is>
      </c>
      <c r="AA1457" s="187" t="inlineStr">
        <is>
          <t>https://www.rapid7.com/db/search/?q=CVE-2024-7593</t>
        </is>
      </c>
      <c r="AB1457" s="187" t="inlineStr">
        <is>
          <t>NONE</t>
        </is>
      </c>
      <c r="AC1457" s="187" t="n">
        <v>0</v>
      </c>
      <c r="AD1457" s="187" t="inlineStr"/>
    </row>
    <row r="1458">
      <c r="A1458" s="187" t="inlineStr">
        <is>
          <t>MSF_MODULE</t>
        </is>
      </c>
      <c r="B1458" s="187" t="inlineStr">
        <is>
          <t>CVE-2010-0738</t>
        </is>
      </c>
      <c r="C1458" s="187" t="inlineStr">
        <is>
          <t>Metasploit module available: JBoss JMX Console Beanshell Deployer WAR Upload and Deployment | Type: auxiliary_admin | CVE-2010-0738</t>
        </is>
      </c>
      <c r="D1458" s="187" t="n">
        <v>7.5</v>
      </c>
      <c r="E1458" s="187" t="inlineStr">
        <is>
          <t>HIGH</t>
        </is>
      </c>
      <c r="F1458" s="187" t="n">
        <v>3</v>
      </c>
      <c r="G1458" s="187" t="n">
        <v>3</v>
      </c>
      <c r="H1458" s="187" t="inlineStr">
        <is>
          <t>CRITICAL</t>
        </is>
      </c>
      <c r="I1458" s="187" t="n">
        <v>16.5</v>
      </c>
      <c r="J1458" s="187" t="inlineStr">
        <is>
          <t>YES</t>
        </is>
      </c>
      <c r="K1458" s="187" t="inlineStr">
        <is>
          <t>https://nvd.nist.gov/vuln/detail/CVE-2010-0738</t>
        </is>
      </c>
      <c r="L1458" s="187" t="inlineStr">
        <is>
          <t>2026-02-27 20:47</t>
        </is>
      </c>
      <c r="M1458" s="187" t="inlineStr">
        <is>
          <t>PATCH_IMMEDIATELY</t>
        </is>
      </c>
      <c r="N1458" s="187" t="inlineStr">
        <is>
          <t>https://nvd.nist.gov/vuln/detail/CVE-2010-0738</t>
        </is>
      </c>
      <c r="O1458" s="187" t="inlineStr">
        <is>
          <t>Patch CVE-2010-0738 immediately — weaponized Metasploit module in public release | Module: JBoss JMX Console Beanshell Deployer WAR Upload and Deployment</t>
        </is>
      </c>
      <c r="P1458" s="187" t="inlineStr">
        <is>
          <t>See CVE details</t>
        </is>
      </c>
      <c r="Q1458" s="187" t="inlineStr">
        <is>
          <t>P1</t>
        </is>
      </c>
      <c r="R1458" s="187" t="inlineStr">
        <is>
          <t>🔍 Investigate and apply appropriate controls</t>
        </is>
      </c>
      <c r="S1458" s="187" t="inlineStr">
        <is>
          <t>Rapid7 MSF: JBoss JMX Console Beanshell Deployer WAR Upload and Deployment | Module type: auxiliary_admin</t>
        </is>
      </c>
      <c r="T1458" s="187" t="n">
        <v>0.9085</v>
      </c>
      <c r="U1458" s="187" t="n">
        <v>0.9962</v>
      </c>
      <c r="V1458" s="187" t="inlineStr">
        <is>
          <t>T1203:Exploitation for Client Execution | T1190:Exploit Public-Facing Application</t>
        </is>
      </c>
      <c r="W1458" s="187" t="n">
        <v>2</v>
      </c>
      <c r="X1458" s="187" t="inlineStr">
        <is>
          <t>HIGH (72%)</t>
        </is>
      </c>
      <c r="Y1458" s="187" t="inlineStr">
        <is>
          <t>WEAPONIZED</t>
        </is>
      </c>
      <c r="Z1458" s="187" t="inlineStr">
        <is>
          <t>CHECK_VENDOR</t>
        </is>
      </c>
      <c r="AA1458" s="187" t="inlineStr">
        <is>
          <t>https://www.rapid7.com/db/search/?q=CVE-2010-0738</t>
        </is>
      </c>
      <c r="AB1458" s="187" t="inlineStr">
        <is>
          <t>NONE</t>
        </is>
      </c>
      <c r="AC1458" s="187" t="n">
        <v>0</v>
      </c>
      <c r="AD1458" s="187" t="inlineStr"/>
    </row>
    <row r="1459">
      <c r="A1459" s="187" t="inlineStr">
        <is>
          <t>MSF_MODULE</t>
        </is>
      </c>
      <c r="B1459" s="187" t="inlineStr">
        <is>
          <t>CVE-2010-1871</t>
        </is>
      </c>
      <c r="C1459" s="187" t="inlineStr">
        <is>
          <t>Metasploit module available: JBoss Seam 2 Remote Command Execution | Type: auxiliary_admin | CVE-2010-1871</t>
        </is>
      </c>
      <c r="D1459" s="187" t="n">
        <v>7.5</v>
      </c>
      <c r="E1459" s="187" t="inlineStr">
        <is>
          <t>HIGH</t>
        </is>
      </c>
      <c r="F1459" s="187" t="n">
        <v>3</v>
      </c>
      <c r="G1459" s="187" t="n">
        <v>3</v>
      </c>
      <c r="H1459" s="187" t="inlineStr">
        <is>
          <t>CRITICAL</t>
        </is>
      </c>
      <c r="I1459" s="187" t="n">
        <v>16.5</v>
      </c>
      <c r="J1459" s="187" t="inlineStr">
        <is>
          <t>YES</t>
        </is>
      </c>
      <c r="K1459" s="187" t="inlineStr">
        <is>
          <t>https://nvd.nist.gov/vuln/detail/CVE-2010-1871</t>
        </is>
      </c>
      <c r="L1459" s="187" t="inlineStr">
        <is>
          <t>2026-02-27 20:47</t>
        </is>
      </c>
      <c r="M1459" s="187" t="inlineStr">
        <is>
          <t>PATCH_IMMEDIATELY</t>
        </is>
      </c>
      <c r="N1459" s="187" t="inlineStr">
        <is>
          <t>https://nvd.nist.gov/vuln/detail/CVE-2010-1871</t>
        </is>
      </c>
      <c r="O1459" s="187" t="inlineStr">
        <is>
          <t>Patch CVE-2010-1871 immediately — weaponized Metasploit module in public release | Module: JBoss Seam 2 Remote Command Execution</t>
        </is>
      </c>
      <c r="P1459" s="187" t="inlineStr">
        <is>
          <t>See CVE details</t>
        </is>
      </c>
      <c r="Q1459" s="187" t="inlineStr">
        <is>
          <t>P1</t>
        </is>
      </c>
      <c r="R1459" s="187" t="inlineStr">
        <is>
          <t>🔍 Investigate and apply appropriate controls</t>
        </is>
      </c>
      <c r="S1459" s="187" t="inlineStr">
        <is>
          <t>Rapid7 MSF: JBoss Seam 2 Remote Command Execution | Module type: auxiliary_admin</t>
        </is>
      </c>
      <c r="T1459" s="187" t="n">
        <v>0.9379</v>
      </c>
      <c r="U1459" s="187" t="n">
        <v>0.9985000000000001</v>
      </c>
      <c r="V1459" s="187" t="inlineStr">
        <is>
          <t>T1203:Exploitation for Client Execution | T1190:Exploit Public-Facing Application</t>
        </is>
      </c>
      <c r="W1459" s="187" t="n">
        <v>2</v>
      </c>
      <c r="X1459" s="187" t="inlineStr">
        <is>
          <t>HIGH (72%)</t>
        </is>
      </c>
      <c r="Y1459" s="187" t="inlineStr">
        <is>
          <t>WEAPONIZED</t>
        </is>
      </c>
      <c r="Z1459" s="187" t="inlineStr">
        <is>
          <t>CHECK_VENDOR</t>
        </is>
      </c>
      <c r="AA1459" s="187" t="inlineStr">
        <is>
          <t>https://www.rapid7.com/db/search/?q=CVE-2010-1871</t>
        </is>
      </c>
      <c r="AB1459" s="187" t="inlineStr">
        <is>
          <t>NONE</t>
        </is>
      </c>
      <c r="AC1459" s="187" t="n">
        <v>0</v>
      </c>
      <c r="AD1459" s="187" t="inlineStr"/>
    </row>
    <row r="1460">
      <c r="A1460" s="187" t="inlineStr">
        <is>
          <t>MSF_MODULE</t>
        </is>
      </c>
      <c r="B1460" s="187" t="inlineStr">
        <is>
          <t>CVE-2016-8869</t>
        </is>
      </c>
      <c r="C1460" s="187" t="inlineStr">
        <is>
          <t>Metasploit module available: Joomla Account Creation and Privilege Escalation | Type: auxiliary_admin | CVE-2016-8869</t>
        </is>
      </c>
      <c r="D1460" s="187" t="n">
        <v>7.5</v>
      </c>
      <c r="E1460" s="187" t="inlineStr">
        <is>
          <t>HIGH</t>
        </is>
      </c>
      <c r="F1460" s="187" t="n">
        <v>3</v>
      </c>
      <c r="G1460" s="187" t="n">
        <v>3</v>
      </c>
      <c r="H1460" s="187" t="inlineStr">
        <is>
          <t>CRITICAL</t>
        </is>
      </c>
      <c r="I1460" s="187" t="n">
        <v>16.5</v>
      </c>
      <c r="J1460" s="187" t="inlineStr">
        <is>
          <t>NO</t>
        </is>
      </c>
      <c r="K1460" s="187" t="inlineStr">
        <is>
          <t>https://nvd.nist.gov/vuln/detail/CVE-2016-8869</t>
        </is>
      </c>
      <c r="L1460" s="187" t="inlineStr">
        <is>
          <t>2026-02-27 20:47</t>
        </is>
      </c>
      <c r="M1460" s="187" t="inlineStr">
        <is>
          <t>PATCH_IMMEDIATELY</t>
        </is>
      </c>
      <c r="N1460" s="187" t="inlineStr">
        <is>
          <t>https://nvd.nist.gov/vuln/detail/CVE-2016-8869</t>
        </is>
      </c>
      <c r="O1460" s="187" t="inlineStr">
        <is>
          <t>Patch CVE-2016-8869 immediately — weaponized Metasploit module in public release | Module: Joomla Account Creation and Privilege Escalation</t>
        </is>
      </c>
      <c r="P1460" s="187" t="inlineStr">
        <is>
          <t>See CVE details</t>
        </is>
      </c>
      <c r="Q1460" s="187" t="inlineStr">
        <is>
          <t>P2</t>
        </is>
      </c>
      <c r="R1460" s="187" t="inlineStr">
        <is>
          <t>🔍 Investigate and apply appropriate controls</t>
        </is>
      </c>
      <c r="S1460" s="187" t="inlineStr">
        <is>
          <t>Rapid7 MSF: Joomla Account Creation and Privilege Escalation | Module type: auxiliary_admin</t>
        </is>
      </c>
      <c r="T1460" s="187" t="n">
        <v>0</v>
      </c>
      <c r="U1460" s="187" t="n">
        <v>0</v>
      </c>
      <c r="V1460" s="187" t="inlineStr">
        <is>
          <t>T1203:Exploitation for Client Execution | T1190:Exploit Public-Facing Application</t>
        </is>
      </c>
      <c r="W1460" s="187" t="n">
        <v>2</v>
      </c>
      <c r="X1460" s="187" t="inlineStr">
        <is>
          <t>HIGH (72%)</t>
        </is>
      </c>
      <c r="Y1460" s="187" t="inlineStr">
        <is>
          <t>WEAPONIZED</t>
        </is>
      </c>
      <c r="Z1460" s="187" t="inlineStr">
        <is>
          <t>CHECK_VENDOR</t>
        </is>
      </c>
      <c r="AA1460" s="187" t="inlineStr">
        <is>
          <t>https://www.rapid7.com/db/search/?q=CVE-2016-8869</t>
        </is>
      </c>
      <c r="AB1460" s="187" t="inlineStr">
        <is>
          <t>NONE</t>
        </is>
      </c>
      <c r="AC1460" s="187" t="n">
        <v>0</v>
      </c>
      <c r="AD1460" s="187" t="inlineStr"/>
    </row>
    <row r="1461">
      <c r="A1461" s="187" t="inlineStr">
        <is>
          <t>MSF_MODULE</t>
        </is>
      </c>
      <c r="B1461" s="187" t="inlineStr">
        <is>
          <t>CVE-2016-8870</t>
        </is>
      </c>
      <c r="C1461" s="187" t="inlineStr">
        <is>
          <t>Metasploit module available: Joomla Account Creation and Privilege Escalation | Type: auxiliary_admin | CVE-2016-8870</t>
        </is>
      </c>
      <c r="D1461" s="187" t="n">
        <v>7.5</v>
      </c>
      <c r="E1461" s="187" t="inlineStr">
        <is>
          <t>HIGH</t>
        </is>
      </c>
      <c r="F1461" s="187" t="n">
        <v>3</v>
      </c>
      <c r="G1461" s="187" t="n">
        <v>3</v>
      </c>
      <c r="H1461" s="187" t="inlineStr">
        <is>
          <t>CRITICAL</t>
        </is>
      </c>
      <c r="I1461" s="187" t="n">
        <v>16.5</v>
      </c>
      <c r="J1461" s="187" t="inlineStr">
        <is>
          <t>NO</t>
        </is>
      </c>
      <c r="K1461" s="187" t="inlineStr">
        <is>
          <t>https://nvd.nist.gov/vuln/detail/CVE-2016-8870</t>
        </is>
      </c>
      <c r="L1461" s="187" t="inlineStr">
        <is>
          <t>2026-02-27 20:47</t>
        </is>
      </c>
      <c r="M1461" s="187" t="inlineStr">
        <is>
          <t>PATCH_IMMEDIATELY</t>
        </is>
      </c>
      <c r="N1461" s="187" t="inlineStr">
        <is>
          <t>https://nvd.nist.gov/vuln/detail/CVE-2016-8870</t>
        </is>
      </c>
      <c r="O1461" s="187" t="inlineStr">
        <is>
          <t>Patch CVE-2016-8870 immediately — weaponized Metasploit module in public release | Module: Joomla Account Creation and Privilege Escalation</t>
        </is>
      </c>
      <c r="P1461" s="187" t="inlineStr">
        <is>
          <t>See CVE details</t>
        </is>
      </c>
      <c r="Q1461" s="187" t="inlineStr">
        <is>
          <t>P2</t>
        </is>
      </c>
      <c r="R1461" s="187" t="inlineStr">
        <is>
          <t>🔍 Investigate and apply appropriate controls</t>
        </is>
      </c>
      <c r="S1461" s="187" t="inlineStr">
        <is>
          <t>Rapid7 MSF: Joomla Account Creation and Privilege Escalation | Module type: auxiliary_admin</t>
        </is>
      </c>
      <c r="T1461" s="187" t="n">
        <v>0</v>
      </c>
      <c r="U1461" s="187" t="n">
        <v>0</v>
      </c>
      <c r="V1461" s="187" t="inlineStr">
        <is>
          <t>T1203:Exploitation for Client Execution | T1190:Exploit Public-Facing Application</t>
        </is>
      </c>
      <c r="W1461" s="187" t="n">
        <v>2</v>
      </c>
      <c r="X1461" s="187" t="inlineStr">
        <is>
          <t>HIGH (72%)</t>
        </is>
      </c>
      <c r="Y1461" s="187" t="inlineStr">
        <is>
          <t>WEAPONIZED</t>
        </is>
      </c>
      <c r="Z1461" s="187" t="inlineStr">
        <is>
          <t>CHECK_VENDOR</t>
        </is>
      </c>
      <c r="AA1461" s="187" t="inlineStr">
        <is>
          <t>https://www.rapid7.com/db/search/?q=CVE-2016-8870</t>
        </is>
      </c>
      <c r="AB1461" s="187" t="inlineStr">
        <is>
          <t>NONE</t>
        </is>
      </c>
      <c r="AC1461" s="187" t="n">
        <v>0</v>
      </c>
      <c r="AD1461" s="187" t="inlineStr"/>
    </row>
    <row r="1462">
      <c r="A1462" s="187" t="inlineStr">
        <is>
          <t>MSF_MODULE</t>
        </is>
      </c>
      <c r="B1462" s="187" t="inlineStr">
        <is>
          <t>CVE-2015-6922</t>
        </is>
      </c>
      <c r="C1462" s="187" t="inlineStr">
        <is>
          <t>Metasploit module available: Kaseya VSA Master Administrator Account Creation | Type: auxiliary_admin | CVE-2015-6922</t>
        </is>
      </c>
      <c r="D1462" s="187" t="n">
        <v>7.5</v>
      </c>
      <c r="E1462" s="187" t="inlineStr">
        <is>
          <t>HIGH</t>
        </is>
      </c>
      <c r="F1462" s="187" t="n">
        <v>3</v>
      </c>
      <c r="G1462" s="187" t="n">
        <v>3</v>
      </c>
      <c r="H1462" s="187" t="inlineStr">
        <is>
          <t>CRITICAL</t>
        </is>
      </c>
      <c r="I1462" s="187" t="n">
        <v>16.5</v>
      </c>
      <c r="J1462" s="187" t="inlineStr">
        <is>
          <t>NO</t>
        </is>
      </c>
      <c r="K1462" s="187" t="inlineStr">
        <is>
          <t>https://nvd.nist.gov/vuln/detail/CVE-2015-6922</t>
        </is>
      </c>
      <c r="L1462" s="187" t="inlineStr">
        <is>
          <t>2026-02-27 20:47</t>
        </is>
      </c>
      <c r="M1462" s="187" t="inlineStr">
        <is>
          <t>PATCH_IMMEDIATELY</t>
        </is>
      </c>
      <c r="N1462" s="187" t="inlineStr">
        <is>
          <t>https://nvd.nist.gov/vuln/detail/CVE-2015-6922</t>
        </is>
      </c>
      <c r="O1462" s="187" t="inlineStr">
        <is>
          <t>Patch CVE-2015-6922 immediately — weaponized Metasploit module in public release | Module: Kaseya VSA Master Administrator Account Creation</t>
        </is>
      </c>
      <c r="P1462" s="187" t="inlineStr">
        <is>
          <t>See CVE details</t>
        </is>
      </c>
      <c r="Q1462" s="187" t="inlineStr">
        <is>
          <t>P2</t>
        </is>
      </c>
      <c r="R1462" s="187" t="inlineStr">
        <is>
          <t>🔍 Investigate and apply appropriate controls</t>
        </is>
      </c>
      <c r="S1462" s="187" t="inlineStr">
        <is>
          <t>Rapid7 MSF: Kaseya VSA Master Administrator Account Creation | Module type: auxiliary_admin</t>
        </is>
      </c>
      <c r="T1462" s="187" t="n">
        <v>0</v>
      </c>
      <c r="U1462" s="187" t="n">
        <v>0</v>
      </c>
      <c r="V1462" s="187" t="inlineStr">
        <is>
          <t>T1203:Exploitation for Client Execution | T1190:Exploit Public-Facing Application</t>
        </is>
      </c>
      <c r="W1462" s="187" t="n">
        <v>2</v>
      </c>
      <c r="X1462" s="187" t="inlineStr">
        <is>
          <t>HIGH (72%)</t>
        </is>
      </c>
      <c r="Y1462" s="187" t="inlineStr">
        <is>
          <t>WEAPONIZED</t>
        </is>
      </c>
      <c r="Z1462" s="187" t="inlineStr">
        <is>
          <t>CHECK_VENDOR</t>
        </is>
      </c>
      <c r="AA1462" s="187" t="inlineStr">
        <is>
          <t>https://www.rapid7.com/db/search/?q=CVE-2015-6922</t>
        </is>
      </c>
      <c r="AB1462" s="187" t="inlineStr">
        <is>
          <t>NONE</t>
        </is>
      </c>
      <c r="AC1462" s="187" t="n">
        <v>0</v>
      </c>
      <c r="AD1462" s="187" t="inlineStr"/>
    </row>
    <row r="1463">
      <c r="A1463" s="187" t="inlineStr">
        <is>
          <t>MSF_MODULE</t>
        </is>
      </c>
      <c r="B1463" s="187" t="inlineStr">
        <is>
          <t>CVE-2013-2143</t>
        </is>
      </c>
      <c r="C1463" s="187" t="inlineStr">
        <is>
          <t>Metasploit module available: Katello (Red Hat Satellite) users/update_roles Missing Authorization | Type: auxiliary_admin | CVE-2013-2143</t>
        </is>
      </c>
      <c r="D1463" s="187" t="n">
        <v>7.5</v>
      </c>
      <c r="E1463" s="187" t="inlineStr">
        <is>
          <t>HIGH</t>
        </is>
      </c>
      <c r="F1463" s="187" t="n">
        <v>3</v>
      </c>
      <c r="G1463" s="187" t="n">
        <v>3</v>
      </c>
      <c r="H1463" s="187" t="inlineStr">
        <is>
          <t>CRITICAL</t>
        </is>
      </c>
      <c r="I1463" s="187" t="n">
        <v>16.5</v>
      </c>
      <c r="J1463" s="187" t="inlineStr">
        <is>
          <t>NO</t>
        </is>
      </c>
      <c r="K1463" s="187" t="inlineStr">
        <is>
          <t>https://nvd.nist.gov/vuln/detail/CVE-2013-2143</t>
        </is>
      </c>
      <c r="L1463" s="187" t="inlineStr">
        <is>
          <t>2026-02-27 20:47</t>
        </is>
      </c>
      <c r="M1463" s="187" t="inlineStr">
        <is>
          <t>PATCH_IMMEDIATELY</t>
        </is>
      </c>
      <c r="N1463" s="187" t="inlineStr">
        <is>
          <t>https://nvd.nist.gov/vuln/detail/CVE-2013-2143</t>
        </is>
      </c>
      <c r="O1463" s="187" t="inlineStr">
        <is>
          <t>Patch CVE-2013-2143 immediately — weaponized Metasploit module in public release | Module: Katello (Red Hat Satellite) users/update_roles Missing Authorization</t>
        </is>
      </c>
      <c r="P1463" s="187" t="inlineStr">
        <is>
          <t>See CVE details</t>
        </is>
      </c>
      <c r="Q1463" s="187" t="inlineStr">
        <is>
          <t>P2</t>
        </is>
      </c>
      <c r="R1463" s="187" t="inlineStr">
        <is>
          <t>🔍 Investigate and apply appropriate controls</t>
        </is>
      </c>
      <c r="S1463" s="187" t="inlineStr">
        <is>
          <t>Rapid7 MSF: Katello (Red Hat Satellite) users/update_roles Missing Authorization | Module type: auxiliary_admin</t>
        </is>
      </c>
      <c r="T1463" s="187" t="n">
        <v>0</v>
      </c>
      <c r="U1463" s="187" t="n">
        <v>0</v>
      </c>
      <c r="V1463" s="187" t="inlineStr">
        <is>
          <t>T1203:Exploitation for Client Execution | T1190:Exploit Public-Facing Application</t>
        </is>
      </c>
      <c r="W1463" s="187" t="n">
        <v>2</v>
      </c>
      <c r="X1463" s="187" t="inlineStr">
        <is>
          <t>HIGH (72%)</t>
        </is>
      </c>
      <c r="Y1463" s="187" t="inlineStr">
        <is>
          <t>WEAPONIZED</t>
        </is>
      </c>
      <c r="Z1463" s="187" t="inlineStr">
        <is>
          <t>CHECK_VENDOR</t>
        </is>
      </c>
      <c r="AA1463" s="187" t="inlineStr">
        <is>
          <t>https://www.rapid7.com/db/search/?q=CVE-2013-2143</t>
        </is>
      </c>
      <c r="AB1463" s="187" t="inlineStr">
        <is>
          <t>NONE</t>
        </is>
      </c>
      <c r="AC1463" s="187" t="n">
        <v>0</v>
      </c>
      <c r="AD1463" s="187" t="inlineStr"/>
    </row>
    <row r="1464">
      <c r="A1464" s="187" t="inlineStr">
        <is>
          <t>MSF_MODULE</t>
        </is>
      </c>
      <c r="B1464" s="187" t="inlineStr">
        <is>
          <t>CVE-2025-34120</t>
        </is>
      </c>
      <c r="C1464" s="187" t="inlineStr">
        <is>
          <t>Metasploit module available: Limesurvey Unauthenticated File Download | Type: auxiliary_admin | CVE-2025-34120</t>
        </is>
      </c>
      <c r="D1464" s="187" t="n">
        <v>7.5</v>
      </c>
      <c r="E1464" s="187" t="inlineStr">
        <is>
          <t>HIGH</t>
        </is>
      </c>
      <c r="F1464" s="187" t="n">
        <v>3</v>
      </c>
      <c r="G1464" s="187" t="n">
        <v>3</v>
      </c>
      <c r="H1464" s="187" t="inlineStr">
        <is>
          <t>CRITICAL</t>
        </is>
      </c>
      <c r="I1464" s="187" t="n">
        <v>16.5</v>
      </c>
      <c r="J1464" s="187" t="inlineStr">
        <is>
          <t>NO</t>
        </is>
      </c>
      <c r="K1464" s="187" t="inlineStr">
        <is>
          <t>https://nvd.nist.gov/vuln/detail/CVE-2025-34120</t>
        </is>
      </c>
      <c r="L1464" s="187" t="inlineStr">
        <is>
          <t>2026-02-27 20:47</t>
        </is>
      </c>
      <c r="M1464" s="187" t="inlineStr">
        <is>
          <t>PATCH_IMMEDIATELY</t>
        </is>
      </c>
      <c r="N1464" s="187" t="inlineStr">
        <is>
          <t>https://nvd.nist.gov/vuln/detail/CVE-2025-34120</t>
        </is>
      </c>
      <c r="O1464" s="187" t="inlineStr">
        <is>
          <t>Patch CVE-2025-34120 immediately — weaponized Metasploit module in public release | Module: Limesurvey Unauthenticated File Download</t>
        </is>
      </c>
      <c r="P1464" s="187" t="inlineStr">
        <is>
          <t>See CVE details</t>
        </is>
      </c>
      <c r="Q1464" s="187" t="inlineStr">
        <is>
          <t>P2</t>
        </is>
      </c>
      <c r="R1464" s="187" t="inlineStr">
        <is>
          <t>🔍 Investigate and apply appropriate controls</t>
        </is>
      </c>
      <c r="S1464" s="187" t="inlineStr">
        <is>
          <t>Rapid7 MSF: Limesurvey Unauthenticated File Download | Module type: auxiliary_admin</t>
        </is>
      </c>
      <c r="T1464" s="187" t="n">
        <v>0</v>
      </c>
      <c r="U1464" s="187" t="n">
        <v>0</v>
      </c>
      <c r="V1464" s="187" t="inlineStr">
        <is>
          <t>T1203:Exploitation for Client Execution | T1190:Exploit Public-Facing Application</t>
        </is>
      </c>
      <c r="W1464" s="187" t="n">
        <v>2</v>
      </c>
      <c r="X1464" s="187" t="inlineStr">
        <is>
          <t>HIGH (72%)</t>
        </is>
      </c>
      <c r="Y1464" s="187" t="inlineStr">
        <is>
          <t>WEAPONIZED</t>
        </is>
      </c>
      <c r="Z1464" s="187" t="inlineStr">
        <is>
          <t>CHECK_VENDOR</t>
        </is>
      </c>
      <c r="AA1464" s="187" t="inlineStr">
        <is>
          <t>https://www.rapid7.com/db/search/?q=CVE-2025-34120</t>
        </is>
      </c>
      <c r="AB1464" s="187" t="inlineStr">
        <is>
          <t>NONE</t>
        </is>
      </c>
      <c r="AC1464" s="187" t="n">
        <v>0</v>
      </c>
      <c r="AD1464" s="187" t="inlineStr"/>
    </row>
    <row r="1465">
      <c r="A1465" s="187" t="inlineStr">
        <is>
          <t>MSF_MODULE</t>
        </is>
      </c>
      <c r="B1465" s="187" t="inlineStr">
        <is>
          <t>CVE-2018-3953</t>
        </is>
      </c>
      <c r="C1465" s="187" t="inlineStr">
        <is>
          <t>Metasploit module available: Linksys E1500/E2500 Remote Command Execution | Type: auxiliary_admin | CVE-2018-3953</t>
        </is>
      </c>
      <c r="D1465" s="187" t="n">
        <v>7.5</v>
      </c>
      <c r="E1465" s="187" t="inlineStr">
        <is>
          <t>HIGH</t>
        </is>
      </c>
      <c r="F1465" s="187" t="n">
        <v>3</v>
      </c>
      <c r="G1465" s="187" t="n">
        <v>3</v>
      </c>
      <c r="H1465" s="187" t="inlineStr">
        <is>
          <t>CRITICAL</t>
        </is>
      </c>
      <c r="I1465" s="187" t="n">
        <v>16.5</v>
      </c>
      <c r="J1465" s="187" t="inlineStr">
        <is>
          <t>NO</t>
        </is>
      </c>
      <c r="K1465" s="187" t="inlineStr">
        <is>
          <t>https://nvd.nist.gov/vuln/detail/CVE-2018-3953</t>
        </is>
      </c>
      <c r="L1465" s="187" t="inlineStr">
        <is>
          <t>2026-02-27 20:47</t>
        </is>
      </c>
      <c r="M1465" s="187" t="inlineStr">
        <is>
          <t>PATCH_IMMEDIATELY</t>
        </is>
      </c>
      <c r="N1465" s="187" t="inlineStr">
        <is>
          <t>https://nvd.nist.gov/vuln/detail/CVE-2018-3953</t>
        </is>
      </c>
      <c r="O1465" s="187" t="inlineStr">
        <is>
          <t>Patch CVE-2018-3953 immediately — weaponized Metasploit module in public release | Module: Linksys E1500/E2500 Remote Command Execution</t>
        </is>
      </c>
      <c r="P1465" s="187" t="inlineStr">
        <is>
          <t>See CVE details</t>
        </is>
      </c>
      <c r="Q1465" s="187" t="inlineStr">
        <is>
          <t>P2</t>
        </is>
      </c>
      <c r="R1465" s="187" t="inlineStr">
        <is>
          <t>🔍 Investigate and apply appropriate controls</t>
        </is>
      </c>
      <c r="S1465" s="187" t="inlineStr">
        <is>
          <t>Rapid7 MSF: Linksys E1500/E2500 Remote Command Execution | Module type: auxiliary_admin</t>
        </is>
      </c>
      <c r="T1465" s="187" t="n">
        <v>0</v>
      </c>
      <c r="U1465" s="187" t="n">
        <v>0</v>
      </c>
      <c r="V1465" s="187" t="inlineStr">
        <is>
          <t>T1203:Exploitation for Client Execution | T1190:Exploit Public-Facing Application</t>
        </is>
      </c>
      <c r="W1465" s="187" t="n">
        <v>2</v>
      </c>
      <c r="X1465" s="187" t="inlineStr">
        <is>
          <t>HIGH (72%)</t>
        </is>
      </c>
      <c r="Y1465" s="187" t="inlineStr">
        <is>
          <t>WEAPONIZED</t>
        </is>
      </c>
      <c r="Z1465" s="187" t="inlineStr">
        <is>
          <t>CHECK_VENDOR</t>
        </is>
      </c>
      <c r="AA1465" s="187" t="inlineStr">
        <is>
          <t>https://www.rapid7.com/db/search/?q=CVE-2018-3953</t>
        </is>
      </c>
      <c r="AB1465" s="187" t="inlineStr">
        <is>
          <t>NONE</t>
        </is>
      </c>
      <c r="AC1465" s="187" t="n">
        <v>0</v>
      </c>
      <c r="AD1465" s="187" t="inlineStr"/>
    </row>
    <row r="1466">
      <c r="A1466" s="188" t="inlineStr">
        <is>
          <t>CENSYS_EXPOSED</t>
        </is>
      </c>
      <c r="B1466" s="188" t="inlineStr">
        <is>
          <t>54.213.93.141</t>
        </is>
      </c>
      <c r="C1466" s="188" t="inlineStr">
        <is>
          <t>Exposed RDP: 54.213.93.141 | Unknown | Location: Unknown</t>
        </is>
      </c>
      <c r="D1466" s="188" t="n">
        <v>6.5</v>
      </c>
      <c r="E1466" s="188" t="inlineStr">
        <is>
          <t>MEDIUM</t>
        </is>
      </c>
      <c r="F1466" s="188" t="n">
        <v>2</v>
      </c>
      <c r="G1466" s="188" t="n">
        <v>2</v>
      </c>
      <c r="H1466" s="188" t="inlineStr">
        <is>
          <t>MEDIUM</t>
        </is>
      </c>
      <c r="I1466" s="188" t="n">
        <v>10.5</v>
      </c>
      <c r="J1466" s="188" t="inlineStr">
        <is>
          <t>NO</t>
        </is>
      </c>
      <c r="K1466" s="188" t="inlineStr">
        <is>
          <t>https://leakix.net/host/54.213.93.141</t>
        </is>
      </c>
      <c r="L1466" s="188" t="inlineStr">
        <is>
          <t>2026-02-27 20:47</t>
        </is>
      </c>
      <c r="M1466" s="188" t="inlineStr">
        <is>
          <t>Restrict access</t>
        </is>
      </c>
      <c r="N1466" s="188" t="inlineStr">
        <is>
          <t>https://leakix.net/host/54.213.93.141</t>
        </is>
      </c>
      <c r="O1466" s="188" t="inlineStr">
        <is>
          <t>Restrict RDP access | Firewall rule | VPN required</t>
        </is>
      </c>
      <c r="P1466" s="188" t="inlineStr">
        <is>
          <t>Unknown</t>
        </is>
      </c>
      <c r="Q1466" s="188" t="inlineStr">
        <is>
          <t>P4</t>
        </is>
      </c>
      <c r="R1466" s="188" t="inlineStr">
        <is>
          <t>🔍 Investigate and apply appropriate controls</t>
        </is>
      </c>
      <c r="S1466" s="188" t="inlineStr">
        <is>
          <t>See LeakIX for exposed service details</t>
        </is>
      </c>
      <c r="T1466" s="188" t="n">
        <v>0</v>
      </c>
      <c r="U1466" s="188" t="n">
        <v>0</v>
      </c>
      <c r="V1466" s="188" t="inlineStr">
        <is>
          <t>T1021:Remote Services | T1133:External Remote Services</t>
        </is>
      </c>
      <c r="W1466" s="188" t="n">
        <v>1</v>
      </c>
      <c r="X1466" s="188" t="inlineStr">
        <is>
          <t>LOW (40%)</t>
        </is>
      </c>
      <c r="Y1466" s="188" t="inlineStr">
        <is>
          <t>NONE</t>
        </is>
      </c>
      <c r="Z1466" s="188" t="inlineStr">
        <is>
          <t>NONE</t>
        </is>
      </c>
      <c r="AA1466" s="188" t="inlineStr">
        <is>
          <t>NONE</t>
        </is>
      </c>
      <c r="AB1466" s="188" t="inlineStr">
        <is>
          <t>NONE</t>
        </is>
      </c>
      <c r="AC1466" s="188" t="n">
        <v>0</v>
      </c>
      <c r="AD1466" s="188" t="inlineStr"/>
    </row>
    <row r="1467">
      <c r="A1467" s="188" t="inlineStr">
        <is>
          <t>CENSYS_EXPOSED</t>
        </is>
      </c>
      <c r="B1467" s="188" t="inlineStr">
        <is>
          <t>65.108.153.201</t>
        </is>
      </c>
      <c r="C1467" s="188" t="inlineStr">
        <is>
          <t>Exposed RDP: 65.108.153.201 | Unknown | Location: Unknown</t>
        </is>
      </c>
      <c r="D1467" s="188" t="n">
        <v>6.5</v>
      </c>
      <c r="E1467" s="188" t="inlineStr">
        <is>
          <t>MEDIUM</t>
        </is>
      </c>
      <c r="F1467" s="188" t="n">
        <v>2</v>
      </c>
      <c r="G1467" s="188" t="n">
        <v>2</v>
      </c>
      <c r="H1467" s="188" t="inlineStr">
        <is>
          <t>MEDIUM</t>
        </is>
      </c>
      <c r="I1467" s="188" t="n">
        <v>10.5</v>
      </c>
      <c r="J1467" s="188" t="inlineStr">
        <is>
          <t>NO</t>
        </is>
      </c>
      <c r="K1467" s="188" t="inlineStr">
        <is>
          <t>https://leakix.net/host/65.108.153.201</t>
        </is>
      </c>
      <c r="L1467" s="188" t="inlineStr">
        <is>
          <t>2026-02-27 20:47</t>
        </is>
      </c>
      <c r="M1467" s="188" t="inlineStr">
        <is>
          <t>Restrict access</t>
        </is>
      </c>
      <c r="N1467" s="188" t="inlineStr">
        <is>
          <t>https://leakix.net/host/65.108.153.201</t>
        </is>
      </c>
      <c r="O1467" s="188" t="inlineStr">
        <is>
          <t>Restrict RDP access | Firewall rule | VPN required</t>
        </is>
      </c>
      <c r="P1467" s="188" t="inlineStr">
        <is>
          <t>Unknown</t>
        </is>
      </c>
      <c r="Q1467" s="188" t="inlineStr">
        <is>
          <t>P4</t>
        </is>
      </c>
      <c r="R1467" s="188" t="inlineStr">
        <is>
          <t>🔍 Investigate and apply appropriate controls</t>
        </is>
      </c>
      <c r="S1467" s="188" t="inlineStr">
        <is>
          <t>See LeakIX for exposed service details</t>
        </is>
      </c>
      <c r="T1467" s="188" t="n">
        <v>0</v>
      </c>
      <c r="U1467" s="188" t="n">
        <v>0</v>
      </c>
      <c r="V1467" s="188" t="inlineStr">
        <is>
          <t>T1021:Remote Services | T1133:External Remote Services</t>
        </is>
      </c>
      <c r="W1467" s="188" t="n">
        <v>1</v>
      </c>
      <c r="X1467" s="188" t="inlineStr">
        <is>
          <t>LOW (40%)</t>
        </is>
      </c>
      <c r="Y1467" s="188" t="inlineStr">
        <is>
          <t>NONE</t>
        </is>
      </c>
      <c r="Z1467" s="188" t="inlineStr">
        <is>
          <t>NONE</t>
        </is>
      </c>
      <c r="AA1467" s="188" t="inlineStr">
        <is>
          <t>NONE</t>
        </is>
      </c>
      <c r="AB1467" s="188" t="inlineStr">
        <is>
          <t>NONE</t>
        </is>
      </c>
      <c r="AC1467" s="188" t="n">
        <v>0</v>
      </c>
      <c r="AD1467" s="188" t="inlineStr"/>
    </row>
    <row r="1468">
      <c r="A1468" s="188" t="inlineStr">
        <is>
          <t>CENSYS_EXPOSED</t>
        </is>
      </c>
      <c r="B1468" s="188" t="inlineStr">
        <is>
          <t>178.32.46.140</t>
        </is>
      </c>
      <c r="C1468" s="188" t="inlineStr">
        <is>
          <t>Exposed RDP: 178.32.46.140 | Unknown | Location: Unknown</t>
        </is>
      </c>
      <c r="D1468" s="188" t="n">
        <v>6.5</v>
      </c>
      <c r="E1468" s="188" t="inlineStr">
        <is>
          <t>MEDIUM</t>
        </is>
      </c>
      <c r="F1468" s="188" t="n">
        <v>2</v>
      </c>
      <c r="G1468" s="188" t="n">
        <v>2</v>
      </c>
      <c r="H1468" s="188" t="inlineStr">
        <is>
          <t>MEDIUM</t>
        </is>
      </c>
      <c r="I1468" s="188" t="n">
        <v>10.5</v>
      </c>
      <c r="J1468" s="188" t="inlineStr">
        <is>
          <t>NO</t>
        </is>
      </c>
      <c r="K1468" s="188" t="inlineStr">
        <is>
          <t>https://leakix.net/host/178.32.46.140</t>
        </is>
      </c>
      <c r="L1468" s="188" t="inlineStr">
        <is>
          <t>2026-02-27 20:47</t>
        </is>
      </c>
      <c r="M1468" s="188" t="inlineStr">
        <is>
          <t>Restrict access</t>
        </is>
      </c>
      <c r="N1468" s="188" t="inlineStr">
        <is>
          <t>https://leakix.net/host/178.32.46.140</t>
        </is>
      </c>
      <c r="O1468" s="188" t="inlineStr">
        <is>
          <t>Restrict RDP access | Firewall rule | VPN required</t>
        </is>
      </c>
      <c r="P1468" s="188" t="inlineStr">
        <is>
          <t>Unknown</t>
        </is>
      </c>
      <c r="Q1468" s="188" t="inlineStr">
        <is>
          <t>P4</t>
        </is>
      </c>
      <c r="R1468" s="188" t="inlineStr">
        <is>
          <t>🔍 Investigate and apply appropriate controls</t>
        </is>
      </c>
      <c r="S1468" s="188" t="inlineStr">
        <is>
          <t>See LeakIX for exposed service details</t>
        </is>
      </c>
      <c r="T1468" s="188" t="n">
        <v>0</v>
      </c>
      <c r="U1468" s="188" t="n">
        <v>0</v>
      </c>
      <c r="V1468" s="188" t="inlineStr">
        <is>
          <t>T1021:Remote Services | T1133:External Remote Services</t>
        </is>
      </c>
      <c r="W1468" s="188" t="n">
        <v>1</v>
      </c>
      <c r="X1468" s="188" t="inlineStr">
        <is>
          <t>LOW (40%)</t>
        </is>
      </c>
      <c r="Y1468" s="188" t="inlineStr">
        <is>
          <t>NONE</t>
        </is>
      </c>
      <c r="Z1468" s="188" t="inlineStr">
        <is>
          <t>NONE</t>
        </is>
      </c>
      <c r="AA1468" s="188" t="inlineStr">
        <is>
          <t>NONE</t>
        </is>
      </c>
      <c r="AB1468" s="188" t="inlineStr">
        <is>
          <t>NONE</t>
        </is>
      </c>
      <c r="AC1468" s="188" t="n">
        <v>0</v>
      </c>
      <c r="AD1468" s="188" t="inlineStr"/>
    </row>
    <row r="1469">
      <c r="A1469" s="188" t="inlineStr">
        <is>
          <t>CENSYS_EXPOSED</t>
        </is>
      </c>
      <c r="B1469" s="188" t="inlineStr">
        <is>
          <t>185.68.21.18</t>
        </is>
      </c>
      <c r="C1469" s="188" t="inlineStr">
        <is>
          <t>Exposed RDP: 185.68.21.18 | Unknown | Location: Unknown</t>
        </is>
      </c>
      <c r="D1469" s="188" t="n">
        <v>6.5</v>
      </c>
      <c r="E1469" s="188" t="inlineStr">
        <is>
          <t>MEDIUM</t>
        </is>
      </c>
      <c r="F1469" s="188" t="n">
        <v>2</v>
      </c>
      <c r="G1469" s="188" t="n">
        <v>2</v>
      </c>
      <c r="H1469" s="188" t="inlineStr">
        <is>
          <t>MEDIUM</t>
        </is>
      </c>
      <c r="I1469" s="188" t="n">
        <v>10.5</v>
      </c>
      <c r="J1469" s="188" t="inlineStr">
        <is>
          <t>NO</t>
        </is>
      </c>
      <c r="K1469" s="188" t="inlineStr">
        <is>
          <t>https://leakix.net/host/185.68.21.18</t>
        </is>
      </c>
      <c r="L1469" s="188" t="inlineStr">
        <is>
          <t>2026-02-27 20:47</t>
        </is>
      </c>
      <c r="M1469" s="188" t="inlineStr">
        <is>
          <t>Restrict access</t>
        </is>
      </c>
      <c r="N1469" s="188" t="inlineStr">
        <is>
          <t>https://leakix.net/host/185.68.21.18</t>
        </is>
      </c>
      <c r="O1469" s="188" t="inlineStr">
        <is>
          <t>Restrict RDP access | Firewall rule | VPN required</t>
        </is>
      </c>
      <c r="P1469" s="188" t="inlineStr">
        <is>
          <t>Unknown</t>
        </is>
      </c>
      <c r="Q1469" s="188" t="inlineStr">
        <is>
          <t>P4</t>
        </is>
      </c>
      <c r="R1469" s="188" t="inlineStr">
        <is>
          <t>🔍 Investigate and apply appropriate controls</t>
        </is>
      </c>
      <c r="S1469" s="188" t="inlineStr">
        <is>
          <t>See LeakIX for exposed service details</t>
        </is>
      </c>
      <c r="T1469" s="188" t="n">
        <v>0</v>
      </c>
      <c r="U1469" s="188" t="n">
        <v>0</v>
      </c>
      <c r="V1469" s="188" t="inlineStr">
        <is>
          <t>T1021:Remote Services | T1133:External Remote Services</t>
        </is>
      </c>
      <c r="W1469" s="188" t="n">
        <v>1</v>
      </c>
      <c r="X1469" s="188" t="inlineStr">
        <is>
          <t>LOW (40%)</t>
        </is>
      </c>
      <c r="Y1469" s="188" t="inlineStr">
        <is>
          <t>NONE</t>
        </is>
      </c>
      <c r="Z1469" s="188" t="inlineStr">
        <is>
          <t>NONE</t>
        </is>
      </c>
      <c r="AA1469" s="188" t="inlineStr">
        <is>
          <t>NONE</t>
        </is>
      </c>
      <c r="AB1469" s="188" t="inlineStr">
        <is>
          <t>NONE</t>
        </is>
      </c>
      <c r="AC1469" s="188" t="n">
        <v>0</v>
      </c>
      <c r="AD1469" s="188" t="inlineStr"/>
    </row>
    <row r="1470">
      <c r="A1470" s="188" t="inlineStr">
        <is>
          <t>CENSYS_EXPOSED</t>
        </is>
      </c>
      <c r="B1470" s="188" t="inlineStr">
        <is>
          <t>5.189.156.179</t>
        </is>
      </c>
      <c r="C1470" s="188" t="inlineStr">
        <is>
          <t>Exposed RDP: 5.189.156.179 | Unknown | Location: Unknown</t>
        </is>
      </c>
      <c r="D1470" s="188" t="n">
        <v>6.5</v>
      </c>
      <c r="E1470" s="188" t="inlineStr">
        <is>
          <t>MEDIUM</t>
        </is>
      </c>
      <c r="F1470" s="188" t="n">
        <v>2</v>
      </c>
      <c r="G1470" s="188" t="n">
        <v>2</v>
      </c>
      <c r="H1470" s="188" t="inlineStr">
        <is>
          <t>MEDIUM</t>
        </is>
      </c>
      <c r="I1470" s="188" t="n">
        <v>10.5</v>
      </c>
      <c r="J1470" s="188" t="inlineStr">
        <is>
          <t>NO</t>
        </is>
      </c>
      <c r="K1470" s="188" t="inlineStr">
        <is>
          <t>https://leakix.net/host/5.189.156.179</t>
        </is>
      </c>
      <c r="L1470" s="188" t="inlineStr">
        <is>
          <t>2026-02-27 20:47</t>
        </is>
      </c>
      <c r="M1470" s="188" t="inlineStr">
        <is>
          <t>Restrict access</t>
        </is>
      </c>
      <c r="N1470" s="188" t="inlineStr">
        <is>
          <t>https://leakix.net/host/5.189.156.179</t>
        </is>
      </c>
      <c r="O1470" s="188" t="inlineStr">
        <is>
          <t>Restrict RDP access | Firewall rule | VPN required</t>
        </is>
      </c>
      <c r="P1470" s="188" t="inlineStr">
        <is>
          <t>Unknown</t>
        </is>
      </c>
      <c r="Q1470" s="188" t="inlineStr">
        <is>
          <t>P4</t>
        </is>
      </c>
      <c r="R1470" s="188" t="inlineStr">
        <is>
          <t>🔍 Investigate and apply appropriate controls</t>
        </is>
      </c>
      <c r="S1470" s="188" t="inlineStr">
        <is>
          <t>See LeakIX for exposed service details</t>
        </is>
      </c>
      <c r="T1470" s="188" t="n">
        <v>0</v>
      </c>
      <c r="U1470" s="188" t="n">
        <v>0</v>
      </c>
      <c r="V1470" s="188" t="inlineStr">
        <is>
          <t>T1021:Remote Services | T1133:External Remote Services</t>
        </is>
      </c>
      <c r="W1470" s="188" t="n">
        <v>1</v>
      </c>
      <c r="X1470" s="188" t="inlineStr">
        <is>
          <t>LOW (40%)</t>
        </is>
      </c>
      <c r="Y1470" s="188" t="inlineStr">
        <is>
          <t>NONE</t>
        </is>
      </c>
      <c r="Z1470" s="188" t="inlineStr">
        <is>
          <t>NONE</t>
        </is>
      </c>
      <c r="AA1470" s="188" t="inlineStr">
        <is>
          <t>NONE</t>
        </is>
      </c>
      <c r="AB1470" s="188" t="inlineStr">
        <is>
          <t>NONE</t>
        </is>
      </c>
      <c r="AC1470" s="188" t="n">
        <v>0</v>
      </c>
      <c r="AD1470" s="188" t="inlineStr"/>
    </row>
    <row r="1471">
      <c r="A1471" s="188" t="inlineStr">
        <is>
          <t>CENSYS_EXPOSED</t>
        </is>
      </c>
      <c r="B1471" s="188" t="inlineStr">
        <is>
          <t>89.116.29.47</t>
        </is>
      </c>
      <c r="C1471" s="188" t="inlineStr">
        <is>
          <t>Exposed RDP: 89.116.29.47 | Unknown | Location: Unknown</t>
        </is>
      </c>
      <c r="D1471" s="188" t="n">
        <v>6.5</v>
      </c>
      <c r="E1471" s="188" t="inlineStr">
        <is>
          <t>MEDIUM</t>
        </is>
      </c>
      <c r="F1471" s="188" t="n">
        <v>2</v>
      </c>
      <c r="G1471" s="188" t="n">
        <v>2</v>
      </c>
      <c r="H1471" s="188" t="inlineStr">
        <is>
          <t>MEDIUM</t>
        </is>
      </c>
      <c r="I1471" s="188" t="n">
        <v>10.5</v>
      </c>
      <c r="J1471" s="188" t="inlineStr">
        <is>
          <t>NO</t>
        </is>
      </c>
      <c r="K1471" s="188" t="inlineStr">
        <is>
          <t>https://leakix.net/host/89.116.29.47</t>
        </is>
      </c>
      <c r="L1471" s="188" t="inlineStr">
        <is>
          <t>2026-02-27 20:47</t>
        </is>
      </c>
      <c r="M1471" s="188" t="inlineStr">
        <is>
          <t>Restrict access</t>
        </is>
      </c>
      <c r="N1471" s="188" t="inlineStr">
        <is>
          <t>https://leakix.net/host/89.116.29.47</t>
        </is>
      </c>
      <c r="O1471" s="188" t="inlineStr">
        <is>
          <t>Restrict RDP access | Firewall rule | VPN required</t>
        </is>
      </c>
      <c r="P1471" s="188" t="inlineStr">
        <is>
          <t>Unknown</t>
        </is>
      </c>
      <c r="Q1471" s="188" t="inlineStr">
        <is>
          <t>P4</t>
        </is>
      </c>
      <c r="R1471" s="188" t="inlineStr">
        <is>
          <t>🔍 Investigate and apply appropriate controls</t>
        </is>
      </c>
      <c r="S1471" s="188" t="inlineStr">
        <is>
          <t>See LeakIX for exposed service details</t>
        </is>
      </c>
      <c r="T1471" s="188" t="n">
        <v>0</v>
      </c>
      <c r="U1471" s="188" t="n">
        <v>0</v>
      </c>
      <c r="V1471" s="188" t="inlineStr">
        <is>
          <t>T1021:Remote Services | T1133:External Remote Services</t>
        </is>
      </c>
      <c r="W1471" s="188" t="n">
        <v>1</v>
      </c>
      <c r="X1471" s="188" t="inlineStr">
        <is>
          <t>LOW (40%)</t>
        </is>
      </c>
      <c r="Y1471" s="188" t="inlineStr">
        <is>
          <t>NONE</t>
        </is>
      </c>
      <c r="Z1471" s="188" t="inlineStr">
        <is>
          <t>NONE</t>
        </is>
      </c>
      <c r="AA1471" s="188" t="inlineStr">
        <is>
          <t>NONE</t>
        </is>
      </c>
      <c r="AB1471" s="188" t="inlineStr">
        <is>
          <t>NONE</t>
        </is>
      </c>
      <c r="AC1471" s="188" t="n">
        <v>0</v>
      </c>
      <c r="AD1471" s="188" t="inlineStr"/>
    </row>
    <row r="1472">
      <c r="A1472" s="188" t="inlineStr">
        <is>
          <t>CENSYS_EXPOSED</t>
        </is>
      </c>
      <c r="B1472" s="188" t="inlineStr">
        <is>
          <t>139.99.42.206</t>
        </is>
      </c>
      <c r="C1472" s="188" t="inlineStr">
        <is>
          <t>Exposed RDP: 139.99.42.206 | Unknown | Location: Unknown</t>
        </is>
      </c>
      <c r="D1472" s="188" t="n">
        <v>6.5</v>
      </c>
      <c r="E1472" s="188" t="inlineStr">
        <is>
          <t>MEDIUM</t>
        </is>
      </c>
      <c r="F1472" s="188" t="n">
        <v>2</v>
      </c>
      <c r="G1472" s="188" t="n">
        <v>2</v>
      </c>
      <c r="H1472" s="188" t="inlineStr">
        <is>
          <t>MEDIUM</t>
        </is>
      </c>
      <c r="I1472" s="188" t="n">
        <v>10.5</v>
      </c>
      <c r="J1472" s="188" t="inlineStr">
        <is>
          <t>NO</t>
        </is>
      </c>
      <c r="K1472" s="188" t="inlineStr">
        <is>
          <t>https://leakix.net/host/139.99.42.206</t>
        </is>
      </c>
      <c r="L1472" s="188" t="inlineStr">
        <is>
          <t>2026-02-27 20:47</t>
        </is>
      </c>
      <c r="M1472" s="188" t="inlineStr">
        <is>
          <t>Restrict access</t>
        </is>
      </c>
      <c r="N1472" s="188" t="inlineStr">
        <is>
          <t>https://leakix.net/host/139.99.42.206</t>
        </is>
      </c>
      <c r="O1472" s="188" t="inlineStr">
        <is>
          <t>Restrict RDP access | Firewall rule | VPN required</t>
        </is>
      </c>
      <c r="P1472" s="188" t="inlineStr">
        <is>
          <t>Unknown</t>
        </is>
      </c>
      <c r="Q1472" s="188" t="inlineStr">
        <is>
          <t>P4</t>
        </is>
      </c>
      <c r="R1472" s="188" t="inlineStr">
        <is>
          <t>🔍 Investigate and apply appropriate controls</t>
        </is>
      </c>
      <c r="S1472" s="188" t="inlineStr">
        <is>
          <t>See LeakIX for exposed service details</t>
        </is>
      </c>
      <c r="T1472" s="188" t="n">
        <v>0</v>
      </c>
      <c r="U1472" s="188" t="n">
        <v>0</v>
      </c>
      <c r="V1472" s="188" t="inlineStr">
        <is>
          <t>T1021:Remote Services | T1133:External Remote Services</t>
        </is>
      </c>
      <c r="W1472" s="188" t="n">
        <v>1</v>
      </c>
      <c r="X1472" s="188" t="inlineStr">
        <is>
          <t>LOW (40%)</t>
        </is>
      </c>
      <c r="Y1472" s="188" t="inlineStr">
        <is>
          <t>NONE</t>
        </is>
      </c>
      <c r="Z1472" s="188" t="inlineStr">
        <is>
          <t>NONE</t>
        </is>
      </c>
      <c r="AA1472" s="188" t="inlineStr">
        <is>
          <t>NONE</t>
        </is>
      </c>
      <c r="AB1472" s="188" t="inlineStr">
        <is>
          <t>NONE</t>
        </is>
      </c>
      <c r="AC1472" s="188" t="n">
        <v>0</v>
      </c>
      <c r="AD1472" s="188" t="inlineStr"/>
    </row>
    <row r="1473">
      <c r="A1473" s="188" t="inlineStr">
        <is>
          <t>CENSYS_EXPOSED</t>
        </is>
      </c>
      <c r="B1473" s="188" t="inlineStr">
        <is>
          <t>104.168.96.244</t>
        </is>
      </c>
      <c r="C1473" s="188" t="inlineStr">
        <is>
          <t>Exposed RDP: 104.168.96.244 | Unknown | Location: Unknown</t>
        </is>
      </c>
      <c r="D1473" s="188" t="n">
        <v>6.5</v>
      </c>
      <c r="E1473" s="188" t="inlineStr">
        <is>
          <t>MEDIUM</t>
        </is>
      </c>
      <c r="F1473" s="188" t="n">
        <v>2</v>
      </c>
      <c r="G1473" s="188" t="n">
        <v>2</v>
      </c>
      <c r="H1473" s="188" t="inlineStr">
        <is>
          <t>MEDIUM</t>
        </is>
      </c>
      <c r="I1473" s="188" t="n">
        <v>10.5</v>
      </c>
      <c r="J1473" s="188" t="inlineStr">
        <is>
          <t>NO</t>
        </is>
      </c>
      <c r="K1473" s="188" t="inlineStr">
        <is>
          <t>https://leakix.net/host/104.168.96.244</t>
        </is>
      </c>
      <c r="L1473" s="188" t="inlineStr">
        <is>
          <t>2026-02-27 20:47</t>
        </is>
      </c>
      <c r="M1473" s="188" t="inlineStr">
        <is>
          <t>Restrict access</t>
        </is>
      </c>
      <c r="N1473" s="188" t="inlineStr">
        <is>
          <t>https://leakix.net/host/104.168.96.244</t>
        </is>
      </c>
      <c r="O1473" s="188" t="inlineStr">
        <is>
          <t>Restrict RDP access | Firewall rule | VPN required</t>
        </is>
      </c>
      <c r="P1473" s="188" t="inlineStr">
        <is>
          <t>Unknown</t>
        </is>
      </c>
      <c r="Q1473" s="188" t="inlineStr">
        <is>
          <t>P4</t>
        </is>
      </c>
      <c r="R1473" s="188" t="inlineStr">
        <is>
          <t>🔍 Investigate and apply appropriate controls</t>
        </is>
      </c>
      <c r="S1473" s="188" t="inlineStr">
        <is>
          <t>See LeakIX for exposed service details</t>
        </is>
      </c>
      <c r="T1473" s="188" t="n">
        <v>0</v>
      </c>
      <c r="U1473" s="188" t="n">
        <v>0</v>
      </c>
      <c r="V1473" s="188" t="inlineStr">
        <is>
          <t>T1021:Remote Services | T1133:External Remote Services</t>
        </is>
      </c>
      <c r="W1473" s="188" t="n">
        <v>1</v>
      </c>
      <c r="X1473" s="188" t="inlineStr">
        <is>
          <t>LOW (40%)</t>
        </is>
      </c>
      <c r="Y1473" s="188" t="inlineStr">
        <is>
          <t>NONE</t>
        </is>
      </c>
      <c r="Z1473" s="188" t="inlineStr">
        <is>
          <t>NONE</t>
        </is>
      </c>
      <c r="AA1473" s="188" t="inlineStr">
        <is>
          <t>NONE</t>
        </is>
      </c>
      <c r="AB1473" s="188" t="inlineStr">
        <is>
          <t>NONE</t>
        </is>
      </c>
      <c r="AC1473" s="188" t="n">
        <v>0</v>
      </c>
      <c r="AD1473" s="188" t="inlineStr"/>
    </row>
    <row r="1474">
      <c r="A1474" s="188" t="inlineStr">
        <is>
          <t>CENSYS_EXPOSED</t>
        </is>
      </c>
      <c r="B1474" s="188" t="inlineStr">
        <is>
          <t>4.151.203.213</t>
        </is>
      </c>
      <c r="C1474" s="188" t="inlineStr">
        <is>
          <t>Exposed RDP: 4.151.203.213 | Unknown | Location: Unknown</t>
        </is>
      </c>
      <c r="D1474" s="188" t="n">
        <v>6.5</v>
      </c>
      <c r="E1474" s="188" t="inlineStr">
        <is>
          <t>MEDIUM</t>
        </is>
      </c>
      <c r="F1474" s="188" t="n">
        <v>2</v>
      </c>
      <c r="G1474" s="188" t="n">
        <v>2</v>
      </c>
      <c r="H1474" s="188" t="inlineStr">
        <is>
          <t>MEDIUM</t>
        </is>
      </c>
      <c r="I1474" s="188" t="n">
        <v>10.5</v>
      </c>
      <c r="J1474" s="188" t="inlineStr">
        <is>
          <t>NO</t>
        </is>
      </c>
      <c r="K1474" s="188" t="inlineStr">
        <is>
          <t>https://leakix.net/host/4.151.203.213</t>
        </is>
      </c>
      <c r="L1474" s="188" t="inlineStr">
        <is>
          <t>2026-02-27 20:47</t>
        </is>
      </c>
      <c r="M1474" s="188" t="inlineStr">
        <is>
          <t>Restrict access</t>
        </is>
      </c>
      <c r="N1474" s="188" t="inlineStr">
        <is>
          <t>https://leakix.net/host/4.151.203.213</t>
        </is>
      </c>
      <c r="O1474" s="188" t="inlineStr">
        <is>
          <t>Restrict RDP access | Firewall rule | VPN required</t>
        </is>
      </c>
      <c r="P1474" s="188" t="inlineStr">
        <is>
          <t>Unknown</t>
        </is>
      </c>
      <c r="Q1474" s="188" t="inlineStr">
        <is>
          <t>P4</t>
        </is>
      </c>
      <c r="R1474" s="188" t="inlineStr">
        <is>
          <t>🔍 Investigate and apply appropriate controls</t>
        </is>
      </c>
      <c r="S1474" s="188" t="inlineStr">
        <is>
          <t>See LeakIX for exposed service details</t>
        </is>
      </c>
      <c r="T1474" s="188" t="n">
        <v>0</v>
      </c>
      <c r="U1474" s="188" t="n">
        <v>0</v>
      </c>
      <c r="V1474" s="188" t="inlineStr">
        <is>
          <t>T1021:Remote Services | T1133:External Remote Services</t>
        </is>
      </c>
      <c r="W1474" s="188" t="n">
        <v>1</v>
      </c>
      <c r="X1474" s="188" t="inlineStr">
        <is>
          <t>LOW (40%)</t>
        </is>
      </c>
      <c r="Y1474" s="188" t="inlineStr">
        <is>
          <t>NONE</t>
        </is>
      </c>
      <c r="Z1474" s="188" t="inlineStr">
        <is>
          <t>NONE</t>
        </is>
      </c>
      <c r="AA1474" s="188" t="inlineStr">
        <is>
          <t>NONE</t>
        </is>
      </c>
      <c r="AB1474" s="188" t="inlineStr">
        <is>
          <t>NONE</t>
        </is>
      </c>
      <c r="AC1474" s="188" t="n">
        <v>0</v>
      </c>
      <c r="AD1474" s="188" t="inlineStr"/>
    </row>
    <row r="1475">
      <c r="A1475" s="188" t="inlineStr">
        <is>
          <t>CENSYS_EXPOSED</t>
        </is>
      </c>
      <c r="B1475" s="188" t="inlineStr">
        <is>
          <t>85.222.100.178</t>
        </is>
      </c>
      <c r="C1475" s="188" t="inlineStr">
        <is>
          <t>Exposed RDP: 85.222.100.178 | Unknown | Location: Unknown</t>
        </is>
      </c>
      <c r="D1475" s="188" t="n">
        <v>6.5</v>
      </c>
      <c r="E1475" s="188" t="inlineStr">
        <is>
          <t>MEDIUM</t>
        </is>
      </c>
      <c r="F1475" s="188" t="n">
        <v>2</v>
      </c>
      <c r="G1475" s="188" t="n">
        <v>2</v>
      </c>
      <c r="H1475" s="188" t="inlineStr">
        <is>
          <t>MEDIUM</t>
        </is>
      </c>
      <c r="I1475" s="188" t="n">
        <v>10.5</v>
      </c>
      <c r="J1475" s="188" t="inlineStr">
        <is>
          <t>NO</t>
        </is>
      </c>
      <c r="K1475" s="188" t="inlineStr">
        <is>
          <t>https://leakix.net/host/85.222.100.178</t>
        </is>
      </c>
      <c r="L1475" s="188" t="inlineStr">
        <is>
          <t>2026-02-27 20:47</t>
        </is>
      </c>
      <c r="M1475" s="188" t="inlineStr">
        <is>
          <t>Restrict access</t>
        </is>
      </c>
      <c r="N1475" s="188" t="inlineStr">
        <is>
          <t>https://leakix.net/host/85.222.100.178</t>
        </is>
      </c>
      <c r="O1475" s="188" t="inlineStr">
        <is>
          <t>Restrict RDP access | Firewall rule | VPN required</t>
        </is>
      </c>
      <c r="P1475" s="188" t="inlineStr">
        <is>
          <t>Unknown</t>
        </is>
      </c>
      <c r="Q1475" s="188" t="inlineStr">
        <is>
          <t>P4</t>
        </is>
      </c>
      <c r="R1475" s="188" t="inlineStr">
        <is>
          <t>🔍 Investigate and apply appropriate controls</t>
        </is>
      </c>
      <c r="S1475" s="188" t="inlineStr">
        <is>
          <t>See LeakIX for exposed service details</t>
        </is>
      </c>
      <c r="T1475" s="188" t="n">
        <v>0</v>
      </c>
      <c r="U1475" s="188" t="n">
        <v>0</v>
      </c>
      <c r="V1475" s="188" t="inlineStr">
        <is>
          <t>T1021:Remote Services | T1133:External Remote Services</t>
        </is>
      </c>
      <c r="W1475" s="188" t="n">
        <v>1</v>
      </c>
      <c r="X1475" s="188" t="inlineStr">
        <is>
          <t>LOW (40%)</t>
        </is>
      </c>
      <c r="Y1475" s="188" t="inlineStr">
        <is>
          <t>NONE</t>
        </is>
      </c>
      <c r="Z1475" s="188" t="inlineStr">
        <is>
          <t>NONE</t>
        </is>
      </c>
      <c r="AA1475" s="188" t="inlineStr">
        <is>
          <t>NONE</t>
        </is>
      </c>
      <c r="AB1475" s="188" t="inlineStr">
        <is>
          <t>NONE</t>
        </is>
      </c>
      <c r="AC1475" s="188" t="n">
        <v>0</v>
      </c>
      <c r="AD1475" s="188" t="inlineStr"/>
    </row>
    <row r="1476">
      <c r="A1476" s="188" t="inlineStr">
        <is>
          <t>CENSYS_EXPOSED</t>
        </is>
      </c>
      <c r="B1476" s="188" t="inlineStr">
        <is>
          <t>104.151.145.130</t>
        </is>
      </c>
      <c r="C1476" s="188" t="inlineStr">
        <is>
          <t>Exposed RDP: 104.151.145.130 | Unknown | Location: Unknown</t>
        </is>
      </c>
      <c r="D1476" s="188" t="n">
        <v>6.5</v>
      </c>
      <c r="E1476" s="188" t="inlineStr">
        <is>
          <t>MEDIUM</t>
        </is>
      </c>
      <c r="F1476" s="188" t="n">
        <v>2</v>
      </c>
      <c r="G1476" s="188" t="n">
        <v>2</v>
      </c>
      <c r="H1476" s="188" t="inlineStr">
        <is>
          <t>MEDIUM</t>
        </is>
      </c>
      <c r="I1476" s="188" t="n">
        <v>10.5</v>
      </c>
      <c r="J1476" s="188" t="inlineStr">
        <is>
          <t>NO</t>
        </is>
      </c>
      <c r="K1476" s="188" t="inlineStr">
        <is>
          <t>https://leakix.net/host/104.151.145.130</t>
        </is>
      </c>
      <c r="L1476" s="188" t="inlineStr">
        <is>
          <t>2026-02-27 20:47</t>
        </is>
      </c>
      <c r="M1476" s="188" t="inlineStr">
        <is>
          <t>Restrict access</t>
        </is>
      </c>
      <c r="N1476" s="188" t="inlineStr">
        <is>
          <t>https://leakix.net/host/104.151.145.130</t>
        </is>
      </c>
      <c r="O1476" s="188" t="inlineStr">
        <is>
          <t>Restrict RDP access | Firewall rule | VPN required</t>
        </is>
      </c>
      <c r="P1476" s="188" t="inlineStr">
        <is>
          <t>Unknown</t>
        </is>
      </c>
      <c r="Q1476" s="188" t="inlineStr">
        <is>
          <t>P4</t>
        </is>
      </c>
      <c r="R1476" s="188" t="inlineStr">
        <is>
          <t>🔍 Investigate and apply appropriate controls</t>
        </is>
      </c>
      <c r="S1476" s="188" t="inlineStr">
        <is>
          <t>See LeakIX for exposed service details</t>
        </is>
      </c>
      <c r="T1476" s="188" t="n">
        <v>0</v>
      </c>
      <c r="U1476" s="188" t="n">
        <v>0</v>
      </c>
      <c r="V1476" s="188" t="inlineStr">
        <is>
          <t>T1021:Remote Services | T1133:External Remote Services</t>
        </is>
      </c>
      <c r="W1476" s="188" t="n">
        <v>1</v>
      </c>
      <c r="X1476" s="188" t="inlineStr">
        <is>
          <t>LOW (40%)</t>
        </is>
      </c>
      <c r="Y1476" s="188" t="inlineStr">
        <is>
          <t>NONE</t>
        </is>
      </c>
      <c r="Z1476" s="188" t="inlineStr">
        <is>
          <t>NONE</t>
        </is>
      </c>
      <c r="AA1476" s="188" t="inlineStr">
        <is>
          <t>NONE</t>
        </is>
      </c>
      <c r="AB1476" s="188" t="inlineStr">
        <is>
          <t>NONE</t>
        </is>
      </c>
      <c r="AC1476" s="188" t="n">
        <v>0</v>
      </c>
      <c r="AD1476" s="188" t="inlineStr"/>
    </row>
    <row r="1477">
      <c r="A1477" s="188" t="inlineStr">
        <is>
          <t>CENSYS_EXPOSED</t>
        </is>
      </c>
      <c r="B1477" s="188" t="inlineStr">
        <is>
          <t>189.235.103.201</t>
        </is>
      </c>
      <c r="C1477" s="188" t="inlineStr">
        <is>
          <t>Exposed RDP: 189.235.103.201 | Unknown | Location: Unknown</t>
        </is>
      </c>
      <c r="D1477" s="188" t="n">
        <v>6.5</v>
      </c>
      <c r="E1477" s="188" t="inlineStr">
        <is>
          <t>MEDIUM</t>
        </is>
      </c>
      <c r="F1477" s="188" t="n">
        <v>2</v>
      </c>
      <c r="G1477" s="188" t="n">
        <v>2</v>
      </c>
      <c r="H1477" s="188" t="inlineStr">
        <is>
          <t>MEDIUM</t>
        </is>
      </c>
      <c r="I1477" s="188" t="n">
        <v>10.5</v>
      </c>
      <c r="J1477" s="188" t="inlineStr">
        <is>
          <t>NO</t>
        </is>
      </c>
      <c r="K1477" s="188" t="inlineStr">
        <is>
          <t>https://leakix.net/host/189.235.103.201</t>
        </is>
      </c>
      <c r="L1477" s="188" t="inlineStr">
        <is>
          <t>2026-02-27 20:47</t>
        </is>
      </c>
      <c r="M1477" s="188" t="inlineStr">
        <is>
          <t>Restrict access</t>
        </is>
      </c>
      <c r="N1477" s="188" t="inlineStr">
        <is>
          <t>https://leakix.net/host/189.235.103.201</t>
        </is>
      </c>
      <c r="O1477" s="188" t="inlineStr">
        <is>
          <t>Restrict RDP access | Firewall rule | VPN required</t>
        </is>
      </c>
      <c r="P1477" s="188" t="inlineStr">
        <is>
          <t>Unknown</t>
        </is>
      </c>
      <c r="Q1477" s="188" t="inlineStr">
        <is>
          <t>P4</t>
        </is>
      </c>
      <c r="R1477" s="188" t="inlineStr">
        <is>
          <t>🔍 Investigate and apply appropriate controls</t>
        </is>
      </c>
      <c r="S1477" s="188" t="inlineStr">
        <is>
          <t>See LeakIX for exposed service details</t>
        </is>
      </c>
      <c r="T1477" s="188" t="n">
        <v>0</v>
      </c>
      <c r="U1477" s="188" t="n">
        <v>0</v>
      </c>
      <c r="V1477" s="188" t="inlineStr">
        <is>
          <t>T1021:Remote Services | T1133:External Remote Services</t>
        </is>
      </c>
      <c r="W1477" s="188" t="n">
        <v>1</v>
      </c>
      <c r="X1477" s="188" t="inlineStr">
        <is>
          <t>LOW (40%)</t>
        </is>
      </c>
      <c r="Y1477" s="188" t="inlineStr">
        <is>
          <t>NONE</t>
        </is>
      </c>
      <c r="Z1477" s="188" t="inlineStr">
        <is>
          <t>NONE</t>
        </is>
      </c>
      <c r="AA1477" s="188" t="inlineStr">
        <is>
          <t>NONE</t>
        </is>
      </c>
      <c r="AB1477" s="188" t="inlineStr">
        <is>
          <t>NONE</t>
        </is>
      </c>
      <c r="AC1477" s="188" t="n">
        <v>0</v>
      </c>
      <c r="AD1477" s="188" t="inlineStr"/>
    </row>
    <row r="1478">
      <c r="A1478" s="188" t="inlineStr">
        <is>
          <t>CENSYS_EXPOSED</t>
        </is>
      </c>
      <c r="B1478" s="188" t="inlineStr">
        <is>
          <t>221.162.15.185</t>
        </is>
      </c>
      <c r="C1478" s="188" t="inlineStr">
        <is>
          <t>Exposed RDP: 221.162.15.185 | Unknown | Location: Unknown</t>
        </is>
      </c>
      <c r="D1478" s="188" t="n">
        <v>6.5</v>
      </c>
      <c r="E1478" s="188" t="inlineStr">
        <is>
          <t>MEDIUM</t>
        </is>
      </c>
      <c r="F1478" s="188" t="n">
        <v>2</v>
      </c>
      <c r="G1478" s="188" t="n">
        <v>2</v>
      </c>
      <c r="H1478" s="188" t="inlineStr">
        <is>
          <t>MEDIUM</t>
        </is>
      </c>
      <c r="I1478" s="188" t="n">
        <v>10.5</v>
      </c>
      <c r="J1478" s="188" t="inlineStr">
        <is>
          <t>NO</t>
        </is>
      </c>
      <c r="K1478" s="188" t="inlineStr">
        <is>
          <t>https://leakix.net/host/221.162.15.185</t>
        </is>
      </c>
      <c r="L1478" s="188" t="inlineStr">
        <is>
          <t>2026-02-27 20:47</t>
        </is>
      </c>
      <c r="M1478" s="188" t="inlineStr">
        <is>
          <t>Restrict access</t>
        </is>
      </c>
      <c r="N1478" s="188" t="inlineStr">
        <is>
          <t>https://leakix.net/host/221.162.15.185</t>
        </is>
      </c>
      <c r="O1478" s="188" t="inlineStr">
        <is>
          <t>Restrict RDP access | Firewall rule | VPN required</t>
        </is>
      </c>
      <c r="P1478" s="188" t="inlineStr">
        <is>
          <t>Unknown</t>
        </is>
      </c>
      <c r="Q1478" s="188" t="inlineStr">
        <is>
          <t>P4</t>
        </is>
      </c>
      <c r="R1478" s="188" t="inlineStr">
        <is>
          <t>🔍 Investigate and apply appropriate controls</t>
        </is>
      </c>
      <c r="S1478" s="188" t="inlineStr">
        <is>
          <t>See LeakIX for exposed service details</t>
        </is>
      </c>
      <c r="T1478" s="188" t="n">
        <v>0</v>
      </c>
      <c r="U1478" s="188" t="n">
        <v>0</v>
      </c>
      <c r="V1478" s="188" t="inlineStr">
        <is>
          <t>T1021:Remote Services | T1133:External Remote Services</t>
        </is>
      </c>
      <c r="W1478" s="188" t="n">
        <v>1</v>
      </c>
      <c r="X1478" s="188" t="inlineStr">
        <is>
          <t>LOW (40%)</t>
        </is>
      </c>
      <c r="Y1478" s="188" t="inlineStr">
        <is>
          <t>NONE</t>
        </is>
      </c>
      <c r="Z1478" s="188" t="inlineStr">
        <is>
          <t>NONE</t>
        </is>
      </c>
      <c r="AA1478" s="188" t="inlineStr">
        <is>
          <t>NONE</t>
        </is>
      </c>
      <c r="AB1478" s="188" t="inlineStr">
        <is>
          <t>NONE</t>
        </is>
      </c>
      <c r="AC1478" s="188" t="n">
        <v>0</v>
      </c>
      <c r="AD1478" s="188" t="inlineStr"/>
    </row>
    <row r="1479">
      <c r="A1479" s="188" t="inlineStr">
        <is>
          <t>CENSYS_EXPOSED</t>
        </is>
      </c>
      <c r="B1479" s="188" t="inlineStr">
        <is>
          <t>167.172.99.146</t>
        </is>
      </c>
      <c r="C1479" s="188" t="inlineStr">
        <is>
          <t>Exposed RDP: 167.172.99.146 | Unknown | Location: Unknown</t>
        </is>
      </c>
      <c r="D1479" s="188" t="n">
        <v>6.5</v>
      </c>
      <c r="E1479" s="188" t="inlineStr">
        <is>
          <t>MEDIUM</t>
        </is>
      </c>
      <c r="F1479" s="188" t="n">
        <v>2</v>
      </c>
      <c r="G1479" s="188" t="n">
        <v>2</v>
      </c>
      <c r="H1479" s="188" t="inlineStr">
        <is>
          <t>MEDIUM</t>
        </is>
      </c>
      <c r="I1479" s="188" t="n">
        <v>10.5</v>
      </c>
      <c r="J1479" s="188" t="inlineStr">
        <is>
          <t>NO</t>
        </is>
      </c>
      <c r="K1479" s="188" t="inlineStr">
        <is>
          <t>https://leakix.net/host/167.172.99.146</t>
        </is>
      </c>
      <c r="L1479" s="188" t="inlineStr">
        <is>
          <t>2026-02-27 20:47</t>
        </is>
      </c>
      <c r="M1479" s="188" t="inlineStr">
        <is>
          <t>Restrict access</t>
        </is>
      </c>
      <c r="N1479" s="188" t="inlineStr">
        <is>
          <t>https://leakix.net/host/167.172.99.146</t>
        </is>
      </c>
      <c r="O1479" s="188" t="inlineStr">
        <is>
          <t>Restrict RDP access | Firewall rule | VPN required</t>
        </is>
      </c>
      <c r="P1479" s="188" t="inlineStr">
        <is>
          <t>Unknown</t>
        </is>
      </c>
      <c r="Q1479" s="188" t="inlineStr">
        <is>
          <t>P4</t>
        </is>
      </c>
      <c r="R1479" s="188" t="inlineStr">
        <is>
          <t>🔍 Investigate and apply appropriate controls</t>
        </is>
      </c>
      <c r="S1479" s="188" t="inlineStr">
        <is>
          <t>See LeakIX for exposed service details</t>
        </is>
      </c>
      <c r="T1479" s="188" t="n">
        <v>0</v>
      </c>
      <c r="U1479" s="188" t="n">
        <v>0</v>
      </c>
      <c r="V1479" s="188" t="inlineStr">
        <is>
          <t>T1021:Remote Services | T1133:External Remote Services</t>
        </is>
      </c>
      <c r="W1479" s="188" t="n">
        <v>1</v>
      </c>
      <c r="X1479" s="188" t="inlineStr">
        <is>
          <t>LOW (40%)</t>
        </is>
      </c>
      <c r="Y1479" s="188" t="inlineStr">
        <is>
          <t>NONE</t>
        </is>
      </c>
      <c r="Z1479" s="188" t="inlineStr">
        <is>
          <t>NONE</t>
        </is>
      </c>
      <c r="AA1479" s="188" t="inlineStr">
        <is>
          <t>NONE</t>
        </is>
      </c>
      <c r="AB1479" s="188" t="inlineStr">
        <is>
          <t>NONE</t>
        </is>
      </c>
      <c r="AC1479" s="188" t="n">
        <v>0</v>
      </c>
      <c r="AD1479" s="188" t="inlineStr"/>
    </row>
    <row r="1480">
      <c r="A1480" s="188" t="inlineStr">
        <is>
          <t>CENSYS_EXPOSED</t>
        </is>
      </c>
      <c r="B1480" s="188" t="inlineStr">
        <is>
          <t>51.89.17.211</t>
        </is>
      </c>
      <c r="C1480" s="188" t="inlineStr">
        <is>
          <t>Exposed RDP: 51.89.17.211 | Unknown | Location: Unknown</t>
        </is>
      </c>
      <c r="D1480" s="188" t="n">
        <v>6.5</v>
      </c>
      <c r="E1480" s="188" t="inlineStr">
        <is>
          <t>MEDIUM</t>
        </is>
      </c>
      <c r="F1480" s="188" t="n">
        <v>2</v>
      </c>
      <c r="G1480" s="188" t="n">
        <v>2</v>
      </c>
      <c r="H1480" s="188" t="inlineStr">
        <is>
          <t>MEDIUM</t>
        </is>
      </c>
      <c r="I1480" s="188" t="n">
        <v>10.5</v>
      </c>
      <c r="J1480" s="188" t="inlineStr">
        <is>
          <t>NO</t>
        </is>
      </c>
      <c r="K1480" s="188" t="inlineStr">
        <is>
          <t>https://leakix.net/host/51.89.17.211</t>
        </is>
      </c>
      <c r="L1480" s="188" t="inlineStr">
        <is>
          <t>2026-02-27 20:47</t>
        </is>
      </c>
      <c r="M1480" s="188" t="inlineStr">
        <is>
          <t>Restrict access</t>
        </is>
      </c>
      <c r="N1480" s="188" t="inlineStr">
        <is>
          <t>https://leakix.net/host/51.89.17.211</t>
        </is>
      </c>
      <c r="O1480" s="188" t="inlineStr">
        <is>
          <t>Restrict RDP access | Firewall rule | VPN required</t>
        </is>
      </c>
      <c r="P1480" s="188" t="inlineStr">
        <is>
          <t>Unknown</t>
        </is>
      </c>
      <c r="Q1480" s="188" t="inlineStr">
        <is>
          <t>P4</t>
        </is>
      </c>
      <c r="R1480" s="188" t="inlineStr">
        <is>
          <t>🔍 Investigate and apply appropriate controls</t>
        </is>
      </c>
      <c r="S1480" s="188" t="inlineStr">
        <is>
          <t>See LeakIX for exposed service details</t>
        </is>
      </c>
      <c r="T1480" s="188" t="n">
        <v>0</v>
      </c>
      <c r="U1480" s="188" t="n">
        <v>0</v>
      </c>
      <c r="V1480" s="188" t="inlineStr">
        <is>
          <t>T1021:Remote Services | T1133:External Remote Services</t>
        </is>
      </c>
      <c r="W1480" s="188" t="n">
        <v>1</v>
      </c>
      <c r="X1480" s="188" t="inlineStr">
        <is>
          <t>LOW (40%)</t>
        </is>
      </c>
      <c r="Y1480" s="188" t="inlineStr">
        <is>
          <t>NONE</t>
        </is>
      </c>
      <c r="Z1480" s="188" t="inlineStr">
        <is>
          <t>NONE</t>
        </is>
      </c>
      <c r="AA1480" s="188" t="inlineStr">
        <is>
          <t>NONE</t>
        </is>
      </c>
      <c r="AB1480" s="188" t="inlineStr">
        <is>
          <t>NONE</t>
        </is>
      </c>
      <c r="AC1480" s="188" t="n">
        <v>0</v>
      </c>
      <c r="AD1480" s="188" t="inlineStr"/>
    </row>
    <row r="1481">
      <c r="A1481" s="188" t="inlineStr">
        <is>
          <t>CENSYS_EXPOSED</t>
        </is>
      </c>
      <c r="B1481" s="188" t="inlineStr">
        <is>
          <t>141.145.210.135</t>
        </is>
      </c>
      <c r="C1481" s="188" t="inlineStr">
        <is>
          <t>Exposed RDP: 141.145.210.135 | Unknown | Location: Unknown</t>
        </is>
      </c>
      <c r="D1481" s="188" t="n">
        <v>6.5</v>
      </c>
      <c r="E1481" s="188" t="inlineStr">
        <is>
          <t>MEDIUM</t>
        </is>
      </c>
      <c r="F1481" s="188" t="n">
        <v>2</v>
      </c>
      <c r="G1481" s="188" t="n">
        <v>2</v>
      </c>
      <c r="H1481" s="188" t="inlineStr">
        <is>
          <t>MEDIUM</t>
        </is>
      </c>
      <c r="I1481" s="188" t="n">
        <v>10.5</v>
      </c>
      <c r="J1481" s="188" t="inlineStr">
        <is>
          <t>NO</t>
        </is>
      </c>
      <c r="K1481" s="188" t="inlineStr">
        <is>
          <t>https://leakix.net/host/141.145.210.135</t>
        </is>
      </c>
      <c r="L1481" s="188" t="inlineStr">
        <is>
          <t>2026-02-27 20:47</t>
        </is>
      </c>
      <c r="M1481" s="188" t="inlineStr">
        <is>
          <t>Restrict access</t>
        </is>
      </c>
      <c r="N1481" s="188" t="inlineStr">
        <is>
          <t>https://leakix.net/host/141.145.210.135</t>
        </is>
      </c>
      <c r="O1481" s="188" t="inlineStr">
        <is>
          <t>Restrict RDP access | Firewall rule | VPN required</t>
        </is>
      </c>
      <c r="P1481" s="188" t="inlineStr">
        <is>
          <t>Unknown</t>
        </is>
      </c>
      <c r="Q1481" s="188" t="inlineStr">
        <is>
          <t>P4</t>
        </is>
      </c>
      <c r="R1481" s="188" t="inlineStr">
        <is>
          <t>🔍 Investigate and apply appropriate controls</t>
        </is>
      </c>
      <c r="S1481" s="188" t="inlineStr">
        <is>
          <t>See LeakIX for exposed service details</t>
        </is>
      </c>
      <c r="T1481" s="188" t="n">
        <v>0</v>
      </c>
      <c r="U1481" s="188" t="n">
        <v>0</v>
      </c>
      <c r="V1481" s="188" t="inlineStr">
        <is>
          <t>T1021:Remote Services | T1133:External Remote Services</t>
        </is>
      </c>
      <c r="W1481" s="188" t="n">
        <v>1</v>
      </c>
      <c r="X1481" s="188" t="inlineStr">
        <is>
          <t>LOW (40%)</t>
        </is>
      </c>
      <c r="Y1481" s="188" t="inlineStr">
        <is>
          <t>NONE</t>
        </is>
      </c>
      <c r="Z1481" s="188" t="inlineStr">
        <is>
          <t>NONE</t>
        </is>
      </c>
      <c r="AA1481" s="188" t="inlineStr">
        <is>
          <t>NONE</t>
        </is>
      </c>
      <c r="AB1481" s="188" t="inlineStr">
        <is>
          <t>NONE</t>
        </is>
      </c>
      <c r="AC1481" s="188" t="n">
        <v>0</v>
      </c>
      <c r="AD1481" s="188" t="inlineStr"/>
    </row>
    <row r="1482">
      <c r="A1482" s="188" t="inlineStr">
        <is>
          <t>CENSYS_EXPOSED</t>
        </is>
      </c>
      <c r="B1482" s="188" t="inlineStr">
        <is>
          <t>70.153.81.47</t>
        </is>
      </c>
      <c r="C1482" s="188" t="inlineStr">
        <is>
          <t>Exposed RDP: 70.153.81.47 | Unknown | Location: Unknown</t>
        </is>
      </c>
      <c r="D1482" s="188" t="n">
        <v>6.5</v>
      </c>
      <c r="E1482" s="188" t="inlineStr">
        <is>
          <t>MEDIUM</t>
        </is>
      </c>
      <c r="F1482" s="188" t="n">
        <v>2</v>
      </c>
      <c r="G1482" s="188" t="n">
        <v>2</v>
      </c>
      <c r="H1482" s="188" t="inlineStr">
        <is>
          <t>MEDIUM</t>
        </is>
      </c>
      <c r="I1482" s="188" t="n">
        <v>10.5</v>
      </c>
      <c r="J1482" s="188" t="inlineStr">
        <is>
          <t>NO</t>
        </is>
      </c>
      <c r="K1482" s="188" t="inlineStr">
        <is>
          <t>https://leakix.net/host/70.153.81.47</t>
        </is>
      </c>
      <c r="L1482" s="188" t="inlineStr">
        <is>
          <t>2026-02-27 20:47</t>
        </is>
      </c>
      <c r="M1482" s="188" t="inlineStr">
        <is>
          <t>Restrict access</t>
        </is>
      </c>
      <c r="N1482" s="188" t="inlineStr">
        <is>
          <t>https://leakix.net/host/70.153.81.47</t>
        </is>
      </c>
      <c r="O1482" s="188" t="inlineStr">
        <is>
          <t>Restrict RDP access | Firewall rule | VPN required</t>
        </is>
      </c>
      <c r="P1482" s="188" t="inlineStr">
        <is>
          <t>Unknown</t>
        </is>
      </c>
      <c r="Q1482" s="188" t="inlineStr">
        <is>
          <t>P4</t>
        </is>
      </c>
      <c r="R1482" s="188" t="inlineStr">
        <is>
          <t>🔍 Investigate and apply appropriate controls</t>
        </is>
      </c>
      <c r="S1482" s="188" t="inlineStr">
        <is>
          <t>See LeakIX for exposed service details</t>
        </is>
      </c>
      <c r="T1482" s="188" t="n">
        <v>0</v>
      </c>
      <c r="U1482" s="188" t="n">
        <v>0</v>
      </c>
      <c r="V1482" s="188" t="inlineStr">
        <is>
          <t>T1021:Remote Services | T1133:External Remote Services</t>
        </is>
      </c>
      <c r="W1482" s="188" t="n">
        <v>1</v>
      </c>
      <c r="X1482" s="188" t="inlineStr">
        <is>
          <t>LOW (40%)</t>
        </is>
      </c>
      <c r="Y1482" s="188" t="inlineStr">
        <is>
          <t>NONE</t>
        </is>
      </c>
      <c r="Z1482" s="188" t="inlineStr">
        <is>
          <t>NONE</t>
        </is>
      </c>
      <c r="AA1482" s="188" t="inlineStr">
        <is>
          <t>NONE</t>
        </is>
      </c>
      <c r="AB1482" s="188" t="inlineStr">
        <is>
          <t>NONE</t>
        </is>
      </c>
      <c r="AC1482" s="188" t="n">
        <v>0</v>
      </c>
      <c r="AD1482" s="188" t="inlineStr"/>
    </row>
    <row r="1483">
      <c r="A1483" s="188" t="inlineStr">
        <is>
          <t>CENSYS_EXPOSED</t>
        </is>
      </c>
      <c r="B1483" s="188" t="inlineStr">
        <is>
          <t>8.210.17.35</t>
        </is>
      </c>
      <c r="C1483" s="188" t="inlineStr">
        <is>
          <t>Exposed RDP: 8.210.17.35 | Unknown | Location: Unknown</t>
        </is>
      </c>
      <c r="D1483" s="188" t="n">
        <v>6.5</v>
      </c>
      <c r="E1483" s="188" t="inlineStr">
        <is>
          <t>MEDIUM</t>
        </is>
      </c>
      <c r="F1483" s="188" t="n">
        <v>2</v>
      </c>
      <c r="G1483" s="188" t="n">
        <v>2</v>
      </c>
      <c r="H1483" s="188" t="inlineStr">
        <is>
          <t>MEDIUM</t>
        </is>
      </c>
      <c r="I1483" s="188" t="n">
        <v>10.5</v>
      </c>
      <c r="J1483" s="188" t="inlineStr">
        <is>
          <t>NO</t>
        </is>
      </c>
      <c r="K1483" s="188" t="inlineStr">
        <is>
          <t>https://leakix.net/host/8.210.17.35</t>
        </is>
      </c>
      <c r="L1483" s="188" t="inlineStr">
        <is>
          <t>2026-02-27 20:47</t>
        </is>
      </c>
      <c r="M1483" s="188" t="inlineStr">
        <is>
          <t>Restrict access</t>
        </is>
      </c>
      <c r="N1483" s="188" t="inlineStr">
        <is>
          <t>https://leakix.net/host/8.210.17.35</t>
        </is>
      </c>
      <c r="O1483" s="188" t="inlineStr">
        <is>
          <t>Restrict RDP access | Firewall rule | VPN required</t>
        </is>
      </c>
      <c r="P1483" s="188" t="inlineStr">
        <is>
          <t>Unknown</t>
        </is>
      </c>
      <c r="Q1483" s="188" t="inlineStr">
        <is>
          <t>P4</t>
        </is>
      </c>
      <c r="R1483" s="188" t="inlineStr">
        <is>
          <t>🔍 Investigate and apply appropriate controls</t>
        </is>
      </c>
      <c r="S1483" s="188" t="inlineStr">
        <is>
          <t>See LeakIX for exposed service details</t>
        </is>
      </c>
      <c r="T1483" s="188" t="n">
        <v>0</v>
      </c>
      <c r="U1483" s="188" t="n">
        <v>0</v>
      </c>
      <c r="V1483" s="188" t="inlineStr">
        <is>
          <t>T1021:Remote Services | T1133:External Remote Services</t>
        </is>
      </c>
      <c r="W1483" s="188" t="n">
        <v>1</v>
      </c>
      <c r="X1483" s="188" t="inlineStr">
        <is>
          <t>LOW (40%)</t>
        </is>
      </c>
      <c r="Y1483" s="188" t="inlineStr">
        <is>
          <t>NONE</t>
        </is>
      </c>
      <c r="Z1483" s="188" t="inlineStr">
        <is>
          <t>NONE</t>
        </is>
      </c>
      <c r="AA1483" s="188" t="inlineStr">
        <is>
          <t>NONE</t>
        </is>
      </c>
      <c r="AB1483" s="188" t="inlineStr">
        <is>
          <t>NONE</t>
        </is>
      </c>
      <c r="AC1483" s="188" t="n">
        <v>0</v>
      </c>
      <c r="AD1483" s="188" t="inlineStr"/>
    </row>
    <row r="1484">
      <c r="A1484" s="188" t="inlineStr">
        <is>
          <t>CENSYS_EXPOSED</t>
        </is>
      </c>
      <c r="B1484" s="188" t="inlineStr">
        <is>
          <t>20.102.109.245</t>
        </is>
      </c>
      <c r="C1484" s="188" t="inlineStr">
        <is>
          <t>Exposed RDP: 20.102.109.245 | Unknown | Location: Unknown</t>
        </is>
      </c>
      <c r="D1484" s="188" t="n">
        <v>6.5</v>
      </c>
      <c r="E1484" s="188" t="inlineStr">
        <is>
          <t>MEDIUM</t>
        </is>
      </c>
      <c r="F1484" s="188" t="n">
        <v>2</v>
      </c>
      <c r="G1484" s="188" t="n">
        <v>2</v>
      </c>
      <c r="H1484" s="188" t="inlineStr">
        <is>
          <t>MEDIUM</t>
        </is>
      </c>
      <c r="I1484" s="188" t="n">
        <v>10.5</v>
      </c>
      <c r="J1484" s="188" t="inlineStr">
        <is>
          <t>NO</t>
        </is>
      </c>
      <c r="K1484" s="188" t="inlineStr">
        <is>
          <t>https://leakix.net/host/20.102.109.245</t>
        </is>
      </c>
      <c r="L1484" s="188" t="inlineStr">
        <is>
          <t>2026-02-27 20:47</t>
        </is>
      </c>
      <c r="M1484" s="188" t="inlineStr">
        <is>
          <t>Restrict access</t>
        </is>
      </c>
      <c r="N1484" s="188" t="inlineStr">
        <is>
          <t>https://leakix.net/host/20.102.109.245</t>
        </is>
      </c>
      <c r="O1484" s="188" t="inlineStr">
        <is>
          <t>Restrict RDP access | Firewall rule | VPN required</t>
        </is>
      </c>
      <c r="P1484" s="188" t="inlineStr">
        <is>
          <t>Unknown</t>
        </is>
      </c>
      <c r="Q1484" s="188" t="inlineStr">
        <is>
          <t>P4</t>
        </is>
      </c>
      <c r="R1484" s="188" t="inlineStr">
        <is>
          <t>🔍 Investigate and apply appropriate controls</t>
        </is>
      </c>
      <c r="S1484" s="188" t="inlineStr">
        <is>
          <t>See LeakIX for exposed service details</t>
        </is>
      </c>
      <c r="T1484" s="188" t="n">
        <v>0</v>
      </c>
      <c r="U1484" s="188" t="n">
        <v>0</v>
      </c>
      <c r="V1484" s="188" t="inlineStr">
        <is>
          <t>T1021:Remote Services | T1133:External Remote Services</t>
        </is>
      </c>
      <c r="W1484" s="188" t="n">
        <v>1</v>
      </c>
      <c r="X1484" s="188" t="inlineStr">
        <is>
          <t>LOW (40%)</t>
        </is>
      </c>
      <c r="Y1484" s="188" t="inlineStr">
        <is>
          <t>NONE</t>
        </is>
      </c>
      <c r="Z1484" s="188" t="inlineStr">
        <is>
          <t>NONE</t>
        </is>
      </c>
      <c r="AA1484" s="188" t="inlineStr">
        <is>
          <t>NONE</t>
        </is>
      </c>
      <c r="AB1484" s="188" t="inlineStr">
        <is>
          <t>NONE</t>
        </is>
      </c>
      <c r="AC1484" s="188" t="n">
        <v>0</v>
      </c>
      <c r="AD1484" s="188" t="inlineStr"/>
    </row>
    <row r="1485">
      <c r="A1485" s="188" t="inlineStr">
        <is>
          <t>CENSYS_EXPOSED</t>
        </is>
      </c>
      <c r="B1485" s="188" t="inlineStr">
        <is>
          <t>188.242.74.195</t>
        </is>
      </c>
      <c r="C1485" s="188" t="inlineStr">
        <is>
          <t>Exposed RDP: 188.242.74.195 | Unknown | Location: Unknown</t>
        </is>
      </c>
      <c r="D1485" s="188" t="n">
        <v>6.5</v>
      </c>
      <c r="E1485" s="188" t="inlineStr">
        <is>
          <t>MEDIUM</t>
        </is>
      </c>
      <c r="F1485" s="188" t="n">
        <v>2</v>
      </c>
      <c r="G1485" s="188" t="n">
        <v>2</v>
      </c>
      <c r="H1485" s="188" t="inlineStr">
        <is>
          <t>MEDIUM</t>
        </is>
      </c>
      <c r="I1485" s="188" t="n">
        <v>10.5</v>
      </c>
      <c r="J1485" s="188" t="inlineStr">
        <is>
          <t>NO</t>
        </is>
      </c>
      <c r="K1485" s="188" t="inlineStr">
        <is>
          <t>https://leakix.net/host/188.242.74.195</t>
        </is>
      </c>
      <c r="L1485" s="188" t="inlineStr">
        <is>
          <t>2026-02-27 20:47</t>
        </is>
      </c>
      <c r="M1485" s="188" t="inlineStr">
        <is>
          <t>Restrict access</t>
        </is>
      </c>
      <c r="N1485" s="188" t="inlineStr">
        <is>
          <t>https://leakix.net/host/188.242.74.195</t>
        </is>
      </c>
      <c r="O1485" s="188" t="inlineStr">
        <is>
          <t>Restrict RDP access | Firewall rule | VPN required</t>
        </is>
      </c>
      <c r="P1485" s="188" t="inlineStr">
        <is>
          <t>Unknown</t>
        </is>
      </c>
      <c r="Q1485" s="188" t="inlineStr">
        <is>
          <t>P4</t>
        </is>
      </c>
      <c r="R1485" s="188" t="inlineStr">
        <is>
          <t>🔍 Investigate and apply appropriate controls</t>
        </is>
      </c>
      <c r="S1485" s="188" t="inlineStr">
        <is>
          <t>See LeakIX for exposed service details</t>
        </is>
      </c>
      <c r="T1485" s="188" t="n">
        <v>0</v>
      </c>
      <c r="U1485" s="188" t="n">
        <v>0</v>
      </c>
      <c r="V1485" s="188" t="inlineStr">
        <is>
          <t>T1021:Remote Services | T1133:External Remote Services</t>
        </is>
      </c>
      <c r="W1485" s="188" t="n">
        <v>1</v>
      </c>
      <c r="X1485" s="188" t="inlineStr">
        <is>
          <t>LOW (40%)</t>
        </is>
      </c>
      <c r="Y1485" s="188" t="inlineStr">
        <is>
          <t>NONE</t>
        </is>
      </c>
      <c r="Z1485" s="188" t="inlineStr">
        <is>
          <t>NONE</t>
        </is>
      </c>
      <c r="AA1485" s="188" t="inlineStr">
        <is>
          <t>NONE</t>
        </is>
      </c>
      <c r="AB1485" s="188" t="inlineStr">
        <is>
          <t>NONE</t>
        </is>
      </c>
      <c r="AC1485" s="188" t="n">
        <v>0</v>
      </c>
      <c r="AD1485" s="188" t="inlineStr"/>
    </row>
    <row r="1486">
      <c r="A1486" s="188" t="inlineStr">
        <is>
          <t>MSRC_UPDATE</t>
        </is>
      </c>
      <c r="B1486" s="188" t="inlineStr">
        <is>
          <t>CVE-2026-0948</t>
        </is>
      </c>
      <c r="C1486" s="188" t="inlineStr">
        <is>
          <t>Microsoft Update: Authentication Bypass Using an Alternate Path or Channel vulnerability in Drupal Microsoft Entra ID SSO Login allows Privilege Escalation.This issue affects Microsoft Entra ID SSO Login: from 0.0.0 be</t>
        </is>
      </c>
      <c r="D1486" s="188" t="n">
        <v>6.5</v>
      </c>
      <c r="E1486" s="188" t="inlineStr">
        <is>
          <t>MEDIUM</t>
        </is>
      </c>
      <c r="F1486" s="188" t="n">
        <v>2</v>
      </c>
      <c r="G1486" s="188" t="n">
        <v>2</v>
      </c>
      <c r="H1486" s="188" t="inlineStr">
        <is>
          <t>MEDIUM</t>
        </is>
      </c>
      <c r="I1486" s="188" t="n">
        <v>10.5</v>
      </c>
      <c r="J1486" s="188" t="inlineStr">
        <is>
          <t>NO</t>
        </is>
      </c>
      <c r="K1486" s="188" t="inlineStr">
        <is>
          <t>https://msrc.microsoft.com/update-guide/vulnerability/CVE-2026-0948</t>
        </is>
      </c>
      <c r="L1486" s="188" t="inlineStr">
        <is>
          <t>2026-02-04T21:15:59.143</t>
        </is>
      </c>
      <c r="M1486" s="188" t="inlineStr">
        <is>
          <t>YES</t>
        </is>
      </c>
      <c r="N1486" s="188" t="inlineStr">
        <is>
          <t>https://msrc.microsoft.com/update-guide/vulnerability/CVE-2026-0948</t>
        </is>
      </c>
      <c r="O1486" s="188" t="inlineStr">
        <is>
          <t>Apply via Windows Update | WSUS | SCCM</t>
        </is>
      </c>
      <c r="P1486" s="188" t="inlineStr">
        <is>
          <t>Microsoft Windows</t>
        </is>
      </c>
      <c r="Q1486" s="188" t="inlineStr">
        <is>
          <t>P4</t>
        </is>
      </c>
      <c r="R1486" s="188" t="inlineStr">
        <is>
          <t>📅 Schedule patch deployment within 30 days | 🔍 Monitor for exploitation attempts</t>
        </is>
      </c>
      <c r="S1486" s="188" t="inlineStr">
        <is>
          <t>Microsoft CVE - no IP context</t>
        </is>
      </c>
      <c r="T1486" s="188" t="n">
        <v>0</v>
      </c>
      <c r="U1486" s="188" t="n">
        <v>0</v>
      </c>
      <c r="V1486" s="188" t="inlineStr">
        <is>
          <t>T1203:Exploitation for Client Execution | T1068:Exploitation for Privilege Escalation</t>
        </is>
      </c>
      <c r="W1486" s="188" t="n">
        <v>1</v>
      </c>
      <c r="X1486" s="188" t="inlineStr">
        <is>
          <t>LOW (40%)</t>
        </is>
      </c>
      <c r="Y1486" s="188" t="inlineStr">
        <is>
          <t>CHECK_MSRC</t>
        </is>
      </c>
      <c r="Z1486" s="188" t="inlineStr">
        <is>
          <t>YES</t>
        </is>
      </c>
      <c r="AA1486" s="188" t="inlineStr">
        <is>
          <t>https://msrc.microsoft.com/update-guide/vulnerability/CVE-2026-0948</t>
        </is>
      </c>
      <c r="AB1486" s="188" t="inlineStr">
        <is>
          <t>NONE</t>
        </is>
      </c>
      <c r="AC1486" s="188" t="n">
        <v>0</v>
      </c>
      <c r="AD1486" s="188" t="inlineStr"/>
    </row>
    <row r="1487">
      <c r="A1487" s="188" t="inlineStr">
        <is>
          <t>MSRC_UPDATE</t>
        </is>
      </c>
      <c r="B1487" s="188" t="inlineStr">
        <is>
          <t>CVE-2026-0391</t>
        </is>
      </c>
      <c r="C1487" s="188" t="inlineStr">
        <is>
          <t>Microsoft Update: User interface (ui) misrepresentation of critical information in Microsoft Edge for Android allows an unauthorized attacker to perform spoofing over a network.</t>
        </is>
      </c>
      <c r="D1487" s="188" t="n">
        <v>6.5</v>
      </c>
      <c r="E1487" s="188" t="inlineStr">
        <is>
          <t>MEDIUM</t>
        </is>
      </c>
      <c r="F1487" s="188" t="n">
        <v>2</v>
      </c>
      <c r="G1487" s="188" t="n">
        <v>2</v>
      </c>
      <c r="H1487" s="188" t="inlineStr">
        <is>
          <t>MEDIUM</t>
        </is>
      </c>
      <c r="I1487" s="188" t="n">
        <v>10.5</v>
      </c>
      <c r="J1487" s="188" t="inlineStr">
        <is>
          <t>NO</t>
        </is>
      </c>
      <c r="K1487" s="188" t="inlineStr">
        <is>
          <t>https://msrc.microsoft.com/update-guide/vulnerability/CVE-2026-0391</t>
        </is>
      </c>
      <c r="L1487" s="188" t="inlineStr">
        <is>
          <t>2026-02-05T23:15:54.093</t>
        </is>
      </c>
      <c r="M1487" s="188" t="inlineStr">
        <is>
          <t>YES</t>
        </is>
      </c>
      <c r="N1487" s="188" t="inlineStr">
        <is>
          <t>https://msrc.microsoft.com/update-guide/vulnerability/CVE-2026-0391</t>
        </is>
      </c>
      <c r="O1487" s="188" t="inlineStr">
        <is>
          <t>Apply via Windows Update | WSUS | SCCM</t>
        </is>
      </c>
      <c r="P1487" s="188" t="inlineStr">
        <is>
          <t>Microsoft Windows</t>
        </is>
      </c>
      <c r="Q1487" s="188" t="inlineStr">
        <is>
          <t>P4</t>
        </is>
      </c>
      <c r="R1487" s="188" t="inlineStr">
        <is>
          <t>📅 Schedule patch deployment within 30 days | 🔍 Monitor for exploitation attempts</t>
        </is>
      </c>
      <c r="S1487" s="188" t="inlineStr">
        <is>
          <t>Microsoft CVE - no IP context</t>
        </is>
      </c>
      <c r="T1487" s="188" t="n">
        <v>0</v>
      </c>
      <c r="U1487" s="188" t="n">
        <v>0</v>
      </c>
      <c r="V1487" s="188" t="inlineStr">
        <is>
          <t>T1203:Exploitation for Client Execution | T1068:Exploitation for Privilege Escalation</t>
        </is>
      </c>
      <c r="W1487" s="188" t="n">
        <v>1</v>
      </c>
      <c r="X1487" s="188" t="inlineStr">
        <is>
          <t>LOW (40%)</t>
        </is>
      </c>
      <c r="Y1487" s="188" t="inlineStr">
        <is>
          <t>CHECK_MSRC</t>
        </is>
      </c>
      <c r="Z1487" s="188" t="inlineStr">
        <is>
          <t>YES</t>
        </is>
      </c>
      <c r="AA1487" s="188" t="inlineStr">
        <is>
          <t>https://msrc.microsoft.com/update-guide/vulnerability/CVE-2026-0391</t>
        </is>
      </c>
      <c r="AB1487" s="188" t="inlineStr">
        <is>
          <t>NONE</t>
        </is>
      </c>
      <c r="AC1487" s="188" t="n">
        <v>0</v>
      </c>
      <c r="AD1487" s="188" t="inlineStr"/>
    </row>
    <row r="1488">
      <c r="A1488" s="189" t="inlineStr">
        <is>
          <t>MSRC_UPDATE</t>
        </is>
      </c>
      <c r="B1488" s="189" t="inlineStr">
        <is>
          <t>CVE-2026-25592</t>
        </is>
      </c>
      <c r="C1488" s="189" t="inlineStr">
        <is>
          <t>Microsoft Update: Semantic Kernel is an SDK used to build, orchestrate, and deploy AI agents and multi-agent systems. Prior to 1.71.0, an Arbitrary File Write vulnerability has been identified in Microsoft's Semantic K</t>
        </is>
      </c>
      <c r="D1488" s="189" t="n">
        <v>9.9</v>
      </c>
      <c r="E1488" s="189" t="inlineStr">
        <is>
          <t>CRITICAL</t>
        </is>
      </c>
      <c r="F1488" s="189" t="n">
        <v>2</v>
      </c>
      <c r="G1488" s="189" t="n">
        <v>2</v>
      </c>
      <c r="H1488" s="189" t="inlineStr">
        <is>
          <t>MEDIUM</t>
        </is>
      </c>
      <c r="I1488" s="189" t="n">
        <v>13.9</v>
      </c>
      <c r="J1488" s="189" t="inlineStr">
        <is>
          <t>NO</t>
        </is>
      </c>
      <c r="K1488" s="189" t="inlineStr">
        <is>
          <t>https://msrc.microsoft.com/update-guide/vulnerability/CVE-2026-25592</t>
        </is>
      </c>
      <c r="L1488" s="189" t="inlineStr">
        <is>
          <t>2026-02-06T21:16:17.647</t>
        </is>
      </c>
      <c r="M1488" s="189" t="inlineStr">
        <is>
          <t>YES</t>
        </is>
      </c>
      <c r="N1488" s="189" t="inlineStr">
        <is>
          <t>https://msrc.microsoft.com/update-guide/vulnerability/CVE-2026-25592</t>
        </is>
      </c>
      <c r="O1488" s="189" t="inlineStr">
        <is>
          <t>Apply via Windows Update | WSUS | SCCM</t>
        </is>
      </c>
      <c r="P1488" s="189" t="inlineStr">
        <is>
          <t>Microsoft Windows</t>
        </is>
      </c>
      <c r="Q1488" s="189" t="inlineStr">
        <is>
          <t>P4</t>
        </is>
      </c>
      <c r="R1488" s="189" t="inlineStr">
        <is>
          <t>📅 Schedule patch deployment within 30 days | 🔍 Monitor for exploitation attempts</t>
        </is>
      </c>
      <c r="S1488" s="189" t="inlineStr">
        <is>
          <t>Microsoft CVE - no IP context</t>
        </is>
      </c>
      <c r="T1488" s="189" t="n">
        <v>0</v>
      </c>
      <c r="U1488" s="189" t="n">
        <v>0</v>
      </c>
      <c r="V1488" s="189" t="inlineStr">
        <is>
          <t>T1203:Exploitation for Client Execution | T1068:Exploitation for Privilege Escalation</t>
        </is>
      </c>
      <c r="W1488" s="189" t="n">
        <v>1</v>
      </c>
      <c r="X1488" s="189" t="inlineStr">
        <is>
          <t>LOW (40%)</t>
        </is>
      </c>
      <c r="Y1488" s="189" t="inlineStr">
        <is>
          <t>CHECK_MSRC</t>
        </is>
      </c>
      <c r="Z1488" s="189" t="inlineStr">
        <is>
          <t>YES</t>
        </is>
      </c>
      <c r="AA1488" s="189" t="inlineStr">
        <is>
          <t>https://msrc.microsoft.com/update-guide/vulnerability/CVE-2026-25592</t>
        </is>
      </c>
      <c r="AB1488" s="189" t="inlineStr">
        <is>
          <t>NONE</t>
        </is>
      </c>
      <c r="AC1488" s="189" t="n">
        <v>0</v>
      </c>
      <c r="AD1488" s="189" t="inlineStr"/>
    </row>
    <row r="1489">
      <c r="A1489" s="187" t="inlineStr">
        <is>
          <t>MSRC_UPDATE</t>
        </is>
      </c>
      <c r="B1489" s="187" t="inlineStr">
        <is>
          <t>CVE-2026-21235</t>
        </is>
      </c>
      <c r="C1489" s="187" t="inlineStr">
        <is>
          <t>Microsoft Update: Use after free in Microsoft Graphics Component allows an authorized attacker to elevate privileges locally.</t>
        </is>
      </c>
      <c r="D1489" s="187" t="n">
        <v>7.3</v>
      </c>
      <c r="E1489" s="187" t="inlineStr">
        <is>
          <t>HIGH</t>
        </is>
      </c>
      <c r="F1489" s="187" t="n">
        <v>2</v>
      </c>
      <c r="G1489" s="187" t="n">
        <v>2</v>
      </c>
      <c r="H1489" s="187" t="inlineStr">
        <is>
          <t>MEDIUM</t>
        </is>
      </c>
      <c r="I1489" s="187" t="n">
        <v>11.3</v>
      </c>
      <c r="J1489" s="187" t="inlineStr">
        <is>
          <t>NO</t>
        </is>
      </c>
      <c r="K1489" s="187" t="inlineStr">
        <is>
          <t>https://msrc.microsoft.com/update-guide/vulnerability/CVE-2026-21235</t>
        </is>
      </c>
      <c r="L1489" s="187" t="inlineStr">
        <is>
          <t>2026-02-10T18:16:24.090</t>
        </is>
      </c>
      <c r="M1489" s="187" t="inlineStr">
        <is>
          <t>YES</t>
        </is>
      </c>
      <c r="N1489" s="187" t="inlineStr">
        <is>
          <t>https://msrc.microsoft.com/update-guide/vulnerability/CVE-2026-21235</t>
        </is>
      </c>
      <c r="O1489" s="187" t="inlineStr">
        <is>
          <t>Apply via Windows Update | WSUS | SCCM</t>
        </is>
      </c>
      <c r="P1489" s="187" t="inlineStr">
        <is>
          <t>Microsoft Windows</t>
        </is>
      </c>
      <c r="Q1489" s="187" t="inlineStr">
        <is>
          <t>P4</t>
        </is>
      </c>
      <c r="R1489" s="187" t="inlineStr">
        <is>
          <t>📅 Schedule patch deployment within 30 days | 🔍 Monitor for exploitation attempts</t>
        </is>
      </c>
      <c r="S1489" s="187" t="inlineStr">
        <is>
          <t>Microsoft CVE - no IP context</t>
        </is>
      </c>
      <c r="T1489" s="187" t="n">
        <v>0</v>
      </c>
      <c r="U1489" s="187" t="n">
        <v>0</v>
      </c>
      <c r="V1489" s="187" t="inlineStr">
        <is>
          <t>T1203:Exploitation for Client Execution | T1068:Exploitation for Privilege Escalation</t>
        </is>
      </c>
      <c r="W1489" s="187" t="n">
        <v>1</v>
      </c>
      <c r="X1489" s="187" t="inlineStr">
        <is>
          <t>LOW (40%)</t>
        </is>
      </c>
      <c r="Y1489" s="187" t="inlineStr">
        <is>
          <t>CHECK_MSRC</t>
        </is>
      </c>
      <c r="Z1489" s="187" t="inlineStr">
        <is>
          <t>YES</t>
        </is>
      </c>
      <c r="AA1489" s="187" t="inlineStr">
        <is>
          <t>https://msrc.microsoft.com/update-guide/vulnerability/CVE-2026-21235</t>
        </is>
      </c>
      <c r="AB1489" s="187" t="inlineStr">
        <is>
          <t>NONE</t>
        </is>
      </c>
      <c r="AC1489" s="187" t="n">
        <v>0</v>
      </c>
      <c r="AD1489" s="187" t="inlineStr"/>
    </row>
    <row r="1490">
      <c r="A1490" s="187" t="inlineStr">
        <is>
          <t>MSRC_UPDATE</t>
        </is>
      </c>
      <c r="B1490" s="187" t="inlineStr">
        <is>
          <t>CVE-2026-21246</t>
        </is>
      </c>
      <c r="C1490" s="187" t="inlineStr">
        <is>
          <t>Microsoft Update: Heap-based buffer overflow in Microsoft Graphics Component allows an authorized attacker to elevate privileges locally.</t>
        </is>
      </c>
      <c r="D1490" s="187" t="n">
        <v>7.8</v>
      </c>
      <c r="E1490" s="187" t="inlineStr">
        <is>
          <t>HIGH</t>
        </is>
      </c>
      <c r="F1490" s="187" t="n">
        <v>2</v>
      </c>
      <c r="G1490" s="187" t="n">
        <v>2</v>
      </c>
      <c r="H1490" s="187" t="inlineStr">
        <is>
          <t>MEDIUM</t>
        </is>
      </c>
      <c r="I1490" s="187" t="n">
        <v>11.8</v>
      </c>
      <c r="J1490" s="187" t="inlineStr">
        <is>
          <t>NO</t>
        </is>
      </c>
      <c r="K1490" s="187" t="inlineStr">
        <is>
          <t>https://msrc.microsoft.com/update-guide/vulnerability/CVE-2026-21246</t>
        </is>
      </c>
      <c r="L1490" s="187" t="inlineStr">
        <is>
          <t>2026-02-10T18:16:26.010</t>
        </is>
      </c>
      <c r="M1490" s="187" t="inlineStr">
        <is>
          <t>YES</t>
        </is>
      </c>
      <c r="N1490" s="187" t="inlineStr">
        <is>
          <t>https://msrc.microsoft.com/update-guide/vulnerability/CVE-2026-21246</t>
        </is>
      </c>
      <c r="O1490" s="187" t="inlineStr">
        <is>
          <t>Apply via Windows Update | WSUS | SCCM</t>
        </is>
      </c>
      <c r="P1490" s="187" t="inlineStr">
        <is>
          <t>Microsoft Windows</t>
        </is>
      </c>
      <c r="Q1490" s="187" t="inlineStr">
        <is>
          <t>P4</t>
        </is>
      </c>
      <c r="R1490" s="187" t="inlineStr">
        <is>
          <t>📅 Schedule patch deployment within 30 days | 🔍 Monitor for exploitation attempts</t>
        </is>
      </c>
      <c r="S1490" s="187" t="inlineStr">
        <is>
          <t>Microsoft CVE - no IP context</t>
        </is>
      </c>
      <c r="T1490" s="187" t="n">
        <v>0</v>
      </c>
      <c r="U1490" s="187" t="n">
        <v>0</v>
      </c>
      <c r="V1490" s="187" t="inlineStr">
        <is>
          <t>T1203:Exploitation for Client Execution | T1068:Exploitation for Privilege Escalation</t>
        </is>
      </c>
      <c r="W1490" s="187" t="n">
        <v>1</v>
      </c>
      <c r="X1490" s="187" t="inlineStr">
        <is>
          <t>LOW (40%)</t>
        </is>
      </c>
      <c r="Y1490" s="187" t="inlineStr">
        <is>
          <t>CHECK_MSRC</t>
        </is>
      </c>
      <c r="Z1490" s="187" t="inlineStr">
        <is>
          <t>YES</t>
        </is>
      </c>
      <c r="AA1490" s="187" t="inlineStr">
        <is>
          <t>https://msrc.microsoft.com/update-guide/vulnerability/CVE-2026-21246</t>
        </is>
      </c>
      <c r="AB1490" s="187" t="inlineStr">
        <is>
          <t>NONE</t>
        </is>
      </c>
      <c r="AC1490" s="187" t="n">
        <v>0</v>
      </c>
      <c r="AD1490" s="187" t="inlineStr"/>
    </row>
    <row r="1491">
      <c r="A1491" s="188" t="inlineStr">
        <is>
          <t>MSRC_UPDATE</t>
        </is>
      </c>
      <c r="B1491" s="188" t="inlineStr">
        <is>
          <t>CVE-2026-21258</t>
        </is>
      </c>
      <c r="C1491" s="188" t="inlineStr">
        <is>
          <t>Microsoft Update: Improper input validation in Microsoft Office Excel allows an unauthorized attacker to disclose information locally.</t>
        </is>
      </c>
      <c r="D1491" s="188" t="n">
        <v>5.5</v>
      </c>
      <c r="E1491" s="188" t="inlineStr">
        <is>
          <t>MEDIUM</t>
        </is>
      </c>
      <c r="F1491" s="188" t="n">
        <v>2</v>
      </c>
      <c r="G1491" s="188" t="n">
        <v>2</v>
      </c>
      <c r="H1491" s="188" t="inlineStr">
        <is>
          <t>MEDIUM</t>
        </is>
      </c>
      <c r="I1491" s="188" t="n">
        <v>9.5</v>
      </c>
      <c r="J1491" s="188" t="inlineStr">
        <is>
          <t>NO</t>
        </is>
      </c>
      <c r="K1491" s="188" t="inlineStr">
        <is>
          <t>https://msrc.microsoft.com/update-guide/vulnerability/CVE-2026-21258</t>
        </is>
      </c>
      <c r="L1491" s="188" t="inlineStr">
        <is>
          <t>2026-02-10T18:16:27.637</t>
        </is>
      </c>
      <c r="M1491" s="188" t="inlineStr">
        <is>
          <t>YES</t>
        </is>
      </c>
      <c r="N1491" s="188" t="inlineStr">
        <is>
          <t>https://msrc.microsoft.com/update-guide/vulnerability/CVE-2026-21258</t>
        </is>
      </c>
      <c r="O1491" s="188" t="inlineStr">
        <is>
          <t>Apply via Windows Update | WSUS | SCCM</t>
        </is>
      </c>
      <c r="P1491" s="188" t="inlineStr">
        <is>
          <t>Microsoft Windows</t>
        </is>
      </c>
      <c r="Q1491" s="188" t="inlineStr">
        <is>
          <t>P4</t>
        </is>
      </c>
      <c r="R1491" s="188" t="inlineStr">
        <is>
          <t>📅 Schedule patch deployment within 30 days | 🔍 Monitor for exploitation attempts</t>
        </is>
      </c>
      <c r="S1491" s="188" t="inlineStr">
        <is>
          <t>Microsoft CVE - no IP context</t>
        </is>
      </c>
      <c r="T1491" s="188" t="n">
        <v>0</v>
      </c>
      <c r="U1491" s="188" t="n">
        <v>0</v>
      </c>
      <c r="V1491" s="188" t="inlineStr">
        <is>
          <t>T1203:Exploitation for Client Execution | T1068:Exploitation for Privilege Escalation</t>
        </is>
      </c>
      <c r="W1491" s="188" t="n">
        <v>1</v>
      </c>
      <c r="X1491" s="188" t="inlineStr">
        <is>
          <t>LOW (40%)</t>
        </is>
      </c>
      <c r="Y1491" s="188" t="inlineStr">
        <is>
          <t>CHECK_MSRC</t>
        </is>
      </c>
      <c r="Z1491" s="188" t="inlineStr">
        <is>
          <t>YES</t>
        </is>
      </c>
      <c r="AA1491" s="188" t="inlineStr">
        <is>
          <t>https://msrc.microsoft.com/update-guide/vulnerability/CVE-2026-21258</t>
        </is>
      </c>
      <c r="AB1491" s="188" t="inlineStr">
        <is>
          <t>NONE</t>
        </is>
      </c>
      <c r="AC1491" s="188" t="n">
        <v>0</v>
      </c>
      <c r="AD1491" s="188" t="inlineStr"/>
    </row>
    <row r="1492">
      <c r="A1492" s="187" t="inlineStr">
        <is>
          <t>MSRC_UPDATE</t>
        </is>
      </c>
      <c r="B1492" s="187" t="inlineStr">
        <is>
          <t>CVE-2026-21259</t>
        </is>
      </c>
      <c r="C1492" s="187" t="inlineStr">
        <is>
          <t>Microsoft Update: Heap-based buffer overflow in Microsoft Office Excel allows an unauthorized attacker to elevate privileges locally.</t>
        </is>
      </c>
      <c r="D1492" s="187" t="n">
        <v>7.8</v>
      </c>
      <c r="E1492" s="187" t="inlineStr">
        <is>
          <t>HIGH</t>
        </is>
      </c>
      <c r="F1492" s="187" t="n">
        <v>2</v>
      </c>
      <c r="G1492" s="187" t="n">
        <v>2</v>
      </c>
      <c r="H1492" s="187" t="inlineStr">
        <is>
          <t>MEDIUM</t>
        </is>
      </c>
      <c r="I1492" s="187" t="n">
        <v>11.8</v>
      </c>
      <c r="J1492" s="187" t="inlineStr">
        <is>
          <t>NO</t>
        </is>
      </c>
      <c r="K1492" s="187" t="inlineStr">
        <is>
          <t>https://msrc.microsoft.com/update-guide/vulnerability/CVE-2026-21259</t>
        </is>
      </c>
      <c r="L1492" s="187" t="inlineStr">
        <is>
          <t>2026-02-10T18:16:27.790</t>
        </is>
      </c>
      <c r="M1492" s="187" t="inlineStr">
        <is>
          <t>YES</t>
        </is>
      </c>
      <c r="N1492" s="187" t="inlineStr">
        <is>
          <t>https://msrc.microsoft.com/update-guide/vulnerability/CVE-2026-21259</t>
        </is>
      </c>
      <c r="O1492" s="187" t="inlineStr">
        <is>
          <t>Apply via Windows Update | WSUS | SCCM</t>
        </is>
      </c>
      <c r="P1492" s="187" t="inlineStr">
        <is>
          <t>Microsoft Windows</t>
        </is>
      </c>
      <c r="Q1492" s="187" t="inlineStr">
        <is>
          <t>P4</t>
        </is>
      </c>
      <c r="R1492" s="187" t="inlineStr">
        <is>
          <t>📅 Schedule patch deployment within 30 days | 🔍 Monitor for exploitation attempts</t>
        </is>
      </c>
      <c r="S1492" s="187" t="inlineStr">
        <is>
          <t>Microsoft CVE - no IP context</t>
        </is>
      </c>
      <c r="T1492" s="187" t="n">
        <v>0</v>
      </c>
      <c r="U1492" s="187" t="n">
        <v>0</v>
      </c>
      <c r="V1492" s="187" t="inlineStr">
        <is>
          <t>T1203:Exploitation for Client Execution | T1068:Exploitation for Privilege Escalation</t>
        </is>
      </c>
      <c r="W1492" s="187" t="n">
        <v>1</v>
      </c>
      <c r="X1492" s="187" t="inlineStr">
        <is>
          <t>LOW (40%)</t>
        </is>
      </c>
      <c r="Y1492" s="187" t="inlineStr">
        <is>
          <t>CHECK_MSRC</t>
        </is>
      </c>
      <c r="Z1492" s="187" t="inlineStr">
        <is>
          <t>YES</t>
        </is>
      </c>
      <c r="AA1492" s="187" t="inlineStr">
        <is>
          <t>https://msrc.microsoft.com/update-guide/vulnerability/CVE-2026-21259</t>
        </is>
      </c>
      <c r="AB1492" s="187" t="inlineStr">
        <is>
          <t>NONE</t>
        </is>
      </c>
      <c r="AC1492" s="187" t="n">
        <v>0</v>
      </c>
      <c r="AD1492" s="187" t="inlineStr"/>
    </row>
    <row r="1493">
      <c r="A1493" s="187" t="inlineStr">
        <is>
          <t>MSRC_UPDATE</t>
        </is>
      </c>
      <c r="B1493" s="187" t="inlineStr">
        <is>
          <t>CVE-2026-21260</t>
        </is>
      </c>
      <c r="C1493" s="187" t="inlineStr">
        <is>
          <t>Microsoft Update: Exposure of sensitive information to an unauthorized actor in Microsoft Office Outlook allows an unauthorized attacker to perform spoofing over a network.</t>
        </is>
      </c>
      <c r="D1493" s="187" t="n">
        <v>7.5</v>
      </c>
      <c r="E1493" s="187" t="inlineStr">
        <is>
          <t>HIGH</t>
        </is>
      </c>
      <c r="F1493" s="187" t="n">
        <v>2</v>
      </c>
      <c r="G1493" s="187" t="n">
        <v>2</v>
      </c>
      <c r="H1493" s="187" t="inlineStr">
        <is>
          <t>MEDIUM</t>
        </is>
      </c>
      <c r="I1493" s="187" t="n">
        <v>11.5</v>
      </c>
      <c r="J1493" s="187" t="inlineStr">
        <is>
          <t>NO</t>
        </is>
      </c>
      <c r="K1493" s="187" t="inlineStr">
        <is>
          <t>https://msrc.microsoft.com/update-guide/vulnerability/CVE-2026-21260</t>
        </is>
      </c>
      <c r="L1493" s="187" t="inlineStr">
        <is>
          <t>2026-02-10T18:16:27.947</t>
        </is>
      </c>
      <c r="M1493" s="187" t="inlineStr">
        <is>
          <t>YES</t>
        </is>
      </c>
      <c r="N1493" s="187" t="inlineStr">
        <is>
          <t>https://msrc.microsoft.com/update-guide/vulnerability/CVE-2026-21260</t>
        </is>
      </c>
      <c r="O1493" s="187" t="inlineStr">
        <is>
          <t>Apply via Windows Update | WSUS | SCCM</t>
        </is>
      </c>
      <c r="P1493" s="187" t="inlineStr">
        <is>
          <t>Microsoft Windows</t>
        </is>
      </c>
      <c r="Q1493" s="187" t="inlineStr">
        <is>
          <t>P4</t>
        </is>
      </c>
      <c r="R1493" s="187" t="inlineStr">
        <is>
          <t>📅 Schedule patch deployment within 30 days | 🔍 Monitor for exploitation attempts</t>
        </is>
      </c>
      <c r="S1493" s="187" t="inlineStr">
        <is>
          <t>Microsoft CVE - no IP context</t>
        </is>
      </c>
      <c r="T1493" s="187" t="n">
        <v>0</v>
      </c>
      <c r="U1493" s="187" t="n">
        <v>0</v>
      </c>
      <c r="V1493" s="187" t="inlineStr">
        <is>
          <t>T1203:Exploitation for Client Execution | T1068:Exploitation for Privilege Escalation</t>
        </is>
      </c>
      <c r="W1493" s="187" t="n">
        <v>1</v>
      </c>
      <c r="X1493" s="187" t="inlineStr">
        <is>
          <t>LOW (40%)</t>
        </is>
      </c>
      <c r="Y1493" s="187" t="inlineStr">
        <is>
          <t>CHECK_MSRC</t>
        </is>
      </c>
      <c r="Z1493" s="187" t="inlineStr">
        <is>
          <t>YES</t>
        </is>
      </c>
      <c r="AA1493" s="187" t="inlineStr">
        <is>
          <t>https://msrc.microsoft.com/update-guide/vulnerability/CVE-2026-21260</t>
        </is>
      </c>
      <c r="AB1493" s="187" t="inlineStr">
        <is>
          <t>NONE</t>
        </is>
      </c>
      <c r="AC1493" s="187" t="n">
        <v>0</v>
      </c>
      <c r="AD1493" s="187" t="inlineStr"/>
    </row>
    <row r="1494">
      <c r="A1494" s="188" t="inlineStr">
        <is>
          <t>MSRC_UPDATE</t>
        </is>
      </c>
      <c r="B1494" s="188" t="inlineStr">
        <is>
          <t>CVE-2026-21261</t>
        </is>
      </c>
      <c r="C1494" s="188" t="inlineStr">
        <is>
          <t>Microsoft Update: Out-of-bounds read in Microsoft Office Excel allows an unauthorized attacker to disclose information locally.</t>
        </is>
      </c>
      <c r="D1494" s="188" t="n">
        <v>5.5</v>
      </c>
      <c r="E1494" s="188" t="inlineStr">
        <is>
          <t>MEDIUM</t>
        </is>
      </c>
      <c r="F1494" s="188" t="n">
        <v>2</v>
      </c>
      <c r="G1494" s="188" t="n">
        <v>2</v>
      </c>
      <c r="H1494" s="188" t="inlineStr">
        <is>
          <t>MEDIUM</t>
        </is>
      </c>
      <c r="I1494" s="188" t="n">
        <v>9.5</v>
      </c>
      <c r="J1494" s="188" t="inlineStr">
        <is>
          <t>NO</t>
        </is>
      </c>
      <c r="K1494" s="188" t="inlineStr">
        <is>
          <t>https://msrc.microsoft.com/update-guide/vulnerability/CVE-2026-21261</t>
        </is>
      </c>
      <c r="L1494" s="188" t="inlineStr">
        <is>
          <t>2026-02-10T18:16:28.107</t>
        </is>
      </c>
      <c r="M1494" s="188" t="inlineStr">
        <is>
          <t>YES</t>
        </is>
      </c>
      <c r="N1494" s="188" t="inlineStr">
        <is>
          <t>https://msrc.microsoft.com/update-guide/vulnerability/CVE-2026-21261</t>
        </is>
      </c>
      <c r="O1494" s="188" t="inlineStr">
        <is>
          <t>Apply via Windows Update | WSUS | SCCM</t>
        </is>
      </c>
      <c r="P1494" s="188" t="inlineStr">
        <is>
          <t>Microsoft Windows</t>
        </is>
      </c>
      <c r="Q1494" s="188" t="inlineStr">
        <is>
          <t>P4</t>
        </is>
      </c>
      <c r="R1494" s="188" t="inlineStr">
        <is>
          <t>📅 Schedule patch deployment within 30 days | 🔍 Monitor for exploitation attempts</t>
        </is>
      </c>
      <c r="S1494" s="188" t="inlineStr">
        <is>
          <t>Microsoft CVE - no IP context</t>
        </is>
      </c>
      <c r="T1494" s="188" t="n">
        <v>0</v>
      </c>
      <c r="U1494" s="188" t="n">
        <v>0</v>
      </c>
      <c r="V1494" s="188" t="inlineStr">
        <is>
          <t>T1203:Exploitation for Client Execution | T1068:Exploitation for Privilege Escalation</t>
        </is>
      </c>
      <c r="W1494" s="188" t="n">
        <v>1</v>
      </c>
      <c r="X1494" s="188" t="inlineStr">
        <is>
          <t>LOW (40%)</t>
        </is>
      </c>
      <c r="Y1494" s="188" t="inlineStr">
        <is>
          <t>CHECK_MSRC</t>
        </is>
      </c>
      <c r="Z1494" s="188" t="inlineStr">
        <is>
          <t>YES</t>
        </is>
      </c>
      <c r="AA1494" s="188" t="inlineStr">
        <is>
          <t>https://msrc.microsoft.com/update-guide/vulnerability/CVE-2026-21261</t>
        </is>
      </c>
      <c r="AB1494" s="188" t="inlineStr">
        <is>
          <t>NONE</t>
        </is>
      </c>
      <c r="AC1494" s="188" t="n">
        <v>0</v>
      </c>
      <c r="AD1494" s="188" t="inlineStr"/>
    </row>
    <row r="1495">
      <c r="A1495" s="187" t="inlineStr">
        <is>
          <t>MSRC_UPDATE</t>
        </is>
      </c>
      <c r="B1495" s="187" t="inlineStr">
        <is>
          <t>CVE-2026-21511</t>
        </is>
      </c>
      <c r="C1495" s="187" t="inlineStr">
        <is>
          <t>Microsoft Update: Deserialization of untrusted data in Microsoft Office Outlook allows an unauthorized attacker to perform spoofing over a network.</t>
        </is>
      </c>
      <c r="D1495" s="187" t="n">
        <v>7.5</v>
      </c>
      <c r="E1495" s="187" t="inlineStr">
        <is>
          <t>HIGH</t>
        </is>
      </c>
      <c r="F1495" s="187" t="n">
        <v>2</v>
      </c>
      <c r="G1495" s="187" t="n">
        <v>2</v>
      </c>
      <c r="H1495" s="187" t="inlineStr">
        <is>
          <t>MEDIUM</t>
        </is>
      </c>
      <c r="I1495" s="187" t="n">
        <v>11.5</v>
      </c>
      <c r="J1495" s="187" t="inlineStr">
        <is>
          <t>NO</t>
        </is>
      </c>
      <c r="K1495" s="187" t="inlineStr">
        <is>
          <t>https://msrc.microsoft.com/update-guide/vulnerability/CVE-2026-21511</t>
        </is>
      </c>
      <c r="L1495" s="187" t="inlineStr">
        <is>
          <t>2026-02-10T18:16:33.337</t>
        </is>
      </c>
      <c r="M1495" s="187" t="inlineStr">
        <is>
          <t>YES</t>
        </is>
      </c>
      <c r="N1495" s="187" t="inlineStr">
        <is>
          <t>https://msrc.microsoft.com/update-guide/vulnerability/CVE-2026-21511</t>
        </is>
      </c>
      <c r="O1495" s="187" t="inlineStr">
        <is>
          <t>Apply via Windows Update | WSUS | SCCM</t>
        </is>
      </c>
      <c r="P1495" s="187" t="inlineStr">
        <is>
          <t>Microsoft Windows</t>
        </is>
      </c>
      <c r="Q1495" s="187" t="inlineStr">
        <is>
          <t>P4</t>
        </is>
      </c>
      <c r="R1495" s="187" t="inlineStr">
        <is>
          <t>📅 Schedule patch deployment within 30 days | 🔍 Monitor for exploitation attempts</t>
        </is>
      </c>
      <c r="S1495" s="187" t="inlineStr">
        <is>
          <t>Microsoft CVE - no IP context</t>
        </is>
      </c>
      <c r="T1495" s="187" t="n">
        <v>0</v>
      </c>
      <c r="U1495" s="187" t="n">
        <v>0</v>
      </c>
      <c r="V1495" s="187" t="inlineStr">
        <is>
          <t>T1203:Exploitation for Client Execution | T1068:Exploitation for Privilege Escalation</t>
        </is>
      </c>
      <c r="W1495" s="187" t="n">
        <v>1</v>
      </c>
      <c r="X1495" s="187" t="inlineStr">
        <is>
          <t>LOW (40%)</t>
        </is>
      </c>
      <c r="Y1495" s="187" t="inlineStr">
        <is>
          <t>CHECK_MSRC</t>
        </is>
      </c>
      <c r="Z1495" s="187" t="inlineStr">
        <is>
          <t>YES</t>
        </is>
      </c>
      <c r="AA1495" s="187" t="inlineStr">
        <is>
          <t>https://msrc.microsoft.com/update-guide/vulnerability/CVE-2026-21511</t>
        </is>
      </c>
      <c r="AB1495" s="187" t="inlineStr">
        <is>
          <t>NONE</t>
        </is>
      </c>
      <c r="AC1495" s="187" t="n">
        <v>0</v>
      </c>
      <c r="AD1495" s="187" t="inlineStr"/>
    </row>
    <row r="1496">
      <c r="A1496" s="187" t="inlineStr">
        <is>
          <t>MSRC_UPDATE</t>
        </is>
      </c>
      <c r="B1496" s="187" t="inlineStr">
        <is>
          <t>CVE-2026-21514</t>
        </is>
      </c>
      <c r="C1496" s="187" t="inlineStr">
        <is>
          <t>Microsoft Update: Reliance on untrusted inputs in a security decision in Microsoft Office Word allows an unauthorized attacker to bypass a security feature locally.</t>
        </is>
      </c>
      <c r="D1496" s="187" t="n">
        <v>7.8</v>
      </c>
      <c r="E1496" s="187" t="inlineStr">
        <is>
          <t>HIGH</t>
        </is>
      </c>
      <c r="F1496" s="187" t="n">
        <v>2</v>
      </c>
      <c r="G1496" s="187" t="n">
        <v>2</v>
      </c>
      <c r="H1496" s="187" t="inlineStr">
        <is>
          <t>MEDIUM</t>
        </is>
      </c>
      <c r="I1496" s="187" t="n">
        <v>11.8</v>
      </c>
      <c r="J1496" s="187" t="inlineStr">
        <is>
          <t>NO</t>
        </is>
      </c>
      <c r="K1496" s="187" t="inlineStr">
        <is>
          <t>https://msrc.microsoft.com/update-guide/vulnerability/CVE-2026-21514</t>
        </is>
      </c>
      <c r="L1496" s="187" t="inlineStr">
        <is>
          <t>2026-02-10T18:16:33.803</t>
        </is>
      </c>
      <c r="M1496" s="187" t="inlineStr">
        <is>
          <t>YES</t>
        </is>
      </c>
      <c r="N1496" s="187" t="inlineStr">
        <is>
          <t>https://msrc.microsoft.com/update-guide/vulnerability/CVE-2026-21514</t>
        </is>
      </c>
      <c r="O1496" s="187" t="inlineStr">
        <is>
          <t>Apply via Windows Update | WSUS | SCCM</t>
        </is>
      </c>
      <c r="P1496" s="187" t="inlineStr">
        <is>
          <t>Microsoft Windows</t>
        </is>
      </c>
      <c r="Q1496" s="187" t="inlineStr">
        <is>
          <t>P4</t>
        </is>
      </c>
      <c r="R1496" s="187" t="inlineStr">
        <is>
          <t>📅 Schedule patch deployment within 30 days | 🔍 Monitor for exploitation attempts</t>
        </is>
      </c>
      <c r="S1496" s="187" t="inlineStr">
        <is>
          <t>Microsoft CVE - no IP context</t>
        </is>
      </c>
      <c r="T1496" s="187" t="n">
        <v>0</v>
      </c>
      <c r="U1496" s="187" t="n">
        <v>0</v>
      </c>
      <c r="V1496" s="187" t="inlineStr">
        <is>
          <t>T1203:Exploitation for Client Execution | T1068:Exploitation for Privilege Escalation</t>
        </is>
      </c>
      <c r="W1496" s="187" t="n">
        <v>1</v>
      </c>
      <c r="X1496" s="187" t="inlineStr">
        <is>
          <t>LOW (40%)</t>
        </is>
      </c>
      <c r="Y1496" s="187" t="inlineStr">
        <is>
          <t>CHECK_MSRC</t>
        </is>
      </c>
      <c r="Z1496" s="187" t="inlineStr">
        <is>
          <t>YES</t>
        </is>
      </c>
      <c r="AA1496" s="187" t="inlineStr">
        <is>
          <t>https://msrc.microsoft.com/update-guide/vulnerability/CVE-2026-21514</t>
        </is>
      </c>
      <c r="AB1496" s="187" t="inlineStr">
        <is>
          <t>NONE</t>
        </is>
      </c>
      <c r="AC1496" s="187" t="n">
        <v>0</v>
      </c>
      <c r="AD1496" s="187" t="inlineStr"/>
    </row>
    <row r="1497">
      <c r="A1497" s="188" t="inlineStr">
        <is>
          <t>MSRC_UPDATE</t>
        </is>
      </c>
      <c r="B1497" s="188" t="inlineStr">
        <is>
          <t>CVE-2026-21527</t>
        </is>
      </c>
      <c r="C1497" s="188" t="inlineStr">
        <is>
          <t>Microsoft Update: User interface (ui) misrepresentation of critical information in Microsoft Exchange Server allows an unauthorized attacker to perform spoofing over a network.</t>
        </is>
      </c>
      <c r="D1497" s="188" t="n">
        <v>6.5</v>
      </c>
      <c r="E1497" s="188" t="inlineStr">
        <is>
          <t>MEDIUM</t>
        </is>
      </c>
      <c r="F1497" s="188" t="n">
        <v>2</v>
      </c>
      <c r="G1497" s="188" t="n">
        <v>2</v>
      </c>
      <c r="H1497" s="188" t="inlineStr">
        <is>
          <t>MEDIUM</t>
        </is>
      </c>
      <c r="I1497" s="188" t="n">
        <v>10.5</v>
      </c>
      <c r="J1497" s="188" t="inlineStr">
        <is>
          <t>NO</t>
        </is>
      </c>
      <c r="K1497" s="188" t="inlineStr">
        <is>
          <t>https://msrc.microsoft.com/update-guide/vulnerability/CVE-2026-21527</t>
        </is>
      </c>
      <c r="L1497" s="188" t="inlineStr">
        <is>
          <t>2026-02-10T18:16:35.093</t>
        </is>
      </c>
      <c r="M1497" s="188" t="inlineStr">
        <is>
          <t>YES</t>
        </is>
      </c>
      <c r="N1497" s="188" t="inlineStr">
        <is>
          <t>https://msrc.microsoft.com/update-guide/vulnerability/CVE-2026-21527</t>
        </is>
      </c>
      <c r="O1497" s="188" t="inlineStr">
        <is>
          <t>Apply via Windows Update | WSUS | SCCM</t>
        </is>
      </c>
      <c r="P1497" s="188" t="inlineStr">
        <is>
          <t>Microsoft Windows</t>
        </is>
      </c>
      <c r="Q1497" s="188" t="inlineStr">
        <is>
          <t>P4</t>
        </is>
      </c>
      <c r="R1497" s="188" t="inlineStr">
        <is>
          <t>📅 Schedule patch deployment within 30 days | 🔍 Monitor for exploitation attempts</t>
        </is>
      </c>
      <c r="S1497" s="188" t="inlineStr">
        <is>
          <t>Microsoft CVE - no IP context</t>
        </is>
      </c>
      <c r="T1497" s="188" t="n">
        <v>0</v>
      </c>
      <c r="U1497" s="188" t="n">
        <v>0</v>
      </c>
      <c r="V1497" s="188" t="inlineStr">
        <is>
          <t>T1203:Exploitation for Client Execution | T1068:Exploitation for Privilege Escalation</t>
        </is>
      </c>
      <c r="W1497" s="188" t="n">
        <v>1</v>
      </c>
      <c r="X1497" s="188" t="inlineStr">
        <is>
          <t>LOW (40%)</t>
        </is>
      </c>
      <c r="Y1497" s="188" t="inlineStr">
        <is>
          <t>CHECK_MSRC</t>
        </is>
      </c>
      <c r="Z1497" s="188" t="inlineStr">
        <is>
          <t>YES</t>
        </is>
      </c>
      <c r="AA1497" s="188" t="inlineStr">
        <is>
          <t>https://msrc.microsoft.com/update-guide/vulnerability/CVE-2026-21527</t>
        </is>
      </c>
      <c r="AB1497" s="188" t="inlineStr">
        <is>
          <t>NONE</t>
        </is>
      </c>
      <c r="AC1497" s="188" t="n">
        <v>0</v>
      </c>
      <c r="AD1497" s="188" t="inlineStr"/>
    </row>
    <row r="1498">
      <c r="A1498" s="187" t="inlineStr">
        <is>
          <t>MSRC_UPDATE</t>
        </is>
      </c>
      <c r="B1498" s="187" t="inlineStr">
        <is>
          <t>CVE-2026-21537</t>
        </is>
      </c>
      <c r="C1498" s="187" t="inlineStr">
        <is>
          <t>Microsoft Update: Improper control of generation of code ('code injection') in Microsoft Defender for Linux allows an unauthorized attacker to execute code over an adjacent network.</t>
        </is>
      </c>
      <c r="D1498" s="187" t="n">
        <v>8.800000000000001</v>
      </c>
      <c r="E1498" s="187" t="inlineStr">
        <is>
          <t>HIGH</t>
        </is>
      </c>
      <c r="F1498" s="187" t="n">
        <v>2</v>
      </c>
      <c r="G1498" s="187" t="n">
        <v>2</v>
      </c>
      <c r="H1498" s="187" t="inlineStr">
        <is>
          <t>MEDIUM</t>
        </is>
      </c>
      <c r="I1498" s="187" t="n">
        <v>12.8</v>
      </c>
      <c r="J1498" s="187" t="inlineStr">
        <is>
          <t>NO</t>
        </is>
      </c>
      <c r="K1498" s="187" t="inlineStr">
        <is>
          <t>https://msrc.microsoft.com/update-guide/vulnerability/CVE-2026-21537</t>
        </is>
      </c>
      <c r="L1498" s="187" t="inlineStr">
        <is>
          <t>2026-02-10T18:16:35.970</t>
        </is>
      </c>
      <c r="M1498" s="187" t="inlineStr">
        <is>
          <t>YES</t>
        </is>
      </c>
      <c r="N1498" s="187" t="inlineStr">
        <is>
          <t>https://msrc.microsoft.com/update-guide/vulnerability/CVE-2026-21537</t>
        </is>
      </c>
      <c r="O1498" s="187" t="inlineStr">
        <is>
          <t>Apply via Windows Update | WSUS | SCCM</t>
        </is>
      </c>
      <c r="P1498" s="187" t="inlineStr">
        <is>
          <t>Microsoft Windows</t>
        </is>
      </c>
      <c r="Q1498" s="187" t="inlineStr">
        <is>
          <t>P4</t>
        </is>
      </c>
      <c r="R1498" s="187" t="inlineStr">
        <is>
          <t>📅 Schedule patch deployment within 30 days | 🔍 Monitor for exploitation attempts</t>
        </is>
      </c>
      <c r="S1498" s="187" t="inlineStr">
        <is>
          <t>Microsoft CVE - no IP context</t>
        </is>
      </c>
      <c r="T1498" s="187" t="n">
        <v>0</v>
      </c>
      <c r="U1498" s="187" t="n">
        <v>0</v>
      </c>
      <c r="V1498" s="187" t="inlineStr">
        <is>
          <t>T1203:Exploitation for Client Execution | T1068:Exploitation for Privilege Escalation</t>
        </is>
      </c>
      <c r="W1498" s="187" t="n">
        <v>1</v>
      </c>
      <c r="X1498" s="187" t="inlineStr">
        <is>
          <t>LOW (40%)</t>
        </is>
      </c>
      <c r="Y1498" s="187" t="inlineStr">
        <is>
          <t>CHECK_MSRC</t>
        </is>
      </c>
      <c r="Z1498" s="187" t="inlineStr">
        <is>
          <t>YES</t>
        </is>
      </c>
      <c r="AA1498" s="187" t="inlineStr">
        <is>
          <t>https://msrc.microsoft.com/update-guide/vulnerability/CVE-2026-21537</t>
        </is>
      </c>
      <c r="AB1498" s="187" t="inlineStr">
        <is>
          <t>NONE</t>
        </is>
      </c>
      <c r="AC1498" s="187" t="n">
        <v>0</v>
      </c>
      <c r="AD1498" s="187" t="inlineStr"/>
    </row>
    <row r="1499">
      <c r="A1499" s="187" t="inlineStr">
        <is>
          <t>MSRC_UPDATE</t>
        </is>
      </c>
      <c r="B1499" s="187" t="inlineStr">
        <is>
          <t>CVE-2026-22048</t>
        </is>
      </c>
      <c r="C1499" s="187" t="inlineStr">
        <is>
          <t xml:space="preserve">Microsoft Update: StorageGRID (formerly StorageGRID Webscale) versions prior to 11.9.0.12 and 12.0.0.4 with Single Sign-on enabled and configured to use Microsoft Entra ID (formerly Azure AD) as an IdP are susceptible </t>
        </is>
      </c>
      <c r="D1499" s="187" t="n">
        <v>7.1</v>
      </c>
      <c r="E1499" s="187" t="inlineStr">
        <is>
          <t>HIGH</t>
        </is>
      </c>
      <c r="F1499" s="187" t="n">
        <v>2</v>
      </c>
      <c r="G1499" s="187" t="n">
        <v>2</v>
      </c>
      <c r="H1499" s="187" t="inlineStr">
        <is>
          <t>MEDIUM</t>
        </is>
      </c>
      <c r="I1499" s="187" t="n">
        <v>11.1</v>
      </c>
      <c r="J1499" s="187" t="inlineStr">
        <is>
          <t>NO</t>
        </is>
      </c>
      <c r="K1499" s="187" t="inlineStr">
        <is>
          <t>https://msrc.microsoft.com/update-guide/vulnerability/CVE-2026-22048</t>
        </is>
      </c>
      <c r="L1499" s="187" t="inlineStr">
        <is>
          <t>2026-02-18T00:16:18.700</t>
        </is>
      </c>
      <c r="M1499" s="187" t="inlineStr">
        <is>
          <t>YES</t>
        </is>
      </c>
      <c r="N1499" s="187" t="inlineStr">
        <is>
          <t>https://msrc.microsoft.com/update-guide/vulnerability/CVE-2026-22048</t>
        </is>
      </c>
      <c r="O1499" s="187" t="inlineStr">
        <is>
          <t>Apply via Windows Update | WSUS | SCCM</t>
        </is>
      </c>
      <c r="P1499" s="187" t="inlineStr">
        <is>
          <t>Microsoft Windows</t>
        </is>
      </c>
      <c r="Q1499" s="187" t="inlineStr">
        <is>
          <t>P4</t>
        </is>
      </c>
      <c r="R1499" s="187" t="inlineStr">
        <is>
          <t>📅 Schedule patch deployment within 30 days | 🔍 Monitor for exploitation attempts</t>
        </is>
      </c>
      <c r="S1499" s="187" t="inlineStr">
        <is>
          <t>Microsoft CVE - no IP context</t>
        </is>
      </c>
      <c r="T1499" s="187" t="n">
        <v>0</v>
      </c>
      <c r="U1499" s="187" t="n">
        <v>0</v>
      </c>
      <c r="V1499" s="187" t="inlineStr">
        <is>
          <t>T1203:Exploitation for Client Execution | T1068:Exploitation for Privilege Escalation</t>
        </is>
      </c>
      <c r="W1499" s="187" t="n">
        <v>1</v>
      </c>
      <c r="X1499" s="187" t="inlineStr">
        <is>
          <t>LOW (40%)</t>
        </is>
      </c>
      <c r="Y1499" s="187" t="inlineStr">
        <is>
          <t>CHECK_MSRC</t>
        </is>
      </c>
      <c r="Z1499" s="187" t="inlineStr">
        <is>
          <t>YES</t>
        </is>
      </c>
      <c r="AA1499" s="187" t="inlineStr">
        <is>
          <t>https://msrc.microsoft.com/update-guide/vulnerability/CVE-2026-22048</t>
        </is>
      </c>
      <c r="AB1499" s="187" t="inlineStr">
        <is>
          <t>NONE</t>
        </is>
      </c>
      <c r="AC1499" s="187" t="n">
        <v>0</v>
      </c>
      <c r="AD1499" s="187" t="inlineStr"/>
    </row>
    <row r="1500">
      <c r="A1500" s="189" t="inlineStr">
        <is>
          <t>MSRC_UPDATE</t>
        </is>
      </c>
      <c r="B1500" s="189" t="inlineStr">
        <is>
          <t>CVE-2026-26030</t>
        </is>
      </c>
      <c r="C1500" s="189" t="inlineStr">
        <is>
          <t xml:space="preserve">Microsoft Update: Semantic Kernel, Microsoft's semantic kernel Python SDK, has a remote code execution vulnerability in versions prior to 1.39.4, specifically within the `InMemoryVectorStore` filter functionality. The </t>
        </is>
      </c>
      <c r="D1500" s="189" t="n">
        <v>9.9</v>
      </c>
      <c r="E1500" s="189" t="inlineStr">
        <is>
          <t>CRITICAL</t>
        </is>
      </c>
      <c r="F1500" s="189" t="n">
        <v>2</v>
      </c>
      <c r="G1500" s="189" t="n">
        <v>2</v>
      </c>
      <c r="H1500" s="189" t="inlineStr">
        <is>
          <t>MEDIUM</t>
        </is>
      </c>
      <c r="I1500" s="189" t="n">
        <v>13.9</v>
      </c>
      <c r="J1500" s="189" t="inlineStr">
        <is>
          <t>NO</t>
        </is>
      </c>
      <c r="K1500" s="189" t="inlineStr">
        <is>
          <t>https://msrc.microsoft.com/update-guide/vulnerability/CVE-2026-26030</t>
        </is>
      </c>
      <c r="L1500" s="189" t="inlineStr">
        <is>
          <t>2026-02-19T17:24:50.487</t>
        </is>
      </c>
      <c r="M1500" s="189" t="inlineStr">
        <is>
          <t>YES</t>
        </is>
      </c>
      <c r="N1500" s="189" t="inlineStr">
        <is>
          <t>https://msrc.microsoft.com/update-guide/vulnerability/CVE-2026-26030</t>
        </is>
      </c>
      <c r="O1500" s="189" t="inlineStr">
        <is>
          <t>Apply via Windows Update | WSUS | SCCM</t>
        </is>
      </c>
      <c r="P1500" s="189" t="inlineStr">
        <is>
          <t>Microsoft Windows</t>
        </is>
      </c>
      <c r="Q1500" s="189" t="inlineStr">
        <is>
          <t>P4</t>
        </is>
      </c>
      <c r="R1500" s="189" t="inlineStr">
        <is>
          <t>📅 Schedule patch deployment within 30 days | 🔍 Monitor for exploitation attempts</t>
        </is>
      </c>
      <c r="S1500" s="189" t="inlineStr">
        <is>
          <t>Microsoft CVE - no IP context</t>
        </is>
      </c>
      <c r="T1500" s="189" t="n">
        <v>0</v>
      </c>
      <c r="U1500" s="189" t="n">
        <v>0</v>
      </c>
      <c r="V1500" s="189" t="inlineStr">
        <is>
          <t>T1203:Exploitation for Client Execution | T1068:Exploitation for Privilege Escalation</t>
        </is>
      </c>
      <c r="W1500" s="189" t="n">
        <v>1</v>
      </c>
      <c r="X1500" s="189" t="inlineStr">
        <is>
          <t>LOW (40%)</t>
        </is>
      </c>
      <c r="Y1500" s="189" t="inlineStr">
        <is>
          <t>CHECK_MSRC</t>
        </is>
      </c>
      <c r="Z1500" s="189" t="inlineStr">
        <is>
          <t>YES</t>
        </is>
      </c>
      <c r="AA1500" s="189" t="inlineStr">
        <is>
          <t>https://msrc.microsoft.com/update-guide/vulnerability/CVE-2026-26030</t>
        </is>
      </c>
      <c r="AB1500" s="189" t="inlineStr">
        <is>
          <t>NONE</t>
        </is>
      </c>
      <c r="AC1500" s="189" t="n">
        <v>0</v>
      </c>
      <c r="AD1500" s="189" t="inlineStr"/>
    </row>
    <row r="1501">
      <c r="A1501" s="187" t="inlineStr">
        <is>
          <t>MSRC_UPDATE</t>
        </is>
      </c>
      <c r="B1501" s="187" t="inlineStr">
        <is>
          <t>CVE-2026-21535</t>
        </is>
      </c>
      <c r="C1501" s="187" t="inlineStr">
        <is>
          <t>Microsoft Update: Improper access control in Microsoft Teams allows an unauthorized attacker to disclose information over a network.</t>
        </is>
      </c>
      <c r="D1501" s="187" t="n">
        <v>8.199999999999999</v>
      </c>
      <c r="E1501" s="187" t="inlineStr">
        <is>
          <t>HIGH</t>
        </is>
      </c>
      <c r="F1501" s="187" t="n">
        <v>2</v>
      </c>
      <c r="G1501" s="187" t="n">
        <v>2</v>
      </c>
      <c r="H1501" s="187" t="inlineStr">
        <is>
          <t>MEDIUM</t>
        </is>
      </c>
      <c r="I1501" s="187" t="n">
        <v>12.2</v>
      </c>
      <c r="J1501" s="187" t="inlineStr">
        <is>
          <t>NO</t>
        </is>
      </c>
      <c r="K1501" s="187" t="inlineStr">
        <is>
          <t>https://msrc.microsoft.com/update-guide/vulnerability/CVE-2026-21535</t>
        </is>
      </c>
      <c r="L1501" s="187" t="inlineStr">
        <is>
          <t>2026-02-19T23:16:24.217</t>
        </is>
      </c>
      <c r="M1501" s="187" t="inlineStr">
        <is>
          <t>YES</t>
        </is>
      </c>
      <c r="N1501" s="187" t="inlineStr">
        <is>
          <t>https://msrc.microsoft.com/update-guide/vulnerability/CVE-2026-21535</t>
        </is>
      </c>
      <c r="O1501" s="187" t="inlineStr">
        <is>
          <t>Apply via Windows Update | WSUS | SCCM</t>
        </is>
      </c>
      <c r="P1501" s="187" t="inlineStr">
        <is>
          <t>Microsoft Windows</t>
        </is>
      </c>
      <c r="Q1501" s="187" t="inlineStr">
        <is>
          <t>P4</t>
        </is>
      </c>
      <c r="R1501" s="187" t="inlineStr">
        <is>
          <t>📅 Schedule patch deployment within 30 days | 🔍 Monitor for exploitation attempts</t>
        </is>
      </c>
      <c r="S1501" s="187" t="inlineStr">
        <is>
          <t>Microsoft CVE - no IP context</t>
        </is>
      </c>
      <c r="T1501" s="187" t="n">
        <v>0</v>
      </c>
      <c r="U1501" s="187" t="n">
        <v>0</v>
      </c>
      <c r="V1501" s="187" t="inlineStr">
        <is>
          <t>T1203:Exploitation for Client Execution | T1068:Exploitation for Privilege Escalation</t>
        </is>
      </c>
      <c r="W1501" s="187" t="n">
        <v>1</v>
      </c>
      <c r="X1501" s="187" t="inlineStr">
        <is>
          <t>LOW (40%)</t>
        </is>
      </c>
      <c r="Y1501" s="187" t="inlineStr">
        <is>
          <t>CHECK_MSRC</t>
        </is>
      </c>
      <c r="Z1501" s="187" t="inlineStr">
        <is>
          <t>YES</t>
        </is>
      </c>
      <c r="AA1501" s="187" t="inlineStr">
        <is>
          <t>https://msrc.microsoft.com/update-guide/vulnerability/CVE-2026-21535</t>
        </is>
      </c>
      <c r="AB1501" s="187" t="inlineStr">
        <is>
          <t>NONE</t>
        </is>
      </c>
      <c r="AC1501" s="187" t="n">
        <v>0</v>
      </c>
      <c r="AD1501" s="187" t="inlineStr"/>
    </row>
    <row r="1502">
      <c r="A1502" s="190" t="inlineStr">
        <is>
          <t>PATCH_TUESDAY</t>
        </is>
      </c>
      <c r="B1502" s="190" t="inlineStr">
        <is>
          <t>PT-February-2026</t>
        </is>
      </c>
      <c r="C1502" s="190" t="inlineStr">
        <is>
          <t>Patch Tuesday February 2026: Patch Tuesday: February 10, 2026 - Status: Released</t>
        </is>
      </c>
      <c r="D1502" s="190" t="n">
        <v>0</v>
      </c>
      <c r="E1502" s="190" t="inlineStr">
        <is>
          <t>LOW</t>
        </is>
      </c>
      <c r="F1502" s="190" t="n">
        <v>1</v>
      </c>
      <c r="G1502" s="190" t="n">
        <v>1</v>
      </c>
      <c r="H1502" s="190" t="inlineStr">
        <is>
          <t>LOW</t>
        </is>
      </c>
      <c r="I1502" s="190" t="n">
        <v>1</v>
      </c>
      <c r="J1502" s="190" t="inlineStr">
        <is>
          <t>NO</t>
        </is>
      </c>
      <c r="K1502" s="190" t="inlineStr">
        <is>
          <t>https://msrc.microsoft.com/update-guide/</t>
        </is>
      </c>
      <c r="L1502" s="190" t="inlineStr">
        <is>
          <t>2026-02-10</t>
        </is>
      </c>
      <c r="M1502" s="190" t="inlineStr">
        <is>
          <t>Released</t>
        </is>
      </c>
      <c r="N1502" s="190" t="inlineStr">
        <is>
          <t>https://msrc.microsoft.com/update-guide/</t>
        </is>
      </c>
      <c r="O1502" s="190" t="inlineStr">
        <is>
          <t>Schedule patching cycle</t>
        </is>
      </c>
      <c r="P1502" s="190" t="inlineStr">
        <is>
          <t>Microsoft Windows / Microsoft 365</t>
        </is>
      </c>
      <c r="Q1502" s="190" t="inlineStr">
        <is>
          <t>P4</t>
        </is>
      </c>
      <c r="R1502" s="190" t="inlineStr">
        <is>
          <t>🔍 Investigate and apply appropriate controls</t>
        </is>
      </c>
      <c r="S1502" s="190" t="inlineStr">
        <is>
          <t>Informational - no IP context</t>
        </is>
      </c>
      <c r="T1502" s="190" t="n">
        <v>0</v>
      </c>
      <c r="U1502" s="190" t="n">
        <v>0</v>
      </c>
      <c r="V1502" s="190" t="inlineStr">
        <is>
          <t>Informational</t>
        </is>
      </c>
      <c r="W1502" s="190" t="n">
        <v>1</v>
      </c>
      <c r="X1502" s="190" t="inlineStr">
        <is>
          <t>LOW (40%)</t>
        </is>
      </c>
      <c r="Y1502" s="190" t="inlineStr">
        <is>
          <t>NONE</t>
        </is>
      </c>
      <c r="Z1502" s="190" t="inlineStr">
        <is>
          <t>NONE</t>
        </is>
      </c>
      <c r="AA1502" s="190" t="inlineStr">
        <is>
          <t>NONE</t>
        </is>
      </c>
      <c r="AB1502" s="190" t="inlineStr">
        <is>
          <t>NONE</t>
        </is>
      </c>
      <c r="AC1502" s="190" t="n">
        <v>0</v>
      </c>
      <c r="AD1502" s="190" t="inlineStr"/>
    </row>
    <row r="1503">
      <c r="A1503" s="187" t="inlineStr">
        <is>
          <t>TALOS_IP</t>
        </is>
      </c>
      <c r="B1503" s="187" t="inlineStr">
        <is>
          <t>52f5c2f32e8d</t>
        </is>
      </c>
      <c r="C1503" s="187" t="inlineStr">
        <is>
          <t>Cisco Talos Blacklisted IP: 1.15.22.112 | Verified malicious | Sources: TALOS</t>
        </is>
      </c>
      <c r="D1503" s="187" t="n">
        <v>7</v>
      </c>
      <c r="E1503" s="187" t="inlineStr">
        <is>
          <t>HIGH</t>
        </is>
      </c>
      <c r="F1503" s="187" t="n">
        <v>3</v>
      </c>
      <c r="G1503" s="187" t="n">
        <v>2</v>
      </c>
      <c r="H1503" s="187" t="inlineStr">
        <is>
          <t>HIGH</t>
        </is>
      </c>
      <c r="I1503" s="187" t="n">
        <v>13</v>
      </c>
      <c r="J1503" s="187" t="inlineStr">
        <is>
          <t>NO</t>
        </is>
      </c>
      <c r="K1503" s="187" t="inlineStr">
        <is>
          <t>https://talosintelligence.com/reputation_center/lookup?search=1.15.22.112</t>
        </is>
      </c>
      <c r="L1503" s="187" t="inlineStr">
        <is>
          <t>2026-02-27 20:47</t>
        </is>
      </c>
      <c r="M1503" s="187" t="inlineStr">
        <is>
          <t>Block IP</t>
        </is>
      </c>
      <c r="N1503" s="187" t="inlineStr">
        <is>
          <t>https://talosintelligence.com/reputation_center/lookup?search=1.15.22.112</t>
        </is>
      </c>
      <c r="O1503" s="187" t="inlineStr">
        <is>
          <t>Block IP 1.15.22.112 at firewall | Cisco Talos confirmed malicious</t>
        </is>
      </c>
      <c r="P1503" s="187" t="inlineStr">
        <is>
          <t>Network perimeter / Email / Web</t>
        </is>
      </c>
      <c r="Q1503" s="187" t="inlineStr">
        <is>
          <t>P3</t>
        </is>
      </c>
      <c r="R1503" s="187" t="inlineStr">
        <is>
          <t>🚫 Block IP at firewall immediately | 🔍 Check logs for existing connections | 🛡️ Add to threat intelligence blocklist</t>
        </is>
      </c>
      <c r="S1503" s="187" t="inlineStr">
        <is>
          <t>Check ip-api.com + AbuseIPDB for context</t>
        </is>
      </c>
      <c r="T1503" s="187" t="n">
        <v>0</v>
      </c>
      <c r="U1503" s="187" t="n">
        <v>0</v>
      </c>
      <c r="V1503" s="187" t="inlineStr">
        <is>
          <t>T1110:Brute Force | T1190:Exploit Public-Facing Application | T1566:Phishing</t>
        </is>
      </c>
      <c r="W1503" s="187" t="n">
        <v>1</v>
      </c>
      <c r="X1503" s="187" t="inlineStr">
        <is>
          <t>MEDIUM (60%)</t>
        </is>
      </c>
      <c r="Y1503" s="187" t="inlineStr">
        <is>
          <t>NONE</t>
        </is>
      </c>
      <c r="Z1503" s="187" t="inlineStr">
        <is>
          <t>NONE</t>
        </is>
      </c>
      <c r="AA1503" s="187" t="inlineStr">
        <is>
          <t>NONE</t>
        </is>
      </c>
      <c r="AB1503" s="187" t="inlineStr">
        <is>
          <t>NONE</t>
        </is>
      </c>
      <c r="AC1503" s="187" t="n">
        <v>0</v>
      </c>
      <c r="AD1503" s="187" t="inlineStr"/>
    </row>
    <row r="1504">
      <c r="A1504" s="187" t="inlineStr">
        <is>
          <t>TALOS_IP</t>
        </is>
      </c>
      <c r="B1504" s="187" t="inlineStr">
        <is>
          <t>5afb15da8526</t>
        </is>
      </c>
      <c r="C1504" s="187" t="inlineStr">
        <is>
          <t>Cisco Talos Blacklisted IP: 1.15.94.7 | Verified malicious | Sources: TALOS</t>
        </is>
      </c>
      <c r="D1504" s="187" t="n">
        <v>7</v>
      </c>
      <c r="E1504" s="187" t="inlineStr">
        <is>
          <t>HIGH</t>
        </is>
      </c>
      <c r="F1504" s="187" t="n">
        <v>3</v>
      </c>
      <c r="G1504" s="187" t="n">
        <v>2</v>
      </c>
      <c r="H1504" s="187" t="inlineStr">
        <is>
          <t>HIGH</t>
        </is>
      </c>
      <c r="I1504" s="187" t="n">
        <v>13</v>
      </c>
      <c r="J1504" s="187" t="inlineStr">
        <is>
          <t>NO</t>
        </is>
      </c>
      <c r="K1504" s="187" t="inlineStr">
        <is>
          <t>https://talosintelligence.com/reputation_center/lookup?search=1.15.94.7</t>
        </is>
      </c>
      <c r="L1504" s="187" t="inlineStr">
        <is>
          <t>2026-02-27 20:47</t>
        </is>
      </c>
      <c r="M1504" s="187" t="inlineStr">
        <is>
          <t>Block IP</t>
        </is>
      </c>
      <c r="N1504" s="187" t="inlineStr">
        <is>
          <t>https://talosintelligence.com/reputation_center/lookup?search=1.15.94.7</t>
        </is>
      </c>
      <c r="O1504" s="187" t="inlineStr">
        <is>
          <t>Block IP 1.15.94.7 at firewall | Cisco Talos confirmed malicious</t>
        </is>
      </c>
      <c r="P1504" s="187" t="inlineStr">
        <is>
          <t>Network perimeter / Email / Web</t>
        </is>
      </c>
      <c r="Q1504" s="187" t="inlineStr">
        <is>
          <t>P3</t>
        </is>
      </c>
      <c r="R1504" s="187" t="inlineStr">
        <is>
          <t>🚫 Block IP at firewall immediately | 🔍 Check logs for existing connections | 🛡️ Add to threat intelligence blocklist</t>
        </is>
      </c>
      <c r="S1504" s="187" t="inlineStr">
        <is>
          <t>Check ip-api.com + AbuseIPDB for context</t>
        </is>
      </c>
      <c r="T1504" s="187" t="n">
        <v>0</v>
      </c>
      <c r="U1504" s="187" t="n">
        <v>0</v>
      </c>
      <c r="V1504" s="187" t="inlineStr">
        <is>
          <t>T1110:Brute Force | T1190:Exploit Public-Facing Application | T1566:Phishing</t>
        </is>
      </c>
      <c r="W1504" s="187" t="n">
        <v>1</v>
      </c>
      <c r="X1504" s="187" t="inlineStr">
        <is>
          <t>MEDIUM (60%)</t>
        </is>
      </c>
      <c r="Y1504" s="187" t="inlineStr">
        <is>
          <t>NONE</t>
        </is>
      </c>
      <c r="Z1504" s="187" t="inlineStr">
        <is>
          <t>NONE</t>
        </is>
      </c>
      <c r="AA1504" s="187" t="inlineStr">
        <is>
          <t>NONE</t>
        </is>
      </c>
      <c r="AB1504" s="187" t="inlineStr">
        <is>
          <t>NONE</t>
        </is>
      </c>
      <c r="AC1504" s="187" t="n">
        <v>0</v>
      </c>
      <c r="AD1504" s="187" t="inlineStr"/>
    </row>
    <row r="1505">
      <c r="A1505" s="187" t="inlineStr">
        <is>
          <t>TALOS_IP</t>
        </is>
      </c>
      <c r="B1505" s="187" t="inlineStr">
        <is>
          <t>71a22b632d38</t>
        </is>
      </c>
      <c r="C1505" s="187" t="inlineStr">
        <is>
          <t>Cisco Talos Blacklisted IP: 1.170.61.110 | Verified malicious | Sources: TALOS</t>
        </is>
      </c>
      <c r="D1505" s="187" t="n">
        <v>7</v>
      </c>
      <c r="E1505" s="187" t="inlineStr">
        <is>
          <t>HIGH</t>
        </is>
      </c>
      <c r="F1505" s="187" t="n">
        <v>3</v>
      </c>
      <c r="G1505" s="187" t="n">
        <v>2</v>
      </c>
      <c r="H1505" s="187" t="inlineStr">
        <is>
          <t>HIGH</t>
        </is>
      </c>
      <c r="I1505" s="187" t="n">
        <v>13</v>
      </c>
      <c r="J1505" s="187" t="inlineStr">
        <is>
          <t>NO</t>
        </is>
      </c>
      <c r="K1505" s="187" t="inlineStr">
        <is>
          <t>https://talosintelligence.com/reputation_center/lookup?search=1.170.61.110</t>
        </is>
      </c>
      <c r="L1505" s="187" t="inlineStr">
        <is>
          <t>2026-02-27 20:47</t>
        </is>
      </c>
      <c r="M1505" s="187" t="inlineStr">
        <is>
          <t>Block IP</t>
        </is>
      </c>
      <c r="N1505" s="187" t="inlineStr">
        <is>
          <t>https://talosintelligence.com/reputation_center/lookup?search=1.170.61.110</t>
        </is>
      </c>
      <c r="O1505" s="187" t="inlineStr">
        <is>
          <t>Block IP 1.170.61.110 at firewall | Cisco Talos confirmed malicious</t>
        </is>
      </c>
      <c r="P1505" s="187" t="inlineStr">
        <is>
          <t>Network perimeter / Email / Web</t>
        </is>
      </c>
      <c r="Q1505" s="187" t="inlineStr">
        <is>
          <t>P3</t>
        </is>
      </c>
      <c r="R1505" s="187" t="inlineStr">
        <is>
          <t>🚫 Block IP at firewall immediately | 🔍 Check logs for existing connections | 🛡️ Add to threat intelligence blocklist</t>
        </is>
      </c>
      <c r="S1505" s="187" t="inlineStr">
        <is>
          <t>Check ip-api.com + AbuseIPDB for context</t>
        </is>
      </c>
      <c r="T1505" s="187" t="n">
        <v>0</v>
      </c>
      <c r="U1505" s="187" t="n">
        <v>0</v>
      </c>
      <c r="V1505" s="187" t="inlineStr">
        <is>
          <t>T1110:Brute Force | T1190:Exploit Public-Facing Application | T1566:Phishing</t>
        </is>
      </c>
      <c r="W1505" s="187" t="n">
        <v>1</v>
      </c>
      <c r="X1505" s="187" t="inlineStr">
        <is>
          <t>MEDIUM (60%)</t>
        </is>
      </c>
      <c r="Y1505" s="187" t="inlineStr">
        <is>
          <t>NONE</t>
        </is>
      </c>
      <c r="Z1505" s="187" t="inlineStr">
        <is>
          <t>NONE</t>
        </is>
      </c>
      <c r="AA1505" s="187" t="inlineStr">
        <is>
          <t>NONE</t>
        </is>
      </c>
      <c r="AB1505" s="187" t="inlineStr">
        <is>
          <t>NONE</t>
        </is>
      </c>
      <c r="AC1505" s="187" t="n">
        <v>0</v>
      </c>
      <c r="AD1505" s="187" t="inlineStr"/>
    </row>
    <row r="1506">
      <c r="A1506" s="187" t="inlineStr">
        <is>
          <t>TALOS_IP</t>
        </is>
      </c>
      <c r="B1506" s="187" t="inlineStr">
        <is>
          <t>7824aee466ca</t>
        </is>
      </c>
      <c r="C1506" s="187" t="inlineStr">
        <is>
          <t>Cisco Talos Blacklisted IP: 1.183.13.74 | Verified malicious | Sources: TALOS</t>
        </is>
      </c>
      <c r="D1506" s="187" t="n">
        <v>7</v>
      </c>
      <c r="E1506" s="187" t="inlineStr">
        <is>
          <t>HIGH</t>
        </is>
      </c>
      <c r="F1506" s="187" t="n">
        <v>3</v>
      </c>
      <c r="G1506" s="187" t="n">
        <v>2</v>
      </c>
      <c r="H1506" s="187" t="inlineStr">
        <is>
          <t>HIGH</t>
        </is>
      </c>
      <c r="I1506" s="187" t="n">
        <v>13</v>
      </c>
      <c r="J1506" s="187" t="inlineStr">
        <is>
          <t>NO</t>
        </is>
      </c>
      <c r="K1506" s="187" t="inlineStr">
        <is>
          <t>https://talosintelligence.com/reputation_center/lookup?search=1.183.13.74</t>
        </is>
      </c>
      <c r="L1506" s="187" t="inlineStr">
        <is>
          <t>2026-02-27 20:47</t>
        </is>
      </c>
      <c r="M1506" s="187" t="inlineStr">
        <is>
          <t>Block IP</t>
        </is>
      </c>
      <c r="N1506" s="187" t="inlineStr">
        <is>
          <t>https://talosintelligence.com/reputation_center/lookup?search=1.183.13.74</t>
        </is>
      </c>
      <c r="O1506" s="187" t="inlineStr">
        <is>
          <t>Block IP 1.183.13.74 at firewall | Cisco Talos confirmed malicious</t>
        </is>
      </c>
      <c r="P1506" s="187" t="inlineStr">
        <is>
          <t>Network perimeter / Email / Web</t>
        </is>
      </c>
      <c r="Q1506" s="187" t="inlineStr">
        <is>
          <t>P3</t>
        </is>
      </c>
      <c r="R1506" s="187" t="inlineStr">
        <is>
          <t>🚫 Block IP at firewall immediately | 🔍 Check logs for existing connections | 🛡️ Add to threat intelligence blocklist</t>
        </is>
      </c>
      <c r="S1506" s="187" t="inlineStr">
        <is>
          <t>Check ip-api.com + AbuseIPDB for context</t>
        </is>
      </c>
      <c r="T1506" s="187" t="n">
        <v>0</v>
      </c>
      <c r="U1506" s="187" t="n">
        <v>0</v>
      </c>
      <c r="V1506" s="187" t="inlineStr">
        <is>
          <t>T1110:Brute Force | T1190:Exploit Public-Facing Application | T1566:Phishing</t>
        </is>
      </c>
      <c r="W1506" s="187" t="n">
        <v>1</v>
      </c>
      <c r="X1506" s="187" t="inlineStr">
        <is>
          <t>MEDIUM (60%)</t>
        </is>
      </c>
      <c r="Y1506" s="187" t="inlineStr">
        <is>
          <t>NONE</t>
        </is>
      </c>
      <c r="Z1506" s="187" t="inlineStr">
        <is>
          <t>NONE</t>
        </is>
      </c>
      <c r="AA1506" s="187" t="inlineStr">
        <is>
          <t>NONE</t>
        </is>
      </c>
      <c r="AB1506" s="187" t="inlineStr">
        <is>
          <t>NONE</t>
        </is>
      </c>
      <c r="AC1506" s="187" t="n">
        <v>0</v>
      </c>
      <c r="AD1506" s="187" t="inlineStr"/>
    </row>
    <row r="1507">
      <c r="A1507" s="187" t="inlineStr">
        <is>
          <t>TALOS_IP</t>
        </is>
      </c>
      <c r="B1507" s="187" t="inlineStr">
        <is>
          <t>179457b71e4b</t>
        </is>
      </c>
      <c r="C1507" s="187" t="inlineStr">
        <is>
          <t>Cisco Talos Blacklisted IP: 1.188.101.101 | Verified malicious | Sources: TALOS</t>
        </is>
      </c>
      <c r="D1507" s="187" t="n">
        <v>7</v>
      </c>
      <c r="E1507" s="187" t="inlineStr">
        <is>
          <t>HIGH</t>
        </is>
      </c>
      <c r="F1507" s="187" t="n">
        <v>3</v>
      </c>
      <c r="G1507" s="187" t="n">
        <v>2</v>
      </c>
      <c r="H1507" s="187" t="inlineStr">
        <is>
          <t>HIGH</t>
        </is>
      </c>
      <c r="I1507" s="187" t="n">
        <v>13</v>
      </c>
      <c r="J1507" s="187" t="inlineStr">
        <is>
          <t>NO</t>
        </is>
      </c>
      <c r="K1507" s="187" t="inlineStr">
        <is>
          <t>https://talosintelligence.com/reputation_center/lookup?search=1.188.101.101</t>
        </is>
      </c>
      <c r="L1507" s="187" t="inlineStr">
        <is>
          <t>2026-02-27 20:47</t>
        </is>
      </c>
      <c r="M1507" s="187" t="inlineStr">
        <is>
          <t>Block IP</t>
        </is>
      </c>
      <c r="N1507" s="187" t="inlineStr">
        <is>
          <t>https://talosintelligence.com/reputation_center/lookup?search=1.188.101.101</t>
        </is>
      </c>
      <c r="O1507" s="187" t="inlineStr">
        <is>
          <t>Block IP 1.188.101.101 at firewall | Cisco Talos confirmed malicious</t>
        </is>
      </c>
      <c r="P1507" s="187" t="inlineStr">
        <is>
          <t>Network perimeter / Email / Web</t>
        </is>
      </c>
      <c r="Q1507" s="187" t="inlineStr">
        <is>
          <t>P3</t>
        </is>
      </c>
      <c r="R1507" s="187" t="inlineStr">
        <is>
          <t>🚫 Block IP at firewall immediately | 🔍 Check logs for existing connections | 🛡️ Add to threat intelligence blocklist</t>
        </is>
      </c>
      <c r="S1507" s="187" t="inlineStr">
        <is>
          <t>Check ip-api.com + AbuseIPDB for context</t>
        </is>
      </c>
      <c r="T1507" s="187" t="n">
        <v>0</v>
      </c>
      <c r="U1507" s="187" t="n">
        <v>0</v>
      </c>
      <c r="V1507" s="187" t="inlineStr">
        <is>
          <t>T1110:Brute Force | T1190:Exploit Public-Facing Application | T1566:Phishing</t>
        </is>
      </c>
      <c r="W1507" s="187" t="n">
        <v>1</v>
      </c>
      <c r="X1507" s="187" t="inlineStr">
        <is>
          <t>MEDIUM (60%)</t>
        </is>
      </c>
      <c r="Y1507" s="187" t="inlineStr">
        <is>
          <t>NONE</t>
        </is>
      </c>
      <c r="Z1507" s="187" t="inlineStr">
        <is>
          <t>NONE</t>
        </is>
      </c>
      <c r="AA1507" s="187" t="inlineStr">
        <is>
          <t>NONE</t>
        </is>
      </c>
      <c r="AB1507" s="187" t="inlineStr">
        <is>
          <t>NONE</t>
        </is>
      </c>
      <c r="AC1507" s="187" t="n">
        <v>0</v>
      </c>
      <c r="AD1507" s="187" t="inlineStr"/>
    </row>
    <row r="1508">
      <c r="A1508" s="187" t="inlineStr">
        <is>
          <t>TALOS_IP</t>
        </is>
      </c>
      <c r="B1508" s="187" t="inlineStr">
        <is>
          <t>04f467b0a226</t>
        </is>
      </c>
      <c r="C1508" s="187" t="inlineStr">
        <is>
          <t>Cisco Talos Blacklisted IP: 1.188.23.73 | Verified malicious | Sources: TALOS</t>
        </is>
      </c>
      <c r="D1508" s="187" t="n">
        <v>7</v>
      </c>
      <c r="E1508" s="187" t="inlineStr">
        <is>
          <t>HIGH</t>
        </is>
      </c>
      <c r="F1508" s="187" t="n">
        <v>3</v>
      </c>
      <c r="G1508" s="187" t="n">
        <v>2</v>
      </c>
      <c r="H1508" s="187" t="inlineStr">
        <is>
          <t>HIGH</t>
        </is>
      </c>
      <c r="I1508" s="187" t="n">
        <v>13</v>
      </c>
      <c r="J1508" s="187" t="inlineStr">
        <is>
          <t>NO</t>
        </is>
      </c>
      <c r="K1508" s="187" t="inlineStr">
        <is>
          <t>https://talosintelligence.com/reputation_center/lookup?search=1.188.23.73</t>
        </is>
      </c>
      <c r="L1508" s="187" t="inlineStr">
        <is>
          <t>2026-02-27 20:47</t>
        </is>
      </c>
      <c r="M1508" s="187" t="inlineStr">
        <is>
          <t>Block IP</t>
        </is>
      </c>
      <c r="N1508" s="187" t="inlineStr">
        <is>
          <t>https://talosintelligence.com/reputation_center/lookup?search=1.188.23.73</t>
        </is>
      </c>
      <c r="O1508" s="187" t="inlineStr">
        <is>
          <t>Block IP 1.188.23.73 at firewall | Cisco Talos confirmed malicious</t>
        </is>
      </c>
      <c r="P1508" s="187" t="inlineStr">
        <is>
          <t>Network perimeter / Email / Web</t>
        </is>
      </c>
      <c r="Q1508" s="187" t="inlineStr">
        <is>
          <t>P3</t>
        </is>
      </c>
      <c r="R1508" s="187" t="inlineStr">
        <is>
          <t>🚫 Block IP at firewall immediately | 🔍 Check logs for existing connections | 🛡️ Add to threat intelligence blocklist</t>
        </is>
      </c>
      <c r="S1508" s="187" t="inlineStr">
        <is>
          <t>Check ip-api.com + AbuseIPDB for context</t>
        </is>
      </c>
      <c r="T1508" s="187" t="n">
        <v>0</v>
      </c>
      <c r="U1508" s="187" t="n">
        <v>0</v>
      </c>
      <c r="V1508" s="187" t="inlineStr">
        <is>
          <t>T1110:Brute Force | T1190:Exploit Public-Facing Application | T1566:Phishing</t>
        </is>
      </c>
      <c r="W1508" s="187" t="n">
        <v>1</v>
      </c>
      <c r="X1508" s="187" t="inlineStr">
        <is>
          <t>MEDIUM (60%)</t>
        </is>
      </c>
      <c r="Y1508" s="187" t="inlineStr">
        <is>
          <t>NONE</t>
        </is>
      </c>
      <c r="Z1508" s="187" t="inlineStr">
        <is>
          <t>NONE</t>
        </is>
      </c>
      <c r="AA1508" s="187" t="inlineStr">
        <is>
          <t>NONE</t>
        </is>
      </c>
      <c r="AB1508" s="187" t="inlineStr">
        <is>
          <t>NONE</t>
        </is>
      </c>
      <c r="AC1508" s="187" t="n">
        <v>0</v>
      </c>
      <c r="AD1508" s="187" t="inlineStr"/>
    </row>
    <row r="1509">
      <c r="A1509" s="187" t="inlineStr">
        <is>
          <t>TALOS_IP</t>
        </is>
      </c>
      <c r="B1509" s="187" t="inlineStr">
        <is>
          <t>f1086e5150b4</t>
        </is>
      </c>
      <c r="C1509" s="187" t="inlineStr">
        <is>
          <t>Cisco Talos Blacklisted IP: 1.192.2.191 | Verified malicious | Sources: TALOS</t>
        </is>
      </c>
      <c r="D1509" s="187" t="n">
        <v>7</v>
      </c>
      <c r="E1509" s="187" t="inlineStr">
        <is>
          <t>HIGH</t>
        </is>
      </c>
      <c r="F1509" s="187" t="n">
        <v>3</v>
      </c>
      <c r="G1509" s="187" t="n">
        <v>2</v>
      </c>
      <c r="H1509" s="187" t="inlineStr">
        <is>
          <t>HIGH</t>
        </is>
      </c>
      <c r="I1509" s="187" t="n">
        <v>13</v>
      </c>
      <c r="J1509" s="187" t="inlineStr">
        <is>
          <t>NO</t>
        </is>
      </c>
      <c r="K1509" s="187" t="inlineStr">
        <is>
          <t>https://talosintelligence.com/reputation_center/lookup?search=1.192.2.191</t>
        </is>
      </c>
      <c r="L1509" s="187" t="inlineStr">
        <is>
          <t>2026-02-27 20:47</t>
        </is>
      </c>
      <c r="M1509" s="187" t="inlineStr">
        <is>
          <t>Block IP</t>
        </is>
      </c>
      <c r="N1509" s="187" t="inlineStr">
        <is>
          <t>https://talosintelligence.com/reputation_center/lookup?search=1.192.2.191</t>
        </is>
      </c>
      <c r="O1509" s="187" t="inlineStr">
        <is>
          <t>Block IP 1.192.2.191 at firewall | Cisco Talos confirmed malicious</t>
        </is>
      </c>
      <c r="P1509" s="187" t="inlineStr">
        <is>
          <t>Network perimeter / Email / Web</t>
        </is>
      </c>
      <c r="Q1509" s="187" t="inlineStr">
        <is>
          <t>P3</t>
        </is>
      </c>
      <c r="R1509" s="187" t="inlineStr">
        <is>
          <t>🚫 Block IP at firewall immediately | 🔍 Check logs for existing connections | 🛡️ Add to threat intelligence blocklist</t>
        </is>
      </c>
      <c r="S1509" s="187" t="inlineStr">
        <is>
          <t>Check ip-api.com + AbuseIPDB for context</t>
        </is>
      </c>
      <c r="T1509" s="187" t="n">
        <v>0</v>
      </c>
      <c r="U1509" s="187" t="n">
        <v>0</v>
      </c>
      <c r="V1509" s="187" t="inlineStr">
        <is>
          <t>T1110:Brute Force | T1190:Exploit Public-Facing Application | T1566:Phishing</t>
        </is>
      </c>
      <c r="W1509" s="187" t="n">
        <v>1</v>
      </c>
      <c r="X1509" s="187" t="inlineStr">
        <is>
          <t>MEDIUM (60%)</t>
        </is>
      </c>
      <c r="Y1509" s="187" t="inlineStr">
        <is>
          <t>NONE</t>
        </is>
      </c>
      <c r="Z1509" s="187" t="inlineStr">
        <is>
          <t>NONE</t>
        </is>
      </c>
      <c r="AA1509" s="187" t="inlineStr">
        <is>
          <t>NONE</t>
        </is>
      </c>
      <c r="AB1509" s="187" t="inlineStr">
        <is>
          <t>NONE</t>
        </is>
      </c>
      <c r="AC1509" s="187" t="n">
        <v>0</v>
      </c>
      <c r="AD1509" s="187" t="inlineStr"/>
    </row>
    <row r="1510">
      <c r="A1510" s="187" t="inlineStr">
        <is>
          <t>TALOS_IP</t>
        </is>
      </c>
      <c r="B1510" s="187" t="inlineStr">
        <is>
          <t>29e7c0080b66</t>
        </is>
      </c>
      <c r="C1510" s="187" t="inlineStr">
        <is>
          <t>Cisco Talos Blacklisted IP: 1.192.3.139 | Verified malicious | Sources: TALOS</t>
        </is>
      </c>
      <c r="D1510" s="187" t="n">
        <v>7</v>
      </c>
      <c r="E1510" s="187" t="inlineStr">
        <is>
          <t>HIGH</t>
        </is>
      </c>
      <c r="F1510" s="187" t="n">
        <v>3</v>
      </c>
      <c r="G1510" s="187" t="n">
        <v>2</v>
      </c>
      <c r="H1510" s="187" t="inlineStr">
        <is>
          <t>HIGH</t>
        </is>
      </c>
      <c r="I1510" s="187" t="n">
        <v>13</v>
      </c>
      <c r="J1510" s="187" t="inlineStr">
        <is>
          <t>NO</t>
        </is>
      </c>
      <c r="K1510" s="187" t="inlineStr">
        <is>
          <t>https://talosintelligence.com/reputation_center/lookup?search=1.192.3.139</t>
        </is>
      </c>
      <c r="L1510" s="187" t="inlineStr">
        <is>
          <t>2026-02-27 20:47</t>
        </is>
      </c>
      <c r="M1510" s="187" t="inlineStr">
        <is>
          <t>Block IP</t>
        </is>
      </c>
      <c r="N1510" s="187" t="inlineStr">
        <is>
          <t>https://talosintelligence.com/reputation_center/lookup?search=1.192.3.139</t>
        </is>
      </c>
      <c r="O1510" s="187" t="inlineStr">
        <is>
          <t>Block IP 1.192.3.139 at firewall | Cisco Talos confirmed malicious</t>
        </is>
      </c>
      <c r="P1510" s="187" t="inlineStr">
        <is>
          <t>Network perimeter / Email / Web</t>
        </is>
      </c>
      <c r="Q1510" s="187" t="inlineStr">
        <is>
          <t>P3</t>
        </is>
      </c>
      <c r="R1510" s="187" t="inlineStr">
        <is>
          <t>🚫 Block IP at firewall immediately | 🔍 Check logs for existing connections | 🛡️ Add to threat intelligence blocklist</t>
        </is>
      </c>
      <c r="S1510" s="187" t="inlineStr">
        <is>
          <t>Check ip-api.com + AbuseIPDB for context</t>
        </is>
      </c>
      <c r="T1510" s="187" t="n">
        <v>0</v>
      </c>
      <c r="U1510" s="187" t="n">
        <v>0</v>
      </c>
      <c r="V1510" s="187" t="inlineStr">
        <is>
          <t>T1110:Brute Force | T1190:Exploit Public-Facing Application | T1566:Phishing</t>
        </is>
      </c>
      <c r="W1510" s="187" t="n">
        <v>1</v>
      </c>
      <c r="X1510" s="187" t="inlineStr">
        <is>
          <t>MEDIUM (60%)</t>
        </is>
      </c>
      <c r="Y1510" s="187" t="inlineStr">
        <is>
          <t>NONE</t>
        </is>
      </c>
      <c r="Z1510" s="187" t="inlineStr">
        <is>
          <t>NONE</t>
        </is>
      </c>
      <c r="AA1510" s="187" t="inlineStr">
        <is>
          <t>NONE</t>
        </is>
      </c>
      <c r="AB1510" s="187" t="inlineStr">
        <is>
          <t>NONE</t>
        </is>
      </c>
      <c r="AC1510" s="187" t="n">
        <v>0</v>
      </c>
      <c r="AD1510" s="187" t="inlineStr"/>
    </row>
    <row r="1511">
      <c r="A1511" s="187" t="inlineStr">
        <is>
          <t>TALOS_IP</t>
        </is>
      </c>
      <c r="B1511" s="187" t="inlineStr">
        <is>
          <t>ecb88cf966c1</t>
        </is>
      </c>
      <c r="C1511" s="187" t="inlineStr">
        <is>
          <t>Cisco Talos Blacklisted IP: 1.193.63.180 | Verified malicious | Sources: TALOS</t>
        </is>
      </c>
      <c r="D1511" s="187" t="n">
        <v>7</v>
      </c>
      <c r="E1511" s="187" t="inlineStr">
        <is>
          <t>HIGH</t>
        </is>
      </c>
      <c r="F1511" s="187" t="n">
        <v>3</v>
      </c>
      <c r="G1511" s="187" t="n">
        <v>2</v>
      </c>
      <c r="H1511" s="187" t="inlineStr">
        <is>
          <t>HIGH</t>
        </is>
      </c>
      <c r="I1511" s="187" t="n">
        <v>13</v>
      </c>
      <c r="J1511" s="187" t="inlineStr">
        <is>
          <t>NO</t>
        </is>
      </c>
      <c r="K1511" s="187" t="inlineStr">
        <is>
          <t>https://talosintelligence.com/reputation_center/lookup?search=1.193.63.180</t>
        </is>
      </c>
      <c r="L1511" s="187" t="inlineStr">
        <is>
          <t>2026-02-27 20:47</t>
        </is>
      </c>
      <c r="M1511" s="187" t="inlineStr">
        <is>
          <t>Block IP</t>
        </is>
      </c>
      <c r="N1511" s="187" t="inlineStr">
        <is>
          <t>https://talosintelligence.com/reputation_center/lookup?search=1.193.63.180</t>
        </is>
      </c>
      <c r="O1511" s="187" t="inlineStr">
        <is>
          <t>Block IP 1.193.63.180 at firewall | Cisco Talos confirmed malicious</t>
        </is>
      </c>
      <c r="P1511" s="187" t="inlineStr">
        <is>
          <t>Network perimeter / Email / Web</t>
        </is>
      </c>
      <c r="Q1511" s="187" t="inlineStr">
        <is>
          <t>P3</t>
        </is>
      </c>
      <c r="R1511" s="187" t="inlineStr">
        <is>
          <t>🚫 Block IP at firewall immediately | 🔍 Check logs for existing connections | 🛡️ Add to threat intelligence blocklist</t>
        </is>
      </c>
      <c r="S1511" s="187" t="inlineStr">
        <is>
          <t>Check ip-api.com + AbuseIPDB for context</t>
        </is>
      </c>
      <c r="T1511" s="187" t="n">
        <v>0</v>
      </c>
      <c r="U1511" s="187" t="n">
        <v>0</v>
      </c>
      <c r="V1511" s="187" t="inlineStr">
        <is>
          <t>T1110:Brute Force | T1190:Exploit Public-Facing Application | T1566:Phishing</t>
        </is>
      </c>
      <c r="W1511" s="187" t="n">
        <v>1</v>
      </c>
      <c r="X1511" s="187" t="inlineStr">
        <is>
          <t>MEDIUM (60%)</t>
        </is>
      </c>
      <c r="Y1511" s="187" t="inlineStr">
        <is>
          <t>NONE</t>
        </is>
      </c>
      <c r="Z1511" s="187" t="inlineStr">
        <is>
          <t>NONE</t>
        </is>
      </c>
      <c r="AA1511" s="187" t="inlineStr">
        <is>
          <t>NONE</t>
        </is>
      </c>
      <c r="AB1511" s="187" t="inlineStr">
        <is>
          <t>NONE</t>
        </is>
      </c>
      <c r="AC1511" s="187" t="n">
        <v>0</v>
      </c>
      <c r="AD1511" s="187" t="inlineStr"/>
    </row>
    <row r="1512">
      <c r="A1512" s="187" t="inlineStr">
        <is>
          <t>TALOS_IP</t>
        </is>
      </c>
      <c r="B1512" s="187" t="inlineStr">
        <is>
          <t>9e635e50aabf</t>
        </is>
      </c>
      <c r="C1512" s="187" t="inlineStr">
        <is>
          <t>Cisco Talos Blacklisted IP: 1.193.63.181 | Verified malicious | Sources: TALOS</t>
        </is>
      </c>
      <c r="D1512" s="187" t="n">
        <v>7</v>
      </c>
      <c r="E1512" s="187" t="inlineStr">
        <is>
          <t>HIGH</t>
        </is>
      </c>
      <c r="F1512" s="187" t="n">
        <v>3</v>
      </c>
      <c r="G1512" s="187" t="n">
        <v>2</v>
      </c>
      <c r="H1512" s="187" t="inlineStr">
        <is>
          <t>HIGH</t>
        </is>
      </c>
      <c r="I1512" s="187" t="n">
        <v>13</v>
      </c>
      <c r="J1512" s="187" t="inlineStr">
        <is>
          <t>NO</t>
        </is>
      </c>
      <c r="K1512" s="187" t="inlineStr">
        <is>
          <t>https://talosintelligence.com/reputation_center/lookup?search=1.193.63.181</t>
        </is>
      </c>
      <c r="L1512" s="187" t="inlineStr">
        <is>
          <t>2026-02-27 20:47</t>
        </is>
      </c>
      <c r="M1512" s="187" t="inlineStr">
        <is>
          <t>Block IP</t>
        </is>
      </c>
      <c r="N1512" s="187" t="inlineStr">
        <is>
          <t>https://talosintelligence.com/reputation_center/lookup?search=1.193.63.181</t>
        </is>
      </c>
      <c r="O1512" s="187" t="inlineStr">
        <is>
          <t>Block IP 1.193.63.181 at firewall | Cisco Talos confirmed malicious</t>
        </is>
      </c>
      <c r="P1512" s="187" t="inlineStr">
        <is>
          <t>Network perimeter / Email / Web</t>
        </is>
      </c>
      <c r="Q1512" s="187" t="inlineStr">
        <is>
          <t>P3</t>
        </is>
      </c>
      <c r="R1512" s="187" t="inlineStr">
        <is>
          <t>🚫 Block IP at firewall immediately | 🔍 Check logs for existing connections | 🛡️ Add to threat intelligence blocklist</t>
        </is>
      </c>
      <c r="S1512" s="187" t="inlineStr">
        <is>
          <t>Check ip-api.com + AbuseIPDB for context</t>
        </is>
      </c>
      <c r="T1512" s="187" t="n">
        <v>0</v>
      </c>
      <c r="U1512" s="187" t="n">
        <v>0</v>
      </c>
      <c r="V1512" s="187" t="inlineStr">
        <is>
          <t>T1110:Brute Force | T1190:Exploit Public-Facing Application | T1566:Phishing</t>
        </is>
      </c>
      <c r="W1512" s="187" t="n">
        <v>1</v>
      </c>
      <c r="X1512" s="187" t="inlineStr">
        <is>
          <t>MEDIUM (60%)</t>
        </is>
      </c>
      <c r="Y1512" s="187" t="inlineStr">
        <is>
          <t>NONE</t>
        </is>
      </c>
      <c r="Z1512" s="187" t="inlineStr">
        <is>
          <t>NONE</t>
        </is>
      </c>
      <c r="AA1512" s="187" t="inlineStr">
        <is>
          <t>NONE</t>
        </is>
      </c>
      <c r="AB1512" s="187" t="inlineStr">
        <is>
          <t>NONE</t>
        </is>
      </c>
      <c r="AC1512" s="187" t="n">
        <v>0</v>
      </c>
      <c r="AD1512" s="187" t="inlineStr"/>
    </row>
    <row r="1513">
      <c r="A1513" s="187" t="inlineStr">
        <is>
          <t>TALOS_IP</t>
        </is>
      </c>
      <c r="B1513" s="187" t="inlineStr">
        <is>
          <t>4cc6bc46cc56</t>
        </is>
      </c>
      <c r="C1513" s="187" t="inlineStr">
        <is>
          <t>Cisco Talos Blacklisted IP: 1.193.63.204 | Verified malicious | Sources: TALOS</t>
        </is>
      </c>
      <c r="D1513" s="187" t="n">
        <v>7</v>
      </c>
      <c r="E1513" s="187" t="inlineStr">
        <is>
          <t>HIGH</t>
        </is>
      </c>
      <c r="F1513" s="187" t="n">
        <v>3</v>
      </c>
      <c r="G1513" s="187" t="n">
        <v>2</v>
      </c>
      <c r="H1513" s="187" t="inlineStr">
        <is>
          <t>HIGH</t>
        </is>
      </c>
      <c r="I1513" s="187" t="n">
        <v>13</v>
      </c>
      <c r="J1513" s="187" t="inlineStr">
        <is>
          <t>NO</t>
        </is>
      </c>
      <c r="K1513" s="187" t="inlineStr">
        <is>
          <t>https://talosintelligence.com/reputation_center/lookup?search=1.193.63.204</t>
        </is>
      </c>
      <c r="L1513" s="187" t="inlineStr">
        <is>
          <t>2026-02-27 20:47</t>
        </is>
      </c>
      <c r="M1513" s="187" t="inlineStr">
        <is>
          <t>Block IP</t>
        </is>
      </c>
      <c r="N1513" s="187" t="inlineStr">
        <is>
          <t>https://talosintelligence.com/reputation_center/lookup?search=1.193.63.204</t>
        </is>
      </c>
      <c r="O1513" s="187" t="inlineStr">
        <is>
          <t>Block IP 1.193.63.204 at firewall | Cisco Talos confirmed malicious</t>
        </is>
      </c>
      <c r="P1513" s="187" t="inlineStr">
        <is>
          <t>Network perimeter / Email / Web</t>
        </is>
      </c>
      <c r="Q1513" s="187" t="inlineStr">
        <is>
          <t>P3</t>
        </is>
      </c>
      <c r="R1513" s="187" t="inlineStr">
        <is>
          <t>🚫 Block IP at firewall immediately | 🔍 Check logs for existing connections | 🛡️ Add to threat intelligence blocklist</t>
        </is>
      </c>
      <c r="S1513" s="187" t="inlineStr">
        <is>
          <t>Check ip-api.com + AbuseIPDB for context</t>
        </is>
      </c>
      <c r="T1513" s="187" t="n">
        <v>0</v>
      </c>
      <c r="U1513" s="187" t="n">
        <v>0</v>
      </c>
      <c r="V1513" s="187" t="inlineStr">
        <is>
          <t>T1110:Brute Force | T1190:Exploit Public-Facing Application | T1566:Phishing</t>
        </is>
      </c>
      <c r="W1513" s="187" t="n">
        <v>1</v>
      </c>
      <c r="X1513" s="187" t="inlineStr">
        <is>
          <t>MEDIUM (60%)</t>
        </is>
      </c>
      <c r="Y1513" s="187" t="inlineStr">
        <is>
          <t>NONE</t>
        </is>
      </c>
      <c r="Z1513" s="187" t="inlineStr">
        <is>
          <t>NONE</t>
        </is>
      </c>
      <c r="AA1513" s="187" t="inlineStr">
        <is>
          <t>NONE</t>
        </is>
      </c>
      <c r="AB1513" s="187" t="inlineStr">
        <is>
          <t>NONE</t>
        </is>
      </c>
      <c r="AC1513" s="187" t="n">
        <v>0</v>
      </c>
      <c r="AD1513" s="187" t="inlineStr"/>
    </row>
    <row r="1514">
      <c r="A1514" s="187" t="inlineStr">
        <is>
          <t>TALOS_IP</t>
        </is>
      </c>
      <c r="B1514" s="187" t="inlineStr">
        <is>
          <t>ca9a910a92b1</t>
        </is>
      </c>
      <c r="C1514" s="187" t="inlineStr">
        <is>
          <t>Cisco Talos Blacklisted IP: 1.193.63.41 | Verified malicious | Sources: TALOS</t>
        </is>
      </c>
      <c r="D1514" s="187" t="n">
        <v>7</v>
      </c>
      <c r="E1514" s="187" t="inlineStr">
        <is>
          <t>HIGH</t>
        </is>
      </c>
      <c r="F1514" s="187" t="n">
        <v>3</v>
      </c>
      <c r="G1514" s="187" t="n">
        <v>2</v>
      </c>
      <c r="H1514" s="187" t="inlineStr">
        <is>
          <t>HIGH</t>
        </is>
      </c>
      <c r="I1514" s="187" t="n">
        <v>13</v>
      </c>
      <c r="J1514" s="187" t="inlineStr">
        <is>
          <t>NO</t>
        </is>
      </c>
      <c r="K1514" s="187" t="inlineStr">
        <is>
          <t>https://talosintelligence.com/reputation_center/lookup?search=1.193.63.41</t>
        </is>
      </c>
      <c r="L1514" s="187" t="inlineStr">
        <is>
          <t>2026-02-27 20:47</t>
        </is>
      </c>
      <c r="M1514" s="187" t="inlineStr">
        <is>
          <t>Block IP</t>
        </is>
      </c>
      <c r="N1514" s="187" t="inlineStr">
        <is>
          <t>https://talosintelligence.com/reputation_center/lookup?search=1.193.63.41</t>
        </is>
      </c>
      <c r="O1514" s="187" t="inlineStr">
        <is>
          <t>Block IP 1.193.63.41 at firewall | Cisco Talos confirmed malicious</t>
        </is>
      </c>
      <c r="P1514" s="187" t="inlineStr">
        <is>
          <t>Network perimeter / Email / Web</t>
        </is>
      </c>
      <c r="Q1514" s="187" t="inlineStr">
        <is>
          <t>P3</t>
        </is>
      </c>
      <c r="R1514" s="187" t="inlineStr">
        <is>
          <t>🚫 Block IP at firewall immediately | 🔍 Check logs for existing connections | 🛡️ Add to threat intelligence blocklist</t>
        </is>
      </c>
      <c r="S1514" s="187" t="inlineStr">
        <is>
          <t>Check ip-api.com + AbuseIPDB for context</t>
        </is>
      </c>
      <c r="T1514" s="187" t="n">
        <v>0</v>
      </c>
      <c r="U1514" s="187" t="n">
        <v>0</v>
      </c>
      <c r="V1514" s="187" t="inlineStr">
        <is>
          <t>T1110:Brute Force | T1190:Exploit Public-Facing Application | T1566:Phishing</t>
        </is>
      </c>
      <c r="W1514" s="187" t="n">
        <v>1</v>
      </c>
      <c r="X1514" s="187" t="inlineStr">
        <is>
          <t>MEDIUM (60%)</t>
        </is>
      </c>
      <c r="Y1514" s="187" t="inlineStr">
        <is>
          <t>NONE</t>
        </is>
      </c>
      <c r="Z1514" s="187" t="inlineStr">
        <is>
          <t>NONE</t>
        </is>
      </c>
      <c r="AA1514" s="187" t="inlineStr">
        <is>
          <t>NONE</t>
        </is>
      </c>
      <c r="AB1514" s="187" t="inlineStr">
        <is>
          <t>NONE</t>
        </is>
      </c>
      <c r="AC1514" s="187" t="n">
        <v>0</v>
      </c>
      <c r="AD1514" s="187" t="inlineStr"/>
    </row>
    <row r="1515">
      <c r="A1515" s="187" t="inlineStr">
        <is>
          <t>TALOS_IP</t>
        </is>
      </c>
      <c r="B1515" s="187" t="inlineStr">
        <is>
          <t>0dbde777d291</t>
        </is>
      </c>
      <c r="C1515" s="187" t="inlineStr">
        <is>
          <t>Cisco Talos Blacklisted IP: 1.193.63.92 | Verified malicious | Sources: TALOS</t>
        </is>
      </c>
      <c r="D1515" s="187" t="n">
        <v>7</v>
      </c>
      <c r="E1515" s="187" t="inlineStr">
        <is>
          <t>HIGH</t>
        </is>
      </c>
      <c r="F1515" s="187" t="n">
        <v>3</v>
      </c>
      <c r="G1515" s="187" t="n">
        <v>2</v>
      </c>
      <c r="H1515" s="187" t="inlineStr">
        <is>
          <t>HIGH</t>
        </is>
      </c>
      <c r="I1515" s="187" t="n">
        <v>13</v>
      </c>
      <c r="J1515" s="187" t="inlineStr">
        <is>
          <t>NO</t>
        </is>
      </c>
      <c r="K1515" s="187" t="inlineStr">
        <is>
          <t>https://talosintelligence.com/reputation_center/lookup?search=1.193.63.92</t>
        </is>
      </c>
      <c r="L1515" s="187" t="inlineStr">
        <is>
          <t>2026-02-27 20:47</t>
        </is>
      </c>
      <c r="M1515" s="187" t="inlineStr">
        <is>
          <t>Block IP</t>
        </is>
      </c>
      <c r="N1515" s="187" t="inlineStr">
        <is>
          <t>https://talosintelligence.com/reputation_center/lookup?search=1.193.63.92</t>
        </is>
      </c>
      <c r="O1515" s="187" t="inlineStr">
        <is>
          <t>Block IP 1.193.63.92 at firewall | Cisco Talos confirmed malicious</t>
        </is>
      </c>
      <c r="P1515" s="187" t="inlineStr">
        <is>
          <t>Network perimeter / Email / Web</t>
        </is>
      </c>
      <c r="Q1515" s="187" t="inlineStr">
        <is>
          <t>P3</t>
        </is>
      </c>
      <c r="R1515" s="187" t="inlineStr">
        <is>
          <t>🚫 Block IP at firewall immediately | 🔍 Check logs for existing connections | 🛡️ Add to threat intelligence blocklist</t>
        </is>
      </c>
      <c r="S1515" s="187" t="inlineStr">
        <is>
          <t>Check ip-api.com + AbuseIPDB for context</t>
        </is>
      </c>
      <c r="T1515" s="187" t="n">
        <v>0</v>
      </c>
      <c r="U1515" s="187" t="n">
        <v>0</v>
      </c>
      <c r="V1515" s="187" t="inlineStr">
        <is>
          <t>T1110:Brute Force | T1190:Exploit Public-Facing Application | T1566:Phishing</t>
        </is>
      </c>
      <c r="W1515" s="187" t="n">
        <v>1</v>
      </c>
      <c r="X1515" s="187" t="inlineStr">
        <is>
          <t>MEDIUM (60%)</t>
        </is>
      </c>
      <c r="Y1515" s="187" t="inlineStr">
        <is>
          <t>NONE</t>
        </is>
      </c>
      <c r="Z1515" s="187" t="inlineStr">
        <is>
          <t>NONE</t>
        </is>
      </c>
      <c r="AA1515" s="187" t="inlineStr">
        <is>
          <t>NONE</t>
        </is>
      </c>
      <c r="AB1515" s="187" t="inlineStr">
        <is>
          <t>NONE</t>
        </is>
      </c>
      <c r="AC1515" s="187" t="n">
        <v>0</v>
      </c>
      <c r="AD1515" s="187" t="inlineStr"/>
    </row>
    <row r="1516">
      <c r="A1516" s="187" t="inlineStr">
        <is>
          <t>TALOS_IP</t>
        </is>
      </c>
      <c r="B1516" s="187" t="inlineStr">
        <is>
          <t>0fc0746bf6ec</t>
        </is>
      </c>
      <c r="C1516" s="187" t="inlineStr">
        <is>
          <t>Cisco Talos Blacklisted IP: 1.20.203.179 | Verified malicious | Sources: TALOS</t>
        </is>
      </c>
      <c r="D1516" s="187" t="n">
        <v>7</v>
      </c>
      <c r="E1516" s="187" t="inlineStr">
        <is>
          <t>HIGH</t>
        </is>
      </c>
      <c r="F1516" s="187" t="n">
        <v>3</v>
      </c>
      <c r="G1516" s="187" t="n">
        <v>2</v>
      </c>
      <c r="H1516" s="187" t="inlineStr">
        <is>
          <t>HIGH</t>
        </is>
      </c>
      <c r="I1516" s="187" t="n">
        <v>13</v>
      </c>
      <c r="J1516" s="187" t="inlineStr">
        <is>
          <t>NO</t>
        </is>
      </c>
      <c r="K1516" s="187" t="inlineStr">
        <is>
          <t>https://talosintelligence.com/reputation_center/lookup?search=1.20.203.179</t>
        </is>
      </c>
      <c r="L1516" s="187" t="inlineStr">
        <is>
          <t>2026-02-27 20:47</t>
        </is>
      </c>
      <c r="M1516" s="187" t="inlineStr">
        <is>
          <t>Block IP</t>
        </is>
      </c>
      <c r="N1516" s="187" t="inlineStr">
        <is>
          <t>https://talosintelligence.com/reputation_center/lookup?search=1.20.203.179</t>
        </is>
      </c>
      <c r="O1516" s="187" t="inlineStr">
        <is>
          <t>Block IP 1.20.203.179 at firewall | Cisco Talos confirmed malicious</t>
        </is>
      </c>
      <c r="P1516" s="187" t="inlineStr">
        <is>
          <t>Network perimeter / Email / Web</t>
        </is>
      </c>
      <c r="Q1516" s="187" t="inlineStr">
        <is>
          <t>P3</t>
        </is>
      </c>
      <c r="R1516" s="187" t="inlineStr">
        <is>
          <t>🚫 Block IP at firewall immediately | 🔍 Check logs for existing connections | 🛡️ Add to threat intelligence blocklist</t>
        </is>
      </c>
      <c r="S1516" s="187" t="inlineStr">
        <is>
          <t>Check ip-api.com + AbuseIPDB for context</t>
        </is>
      </c>
      <c r="T1516" s="187" t="n">
        <v>0</v>
      </c>
      <c r="U1516" s="187" t="n">
        <v>0</v>
      </c>
      <c r="V1516" s="187" t="inlineStr">
        <is>
          <t>T1110:Brute Force | T1190:Exploit Public-Facing Application | T1566:Phishing</t>
        </is>
      </c>
      <c r="W1516" s="187" t="n">
        <v>1</v>
      </c>
      <c r="X1516" s="187" t="inlineStr">
        <is>
          <t>MEDIUM (60%)</t>
        </is>
      </c>
      <c r="Y1516" s="187" t="inlineStr">
        <is>
          <t>NONE</t>
        </is>
      </c>
      <c r="Z1516" s="187" t="inlineStr">
        <is>
          <t>NONE</t>
        </is>
      </c>
      <c r="AA1516" s="187" t="inlineStr">
        <is>
          <t>NONE</t>
        </is>
      </c>
      <c r="AB1516" s="187" t="inlineStr">
        <is>
          <t>NONE</t>
        </is>
      </c>
      <c r="AC1516" s="187" t="n">
        <v>0</v>
      </c>
      <c r="AD1516" s="187" t="inlineStr"/>
    </row>
    <row r="1517">
      <c r="A1517" s="187" t="inlineStr">
        <is>
          <t>TALOS_IP</t>
        </is>
      </c>
      <c r="B1517" s="187" t="inlineStr">
        <is>
          <t>f9ed7dcf18b1</t>
        </is>
      </c>
      <c r="C1517" s="187" t="inlineStr">
        <is>
          <t>Cisco Talos Blacklisted IP: 1.20.93.92 | Verified malicious | Sources: TALOS</t>
        </is>
      </c>
      <c r="D1517" s="187" t="n">
        <v>7</v>
      </c>
      <c r="E1517" s="187" t="inlineStr">
        <is>
          <t>HIGH</t>
        </is>
      </c>
      <c r="F1517" s="187" t="n">
        <v>3</v>
      </c>
      <c r="G1517" s="187" t="n">
        <v>2</v>
      </c>
      <c r="H1517" s="187" t="inlineStr">
        <is>
          <t>HIGH</t>
        </is>
      </c>
      <c r="I1517" s="187" t="n">
        <v>13</v>
      </c>
      <c r="J1517" s="187" t="inlineStr">
        <is>
          <t>NO</t>
        </is>
      </c>
      <c r="K1517" s="187" t="inlineStr">
        <is>
          <t>https://talosintelligence.com/reputation_center/lookup?search=1.20.93.92</t>
        </is>
      </c>
      <c r="L1517" s="187" t="inlineStr">
        <is>
          <t>2026-02-27 20:47</t>
        </is>
      </c>
      <c r="M1517" s="187" t="inlineStr">
        <is>
          <t>Block IP</t>
        </is>
      </c>
      <c r="N1517" s="187" t="inlineStr">
        <is>
          <t>https://talosintelligence.com/reputation_center/lookup?search=1.20.93.92</t>
        </is>
      </c>
      <c r="O1517" s="187" t="inlineStr">
        <is>
          <t>Block IP 1.20.93.92 at firewall | Cisco Talos confirmed malicious</t>
        </is>
      </c>
      <c r="P1517" s="187" t="inlineStr">
        <is>
          <t>Network perimeter / Email / Web</t>
        </is>
      </c>
      <c r="Q1517" s="187" t="inlineStr">
        <is>
          <t>P3</t>
        </is>
      </c>
      <c r="R1517" s="187" t="inlineStr">
        <is>
          <t>🚫 Block IP at firewall immediately | 🔍 Check logs for existing connections | 🛡️ Add to threat intelligence blocklist</t>
        </is>
      </c>
      <c r="S1517" s="187" t="inlineStr">
        <is>
          <t>Check ip-api.com + AbuseIPDB for context</t>
        </is>
      </c>
      <c r="T1517" s="187" t="n">
        <v>0</v>
      </c>
      <c r="U1517" s="187" t="n">
        <v>0</v>
      </c>
      <c r="V1517" s="187" t="inlineStr">
        <is>
          <t>T1110:Brute Force | T1190:Exploit Public-Facing Application | T1566:Phishing</t>
        </is>
      </c>
      <c r="W1517" s="187" t="n">
        <v>1</v>
      </c>
      <c r="X1517" s="187" t="inlineStr">
        <is>
          <t>MEDIUM (60%)</t>
        </is>
      </c>
      <c r="Y1517" s="187" t="inlineStr">
        <is>
          <t>NONE</t>
        </is>
      </c>
      <c r="Z1517" s="187" t="inlineStr">
        <is>
          <t>NONE</t>
        </is>
      </c>
      <c r="AA1517" s="187" t="inlineStr">
        <is>
          <t>NONE</t>
        </is>
      </c>
      <c r="AB1517" s="187" t="inlineStr">
        <is>
          <t>NONE</t>
        </is>
      </c>
      <c r="AC1517" s="187" t="n">
        <v>0</v>
      </c>
      <c r="AD1517" s="187" t="inlineStr"/>
    </row>
    <row r="1518">
      <c r="A1518" s="187" t="inlineStr">
        <is>
          <t>TALOS_IP</t>
        </is>
      </c>
      <c r="B1518" s="187" t="inlineStr">
        <is>
          <t>e2824185e33a</t>
        </is>
      </c>
      <c r="C1518" s="187" t="inlineStr">
        <is>
          <t>Cisco Talos Blacklisted IP: 1.203.97.227 | Verified malicious | Sources: TALOS</t>
        </is>
      </c>
      <c r="D1518" s="187" t="n">
        <v>7</v>
      </c>
      <c r="E1518" s="187" t="inlineStr">
        <is>
          <t>HIGH</t>
        </is>
      </c>
      <c r="F1518" s="187" t="n">
        <v>3</v>
      </c>
      <c r="G1518" s="187" t="n">
        <v>2</v>
      </c>
      <c r="H1518" s="187" t="inlineStr">
        <is>
          <t>HIGH</t>
        </is>
      </c>
      <c r="I1518" s="187" t="n">
        <v>13</v>
      </c>
      <c r="J1518" s="187" t="inlineStr">
        <is>
          <t>NO</t>
        </is>
      </c>
      <c r="K1518" s="187" t="inlineStr">
        <is>
          <t>https://talosintelligence.com/reputation_center/lookup?search=1.203.97.227</t>
        </is>
      </c>
      <c r="L1518" s="187" t="inlineStr">
        <is>
          <t>2026-02-27 20:47</t>
        </is>
      </c>
      <c r="M1518" s="187" t="inlineStr">
        <is>
          <t>Block IP</t>
        </is>
      </c>
      <c r="N1518" s="187" t="inlineStr">
        <is>
          <t>https://talosintelligence.com/reputation_center/lookup?search=1.203.97.227</t>
        </is>
      </c>
      <c r="O1518" s="187" t="inlineStr">
        <is>
          <t>Block IP 1.203.97.227 at firewall | Cisco Talos confirmed malicious</t>
        </is>
      </c>
      <c r="P1518" s="187" t="inlineStr">
        <is>
          <t>Network perimeter / Email / Web</t>
        </is>
      </c>
      <c r="Q1518" s="187" t="inlineStr">
        <is>
          <t>P3</t>
        </is>
      </c>
      <c r="R1518" s="187" t="inlineStr">
        <is>
          <t>🚫 Block IP at firewall immediately | 🔍 Check logs for existing connections | 🛡️ Add to threat intelligence blocklist</t>
        </is>
      </c>
      <c r="S1518" s="187" t="inlineStr">
        <is>
          <t>Check ip-api.com + AbuseIPDB for context</t>
        </is>
      </c>
      <c r="T1518" s="187" t="n">
        <v>0</v>
      </c>
      <c r="U1518" s="187" t="n">
        <v>0</v>
      </c>
      <c r="V1518" s="187" t="inlineStr">
        <is>
          <t>T1110:Brute Force | T1190:Exploit Public-Facing Application | T1566:Phishing</t>
        </is>
      </c>
      <c r="W1518" s="187" t="n">
        <v>1</v>
      </c>
      <c r="X1518" s="187" t="inlineStr">
        <is>
          <t>MEDIUM (60%)</t>
        </is>
      </c>
      <c r="Y1518" s="187" t="inlineStr">
        <is>
          <t>NONE</t>
        </is>
      </c>
      <c r="Z1518" s="187" t="inlineStr">
        <is>
          <t>NONE</t>
        </is>
      </c>
      <c r="AA1518" s="187" t="inlineStr">
        <is>
          <t>NONE</t>
        </is>
      </c>
      <c r="AB1518" s="187" t="inlineStr">
        <is>
          <t>NONE</t>
        </is>
      </c>
      <c r="AC1518" s="187" t="n">
        <v>0</v>
      </c>
      <c r="AD1518" s="187" t="inlineStr"/>
    </row>
    <row r="1519">
      <c r="A1519" s="187" t="inlineStr">
        <is>
          <t>TALOS_IP</t>
        </is>
      </c>
      <c r="B1519" s="187" t="inlineStr">
        <is>
          <t>3bf11834fe2a</t>
        </is>
      </c>
      <c r="C1519" s="187" t="inlineStr">
        <is>
          <t>Cisco Talos Blacklisted IP: 1.204.118.150 | Verified malicious | Sources: TALOS</t>
        </is>
      </c>
      <c r="D1519" s="187" t="n">
        <v>7</v>
      </c>
      <c r="E1519" s="187" t="inlineStr">
        <is>
          <t>HIGH</t>
        </is>
      </c>
      <c r="F1519" s="187" t="n">
        <v>3</v>
      </c>
      <c r="G1519" s="187" t="n">
        <v>2</v>
      </c>
      <c r="H1519" s="187" t="inlineStr">
        <is>
          <t>HIGH</t>
        </is>
      </c>
      <c r="I1519" s="187" t="n">
        <v>13</v>
      </c>
      <c r="J1519" s="187" t="inlineStr">
        <is>
          <t>NO</t>
        </is>
      </c>
      <c r="K1519" s="187" t="inlineStr">
        <is>
          <t>https://talosintelligence.com/reputation_center/lookup?search=1.204.118.150</t>
        </is>
      </c>
      <c r="L1519" s="187" t="inlineStr">
        <is>
          <t>2026-02-27 20:47</t>
        </is>
      </c>
      <c r="M1519" s="187" t="inlineStr">
        <is>
          <t>Block IP</t>
        </is>
      </c>
      <c r="N1519" s="187" t="inlineStr">
        <is>
          <t>https://talosintelligence.com/reputation_center/lookup?search=1.204.118.150</t>
        </is>
      </c>
      <c r="O1519" s="187" t="inlineStr">
        <is>
          <t>Block IP 1.204.118.150 at firewall | Cisco Talos confirmed malicious</t>
        </is>
      </c>
      <c r="P1519" s="187" t="inlineStr">
        <is>
          <t>Network perimeter / Email / Web</t>
        </is>
      </c>
      <c r="Q1519" s="187" t="inlineStr">
        <is>
          <t>P3</t>
        </is>
      </c>
      <c r="R1519" s="187" t="inlineStr">
        <is>
          <t>🚫 Block IP at firewall immediately | 🔍 Check logs for existing connections | 🛡️ Add to threat intelligence blocklist</t>
        </is>
      </c>
      <c r="S1519" s="187" t="inlineStr">
        <is>
          <t>Check ip-api.com + AbuseIPDB for context</t>
        </is>
      </c>
      <c r="T1519" s="187" t="n">
        <v>0</v>
      </c>
      <c r="U1519" s="187" t="n">
        <v>0</v>
      </c>
      <c r="V1519" s="187" t="inlineStr">
        <is>
          <t>T1110:Brute Force | T1190:Exploit Public-Facing Application | T1566:Phishing</t>
        </is>
      </c>
      <c r="W1519" s="187" t="n">
        <v>1</v>
      </c>
      <c r="X1519" s="187" t="inlineStr">
        <is>
          <t>MEDIUM (60%)</t>
        </is>
      </c>
      <c r="Y1519" s="187" t="inlineStr">
        <is>
          <t>NONE</t>
        </is>
      </c>
      <c r="Z1519" s="187" t="inlineStr">
        <is>
          <t>NONE</t>
        </is>
      </c>
      <c r="AA1519" s="187" t="inlineStr">
        <is>
          <t>NONE</t>
        </is>
      </c>
      <c r="AB1519" s="187" t="inlineStr">
        <is>
          <t>NONE</t>
        </is>
      </c>
      <c r="AC1519" s="187" t="n">
        <v>0</v>
      </c>
      <c r="AD1519" s="187" t="inlineStr"/>
    </row>
    <row r="1520">
      <c r="A1520" s="187" t="inlineStr">
        <is>
          <t>TALOS_IP</t>
        </is>
      </c>
      <c r="B1520" s="187" t="inlineStr">
        <is>
          <t>735658f2598f</t>
        </is>
      </c>
      <c r="C1520" s="187" t="inlineStr">
        <is>
          <t>Cisco Talos Blacklisted IP: 1.223.227.114 | Verified malicious | Sources: TALOS</t>
        </is>
      </c>
      <c r="D1520" s="187" t="n">
        <v>7</v>
      </c>
      <c r="E1520" s="187" t="inlineStr">
        <is>
          <t>HIGH</t>
        </is>
      </c>
      <c r="F1520" s="187" t="n">
        <v>3</v>
      </c>
      <c r="G1520" s="187" t="n">
        <v>2</v>
      </c>
      <c r="H1520" s="187" t="inlineStr">
        <is>
          <t>HIGH</t>
        </is>
      </c>
      <c r="I1520" s="187" t="n">
        <v>13</v>
      </c>
      <c r="J1520" s="187" t="inlineStr">
        <is>
          <t>NO</t>
        </is>
      </c>
      <c r="K1520" s="187" t="inlineStr">
        <is>
          <t>https://talosintelligence.com/reputation_center/lookup?search=1.223.227.114</t>
        </is>
      </c>
      <c r="L1520" s="187" t="inlineStr">
        <is>
          <t>2026-02-27 20:47</t>
        </is>
      </c>
      <c r="M1520" s="187" t="inlineStr">
        <is>
          <t>Block IP</t>
        </is>
      </c>
      <c r="N1520" s="187" t="inlineStr">
        <is>
          <t>https://talosintelligence.com/reputation_center/lookup?search=1.223.227.114</t>
        </is>
      </c>
      <c r="O1520" s="187" t="inlineStr">
        <is>
          <t>Block IP 1.223.227.114 at firewall | Cisco Talos confirmed malicious</t>
        </is>
      </c>
      <c r="P1520" s="187" t="inlineStr">
        <is>
          <t>Network perimeter / Email / Web</t>
        </is>
      </c>
      <c r="Q1520" s="187" t="inlineStr">
        <is>
          <t>P3</t>
        </is>
      </c>
      <c r="R1520" s="187" t="inlineStr">
        <is>
          <t>🚫 Block IP at firewall immediately | 🔍 Check logs for existing connections | 🛡️ Add to threat intelligence blocklist</t>
        </is>
      </c>
      <c r="S1520" s="187" t="inlineStr">
        <is>
          <t>Check ip-api.com + AbuseIPDB for context</t>
        </is>
      </c>
      <c r="T1520" s="187" t="n">
        <v>0</v>
      </c>
      <c r="U1520" s="187" t="n">
        <v>0</v>
      </c>
      <c r="V1520" s="187" t="inlineStr">
        <is>
          <t>T1110:Brute Force | T1190:Exploit Public-Facing Application | T1566:Phishing</t>
        </is>
      </c>
      <c r="W1520" s="187" t="n">
        <v>1</v>
      </c>
      <c r="X1520" s="187" t="inlineStr">
        <is>
          <t>MEDIUM (60%)</t>
        </is>
      </c>
      <c r="Y1520" s="187" t="inlineStr">
        <is>
          <t>NONE</t>
        </is>
      </c>
      <c r="Z1520" s="187" t="inlineStr">
        <is>
          <t>NONE</t>
        </is>
      </c>
      <c r="AA1520" s="187" t="inlineStr">
        <is>
          <t>NONE</t>
        </is>
      </c>
      <c r="AB1520" s="187" t="inlineStr">
        <is>
          <t>NONE</t>
        </is>
      </c>
      <c r="AC1520" s="187" t="n">
        <v>0</v>
      </c>
      <c r="AD1520" s="187" t="inlineStr"/>
    </row>
    <row r="1521">
      <c r="A1521" s="187" t="inlineStr">
        <is>
          <t>TALOS_IP</t>
        </is>
      </c>
      <c r="B1521" s="187" t="inlineStr">
        <is>
          <t>d62d82b65f98</t>
        </is>
      </c>
      <c r="C1521" s="187" t="inlineStr">
        <is>
          <t>Cisco Talos Blacklisted IP: 1.24.16.101 | Verified malicious | Sources: TALOS</t>
        </is>
      </c>
      <c r="D1521" s="187" t="n">
        <v>7</v>
      </c>
      <c r="E1521" s="187" t="inlineStr">
        <is>
          <t>HIGH</t>
        </is>
      </c>
      <c r="F1521" s="187" t="n">
        <v>3</v>
      </c>
      <c r="G1521" s="187" t="n">
        <v>2</v>
      </c>
      <c r="H1521" s="187" t="inlineStr">
        <is>
          <t>HIGH</t>
        </is>
      </c>
      <c r="I1521" s="187" t="n">
        <v>13</v>
      </c>
      <c r="J1521" s="187" t="inlineStr">
        <is>
          <t>NO</t>
        </is>
      </c>
      <c r="K1521" s="187" t="inlineStr">
        <is>
          <t>https://talosintelligence.com/reputation_center/lookup?search=1.24.16.101</t>
        </is>
      </c>
      <c r="L1521" s="187" t="inlineStr">
        <is>
          <t>2026-02-27 20:47</t>
        </is>
      </c>
      <c r="M1521" s="187" t="inlineStr">
        <is>
          <t>Block IP</t>
        </is>
      </c>
      <c r="N1521" s="187" t="inlineStr">
        <is>
          <t>https://talosintelligence.com/reputation_center/lookup?search=1.24.16.101</t>
        </is>
      </c>
      <c r="O1521" s="187" t="inlineStr">
        <is>
          <t>Block IP 1.24.16.101 at firewall | Cisco Talos confirmed malicious</t>
        </is>
      </c>
      <c r="P1521" s="187" t="inlineStr">
        <is>
          <t>Network perimeter / Email / Web</t>
        </is>
      </c>
      <c r="Q1521" s="187" t="inlineStr">
        <is>
          <t>P3</t>
        </is>
      </c>
      <c r="R1521" s="187" t="inlineStr">
        <is>
          <t>🚫 Block IP at firewall immediately | 🔍 Check logs for existing connections | 🛡️ Add to threat intelligence blocklist</t>
        </is>
      </c>
      <c r="S1521" s="187" t="inlineStr">
        <is>
          <t>Check ip-api.com + AbuseIPDB for context</t>
        </is>
      </c>
      <c r="T1521" s="187" t="n">
        <v>0</v>
      </c>
      <c r="U1521" s="187" t="n">
        <v>0</v>
      </c>
      <c r="V1521" s="187" t="inlineStr">
        <is>
          <t>T1110:Brute Force | T1190:Exploit Public-Facing Application | T1566:Phishing</t>
        </is>
      </c>
      <c r="W1521" s="187" t="n">
        <v>1</v>
      </c>
      <c r="X1521" s="187" t="inlineStr">
        <is>
          <t>MEDIUM (60%)</t>
        </is>
      </c>
      <c r="Y1521" s="187" t="inlineStr">
        <is>
          <t>NONE</t>
        </is>
      </c>
      <c r="Z1521" s="187" t="inlineStr">
        <is>
          <t>NONE</t>
        </is>
      </c>
      <c r="AA1521" s="187" t="inlineStr">
        <is>
          <t>NONE</t>
        </is>
      </c>
      <c r="AB1521" s="187" t="inlineStr">
        <is>
          <t>NONE</t>
        </is>
      </c>
      <c r="AC1521" s="187" t="n">
        <v>0</v>
      </c>
      <c r="AD1521" s="187" t="inlineStr"/>
    </row>
    <row r="1522">
      <c r="A1522" s="187" t="inlineStr">
        <is>
          <t>TALOS_IP</t>
        </is>
      </c>
      <c r="B1522" s="187" t="inlineStr">
        <is>
          <t>0418036ca79b</t>
        </is>
      </c>
      <c r="C1522" s="187" t="inlineStr">
        <is>
          <t>Cisco Talos Blacklisted IP: 1.24.16.105 | Verified malicious | Sources: TALOS</t>
        </is>
      </c>
      <c r="D1522" s="187" t="n">
        <v>7</v>
      </c>
      <c r="E1522" s="187" t="inlineStr">
        <is>
          <t>HIGH</t>
        </is>
      </c>
      <c r="F1522" s="187" t="n">
        <v>3</v>
      </c>
      <c r="G1522" s="187" t="n">
        <v>2</v>
      </c>
      <c r="H1522" s="187" t="inlineStr">
        <is>
          <t>HIGH</t>
        </is>
      </c>
      <c r="I1522" s="187" t="n">
        <v>13</v>
      </c>
      <c r="J1522" s="187" t="inlineStr">
        <is>
          <t>NO</t>
        </is>
      </c>
      <c r="K1522" s="187" t="inlineStr">
        <is>
          <t>https://talosintelligence.com/reputation_center/lookup?search=1.24.16.105</t>
        </is>
      </c>
      <c r="L1522" s="187" t="inlineStr">
        <is>
          <t>2026-02-27 20:47</t>
        </is>
      </c>
      <c r="M1522" s="187" t="inlineStr">
        <is>
          <t>Block IP</t>
        </is>
      </c>
      <c r="N1522" s="187" t="inlineStr">
        <is>
          <t>https://talosintelligence.com/reputation_center/lookup?search=1.24.16.105</t>
        </is>
      </c>
      <c r="O1522" s="187" t="inlineStr">
        <is>
          <t>Block IP 1.24.16.105 at firewall | Cisco Talos confirmed malicious</t>
        </is>
      </c>
      <c r="P1522" s="187" t="inlineStr">
        <is>
          <t>Network perimeter / Email / Web</t>
        </is>
      </c>
      <c r="Q1522" s="187" t="inlineStr">
        <is>
          <t>P3</t>
        </is>
      </c>
      <c r="R1522" s="187" t="inlineStr">
        <is>
          <t>🚫 Block IP at firewall immediately | 🔍 Check logs for existing connections | 🛡️ Add to threat intelligence blocklist</t>
        </is>
      </c>
      <c r="S1522" s="187" t="inlineStr">
        <is>
          <t>Check ip-api.com + AbuseIPDB for context</t>
        </is>
      </c>
      <c r="T1522" s="187" t="n">
        <v>0</v>
      </c>
      <c r="U1522" s="187" t="n">
        <v>0</v>
      </c>
      <c r="V1522" s="187" t="inlineStr">
        <is>
          <t>T1110:Brute Force | T1190:Exploit Public-Facing Application | T1566:Phishing</t>
        </is>
      </c>
      <c r="W1522" s="187" t="n">
        <v>1</v>
      </c>
      <c r="X1522" s="187" t="inlineStr">
        <is>
          <t>MEDIUM (60%)</t>
        </is>
      </c>
      <c r="Y1522" s="187" t="inlineStr">
        <is>
          <t>NONE</t>
        </is>
      </c>
      <c r="Z1522" s="187" t="inlineStr">
        <is>
          <t>NONE</t>
        </is>
      </c>
      <c r="AA1522" s="187" t="inlineStr">
        <is>
          <t>NONE</t>
        </is>
      </c>
      <c r="AB1522" s="187" t="inlineStr">
        <is>
          <t>NONE</t>
        </is>
      </c>
      <c r="AC1522" s="187" t="n">
        <v>0</v>
      </c>
      <c r="AD1522" s="187" t="inlineStr"/>
    </row>
    <row r="1523">
      <c r="A1523" s="187" t="inlineStr">
        <is>
          <t>TALOS_IP</t>
        </is>
      </c>
      <c r="B1523" s="187" t="inlineStr">
        <is>
          <t>015abd9a7678</t>
        </is>
      </c>
      <c r="C1523" s="187" t="inlineStr">
        <is>
          <t>Cisco Talos Blacklisted IP: 1.24.16.107 | Verified malicious | Sources: TALOS</t>
        </is>
      </c>
      <c r="D1523" s="187" t="n">
        <v>7</v>
      </c>
      <c r="E1523" s="187" t="inlineStr">
        <is>
          <t>HIGH</t>
        </is>
      </c>
      <c r="F1523" s="187" t="n">
        <v>3</v>
      </c>
      <c r="G1523" s="187" t="n">
        <v>2</v>
      </c>
      <c r="H1523" s="187" t="inlineStr">
        <is>
          <t>HIGH</t>
        </is>
      </c>
      <c r="I1523" s="187" t="n">
        <v>13</v>
      </c>
      <c r="J1523" s="187" t="inlineStr">
        <is>
          <t>NO</t>
        </is>
      </c>
      <c r="K1523" s="187" t="inlineStr">
        <is>
          <t>https://talosintelligence.com/reputation_center/lookup?search=1.24.16.107</t>
        </is>
      </c>
      <c r="L1523" s="187" t="inlineStr">
        <is>
          <t>2026-02-27 20:47</t>
        </is>
      </c>
      <c r="M1523" s="187" t="inlineStr">
        <is>
          <t>Block IP</t>
        </is>
      </c>
      <c r="N1523" s="187" t="inlineStr">
        <is>
          <t>https://talosintelligence.com/reputation_center/lookup?search=1.24.16.107</t>
        </is>
      </c>
      <c r="O1523" s="187" t="inlineStr">
        <is>
          <t>Block IP 1.24.16.107 at firewall | Cisco Talos confirmed malicious</t>
        </is>
      </c>
      <c r="P1523" s="187" t="inlineStr">
        <is>
          <t>Network perimeter / Email / Web</t>
        </is>
      </c>
      <c r="Q1523" s="187" t="inlineStr">
        <is>
          <t>P3</t>
        </is>
      </c>
      <c r="R1523" s="187" t="inlineStr">
        <is>
          <t>🚫 Block IP at firewall immediately | 🔍 Check logs for existing connections | 🛡️ Add to threat intelligence blocklist</t>
        </is>
      </c>
      <c r="S1523" s="187" t="inlineStr">
        <is>
          <t>Check ip-api.com + AbuseIPDB for context</t>
        </is>
      </c>
      <c r="T1523" s="187" t="n">
        <v>0</v>
      </c>
      <c r="U1523" s="187" t="n">
        <v>0</v>
      </c>
      <c r="V1523" s="187" t="inlineStr">
        <is>
          <t>T1110:Brute Force | T1190:Exploit Public-Facing Application | T1566:Phishing</t>
        </is>
      </c>
      <c r="W1523" s="187" t="n">
        <v>1</v>
      </c>
      <c r="X1523" s="187" t="inlineStr">
        <is>
          <t>MEDIUM (60%)</t>
        </is>
      </c>
      <c r="Y1523" s="187" t="inlineStr">
        <is>
          <t>NONE</t>
        </is>
      </c>
      <c r="Z1523" s="187" t="inlineStr">
        <is>
          <t>NONE</t>
        </is>
      </c>
      <c r="AA1523" s="187" t="inlineStr">
        <is>
          <t>NONE</t>
        </is>
      </c>
      <c r="AB1523" s="187" t="inlineStr">
        <is>
          <t>NONE</t>
        </is>
      </c>
      <c r="AC1523" s="187" t="n">
        <v>0</v>
      </c>
      <c r="AD1523" s="187" t="inlineStr"/>
    </row>
    <row r="1524">
      <c r="A1524" s="187" t="inlineStr">
        <is>
          <t>TALOS_IP</t>
        </is>
      </c>
      <c r="B1524" s="187" t="inlineStr">
        <is>
          <t>f74bd1b43143</t>
        </is>
      </c>
      <c r="C1524" s="187" t="inlineStr">
        <is>
          <t>Cisco Talos Blacklisted IP: 1.24.16.108 | Verified malicious | Sources: TALOS</t>
        </is>
      </c>
      <c r="D1524" s="187" t="n">
        <v>7</v>
      </c>
      <c r="E1524" s="187" t="inlineStr">
        <is>
          <t>HIGH</t>
        </is>
      </c>
      <c r="F1524" s="187" t="n">
        <v>3</v>
      </c>
      <c r="G1524" s="187" t="n">
        <v>2</v>
      </c>
      <c r="H1524" s="187" t="inlineStr">
        <is>
          <t>HIGH</t>
        </is>
      </c>
      <c r="I1524" s="187" t="n">
        <v>13</v>
      </c>
      <c r="J1524" s="187" t="inlineStr">
        <is>
          <t>NO</t>
        </is>
      </c>
      <c r="K1524" s="187" t="inlineStr">
        <is>
          <t>https://talosintelligence.com/reputation_center/lookup?search=1.24.16.108</t>
        </is>
      </c>
      <c r="L1524" s="187" t="inlineStr">
        <is>
          <t>2026-02-27 20:47</t>
        </is>
      </c>
      <c r="M1524" s="187" t="inlineStr">
        <is>
          <t>Block IP</t>
        </is>
      </c>
      <c r="N1524" s="187" t="inlineStr">
        <is>
          <t>https://talosintelligence.com/reputation_center/lookup?search=1.24.16.108</t>
        </is>
      </c>
      <c r="O1524" s="187" t="inlineStr">
        <is>
          <t>Block IP 1.24.16.108 at firewall | Cisco Talos confirmed malicious</t>
        </is>
      </c>
      <c r="P1524" s="187" t="inlineStr">
        <is>
          <t>Network perimeter / Email / Web</t>
        </is>
      </c>
      <c r="Q1524" s="187" t="inlineStr">
        <is>
          <t>P3</t>
        </is>
      </c>
      <c r="R1524" s="187" t="inlineStr">
        <is>
          <t>🚫 Block IP at firewall immediately | 🔍 Check logs for existing connections | 🛡️ Add to threat intelligence blocklist</t>
        </is>
      </c>
      <c r="S1524" s="187" t="inlineStr">
        <is>
          <t>Check ip-api.com + AbuseIPDB for context</t>
        </is>
      </c>
      <c r="T1524" s="187" t="n">
        <v>0</v>
      </c>
      <c r="U1524" s="187" t="n">
        <v>0</v>
      </c>
      <c r="V1524" s="187" t="inlineStr">
        <is>
          <t>T1110:Brute Force | T1190:Exploit Public-Facing Application | T1566:Phishing</t>
        </is>
      </c>
      <c r="W1524" s="187" t="n">
        <v>1</v>
      </c>
      <c r="X1524" s="187" t="inlineStr">
        <is>
          <t>MEDIUM (60%)</t>
        </is>
      </c>
      <c r="Y1524" s="187" t="inlineStr">
        <is>
          <t>NONE</t>
        </is>
      </c>
      <c r="Z1524" s="187" t="inlineStr">
        <is>
          <t>NONE</t>
        </is>
      </c>
      <c r="AA1524" s="187" t="inlineStr">
        <is>
          <t>NONE</t>
        </is>
      </c>
      <c r="AB1524" s="187" t="inlineStr">
        <is>
          <t>NONE</t>
        </is>
      </c>
      <c r="AC1524" s="187" t="n">
        <v>0</v>
      </c>
      <c r="AD1524" s="187" t="inlineStr"/>
    </row>
    <row r="1525">
      <c r="A1525" s="187" t="inlineStr">
        <is>
          <t>TALOS_IP</t>
        </is>
      </c>
      <c r="B1525" s="187" t="inlineStr">
        <is>
          <t>d509eda925c3</t>
        </is>
      </c>
      <c r="C1525" s="187" t="inlineStr">
        <is>
          <t>Cisco Talos Blacklisted IP: 1.24.16.11 | Verified malicious | Sources: TALOS</t>
        </is>
      </c>
      <c r="D1525" s="187" t="n">
        <v>7</v>
      </c>
      <c r="E1525" s="187" t="inlineStr">
        <is>
          <t>HIGH</t>
        </is>
      </c>
      <c r="F1525" s="187" t="n">
        <v>3</v>
      </c>
      <c r="G1525" s="187" t="n">
        <v>2</v>
      </c>
      <c r="H1525" s="187" t="inlineStr">
        <is>
          <t>HIGH</t>
        </is>
      </c>
      <c r="I1525" s="187" t="n">
        <v>13</v>
      </c>
      <c r="J1525" s="187" t="inlineStr">
        <is>
          <t>NO</t>
        </is>
      </c>
      <c r="K1525" s="187" t="inlineStr">
        <is>
          <t>https://talosintelligence.com/reputation_center/lookup?search=1.24.16.11</t>
        </is>
      </c>
      <c r="L1525" s="187" t="inlineStr">
        <is>
          <t>2026-02-27 20:47</t>
        </is>
      </c>
      <c r="M1525" s="187" t="inlineStr">
        <is>
          <t>Block IP</t>
        </is>
      </c>
      <c r="N1525" s="187" t="inlineStr">
        <is>
          <t>https://talosintelligence.com/reputation_center/lookup?search=1.24.16.11</t>
        </is>
      </c>
      <c r="O1525" s="187" t="inlineStr">
        <is>
          <t>Block IP 1.24.16.11 at firewall | Cisco Talos confirmed malicious</t>
        </is>
      </c>
      <c r="P1525" s="187" t="inlineStr">
        <is>
          <t>Network perimeter / Email / Web</t>
        </is>
      </c>
      <c r="Q1525" s="187" t="inlineStr">
        <is>
          <t>P3</t>
        </is>
      </c>
      <c r="R1525" s="187" t="inlineStr">
        <is>
          <t>🚫 Block IP at firewall immediately | 🔍 Check logs for existing connections | 🛡️ Add to threat intelligence blocklist</t>
        </is>
      </c>
      <c r="S1525" s="187" t="inlineStr">
        <is>
          <t>Check ip-api.com + AbuseIPDB for context</t>
        </is>
      </c>
      <c r="T1525" s="187" t="n">
        <v>0</v>
      </c>
      <c r="U1525" s="187" t="n">
        <v>0</v>
      </c>
      <c r="V1525" s="187" t="inlineStr">
        <is>
          <t>T1110:Brute Force | T1190:Exploit Public-Facing Application | T1566:Phishing</t>
        </is>
      </c>
      <c r="W1525" s="187" t="n">
        <v>1</v>
      </c>
      <c r="X1525" s="187" t="inlineStr">
        <is>
          <t>MEDIUM (60%)</t>
        </is>
      </c>
      <c r="Y1525" s="187" t="inlineStr">
        <is>
          <t>NONE</t>
        </is>
      </c>
      <c r="Z1525" s="187" t="inlineStr">
        <is>
          <t>NONE</t>
        </is>
      </c>
      <c r="AA1525" s="187" t="inlineStr">
        <is>
          <t>NONE</t>
        </is>
      </c>
      <c r="AB1525" s="187" t="inlineStr">
        <is>
          <t>NONE</t>
        </is>
      </c>
      <c r="AC1525" s="187" t="n">
        <v>0</v>
      </c>
      <c r="AD1525" s="187" t="inlineStr"/>
    </row>
    <row r="1526">
      <c r="A1526" s="187" t="inlineStr">
        <is>
          <t>TALOS_IP</t>
        </is>
      </c>
      <c r="B1526" s="187" t="inlineStr">
        <is>
          <t>74b36ff2f4bd</t>
        </is>
      </c>
      <c r="C1526" s="187" t="inlineStr">
        <is>
          <t>Cisco Talos Blacklisted IP: 1.24.16.113 | Verified malicious | Sources: TALOS</t>
        </is>
      </c>
      <c r="D1526" s="187" t="n">
        <v>7</v>
      </c>
      <c r="E1526" s="187" t="inlineStr">
        <is>
          <t>HIGH</t>
        </is>
      </c>
      <c r="F1526" s="187" t="n">
        <v>3</v>
      </c>
      <c r="G1526" s="187" t="n">
        <v>2</v>
      </c>
      <c r="H1526" s="187" t="inlineStr">
        <is>
          <t>HIGH</t>
        </is>
      </c>
      <c r="I1526" s="187" t="n">
        <v>13</v>
      </c>
      <c r="J1526" s="187" t="inlineStr">
        <is>
          <t>NO</t>
        </is>
      </c>
      <c r="K1526" s="187" t="inlineStr">
        <is>
          <t>https://talosintelligence.com/reputation_center/lookup?search=1.24.16.113</t>
        </is>
      </c>
      <c r="L1526" s="187" t="inlineStr">
        <is>
          <t>2026-02-27 20:47</t>
        </is>
      </c>
      <c r="M1526" s="187" t="inlineStr">
        <is>
          <t>Block IP</t>
        </is>
      </c>
      <c r="N1526" s="187" t="inlineStr">
        <is>
          <t>https://talosintelligence.com/reputation_center/lookup?search=1.24.16.113</t>
        </is>
      </c>
      <c r="O1526" s="187" t="inlineStr">
        <is>
          <t>Block IP 1.24.16.113 at firewall | Cisco Talos confirmed malicious</t>
        </is>
      </c>
      <c r="P1526" s="187" t="inlineStr">
        <is>
          <t>Network perimeter / Email / Web</t>
        </is>
      </c>
      <c r="Q1526" s="187" t="inlineStr">
        <is>
          <t>P3</t>
        </is>
      </c>
      <c r="R1526" s="187" t="inlineStr">
        <is>
          <t>🚫 Block IP at firewall immediately | 🔍 Check logs for existing connections | 🛡️ Add to threat intelligence blocklist</t>
        </is>
      </c>
      <c r="S1526" s="187" t="inlineStr">
        <is>
          <t>Check ip-api.com + AbuseIPDB for context</t>
        </is>
      </c>
      <c r="T1526" s="187" t="n">
        <v>0</v>
      </c>
      <c r="U1526" s="187" t="n">
        <v>0</v>
      </c>
      <c r="V1526" s="187" t="inlineStr">
        <is>
          <t>T1110:Brute Force | T1190:Exploit Public-Facing Application | T1566:Phishing</t>
        </is>
      </c>
      <c r="W1526" s="187" t="n">
        <v>1</v>
      </c>
      <c r="X1526" s="187" t="inlineStr">
        <is>
          <t>MEDIUM (60%)</t>
        </is>
      </c>
      <c r="Y1526" s="187" t="inlineStr">
        <is>
          <t>NONE</t>
        </is>
      </c>
      <c r="Z1526" s="187" t="inlineStr">
        <is>
          <t>NONE</t>
        </is>
      </c>
      <c r="AA1526" s="187" t="inlineStr">
        <is>
          <t>NONE</t>
        </is>
      </c>
      <c r="AB1526" s="187" t="inlineStr">
        <is>
          <t>NONE</t>
        </is>
      </c>
      <c r="AC1526" s="187" t="n">
        <v>0</v>
      </c>
      <c r="AD1526" s="187" t="inlineStr"/>
    </row>
    <row r="1527">
      <c r="A1527" s="187" t="inlineStr">
        <is>
          <t>TALOS_IP</t>
        </is>
      </c>
      <c r="B1527" s="187" t="inlineStr">
        <is>
          <t>d543ed6c9a51</t>
        </is>
      </c>
      <c r="C1527" s="187" t="inlineStr">
        <is>
          <t>Cisco Talos Blacklisted IP: 1.24.16.114 | Verified malicious | Sources: TALOS</t>
        </is>
      </c>
      <c r="D1527" s="187" t="n">
        <v>7</v>
      </c>
      <c r="E1527" s="187" t="inlineStr">
        <is>
          <t>HIGH</t>
        </is>
      </c>
      <c r="F1527" s="187" t="n">
        <v>3</v>
      </c>
      <c r="G1527" s="187" t="n">
        <v>2</v>
      </c>
      <c r="H1527" s="187" t="inlineStr">
        <is>
          <t>HIGH</t>
        </is>
      </c>
      <c r="I1527" s="187" t="n">
        <v>13</v>
      </c>
      <c r="J1527" s="187" t="inlineStr">
        <is>
          <t>NO</t>
        </is>
      </c>
      <c r="K1527" s="187" t="inlineStr">
        <is>
          <t>https://talosintelligence.com/reputation_center/lookup?search=1.24.16.114</t>
        </is>
      </c>
      <c r="L1527" s="187" t="inlineStr">
        <is>
          <t>2026-02-27 20:47</t>
        </is>
      </c>
      <c r="M1527" s="187" t="inlineStr">
        <is>
          <t>Block IP</t>
        </is>
      </c>
      <c r="N1527" s="187" t="inlineStr">
        <is>
          <t>https://talosintelligence.com/reputation_center/lookup?search=1.24.16.114</t>
        </is>
      </c>
      <c r="O1527" s="187" t="inlineStr">
        <is>
          <t>Block IP 1.24.16.114 at firewall | Cisco Talos confirmed malicious</t>
        </is>
      </c>
      <c r="P1527" s="187" t="inlineStr">
        <is>
          <t>Network perimeter / Email / Web</t>
        </is>
      </c>
      <c r="Q1527" s="187" t="inlineStr">
        <is>
          <t>P3</t>
        </is>
      </c>
      <c r="R1527" s="187" t="inlineStr">
        <is>
          <t>🚫 Block IP at firewall immediately | 🔍 Check logs for existing connections | 🛡️ Add to threat intelligence blocklist</t>
        </is>
      </c>
      <c r="S1527" s="187" t="inlineStr">
        <is>
          <t>Check ip-api.com + AbuseIPDB for context</t>
        </is>
      </c>
      <c r="T1527" s="187" t="n">
        <v>0</v>
      </c>
      <c r="U1527" s="187" t="n">
        <v>0</v>
      </c>
      <c r="V1527" s="187" t="inlineStr">
        <is>
          <t>T1110:Brute Force | T1190:Exploit Public-Facing Application | T1566:Phishing</t>
        </is>
      </c>
      <c r="W1527" s="187" t="n">
        <v>1</v>
      </c>
      <c r="X1527" s="187" t="inlineStr">
        <is>
          <t>MEDIUM (60%)</t>
        </is>
      </c>
      <c r="Y1527" s="187" t="inlineStr">
        <is>
          <t>NONE</t>
        </is>
      </c>
      <c r="Z1527" s="187" t="inlineStr">
        <is>
          <t>NONE</t>
        </is>
      </c>
      <c r="AA1527" s="187" t="inlineStr">
        <is>
          <t>NONE</t>
        </is>
      </c>
      <c r="AB1527" s="187" t="inlineStr">
        <is>
          <t>NONE</t>
        </is>
      </c>
      <c r="AC1527" s="187" t="n">
        <v>0</v>
      </c>
      <c r="AD1527" s="187" t="inlineStr"/>
    </row>
    <row r="1528">
      <c r="A1528" s="187" t="inlineStr">
        <is>
          <t>TALOS_IP</t>
        </is>
      </c>
      <c r="B1528" s="187" t="inlineStr">
        <is>
          <t>1fdc3d940f13</t>
        </is>
      </c>
      <c r="C1528" s="187" t="inlineStr">
        <is>
          <t>Cisco Talos Blacklisted IP: 1.24.16.119 | Verified malicious | Sources: TALOS</t>
        </is>
      </c>
      <c r="D1528" s="187" t="n">
        <v>7</v>
      </c>
      <c r="E1528" s="187" t="inlineStr">
        <is>
          <t>HIGH</t>
        </is>
      </c>
      <c r="F1528" s="187" t="n">
        <v>3</v>
      </c>
      <c r="G1528" s="187" t="n">
        <v>2</v>
      </c>
      <c r="H1528" s="187" t="inlineStr">
        <is>
          <t>HIGH</t>
        </is>
      </c>
      <c r="I1528" s="187" t="n">
        <v>13</v>
      </c>
      <c r="J1528" s="187" t="inlineStr">
        <is>
          <t>NO</t>
        </is>
      </c>
      <c r="K1528" s="187" t="inlineStr">
        <is>
          <t>https://talosintelligence.com/reputation_center/lookup?search=1.24.16.119</t>
        </is>
      </c>
      <c r="L1528" s="187" t="inlineStr">
        <is>
          <t>2026-02-27 20:47</t>
        </is>
      </c>
      <c r="M1528" s="187" t="inlineStr">
        <is>
          <t>Block IP</t>
        </is>
      </c>
      <c r="N1528" s="187" t="inlineStr">
        <is>
          <t>https://talosintelligence.com/reputation_center/lookup?search=1.24.16.119</t>
        </is>
      </c>
      <c r="O1528" s="187" t="inlineStr">
        <is>
          <t>Block IP 1.24.16.119 at firewall | Cisco Talos confirmed malicious</t>
        </is>
      </c>
      <c r="P1528" s="187" t="inlineStr">
        <is>
          <t>Network perimeter / Email / Web</t>
        </is>
      </c>
      <c r="Q1528" s="187" t="inlineStr">
        <is>
          <t>P3</t>
        </is>
      </c>
      <c r="R1528" s="187" t="inlineStr">
        <is>
          <t>🚫 Block IP at firewall immediately | 🔍 Check logs for existing connections | 🛡️ Add to threat intelligence blocklist</t>
        </is>
      </c>
      <c r="S1528" s="187" t="inlineStr">
        <is>
          <t>Check ip-api.com + AbuseIPDB for context</t>
        </is>
      </c>
      <c r="T1528" s="187" t="n">
        <v>0</v>
      </c>
      <c r="U1528" s="187" t="n">
        <v>0</v>
      </c>
      <c r="V1528" s="187" t="inlineStr">
        <is>
          <t>T1110:Brute Force | T1190:Exploit Public-Facing Application | T1566:Phishing</t>
        </is>
      </c>
      <c r="W1528" s="187" t="n">
        <v>1</v>
      </c>
      <c r="X1528" s="187" t="inlineStr">
        <is>
          <t>MEDIUM (60%)</t>
        </is>
      </c>
      <c r="Y1528" s="187" t="inlineStr">
        <is>
          <t>NONE</t>
        </is>
      </c>
      <c r="Z1528" s="187" t="inlineStr">
        <is>
          <t>NONE</t>
        </is>
      </c>
      <c r="AA1528" s="187" t="inlineStr">
        <is>
          <t>NONE</t>
        </is>
      </c>
      <c r="AB1528" s="187" t="inlineStr">
        <is>
          <t>NONE</t>
        </is>
      </c>
      <c r="AC1528" s="187" t="n">
        <v>0</v>
      </c>
      <c r="AD1528" s="187" t="inlineStr"/>
    </row>
    <row r="1529">
      <c r="A1529" s="187" t="inlineStr">
        <is>
          <t>TALOS_IP</t>
        </is>
      </c>
      <c r="B1529" s="187" t="inlineStr">
        <is>
          <t>440c2c3f2336</t>
        </is>
      </c>
      <c r="C1529" s="187" t="inlineStr">
        <is>
          <t>Cisco Talos Blacklisted IP: 1.24.16.122 | Verified malicious | Sources: TALOS</t>
        </is>
      </c>
      <c r="D1529" s="187" t="n">
        <v>7</v>
      </c>
      <c r="E1529" s="187" t="inlineStr">
        <is>
          <t>HIGH</t>
        </is>
      </c>
      <c r="F1529" s="187" t="n">
        <v>3</v>
      </c>
      <c r="G1529" s="187" t="n">
        <v>2</v>
      </c>
      <c r="H1529" s="187" t="inlineStr">
        <is>
          <t>HIGH</t>
        </is>
      </c>
      <c r="I1529" s="187" t="n">
        <v>13</v>
      </c>
      <c r="J1529" s="187" t="inlineStr">
        <is>
          <t>NO</t>
        </is>
      </c>
      <c r="K1529" s="187" t="inlineStr">
        <is>
          <t>https://talosintelligence.com/reputation_center/lookup?search=1.24.16.122</t>
        </is>
      </c>
      <c r="L1529" s="187" t="inlineStr">
        <is>
          <t>2026-02-27 20:47</t>
        </is>
      </c>
      <c r="M1529" s="187" t="inlineStr">
        <is>
          <t>Block IP</t>
        </is>
      </c>
      <c r="N1529" s="187" t="inlineStr">
        <is>
          <t>https://talosintelligence.com/reputation_center/lookup?search=1.24.16.122</t>
        </is>
      </c>
      <c r="O1529" s="187" t="inlineStr">
        <is>
          <t>Block IP 1.24.16.122 at firewall | Cisco Talos confirmed malicious</t>
        </is>
      </c>
      <c r="P1529" s="187" t="inlineStr">
        <is>
          <t>Network perimeter / Email / Web</t>
        </is>
      </c>
      <c r="Q1529" s="187" t="inlineStr">
        <is>
          <t>P3</t>
        </is>
      </c>
      <c r="R1529" s="187" t="inlineStr">
        <is>
          <t>🚫 Block IP at firewall immediately | 🔍 Check logs for existing connections | 🛡️ Add to threat intelligence blocklist</t>
        </is>
      </c>
      <c r="S1529" s="187" t="inlineStr">
        <is>
          <t>Check ip-api.com + AbuseIPDB for context</t>
        </is>
      </c>
      <c r="T1529" s="187" t="n">
        <v>0</v>
      </c>
      <c r="U1529" s="187" t="n">
        <v>0</v>
      </c>
      <c r="V1529" s="187" t="inlineStr">
        <is>
          <t>T1110:Brute Force | T1190:Exploit Public-Facing Application | T1566:Phishing</t>
        </is>
      </c>
      <c r="W1529" s="187" t="n">
        <v>1</v>
      </c>
      <c r="X1529" s="187" t="inlineStr">
        <is>
          <t>MEDIUM (60%)</t>
        </is>
      </c>
      <c r="Y1529" s="187" t="inlineStr">
        <is>
          <t>NONE</t>
        </is>
      </c>
      <c r="Z1529" s="187" t="inlineStr">
        <is>
          <t>NONE</t>
        </is>
      </c>
      <c r="AA1529" s="187" t="inlineStr">
        <is>
          <t>NONE</t>
        </is>
      </c>
      <c r="AB1529" s="187" t="inlineStr">
        <is>
          <t>NONE</t>
        </is>
      </c>
      <c r="AC1529" s="187" t="n">
        <v>0</v>
      </c>
      <c r="AD1529" s="187" t="inlineStr"/>
    </row>
    <row r="1530">
      <c r="A1530" s="187" t="inlineStr">
        <is>
          <t>TALOS_IP</t>
        </is>
      </c>
      <c r="B1530" s="187" t="inlineStr">
        <is>
          <t>01240ae7e801</t>
        </is>
      </c>
      <c r="C1530" s="187" t="inlineStr">
        <is>
          <t>Cisco Talos Blacklisted IP: 1.24.16.125 | Verified malicious | Sources: TALOS</t>
        </is>
      </c>
      <c r="D1530" s="187" t="n">
        <v>7</v>
      </c>
      <c r="E1530" s="187" t="inlineStr">
        <is>
          <t>HIGH</t>
        </is>
      </c>
      <c r="F1530" s="187" t="n">
        <v>3</v>
      </c>
      <c r="G1530" s="187" t="n">
        <v>2</v>
      </c>
      <c r="H1530" s="187" t="inlineStr">
        <is>
          <t>HIGH</t>
        </is>
      </c>
      <c r="I1530" s="187" t="n">
        <v>13</v>
      </c>
      <c r="J1530" s="187" t="inlineStr">
        <is>
          <t>NO</t>
        </is>
      </c>
      <c r="K1530" s="187" t="inlineStr">
        <is>
          <t>https://talosintelligence.com/reputation_center/lookup?search=1.24.16.125</t>
        </is>
      </c>
      <c r="L1530" s="187" t="inlineStr">
        <is>
          <t>2026-02-27 20:47</t>
        </is>
      </c>
      <c r="M1530" s="187" t="inlineStr">
        <is>
          <t>Block IP</t>
        </is>
      </c>
      <c r="N1530" s="187" t="inlineStr">
        <is>
          <t>https://talosintelligence.com/reputation_center/lookup?search=1.24.16.125</t>
        </is>
      </c>
      <c r="O1530" s="187" t="inlineStr">
        <is>
          <t>Block IP 1.24.16.125 at firewall | Cisco Talos confirmed malicious</t>
        </is>
      </c>
      <c r="P1530" s="187" t="inlineStr">
        <is>
          <t>Network perimeter / Email / Web</t>
        </is>
      </c>
      <c r="Q1530" s="187" t="inlineStr">
        <is>
          <t>P3</t>
        </is>
      </c>
      <c r="R1530" s="187" t="inlineStr">
        <is>
          <t>🚫 Block IP at firewall immediately | 🔍 Check logs for existing connections | 🛡️ Add to threat intelligence blocklist</t>
        </is>
      </c>
      <c r="S1530" s="187" t="inlineStr">
        <is>
          <t>Check ip-api.com + AbuseIPDB for context</t>
        </is>
      </c>
      <c r="T1530" s="187" t="n">
        <v>0</v>
      </c>
      <c r="U1530" s="187" t="n">
        <v>0</v>
      </c>
      <c r="V1530" s="187" t="inlineStr">
        <is>
          <t>T1110:Brute Force | T1190:Exploit Public-Facing Application | T1566:Phishing</t>
        </is>
      </c>
      <c r="W1530" s="187" t="n">
        <v>1</v>
      </c>
      <c r="X1530" s="187" t="inlineStr">
        <is>
          <t>MEDIUM (60%)</t>
        </is>
      </c>
      <c r="Y1530" s="187" t="inlineStr">
        <is>
          <t>NONE</t>
        </is>
      </c>
      <c r="Z1530" s="187" t="inlineStr">
        <is>
          <t>NONE</t>
        </is>
      </c>
      <c r="AA1530" s="187" t="inlineStr">
        <is>
          <t>NONE</t>
        </is>
      </c>
      <c r="AB1530" s="187" t="inlineStr">
        <is>
          <t>NONE</t>
        </is>
      </c>
      <c r="AC1530" s="187" t="n">
        <v>0</v>
      </c>
      <c r="AD1530" s="187" t="inlineStr"/>
    </row>
    <row r="1531">
      <c r="A1531" s="187" t="inlineStr">
        <is>
          <t>TALOS_IP</t>
        </is>
      </c>
      <c r="B1531" s="187" t="inlineStr">
        <is>
          <t>44c315f73c73</t>
        </is>
      </c>
      <c r="C1531" s="187" t="inlineStr">
        <is>
          <t>Cisco Talos Blacklisted IP: 1.24.16.130 | Verified malicious | Sources: TALOS</t>
        </is>
      </c>
      <c r="D1531" s="187" t="n">
        <v>7</v>
      </c>
      <c r="E1531" s="187" t="inlineStr">
        <is>
          <t>HIGH</t>
        </is>
      </c>
      <c r="F1531" s="187" t="n">
        <v>3</v>
      </c>
      <c r="G1531" s="187" t="n">
        <v>2</v>
      </c>
      <c r="H1531" s="187" t="inlineStr">
        <is>
          <t>HIGH</t>
        </is>
      </c>
      <c r="I1531" s="187" t="n">
        <v>13</v>
      </c>
      <c r="J1531" s="187" t="inlineStr">
        <is>
          <t>NO</t>
        </is>
      </c>
      <c r="K1531" s="187" t="inlineStr">
        <is>
          <t>https://talosintelligence.com/reputation_center/lookup?search=1.24.16.130</t>
        </is>
      </c>
      <c r="L1531" s="187" t="inlineStr">
        <is>
          <t>2026-02-27 20:47</t>
        </is>
      </c>
      <c r="M1531" s="187" t="inlineStr">
        <is>
          <t>Block IP</t>
        </is>
      </c>
      <c r="N1531" s="187" t="inlineStr">
        <is>
          <t>https://talosintelligence.com/reputation_center/lookup?search=1.24.16.130</t>
        </is>
      </c>
      <c r="O1531" s="187" t="inlineStr">
        <is>
          <t>Block IP 1.24.16.130 at firewall | Cisco Talos confirmed malicious</t>
        </is>
      </c>
      <c r="P1531" s="187" t="inlineStr">
        <is>
          <t>Network perimeter / Email / Web</t>
        </is>
      </c>
      <c r="Q1531" s="187" t="inlineStr">
        <is>
          <t>P3</t>
        </is>
      </c>
      <c r="R1531" s="187" t="inlineStr">
        <is>
          <t>🚫 Block IP at firewall immediately | 🔍 Check logs for existing connections | 🛡️ Add to threat intelligence blocklist</t>
        </is>
      </c>
      <c r="S1531" s="187" t="inlineStr">
        <is>
          <t>Check ip-api.com + AbuseIPDB for context</t>
        </is>
      </c>
      <c r="T1531" s="187" t="n">
        <v>0</v>
      </c>
      <c r="U1531" s="187" t="n">
        <v>0</v>
      </c>
      <c r="V1531" s="187" t="inlineStr">
        <is>
          <t>T1110:Brute Force | T1190:Exploit Public-Facing Application | T1566:Phishing</t>
        </is>
      </c>
      <c r="W1531" s="187" t="n">
        <v>1</v>
      </c>
      <c r="X1531" s="187" t="inlineStr">
        <is>
          <t>MEDIUM (60%)</t>
        </is>
      </c>
      <c r="Y1531" s="187" t="inlineStr">
        <is>
          <t>NONE</t>
        </is>
      </c>
      <c r="Z1531" s="187" t="inlineStr">
        <is>
          <t>NONE</t>
        </is>
      </c>
      <c r="AA1531" s="187" t="inlineStr">
        <is>
          <t>NONE</t>
        </is>
      </c>
      <c r="AB1531" s="187" t="inlineStr">
        <is>
          <t>NONE</t>
        </is>
      </c>
      <c r="AC1531" s="187" t="n">
        <v>0</v>
      </c>
      <c r="AD1531" s="187" t="inlineStr"/>
    </row>
    <row r="1532">
      <c r="A1532" s="187" t="inlineStr">
        <is>
          <t>TALOS_IP</t>
        </is>
      </c>
      <c r="B1532" s="187" t="inlineStr">
        <is>
          <t>d42446050cad</t>
        </is>
      </c>
      <c r="C1532" s="187" t="inlineStr">
        <is>
          <t>Cisco Talos Blacklisted IP: 1.24.16.132 | Verified malicious | Sources: TALOS</t>
        </is>
      </c>
      <c r="D1532" s="187" t="n">
        <v>7</v>
      </c>
      <c r="E1532" s="187" t="inlineStr">
        <is>
          <t>HIGH</t>
        </is>
      </c>
      <c r="F1532" s="187" t="n">
        <v>3</v>
      </c>
      <c r="G1532" s="187" t="n">
        <v>2</v>
      </c>
      <c r="H1532" s="187" t="inlineStr">
        <is>
          <t>HIGH</t>
        </is>
      </c>
      <c r="I1532" s="187" t="n">
        <v>13</v>
      </c>
      <c r="J1532" s="187" t="inlineStr">
        <is>
          <t>NO</t>
        </is>
      </c>
      <c r="K1532" s="187" t="inlineStr">
        <is>
          <t>https://talosintelligence.com/reputation_center/lookup?search=1.24.16.132</t>
        </is>
      </c>
      <c r="L1532" s="187" t="inlineStr">
        <is>
          <t>2026-02-27 20:47</t>
        </is>
      </c>
      <c r="M1532" s="187" t="inlineStr">
        <is>
          <t>Block IP</t>
        </is>
      </c>
      <c r="N1532" s="187" t="inlineStr">
        <is>
          <t>https://talosintelligence.com/reputation_center/lookup?search=1.24.16.132</t>
        </is>
      </c>
      <c r="O1532" s="187" t="inlineStr">
        <is>
          <t>Block IP 1.24.16.132 at firewall | Cisco Talos confirmed malicious</t>
        </is>
      </c>
      <c r="P1532" s="187" t="inlineStr">
        <is>
          <t>Network perimeter / Email / Web</t>
        </is>
      </c>
      <c r="Q1532" s="187" t="inlineStr">
        <is>
          <t>P3</t>
        </is>
      </c>
      <c r="R1532" s="187" t="inlineStr">
        <is>
          <t>🚫 Block IP at firewall immediately | 🔍 Check logs for existing connections | 🛡️ Add to threat intelligence blocklist</t>
        </is>
      </c>
      <c r="S1532" s="187" t="inlineStr">
        <is>
          <t>Check ip-api.com + AbuseIPDB for context</t>
        </is>
      </c>
      <c r="T1532" s="187" t="n">
        <v>0</v>
      </c>
      <c r="U1532" s="187" t="n">
        <v>0</v>
      </c>
      <c r="V1532" s="187" t="inlineStr">
        <is>
          <t>T1110:Brute Force | T1190:Exploit Public-Facing Application | T1566:Phishing</t>
        </is>
      </c>
      <c r="W1532" s="187" t="n">
        <v>1</v>
      </c>
      <c r="X1532" s="187" t="inlineStr">
        <is>
          <t>MEDIUM (60%)</t>
        </is>
      </c>
      <c r="Y1532" s="187" t="inlineStr">
        <is>
          <t>NONE</t>
        </is>
      </c>
      <c r="Z1532" s="187" t="inlineStr">
        <is>
          <t>NONE</t>
        </is>
      </c>
      <c r="AA1532" s="187" t="inlineStr">
        <is>
          <t>NONE</t>
        </is>
      </c>
      <c r="AB1532" s="187" t="inlineStr">
        <is>
          <t>NONE</t>
        </is>
      </c>
      <c r="AC1532" s="187" t="n">
        <v>0</v>
      </c>
      <c r="AD1532" s="187" t="inlineStr"/>
    </row>
    <row r="1533">
      <c r="A1533" s="187" t="inlineStr">
        <is>
          <t>TALOS_IP</t>
        </is>
      </c>
      <c r="B1533" s="187" t="inlineStr">
        <is>
          <t>c48dc9d90351</t>
        </is>
      </c>
      <c r="C1533" s="187" t="inlineStr">
        <is>
          <t>Cisco Talos Blacklisted IP: 1.24.16.138 | Verified malicious | Sources: TALOS</t>
        </is>
      </c>
      <c r="D1533" s="187" t="n">
        <v>7</v>
      </c>
      <c r="E1533" s="187" t="inlineStr">
        <is>
          <t>HIGH</t>
        </is>
      </c>
      <c r="F1533" s="187" t="n">
        <v>3</v>
      </c>
      <c r="G1533" s="187" t="n">
        <v>2</v>
      </c>
      <c r="H1533" s="187" t="inlineStr">
        <is>
          <t>HIGH</t>
        </is>
      </c>
      <c r="I1533" s="187" t="n">
        <v>13</v>
      </c>
      <c r="J1533" s="187" t="inlineStr">
        <is>
          <t>NO</t>
        </is>
      </c>
      <c r="K1533" s="187" t="inlineStr">
        <is>
          <t>https://talosintelligence.com/reputation_center/lookup?search=1.24.16.138</t>
        </is>
      </c>
      <c r="L1533" s="187" t="inlineStr">
        <is>
          <t>2026-02-27 20:47</t>
        </is>
      </c>
      <c r="M1533" s="187" t="inlineStr">
        <is>
          <t>Block IP</t>
        </is>
      </c>
      <c r="N1533" s="187" t="inlineStr">
        <is>
          <t>https://talosintelligence.com/reputation_center/lookup?search=1.24.16.138</t>
        </is>
      </c>
      <c r="O1533" s="187" t="inlineStr">
        <is>
          <t>Block IP 1.24.16.138 at firewall | Cisco Talos confirmed malicious</t>
        </is>
      </c>
      <c r="P1533" s="187" t="inlineStr">
        <is>
          <t>Network perimeter / Email / Web</t>
        </is>
      </c>
      <c r="Q1533" s="187" t="inlineStr">
        <is>
          <t>P3</t>
        </is>
      </c>
      <c r="R1533" s="187" t="inlineStr">
        <is>
          <t>🚫 Block IP at firewall immediately | 🔍 Check logs for existing connections | 🛡️ Add to threat intelligence blocklist</t>
        </is>
      </c>
      <c r="S1533" s="187" t="inlineStr">
        <is>
          <t>Check ip-api.com + AbuseIPDB for context</t>
        </is>
      </c>
      <c r="T1533" s="187" t="n">
        <v>0</v>
      </c>
      <c r="U1533" s="187" t="n">
        <v>0</v>
      </c>
      <c r="V1533" s="187" t="inlineStr">
        <is>
          <t>T1110:Brute Force | T1190:Exploit Public-Facing Application | T1566:Phishing</t>
        </is>
      </c>
      <c r="W1533" s="187" t="n">
        <v>1</v>
      </c>
      <c r="X1533" s="187" t="inlineStr">
        <is>
          <t>MEDIUM (60%)</t>
        </is>
      </c>
      <c r="Y1533" s="187" t="inlineStr">
        <is>
          <t>NONE</t>
        </is>
      </c>
      <c r="Z1533" s="187" t="inlineStr">
        <is>
          <t>NONE</t>
        </is>
      </c>
      <c r="AA1533" s="187" t="inlineStr">
        <is>
          <t>NONE</t>
        </is>
      </c>
      <c r="AB1533" s="187" t="inlineStr">
        <is>
          <t>NONE</t>
        </is>
      </c>
      <c r="AC1533" s="187" t="n">
        <v>0</v>
      </c>
      <c r="AD1533" s="187" t="inlineStr"/>
    </row>
    <row r="1534">
      <c r="A1534" s="187" t="inlineStr">
        <is>
          <t>TALOS_IP</t>
        </is>
      </c>
      <c r="B1534" s="187" t="inlineStr">
        <is>
          <t>ed18e1b5f5ac</t>
        </is>
      </c>
      <c r="C1534" s="187" t="inlineStr">
        <is>
          <t>Cisco Talos Blacklisted IP: 1.24.16.140 | Verified malicious | Sources: TALOS</t>
        </is>
      </c>
      <c r="D1534" s="187" t="n">
        <v>7</v>
      </c>
      <c r="E1534" s="187" t="inlineStr">
        <is>
          <t>HIGH</t>
        </is>
      </c>
      <c r="F1534" s="187" t="n">
        <v>3</v>
      </c>
      <c r="G1534" s="187" t="n">
        <v>2</v>
      </c>
      <c r="H1534" s="187" t="inlineStr">
        <is>
          <t>HIGH</t>
        </is>
      </c>
      <c r="I1534" s="187" t="n">
        <v>13</v>
      </c>
      <c r="J1534" s="187" t="inlineStr">
        <is>
          <t>NO</t>
        </is>
      </c>
      <c r="K1534" s="187" t="inlineStr">
        <is>
          <t>https://talosintelligence.com/reputation_center/lookup?search=1.24.16.140</t>
        </is>
      </c>
      <c r="L1534" s="187" t="inlineStr">
        <is>
          <t>2026-02-27 20:47</t>
        </is>
      </c>
      <c r="M1534" s="187" t="inlineStr">
        <is>
          <t>Block IP</t>
        </is>
      </c>
      <c r="N1534" s="187" t="inlineStr">
        <is>
          <t>https://talosintelligence.com/reputation_center/lookup?search=1.24.16.140</t>
        </is>
      </c>
      <c r="O1534" s="187" t="inlineStr">
        <is>
          <t>Block IP 1.24.16.140 at firewall | Cisco Talos confirmed malicious</t>
        </is>
      </c>
      <c r="P1534" s="187" t="inlineStr">
        <is>
          <t>Network perimeter / Email / Web</t>
        </is>
      </c>
      <c r="Q1534" s="187" t="inlineStr">
        <is>
          <t>P3</t>
        </is>
      </c>
      <c r="R1534" s="187" t="inlineStr">
        <is>
          <t>🚫 Block IP at firewall immediately | 🔍 Check logs for existing connections | 🛡️ Add to threat intelligence blocklist</t>
        </is>
      </c>
      <c r="S1534" s="187" t="inlineStr">
        <is>
          <t>Check ip-api.com + AbuseIPDB for context</t>
        </is>
      </c>
      <c r="T1534" s="187" t="n">
        <v>0</v>
      </c>
      <c r="U1534" s="187" t="n">
        <v>0</v>
      </c>
      <c r="V1534" s="187" t="inlineStr">
        <is>
          <t>T1110:Brute Force | T1190:Exploit Public-Facing Application | T1566:Phishing</t>
        </is>
      </c>
      <c r="W1534" s="187" t="n">
        <v>1</v>
      </c>
      <c r="X1534" s="187" t="inlineStr">
        <is>
          <t>MEDIUM (60%)</t>
        </is>
      </c>
      <c r="Y1534" s="187" t="inlineStr">
        <is>
          <t>NONE</t>
        </is>
      </c>
      <c r="Z1534" s="187" t="inlineStr">
        <is>
          <t>NONE</t>
        </is>
      </c>
      <c r="AA1534" s="187" t="inlineStr">
        <is>
          <t>NONE</t>
        </is>
      </c>
      <c r="AB1534" s="187" t="inlineStr">
        <is>
          <t>NONE</t>
        </is>
      </c>
      <c r="AC1534" s="187" t="n">
        <v>0</v>
      </c>
      <c r="AD1534" s="187" t="inlineStr"/>
    </row>
    <row r="1535">
      <c r="A1535" s="187" t="inlineStr">
        <is>
          <t>TALOS_IP</t>
        </is>
      </c>
      <c r="B1535" s="187" t="inlineStr">
        <is>
          <t>30dbd1a40fae</t>
        </is>
      </c>
      <c r="C1535" s="187" t="inlineStr">
        <is>
          <t>Cisco Talos Blacklisted IP: 1.24.16.141 | Verified malicious | Sources: TALOS</t>
        </is>
      </c>
      <c r="D1535" s="187" t="n">
        <v>7</v>
      </c>
      <c r="E1535" s="187" t="inlineStr">
        <is>
          <t>HIGH</t>
        </is>
      </c>
      <c r="F1535" s="187" t="n">
        <v>3</v>
      </c>
      <c r="G1535" s="187" t="n">
        <v>2</v>
      </c>
      <c r="H1535" s="187" t="inlineStr">
        <is>
          <t>HIGH</t>
        </is>
      </c>
      <c r="I1535" s="187" t="n">
        <v>13</v>
      </c>
      <c r="J1535" s="187" t="inlineStr">
        <is>
          <t>NO</t>
        </is>
      </c>
      <c r="K1535" s="187" t="inlineStr">
        <is>
          <t>https://talosintelligence.com/reputation_center/lookup?search=1.24.16.141</t>
        </is>
      </c>
      <c r="L1535" s="187" t="inlineStr">
        <is>
          <t>2026-02-27 20:47</t>
        </is>
      </c>
      <c r="M1535" s="187" t="inlineStr">
        <is>
          <t>Block IP</t>
        </is>
      </c>
      <c r="N1535" s="187" t="inlineStr">
        <is>
          <t>https://talosintelligence.com/reputation_center/lookup?search=1.24.16.141</t>
        </is>
      </c>
      <c r="O1535" s="187" t="inlineStr">
        <is>
          <t>Block IP 1.24.16.141 at firewall | Cisco Talos confirmed malicious</t>
        </is>
      </c>
      <c r="P1535" s="187" t="inlineStr">
        <is>
          <t>Network perimeter / Email / Web</t>
        </is>
      </c>
      <c r="Q1535" s="187" t="inlineStr">
        <is>
          <t>P3</t>
        </is>
      </c>
      <c r="R1535" s="187" t="inlineStr">
        <is>
          <t>🚫 Block IP at firewall immediately | 🔍 Check logs for existing connections | 🛡️ Add to threat intelligence blocklist</t>
        </is>
      </c>
      <c r="S1535" s="187" t="inlineStr">
        <is>
          <t>Check ip-api.com + AbuseIPDB for context</t>
        </is>
      </c>
      <c r="T1535" s="187" t="n">
        <v>0</v>
      </c>
      <c r="U1535" s="187" t="n">
        <v>0</v>
      </c>
      <c r="V1535" s="187" t="inlineStr">
        <is>
          <t>T1110:Brute Force | T1190:Exploit Public-Facing Application | T1566:Phishing</t>
        </is>
      </c>
      <c r="W1535" s="187" t="n">
        <v>1</v>
      </c>
      <c r="X1535" s="187" t="inlineStr">
        <is>
          <t>MEDIUM (60%)</t>
        </is>
      </c>
      <c r="Y1535" s="187" t="inlineStr">
        <is>
          <t>NONE</t>
        </is>
      </c>
      <c r="Z1535" s="187" t="inlineStr">
        <is>
          <t>NONE</t>
        </is>
      </c>
      <c r="AA1535" s="187" t="inlineStr">
        <is>
          <t>NONE</t>
        </is>
      </c>
      <c r="AB1535" s="187" t="inlineStr">
        <is>
          <t>NONE</t>
        </is>
      </c>
      <c r="AC1535" s="187" t="n">
        <v>0</v>
      </c>
      <c r="AD1535" s="187" t="inlineStr"/>
    </row>
    <row r="1536">
      <c r="A1536" s="187" t="inlineStr">
        <is>
          <t>TALOS_IP</t>
        </is>
      </c>
      <c r="B1536" s="187" t="inlineStr">
        <is>
          <t>367105c805fe</t>
        </is>
      </c>
      <c r="C1536" s="187" t="inlineStr">
        <is>
          <t>Cisco Talos Blacklisted IP: 1.24.16.144 | Verified malicious | Sources: TALOS</t>
        </is>
      </c>
      <c r="D1536" s="187" t="n">
        <v>7</v>
      </c>
      <c r="E1536" s="187" t="inlineStr">
        <is>
          <t>HIGH</t>
        </is>
      </c>
      <c r="F1536" s="187" t="n">
        <v>3</v>
      </c>
      <c r="G1536" s="187" t="n">
        <v>2</v>
      </c>
      <c r="H1536" s="187" t="inlineStr">
        <is>
          <t>HIGH</t>
        </is>
      </c>
      <c r="I1536" s="187" t="n">
        <v>13</v>
      </c>
      <c r="J1536" s="187" t="inlineStr">
        <is>
          <t>NO</t>
        </is>
      </c>
      <c r="K1536" s="187" t="inlineStr">
        <is>
          <t>https://talosintelligence.com/reputation_center/lookup?search=1.24.16.144</t>
        </is>
      </c>
      <c r="L1536" s="187" t="inlineStr">
        <is>
          <t>2026-02-27 20:47</t>
        </is>
      </c>
      <c r="M1536" s="187" t="inlineStr">
        <is>
          <t>Block IP</t>
        </is>
      </c>
      <c r="N1536" s="187" t="inlineStr">
        <is>
          <t>https://talosintelligence.com/reputation_center/lookup?search=1.24.16.144</t>
        </is>
      </c>
      <c r="O1536" s="187" t="inlineStr">
        <is>
          <t>Block IP 1.24.16.144 at firewall | Cisco Talos confirmed malicious</t>
        </is>
      </c>
      <c r="P1536" s="187" t="inlineStr">
        <is>
          <t>Network perimeter / Email / Web</t>
        </is>
      </c>
      <c r="Q1536" s="187" t="inlineStr">
        <is>
          <t>P3</t>
        </is>
      </c>
      <c r="R1536" s="187" t="inlineStr">
        <is>
          <t>🚫 Block IP at firewall immediately | 🔍 Check logs for existing connections | 🛡️ Add to threat intelligence blocklist</t>
        </is>
      </c>
      <c r="S1536" s="187" t="inlineStr">
        <is>
          <t>Check ip-api.com + AbuseIPDB for context</t>
        </is>
      </c>
      <c r="T1536" s="187" t="n">
        <v>0</v>
      </c>
      <c r="U1536" s="187" t="n">
        <v>0</v>
      </c>
      <c r="V1536" s="187" t="inlineStr">
        <is>
          <t>T1110:Brute Force | T1190:Exploit Public-Facing Application | T1566:Phishing</t>
        </is>
      </c>
      <c r="W1536" s="187" t="n">
        <v>1</v>
      </c>
      <c r="X1536" s="187" t="inlineStr">
        <is>
          <t>MEDIUM (60%)</t>
        </is>
      </c>
      <c r="Y1536" s="187" t="inlineStr">
        <is>
          <t>NONE</t>
        </is>
      </c>
      <c r="Z1536" s="187" t="inlineStr">
        <is>
          <t>NONE</t>
        </is>
      </c>
      <c r="AA1536" s="187" t="inlineStr">
        <is>
          <t>NONE</t>
        </is>
      </c>
      <c r="AB1536" s="187" t="inlineStr">
        <is>
          <t>NONE</t>
        </is>
      </c>
      <c r="AC1536" s="187" t="n">
        <v>0</v>
      </c>
      <c r="AD1536" s="187" t="inlineStr"/>
    </row>
    <row r="1537">
      <c r="A1537" s="187" t="inlineStr">
        <is>
          <t>TALOS_IP</t>
        </is>
      </c>
      <c r="B1537" s="187" t="inlineStr">
        <is>
          <t>b15bae32054c</t>
        </is>
      </c>
      <c r="C1537" s="187" t="inlineStr">
        <is>
          <t>Cisco Talos Blacklisted IP: 1.24.16.149 | Verified malicious | Sources: TALOS</t>
        </is>
      </c>
      <c r="D1537" s="187" t="n">
        <v>7</v>
      </c>
      <c r="E1537" s="187" t="inlineStr">
        <is>
          <t>HIGH</t>
        </is>
      </c>
      <c r="F1537" s="187" t="n">
        <v>3</v>
      </c>
      <c r="G1537" s="187" t="n">
        <v>2</v>
      </c>
      <c r="H1537" s="187" t="inlineStr">
        <is>
          <t>HIGH</t>
        </is>
      </c>
      <c r="I1537" s="187" t="n">
        <v>13</v>
      </c>
      <c r="J1537" s="187" t="inlineStr">
        <is>
          <t>NO</t>
        </is>
      </c>
      <c r="K1537" s="187" t="inlineStr">
        <is>
          <t>https://talosintelligence.com/reputation_center/lookup?search=1.24.16.149</t>
        </is>
      </c>
      <c r="L1537" s="187" t="inlineStr">
        <is>
          <t>2026-02-27 20:47</t>
        </is>
      </c>
      <c r="M1537" s="187" t="inlineStr">
        <is>
          <t>Block IP</t>
        </is>
      </c>
      <c r="N1537" s="187" t="inlineStr">
        <is>
          <t>https://talosintelligence.com/reputation_center/lookup?search=1.24.16.149</t>
        </is>
      </c>
      <c r="O1537" s="187" t="inlineStr">
        <is>
          <t>Block IP 1.24.16.149 at firewall | Cisco Talos confirmed malicious</t>
        </is>
      </c>
      <c r="P1537" s="187" t="inlineStr">
        <is>
          <t>Network perimeter / Email / Web</t>
        </is>
      </c>
      <c r="Q1537" s="187" t="inlineStr">
        <is>
          <t>P3</t>
        </is>
      </c>
      <c r="R1537" s="187" t="inlineStr">
        <is>
          <t>🚫 Block IP at firewall immediately | 🔍 Check logs for existing connections | 🛡️ Add to threat intelligence blocklist</t>
        </is>
      </c>
      <c r="S1537" s="187" t="inlineStr">
        <is>
          <t>Check ip-api.com + AbuseIPDB for context</t>
        </is>
      </c>
      <c r="T1537" s="187" t="n">
        <v>0</v>
      </c>
      <c r="U1537" s="187" t="n">
        <v>0</v>
      </c>
      <c r="V1537" s="187" t="inlineStr">
        <is>
          <t>T1110:Brute Force | T1190:Exploit Public-Facing Application | T1566:Phishing</t>
        </is>
      </c>
      <c r="W1537" s="187" t="n">
        <v>1</v>
      </c>
      <c r="X1537" s="187" t="inlineStr">
        <is>
          <t>MEDIUM (60%)</t>
        </is>
      </c>
      <c r="Y1537" s="187" t="inlineStr">
        <is>
          <t>NONE</t>
        </is>
      </c>
      <c r="Z1537" s="187" t="inlineStr">
        <is>
          <t>NONE</t>
        </is>
      </c>
      <c r="AA1537" s="187" t="inlineStr">
        <is>
          <t>NONE</t>
        </is>
      </c>
      <c r="AB1537" s="187" t="inlineStr">
        <is>
          <t>NONE</t>
        </is>
      </c>
      <c r="AC1537" s="187" t="n">
        <v>0</v>
      </c>
      <c r="AD1537" s="187" t="inlineStr"/>
    </row>
    <row r="1538">
      <c r="A1538" s="187" t="inlineStr">
        <is>
          <t>TALOS_IP</t>
        </is>
      </c>
      <c r="B1538" s="187" t="inlineStr">
        <is>
          <t>0ae1e8a715e3</t>
        </is>
      </c>
      <c r="C1538" s="187" t="inlineStr">
        <is>
          <t>Cisco Talos Blacklisted IP: 1.24.16.15 | Verified malicious | Sources: TALOS</t>
        </is>
      </c>
      <c r="D1538" s="187" t="n">
        <v>7</v>
      </c>
      <c r="E1538" s="187" t="inlineStr">
        <is>
          <t>HIGH</t>
        </is>
      </c>
      <c r="F1538" s="187" t="n">
        <v>3</v>
      </c>
      <c r="G1538" s="187" t="n">
        <v>2</v>
      </c>
      <c r="H1538" s="187" t="inlineStr">
        <is>
          <t>HIGH</t>
        </is>
      </c>
      <c r="I1538" s="187" t="n">
        <v>13</v>
      </c>
      <c r="J1538" s="187" t="inlineStr">
        <is>
          <t>NO</t>
        </is>
      </c>
      <c r="K1538" s="187" t="inlineStr">
        <is>
          <t>https://talosintelligence.com/reputation_center/lookup?search=1.24.16.15</t>
        </is>
      </c>
      <c r="L1538" s="187" t="inlineStr">
        <is>
          <t>2026-02-27 20:47</t>
        </is>
      </c>
      <c r="M1538" s="187" t="inlineStr">
        <is>
          <t>Block IP</t>
        </is>
      </c>
      <c r="N1538" s="187" t="inlineStr">
        <is>
          <t>https://talosintelligence.com/reputation_center/lookup?search=1.24.16.15</t>
        </is>
      </c>
      <c r="O1538" s="187" t="inlineStr">
        <is>
          <t>Block IP 1.24.16.15 at firewall | Cisco Talos confirmed malicious</t>
        </is>
      </c>
      <c r="P1538" s="187" t="inlineStr">
        <is>
          <t>Network perimeter / Email / Web</t>
        </is>
      </c>
      <c r="Q1538" s="187" t="inlineStr">
        <is>
          <t>P3</t>
        </is>
      </c>
      <c r="R1538" s="187" t="inlineStr">
        <is>
          <t>🚫 Block IP at firewall immediately | 🔍 Check logs for existing connections | 🛡️ Add to threat intelligence blocklist</t>
        </is>
      </c>
      <c r="S1538" s="187" t="inlineStr">
        <is>
          <t>Check ip-api.com + AbuseIPDB for context</t>
        </is>
      </c>
      <c r="T1538" s="187" t="n">
        <v>0</v>
      </c>
      <c r="U1538" s="187" t="n">
        <v>0</v>
      </c>
      <c r="V1538" s="187" t="inlineStr">
        <is>
          <t>T1110:Brute Force | T1190:Exploit Public-Facing Application | T1566:Phishing</t>
        </is>
      </c>
      <c r="W1538" s="187" t="n">
        <v>1</v>
      </c>
      <c r="X1538" s="187" t="inlineStr">
        <is>
          <t>MEDIUM (60%)</t>
        </is>
      </c>
      <c r="Y1538" s="187" t="inlineStr">
        <is>
          <t>NONE</t>
        </is>
      </c>
      <c r="Z1538" s="187" t="inlineStr">
        <is>
          <t>NONE</t>
        </is>
      </c>
      <c r="AA1538" s="187" t="inlineStr">
        <is>
          <t>NONE</t>
        </is>
      </c>
      <c r="AB1538" s="187" t="inlineStr">
        <is>
          <t>NONE</t>
        </is>
      </c>
      <c r="AC1538" s="187" t="n">
        <v>0</v>
      </c>
      <c r="AD1538" s="187" t="inlineStr"/>
    </row>
    <row r="1539">
      <c r="A1539" s="187" t="inlineStr">
        <is>
          <t>TALOS_IP</t>
        </is>
      </c>
      <c r="B1539" s="187" t="inlineStr">
        <is>
          <t>39618ac9f046</t>
        </is>
      </c>
      <c r="C1539" s="187" t="inlineStr">
        <is>
          <t>Cisco Talos Blacklisted IP: 1.24.16.152 | Verified malicious | Sources: TALOS</t>
        </is>
      </c>
      <c r="D1539" s="187" t="n">
        <v>7</v>
      </c>
      <c r="E1539" s="187" t="inlineStr">
        <is>
          <t>HIGH</t>
        </is>
      </c>
      <c r="F1539" s="187" t="n">
        <v>3</v>
      </c>
      <c r="G1539" s="187" t="n">
        <v>2</v>
      </c>
      <c r="H1539" s="187" t="inlineStr">
        <is>
          <t>HIGH</t>
        </is>
      </c>
      <c r="I1539" s="187" t="n">
        <v>13</v>
      </c>
      <c r="J1539" s="187" t="inlineStr">
        <is>
          <t>NO</t>
        </is>
      </c>
      <c r="K1539" s="187" t="inlineStr">
        <is>
          <t>https://talosintelligence.com/reputation_center/lookup?search=1.24.16.152</t>
        </is>
      </c>
      <c r="L1539" s="187" t="inlineStr">
        <is>
          <t>2026-02-27 20:47</t>
        </is>
      </c>
      <c r="M1539" s="187" t="inlineStr">
        <is>
          <t>Block IP</t>
        </is>
      </c>
      <c r="N1539" s="187" t="inlineStr">
        <is>
          <t>https://talosintelligence.com/reputation_center/lookup?search=1.24.16.152</t>
        </is>
      </c>
      <c r="O1539" s="187" t="inlineStr">
        <is>
          <t>Block IP 1.24.16.152 at firewall | Cisco Talos confirmed malicious</t>
        </is>
      </c>
      <c r="P1539" s="187" t="inlineStr">
        <is>
          <t>Network perimeter / Email / Web</t>
        </is>
      </c>
      <c r="Q1539" s="187" t="inlineStr">
        <is>
          <t>P3</t>
        </is>
      </c>
      <c r="R1539" s="187" t="inlineStr">
        <is>
          <t>🚫 Block IP at firewall immediately | 🔍 Check logs for existing connections | 🛡️ Add to threat intelligence blocklist</t>
        </is>
      </c>
      <c r="S1539" s="187" t="inlineStr">
        <is>
          <t>Check ip-api.com + AbuseIPDB for context</t>
        </is>
      </c>
      <c r="T1539" s="187" t="n">
        <v>0</v>
      </c>
      <c r="U1539" s="187" t="n">
        <v>0</v>
      </c>
      <c r="V1539" s="187" t="inlineStr">
        <is>
          <t>T1110:Brute Force | T1190:Exploit Public-Facing Application | T1566:Phishing</t>
        </is>
      </c>
      <c r="W1539" s="187" t="n">
        <v>1</v>
      </c>
      <c r="X1539" s="187" t="inlineStr">
        <is>
          <t>MEDIUM (60%)</t>
        </is>
      </c>
      <c r="Y1539" s="187" t="inlineStr">
        <is>
          <t>NONE</t>
        </is>
      </c>
      <c r="Z1539" s="187" t="inlineStr">
        <is>
          <t>NONE</t>
        </is>
      </c>
      <c r="AA1539" s="187" t="inlineStr">
        <is>
          <t>NONE</t>
        </is>
      </c>
      <c r="AB1539" s="187" t="inlineStr">
        <is>
          <t>NONE</t>
        </is>
      </c>
      <c r="AC1539" s="187" t="n">
        <v>0</v>
      </c>
      <c r="AD1539" s="187" t="inlineStr"/>
    </row>
    <row r="1540">
      <c r="A1540" s="187" t="inlineStr">
        <is>
          <t>TALOS_IP</t>
        </is>
      </c>
      <c r="B1540" s="187" t="inlineStr">
        <is>
          <t>a080d8384952</t>
        </is>
      </c>
      <c r="C1540" s="187" t="inlineStr">
        <is>
          <t>Cisco Talos Blacklisted IP: 1.24.16.157 | Verified malicious | Sources: TALOS</t>
        </is>
      </c>
      <c r="D1540" s="187" t="n">
        <v>7</v>
      </c>
      <c r="E1540" s="187" t="inlineStr">
        <is>
          <t>HIGH</t>
        </is>
      </c>
      <c r="F1540" s="187" t="n">
        <v>3</v>
      </c>
      <c r="G1540" s="187" t="n">
        <v>2</v>
      </c>
      <c r="H1540" s="187" t="inlineStr">
        <is>
          <t>HIGH</t>
        </is>
      </c>
      <c r="I1540" s="187" t="n">
        <v>13</v>
      </c>
      <c r="J1540" s="187" t="inlineStr">
        <is>
          <t>NO</t>
        </is>
      </c>
      <c r="K1540" s="187" t="inlineStr">
        <is>
          <t>https://talosintelligence.com/reputation_center/lookup?search=1.24.16.157</t>
        </is>
      </c>
      <c r="L1540" s="187" t="inlineStr">
        <is>
          <t>2026-02-27 20:47</t>
        </is>
      </c>
      <c r="M1540" s="187" t="inlineStr">
        <is>
          <t>Block IP</t>
        </is>
      </c>
      <c r="N1540" s="187" t="inlineStr">
        <is>
          <t>https://talosintelligence.com/reputation_center/lookup?search=1.24.16.157</t>
        </is>
      </c>
      <c r="O1540" s="187" t="inlineStr">
        <is>
          <t>Block IP 1.24.16.157 at firewall | Cisco Talos confirmed malicious</t>
        </is>
      </c>
      <c r="P1540" s="187" t="inlineStr">
        <is>
          <t>Network perimeter / Email / Web</t>
        </is>
      </c>
      <c r="Q1540" s="187" t="inlineStr">
        <is>
          <t>P3</t>
        </is>
      </c>
      <c r="R1540" s="187" t="inlineStr">
        <is>
          <t>🚫 Block IP at firewall immediately | 🔍 Check logs for existing connections | 🛡️ Add to threat intelligence blocklist</t>
        </is>
      </c>
      <c r="S1540" s="187" t="inlineStr">
        <is>
          <t>Check ip-api.com + AbuseIPDB for context</t>
        </is>
      </c>
      <c r="T1540" s="187" t="n">
        <v>0</v>
      </c>
      <c r="U1540" s="187" t="n">
        <v>0</v>
      </c>
      <c r="V1540" s="187" t="inlineStr">
        <is>
          <t>T1110:Brute Force | T1190:Exploit Public-Facing Application | T1566:Phishing</t>
        </is>
      </c>
      <c r="W1540" s="187" t="n">
        <v>1</v>
      </c>
      <c r="X1540" s="187" t="inlineStr">
        <is>
          <t>MEDIUM (60%)</t>
        </is>
      </c>
      <c r="Y1540" s="187" t="inlineStr">
        <is>
          <t>NONE</t>
        </is>
      </c>
      <c r="Z1540" s="187" t="inlineStr">
        <is>
          <t>NONE</t>
        </is>
      </c>
      <c r="AA1540" s="187" t="inlineStr">
        <is>
          <t>NONE</t>
        </is>
      </c>
      <c r="AB1540" s="187" t="inlineStr">
        <is>
          <t>NONE</t>
        </is>
      </c>
      <c r="AC1540" s="187" t="n">
        <v>0</v>
      </c>
      <c r="AD1540" s="187" t="inlineStr"/>
    </row>
    <row r="1541">
      <c r="A1541" s="187" t="inlineStr">
        <is>
          <t>TALOS_IP</t>
        </is>
      </c>
      <c r="B1541" s="187" t="inlineStr">
        <is>
          <t>9bde7a56c487</t>
        </is>
      </c>
      <c r="C1541" s="187" t="inlineStr">
        <is>
          <t>Cisco Talos Blacklisted IP: 1.24.16.159 | Verified malicious | Sources: TALOS</t>
        </is>
      </c>
      <c r="D1541" s="187" t="n">
        <v>7</v>
      </c>
      <c r="E1541" s="187" t="inlineStr">
        <is>
          <t>HIGH</t>
        </is>
      </c>
      <c r="F1541" s="187" t="n">
        <v>3</v>
      </c>
      <c r="G1541" s="187" t="n">
        <v>2</v>
      </c>
      <c r="H1541" s="187" t="inlineStr">
        <is>
          <t>HIGH</t>
        </is>
      </c>
      <c r="I1541" s="187" t="n">
        <v>13</v>
      </c>
      <c r="J1541" s="187" t="inlineStr">
        <is>
          <t>NO</t>
        </is>
      </c>
      <c r="K1541" s="187" t="inlineStr">
        <is>
          <t>https://talosintelligence.com/reputation_center/lookup?search=1.24.16.159</t>
        </is>
      </c>
      <c r="L1541" s="187" t="inlineStr">
        <is>
          <t>2026-02-27 20:47</t>
        </is>
      </c>
      <c r="M1541" s="187" t="inlineStr">
        <is>
          <t>Block IP</t>
        </is>
      </c>
      <c r="N1541" s="187" t="inlineStr">
        <is>
          <t>https://talosintelligence.com/reputation_center/lookup?search=1.24.16.159</t>
        </is>
      </c>
      <c r="O1541" s="187" t="inlineStr">
        <is>
          <t>Block IP 1.24.16.159 at firewall | Cisco Talos confirmed malicious</t>
        </is>
      </c>
      <c r="P1541" s="187" t="inlineStr">
        <is>
          <t>Network perimeter / Email / Web</t>
        </is>
      </c>
      <c r="Q1541" s="187" t="inlineStr">
        <is>
          <t>P3</t>
        </is>
      </c>
      <c r="R1541" s="187" t="inlineStr">
        <is>
          <t>🚫 Block IP at firewall immediately | 🔍 Check logs for existing connections | 🛡️ Add to threat intelligence blocklist</t>
        </is>
      </c>
      <c r="S1541" s="187" t="inlineStr">
        <is>
          <t>Check ip-api.com + AbuseIPDB for context</t>
        </is>
      </c>
      <c r="T1541" s="187" t="n">
        <v>0</v>
      </c>
      <c r="U1541" s="187" t="n">
        <v>0</v>
      </c>
      <c r="V1541" s="187" t="inlineStr">
        <is>
          <t>T1110:Brute Force | T1190:Exploit Public-Facing Application | T1566:Phishing</t>
        </is>
      </c>
      <c r="W1541" s="187" t="n">
        <v>1</v>
      </c>
      <c r="X1541" s="187" t="inlineStr">
        <is>
          <t>MEDIUM (60%)</t>
        </is>
      </c>
      <c r="Y1541" s="187" t="inlineStr">
        <is>
          <t>NONE</t>
        </is>
      </c>
      <c r="Z1541" s="187" t="inlineStr">
        <is>
          <t>NONE</t>
        </is>
      </c>
      <c r="AA1541" s="187" t="inlineStr">
        <is>
          <t>NONE</t>
        </is>
      </c>
      <c r="AB1541" s="187" t="inlineStr">
        <is>
          <t>NONE</t>
        </is>
      </c>
      <c r="AC1541" s="187" t="n">
        <v>0</v>
      </c>
      <c r="AD1541" s="187" t="inlineStr"/>
    </row>
    <row r="1542">
      <c r="A1542" s="187" t="inlineStr">
        <is>
          <t>TALOS_IP</t>
        </is>
      </c>
      <c r="B1542" s="187" t="inlineStr">
        <is>
          <t>cb4cdd980323</t>
        </is>
      </c>
      <c r="C1542" s="187" t="inlineStr">
        <is>
          <t>Cisco Talos Blacklisted IP: 1.24.16.16 | Verified malicious | Sources: TALOS</t>
        </is>
      </c>
      <c r="D1542" s="187" t="n">
        <v>7</v>
      </c>
      <c r="E1542" s="187" t="inlineStr">
        <is>
          <t>HIGH</t>
        </is>
      </c>
      <c r="F1542" s="187" t="n">
        <v>3</v>
      </c>
      <c r="G1542" s="187" t="n">
        <v>2</v>
      </c>
      <c r="H1542" s="187" t="inlineStr">
        <is>
          <t>HIGH</t>
        </is>
      </c>
      <c r="I1542" s="187" t="n">
        <v>13</v>
      </c>
      <c r="J1542" s="187" t="inlineStr">
        <is>
          <t>NO</t>
        </is>
      </c>
      <c r="K1542" s="187" t="inlineStr">
        <is>
          <t>https://talosintelligence.com/reputation_center/lookup?search=1.24.16.16</t>
        </is>
      </c>
      <c r="L1542" s="187" t="inlineStr">
        <is>
          <t>2026-02-27 20:47</t>
        </is>
      </c>
      <c r="M1542" s="187" t="inlineStr">
        <is>
          <t>Block IP</t>
        </is>
      </c>
      <c r="N1542" s="187" t="inlineStr">
        <is>
          <t>https://talosintelligence.com/reputation_center/lookup?search=1.24.16.16</t>
        </is>
      </c>
      <c r="O1542" s="187" t="inlineStr">
        <is>
          <t>Block IP 1.24.16.16 at firewall | Cisco Talos confirmed malicious</t>
        </is>
      </c>
      <c r="P1542" s="187" t="inlineStr">
        <is>
          <t>Network perimeter / Email / Web</t>
        </is>
      </c>
      <c r="Q1542" s="187" t="inlineStr">
        <is>
          <t>P3</t>
        </is>
      </c>
      <c r="R1542" s="187" t="inlineStr">
        <is>
          <t>🚫 Block IP at firewall immediately | 🔍 Check logs for existing connections | 🛡️ Add to threat intelligence blocklist</t>
        </is>
      </c>
      <c r="S1542" s="187" t="inlineStr">
        <is>
          <t>Check ip-api.com + AbuseIPDB for context</t>
        </is>
      </c>
      <c r="T1542" s="187" t="n">
        <v>0</v>
      </c>
      <c r="U1542" s="187" t="n">
        <v>0</v>
      </c>
      <c r="V1542" s="187" t="inlineStr">
        <is>
          <t>T1110:Brute Force | T1190:Exploit Public-Facing Application | T1566:Phishing</t>
        </is>
      </c>
      <c r="W1542" s="187" t="n">
        <v>1</v>
      </c>
      <c r="X1542" s="187" t="inlineStr">
        <is>
          <t>MEDIUM (60%)</t>
        </is>
      </c>
      <c r="Y1542" s="187" t="inlineStr">
        <is>
          <t>NONE</t>
        </is>
      </c>
      <c r="Z1542" s="187" t="inlineStr">
        <is>
          <t>NONE</t>
        </is>
      </c>
      <c r="AA1542" s="187" t="inlineStr">
        <is>
          <t>NONE</t>
        </is>
      </c>
      <c r="AB1542" s="187" t="inlineStr">
        <is>
          <t>NONE</t>
        </is>
      </c>
      <c r="AC1542" s="187" t="n">
        <v>0</v>
      </c>
      <c r="AD1542" s="187" t="inlineStr"/>
    </row>
    <row r="1543">
      <c r="A1543" s="187" t="inlineStr">
        <is>
          <t>TALOS_IP</t>
        </is>
      </c>
      <c r="B1543" s="187" t="inlineStr">
        <is>
          <t>3504175bba14</t>
        </is>
      </c>
      <c r="C1543" s="187" t="inlineStr">
        <is>
          <t>Cisco Talos Blacklisted IP: 1.24.16.161 | Verified malicious | Sources: TALOS</t>
        </is>
      </c>
      <c r="D1543" s="187" t="n">
        <v>7</v>
      </c>
      <c r="E1543" s="187" t="inlineStr">
        <is>
          <t>HIGH</t>
        </is>
      </c>
      <c r="F1543" s="187" t="n">
        <v>3</v>
      </c>
      <c r="G1543" s="187" t="n">
        <v>2</v>
      </c>
      <c r="H1543" s="187" t="inlineStr">
        <is>
          <t>HIGH</t>
        </is>
      </c>
      <c r="I1543" s="187" t="n">
        <v>13</v>
      </c>
      <c r="J1543" s="187" t="inlineStr">
        <is>
          <t>NO</t>
        </is>
      </c>
      <c r="K1543" s="187" t="inlineStr">
        <is>
          <t>https://talosintelligence.com/reputation_center/lookup?search=1.24.16.161</t>
        </is>
      </c>
      <c r="L1543" s="187" t="inlineStr">
        <is>
          <t>2026-02-27 20:47</t>
        </is>
      </c>
      <c r="M1543" s="187" t="inlineStr">
        <is>
          <t>Block IP</t>
        </is>
      </c>
      <c r="N1543" s="187" t="inlineStr">
        <is>
          <t>https://talosintelligence.com/reputation_center/lookup?search=1.24.16.161</t>
        </is>
      </c>
      <c r="O1543" s="187" t="inlineStr">
        <is>
          <t>Block IP 1.24.16.161 at firewall | Cisco Talos confirmed malicious</t>
        </is>
      </c>
      <c r="P1543" s="187" t="inlineStr">
        <is>
          <t>Network perimeter / Email / Web</t>
        </is>
      </c>
      <c r="Q1543" s="187" t="inlineStr">
        <is>
          <t>P3</t>
        </is>
      </c>
      <c r="R1543" s="187" t="inlineStr">
        <is>
          <t>🚫 Block IP at firewall immediately | 🔍 Check logs for existing connections | 🛡️ Add to threat intelligence blocklist</t>
        </is>
      </c>
      <c r="S1543" s="187" t="inlineStr">
        <is>
          <t>Check ip-api.com + AbuseIPDB for context</t>
        </is>
      </c>
      <c r="T1543" s="187" t="n">
        <v>0</v>
      </c>
      <c r="U1543" s="187" t="n">
        <v>0</v>
      </c>
      <c r="V1543" s="187" t="inlineStr">
        <is>
          <t>T1110:Brute Force | T1190:Exploit Public-Facing Application | T1566:Phishing</t>
        </is>
      </c>
      <c r="W1543" s="187" t="n">
        <v>1</v>
      </c>
      <c r="X1543" s="187" t="inlineStr">
        <is>
          <t>MEDIUM (60%)</t>
        </is>
      </c>
      <c r="Y1543" s="187" t="inlineStr">
        <is>
          <t>NONE</t>
        </is>
      </c>
      <c r="Z1543" s="187" t="inlineStr">
        <is>
          <t>NONE</t>
        </is>
      </c>
      <c r="AA1543" s="187" t="inlineStr">
        <is>
          <t>NONE</t>
        </is>
      </c>
      <c r="AB1543" s="187" t="inlineStr">
        <is>
          <t>NONE</t>
        </is>
      </c>
      <c r="AC1543" s="187" t="n">
        <v>0</v>
      </c>
      <c r="AD1543" s="187" t="inlineStr"/>
    </row>
    <row r="1544">
      <c r="A1544" s="187" t="inlineStr">
        <is>
          <t>TALOS_IP</t>
        </is>
      </c>
      <c r="B1544" s="187" t="inlineStr">
        <is>
          <t>afd5213b6785</t>
        </is>
      </c>
      <c r="C1544" s="187" t="inlineStr">
        <is>
          <t>Cisco Talos Blacklisted IP: 1.24.16.162 | Verified malicious | Sources: TALOS</t>
        </is>
      </c>
      <c r="D1544" s="187" t="n">
        <v>7</v>
      </c>
      <c r="E1544" s="187" t="inlineStr">
        <is>
          <t>HIGH</t>
        </is>
      </c>
      <c r="F1544" s="187" t="n">
        <v>3</v>
      </c>
      <c r="G1544" s="187" t="n">
        <v>2</v>
      </c>
      <c r="H1544" s="187" t="inlineStr">
        <is>
          <t>HIGH</t>
        </is>
      </c>
      <c r="I1544" s="187" t="n">
        <v>13</v>
      </c>
      <c r="J1544" s="187" t="inlineStr">
        <is>
          <t>NO</t>
        </is>
      </c>
      <c r="K1544" s="187" t="inlineStr">
        <is>
          <t>https://talosintelligence.com/reputation_center/lookup?search=1.24.16.162</t>
        </is>
      </c>
      <c r="L1544" s="187" t="inlineStr">
        <is>
          <t>2026-02-27 20:47</t>
        </is>
      </c>
      <c r="M1544" s="187" t="inlineStr">
        <is>
          <t>Block IP</t>
        </is>
      </c>
      <c r="N1544" s="187" t="inlineStr">
        <is>
          <t>https://talosintelligence.com/reputation_center/lookup?search=1.24.16.162</t>
        </is>
      </c>
      <c r="O1544" s="187" t="inlineStr">
        <is>
          <t>Block IP 1.24.16.162 at firewall | Cisco Talos confirmed malicious</t>
        </is>
      </c>
      <c r="P1544" s="187" t="inlineStr">
        <is>
          <t>Network perimeter / Email / Web</t>
        </is>
      </c>
      <c r="Q1544" s="187" t="inlineStr">
        <is>
          <t>P3</t>
        </is>
      </c>
      <c r="R1544" s="187" t="inlineStr">
        <is>
          <t>🚫 Block IP at firewall immediately | 🔍 Check logs for existing connections | 🛡️ Add to threat intelligence blocklist</t>
        </is>
      </c>
      <c r="S1544" s="187" t="inlineStr">
        <is>
          <t>Check ip-api.com + AbuseIPDB for context</t>
        </is>
      </c>
      <c r="T1544" s="187" t="n">
        <v>0</v>
      </c>
      <c r="U1544" s="187" t="n">
        <v>0</v>
      </c>
      <c r="V1544" s="187" t="inlineStr">
        <is>
          <t>T1110:Brute Force | T1190:Exploit Public-Facing Application | T1566:Phishing</t>
        </is>
      </c>
      <c r="W1544" s="187" t="n">
        <v>1</v>
      </c>
      <c r="X1544" s="187" t="inlineStr">
        <is>
          <t>MEDIUM (60%)</t>
        </is>
      </c>
      <c r="Y1544" s="187" t="inlineStr">
        <is>
          <t>NONE</t>
        </is>
      </c>
      <c r="Z1544" s="187" t="inlineStr">
        <is>
          <t>NONE</t>
        </is>
      </c>
      <c r="AA1544" s="187" t="inlineStr">
        <is>
          <t>NONE</t>
        </is>
      </c>
      <c r="AB1544" s="187" t="inlineStr">
        <is>
          <t>NONE</t>
        </is>
      </c>
      <c r="AC1544" s="187" t="n">
        <v>0</v>
      </c>
      <c r="AD1544" s="187" t="inlineStr"/>
    </row>
    <row r="1545">
      <c r="A1545" s="187" t="inlineStr">
        <is>
          <t>TALOS_IP</t>
        </is>
      </c>
      <c r="B1545" s="187" t="inlineStr">
        <is>
          <t>90c3fe83abfc</t>
        </is>
      </c>
      <c r="C1545" s="187" t="inlineStr">
        <is>
          <t>Cisco Talos Blacklisted IP: 1.24.16.164 | Verified malicious | Sources: TALOS</t>
        </is>
      </c>
      <c r="D1545" s="187" t="n">
        <v>7</v>
      </c>
      <c r="E1545" s="187" t="inlineStr">
        <is>
          <t>HIGH</t>
        </is>
      </c>
      <c r="F1545" s="187" t="n">
        <v>3</v>
      </c>
      <c r="G1545" s="187" t="n">
        <v>2</v>
      </c>
      <c r="H1545" s="187" t="inlineStr">
        <is>
          <t>HIGH</t>
        </is>
      </c>
      <c r="I1545" s="187" t="n">
        <v>13</v>
      </c>
      <c r="J1545" s="187" t="inlineStr">
        <is>
          <t>NO</t>
        </is>
      </c>
      <c r="K1545" s="187" t="inlineStr">
        <is>
          <t>https://talosintelligence.com/reputation_center/lookup?search=1.24.16.164</t>
        </is>
      </c>
      <c r="L1545" s="187" t="inlineStr">
        <is>
          <t>2026-02-27 20:47</t>
        </is>
      </c>
      <c r="M1545" s="187" t="inlineStr">
        <is>
          <t>Block IP</t>
        </is>
      </c>
      <c r="N1545" s="187" t="inlineStr">
        <is>
          <t>https://talosintelligence.com/reputation_center/lookup?search=1.24.16.164</t>
        </is>
      </c>
      <c r="O1545" s="187" t="inlineStr">
        <is>
          <t>Block IP 1.24.16.164 at firewall | Cisco Talos confirmed malicious</t>
        </is>
      </c>
      <c r="P1545" s="187" t="inlineStr">
        <is>
          <t>Network perimeter / Email / Web</t>
        </is>
      </c>
      <c r="Q1545" s="187" t="inlineStr">
        <is>
          <t>P3</t>
        </is>
      </c>
      <c r="R1545" s="187" t="inlineStr">
        <is>
          <t>🚫 Block IP at firewall immediately | 🔍 Check logs for existing connections | 🛡️ Add to threat intelligence blocklist</t>
        </is>
      </c>
      <c r="S1545" s="187" t="inlineStr">
        <is>
          <t>Check ip-api.com + AbuseIPDB for context</t>
        </is>
      </c>
      <c r="T1545" s="187" t="n">
        <v>0</v>
      </c>
      <c r="U1545" s="187" t="n">
        <v>0</v>
      </c>
      <c r="V1545" s="187" t="inlineStr">
        <is>
          <t>T1110:Brute Force | T1190:Exploit Public-Facing Application | T1566:Phishing</t>
        </is>
      </c>
      <c r="W1545" s="187" t="n">
        <v>1</v>
      </c>
      <c r="X1545" s="187" t="inlineStr">
        <is>
          <t>MEDIUM (60%)</t>
        </is>
      </c>
      <c r="Y1545" s="187" t="inlineStr">
        <is>
          <t>NONE</t>
        </is>
      </c>
      <c r="Z1545" s="187" t="inlineStr">
        <is>
          <t>NONE</t>
        </is>
      </c>
      <c r="AA1545" s="187" t="inlineStr">
        <is>
          <t>NONE</t>
        </is>
      </c>
      <c r="AB1545" s="187" t="inlineStr">
        <is>
          <t>NONE</t>
        </is>
      </c>
      <c r="AC1545" s="187" t="n">
        <v>0</v>
      </c>
      <c r="AD1545" s="187" t="inlineStr"/>
    </row>
    <row r="1546">
      <c r="A1546" s="187" t="inlineStr">
        <is>
          <t>TALOS_IP</t>
        </is>
      </c>
      <c r="B1546" s="187" t="inlineStr">
        <is>
          <t>687d79546a24</t>
        </is>
      </c>
      <c r="C1546" s="187" t="inlineStr">
        <is>
          <t>Cisco Talos Blacklisted IP: 1.24.16.166 | Verified malicious | Sources: TALOS</t>
        </is>
      </c>
      <c r="D1546" s="187" t="n">
        <v>7</v>
      </c>
      <c r="E1546" s="187" t="inlineStr">
        <is>
          <t>HIGH</t>
        </is>
      </c>
      <c r="F1546" s="187" t="n">
        <v>3</v>
      </c>
      <c r="G1546" s="187" t="n">
        <v>2</v>
      </c>
      <c r="H1546" s="187" t="inlineStr">
        <is>
          <t>HIGH</t>
        </is>
      </c>
      <c r="I1546" s="187" t="n">
        <v>13</v>
      </c>
      <c r="J1546" s="187" t="inlineStr">
        <is>
          <t>NO</t>
        </is>
      </c>
      <c r="K1546" s="187" t="inlineStr">
        <is>
          <t>https://talosintelligence.com/reputation_center/lookup?search=1.24.16.166</t>
        </is>
      </c>
      <c r="L1546" s="187" t="inlineStr">
        <is>
          <t>2026-02-27 20:47</t>
        </is>
      </c>
      <c r="M1546" s="187" t="inlineStr">
        <is>
          <t>Block IP</t>
        </is>
      </c>
      <c r="N1546" s="187" t="inlineStr">
        <is>
          <t>https://talosintelligence.com/reputation_center/lookup?search=1.24.16.166</t>
        </is>
      </c>
      <c r="O1546" s="187" t="inlineStr">
        <is>
          <t>Block IP 1.24.16.166 at firewall | Cisco Talos confirmed malicious</t>
        </is>
      </c>
      <c r="P1546" s="187" t="inlineStr">
        <is>
          <t>Network perimeter / Email / Web</t>
        </is>
      </c>
      <c r="Q1546" s="187" t="inlineStr">
        <is>
          <t>P3</t>
        </is>
      </c>
      <c r="R1546" s="187" t="inlineStr">
        <is>
          <t>🚫 Block IP at firewall immediately | 🔍 Check logs for existing connections | 🛡️ Add to threat intelligence blocklist</t>
        </is>
      </c>
      <c r="S1546" s="187" t="inlineStr">
        <is>
          <t>Check ip-api.com + AbuseIPDB for context</t>
        </is>
      </c>
      <c r="T1546" s="187" t="n">
        <v>0</v>
      </c>
      <c r="U1546" s="187" t="n">
        <v>0</v>
      </c>
      <c r="V1546" s="187" t="inlineStr">
        <is>
          <t>T1110:Brute Force | T1190:Exploit Public-Facing Application | T1566:Phishing</t>
        </is>
      </c>
      <c r="W1546" s="187" t="n">
        <v>1</v>
      </c>
      <c r="X1546" s="187" t="inlineStr">
        <is>
          <t>MEDIUM (60%)</t>
        </is>
      </c>
      <c r="Y1546" s="187" t="inlineStr">
        <is>
          <t>NONE</t>
        </is>
      </c>
      <c r="Z1546" s="187" t="inlineStr">
        <is>
          <t>NONE</t>
        </is>
      </c>
      <c r="AA1546" s="187" t="inlineStr">
        <is>
          <t>NONE</t>
        </is>
      </c>
      <c r="AB1546" s="187" t="inlineStr">
        <is>
          <t>NONE</t>
        </is>
      </c>
      <c r="AC1546" s="187" t="n">
        <v>0</v>
      </c>
      <c r="AD1546" s="187" t="inlineStr"/>
    </row>
    <row r="1547">
      <c r="A1547" s="187" t="inlineStr">
        <is>
          <t>TALOS_IP</t>
        </is>
      </c>
      <c r="B1547" s="187" t="inlineStr">
        <is>
          <t>70086f3b4106</t>
        </is>
      </c>
      <c r="C1547" s="187" t="inlineStr">
        <is>
          <t>Cisco Talos Blacklisted IP: 1.24.16.169 | Verified malicious | Sources: TALOS</t>
        </is>
      </c>
      <c r="D1547" s="187" t="n">
        <v>7</v>
      </c>
      <c r="E1547" s="187" t="inlineStr">
        <is>
          <t>HIGH</t>
        </is>
      </c>
      <c r="F1547" s="187" t="n">
        <v>3</v>
      </c>
      <c r="G1547" s="187" t="n">
        <v>2</v>
      </c>
      <c r="H1547" s="187" t="inlineStr">
        <is>
          <t>HIGH</t>
        </is>
      </c>
      <c r="I1547" s="187" t="n">
        <v>13</v>
      </c>
      <c r="J1547" s="187" t="inlineStr">
        <is>
          <t>NO</t>
        </is>
      </c>
      <c r="K1547" s="187" t="inlineStr">
        <is>
          <t>https://talosintelligence.com/reputation_center/lookup?search=1.24.16.169</t>
        </is>
      </c>
      <c r="L1547" s="187" t="inlineStr">
        <is>
          <t>2026-02-27 20:47</t>
        </is>
      </c>
      <c r="M1547" s="187" t="inlineStr">
        <is>
          <t>Block IP</t>
        </is>
      </c>
      <c r="N1547" s="187" t="inlineStr">
        <is>
          <t>https://talosintelligence.com/reputation_center/lookup?search=1.24.16.169</t>
        </is>
      </c>
      <c r="O1547" s="187" t="inlineStr">
        <is>
          <t>Block IP 1.24.16.169 at firewall | Cisco Talos confirmed malicious</t>
        </is>
      </c>
      <c r="P1547" s="187" t="inlineStr">
        <is>
          <t>Network perimeter / Email / Web</t>
        </is>
      </c>
      <c r="Q1547" s="187" t="inlineStr">
        <is>
          <t>P3</t>
        </is>
      </c>
      <c r="R1547" s="187" t="inlineStr">
        <is>
          <t>🚫 Block IP at firewall immediately | 🔍 Check logs for existing connections | 🛡️ Add to threat intelligence blocklist</t>
        </is>
      </c>
      <c r="S1547" s="187" t="inlineStr">
        <is>
          <t>Check ip-api.com + AbuseIPDB for context</t>
        </is>
      </c>
      <c r="T1547" s="187" t="n">
        <v>0</v>
      </c>
      <c r="U1547" s="187" t="n">
        <v>0</v>
      </c>
      <c r="V1547" s="187" t="inlineStr">
        <is>
          <t>T1110:Brute Force | T1190:Exploit Public-Facing Application | T1566:Phishing</t>
        </is>
      </c>
      <c r="W1547" s="187" t="n">
        <v>1</v>
      </c>
      <c r="X1547" s="187" t="inlineStr">
        <is>
          <t>MEDIUM (60%)</t>
        </is>
      </c>
      <c r="Y1547" s="187" t="inlineStr">
        <is>
          <t>NONE</t>
        </is>
      </c>
      <c r="Z1547" s="187" t="inlineStr">
        <is>
          <t>NONE</t>
        </is>
      </c>
      <c r="AA1547" s="187" t="inlineStr">
        <is>
          <t>NONE</t>
        </is>
      </c>
      <c r="AB1547" s="187" t="inlineStr">
        <is>
          <t>NONE</t>
        </is>
      </c>
      <c r="AC1547" s="187" t="n">
        <v>0</v>
      </c>
      <c r="AD1547" s="187" t="inlineStr"/>
    </row>
    <row r="1548">
      <c r="A1548" s="187" t="inlineStr">
        <is>
          <t>TALOS_IP</t>
        </is>
      </c>
      <c r="B1548" s="187" t="inlineStr">
        <is>
          <t>dadee061d58f</t>
        </is>
      </c>
      <c r="C1548" s="187" t="inlineStr">
        <is>
          <t>Cisco Talos Blacklisted IP: 1.24.16.172 | Verified malicious | Sources: TALOS</t>
        </is>
      </c>
      <c r="D1548" s="187" t="n">
        <v>7</v>
      </c>
      <c r="E1548" s="187" t="inlineStr">
        <is>
          <t>HIGH</t>
        </is>
      </c>
      <c r="F1548" s="187" t="n">
        <v>3</v>
      </c>
      <c r="G1548" s="187" t="n">
        <v>2</v>
      </c>
      <c r="H1548" s="187" t="inlineStr">
        <is>
          <t>HIGH</t>
        </is>
      </c>
      <c r="I1548" s="187" t="n">
        <v>13</v>
      </c>
      <c r="J1548" s="187" t="inlineStr">
        <is>
          <t>NO</t>
        </is>
      </c>
      <c r="K1548" s="187" t="inlineStr">
        <is>
          <t>https://talosintelligence.com/reputation_center/lookup?search=1.24.16.172</t>
        </is>
      </c>
      <c r="L1548" s="187" t="inlineStr">
        <is>
          <t>2026-02-27 20:47</t>
        </is>
      </c>
      <c r="M1548" s="187" t="inlineStr">
        <is>
          <t>Block IP</t>
        </is>
      </c>
      <c r="N1548" s="187" t="inlineStr">
        <is>
          <t>https://talosintelligence.com/reputation_center/lookup?search=1.24.16.172</t>
        </is>
      </c>
      <c r="O1548" s="187" t="inlineStr">
        <is>
          <t>Block IP 1.24.16.172 at firewall | Cisco Talos confirmed malicious</t>
        </is>
      </c>
      <c r="P1548" s="187" t="inlineStr">
        <is>
          <t>Network perimeter / Email / Web</t>
        </is>
      </c>
      <c r="Q1548" s="187" t="inlineStr">
        <is>
          <t>P3</t>
        </is>
      </c>
      <c r="R1548" s="187" t="inlineStr">
        <is>
          <t>🚫 Block IP at firewall immediately | 🔍 Check logs for existing connections | 🛡️ Add to threat intelligence blocklist</t>
        </is>
      </c>
      <c r="S1548" s="187" t="inlineStr">
        <is>
          <t>Check ip-api.com + AbuseIPDB for context</t>
        </is>
      </c>
      <c r="T1548" s="187" t="n">
        <v>0</v>
      </c>
      <c r="U1548" s="187" t="n">
        <v>0</v>
      </c>
      <c r="V1548" s="187" t="inlineStr">
        <is>
          <t>T1110:Brute Force | T1190:Exploit Public-Facing Application | T1566:Phishing</t>
        </is>
      </c>
      <c r="W1548" s="187" t="n">
        <v>1</v>
      </c>
      <c r="X1548" s="187" t="inlineStr">
        <is>
          <t>MEDIUM (60%)</t>
        </is>
      </c>
      <c r="Y1548" s="187" t="inlineStr">
        <is>
          <t>NONE</t>
        </is>
      </c>
      <c r="Z1548" s="187" t="inlineStr">
        <is>
          <t>NONE</t>
        </is>
      </c>
      <c r="AA1548" s="187" t="inlineStr">
        <is>
          <t>NONE</t>
        </is>
      </c>
      <c r="AB1548" s="187" t="inlineStr">
        <is>
          <t>NONE</t>
        </is>
      </c>
      <c r="AC1548" s="187" t="n">
        <v>0</v>
      </c>
      <c r="AD1548" s="187" t="inlineStr"/>
    </row>
    <row r="1549">
      <c r="A1549" s="187" t="inlineStr">
        <is>
          <t>TALOS_IP</t>
        </is>
      </c>
      <c r="B1549" s="187" t="inlineStr">
        <is>
          <t>9b95b2282c3b</t>
        </is>
      </c>
      <c r="C1549" s="187" t="inlineStr">
        <is>
          <t>Cisco Talos Blacklisted IP: 1.24.16.177 | Verified malicious | Sources: TALOS</t>
        </is>
      </c>
      <c r="D1549" s="187" t="n">
        <v>7</v>
      </c>
      <c r="E1549" s="187" t="inlineStr">
        <is>
          <t>HIGH</t>
        </is>
      </c>
      <c r="F1549" s="187" t="n">
        <v>3</v>
      </c>
      <c r="G1549" s="187" t="n">
        <v>2</v>
      </c>
      <c r="H1549" s="187" t="inlineStr">
        <is>
          <t>HIGH</t>
        </is>
      </c>
      <c r="I1549" s="187" t="n">
        <v>13</v>
      </c>
      <c r="J1549" s="187" t="inlineStr">
        <is>
          <t>NO</t>
        </is>
      </c>
      <c r="K1549" s="187" t="inlineStr">
        <is>
          <t>https://talosintelligence.com/reputation_center/lookup?search=1.24.16.177</t>
        </is>
      </c>
      <c r="L1549" s="187" t="inlineStr">
        <is>
          <t>2026-02-27 20:47</t>
        </is>
      </c>
      <c r="M1549" s="187" t="inlineStr">
        <is>
          <t>Block IP</t>
        </is>
      </c>
      <c r="N1549" s="187" t="inlineStr">
        <is>
          <t>https://talosintelligence.com/reputation_center/lookup?search=1.24.16.177</t>
        </is>
      </c>
      <c r="O1549" s="187" t="inlineStr">
        <is>
          <t>Block IP 1.24.16.177 at firewall | Cisco Talos confirmed malicious</t>
        </is>
      </c>
      <c r="P1549" s="187" t="inlineStr">
        <is>
          <t>Network perimeter / Email / Web</t>
        </is>
      </c>
      <c r="Q1549" s="187" t="inlineStr">
        <is>
          <t>P3</t>
        </is>
      </c>
      <c r="R1549" s="187" t="inlineStr">
        <is>
          <t>🚫 Block IP at firewall immediately | 🔍 Check logs for existing connections | 🛡️ Add to threat intelligence blocklist</t>
        </is>
      </c>
      <c r="S1549" s="187" t="inlineStr">
        <is>
          <t>Check ip-api.com + AbuseIPDB for context</t>
        </is>
      </c>
      <c r="T1549" s="187" t="n">
        <v>0</v>
      </c>
      <c r="U1549" s="187" t="n">
        <v>0</v>
      </c>
      <c r="V1549" s="187" t="inlineStr">
        <is>
          <t>T1110:Brute Force | T1190:Exploit Public-Facing Application | T1566:Phishing</t>
        </is>
      </c>
      <c r="W1549" s="187" t="n">
        <v>1</v>
      </c>
      <c r="X1549" s="187" t="inlineStr">
        <is>
          <t>MEDIUM (60%)</t>
        </is>
      </c>
      <c r="Y1549" s="187" t="inlineStr">
        <is>
          <t>NONE</t>
        </is>
      </c>
      <c r="Z1549" s="187" t="inlineStr">
        <is>
          <t>NONE</t>
        </is>
      </c>
      <c r="AA1549" s="187" t="inlineStr">
        <is>
          <t>NONE</t>
        </is>
      </c>
      <c r="AB1549" s="187" t="inlineStr">
        <is>
          <t>NONE</t>
        </is>
      </c>
      <c r="AC1549" s="187" t="n">
        <v>0</v>
      </c>
      <c r="AD1549" s="187" t="inlineStr"/>
    </row>
    <row r="1550">
      <c r="A1550" s="187" t="inlineStr">
        <is>
          <t>TALOS_IP</t>
        </is>
      </c>
      <c r="B1550" s="187" t="inlineStr">
        <is>
          <t>7876b240ab80</t>
        </is>
      </c>
      <c r="C1550" s="187" t="inlineStr">
        <is>
          <t>Cisco Talos Blacklisted IP: 1.24.16.178 | Verified malicious | Sources: TALOS</t>
        </is>
      </c>
      <c r="D1550" s="187" t="n">
        <v>7</v>
      </c>
      <c r="E1550" s="187" t="inlineStr">
        <is>
          <t>HIGH</t>
        </is>
      </c>
      <c r="F1550" s="187" t="n">
        <v>3</v>
      </c>
      <c r="G1550" s="187" t="n">
        <v>2</v>
      </c>
      <c r="H1550" s="187" t="inlineStr">
        <is>
          <t>HIGH</t>
        </is>
      </c>
      <c r="I1550" s="187" t="n">
        <v>13</v>
      </c>
      <c r="J1550" s="187" t="inlineStr">
        <is>
          <t>NO</t>
        </is>
      </c>
      <c r="K1550" s="187" t="inlineStr">
        <is>
          <t>https://talosintelligence.com/reputation_center/lookup?search=1.24.16.178</t>
        </is>
      </c>
      <c r="L1550" s="187" t="inlineStr">
        <is>
          <t>2026-02-27 20:47</t>
        </is>
      </c>
      <c r="M1550" s="187" t="inlineStr">
        <is>
          <t>Block IP</t>
        </is>
      </c>
      <c r="N1550" s="187" t="inlineStr">
        <is>
          <t>https://talosintelligence.com/reputation_center/lookup?search=1.24.16.178</t>
        </is>
      </c>
      <c r="O1550" s="187" t="inlineStr">
        <is>
          <t>Block IP 1.24.16.178 at firewall | Cisco Talos confirmed malicious</t>
        </is>
      </c>
      <c r="P1550" s="187" t="inlineStr">
        <is>
          <t>Network perimeter / Email / Web</t>
        </is>
      </c>
      <c r="Q1550" s="187" t="inlineStr">
        <is>
          <t>P3</t>
        </is>
      </c>
      <c r="R1550" s="187" t="inlineStr">
        <is>
          <t>🚫 Block IP at firewall immediately | 🔍 Check logs for existing connections | 🛡️ Add to threat intelligence blocklist</t>
        </is>
      </c>
      <c r="S1550" s="187" t="inlineStr">
        <is>
          <t>Check ip-api.com + AbuseIPDB for context</t>
        </is>
      </c>
      <c r="T1550" s="187" t="n">
        <v>0</v>
      </c>
      <c r="U1550" s="187" t="n">
        <v>0</v>
      </c>
      <c r="V1550" s="187" t="inlineStr">
        <is>
          <t>T1110:Brute Force | T1190:Exploit Public-Facing Application | T1566:Phishing</t>
        </is>
      </c>
      <c r="W1550" s="187" t="n">
        <v>1</v>
      </c>
      <c r="X1550" s="187" t="inlineStr">
        <is>
          <t>MEDIUM (60%)</t>
        </is>
      </c>
      <c r="Y1550" s="187" t="inlineStr">
        <is>
          <t>NONE</t>
        </is>
      </c>
      <c r="Z1550" s="187" t="inlineStr">
        <is>
          <t>NONE</t>
        </is>
      </c>
      <c r="AA1550" s="187" t="inlineStr">
        <is>
          <t>NONE</t>
        </is>
      </c>
      <c r="AB1550" s="187" t="inlineStr">
        <is>
          <t>NONE</t>
        </is>
      </c>
      <c r="AC1550" s="187" t="n">
        <v>0</v>
      </c>
      <c r="AD1550" s="187" t="inlineStr"/>
    </row>
    <row r="1551">
      <c r="A1551" s="187" t="inlineStr">
        <is>
          <t>TALOS_IP</t>
        </is>
      </c>
      <c r="B1551" s="187" t="inlineStr">
        <is>
          <t>df69890b86b8</t>
        </is>
      </c>
      <c r="C1551" s="187" t="inlineStr">
        <is>
          <t>Cisco Talos Blacklisted IP: 1.24.16.181 | Verified malicious | Sources: TALOS</t>
        </is>
      </c>
      <c r="D1551" s="187" t="n">
        <v>7</v>
      </c>
      <c r="E1551" s="187" t="inlineStr">
        <is>
          <t>HIGH</t>
        </is>
      </c>
      <c r="F1551" s="187" t="n">
        <v>3</v>
      </c>
      <c r="G1551" s="187" t="n">
        <v>2</v>
      </c>
      <c r="H1551" s="187" t="inlineStr">
        <is>
          <t>HIGH</t>
        </is>
      </c>
      <c r="I1551" s="187" t="n">
        <v>13</v>
      </c>
      <c r="J1551" s="187" t="inlineStr">
        <is>
          <t>NO</t>
        </is>
      </c>
      <c r="K1551" s="187" t="inlineStr">
        <is>
          <t>https://talosintelligence.com/reputation_center/lookup?search=1.24.16.181</t>
        </is>
      </c>
      <c r="L1551" s="187" t="inlineStr">
        <is>
          <t>2026-02-27 20:47</t>
        </is>
      </c>
      <c r="M1551" s="187" t="inlineStr">
        <is>
          <t>Block IP</t>
        </is>
      </c>
      <c r="N1551" s="187" t="inlineStr">
        <is>
          <t>https://talosintelligence.com/reputation_center/lookup?search=1.24.16.181</t>
        </is>
      </c>
      <c r="O1551" s="187" t="inlineStr">
        <is>
          <t>Block IP 1.24.16.181 at firewall | Cisco Talos confirmed malicious</t>
        </is>
      </c>
      <c r="P1551" s="187" t="inlineStr">
        <is>
          <t>Network perimeter / Email / Web</t>
        </is>
      </c>
      <c r="Q1551" s="187" t="inlineStr">
        <is>
          <t>P3</t>
        </is>
      </c>
      <c r="R1551" s="187" t="inlineStr">
        <is>
          <t>🚫 Block IP at firewall immediately | 🔍 Check logs for existing connections | 🛡️ Add to threat intelligence blocklist</t>
        </is>
      </c>
      <c r="S1551" s="187" t="inlineStr">
        <is>
          <t>Check ip-api.com + AbuseIPDB for context</t>
        </is>
      </c>
      <c r="T1551" s="187" t="n">
        <v>0</v>
      </c>
      <c r="U1551" s="187" t="n">
        <v>0</v>
      </c>
      <c r="V1551" s="187" t="inlineStr">
        <is>
          <t>T1110:Brute Force | T1190:Exploit Public-Facing Application | T1566:Phishing</t>
        </is>
      </c>
      <c r="W1551" s="187" t="n">
        <v>1</v>
      </c>
      <c r="X1551" s="187" t="inlineStr">
        <is>
          <t>MEDIUM (60%)</t>
        </is>
      </c>
      <c r="Y1551" s="187" t="inlineStr">
        <is>
          <t>NONE</t>
        </is>
      </c>
      <c r="Z1551" s="187" t="inlineStr">
        <is>
          <t>NONE</t>
        </is>
      </c>
      <c r="AA1551" s="187" t="inlineStr">
        <is>
          <t>NONE</t>
        </is>
      </c>
      <c r="AB1551" s="187" t="inlineStr">
        <is>
          <t>NONE</t>
        </is>
      </c>
      <c r="AC1551" s="187" t="n">
        <v>0</v>
      </c>
      <c r="AD1551" s="187" t="inlineStr"/>
    </row>
    <row r="1552">
      <c r="A1552" s="187" t="inlineStr">
        <is>
          <t>TALOS_IP</t>
        </is>
      </c>
      <c r="B1552" s="187" t="inlineStr">
        <is>
          <t>01c1d2775c7f</t>
        </is>
      </c>
      <c r="C1552" s="187" t="inlineStr">
        <is>
          <t>Cisco Talos Blacklisted IP: 1.24.16.182 | Verified malicious | Sources: TALOS</t>
        </is>
      </c>
      <c r="D1552" s="187" t="n">
        <v>7</v>
      </c>
      <c r="E1552" s="187" t="inlineStr">
        <is>
          <t>HIGH</t>
        </is>
      </c>
      <c r="F1552" s="187" t="n">
        <v>3</v>
      </c>
      <c r="G1552" s="187" t="n">
        <v>2</v>
      </c>
      <c r="H1552" s="187" t="inlineStr">
        <is>
          <t>HIGH</t>
        </is>
      </c>
      <c r="I1552" s="187" t="n">
        <v>13</v>
      </c>
      <c r="J1552" s="187" t="inlineStr">
        <is>
          <t>NO</t>
        </is>
      </c>
      <c r="K1552" s="187" t="inlineStr">
        <is>
          <t>https://talosintelligence.com/reputation_center/lookup?search=1.24.16.182</t>
        </is>
      </c>
      <c r="L1552" s="187" t="inlineStr">
        <is>
          <t>2026-02-27 20:47</t>
        </is>
      </c>
      <c r="M1552" s="187" t="inlineStr">
        <is>
          <t>Block IP</t>
        </is>
      </c>
      <c r="N1552" s="187" t="inlineStr">
        <is>
          <t>https://talosintelligence.com/reputation_center/lookup?search=1.24.16.182</t>
        </is>
      </c>
      <c r="O1552" s="187" t="inlineStr">
        <is>
          <t>Block IP 1.24.16.182 at firewall | Cisco Talos confirmed malicious</t>
        </is>
      </c>
      <c r="P1552" s="187" t="inlineStr">
        <is>
          <t>Network perimeter / Email / Web</t>
        </is>
      </c>
      <c r="Q1552" s="187" t="inlineStr">
        <is>
          <t>P3</t>
        </is>
      </c>
      <c r="R1552" s="187" t="inlineStr">
        <is>
          <t>🚫 Block IP at firewall immediately | 🔍 Check logs for existing connections | 🛡️ Add to threat intelligence blocklist</t>
        </is>
      </c>
      <c r="S1552" s="187" t="inlineStr">
        <is>
          <t>Check ip-api.com + AbuseIPDB for context</t>
        </is>
      </c>
      <c r="T1552" s="187" t="n">
        <v>0</v>
      </c>
      <c r="U1552" s="187" t="n">
        <v>0</v>
      </c>
      <c r="V1552" s="187" t="inlineStr">
        <is>
          <t>T1110:Brute Force | T1190:Exploit Public-Facing Application | T1566:Phishing</t>
        </is>
      </c>
      <c r="W1552" s="187" t="n">
        <v>1</v>
      </c>
      <c r="X1552" s="187" t="inlineStr">
        <is>
          <t>MEDIUM (60%)</t>
        </is>
      </c>
      <c r="Y1552" s="187" t="inlineStr">
        <is>
          <t>NONE</t>
        </is>
      </c>
      <c r="Z1552" s="187" t="inlineStr">
        <is>
          <t>NONE</t>
        </is>
      </c>
      <c r="AA1552" s="187" t="inlineStr">
        <is>
          <t>NONE</t>
        </is>
      </c>
      <c r="AB1552" s="187" t="inlineStr">
        <is>
          <t>NONE</t>
        </is>
      </c>
      <c r="AC1552" s="187" t="n">
        <v>0</v>
      </c>
      <c r="AD1552" s="187" t="inlineStr"/>
    </row>
    <row r="1553">
      <c r="A1553" s="187" t="inlineStr">
        <is>
          <t>TALOS_IP</t>
        </is>
      </c>
      <c r="B1553" s="187" t="inlineStr">
        <is>
          <t>16a495dd4783</t>
        </is>
      </c>
      <c r="C1553" s="187" t="inlineStr">
        <is>
          <t>Cisco Talos Blacklisted IP: 1.24.16.185 | Verified malicious | Sources: TALOS</t>
        </is>
      </c>
      <c r="D1553" s="187" t="n">
        <v>7</v>
      </c>
      <c r="E1553" s="187" t="inlineStr">
        <is>
          <t>HIGH</t>
        </is>
      </c>
      <c r="F1553" s="187" t="n">
        <v>3</v>
      </c>
      <c r="G1553" s="187" t="n">
        <v>2</v>
      </c>
      <c r="H1553" s="187" t="inlineStr">
        <is>
          <t>HIGH</t>
        </is>
      </c>
      <c r="I1553" s="187" t="n">
        <v>13</v>
      </c>
      <c r="J1553" s="187" t="inlineStr">
        <is>
          <t>NO</t>
        </is>
      </c>
      <c r="K1553" s="187" t="inlineStr">
        <is>
          <t>https://talosintelligence.com/reputation_center/lookup?search=1.24.16.185</t>
        </is>
      </c>
      <c r="L1553" s="187" t="inlineStr">
        <is>
          <t>2026-02-27 20:47</t>
        </is>
      </c>
      <c r="M1553" s="187" t="inlineStr">
        <is>
          <t>Block IP</t>
        </is>
      </c>
      <c r="N1553" s="187" t="inlineStr">
        <is>
          <t>https://talosintelligence.com/reputation_center/lookup?search=1.24.16.185</t>
        </is>
      </c>
      <c r="O1553" s="187" t="inlineStr">
        <is>
          <t>Block IP 1.24.16.185 at firewall | Cisco Talos confirmed malicious</t>
        </is>
      </c>
      <c r="P1553" s="187" t="inlineStr">
        <is>
          <t>Network perimeter / Email / Web</t>
        </is>
      </c>
      <c r="Q1553" s="187" t="inlineStr">
        <is>
          <t>P3</t>
        </is>
      </c>
      <c r="R1553" s="187" t="inlineStr">
        <is>
          <t>🚫 Block IP at firewall immediately | 🔍 Check logs for existing connections | 🛡️ Add to threat intelligence blocklist</t>
        </is>
      </c>
      <c r="S1553" s="187" t="inlineStr">
        <is>
          <t>Check ip-api.com + AbuseIPDB for context</t>
        </is>
      </c>
      <c r="T1553" s="187" t="n">
        <v>0</v>
      </c>
      <c r="U1553" s="187" t="n">
        <v>0</v>
      </c>
      <c r="V1553" s="187" t="inlineStr">
        <is>
          <t>T1110:Brute Force | T1190:Exploit Public-Facing Application | T1566:Phishing</t>
        </is>
      </c>
      <c r="W1553" s="187" t="n">
        <v>1</v>
      </c>
      <c r="X1553" s="187" t="inlineStr">
        <is>
          <t>MEDIUM (60%)</t>
        </is>
      </c>
      <c r="Y1553" s="187" t="inlineStr">
        <is>
          <t>NONE</t>
        </is>
      </c>
      <c r="Z1553" s="187" t="inlineStr">
        <is>
          <t>NONE</t>
        </is>
      </c>
      <c r="AA1553" s="187" t="inlineStr">
        <is>
          <t>NONE</t>
        </is>
      </c>
      <c r="AB1553" s="187" t="inlineStr">
        <is>
          <t>NONE</t>
        </is>
      </c>
      <c r="AC1553" s="187" t="n">
        <v>0</v>
      </c>
      <c r="AD1553" s="187" t="inlineStr"/>
    </row>
    <row r="1554">
      <c r="A1554" s="187" t="inlineStr">
        <is>
          <t>TALOS_IP</t>
        </is>
      </c>
      <c r="B1554" s="187" t="inlineStr">
        <is>
          <t>e1562f90b978</t>
        </is>
      </c>
      <c r="C1554" s="187" t="inlineStr">
        <is>
          <t>Cisco Talos Blacklisted IP: 1.24.16.192 | Verified malicious | Sources: TALOS</t>
        </is>
      </c>
      <c r="D1554" s="187" t="n">
        <v>7</v>
      </c>
      <c r="E1554" s="187" t="inlineStr">
        <is>
          <t>HIGH</t>
        </is>
      </c>
      <c r="F1554" s="187" t="n">
        <v>3</v>
      </c>
      <c r="G1554" s="187" t="n">
        <v>2</v>
      </c>
      <c r="H1554" s="187" t="inlineStr">
        <is>
          <t>HIGH</t>
        </is>
      </c>
      <c r="I1554" s="187" t="n">
        <v>13</v>
      </c>
      <c r="J1554" s="187" t="inlineStr">
        <is>
          <t>NO</t>
        </is>
      </c>
      <c r="K1554" s="187" t="inlineStr">
        <is>
          <t>https://talosintelligence.com/reputation_center/lookup?search=1.24.16.192</t>
        </is>
      </c>
      <c r="L1554" s="187" t="inlineStr">
        <is>
          <t>2026-02-27 20:47</t>
        </is>
      </c>
      <c r="M1554" s="187" t="inlineStr">
        <is>
          <t>Block IP</t>
        </is>
      </c>
      <c r="N1554" s="187" t="inlineStr">
        <is>
          <t>https://talosintelligence.com/reputation_center/lookup?search=1.24.16.192</t>
        </is>
      </c>
      <c r="O1554" s="187" t="inlineStr">
        <is>
          <t>Block IP 1.24.16.192 at firewall | Cisco Talos confirmed malicious</t>
        </is>
      </c>
      <c r="P1554" s="187" t="inlineStr">
        <is>
          <t>Network perimeter / Email / Web</t>
        </is>
      </c>
      <c r="Q1554" s="187" t="inlineStr">
        <is>
          <t>P3</t>
        </is>
      </c>
      <c r="R1554" s="187" t="inlineStr">
        <is>
          <t>🚫 Block IP at firewall immediately | 🔍 Check logs for existing connections | 🛡️ Add to threat intelligence blocklist</t>
        </is>
      </c>
      <c r="S1554" s="187" t="inlineStr">
        <is>
          <t>Check ip-api.com + AbuseIPDB for context</t>
        </is>
      </c>
      <c r="T1554" s="187" t="n">
        <v>0</v>
      </c>
      <c r="U1554" s="187" t="n">
        <v>0</v>
      </c>
      <c r="V1554" s="187" t="inlineStr">
        <is>
          <t>T1110:Brute Force | T1190:Exploit Public-Facing Application | T1566:Phishing</t>
        </is>
      </c>
      <c r="W1554" s="187" t="n">
        <v>1</v>
      </c>
      <c r="X1554" s="187" t="inlineStr">
        <is>
          <t>MEDIUM (60%)</t>
        </is>
      </c>
      <c r="Y1554" s="187" t="inlineStr">
        <is>
          <t>NONE</t>
        </is>
      </c>
      <c r="Z1554" s="187" t="inlineStr">
        <is>
          <t>NONE</t>
        </is>
      </c>
      <c r="AA1554" s="187" t="inlineStr">
        <is>
          <t>NONE</t>
        </is>
      </c>
      <c r="AB1554" s="187" t="inlineStr">
        <is>
          <t>NONE</t>
        </is>
      </c>
      <c r="AC1554" s="187" t="n">
        <v>0</v>
      </c>
      <c r="AD1554" s="187" t="inlineStr"/>
    </row>
    <row r="1555">
      <c r="A1555" s="187" t="inlineStr">
        <is>
          <t>TALOS_IP</t>
        </is>
      </c>
      <c r="B1555" s="187" t="inlineStr">
        <is>
          <t>86a077e65602</t>
        </is>
      </c>
      <c r="C1555" s="187" t="inlineStr">
        <is>
          <t>Cisco Talos Blacklisted IP: 1.24.16.195 | Verified malicious | Sources: TALOS</t>
        </is>
      </c>
      <c r="D1555" s="187" t="n">
        <v>7</v>
      </c>
      <c r="E1555" s="187" t="inlineStr">
        <is>
          <t>HIGH</t>
        </is>
      </c>
      <c r="F1555" s="187" t="n">
        <v>3</v>
      </c>
      <c r="G1555" s="187" t="n">
        <v>2</v>
      </c>
      <c r="H1555" s="187" t="inlineStr">
        <is>
          <t>HIGH</t>
        </is>
      </c>
      <c r="I1555" s="187" t="n">
        <v>13</v>
      </c>
      <c r="J1555" s="187" t="inlineStr">
        <is>
          <t>NO</t>
        </is>
      </c>
      <c r="K1555" s="187" t="inlineStr">
        <is>
          <t>https://talosintelligence.com/reputation_center/lookup?search=1.24.16.195</t>
        </is>
      </c>
      <c r="L1555" s="187" t="inlineStr">
        <is>
          <t>2026-02-27 20:47</t>
        </is>
      </c>
      <c r="M1555" s="187" t="inlineStr">
        <is>
          <t>Block IP</t>
        </is>
      </c>
      <c r="N1555" s="187" t="inlineStr">
        <is>
          <t>https://talosintelligence.com/reputation_center/lookup?search=1.24.16.195</t>
        </is>
      </c>
      <c r="O1555" s="187" t="inlineStr">
        <is>
          <t>Block IP 1.24.16.195 at firewall | Cisco Talos confirmed malicious</t>
        </is>
      </c>
      <c r="P1555" s="187" t="inlineStr">
        <is>
          <t>Network perimeter / Email / Web</t>
        </is>
      </c>
      <c r="Q1555" s="187" t="inlineStr">
        <is>
          <t>P3</t>
        </is>
      </c>
      <c r="R1555" s="187" t="inlineStr">
        <is>
          <t>🚫 Block IP at firewall immediately | 🔍 Check logs for existing connections | 🛡️ Add to threat intelligence blocklist</t>
        </is>
      </c>
      <c r="S1555" s="187" t="inlineStr">
        <is>
          <t>Check ip-api.com + AbuseIPDB for context</t>
        </is>
      </c>
      <c r="T1555" s="187" t="n">
        <v>0</v>
      </c>
      <c r="U1555" s="187" t="n">
        <v>0</v>
      </c>
      <c r="V1555" s="187" t="inlineStr">
        <is>
          <t>T1110:Brute Force | T1190:Exploit Public-Facing Application | T1566:Phishing</t>
        </is>
      </c>
      <c r="W1555" s="187" t="n">
        <v>1</v>
      </c>
      <c r="X1555" s="187" t="inlineStr">
        <is>
          <t>MEDIUM (60%)</t>
        </is>
      </c>
      <c r="Y1555" s="187" t="inlineStr">
        <is>
          <t>NONE</t>
        </is>
      </c>
      <c r="Z1555" s="187" t="inlineStr">
        <is>
          <t>NONE</t>
        </is>
      </c>
      <c r="AA1555" s="187" t="inlineStr">
        <is>
          <t>NONE</t>
        </is>
      </c>
      <c r="AB1555" s="187" t="inlineStr">
        <is>
          <t>NONE</t>
        </is>
      </c>
      <c r="AC1555" s="187" t="n">
        <v>0</v>
      </c>
      <c r="AD1555" s="187" t="inlineStr"/>
    </row>
    <row r="1556">
      <c r="A1556" s="187" t="inlineStr">
        <is>
          <t>TALOS_IP</t>
        </is>
      </c>
      <c r="B1556" s="187" t="inlineStr">
        <is>
          <t>aa900abb23d0</t>
        </is>
      </c>
      <c r="C1556" s="187" t="inlineStr">
        <is>
          <t>Cisco Talos Blacklisted IP: 1.24.16.199 | Verified malicious | Sources: TALOS</t>
        </is>
      </c>
      <c r="D1556" s="187" t="n">
        <v>7</v>
      </c>
      <c r="E1556" s="187" t="inlineStr">
        <is>
          <t>HIGH</t>
        </is>
      </c>
      <c r="F1556" s="187" t="n">
        <v>3</v>
      </c>
      <c r="G1556" s="187" t="n">
        <v>2</v>
      </c>
      <c r="H1556" s="187" t="inlineStr">
        <is>
          <t>HIGH</t>
        </is>
      </c>
      <c r="I1556" s="187" t="n">
        <v>13</v>
      </c>
      <c r="J1556" s="187" t="inlineStr">
        <is>
          <t>NO</t>
        </is>
      </c>
      <c r="K1556" s="187" t="inlineStr">
        <is>
          <t>https://talosintelligence.com/reputation_center/lookup?search=1.24.16.199</t>
        </is>
      </c>
      <c r="L1556" s="187" t="inlineStr">
        <is>
          <t>2026-02-27 20:47</t>
        </is>
      </c>
      <c r="M1556" s="187" t="inlineStr">
        <is>
          <t>Block IP</t>
        </is>
      </c>
      <c r="N1556" s="187" t="inlineStr">
        <is>
          <t>https://talosintelligence.com/reputation_center/lookup?search=1.24.16.199</t>
        </is>
      </c>
      <c r="O1556" s="187" t="inlineStr">
        <is>
          <t>Block IP 1.24.16.199 at firewall | Cisco Talos confirmed malicious</t>
        </is>
      </c>
      <c r="P1556" s="187" t="inlineStr">
        <is>
          <t>Network perimeter / Email / Web</t>
        </is>
      </c>
      <c r="Q1556" s="187" t="inlineStr">
        <is>
          <t>P3</t>
        </is>
      </c>
      <c r="R1556" s="187" t="inlineStr">
        <is>
          <t>🚫 Block IP at firewall immediately | 🔍 Check logs for existing connections | 🛡️ Add to threat intelligence blocklist</t>
        </is>
      </c>
      <c r="S1556" s="187" t="inlineStr">
        <is>
          <t>Check ip-api.com + AbuseIPDB for context</t>
        </is>
      </c>
      <c r="T1556" s="187" t="n">
        <v>0</v>
      </c>
      <c r="U1556" s="187" t="n">
        <v>0</v>
      </c>
      <c r="V1556" s="187" t="inlineStr">
        <is>
          <t>T1110:Brute Force | T1190:Exploit Public-Facing Application | T1566:Phishing</t>
        </is>
      </c>
      <c r="W1556" s="187" t="n">
        <v>1</v>
      </c>
      <c r="X1556" s="187" t="inlineStr">
        <is>
          <t>MEDIUM (60%)</t>
        </is>
      </c>
      <c r="Y1556" s="187" t="inlineStr">
        <is>
          <t>NONE</t>
        </is>
      </c>
      <c r="Z1556" s="187" t="inlineStr">
        <is>
          <t>NONE</t>
        </is>
      </c>
      <c r="AA1556" s="187" t="inlineStr">
        <is>
          <t>NONE</t>
        </is>
      </c>
      <c r="AB1556" s="187" t="inlineStr">
        <is>
          <t>NONE</t>
        </is>
      </c>
      <c r="AC1556" s="187" t="n">
        <v>0</v>
      </c>
      <c r="AD1556" s="187" t="inlineStr"/>
    </row>
    <row r="1557">
      <c r="A1557" s="187" t="inlineStr">
        <is>
          <t>TALOS_IP</t>
        </is>
      </c>
      <c r="B1557" s="187" t="inlineStr">
        <is>
          <t>29ade8b736cb</t>
        </is>
      </c>
      <c r="C1557" s="187" t="inlineStr">
        <is>
          <t>Cisco Talos Blacklisted IP: 1.24.16.2 | Verified malicious | Sources: TALOS</t>
        </is>
      </c>
      <c r="D1557" s="187" t="n">
        <v>7</v>
      </c>
      <c r="E1557" s="187" t="inlineStr">
        <is>
          <t>HIGH</t>
        </is>
      </c>
      <c r="F1557" s="187" t="n">
        <v>3</v>
      </c>
      <c r="G1557" s="187" t="n">
        <v>2</v>
      </c>
      <c r="H1557" s="187" t="inlineStr">
        <is>
          <t>HIGH</t>
        </is>
      </c>
      <c r="I1557" s="187" t="n">
        <v>13</v>
      </c>
      <c r="J1557" s="187" t="inlineStr">
        <is>
          <t>NO</t>
        </is>
      </c>
      <c r="K1557" s="187" t="inlineStr">
        <is>
          <t>https://talosintelligence.com/reputation_center/lookup?search=1.24.16.2</t>
        </is>
      </c>
      <c r="L1557" s="187" t="inlineStr">
        <is>
          <t>2026-02-27 20:47</t>
        </is>
      </c>
      <c r="M1557" s="187" t="inlineStr">
        <is>
          <t>Block IP</t>
        </is>
      </c>
      <c r="N1557" s="187" t="inlineStr">
        <is>
          <t>https://talosintelligence.com/reputation_center/lookup?search=1.24.16.2</t>
        </is>
      </c>
      <c r="O1557" s="187" t="inlineStr">
        <is>
          <t>Block IP 1.24.16.2 at firewall | Cisco Talos confirmed malicious</t>
        </is>
      </c>
      <c r="P1557" s="187" t="inlineStr">
        <is>
          <t>Network perimeter / Email / Web</t>
        </is>
      </c>
      <c r="Q1557" s="187" t="inlineStr">
        <is>
          <t>P3</t>
        </is>
      </c>
      <c r="R1557" s="187" t="inlineStr">
        <is>
          <t>🚫 Block IP at firewall immediately | 🔍 Check logs for existing connections | 🛡️ Add to threat intelligence blocklist</t>
        </is>
      </c>
      <c r="S1557" s="187" t="inlineStr">
        <is>
          <t>Check ip-api.com + AbuseIPDB for context</t>
        </is>
      </c>
      <c r="T1557" s="187" t="n">
        <v>0</v>
      </c>
      <c r="U1557" s="187" t="n">
        <v>0</v>
      </c>
      <c r="V1557" s="187" t="inlineStr">
        <is>
          <t>T1110:Brute Force | T1190:Exploit Public-Facing Application | T1566:Phishing</t>
        </is>
      </c>
      <c r="W1557" s="187" t="n">
        <v>1</v>
      </c>
      <c r="X1557" s="187" t="inlineStr">
        <is>
          <t>MEDIUM (60%)</t>
        </is>
      </c>
      <c r="Y1557" s="187" t="inlineStr">
        <is>
          <t>NONE</t>
        </is>
      </c>
      <c r="Z1557" s="187" t="inlineStr">
        <is>
          <t>NONE</t>
        </is>
      </c>
      <c r="AA1557" s="187" t="inlineStr">
        <is>
          <t>NONE</t>
        </is>
      </c>
      <c r="AB1557" s="187" t="inlineStr">
        <is>
          <t>NONE</t>
        </is>
      </c>
      <c r="AC1557" s="187" t="n">
        <v>0</v>
      </c>
      <c r="AD1557" s="187" t="inlineStr"/>
    </row>
    <row r="1558">
      <c r="A1558" s="187" t="inlineStr">
        <is>
          <t>TALOS_IP</t>
        </is>
      </c>
      <c r="B1558" s="187" t="inlineStr">
        <is>
          <t>d243f44e62af</t>
        </is>
      </c>
      <c r="C1558" s="187" t="inlineStr">
        <is>
          <t>Cisco Talos Blacklisted IP: 1.24.16.200 | Verified malicious | Sources: TALOS</t>
        </is>
      </c>
      <c r="D1558" s="187" t="n">
        <v>7</v>
      </c>
      <c r="E1558" s="187" t="inlineStr">
        <is>
          <t>HIGH</t>
        </is>
      </c>
      <c r="F1558" s="187" t="n">
        <v>3</v>
      </c>
      <c r="G1558" s="187" t="n">
        <v>2</v>
      </c>
      <c r="H1558" s="187" t="inlineStr">
        <is>
          <t>HIGH</t>
        </is>
      </c>
      <c r="I1558" s="187" t="n">
        <v>13</v>
      </c>
      <c r="J1558" s="187" t="inlineStr">
        <is>
          <t>NO</t>
        </is>
      </c>
      <c r="K1558" s="187" t="inlineStr">
        <is>
          <t>https://talosintelligence.com/reputation_center/lookup?search=1.24.16.200</t>
        </is>
      </c>
      <c r="L1558" s="187" t="inlineStr">
        <is>
          <t>2026-02-27 20:47</t>
        </is>
      </c>
      <c r="M1558" s="187" t="inlineStr">
        <is>
          <t>Block IP</t>
        </is>
      </c>
      <c r="N1558" s="187" t="inlineStr">
        <is>
          <t>https://talosintelligence.com/reputation_center/lookup?search=1.24.16.200</t>
        </is>
      </c>
      <c r="O1558" s="187" t="inlineStr">
        <is>
          <t>Block IP 1.24.16.200 at firewall | Cisco Talos confirmed malicious</t>
        </is>
      </c>
      <c r="P1558" s="187" t="inlineStr">
        <is>
          <t>Network perimeter / Email / Web</t>
        </is>
      </c>
      <c r="Q1558" s="187" t="inlineStr">
        <is>
          <t>P3</t>
        </is>
      </c>
      <c r="R1558" s="187" t="inlineStr">
        <is>
          <t>🚫 Block IP at firewall immediately | 🔍 Check logs for existing connections | 🛡️ Add to threat intelligence blocklist</t>
        </is>
      </c>
      <c r="S1558" s="187" t="inlineStr">
        <is>
          <t>Check ip-api.com + AbuseIPDB for context</t>
        </is>
      </c>
      <c r="T1558" s="187" t="n">
        <v>0</v>
      </c>
      <c r="U1558" s="187" t="n">
        <v>0</v>
      </c>
      <c r="V1558" s="187" t="inlineStr">
        <is>
          <t>T1110:Brute Force | T1190:Exploit Public-Facing Application | T1566:Phishing</t>
        </is>
      </c>
      <c r="W1558" s="187" t="n">
        <v>1</v>
      </c>
      <c r="X1558" s="187" t="inlineStr">
        <is>
          <t>MEDIUM (60%)</t>
        </is>
      </c>
      <c r="Y1558" s="187" t="inlineStr">
        <is>
          <t>NONE</t>
        </is>
      </c>
      <c r="Z1558" s="187" t="inlineStr">
        <is>
          <t>NONE</t>
        </is>
      </c>
      <c r="AA1558" s="187" t="inlineStr">
        <is>
          <t>NONE</t>
        </is>
      </c>
      <c r="AB1558" s="187" t="inlineStr">
        <is>
          <t>NONE</t>
        </is>
      </c>
      <c r="AC1558" s="187" t="n">
        <v>0</v>
      </c>
      <c r="AD1558" s="187" t="inlineStr"/>
    </row>
    <row r="1559">
      <c r="A1559" s="187" t="inlineStr">
        <is>
          <t>TALOS_IP</t>
        </is>
      </c>
      <c r="B1559" s="187" t="inlineStr">
        <is>
          <t>34839a56ae1a</t>
        </is>
      </c>
      <c r="C1559" s="187" t="inlineStr">
        <is>
          <t>Cisco Talos Blacklisted IP: 1.24.16.206 | Verified malicious | Sources: TALOS</t>
        </is>
      </c>
      <c r="D1559" s="187" t="n">
        <v>7</v>
      </c>
      <c r="E1559" s="187" t="inlineStr">
        <is>
          <t>HIGH</t>
        </is>
      </c>
      <c r="F1559" s="187" t="n">
        <v>3</v>
      </c>
      <c r="G1559" s="187" t="n">
        <v>2</v>
      </c>
      <c r="H1559" s="187" t="inlineStr">
        <is>
          <t>HIGH</t>
        </is>
      </c>
      <c r="I1559" s="187" t="n">
        <v>13</v>
      </c>
      <c r="J1559" s="187" t="inlineStr">
        <is>
          <t>NO</t>
        </is>
      </c>
      <c r="K1559" s="187" t="inlineStr">
        <is>
          <t>https://talosintelligence.com/reputation_center/lookup?search=1.24.16.206</t>
        </is>
      </c>
      <c r="L1559" s="187" t="inlineStr">
        <is>
          <t>2026-02-27 20:47</t>
        </is>
      </c>
      <c r="M1559" s="187" t="inlineStr">
        <is>
          <t>Block IP</t>
        </is>
      </c>
      <c r="N1559" s="187" t="inlineStr">
        <is>
          <t>https://talosintelligence.com/reputation_center/lookup?search=1.24.16.206</t>
        </is>
      </c>
      <c r="O1559" s="187" t="inlineStr">
        <is>
          <t>Block IP 1.24.16.206 at firewall | Cisco Talos confirmed malicious</t>
        </is>
      </c>
      <c r="P1559" s="187" t="inlineStr">
        <is>
          <t>Network perimeter / Email / Web</t>
        </is>
      </c>
      <c r="Q1559" s="187" t="inlineStr">
        <is>
          <t>P3</t>
        </is>
      </c>
      <c r="R1559" s="187" t="inlineStr">
        <is>
          <t>🚫 Block IP at firewall immediately | 🔍 Check logs for existing connections | 🛡️ Add to threat intelligence blocklist</t>
        </is>
      </c>
      <c r="S1559" s="187" t="inlineStr">
        <is>
          <t>Check ip-api.com + AbuseIPDB for context</t>
        </is>
      </c>
      <c r="T1559" s="187" t="n">
        <v>0</v>
      </c>
      <c r="U1559" s="187" t="n">
        <v>0</v>
      </c>
      <c r="V1559" s="187" t="inlineStr">
        <is>
          <t>T1110:Brute Force | T1190:Exploit Public-Facing Application | T1566:Phishing</t>
        </is>
      </c>
      <c r="W1559" s="187" t="n">
        <v>1</v>
      </c>
      <c r="X1559" s="187" t="inlineStr">
        <is>
          <t>MEDIUM (60%)</t>
        </is>
      </c>
      <c r="Y1559" s="187" t="inlineStr">
        <is>
          <t>NONE</t>
        </is>
      </c>
      <c r="Z1559" s="187" t="inlineStr">
        <is>
          <t>NONE</t>
        </is>
      </c>
      <c r="AA1559" s="187" t="inlineStr">
        <is>
          <t>NONE</t>
        </is>
      </c>
      <c r="AB1559" s="187" t="inlineStr">
        <is>
          <t>NONE</t>
        </is>
      </c>
      <c r="AC1559" s="187" t="n">
        <v>0</v>
      </c>
      <c r="AD1559" s="187" t="inlineStr"/>
    </row>
    <row r="1560">
      <c r="A1560" s="187" t="inlineStr">
        <is>
          <t>TALOS_IP</t>
        </is>
      </c>
      <c r="B1560" s="187" t="inlineStr">
        <is>
          <t>35a9c287f305</t>
        </is>
      </c>
      <c r="C1560" s="187" t="inlineStr">
        <is>
          <t>Cisco Talos Blacklisted IP: 1.24.16.210 | Verified malicious | Sources: TALOS</t>
        </is>
      </c>
      <c r="D1560" s="187" t="n">
        <v>7</v>
      </c>
      <c r="E1560" s="187" t="inlineStr">
        <is>
          <t>HIGH</t>
        </is>
      </c>
      <c r="F1560" s="187" t="n">
        <v>3</v>
      </c>
      <c r="G1560" s="187" t="n">
        <v>2</v>
      </c>
      <c r="H1560" s="187" t="inlineStr">
        <is>
          <t>HIGH</t>
        </is>
      </c>
      <c r="I1560" s="187" t="n">
        <v>13</v>
      </c>
      <c r="J1560" s="187" t="inlineStr">
        <is>
          <t>NO</t>
        </is>
      </c>
      <c r="K1560" s="187" t="inlineStr">
        <is>
          <t>https://talosintelligence.com/reputation_center/lookup?search=1.24.16.210</t>
        </is>
      </c>
      <c r="L1560" s="187" t="inlineStr">
        <is>
          <t>2026-02-27 20:47</t>
        </is>
      </c>
      <c r="M1560" s="187" t="inlineStr">
        <is>
          <t>Block IP</t>
        </is>
      </c>
      <c r="N1560" s="187" t="inlineStr">
        <is>
          <t>https://talosintelligence.com/reputation_center/lookup?search=1.24.16.210</t>
        </is>
      </c>
      <c r="O1560" s="187" t="inlineStr">
        <is>
          <t>Block IP 1.24.16.210 at firewall | Cisco Talos confirmed malicious</t>
        </is>
      </c>
      <c r="P1560" s="187" t="inlineStr">
        <is>
          <t>Network perimeter / Email / Web</t>
        </is>
      </c>
      <c r="Q1560" s="187" t="inlineStr">
        <is>
          <t>P3</t>
        </is>
      </c>
      <c r="R1560" s="187" t="inlineStr">
        <is>
          <t>🚫 Block IP at firewall immediately | 🔍 Check logs for existing connections | 🛡️ Add to threat intelligence blocklist</t>
        </is>
      </c>
      <c r="S1560" s="187" t="inlineStr">
        <is>
          <t>Check ip-api.com + AbuseIPDB for context</t>
        </is>
      </c>
      <c r="T1560" s="187" t="n">
        <v>0</v>
      </c>
      <c r="U1560" s="187" t="n">
        <v>0</v>
      </c>
      <c r="V1560" s="187" t="inlineStr">
        <is>
          <t>T1110:Brute Force | T1190:Exploit Public-Facing Application | T1566:Phishing</t>
        </is>
      </c>
      <c r="W1560" s="187" t="n">
        <v>1</v>
      </c>
      <c r="X1560" s="187" t="inlineStr">
        <is>
          <t>MEDIUM (60%)</t>
        </is>
      </c>
      <c r="Y1560" s="187" t="inlineStr">
        <is>
          <t>NONE</t>
        </is>
      </c>
      <c r="Z1560" s="187" t="inlineStr">
        <is>
          <t>NONE</t>
        </is>
      </c>
      <c r="AA1560" s="187" t="inlineStr">
        <is>
          <t>NONE</t>
        </is>
      </c>
      <c r="AB1560" s="187" t="inlineStr">
        <is>
          <t>NONE</t>
        </is>
      </c>
      <c r="AC1560" s="187" t="n">
        <v>0</v>
      </c>
      <c r="AD1560" s="187" t="inlineStr"/>
    </row>
    <row r="1561">
      <c r="A1561" s="187" t="inlineStr">
        <is>
          <t>TALOS_IP</t>
        </is>
      </c>
      <c r="B1561" s="187" t="inlineStr">
        <is>
          <t>a9d80b38c65d</t>
        </is>
      </c>
      <c r="C1561" s="187" t="inlineStr">
        <is>
          <t>Cisco Talos Blacklisted IP: 1.24.16.212 | Verified malicious | Sources: TALOS</t>
        </is>
      </c>
      <c r="D1561" s="187" t="n">
        <v>7</v>
      </c>
      <c r="E1561" s="187" t="inlineStr">
        <is>
          <t>HIGH</t>
        </is>
      </c>
      <c r="F1561" s="187" t="n">
        <v>3</v>
      </c>
      <c r="G1561" s="187" t="n">
        <v>2</v>
      </c>
      <c r="H1561" s="187" t="inlineStr">
        <is>
          <t>HIGH</t>
        </is>
      </c>
      <c r="I1561" s="187" t="n">
        <v>13</v>
      </c>
      <c r="J1561" s="187" t="inlineStr">
        <is>
          <t>NO</t>
        </is>
      </c>
      <c r="K1561" s="187" t="inlineStr">
        <is>
          <t>https://talosintelligence.com/reputation_center/lookup?search=1.24.16.212</t>
        </is>
      </c>
      <c r="L1561" s="187" t="inlineStr">
        <is>
          <t>2026-02-27 20:47</t>
        </is>
      </c>
      <c r="M1561" s="187" t="inlineStr">
        <is>
          <t>Block IP</t>
        </is>
      </c>
      <c r="N1561" s="187" t="inlineStr">
        <is>
          <t>https://talosintelligence.com/reputation_center/lookup?search=1.24.16.212</t>
        </is>
      </c>
      <c r="O1561" s="187" t="inlineStr">
        <is>
          <t>Block IP 1.24.16.212 at firewall | Cisco Talos confirmed malicious</t>
        </is>
      </c>
      <c r="P1561" s="187" t="inlineStr">
        <is>
          <t>Network perimeter / Email / Web</t>
        </is>
      </c>
      <c r="Q1561" s="187" t="inlineStr">
        <is>
          <t>P3</t>
        </is>
      </c>
      <c r="R1561" s="187" t="inlineStr">
        <is>
          <t>🚫 Block IP at firewall immediately | 🔍 Check logs for existing connections | 🛡️ Add to threat intelligence blocklist</t>
        </is>
      </c>
      <c r="S1561" s="187" t="inlineStr">
        <is>
          <t>Check ip-api.com + AbuseIPDB for context</t>
        </is>
      </c>
      <c r="T1561" s="187" t="n">
        <v>0</v>
      </c>
      <c r="U1561" s="187" t="n">
        <v>0</v>
      </c>
      <c r="V1561" s="187" t="inlineStr">
        <is>
          <t>T1110:Brute Force | T1190:Exploit Public-Facing Application | T1566:Phishing</t>
        </is>
      </c>
      <c r="W1561" s="187" t="n">
        <v>1</v>
      </c>
      <c r="X1561" s="187" t="inlineStr">
        <is>
          <t>MEDIUM (60%)</t>
        </is>
      </c>
      <c r="Y1561" s="187" t="inlineStr">
        <is>
          <t>NONE</t>
        </is>
      </c>
      <c r="Z1561" s="187" t="inlineStr">
        <is>
          <t>NONE</t>
        </is>
      </c>
      <c r="AA1561" s="187" t="inlineStr">
        <is>
          <t>NONE</t>
        </is>
      </c>
      <c r="AB1561" s="187" t="inlineStr">
        <is>
          <t>NONE</t>
        </is>
      </c>
      <c r="AC1561" s="187" t="n">
        <v>0</v>
      </c>
      <c r="AD1561" s="187" t="inlineStr"/>
    </row>
    <row r="1562">
      <c r="A1562" s="187" t="inlineStr">
        <is>
          <t>TALOS_IP</t>
        </is>
      </c>
      <c r="B1562" s="187" t="inlineStr">
        <is>
          <t>1dba9b38a803</t>
        </is>
      </c>
      <c r="C1562" s="187" t="inlineStr">
        <is>
          <t>Cisco Talos Blacklisted IP: 1.24.16.213 | Verified malicious | Sources: TALOS</t>
        </is>
      </c>
      <c r="D1562" s="187" t="n">
        <v>7</v>
      </c>
      <c r="E1562" s="187" t="inlineStr">
        <is>
          <t>HIGH</t>
        </is>
      </c>
      <c r="F1562" s="187" t="n">
        <v>3</v>
      </c>
      <c r="G1562" s="187" t="n">
        <v>2</v>
      </c>
      <c r="H1562" s="187" t="inlineStr">
        <is>
          <t>HIGH</t>
        </is>
      </c>
      <c r="I1562" s="187" t="n">
        <v>13</v>
      </c>
      <c r="J1562" s="187" t="inlineStr">
        <is>
          <t>NO</t>
        </is>
      </c>
      <c r="K1562" s="187" t="inlineStr">
        <is>
          <t>https://talosintelligence.com/reputation_center/lookup?search=1.24.16.213</t>
        </is>
      </c>
      <c r="L1562" s="187" t="inlineStr">
        <is>
          <t>2026-02-27 20:47</t>
        </is>
      </c>
      <c r="M1562" s="187" t="inlineStr">
        <is>
          <t>Block IP</t>
        </is>
      </c>
      <c r="N1562" s="187" t="inlineStr">
        <is>
          <t>https://talosintelligence.com/reputation_center/lookup?search=1.24.16.213</t>
        </is>
      </c>
      <c r="O1562" s="187" t="inlineStr">
        <is>
          <t>Block IP 1.24.16.213 at firewall | Cisco Talos confirmed malicious</t>
        </is>
      </c>
      <c r="P1562" s="187" t="inlineStr">
        <is>
          <t>Network perimeter / Email / Web</t>
        </is>
      </c>
      <c r="Q1562" s="187" t="inlineStr">
        <is>
          <t>P3</t>
        </is>
      </c>
      <c r="R1562" s="187" t="inlineStr">
        <is>
          <t>🚫 Block IP at firewall immediately | 🔍 Check logs for existing connections | 🛡️ Add to threat intelligence blocklist</t>
        </is>
      </c>
      <c r="S1562" s="187" t="inlineStr">
        <is>
          <t>Check ip-api.com + AbuseIPDB for context</t>
        </is>
      </c>
      <c r="T1562" s="187" t="n">
        <v>0</v>
      </c>
      <c r="U1562" s="187" t="n">
        <v>0</v>
      </c>
      <c r="V1562" s="187" t="inlineStr">
        <is>
          <t>T1110:Brute Force | T1190:Exploit Public-Facing Application | T1566:Phishing</t>
        </is>
      </c>
      <c r="W1562" s="187" t="n">
        <v>1</v>
      </c>
      <c r="X1562" s="187" t="inlineStr">
        <is>
          <t>MEDIUM (60%)</t>
        </is>
      </c>
      <c r="Y1562" s="187" t="inlineStr">
        <is>
          <t>NONE</t>
        </is>
      </c>
      <c r="Z1562" s="187" t="inlineStr">
        <is>
          <t>NONE</t>
        </is>
      </c>
      <c r="AA1562" s="187" t="inlineStr">
        <is>
          <t>NONE</t>
        </is>
      </c>
      <c r="AB1562" s="187" t="inlineStr">
        <is>
          <t>NONE</t>
        </is>
      </c>
      <c r="AC1562" s="187" t="n">
        <v>0</v>
      </c>
      <c r="AD1562" s="187" t="inlineStr"/>
    </row>
    <row r="1563">
      <c r="A1563" s="187" t="inlineStr">
        <is>
          <t>TALOS_IP</t>
        </is>
      </c>
      <c r="B1563" s="187" t="inlineStr">
        <is>
          <t>95ebea08c652</t>
        </is>
      </c>
      <c r="C1563" s="187" t="inlineStr">
        <is>
          <t>Cisco Talos Blacklisted IP: 1.24.16.215 | Verified malicious | Sources: TALOS</t>
        </is>
      </c>
      <c r="D1563" s="187" t="n">
        <v>7</v>
      </c>
      <c r="E1563" s="187" t="inlineStr">
        <is>
          <t>HIGH</t>
        </is>
      </c>
      <c r="F1563" s="187" t="n">
        <v>3</v>
      </c>
      <c r="G1563" s="187" t="n">
        <v>2</v>
      </c>
      <c r="H1563" s="187" t="inlineStr">
        <is>
          <t>HIGH</t>
        </is>
      </c>
      <c r="I1563" s="187" t="n">
        <v>13</v>
      </c>
      <c r="J1563" s="187" t="inlineStr">
        <is>
          <t>NO</t>
        </is>
      </c>
      <c r="K1563" s="187" t="inlineStr">
        <is>
          <t>https://talosintelligence.com/reputation_center/lookup?search=1.24.16.215</t>
        </is>
      </c>
      <c r="L1563" s="187" t="inlineStr">
        <is>
          <t>2026-02-27 20:47</t>
        </is>
      </c>
      <c r="M1563" s="187" t="inlineStr">
        <is>
          <t>Block IP</t>
        </is>
      </c>
      <c r="N1563" s="187" t="inlineStr">
        <is>
          <t>https://talosintelligence.com/reputation_center/lookup?search=1.24.16.215</t>
        </is>
      </c>
      <c r="O1563" s="187" t="inlineStr">
        <is>
          <t>Block IP 1.24.16.215 at firewall | Cisco Talos confirmed malicious</t>
        </is>
      </c>
      <c r="P1563" s="187" t="inlineStr">
        <is>
          <t>Network perimeter / Email / Web</t>
        </is>
      </c>
      <c r="Q1563" s="187" t="inlineStr">
        <is>
          <t>P3</t>
        </is>
      </c>
      <c r="R1563" s="187" t="inlineStr">
        <is>
          <t>🚫 Block IP at firewall immediately | 🔍 Check logs for existing connections | 🛡️ Add to threat intelligence blocklist</t>
        </is>
      </c>
      <c r="S1563" s="187" t="inlineStr">
        <is>
          <t>Check ip-api.com + AbuseIPDB for context</t>
        </is>
      </c>
      <c r="T1563" s="187" t="n">
        <v>0</v>
      </c>
      <c r="U1563" s="187" t="n">
        <v>0</v>
      </c>
      <c r="V1563" s="187" t="inlineStr">
        <is>
          <t>T1110:Brute Force | T1190:Exploit Public-Facing Application | T1566:Phishing</t>
        </is>
      </c>
      <c r="W1563" s="187" t="n">
        <v>1</v>
      </c>
      <c r="X1563" s="187" t="inlineStr">
        <is>
          <t>MEDIUM (60%)</t>
        </is>
      </c>
      <c r="Y1563" s="187" t="inlineStr">
        <is>
          <t>NONE</t>
        </is>
      </c>
      <c r="Z1563" s="187" t="inlineStr">
        <is>
          <t>NONE</t>
        </is>
      </c>
      <c r="AA1563" s="187" t="inlineStr">
        <is>
          <t>NONE</t>
        </is>
      </c>
      <c r="AB1563" s="187" t="inlineStr">
        <is>
          <t>NONE</t>
        </is>
      </c>
      <c r="AC1563" s="187" t="n">
        <v>0</v>
      </c>
      <c r="AD1563" s="187" t="inlineStr"/>
    </row>
    <row r="1564">
      <c r="A1564" s="187" t="inlineStr">
        <is>
          <t>TALOS_IP</t>
        </is>
      </c>
      <c r="B1564" s="187" t="inlineStr">
        <is>
          <t>84bd8e9a7aef</t>
        </is>
      </c>
      <c r="C1564" s="187" t="inlineStr">
        <is>
          <t>Cisco Talos Blacklisted IP: 1.24.16.216 | Verified malicious | Sources: TALOS</t>
        </is>
      </c>
      <c r="D1564" s="187" t="n">
        <v>7</v>
      </c>
      <c r="E1564" s="187" t="inlineStr">
        <is>
          <t>HIGH</t>
        </is>
      </c>
      <c r="F1564" s="187" t="n">
        <v>3</v>
      </c>
      <c r="G1564" s="187" t="n">
        <v>2</v>
      </c>
      <c r="H1564" s="187" t="inlineStr">
        <is>
          <t>HIGH</t>
        </is>
      </c>
      <c r="I1564" s="187" t="n">
        <v>13</v>
      </c>
      <c r="J1564" s="187" t="inlineStr">
        <is>
          <t>NO</t>
        </is>
      </c>
      <c r="K1564" s="187" t="inlineStr">
        <is>
          <t>https://talosintelligence.com/reputation_center/lookup?search=1.24.16.216</t>
        </is>
      </c>
      <c r="L1564" s="187" t="inlineStr">
        <is>
          <t>2026-02-27 20:47</t>
        </is>
      </c>
      <c r="M1564" s="187" t="inlineStr">
        <is>
          <t>Block IP</t>
        </is>
      </c>
      <c r="N1564" s="187" t="inlineStr">
        <is>
          <t>https://talosintelligence.com/reputation_center/lookup?search=1.24.16.216</t>
        </is>
      </c>
      <c r="O1564" s="187" t="inlineStr">
        <is>
          <t>Block IP 1.24.16.216 at firewall | Cisco Talos confirmed malicious</t>
        </is>
      </c>
      <c r="P1564" s="187" t="inlineStr">
        <is>
          <t>Network perimeter / Email / Web</t>
        </is>
      </c>
      <c r="Q1564" s="187" t="inlineStr">
        <is>
          <t>P3</t>
        </is>
      </c>
      <c r="R1564" s="187" t="inlineStr">
        <is>
          <t>🚫 Block IP at firewall immediately | 🔍 Check logs for existing connections | 🛡️ Add to threat intelligence blocklist</t>
        </is>
      </c>
      <c r="S1564" s="187" t="inlineStr">
        <is>
          <t>Check ip-api.com + AbuseIPDB for context</t>
        </is>
      </c>
      <c r="T1564" s="187" t="n">
        <v>0</v>
      </c>
      <c r="U1564" s="187" t="n">
        <v>0</v>
      </c>
      <c r="V1564" s="187" t="inlineStr">
        <is>
          <t>T1110:Brute Force | T1190:Exploit Public-Facing Application | T1566:Phishing</t>
        </is>
      </c>
      <c r="W1564" s="187" t="n">
        <v>1</v>
      </c>
      <c r="X1564" s="187" t="inlineStr">
        <is>
          <t>MEDIUM (60%)</t>
        </is>
      </c>
      <c r="Y1564" s="187" t="inlineStr">
        <is>
          <t>NONE</t>
        </is>
      </c>
      <c r="Z1564" s="187" t="inlineStr">
        <is>
          <t>NONE</t>
        </is>
      </c>
      <c r="AA1564" s="187" t="inlineStr">
        <is>
          <t>NONE</t>
        </is>
      </c>
      <c r="AB1564" s="187" t="inlineStr">
        <is>
          <t>NONE</t>
        </is>
      </c>
      <c r="AC1564" s="187" t="n">
        <v>0</v>
      </c>
      <c r="AD1564" s="187" t="inlineStr"/>
    </row>
    <row r="1565">
      <c r="A1565" s="187" t="inlineStr">
        <is>
          <t>TALOS_IP</t>
        </is>
      </c>
      <c r="B1565" s="187" t="inlineStr">
        <is>
          <t>44e6378597e0</t>
        </is>
      </c>
      <c r="C1565" s="187" t="inlineStr">
        <is>
          <t>Cisco Talos Blacklisted IP: 1.24.16.231 | Verified malicious | Sources: TALOS</t>
        </is>
      </c>
      <c r="D1565" s="187" t="n">
        <v>7</v>
      </c>
      <c r="E1565" s="187" t="inlineStr">
        <is>
          <t>HIGH</t>
        </is>
      </c>
      <c r="F1565" s="187" t="n">
        <v>3</v>
      </c>
      <c r="G1565" s="187" t="n">
        <v>2</v>
      </c>
      <c r="H1565" s="187" t="inlineStr">
        <is>
          <t>HIGH</t>
        </is>
      </c>
      <c r="I1565" s="187" t="n">
        <v>13</v>
      </c>
      <c r="J1565" s="187" t="inlineStr">
        <is>
          <t>NO</t>
        </is>
      </c>
      <c r="K1565" s="187" t="inlineStr">
        <is>
          <t>https://talosintelligence.com/reputation_center/lookup?search=1.24.16.231</t>
        </is>
      </c>
      <c r="L1565" s="187" t="inlineStr">
        <is>
          <t>2026-02-27 20:47</t>
        </is>
      </c>
      <c r="M1565" s="187" t="inlineStr">
        <is>
          <t>Block IP</t>
        </is>
      </c>
      <c r="N1565" s="187" t="inlineStr">
        <is>
          <t>https://talosintelligence.com/reputation_center/lookup?search=1.24.16.231</t>
        </is>
      </c>
      <c r="O1565" s="187" t="inlineStr">
        <is>
          <t>Block IP 1.24.16.231 at firewall | Cisco Talos confirmed malicious</t>
        </is>
      </c>
      <c r="P1565" s="187" t="inlineStr">
        <is>
          <t>Network perimeter / Email / Web</t>
        </is>
      </c>
      <c r="Q1565" s="187" t="inlineStr">
        <is>
          <t>P3</t>
        </is>
      </c>
      <c r="R1565" s="187" t="inlineStr">
        <is>
          <t>🚫 Block IP at firewall immediately | 🔍 Check logs for existing connections | 🛡️ Add to threat intelligence blocklist</t>
        </is>
      </c>
      <c r="S1565" s="187" t="inlineStr">
        <is>
          <t>Check ip-api.com + AbuseIPDB for context</t>
        </is>
      </c>
      <c r="T1565" s="187" t="n">
        <v>0</v>
      </c>
      <c r="U1565" s="187" t="n">
        <v>0</v>
      </c>
      <c r="V1565" s="187" t="inlineStr">
        <is>
          <t>T1110:Brute Force | T1190:Exploit Public-Facing Application | T1566:Phishing</t>
        </is>
      </c>
      <c r="W1565" s="187" t="n">
        <v>1</v>
      </c>
      <c r="X1565" s="187" t="inlineStr">
        <is>
          <t>MEDIUM (60%)</t>
        </is>
      </c>
      <c r="Y1565" s="187" t="inlineStr">
        <is>
          <t>NONE</t>
        </is>
      </c>
      <c r="Z1565" s="187" t="inlineStr">
        <is>
          <t>NONE</t>
        </is>
      </c>
      <c r="AA1565" s="187" t="inlineStr">
        <is>
          <t>NONE</t>
        </is>
      </c>
      <c r="AB1565" s="187" t="inlineStr">
        <is>
          <t>NONE</t>
        </is>
      </c>
      <c r="AC1565" s="187" t="n">
        <v>0</v>
      </c>
      <c r="AD1565" s="187" t="inlineStr"/>
    </row>
    <row r="1566">
      <c r="A1566" s="187" t="inlineStr">
        <is>
          <t>TALOS_IP</t>
        </is>
      </c>
      <c r="B1566" s="187" t="inlineStr">
        <is>
          <t>2b45d5107e18</t>
        </is>
      </c>
      <c r="C1566" s="187" t="inlineStr">
        <is>
          <t>Cisco Talos Blacklisted IP: 1.24.16.243 | Verified malicious | Sources: TALOS</t>
        </is>
      </c>
      <c r="D1566" s="187" t="n">
        <v>7</v>
      </c>
      <c r="E1566" s="187" t="inlineStr">
        <is>
          <t>HIGH</t>
        </is>
      </c>
      <c r="F1566" s="187" t="n">
        <v>3</v>
      </c>
      <c r="G1566" s="187" t="n">
        <v>2</v>
      </c>
      <c r="H1566" s="187" t="inlineStr">
        <is>
          <t>HIGH</t>
        </is>
      </c>
      <c r="I1566" s="187" t="n">
        <v>13</v>
      </c>
      <c r="J1566" s="187" t="inlineStr">
        <is>
          <t>NO</t>
        </is>
      </c>
      <c r="K1566" s="187" t="inlineStr">
        <is>
          <t>https://talosintelligence.com/reputation_center/lookup?search=1.24.16.243</t>
        </is>
      </c>
      <c r="L1566" s="187" t="inlineStr">
        <is>
          <t>2026-02-27 20:47</t>
        </is>
      </c>
      <c r="M1566" s="187" t="inlineStr">
        <is>
          <t>Block IP</t>
        </is>
      </c>
      <c r="N1566" s="187" t="inlineStr">
        <is>
          <t>https://talosintelligence.com/reputation_center/lookup?search=1.24.16.243</t>
        </is>
      </c>
      <c r="O1566" s="187" t="inlineStr">
        <is>
          <t>Block IP 1.24.16.243 at firewall | Cisco Talos confirmed malicious</t>
        </is>
      </c>
      <c r="P1566" s="187" t="inlineStr">
        <is>
          <t>Network perimeter / Email / Web</t>
        </is>
      </c>
      <c r="Q1566" s="187" t="inlineStr">
        <is>
          <t>P3</t>
        </is>
      </c>
      <c r="R1566" s="187" t="inlineStr">
        <is>
          <t>🚫 Block IP at firewall immediately | 🔍 Check logs for existing connections | 🛡️ Add to threat intelligence blocklist</t>
        </is>
      </c>
      <c r="S1566" s="187" t="inlineStr">
        <is>
          <t>Check ip-api.com + AbuseIPDB for context</t>
        </is>
      </c>
      <c r="T1566" s="187" t="n">
        <v>0</v>
      </c>
      <c r="U1566" s="187" t="n">
        <v>0</v>
      </c>
      <c r="V1566" s="187" t="inlineStr">
        <is>
          <t>T1110:Brute Force | T1190:Exploit Public-Facing Application | T1566:Phishing</t>
        </is>
      </c>
      <c r="W1566" s="187" t="n">
        <v>1</v>
      </c>
      <c r="X1566" s="187" t="inlineStr">
        <is>
          <t>MEDIUM (60%)</t>
        </is>
      </c>
      <c r="Y1566" s="187" t="inlineStr">
        <is>
          <t>NONE</t>
        </is>
      </c>
      <c r="Z1566" s="187" t="inlineStr">
        <is>
          <t>NONE</t>
        </is>
      </c>
      <c r="AA1566" s="187" t="inlineStr">
        <is>
          <t>NONE</t>
        </is>
      </c>
      <c r="AB1566" s="187" t="inlineStr">
        <is>
          <t>NONE</t>
        </is>
      </c>
      <c r="AC1566" s="187" t="n">
        <v>0</v>
      </c>
      <c r="AD1566" s="187" t="inlineStr"/>
    </row>
    <row r="1567">
      <c r="A1567" s="187" t="inlineStr">
        <is>
          <t>TALOS_IP</t>
        </is>
      </c>
      <c r="B1567" s="187" t="inlineStr">
        <is>
          <t>d2a9a604a368</t>
        </is>
      </c>
      <c r="C1567" s="187" t="inlineStr">
        <is>
          <t>Cisco Talos Blacklisted IP: 1.24.16.244 | Verified malicious | Sources: TALOS</t>
        </is>
      </c>
      <c r="D1567" s="187" t="n">
        <v>7</v>
      </c>
      <c r="E1567" s="187" t="inlineStr">
        <is>
          <t>HIGH</t>
        </is>
      </c>
      <c r="F1567" s="187" t="n">
        <v>3</v>
      </c>
      <c r="G1567" s="187" t="n">
        <v>2</v>
      </c>
      <c r="H1567" s="187" t="inlineStr">
        <is>
          <t>HIGH</t>
        </is>
      </c>
      <c r="I1567" s="187" t="n">
        <v>13</v>
      </c>
      <c r="J1567" s="187" t="inlineStr">
        <is>
          <t>NO</t>
        </is>
      </c>
      <c r="K1567" s="187" t="inlineStr">
        <is>
          <t>https://talosintelligence.com/reputation_center/lookup?search=1.24.16.244</t>
        </is>
      </c>
      <c r="L1567" s="187" t="inlineStr">
        <is>
          <t>2026-02-27 20:47</t>
        </is>
      </c>
      <c r="M1567" s="187" t="inlineStr">
        <is>
          <t>Block IP</t>
        </is>
      </c>
      <c r="N1567" s="187" t="inlineStr">
        <is>
          <t>https://talosintelligence.com/reputation_center/lookup?search=1.24.16.244</t>
        </is>
      </c>
      <c r="O1567" s="187" t="inlineStr">
        <is>
          <t>Block IP 1.24.16.244 at firewall | Cisco Talos confirmed malicious</t>
        </is>
      </c>
      <c r="P1567" s="187" t="inlineStr">
        <is>
          <t>Network perimeter / Email / Web</t>
        </is>
      </c>
      <c r="Q1567" s="187" t="inlineStr">
        <is>
          <t>P3</t>
        </is>
      </c>
      <c r="R1567" s="187" t="inlineStr">
        <is>
          <t>🚫 Block IP at firewall immediately | 🔍 Check logs for existing connections | 🛡️ Add to threat intelligence blocklist</t>
        </is>
      </c>
      <c r="S1567" s="187" t="inlineStr">
        <is>
          <t>Check ip-api.com + AbuseIPDB for context</t>
        </is>
      </c>
      <c r="T1567" s="187" t="n">
        <v>0</v>
      </c>
      <c r="U1567" s="187" t="n">
        <v>0</v>
      </c>
      <c r="V1567" s="187" t="inlineStr">
        <is>
          <t>T1110:Brute Force | T1190:Exploit Public-Facing Application | T1566:Phishing</t>
        </is>
      </c>
      <c r="W1567" s="187" t="n">
        <v>1</v>
      </c>
      <c r="X1567" s="187" t="inlineStr">
        <is>
          <t>MEDIUM (60%)</t>
        </is>
      </c>
      <c r="Y1567" s="187" t="inlineStr">
        <is>
          <t>NONE</t>
        </is>
      </c>
      <c r="Z1567" s="187" t="inlineStr">
        <is>
          <t>NONE</t>
        </is>
      </c>
      <c r="AA1567" s="187" t="inlineStr">
        <is>
          <t>NONE</t>
        </is>
      </c>
      <c r="AB1567" s="187" t="inlineStr">
        <is>
          <t>NONE</t>
        </is>
      </c>
      <c r="AC1567" s="187" t="n">
        <v>0</v>
      </c>
      <c r="AD1567" s="187" t="inlineStr"/>
    </row>
    <row r="1568">
      <c r="A1568" s="187" t="inlineStr">
        <is>
          <t>TALOS_IP</t>
        </is>
      </c>
      <c r="B1568" s="187" t="inlineStr">
        <is>
          <t>d7456141c2cd</t>
        </is>
      </c>
      <c r="C1568" s="187" t="inlineStr">
        <is>
          <t>Cisco Talos Blacklisted IP: 1.24.16.247 | Verified malicious | Sources: TALOS</t>
        </is>
      </c>
      <c r="D1568" s="187" t="n">
        <v>7</v>
      </c>
      <c r="E1568" s="187" t="inlineStr">
        <is>
          <t>HIGH</t>
        </is>
      </c>
      <c r="F1568" s="187" t="n">
        <v>3</v>
      </c>
      <c r="G1568" s="187" t="n">
        <v>2</v>
      </c>
      <c r="H1568" s="187" t="inlineStr">
        <is>
          <t>HIGH</t>
        </is>
      </c>
      <c r="I1568" s="187" t="n">
        <v>13</v>
      </c>
      <c r="J1568" s="187" t="inlineStr">
        <is>
          <t>NO</t>
        </is>
      </c>
      <c r="K1568" s="187" t="inlineStr">
        <is>
          <t>https://talosintelligence.com/reputation_center/lookup?search=1.24.16.247</t>
        </is>
      </c>
      <c r="L1568" s="187" t="inlineStr">
        <is>
          <t>2026-02-27 20:47</t>
        </is>
      </c>
      <c r="M1568" s="187" t="inlineStr">
        <is>
          <t>Block IP</t>
        </is>
      </c>
      <c r="N1568" s="187" t="inlineStr">
        <is>
          <t>https://talosintelligence.com/reputation_center/lookup?search=1.24.16.247</t>
        </is>
      </c>
      <c r="O1568" s="187" t="inlineStr">
        <is>
          <t>Block IP 1.24.16.247 at firewall | Cisco Talos confirmed malicious</t>
        </is>
      </c>
      <c r="P1568" s="187" t="inlineStr">
        <is>
          <t>Network perimeter / Email / Web</t>
        </is>
      </c>
      <c r="Q1568" s="187" t="inlineStr">
        <is>
          <t>P3</t>
        </is>
      </c>
      <c r="R1568" s="187" t="inlineStr">
        <is>
          <t>🚫 Block IP at firewall immediately | 🔍 Check logs for existing connections | 🛡️ Add to threat intelligence blocklist</t>
        </is>
      </c>
      <c r="S1568" s="187" t="inlineStr">
        <is>
          <t>Check ip-api.com + AbuseIPDB for context</t>
        </is>
      </c>
      <c r="T1568" s="187" t="n">
        <v>0</v>
      </c>
      <c r="U1568" s="187" t="n">
        <v>0</v>
      </c>
      <c r="V1568" s="187" t="inlineStr">
        <is>
          <t>T1110:Brute Force | T1190:Exploit Public-Facing Application | T1566:Phishing</t>
        </is>
      </c>
      <c r="W1568" s="187" t="n">
        <v>1</v>
      </c>
      <c r="X1568" s="187" t="inlineStr">
        <is>
          <t>MEDIUM (60%)</t>
        </is>
      </c>
      <c r="Y1568" s="187" t="inlineStr">
        <is>
          <t>NONE</t>
        </is>
      </c>
      <c r="Z1568" s="187" t="inlineStr">
        <is>
          <t>NONE</t>
        </is>
      </c>
      <c r="AA1568" s="187" t="inlineStr">
        <is>
          <t>NONE</t>
        </is>
      </c>
      <c r="AB1568" s="187" t="inlineStr">
        <is>
          <t>NONE</t>
        </is>
      </c>
      <c r="AC1568" s="187" t="n">
        <v>0</v>
      </c>
      <c r="AD1568" s="187" t="inlineStr"/>
    </row>
    <row r="1569">
      <c r="A1569" s="187" t="inlineStr">
        <is>
          <t>TALOS_IP</t>
        </is>
      </c>
      <c r="B1569" s="187" t="inlineStr">
        <is>
          <t>70744d953256</t>
        </is>
      </c>
      <c r="C1569" s="187" t="inlineStr">
        <is>
          <t>Cisco Talos Blacklisted IP: 1.24.16.254 | Verified malicious | Sources: TALOS</t>
        </is>
      </c>
      <c r="D1569" s="187" t="n">
        <v>7</v>
      </c>
      <c r="E1569" s="187" t="inlineStr">
        <is>
          <t>HIGH</t>
        </is>
      </c>
      <c r="F1569" s="187" t="n">
        <v>3</v>
      </c>
      <c r="G1569" s="187" t="n">
        <v>2</v>
      </c>
      <c r="H1569" s="187" t="inlineStr">
        <is>
          <t>HIGH</t>
        </is>
      </c>
      <c r="I1569" s="187" t="n">
        <v>13</v>
      </c>
      <c r="J1569" s="187" t="inlineStr">
        <is>
          <t>NO</t>
        </is>
      </c>
      <c r="K1569" s="187" t="inlineStr">
        <is>
          <t>https://talosintelligence.com/reputation_center/lookup?search=1.24.16.254</t>
        </is>
      </c>
      <c r="L1569" s="187" t="inlineStr">
        <is>
          <t>2026-02-27 20:47</t>
        </is>
      </c>
      <c r="M1569" s="187" t="inlineStr">
        <is>
          <t>Block IP</t>
        </is>
      </c>
      <c r="N1569" s="187" t="inlineStr">
        <is>
          <t>https://talosintelligence.com/reputation_center/lookup?search=1.24.16.254</t>
        </is>
      </c>
      <c r="O1569" s="187" t="inlineStr">
        <is>
          <t>Block IP 1.24.16.254 at firewall | Cisco Talos confirmed malicious</t>
        </is>
      </c>
      <c r="P1569" s="187" t="inlineStr">
        <is>
          <t>Network perimeter / Email / Web</t>
        </is>
      </c>
      <c r="Q1569" s="187" t="inlineStr">
        <is>
          <t>P3</t>
        </is>
      </c>
      <c r="R1569" s="187" t="inlineStr">
        <is>
          <t>🚫 Block IP at firewall immediately | 🔍 Check logs for existing connections | 🛡️ Add to threat intelligence blocklist</t>
        </is>
      </c>
      <c r="S1569" s="187" t="inlineStr">
        <is>
          <t>Check ip-api.com + AbuseIPDB for context</t>
        </is>
      </c>
      <c r="T1569" s="187" t="n">
        <v>0</v>
      </c>
      <c r="U1569" s="187" t="n">
        <v>0</v>
      </c>
      <c r="V1569" s="187" t="inlineStr">
        <is>
          <t>T1110:Brute Force | T1190:Exploit Public-Facing Application | T1566:Phishing</t>
        </is>
      </c>
      <c r="W1569" s="187" t="n">
        <v>1</v>
      </c>
      <c r="X1569" s="187" t="inlineStr">
        <is>
          <t>MEDIUM (60%)</t>
        </is>
      </c>
      <c r="Y1569" s="187" t="inlineStr">
        <is>
          <t>NONE</t>
        </is>
      </c>
      <c r="Z1569" s="187" t="inlineStr">
        <is>
          <t>NONE</t>
        </is>
      </c>
      <c r="AA1569" s="187" t="inlineStr">
        <is>
          <t>NONE</t>
        </is>
      </c>
      <c r="AB1569" s="187" t="inlineStr">
        <is>
          <t>NONE</t>
        </is>
      </c>
      <c r="AC1569" s="187" t="n">
        <v>0</v>
      </c>
      <c r="AD1569" s="187" t="inlineStr"/>
    </row>
    <row r="1570">
      <c r="A1570" s="187" t="inlineStr">
        <is>
          <t>TALOS_IP</t>
        </is>
      </c>
      <c r="B1570" s="187" t="inlineStr">
        <is>
          <t>c936cedf31af</t>
        </is>
      </c>
      <c r="C1570" s="187" t="inlineStr">
        <is>
          <t>Cisco Talos Blacklisted IP: 1.24.16.28 | Verified malicious | Sources: TALOS</t>
        </is>
      </c>
      <c r="D1570" s="187" t="n">
        <v>7</v>
      </c>
      <c r="E1570" s="187" t="inlineStr">
        <is>
          <t>HIGH</t>
        </is>
      </c>
      <c r="F1570" s="187" t="n">
        <v>3</v>
      </c>
      <c r="G1570" s="187" t="n">
        <v>2</v>
      </c>
      <c r="H1570" s="187" t="inlineStr">
        <is>
          <t>HIGH</t>
        </is>
      </c>
      <c r="I1570" s="187" t="n">
        <v>13</v>
      </c>
      <c r="J1570" s="187" t="inlineStr">
        <is>
          <t>NO</t>
        </is>
      </c>
      <c r="K1570" s="187" t="inlineStr">
        <is>
          <t>https://talosintelligence.com/reputation_center/lookup?search=1.24.16.28</t>
        </is>
      </c>
      <c r="L1570" s="187" t="inlineStr">
        <is>
          <t>2026-02-27 20:47</t>
        </is>
      </c>
      <c r="M1570" s="187" t="inlineStr">
        <is>
          <t>Block IP</t>
        </is>
      </c>
      <c r="N1570" s="187" t="inlineStr">
        <is>
          <t>https://talosintelligence.com/reputation_center/lookup?search=1.24.16.28</t>
        </is>
      </c>
      <c r="O1570" s="187" t="inlineStr">
        <is>
          <t>Block IP 1.24.16.28 at firewall | Cisco Talos confirmed malicious</t>
        </is>
      </c>
      <c r="P1570" s="187" t="inlineStr">
        <is>
          <t>Network perimeter / Email / Web</t>
        </is>
      </c>
      <c r="Q1570" s="187" t="inlineStr">
        <is>
          <t>P3</t>
        </is>
      </c>
      <c r="R1570" s="187" t="inlineStr">
        <is>
          <t>🚫 Block IP at firewall immediately | 🔍 Check logs for existing connections | 🛡️ Add to threat intelligence blocklist</t>
        </is>
      </c>
      <c r="S1570" s="187" t="inlineStr">
        <is>
          <t>Check ip-api.com + AbuseIPDB for context</t>
        </is>
      </c>
      <c r="T1570" s="187" t="n">
        <v>0</v>
      </c>
      <c r="U1570" s="187" t="n">
        <v>0</v>
      </c>
      <c r="V1570" s="187" t="inlineStr">
        <is>
          <t>T1110:Brute Force | T1190:Exploit Public-Facing Application | T1566:Phishing</t>
        </is>
      </c>
      <c r="W1570" s="187" t="n">
        <v>1</v>
      </c>
      <c r="X1570" s="187" t="inlineStr">
        <is>
          <t>MEDIUM (60%)</t>
        </is>
      </c>
      <c r="Y1570" s="187" t="inlineStr">
        <is>
          <t>NONE</t>
        </is>
      </c>
      <c r="Z1570" s="187" t="inlineStr">
        <is>
          <t>NONE</t>
        </is>
      </c>
      <c r="AA1570" s="187" t="inlineStr">
        <is>
          <t>NONE</t>
        </is>
      </c>
      <c r="AB1570" s="187" t="inlineStr">
        <is>
          <t>NONE</t>
        </is>
      </c>
      <c r="AC1570" s="187" t="n">
        <v>0</v>
      </c>
      <c r="AD1570" s="187" t="inlineStr"/>
    </row>
    <row r="1571">
      <c r="A1571" s="187" t="inlineStr">
        <is>
          <t>TALOS_IP</t>
        </is>
      </c>
      <c r="B1571" s="187" t="inlineStr">
        <is>
          <t>34155dbe0a67</t>
        </is>
      </c>
      <c r="C1571" s="187" t="inlineStr">
        <is>
          <t>Cisco Talos Blacklisted IP: 1.24.16.33 | Verified malicious | Sources: TALOS</t>
        </is>
      </c>
      <c r="D1571" s="187" t="n">
        <v>7</v>
      </c>
      <c r="E1571" s="187" t="inlineStr">
        <is>
          <t>HIGH</t>
        </is>
      </c>
      <c r="F1571" s="187" t="n">
        <v>3</v>
      </c>
      <c r="G1571" s="187" t="n">
        <v>2</v>
      </c>
      <c r="H1571" s="187" t="inlineStr">
        <is>
          <t>HIGH</t>
        </is>
      </c>
      <c r="I1571" s="187" t="n">
        <v>13</v>
      </c>
      <c r="J1571" s="187" t="inlineStr">
        <is>
          <t>NO</t>
        </is>
      </c>
      <c r="K1571" s="187" t="inlineStr">
        <is>
          <t>https://talosintelligence.com/reputation_center/lookup?search=1.24.16.33</t>
        </is>
      </c>
      <c r="L1571" s="187" t="inlineStr">
        <is>
          <t>2026-02-27 20:47</t>
        </is>
      </c>
      <c r="M1571" s="187" t="inlineStr">
        <is>
          <t>Block IP</t>
        </is>
      </c>
      <c r="N1571" s="187" t="inlineStr">
        <is>
          <t>https://talosintelligence.com/reputation_center/lookup?search=1.24.16.33</t>
        </is>
      </c>
      <c r="O1571" s="187" t="inlineStr">
        <is>
          <t>Block IP 1.24.16.33 at firewall | Cisco Talos confirmed malicious</t>
        </is>
      </c>
      <c r="P1571" s="187" t="inlineStr">
        <is>
          <t>Network perimeter / Email / Web</t>
        </is>
      </c>
      <c r="Q1571" s="187" t="inlineStr">
        <is>
          <t>P3</t>
        </is>
      </c>
      <c r="R1571" s="187" t="inlineStr">
        <is>
          <t>🚫 Block IP at firewall immediately | 🔍 Check logs for existing connections | 🛡️ Add to threat intelligence blocklist</t>
        </is>
      </c>
      <c r="S1571" s="187" t="inlineStr">
        <is>
          <t>Check ip-api.com + AbuseIPDB for context</t>
        </is>
      </c>
      <c r="T1571" s="187" t="n">
        <v>0</v>
      </c>
      <c r="U1571" s="187" t="n">
        <v>0</v>
      </c>
      <c r="V1571" s="187" t="inlineStr">
        <is>
          <t>T1110:Brute Force | T1190:Exploit Public-Facing Application | T1566:Phishing</t>
        </is>
      </c>
      <c r="W1571" s="187" t="n">
        <v>1</v>
      </c>
      <c r="X1571" s="187" t="inlineStr">
        <is>
          <t>MEDIUM (60%)</t>
        </is>
      </c>
      <c r="Y1571" s="187" t="inlineStr">
        <is>
          <t>NONE</t>
        </is>
      </c>
      <c r="Z1571" s="187" t="inlineStr">
        <is>
          <t>NONE</t>
        </is>
      </c>
      <c r="AA1571" s="187" t="inlineStr">
        <is>
          <t>NONE</t>
        </is>
      </c>
      <c r="AB1571" s="187" t="inlineStr">
        <is>
          <t>NONE</t>
        </is>
      </c>
      <c r="AC1571" s="187" t="n">
        <v>0</v>
      </c>
      <c r="AD1571" s="187" t="inlineStr"/>
    </row>
    <row r="1572">
      <c r="A1572" s="187" t="inlineStr">
        <is>
          <t>TALOS_IP</t>
        </is>
      </c>
      <c r="B1572" s="187" t="inlineStr">
        <is>
          <t>a2604661cbc1</t>
        </is>
      </c>
      <c r="C1572" s="187" t="inlineStr">
        <is>
          <t>Cisco Talos Blacklisted IP: 1.24.16.36 | Verified malicious | Sources: TALOS</t>
        </is>
      </c>
      <c r="D1572" s="187" t="n">
        <v>7</v>
      </c>
      <c r="E1572" s="187" t="inlineStr">
        <is>
          <t>HIGH</t>
        </is>
      </c>
      <c r="F1572" s="187" t="n">
        <v>3</v>
      </c>
      <c r="G1572" s="187" t="n">
        <v>2</v>
      </c>
      <c r="H1572" s="187" t="inlineStr">
        <is>
          <t>HIGH</t>
        </is>
      </c>
      <c r="I1572" s="187" t="n">
        <v>13</v>
      </c>
      <c r="J1572" s="187" t="inlineStr">
        <is>
          <t>NO</t>
        </is>
      </c>
      <c r="K1572" s="187" t="inlineStr">
        <is>
          <t>https://talosintelligence.com/reputation_center/lookup?search=1.24.16.36</t>
        </is>
      </c>
      <c r="L1572" s="187" t="inlineStr">
        <is>
          <t>2026-02-27 20:47</t>
        </is>
      </c>
      <c r="M1572" s="187" t="inlineStr">
        <is>
          <t>Block IP</t>
        </is>
      </c>
      <c r="N1572" s="187" t="inlineStr">
        <is>
          <t>https://talosintelligence.com/reputation_center/lookup?search=1.24.16.36</t>
        </is>
      </c>
      <c r="O1572" s="187" t="inlineStr">
        <is>
          <t>Block IP 1.24.16.36 at firewall | Cisco Talos confirmed malicious</t>
        </is>
      </c>
      <c r="P1572" s="187" t="inlineStr">
        <is>
          <t>Network perimeter / Email / Web</t>
        </is>
      </c>
      <c r="Q1572" s="187" t="inlineStr">
        <is>
          <t>P3</t>
        </is>
      </c>
      <c r="R1572" s="187" t="inlineStr">
        <is>
          <t>🚫 Block IP at firewall immediately | 🔍 Check logs for existing connections | 🛡️ Add to threat intelligence blocklist</t>
        </is>
      </c>
      <c r="S1572" s="187" t="inlineStr">
        <is>
          <t>Check ip-api.com + AbuseIPDB for context</t>
        </is>
      </c>
      <c r="T1572" s="187" t="n">
        <v>0</v>
      </c>
      <c r="U1572" s="187" t="n">
        <v>0</v>
      </c>
      <c r="V1572" s="187" t="inlineStr">
        <is>
          <t>T1110:Brute Force | T1190:Exploit Public-Facing Application | T1566:Phishing</t>
        </is>
      </c>
      <c r="W1572" s="187" t="n">
        <v>1</v>
      </c>
      <c r="X1572" s="187" t="inlineStr">
        <is>
          <t>MEDIUM (60%)</t>
        </is>
      </c>
      <c r="Y1572" s="187" t="inlineStr">
        <is>
          <t>NONE</t>
        </is>
      </c>
      <c r="Z1572" s="187" t="inlineStr">
        <is>
          <t>NONE</t>
        </is>
      </c>
      <c r="AA1572" s="187" t="inlineStr">
        <is>
          <t>NONE</t>
        </is>
      </c>
      <c r="AB1572" s="187" t="inlineStr">
        <is>
          <t>NONE</t>
        </is>
      </c>
      <c r="AC1572" s="187" t="n">
        <v>0</v>
      </c>
      <c r="AD1572" s="187" t="inlineStr"/>
    </row>
    <row r="1573">
      <c r="A1573" s="187" t="inlineStr">
        <is>
          <t>TALOS_IP</t>
        </is>
      </c>
      <c r="B1573" s="187" t="inlineStr">
        <is>
          <t>67264847b051</t>
        </is>
      </c>
      <c r="C1573" s="187" t="inlineStr">
        <is>
          <t>Cisco Talos Blacklisted IP: 1.24.16.37 | Verified malicious | Sources: TALOS</t>
        </is>
      </c>
      <c r="D1573" s="187" t="n">
        <v>7</v>
      </c>
      <c r="E1573" s="187" t="inlineStr">
        <is>
          <t>HIGH</t>
        </is>
      </c>
      <c r="F1573" s="187" t="n">
        <v>3</v>
      </c>
      <c r="G1573" s="187" t="n">
        <v>2</v>
      </c>
      <c r="H1573" s="187" t="inlineStr">
        <is>
          <t>HIGH</t>
        </is>
      </c>
      <c r="I1573" s="187" t="n">
        <v>13</v>
      </c>
      <c r="J1573" s="187" t="inlineStr">
        <is>
          <t>NO</t>
        </is>
      </c>
      <c r="K1573" s="187" t="inlineStr">
        <is>
          <t>https://talosintelligence.com/reputation_center/lookup?search=1.24.16.37</t>
        </is>
      </c>
      <c r="L1573" s="187" t="inlineStr">
        <is>
          <t>2026-02-27 20:47</t>
        </is>
      </c>
      <c r="M1573" s="187" t="inlineStr">
        <is>
          <t>Block IP</t>
        </is>
      </c>
      <c r="N1573" s="187" t="inlineStr">
        <is>
          <t>https://talosintelligence.com/reputation_center/lookup?search=1.24.16.37</t>
        </is>
      </c>
      <c r="O1573" s="187" t="inlineStr">
        <is>
          <t>Block IP 1.24.16.37 at firewall | Cisco Talos confirmed malicious</t>
        </is>
      </c>
      <c r="P1573" s="187" t="inlineStr">
        <is>
          <t>Network perimeter / Email / Web</t>
        </is>
      </c>
      <c r="Q1573" s="187" t="inlineStr">
        <is>
          <t>P3</t>
        </is>
      </c>
      <c r="R1573" s="187" t="inlineStr">
        <is>
          <t>🚫 Block IP at firewall immediately | 🔍 Check logs for existing connections | 🛡️ Add to threat intelligence blocklist</t>
        </is>
      </c>
      <c r="S1573" s="187" t="inlineStr">
        <is>
          <t>Check ip-api.com + AbuseIPDB for context</t>
        </is>
      </c>
      <c r="T1573" s="187" t="n">
        <v>0</v>
      </c>
      <c r="U1573" s="187" t="n">
        <v>0</v>
      </c>
      <c r="V1573" s="187" t="inlineStr">
        <is>
          <t>T1110:Brute Force | T1190:Exploit Public-Facing Application | T1566:Phishing</t>
        </is>
      </c>
      <c r="W1573" s="187" t="n">
        <v>1</v>
      </c>
      <c r="X1573" s="187" t="inlineStr">
        <is>
          <t>MEDIUM (60%)</t>
        </is>
      </c>
      <c r="Y1573" s="187" t="inlineStr">
        <is>
          <t>NONE</t>
        </is>
      </c>
      <c r="Z1573" s="187" t="inlineStr">
        <is>
          <t>NONE</t>
        </is>
      </c>
      <c r="AA1573" s="187" t="inlineStr">
        <is>
          <t>NONE</t>
        </is>
      </c>
      <c r="AB1573" s="187" t="inlineStr">
        <is>
          <t>NONE</t>
        </is>
      </c>
      <c r="AC1573" s="187" t="n">
        <v>0</v>
      </c>
      <c r="AD1573" s="187" t="inlineStr"/>
    </row>
    <row r="1574">
      <c r="A1574" s="187" t="inlineStr">
        <is>
          <t>TALOS_IP</t>
        </is>
      </c>
      <c r="B1574" s="187" t="inlineStr">
        <is>
          <t>a6e1e1a422ed</t>
        </is>
      </c>
      <c r="C1574" s="187" t="inlineStr">
        <is>
          <t>Cisco Talos Blacklisted IP: 1.24.16.38 | Verified malicious | Sources: TALOS</t>
        </is>
      </c>
      <c r="D1574" s="187" t="n">
        <v>7</v>
      </c>
      <c r="E1574" s="187" t="inlineStr">
        <is>
          <t>HIGH</t>
        </is>
      </c>
      <c r="F1574" s="187" t="n">
        <v>3</v>
      </c>
      <c r="G1574" s="187" t="n">
        <v>2</v>
      </c>
      <c r="H1574" s="187" t="inlineStr">
        <is>
          <t>HIGH</t>
        </is>
      </c>
      <c r="I1574" s="187" t="n">
        <v>13</v>
      </c>
      <c r="J1574" s="187" t="inlineStr">
        <is>
          <t>NO</t>
        </is>
      </c>
      <c r="K1574" s="187" t="inlineStr">
        <is>
          <t>https://talosintelligence.com/reputation_center/lookup?search=1.24.16.38</t>
        </is>
      </c>
      <c r="L1574" s="187" t="inlineStr">
        <is>
          <t>2026-02-27 20:47</t>
        </is>
      </c>
      <c r="M1574" s="187" t="inlineStr">
        <is>
          <t>Block IP</t>
        </is>
      </c>
      <c r="N1574" s="187" t="inlineStr">
        <is>
          <t>https://talosintelligence.com/reputation_center/lookup?search=1.24.16.38</t>
        </is>
      </c>
      <c r="O1574" s="187" t="inlineStr">
        <is>
          <t>Block IP 1.24.16.38 at firewall | Cisco Talos confirmed malicious</t>
        </is>
      </c>
      <c r="P1574" s="187" t="inlineStr">
        <is>
          <t>Network perimeter / Email / Web</t>
        </is>
      </c>
      <c r="Q1574" s="187" t="inlineStr">
        <is>
          <t>P3</t>
        </is>
      </c>
      <c r="R1574" s="187" t="inlineStr">
        <is>
          <t>🚫 Block IP at firewall immediately | 🔍 Check logs for existing connections | 🛡️ Add to threat intelligence blocklist</t>
        </is>
      </c>
      <c r="S1574" s="187" t="inlineStr">
        <is>
          <t>Check ip-api.com + AbuseIPDB for context</t>
        </is>
      </c>
      <c r="T1574" s="187" t="n">
        <v>0</v>
      </c>
      <c r="U1574" s="187" t="n">
        <v>0</v>
      </c>
      <c r="V1574" s="187" t="inlineStr">
        <is>
          <t>T1110:Brute Force | T1190:Exploit Public-Facing Application | T1566:Phishing</t>
        </is>
      </c>
      <c r="W1574" s="187" t="n">
        <v>1</v>
      </c>
      <c r="X1574" s="187" t="inlineStr">
        <is>
          <t>MEDIUM (60%)</t>
        </is>
      </c>
      <c r="Y1574" s="187" t="inlineStr">
        <is>
          <t>NONE</t>
        </is>
      </c>
      <c r="Z1574" s="187" t="inlineStr">
        <is>
          <t>NONE</t>
        </is>
      </c>
      <c r="AA1574" s="187" t="inlineStr">
        <is>
          <t>NONE</t>
        </is>
      </c>
      <c r="AB1574" s="187" t="inlineStr">
        <is>
          <t>NONE</t>
        </is>
      </c>
      <c r="AC1574" s="187" t="n">
        <v>0</v>
      </c>
      <c r="AD1574" s="187" t="inlineStr"/>
    </row>
    <row r="1575">
      <c r="A1575" s="187" t="inlineStr">
        <is>
          <t>TALOS_IP</t>
        </is>
      </c>
      <c r="B1575" s="187" t="inlineStr">
        <is>
          <t>d14b84935e0c</t>
        </is>
      </c>
      <c r="C1575" s="187" t="inlineStr">
        <is>
          <t>Cisco Talos Blacklisted IP: 1.24.16.39 | Verified malicious | Sources: TALOS</t>
        </is>
      </c>
      <c r="D1575" s="187" t="n">
        <v>7</v>
      </c>
      <c r="E1575" s="187" t="inlineStr">
        <is>
          <t>HIGH</t>
        </is>
      </c>
      <c r="F1575" s="187" t="n">
        <v>3</v>
      </c>
      <c r="G1575" s="187" t="n">
        <v>2</v>
      </c>
      <c r="H1575" s="187" t="inlineStr">
        <is>
          <t>HIGH</t>
        </is>
      </c>
      <c r="I1575" s="187" t="n">
        <v>13</v>
      </c>
      <c r="J1575" s="187" t="inlineStr">
        <is>
          <t>NO</t>
        </is>
      </c>
      <c r="K1575" s="187" t="inlineStr">
        <is>
          <t>https://talosintelligence.com/reputation_center/lookup?search=1.24.16.39</t>
        </is>
      </c>
      <c r="L1575" s="187" t="inlineStr">
        <is>
          <t>2026-02-27 20:47</t>
        </is>
      </c>
      <c r="M1575" s="187" t="inlineStr">
        <is>
          <t>Block IP</t>
        </is>
      </c>
      <c r="N1575" s="187" t="inlineStr">
        <is>
          <t>https://talosintelligence.com/reputation_center/lookup?search=1.24.16.39</t>
        </is>
      </c>
      <c r="O1575" s="187" t="inlineStr">
        <is>
          <t>Block IP 1.24.16.39 at firewall | Cisco Talos confirmed malicious</t>
        </is>
      </c>
      <c r="P1575" s="187" t="inlineStr">
        <is>
          <t>Network perimeter / Email / Web</t>
        </is>
      </c>
      <c r="Q1575" s="187" t="inlineStr">
        <is>
          <t>P3</t>
        </is>
      </c>
      <c r="R1575" s="187" t="inlineStr">
        <is>
          <t>🚫 Block IP at firewall immediately | 🔍 Check logs for existing connections | 🛡️ Add to threat intelligence blocklist</t>
        </is>
      </c>
      <c r="S1575" s="187" t="inlineStr">
        <is>
          <t>Check ip-api.com + AbuseIPDB for context</t>
        </is>
      </c>
      <c r="T1575" s="187" t="n">
        <v>0</v>
      </c>
      <c r="U1575" s="187" t="n">
        <v>0</v>
      </c>
      <c r="V1575" s="187" t="inlineStr">
        <is>
          <t>T1110:Brute Force | T1190:Exploit Public-Facing Application | T1566:Phishing</t>
        </is>
      </c>
      <c r="W1575" s="187" t="n">
        <v>1</v>
      </c>
      <c r="X1575" s="187" t="inlineStr">
        <is>
          <t>MEDIUM (60%)</t>
        </is>
      </c>
      <c r="Y1575" s="187" t="inlineStr">
        <is>
          <t>NONE</t>
        </is>
      </c>
      <c r="Z1575" s="187" t="inlineStr">
        <is>
          <t>NONE</t>
        </is>
      </c>
      <c r="AA1575" s="187" t="inlineStr">
        <is>
          <t>NONE</t>
        </is>
      </c>
      <c r="AB1575" s="187" t="inlineStr">
        <is>
          <t>NONE</t>
        </is>
      </c>
      <c r="AC1575" s="187" t="n">
        <v>0</v>
      </c>
      <c r="AD1575" s="187" t="inlineStr"/>
    </row>
    <row r="1576">
      <c r="A1576" s="187" t="inlineStr">
        <is>
          <t>TALOS_IP</t>
        </is>
      </c>
      <c r="B1576" s="187" t="inlineStr">
        <is>
          <t>5ed2b43f8e62</t>
        </is>
      </c>
      <c r="C1576" s="187" t="inlineStr">
        <is>
          <t>Cisco Talos Blacklisted IP: 1.24.16.45 | Verified malicious | Sources: TALOS</t>
        </is>
      </c>
      <c r="D1576" s="187" t="n">
        <v>7</v>
      </c>
      <c r="E1576" s="187" t="inlineStr">
        <is>
          <t>HIGH</t>
        </is>
      </c>
      <c r="F1576" s="187" t="n">
        <v>3</v>
      </c>
      <c r="G1576" s="187" t="n">
        <v>2</v>
      </c>
      <c r="H1576" s="187" t="inlineStr">
        <is>
          <t>HIGH</t>
        </is>
      </c>
      <c r="I1576" s="187" t="n">
        <v>13</v>
      </c>
      <c r="J1576" s="187" t="inlineStr">
        <is>
          <t>NO</t>
        </is>
      </c>
      <c r="K1576" s="187" t="inlineStr">
        <is>
          <t>https://talosintelligence.com/reputation_center/lookup?search=1.24.16.45</t>
        </is>
      </c>
      <c r="L1576" s="187" t="inlineStr">
        <is>
          <t>2026-02-27 20:47</t>
        </is>
      </c>
      <c r="M1576" s="187" t="inlineStr">
        <is>
          <t>Block IP</t>
        </is>
      </c>
      <c r="N1576" s="187" t="inlineStr">
        <is>
          <t>https://talosintelligence.com/reputation_center/lookup?search=1.24.16.45</t>
        </is>
      </c>
      <c r="O1576" s="187" t="inlineStr">
        <is>
          <t>Block IP 1.24.16.45 at firewall | Cisco Talos confirmed malicious</t>
        </is>
      </c>
      <c r="P1576" s="187" t="inlineStr">
        <is>
          <t>Network perimeter / Email / Web</t>
        </is>
      </c>
      <c r="Q1576" s="187" t="inlineStr">
        <is>
          <t>P3</t>
        </is>
      </c>
      <c r="R1576" s="187" t="inlineStr">
        <is>
          <t>🚫 Block IP at firewall immediately | 🔍 Check logs for existing connections | 🛡️ Add to threat intelligence blocklist</t>
        </is>
      </c>
      <c r="S1576" s="187" t="inlineStr">
        <is>
          <t>Check ip-api.com + AbuseIPDB for context</t>
        </is>
      </c>
      <c r="T1576" s="187" t="n">
        <v>0</v>
      </c>
      <c r="U1576" s="187" t="n">
        <v>0</v>
      </c>
      <c r="V1576" s="187" t="inlineStr">
        <is>
          <t>T1110:Brute Force | T1190:Exploit Public-Facing Application | T1566:Phishing</t>
        </is>
      </c>
      <c r="W1576" s="187" t="n">
        <v>1</v>
      </c>
      <c r="X1576" s="187" t="inlineStr">
        <is>
          <t>MEDIUM (60%)</t>
        </is>
      </c>
      <c r="Y1576" s="187" t="inlineStr">
        <is>
          <t>NONE</t>
        </is>
      </c>
      <c r="Z1576" s="187" t="inlineStr">
        <is>
          <t>NONE</t>
        </is>
      </c>
      <c r="AA1576" s="187" t="inlineStr">
        <is>
          <t>NONE</t>
        </is>
      </c>
      <c r="AB1576" s="187" t="inlineStr">
        <is>
          <t>NONE</t>
        </is>
      </c>
      <c r="AC1576" s="187" t="n">
        <v>0</v>
      </c>
      <c r="AD1576" s="187" t="inlineStr"/>
    </row>
    <row r="1577">
      <c r="A1577" s="187" t="inlineStr">
        <is>
          <t>TALOS_IP</t>
        </is>
      </c>
      <c r="B1577" s="187" t="inlineStr">
        <is>
          <t>47ea4e8f5906</t>
        </is>
      </c>
      <c r="C1577" s="187" t="inlineStr">
        <is>
          <t>Cisco Talos Blacklisted IP: 1.24.16.47 | Verified malicious | Sources: TALOS</t>
        </is>
      </c>
      <c r="D1577" s="187" t="n">
        <v>7</v>
      </c>
      <c r="E1577" s="187" t="inlineStr">
        <is>
          <t>HIGH</t>
        </is>
      </c>
      <c r="F1577" s="187" t="n">
        <v>3</v>
      </c>
      <c r="G1577" s="187" t="n">
        <v>2</v>
      </c>
      <c r="H1577" s="187" t="inlineStr">
        <is>
          <t>HIGH</t>
        </is>
      </c>
      <c r="I1577" s="187" t="n">
        <v>13</v>
      </c>
      <c r="J1577" s="187" t="inlineStr">
        <is>
          <t>NO</t>
        </is>
      </c>
      <c r="K1577" s="187" t="inlineStr">
        <is>
          <t>https://talosintelligence.com/reputation_center/lookup?search=1.24.16.47</t>
        </is>
      </c>
      <c r="L1577" s="187" t="inlineStr">
        <is>
          <t>2026-02-27 20:47</t>
        </is>
      </c>
      <c r="M1577" s="187" t="inlineStr">
        <is>
          <t>Block IP</t>
        </is>
      </c>
      <c r="N1577" s="187" t="inlineStr">
        <is>
          <t>https://talosintelligence.com/reputation_center/lookup?search=1.24.16.47</t>
        </is>
      </c>
      <c r="O1577" s="187" t="inlineStr">
        <is>
          <t>Block IP 1.24.16.47 at firewall | Cisco Talos confirmed malicious</t>
        </is>
      </c>
      <c r="P1577" s="187" t="inlineStr">
        <is>
          <t>Network perimeter / Email / Web</t>
        </is>
      </c>
      <c r="Q1577" s="187" t="inlineStr">
        <is>
          <t>P3</t>
        </is>
      </c>
      <c r="R1577" s="187" t="inlineStr">
        <is>
          <t>🚫 Block IP at firewall immediately | 🔍 Check logs for existing connections | 🛡️ Add to threat intelligence blocklist</t>
        </is>
      </c>
      <c r="S1577" s="187" t="inlineStr">
        <is>
          <t>Check ip-api.com + AbuseIPDB for context</t>
        </is>
      </c>
      <c r="T1577" s="187" t="n">
        <v>0</v>
      </c>
      <c r="U1577" s="187" t="n">
        <v>0</v>
      </c>
      <c r="V1577" s="187" t="inlineStr">
        <is>
          <t>T1110:Brute Force | T1190:Exploit Public-Facing Application | T1566:Phishing</t>
        </is>
      </c>
      <c r="W1577" s="187" t="n">
        <v>1</v>
      </c>
      <c r="X1577" s="187" t="inlineStr">
        <is>
          <t>MEDIUM (60%)</t>
        </is>
      </c>
      <c r="Y1577" s="187" t="inlineStr">
        <is>
          <t>NONE</t>
        </is>
      </c>
      <c r="Z1577" s="187" t="inlineStr">
        <is>
          <t>NONE</t>
        </is>
      </c>
      <c r="AA1577" s="187" t="inlineStr">
        <is>
          <t>NONE</t>
        </is>
      </c>
      <c r="AB1577" s="187" t="inlineStr">
        <is>
          <t>NONE</t>
        </is>
      </c>
      <c r="AC1577" s="187" t="n">
        <v>0</v>
      </c>
      <c r="AD1577" s="187" t="inlineStr"/>
    </row>
    <row r="1578">
      <c r="A1578" s="187" t="inlineStr">
        <is>
          <t>TALOS_IP</t>
        </is>
      </c>
      <c r="B1578" s="187" t="inlineStr">
        <is>
          <t>3917f01ba62e</t>
        </is>
      </c>
      <c r="C1578" s="187" t="inlineStr">
        <is>
          <t>Cisco Talos Blacklisted IP: 1.24.16.49 | Verified malicious | Sources: TALOS</t>
        </is>
      </c>
      <c r="D1578" s="187" t="n">
        <v>7</v>
      </c>
      <c r="E1578" s="187" t="inlineStr">
        <is>
          <t>HIGH</t>
        </is>
      </c>
      <c r="F1578" s="187" t="n">
        <v>3</v>
      </c>
      <c r="G1578" s="187" t="n">
        <v>2</v>
      </c>
      <c r="H1578" s="187" t="inlineStr">
        <is>
          <t>HIGH</t>
        </is>
      </c>
      <c r="I1578" s="187" t="n">
        <v>13</v>
      </c>
      <c r="J1578" s="187" t="inlineStr">
        <is>
          <t>NO</t>
        </is>
      </c>
      <c r="K1578" s="187" t="inlineStr">
        <is>
          <t>https://talosintelligence.com/reputation_center/lookup?search=1.24.16.49</t>
        </is>
      </c>
      <c r="L1578" s="187" t="inlineStr">
        <is>
          <t>2026-02-27 20:47</t>
        </is>
      </c>
      <c r="M1578" s="187" t="inlineStr">
        <is>
          <t>Block IP</t>
        </is>
      </c>
      <c r="N1578" s="187" t="inlineStr">
        <is>
          <t>https://talosintelligence.com/reputation_center/lookup?search=1.24.16.49</t>
        </is>
      </c>
      <c r="O1578" s="187" t="inlineStr">
        <is>
          <t>Block IP 1.24.16.49 at firewall | Cisco Talos confirmed malicious</t>
        </is>
      </c>
      <c r="P1578" s="187" t="inlineStr">
        <is>
          <t>Network perimeter / Email / Web</t>
        </is>
      </c>
      <c r="Q1578" s="187" t="inlineStr">
        <is>
          <t>P3</t>
        </is>
      </c>
      <c r="R1578" s="187" t="inlineStr">
        <is>
          <t>🚫 Block IP at firewall immediately | 🔍 Check logs for existing connections | 🛡️ Add to threat intelligence blocklist</t>
        </is>
      </c>
      <c r="S1578" s="187" t="inlineStr">
        <is>
          <t>Check ip-api.com + AbuseIPDB for context</t>
        </is>
      </c>
      <c r="T1578" s="187" t="n">
        <v>0</v>
      </c>
      <c r="U1578" s="187" t="n">
        <v>0</v>
      </c>
      <c r="V1578" s="187" t="inlineStr">
        <is>
          <t>T1110:Brute Force | T1190:Exploit Public-Facing Application | T1566:Phishing</t>
        </is>
      </c>
      <c r="W1578" s="187" t="n">
        <v>1</v>
      </c>
      <c r="X1578" s="187" t="inlineStr">
        <is>
          <t>MEDIUM (60%)</t>
        </is>
      </c>
      <c r="Y1578" s="187" t="inlineStr">
        <is>
          <t>NONE</t>
        </is>
      </c>
      <c r="Z1578" s="187" t="inlineStr">
        <is>
          <t>NONE</t>
        </is>
      </c>
      <c r="AA1578" s="187" t="inlineStr">
        <is>
          <t>NONE</t>
        </is>
      </c>
      <c r="AB1578" s="187" t="inlineStr">
        <is>
          <t>NONE</t>
        </is>
      </c>
      <c r="AC1578" s="187" t="n">
        <v>0</v>
      </c>
      <c r="AD1578" s="187" t="inlineStr"/>
    </row>
    <row r="1579">
      <c r="A1579" s="187" t="inlineStr">
        <is>
          <t>TALOS_IP</t>
        </is>
      </c>
      <c r="B1579" s="187" t="inlineStr">
        <is>
          <t>72cadb24f124</t>
        </is>
      </c>
      <c r="C1579" s="187" t="inlineStr">
        <is>
          <t>Cisco Talos Blacklisted IP: 1.24.16.5 | Verified malicious | Sources: TALOS</t>
        </is>
      </c>
      <c r="D1579" s="187" t="n">
        <v>7</v>
      </c>
      <c r="E1579" s="187" t="inlineStr">
        <is>
          <t>HIGH</t>
        </is>
      </c>
      <c r="F1579" s="187" t="n">
        <v>3</v>
      </c>
      <c r="G1579" s="187" t="n">
        <v>2</v>
      </c>
      <c r="H1579" s="187" t="inlineStr">
        <is>
          <t>HIGH</t>
        </is>
      </c>
      <c r="I1579" s="187" t="n">
        <v>13</v>
      </c>
      <c r="J1579" s="187" t="inlineStr">
        <is>
          <t>NO</t>
        </is>
      </c>
      <c r="K1579" s="187" t="inlineStr">
        <is>
          <t>https://talosintelligence.com/reputation_center/lookup?search=1.24.16.5</t>
        </is>
      </c>
      <c r="L1579" s="187" t="inlineStr">
        <is>
          <t>2026-02-27 20:47</t>
        </is>
      </c>
      <c r="M1579" s="187" t="inlineStr">
        <is>
          <t>Block IP</t>
        </is>
      </c>
      <c r="N1579" s="187" t="inlineStr">
        <is>
          <t>https://talosintelligence.com/reputation_center/lookup?search=1.24.16.5</t>
        </is>
      </c>
      <c r="O1579" s="187" t="inlineStr">
        <is>
          <t>Block IP 1.24.16.5 at firewall | Cisco Talos confirmed malicious</t>
        </is>
      </c>
      <c r="P1579" s="187" t="inlineStr">
        <is>
          <t>Network perimeter / Email / Web</t>
        </is>
      </c>
      <c r="Q1579" s="187" t="inlineStr">
        <is>
          <t>P3</t>
        </is>
      </c>
      <c r="R1579" s="187" t="inlineStr">
        <is>
          <t>🚫 Block IP at firewall immediately | 🔍 Check logs for existing connections | 🛡️ Add to threat intelligence blocklist</t>
        </is>
      </c>
      <c r="S1579" s="187" t="inlineStr">
        <is>
          <t>Check ip-api.com + AbuseIPDB for context</t>
        </is>
      </c>
      <c r="T1579" s="187" t="n">
        <v>0</v>
      </c>
      <c r="U1579" s="187" t="n">
        <v>0</v>
      </c>
      <c r="V1579" s="187" t="inlineStr">
        <is>
          <t>T1110:Brute Force | T1190:Exploit Public-Facing Application | T1566:Phishing</t>
        </is>
      </c>
      <c r="W1579" s="187" t="n">
        <v>1</v>
      </c>
      <c r="X1579" s="187" t="inlineStr">
        <is>
          <t>MEDIUM (60%)</t>
        </is>
      </c>
      <c r="Y1579" s="187" t="inlineStr">
        <is>
          <t>NONE</t>
        </is>
      </c>
      <c r="Z1579" s="187" t="inlineStr">
        <is>
          <t>NONE</t>
        </is>
      </c>
      <c r="AA1579" s="187" t="inlineStr">
        <is>
          <t>NONE</t>
        </is>
      </c>
      <c r="AB1579" s="187" t="inlineStr">
        <is>
          <t>NONE</t>
        </is>
      </c>
      <c r="AC1579" s="187" t="n">
        <v>0</v>
      </c>
      <c r="AD1579" s="187" t="inlineStr"/>
    </row>
    <row r="1580">
      <c r="A1580" s="187" t="inlineStr">
        <is>
          <t>TALOS_IP</t>
        </is>
      </c>
      <c r="B1580" s="187" t="inlineStr">
        <is>
          <t>002a688dd5d1</t>
        </is>
      </c>
      <c r="C1580" s="187" t="inlineStr">
        <is>
          <t>Cisco Talos Blacklisted IP: 1.24.16.52 | Verified malicious | Sources: TALOS</t>
        </is>
      </c>
      <c r="D1580" s="187" t="n">
        <v>7</v>
      </c>
      <c r="E1580" s="187" t="inlineStr">
        <is>
          <t>HIGH</t>
        </is>
      </c>
      <c r="F1580" s="187" t="n">
        <v>3</v>
      </c>
      <c r="G1580" s="187" t="n">
        <v>2</v>
      </c>
      <c r="H1580" s="187" t="inlineStr">
        <is>
          <t>HIGH</t>
        </is>
      </c>
      <c r="I1580" s="187" t="n">
        <v>13</v>
      </c>
      <c r="J1580" s="187" t="inlineStr">
        <is>
          <t>NO</t>
        </is>
      </c>
      <c r="K1580" s="187" t="inlineStr">
        <is>
          <t>https://talosintelligence.com/reputation_center/lookup?search=1.24.16.52</t>
        </is>
      </c>
      <c r="L1580" s="187" t="inlineStr">
        <is>
          <t>2026-02-27 20:47</t>
        </is>
      </c>
      <c r="M1580" s="187" t="inlineStr">
        <is>
          <t>Block IP</t>
        </is>
      </c>
      <c r="N1580" s="187" t="inlineStr">
        <is>
          <t>https://talosintelligence.com/reputation_center/lookup?search=1.24.16.52</t>
        </is>
      </c>
      <c r="O1580" s="187" t="inlineStr">
        <is>
          <t>Block IP 1.24.16.52 at firewall | Cisco Talos confirmed malicious</t>
        </is>
      </c>
      <c r="P1580" s="187" t="inlineStr">
        <is>
          <t>Network perimeter / Email / Web</t>
        </is>
      </c>
      <c r="Q1580" s="187" t="inlineStr">
        <is>
          <t>P3</t>
        </is>
      </c>
      <c r="R1580" s="187" t="inlineStr">
        <is>
          <t>🚫 Block IP at firewall immediately | 🔍 Check logs for existing connections | 🛡️ Add to threat intelligence blocklist</t>
        </is>
      </c>
      <c r="S1580" s="187" t="inlineStr">
        <is>
          <t>Check ip-api.com + AbuseIPDB for context</t>
        </is>
      </c>
      <c r="T1580" s="187" t="n">
        <v>0</v>
      </c>
      <c r="U1580" s="187" t="n">
        <v>0</v>
      </c>
      <c r="V1580" s="187" t="inlineStr">
        <is>
          <t>T1110:Brute Force | T1190:Exploit Public-Facing Application | T1566:Phishing</t>
        </is>
      </c>
      <c r="W1580" s="187" t="n">
        <v>1</v>
      </c>
      <c r="X1580" s="187" t="inlineStr">
        <is>
          <t>MEDIUM (60%)</t>
        </is>
      </c>
      <c r="Y1580" s="187" t="inlineStr">
        <is>
          <t>NONE</t>
        </is>
      </c>
      <c r="Z1580" s="187" t="inlineStr">
        <is>
          <t>NONE</t>
        </is>
      </c>
      <c r="AA1580" s="187" t="inlineStr">
        <is>
          <t>NONE</t>
        </is>
      </c>
      <c r="AB1580" s="187" t="inlineStr">
        <is>
          <t>NONE</t>
        </is>
      </c>
      <c r="AC1580" s="187" t="n">
        <v>0</v>
      </c>
      <c r="AD1580" s="187" t="inlineStr"/>
    </row>
    <row r="1581">
      <c r="A1581" s="187" t="inlineStr">
        <is>
          <t>TALOS_IP</t>
        </is>
      </c>
      <c r="B1581" s="187" t="inlineStr">
        <is>
          <t>a72d863c4727</t>
        </is>
      </c>
      <c r="C1581" s="187" t="inlineStr">
        <is>
          <t>Cisco Talos Blacklisted IP: 1.24.16.65 | Verified malicious | Sources: TALOS</t>
        </is>
      </c>
      <c r="D1581" s="187" t="n">
        <v>7</v>
      </c>
      <c r="E1581" s="187" t="inlineStr">
        <is>
          <t>HIGH</t>
        </is>
      </c>
      <c r="F1581" s="187" t="n">
        <v>3</v>
      </c>
      <c r="G1581" s="187" t="n">
        <v>2</v>
      </c>
      <c r="H1581" s="187" t="inlineStr">
        <is>
          <t>HIGH</t>
        </is>
      </c>
      <c r="I1581" s="187" t="n">
        <v>13</v>
      </c>
      <c r="J1581" s="187" t="inlineStr">
        <is>
          <t>NO</t>
        </is>
      </c>
      <c r="K1581" s="187" t="inlineStr">
        <is>
          <t>https://talosintelligence.com/reputation_center/lookup?search=1.24.16.65</t>
        </is>
      </c>
      <c r="L1581" s="187" t="inlineStr">
        <is>
          <t>2026-02-27 20:47</t>
        </is>
      </c>
      <c r="M1581" s="187" t="inlineStr">
        <is>
          <t>Block IP</t>
        </is>
      </c>
      <c r="N1581" s="187" t="inlineStr">
        <is>
          <t>https://talosintelligence.com/reputation_center/lookup?search=1.24.16.65</t>
        </is>
      </c>
      <c r="O1581" s="187" t="inlineStr">
        <is>
          <t>Block IP 1.24.16.65 at firewall | Cisco Talos confirmed malicious</t>
        </is>
      </c>
      <c r="P1581" s="187" t="inlineStr">
        <is>
          <t>Network perimeter / Email / Web</t>
        </is>
      </c>
      <c r="Q1581" s="187" t="inlineStr">
        <is>
          <t>P3</t>
        </is>
      </c>
      <c r="R1581" s="187" t="inlineStr">
        <is>
          <t>🚫 Block IP at firewall immediately | 🔍 Check logs for existing connections | 🛡️ Add to threat intelligence blocklist</t>
        </is>
      </c>
      <c r="S1581" s="187" t="inlineStr">
        <is>
          <t>Check ip-api.com + AbuseIPDB for context</t>
        </is>
      </c>
      <c r="T1581" s="187" t="n">
        <v>0</v>
      </c>
      <c r="U1581" s="187" t="n">
        <v>0</v>
      </c>
      <c r="V1581" s="187" t="inlineStr">
        <is>
          <t>T1110:Brute Force | T1190:Exploit Public-Facing Application | T1566:Phishing</t>
        </is>
      </c>
      <c r="W1581" s="187" t="n">
        <v>1</v>
      </c>
      <c r="X1581" s="187" t="inlineStr">
        <is>
          <t>MEDIUM (60%)</t>
        </is>
      </c>
      <c r="Y1581" s="187" t="inlineStr">
        <is>
          <t>NONE</t>
        </is>
      </c>
      <c r="Z1581" s="187" t="inlineStr">
        <is>
          <t>NONE</t>
        </is>
      </c>
      <c r="AA1581" s="187" t="inlineStr">
        <is>
          <t>NONE</t>
        </is>
      </c>
      <c r="AB1581" s="187" t="inlineStr">
        <is>
          <t>NONE</t>
        </is>
      </c>
      <c r="AC1581" s="187" t="n">
        <v>0</v>
      </c>
      <c r="AD1581" s="187" t="inlineStr"/>
    </row>
    <row r="1582">
      <c r="A1582" s="187" t="inlineStr">
        <is>
          <t>TALOS_IP</t>
        </is>
      </c>
      <c r="B1582" s="187" t="inlineStr">
        <is>
          <t>0c9b77fa8b75</t>
        </is>
      </c>
      <c r="C1582" s="187" t="inlineStr">
        <is>
          <t>Cisco Talos Blacklisted IP: 1.24.16.66 | Verified malicious | Sources: TALOS</t>
        </is>
      </c>
      <c r="D1582" s="187" t="n">
        <v>7</v>
      </c>
      <c r="E1582" s="187" t="inlineStr">
        <is>
          <t>HIGH</t>
        </is>
      </c>
      <c r="F1582" s="187" t="n">
        <v>3</v>
      </c>
      <c r="G1582" s="187" t="n">
        <v>2</v>
      </c>
      <c r="H1582" s="187" t="inlineStr">
        <is>
          <t>HIGH</t>
        </is>
      </c>
      <c r="I1582" s="187" t="n">
        <v>13</v>
      </c>
      <c r="J1582" s="187" t="inlineStr">
        <is>
          <t>NO</t>
        </is>
      </c>
      <c r="K1582" s="187" t="inlineStr">
        <is>
          <t>https://talosintelligence.com/reputation_center/lookup?search=1.24.16.66</t>
        </is>
      </c>
      <c r="L1582" s="187" t="inlineStr">
        <is>
          <t>2026-02-27 20:47</t>
        </is>
      </c>
      <c r="M1582" s="187" t="inlineStr">
        <is>
          <t>Block IP</t>
        </is>
      </c>
      <c r="N1582" s="187" t="inlineStr">
        <is>
          <t>https://talosintelligence.com/reputation_center/lookup?search=1.24.16.66</t>
        </is>
      </c>
      <c r="O1582" s="187" t="inlineStr">
        <is>
          <t>Block IP 1.24.16.66 at firewall | Cisco Talos confirmed malicious</t>
        </is>
      </c>
      <c r="P1582" s="187" t="inlineStr">
        <is>
          <t>Network perimeter / Email / Web</t>
        </is>
      </c>
      <c r="Q1582" s="187" t="inlineStr">
        <is>
          <t>P3</t>
        </is>
      </c>
      <c r="R1582" s="187" t="inlineStr">
        <is>
          <t>🚫 Block IP at firewall immediately | 🔍 Check logs for existing connections | 🛡️ Add to threat intelligence blocklist</t>
        </is>
      </c>
      <c r="S1582" s="187" t="inlineStr">
        <is>
          <t>Check ip-api.com + AbuseIPDB for context</t>
        </is>
      </c>
      <c r="T1582" s="187" t="n">
        <v>0</v>
      </c>
      <c r="U1582" s="187" t="n">
        <v>0</v>
      </c>
      <c r="V1582" s="187" t="inlineStr">
        <is>
          <t>T1110:Brute Force | T1190:Exploit Public-Facing Application | T1566:Phishing</t>
        </is>
      </c>
      <c r="W1582" s="187" t="n">
        <v>1</v>
      </c>
      <c r="X1582" s="187" t="inlineStr">
        <is>
          <t>MEDIUM (60%)</t>
        </is>
      </c>
      <c r="Y1582" s="187" t="inlineStr">
        <is>
          <t>NONE</t>
        </is>
      </c>
      <c r="Z1582" s="187" t="inlineStr">
        <is>
          <t>NONE</t>
        </is>
      </c>
      <c r="AA1582" s="187" t="inlineStr">
        <is>
          <t>NONE</t>
        </is>
      </c>
      <c r="AB1582" s="187" t="inlineStr">
        <is>
          <t>NONE</t>
        </is>
      </c>
      <c r="AC1582" s="187" t="n">
        <v>0</v>
      </c>
      <c r="AD1582" s="187" t="inlineStr"/>
    </row>
    <row r="1583">
      <c r="A1583" s="187" t="inlineStr">
        <is>
          <t>TALOS_IP</t>
        </is>
      </c>
      <c r="B1583" s="187" t="inlineStr">
        <is>
          <t>c42c59dcd91b</t>
        </is>
      </c>
      <c r="C1583" s="187" t="inlineStr">
        <is>
          <t>Cisco Talos Blacklisted IP: 1.24.16.70 | Verified malicious | Sources: TALOS</t>
        </is>
      </c>
      <c r="D1583" s="187" t="n">
        <v>7</v>
      </c>
      <c r="E1583" s="187" t="inlineStr">
        <is>
          <t>HIGH</t>
        </is>
      </c>
      <c r="F1583" s="187" t="n">
        <v>3</v>
      </c>
      <c r="G1583" s="187" t="n">
        <v>2</v>
      </c>
      <c r="H1583" s="187" t="inlineStr">
        <is>
          <t>HIGH</t>
        </is>
      </c>
      <c r="I1583" s="187" t="n">
        <v>13</v>
      </c>
      <c r="J1583" s="187" t="inlineStr">
        <is>
          <t>NO</t>
        </is>
      </c>
      <c r="K1583" s="187" t="inlineStr">
        <is>
          <t>https://talosintelligence.com/reputation_center/lookup?search=1.24.16.70</t>
        </is>
      </c>
      <c r="L1583" s="187" t="inlineStr">
        <is>
          <t>2026-02-27 20:47</t>
        </is>
      </c>
      <c r="M1583" s="187" t="inlineStr">
        <is>
          <t>Block IP</t>
        </is>
      </c>
      <c r="N1583" s="187" t="inlineStr">
        <is>
          <t>https://talosintelligence.com/reputation_center/lookup?search=1.24.16.70</t>
        </is>
      </c>
      <c r="O1583" s="187" t="inlineStr">
        <is>
          <t>Block IP 1.24.16.70 at firewall | Cisco Talos confirmed malicious</t>
        </is>
      </c>
      <c r="P1583" s="187" t="inlineStr">
        <is>
          <t>Network perimeter / Email / Web</t>
        </is>
      </c>
      <c r="Q1583" s="187" t="inlineStr">
        <is>
          <t>P3</t>
        </is>
      </c>
      <c r="R1583" s="187" t="inlineStr">
        <is>
          <t>🚫 Block IP at firewall immediately | 🔍 Check logs for existing connections | 🛡️ Add to threat intelligence blocklist</t>
        </is>
      </c>
      <c r="S1583" s="187" t="inlineStr">
        <is>
          <t>Check ip-api.com + AbuseIPDB for context</t>
        </is>
      </c>
      <c r="T1583" s="187" t="n">
        <v>0</v>
      </c>
      <c r="U1583" s="187" t="n">
        <v>0</v>
      </c>
      <c r="V1583" s="187" t="inlineStr">
        <is>
          <t>T1110:Brute Force | T1190:Exploit Public-Facing Application | T1566:Phishing</t>
        </is>
      </c>
      <c r="W1583" s="187" t="n">
        <v>1</v>
      </c>
      <c r="X1583" s="187" t="inlineStr">
        <is>
          <t>MEDIUM (60%)</t>
        </is>
      </c>
      <c r="Y1583" s="187" t="inlineStr">
        <is>
          <t>NONE</t>
        </is>
      </c>
      <c r="Z1583" s="187" t="inlineStr">
        <is>
          <t>NONE</t>
        </is>
      </c>
      <c r="AA1583" s="187" t="inlineStr">
        <is>
          <t>NONE</t>
        </is>
      </c>
      <c r="AB1583" s="187" t="inlineStr">
        <is>
          <t>NONE</t>
        </is>
      </c>
      <c r="AC1583" s="187" t="n">
        <v>0</v>
      </c>
      <c r="AD1583" s="187" t="inlineStr"/>
    </row>
    <row r="1584">
      <c r="A1584" s="187" t="inlineStr">
        <is>
          <t>TALOS_IP</t>
        </is>
      </c>
      <c r="B1584" s="187" t="inlineStr">
        <is>
          <t>fb8f913d77ff</t>
        </is>
      </c>
      <c r="C1584" s="187" t="inlineStr">
        <is>
          <t>Cisco Talos Blacklisted IP: 1.24.16.75 | Verified malicious | Sources: TALOS</t>
        </is>
      </c>
      <c r="D1584" s="187" t="n">
        <v>7</v>
      </c>
      <c r="E1584" s="187" t="inlineStr">
        <is>
          <t>HIGH</t>
        </is>
      </c>
      <c r="F1584" s="187" t="n">
        <v>3</v>
      </c>
      <c r="G1584" s="187" t="n">
        <v>2</v>
      </c>
      <c r="H1584" s="187" t="inlineStr">
        <is>
          <t>HIGH</t>
        </is>
      </c>
      <c r="I1584" s="187" t="n">
        <v>13</v>
      </c>
      <c r="J1584" s="187" t="inlineStr">
        <is>
          <t>NO</t>
        </is>
      </c>
      <c r="K1584" s="187" t="inlineStr">
        <is>
          <t>https://talosintelligence.com/reputation_center/lookup?search=1.24.16.75</t>
        </is>
      </c>
      <c r="L1584" s="187" t="inlineStr">
        <is>
          <t>2026-02-27 20:47</t>
        </is>
      </c>
      <c r="M1584" s="187" t="inlineStr">
        <is>
          <t>Block IP</t>
        </is>
      </c>
      <c r="N1584" s="187" t="inlineStr">
        <is>
          <t>https://talosintelligence.com/reputation_center/lookup?search=1.24.16.75</t>
        </is>
      </c>
      <c r="O1584" s="187" t="inlineStr">
        <is>
          <t>Block IP 1.24.16.75 at firewall | Cisco Talos confirmed malicious</t>
        </is>
      </c>
      <c r="P1584" s="187" t="inlineStr">
        <is>
          <t>Network perimeter / Email / Web</t>
        </is>
      </c>
      <c r="Q1584" s="187" t="inlineStr">
        <is>
          <t>P3</t>
        </is>
      </c>
      <c r="R1584" s="187" t="inlineStr">
        <is>
          <t>🚫 Block IP at firewall immediately | 🔍 Check logs for existing connections | 🛡️ Add to threat intelligence blocklist</t>
        </is>
      </c>
      <c r="S1584" s="187" t="inlineStr">
        <is>
          <t>Check ip-api.com + AbuseIPDB for context</t>
        </is>
      </c>
      <c r="T1584" s="187" t="n">
        <v>0</v>
      </c>
      <c r="U1584" s="187" t="n">
        <v>0</v>
      </c>
      <c r="V1584" s="187" t="inlineStr">
        <is>
          <t>T1110:Brute Force | T1190:Exploit Public-Facing Application | T1566:Phishing</t>
        </is>
      </c>
      <c r="W1584" s="187" t="n">
        <v>1</v>
      </c>
      <c r="X1584" s="187" t="inlineStr">
        <is>
          <t>MEDIUM (60%)</t>
        </is>
      </c>
      <c r="Y1584" s="187" t="inlineStr">
        <is>
          <t>NONE</t>
        </is>
      </c>
      <c r="Z1584" s="187" t="inlineStr">
        <is>
          <t>NONE</t>
        </is>
      </c>
      <c r="AA1584" s="187" t="inlineStr">
        <is>
          <t>NONE</t>
        </is>
      </c>
      <c r="AB1584" s="187" t="inlineStr">
        <is>
          <t>NONE</t>
        </is>
      </c>
      <c r="AC1584" s="187" t="n">
        <v>0</v>
      </c>
      <c r="AD1584" s="187" t="inlineStr"/>
    </row>
    <row r="1585">
      <c r="A1585" s="187" t="inlineStr">
        <is>
          <t>TALOS_IP</t>
        </is>
      </c>
      <c r="B1585" s="187" t="inlineStr">
        <is>
          <t>3d428a3ce6fe</t>
        </is>
      </c>
      <c r="C1585" s="187" t="inlineStr">
        <is>
          <t>Cisco Talos Blacklisted IP: 1.24.16.86 | Verified malicious | Sources: TALOS</t>
        </is>
      </c>
      <c r="D1585" s="187" t="n">
        <v>7</v>
      </c>
      <c r="E1585" s="187" t="inlineStr">
        <is>
          <t>HIGH</t>
        </is>
      </c>
      <c r="F1585" s="187" t="n">
        <v>3</v>
      </c>
      <c r="G1585" s="187" t="n">
        <v>2</v>
      </c>
      <c r="H1585" s="187" t="inlineStr">
        <is>
          <t>HIGH</t>
        </is>
      </c>
      <c r="I1585" s="187" t="n">
        <v>13</v>
      </c>
      <c r="J1585" s="187" t="inlineStr">
        <is>
          <t>NO</t>
        </is>
      </c>
      <c r="K1585" s="187" t="inlineStr">
        <is>
          <t>https://talosintelligence.com/reputation_center/lookup?search=1.24.16.86</t>
        </is>
      </c>
      <c r="L1585" s="187" t="inlineStr">
        <is>
          <t>2026-02-27 20:47</t>
        </is>
      </c>
      <c r="M1585" s="187" t="inlineStr">
        <is>
          <t>Block IP</t>
        </is>
      </c>
      <c r="N1585" s="187" t="inlineStr">
        <is>
          <t>https://talosintelligence.com/reputation_center/lookup?search=1.24.16.86</t>
        </is>
      </c>
      <c r="O1585" s="187" t="inlineStr">
        <is>
          <t>Block IP 1.24.16.86 at firewall | Cisco Talos confirmed malicious</t>
        </is>
      </c>
      <c r="P1585" s="187" t="inlineStr">
        <is>
          <t>Network perimeter / Email / Web</t>
        </is>
      </c>
      <c r="Q1585" s="187" t="inlineStr">
        <is>
          <t>P3</t>
        </is>
      </c>
      <c r="R1585" s="187" t="inlineStr">
        <is>
          <t>🚫 Block IP at firewall immediately | 🔍 Check logs for existing connections | 🛡️ Add to threat intelligence blocklist</t>
        </is>
      </c>
      <c r="S1585" s="187" t="inlineStr">
        <is>
          <t>Check ip-api.com + AbuseIPDB for context</t>
        </is>
      </c>
      <c r="T1585" s="187" t="n">
        <v>0</v>
      </c>
      <c r="U1585" s="187" t="n">
        <v>0</v>
      </c>
      <c r="V1585" s="187" t="inlineStr">
        <is>
          <t>T1110:Brute Force | T1190:Exploit Public-Facing Application | T1566:Phishing</t>
        </is>
      </c>
      <c r="W1585" s="187" t="n">
        <v>1</v>
      </c>
      <c r="X1585" s="187" t="inlineStr">
        <is>
          <t>MEDIUM (60%)</t>
        </is>
      </c>
      <c r="Y1585" s="187" t="inlineStr">
        <is>
          <t>NONE</t>
        </is>
      </c>
      <c r="Z1585" s="187" t="inlineStr">
        <is>
          <t>NONE</t>
        </is>
      </c>
      <c r="AA1585" s="187" t="inlineStr">
        <is>
          <t>NONE</t>
        </is>
      </c>
      <c r="AB1585" s="187" t="inlineStr">
        <is>
          <t>NONE</t>
        </is>
      </c>
      <c r="AC1585" s="187" t="n">
        <v>0</v>
      </c>
      <c r="AD1585" s="187" t="inlineStr"/>
    </row>
    <row r="1586">
      <c r="A1586" s="187" t="inlineStr">
        <is>
          <t>TALOS_IP</t>
        </is>
      </c>
      <c r="B1586" s="187" t="inlineStr">
        <is>
          <t>ce9ac015fefc</t>
        </is>
      </c>
      <c r="C1586" s="187" t="inlineStr">
        <is>
          <t>Cisco Talos Blacklisted IP: 1.24.16.88 | Verified malicious | Sources: TALOS</t>
        </is>
      </c>
      <c r="D1586" s="187" t="n">
        <v>7</v>
      </c>
      <c r="E1586" s="187" t="inlineStr">
        <is>
          <t>HIGH</t>
        </is>
      </c>
      <c r="F1586" s="187" t="n">
        <v>3</v>
      </c>
      <c r="G1586" s="187" t="n">
        <v>2</v>
      </c>
      <c r="H1586" s="187" t="inlineStr">
        <is>
          <t>HIGH</t>
        </is>
      </c>
      <c r="I1586" s="187" t="n">
        <v>13</v>
      </c>
      <c r="J1586" s="187" t="inlineStr">
        <is>
          <t>NO</t>
        </is>
      </c>
      <c r="K1586" s="187" t="inlineStr">
        <is>
          <t>https://talosintelligence.com/reputation_center/lookup?search=1.24.16.88</t>
        </is>
      </c>
      <c r="L1586" s="187" t="inlineStr">
        <is>
          <t>2026-02-27 20:47</t>
        </is>
      </c>
      <c r="M1586" s="187" t="inlineStr">
        <is>
          <t>Block IP</t>
        </is>
      </c>
      <c r="N1586" s="187" t="inlineStr">
        <is>
          <t>https://talosintelligence.com/reputation_center/lookup?search=1.24.16.88</t>
        </is>
      </c>
      <c r="O1586" s="187" t="inlineStr">
        <is>
          <t>Block IP 1.24.16.88 at firewall | Cisco Talos confirmed malicious</t>
        </is>
      </c>
      <c r="P1586" s="187" t="inlineStr">
        <is>
          <t>Network perimeter / Email / Web</t>
        </is>
      </c>
      <c r="Q1586" s="187" t="inlineStr">
        <is>
          <t>P3</t>
        </is>
      </c>
      <c r="R1586" s="187" t="inlineStr">
        <is>
          <t>🚫 Block IP at firewall immediately | 🔍 Check logs for existing connections | 🛡️ Add to threat intelligence blocklist</t>
        </is>
      </c>
      <c r="S1586" s="187" t="inlineStr">
        <is>
          <t>Check ip-api.com + AbuseIPDB for context</t>
        </is>
      </c>
      <c r="T1586" s="187" t="n">
        <v>0</v>
      </c>
      <c r="U1586" s="187" t="n">
        <v>0</v>
      </c>
      <c r="V1586" s="187" t="inlineStr">
        <is>
          <t>T1110:Brute Force | T1190:Exploit Public-Facing Application | T1566:Phishing</t>
        </is>
      </c>
      <c r="W1586" s="187" t="n">
        <v>1</v>
      </c>
      <c r="X1586" s="187" t="inlineStr">
        <is>
          <t>MEDIUM (60%)</t>
        </is>
      </c>
      <c r="Y1586" s="187" t="inlineStr">
        <is>
          <t>NONE</t>
        </is>
      </c>
      <c r="Z1586" s="187" t="inlineStr">
        <is>
          <t>NONE</t>
        </is>
      </c>
      <c r="AA1586" s="187" t="inlineStr">
        <is>
          <t>NONE</t>
        </is>
      </c>
      <c r="AB1586" s="187" t="inlineStr">
        <is>
          <t>NONE</t>
        </is>
      </c>
      <c r="AC1586" s="187" t="n">
        <v>0</v>
      </c>
      <c r="AD1586" s="187" t="inlineStr"/>
    </row>
    <row r="1587">
      <c r="A1587" s="187" t="inlineStr">
        <is>
          <t>TALOS_IP</t>
        </is>
      </c>
      <c r="B1587" s="187" t="inlineStr">
        <is>
          <t>58d9a54368a2</t>
        </is>
      </c>
      <c r="C1587" s="187" t="inlineStr">
        <is>
          <t>Cisco Talos Blacklisted IP: 1.24.16.91 | Verified malicious | Sources: TALOS</t>
        </is>
      </c>
      <c r="D1587" s="187" t="n">
        <v>7</v>
      </c>
      <c r="E1587" s="187" t="inlineStr">
        <is>
          <t>HIGH</t>
        </is>
      </c>
      <c r="F1587" s="187" t="n">
        <v>3</v>
      </c>
      <c r="G1587" s="187" t="n">
        <v>2</v>
      </c>
      <c r="H1587" s="187" t="inlineStr">
        <is>
          <t>HIGH</t>
        </is>
      </c>
      <c r="I1587" s="187" t="n">
        <v>13</v>
      </c>
      <c r="J1587" s="187" t="inlineStr">
        <is>
          <t>NO</t>
        </is>
      </c>
      <c r="K1587" s="187" t="inlineStr">
        <is>
          <t>https://talosintelligence.com/reputation_center/lookup?search=1.24.16.91</t>
        </is>
      </c>
      <c r="L1587" s="187" t="inlineStr">
        <is>
          <t>2026-02-27 20:47</t>
        </is>
      </c>
      <c r="M1587" s="187" t="inlineStr">
        <is>
          <t>Block IP</t>
        </is>
      </c>
      <c r="N1587" s="187" t="inlineStr">
        <is>
          <t>https://talosintelligence.com/reputation_center/lookup?search=1.24.16.91</t>
        </is>
      </c>
      <c r="O1587" s="187" t="inlineStr">
        <is>
          <t>Block IP 1.24.16.91 at firewall | Cisco Talos confirmed malicious</t>
        </is>
      </c>
      <c r="P1587" s="187" t="inlineStr">
        <is>
          <t>Network perimeter / Email / Web</t>
        </is>
      </c>
      <c r="Q1587" s="187" t="inlineStr">
        <is>
          <t>P3</t>
        </is>
      </c>
      <c r="R1587" s="187" t="inlineStr">
        <is>
          <t>🚫 Block IP at firewall immediately | 🔍 Check logs for existing connections | 🛡️ Add to threat intelligence blocklist</t>
        </is>
      </c>
      <c r="S1587" s="187" t="inlineStr">
        <is>
          <t>Check ip-api.com + AbuseIPDB for context</t>
        </is>
      </c>
      <c r="T1587" s="187" t="n">
        <v>0</v>
      </c>
      <c r="U1587" s="187" t="n">
        <v>0</v>
      </c>
      <c r="V1587" s="187" t="inlineStr">
        <is>
          <t>T1110:Brute Force | T1190:Exploit Public-Facing Application | T1566:Phishing</t>
        </is>
      </c>
      <c r="W1587" s="187" t="n">
        <v>1</v>
      </c>
      <c r="X1587" s="187" t="inlineStr">
        <is>
          <t>MEDIUM (60%)</t>
        </is>
      </c>
      <c r="Y1587" s="187" t="inlineStr">
        <is>
          <t>NONE</t>
        </is>
      </c>
      <c r="Z1587" s="187" t="inlineStr">
        <is>
          <t>NONE</t>
        </is>
      </c>
      <c r="AA1587" s="187" t="inlineStr">
        <is>
          <t>NONE</t>
        </is>
      </c>
      <c r="AB1587" s="187" t="inlineStr">
        <is>
          <t>NONE</t>
        </is>
      </c>
      <c r="AC1587" s="187" t="n">
        <v>0</v>
      </c>
      <c r="AD1587" s="187" t="inlineStr"/>
    </row>
    <row r="1588">
      <c r="A1588" s="187" t="inlineStr">
        <is>
          <t>TALOS_IP</t>
        </is>
      </c>
      <c r="B1588" s="187" t="inlineStr">
        <is>
          <t>fe3bd451483c</t>
        </is>
      </c>
      <c r="C1588" s="187" t="inlineStr">
        <is>
          <t>Cisco Talos Blacklisted IP: 1.24.16.97 | Verified malicious | Sources: TALOS</t>
        </is>
      </c>
      <c r="D1588" s="187" t="n">
        <v>7</v>
      </c>
      <c r="E1588" s="187" t="inlineStr">
        <is>
          <t>HIGH</t>
        </is>
      </c>
      <c r="F1588" s="187" t="n">
        <v>3</v>
      </c>
      <c r="G1588" s="187" t="n">
        <v>2</v>
      </c>
      <c r="H1588" s="187" t="inlineStr">
        <is>
          <t>HIGH</t>
        </is>
      </c>
      <c r="I1588" s="187" t="n">
        <v>13</v>
      </c>
      <c r="J1588" s="187" t="inlineStr">
        <is>
          <t>NO</t>
        </is>
      </c>
      <c r="K1588" s="187" t="inlineStr">
        <is>
          <t>https://talosintelligence.com/reputation_center/lookup?search=1.24.16.97</t>
        </is>
      </c>
      <c r="L1588" s="187" t="inlineStr">
        <is>
          <t>2026-02-27 20:47</t>
        </is>
      </c>
      <c r="M1588" s="187" t="inlineStr">
        <is>
          <t>Block IP</t>
        </is>
      </c>
      <c r="N1588" s="187" t="inlineStr">
        <is>
          <t>https://talosintelligence.com/reputation_center/lookup?search=1.24.16.97</t>
        </is>
      </c>
      <c r="O1588" s="187" t="inlineStr">
        <is>
          <t>Block IP 1.24.16.97 at firewall | Cisco Talos confirmed malicious</t>
        </is>
      </c>
      <c r="P1588" s="187" t="inlineStr">
        <is>
          <t>Network perimeter / Email / Web</t>
        </is>
      </c>
      <c r="Q1588" s="187" t="inlineStr">
        <is>
          <t>P3</t>
        </is>
      </c>
      <c r="R1588" s="187" t="inlineStr">
        <is>
          <t>🚫 Block IP at firewall immediately | 🔍 Check logs for existing connections | 🛡️ Add to threat intelligence blocklist</t>
        </is>
      </c>
      <c r="S1588" s="187" t="inlineStr">
        <is>
          <t>Check ip-api.com + AbuseIPDB for context</t>
        </is>
      </c>
      <c r="T1588" s="187" t="n">
        <v>0</v>
      </c>
      <c r="U1588" s="187" t="n">
        <v>0</v>
      </c>
      <c r="V1588" s="187" t="inlineStr">
        <is>
          <t>T1110:Brute Force | T1190:Exploit Public-Facing Application | T1566:Phishing</t>
        </is>
      </c>
      <c r="W1588" s="187" t="n">
        <v>1</v>
      </c>
      <c r="X1588" s="187" t="inlineStr">
        <is>
          <t>MEDIUM (60%)</t>
        </is>
      </c>
      <c r="Y1588" s="187" t="inlineStr">
        <is>
          <t>NONE</t>
        </is>
      </c>
      <c r="Z1588" s="187" t="inlineStr">
        <is>
          <t>NONE</t>
        </is>
      </c>
      <c r="AA1588" s="187" t="inlineStr">
        <is>
          <t>NONE</t>
        </is>
      </c>
      <c r="AB1588" s="187" t="inlineStr">
        <is>
          <t>NONE</t>
        </is>
      </c>
      <c r="AC1588" s="187" t="n">
        <v>0</v>
      </c>
      <c r="AD1588" s="187" t="inlineStr"/>
    </row>
    <row r="1589">
      <c r="A1589" s="187" t="inlineStr">
        <is>
          <t>TALOS_IP</t>
        </is>
      </c>
      <c r="B1589" s="187" t="inlineStr">
        <is>
          <t>c1a27f1f97eb</t>
        </is>
      </c>
      <c r="C1589" s="187" t="inlineStr">
        <is>
          <t>Cisco Talos Blacklisted IP: 1.25.64.231 | Verified malicious | Sources: TALOS</t>
        </is>
      </c>
      <c r="D1589" s="187" t="n">
        <v>7</v>
      </c>
      <c r="E1589" s="187" t="inlineStr">
        <is>
          <t>HIGH</t>
        </is>
      </c>
      <c r="F1589" s="187" t="n">
        <v>3</v>
      </c>
      <c r="G1589" s="187" t="n">
        <v>2</v>
      </c>
      <c r="H1589" s="187" t="inlineStr">
        <is>
          <t>HIGH</t>
        </is>
      </c>
      <c r="I1589" s="187" t="n">
        <v>13</v>
      </c>
      <c r="J1589" s="187" t="inlineStr">
        <is>
          <t>NO</t>
        </is>
      </c>
      <c r="K1589" s="187" t="inlineStr">
        <is>
          <t>https://talosintelligence.com/reputation_center/lookup?search=1.25.64.231</t>
        </is>
      </c>
      <c r="L1589" s="187" t="inlineStr">
        <is>
          <t>2026-02-27 20:47</t>
        </is>
      </c>
      <c r="M1589" s="187" t="inlineStr">
        <is>
          <t>Block IP</t>
        </is>
      </c>
      <c r="N1589" s="187" t="inlineStr">
        <is>
          <t>https://talosintelligence.com/reputation_center/lookup?search=1.25.64.231</t>
        </is>
      </c>
      <c r="O1589" s="187" t="inlineStr">
        <is>
          <t>Block IP 1.25.64.231 at firewall | Cisco Talos confirmed malicious</t>
        </is>
      </c>
      <c r="P1589" s="187" t="inlineStr">
        <is>
          <t>Network perimeter / Email / Web</t>
        </is>
      </c>
      <c r="Q1589" s="187" t="inlineStr">
        <is>
          <t>P3</t>
        </is>
      </c>
      <c r="R1589" s="187" t="inlineStr">
        <is>
          <t>🚫 Block IP at firewall immediately | 🔍 Check logs for existing connections | 🛡️ Add to threat intelligence blocklist</t>
        </is>
      </c>
      <c r="S1589" s="187" t="inlineStr">
        <is>
          <t>Check ip-api.com + AbuseIPDB for context</t>
        </is>
      </c>
      <c r="T1589" s="187" t="n">
        <v>0</v>
      </c>
      <c r="U1589" s="187" t="n">
        <v>0</v>
      </c>
      <c r="V1589" s="187" t="inlineStr">
        <is>
          <t>T1110:Brute Force | T1190:Exploit Public-Facing Application | T1566:Phishing</t>
        </is>
      </c>
      <c r="W1589" s="187" t="n">
        <v>1</v>
      </c>
      <c r="X1589" s="187" t="inlineStr">
        <is>
          <t>MEDIUM (60%)</t>
        </is>
      </c>
      <c r="Y1589" s="187" t="inlineStr">
        <is>
          <t>NONE</t>
        </is>
      </c>
      <c r="Z1589" s="187" t="inlineStr">
        <is>
          <t>NONE</t>
        </is>
      </c>
      <c r="AA1589" s="187" t="inlineStr">
        <is>
          <t>NONE</t>
        </is>
      </c>
      <c r="AB1589" s="187" t="inlineStr">
        <is>
          <t>NONE</t>
        </is>
      </c>
      <c r="AC1589" s="187" t="n">
        <v>0</v>
      </c>
      <c r="AD1589" s="187" t="inlineStr"/>
    </row>
    <row r="1590">
      <c r="A1590" s="187" t="inlineStr">
        <is>
          <t>TALOS_IP</t>
        </is>
      </c>
      <c r="B1590" s="187" t="inlineStr">
        <is>
          <t>83c2b8d10280</t>
        </is>
      </c>
      <c r="C1590" s="187" t="inlineStr">
        <is>
          <t>Cisco Talos Blacklisted IP: 1.26.47.36 | Verified malicious | Sources: TALOS</t>
        </is>
      </c>
      <c r="D1590" s="187" t="n">
        <v>7</v>
      </c>
      <c r="E1590" s="187" t="inlineStr">
        <is>
          <t>HIGH</t>
        </is>
      </c>
      <c r="F1590" s="187" t="n">
        <v>3</v>
      </c>
      <c r="G1590" s="187" t="n">
        <v>2</v>
      </c>
      <c r="H1590" s="187" t="inlineStr">
        <is>
          <t>HIGH</t>
        </is>
      </c>
      <c r="I1590" s="187" t="n">
        <v>13</v>
      </c>
      <c r="J1590" s="187" t="inlineStr">
        <is>
          <t>NO</t>
        </is>
      </c>
      <c r="K1590" s="187" t="inlineStr">
        <is>
          <t>https://talosintelligence.com/reputation_center/lookup?search=1.26.47.36</t>
        </is>
      </c>
      <c r="L1590" s="187" t="inlineStr">
        <is>
          <t>2026-02-27 20:47</t>
        </is>
      </c>
      <c r="M1590" s="187" t="inlineStr">
        <is>
          <t>Block IP</t>
        </is>
      </c>
      <c r="N1590" s="187" t="inlineStr">
        <is>
          <t>https://talosintelligence.com/reputation_center/lookup?search=1.26.47.36</t>
        </is>
      </c>
      <c r="O1590" s="187" t="inlineStr">
        <is>
          <t>Block IP 1.26.47.36 at firewall | Cisco Talos confirmed malicious</t>
        </is>
      </c>
      <c r="P1590" s="187" t="inlineStr">
        <is>
          <t>Network perimeter / Email / Web</t>
        </is>
      </c>
      <c r="Q1590" s="187" t="inlineStr">
        <is>
          <t>P3</t>
        </is>
      </c>
      <c r="R1590" s="187" t="inlineStr">
        <is>
          <t>🚫 Block IP at firewall immediately | 🔍 Check logs for existing connections | 🛡️ Add to threat intelligence blocklist</t>
        </is>
      </c>
      <c r="S1590" s="187" t="inlineStr">
        <is>
          <t>Check ip-api.com + AbuseIPDB for context</t>
        </is>
      </c>
      <c r="T1590" s="187" t="n">
        <v>0</v>
      </c>
      <c r="U1590" s="187" t="n">
        <v>0</v>
      </c>
      <c r="V1590" s="187" t="inlineStr">
        <is>
          <t>T1110:Brute Force | T1190:Exploit Public-Facing Application | T1566:Phishing</t>
        </is>
      </c>
      <c r="W1590" s="187" t="n">
        <v>1</v>
      </c>
      <c r="X1590" s="187" t="inlineStr">
        <is>
          <t>MEDIUM (60%)</t>
        </is>
      </c>
      <c r="Y1590" s="187" t="inlineStr">
        <is>
          <t>NONE</t>
        </is>
      </c>
      <c r="Z1590" s="187" t="inlineStr">
        <is>
          <t>NONE</t>
        </is>
      </c>
      <c r="AA1590" s="187" t="inlineStr">
        <is>
          <t>NONE</t>
        </is>
      </c>
      <c r="AB1590" s="187" t="inlineStr">
        <is>
          <t>NONE</t>
        </is>
      </c>
      <c r="AC1590" s="187" t="n">
        <v>0</v>
      </c>
      <c r="AD1590" s="187" t="inlineStr"/>
    </row>
    <row r="1591">
      <c r="A1591" s="187" t="inlineStr">
        <is>
          <t>TALOS_IP</t>
        </is>
      </c>
      <c r="B1591" s="187" t="inlineStr">
        <is>
          <t>82046931c565</t>
        </is>
      </c>
      <c r="C1591" s="187" t="inlineStr">
        <is>
          <t>Cisco Talos Blacklisted IP: 1.30.110.211 | Verified malicious | Sources: TALOS</t>
        </is>
      </c>
      <c r="D1591" s="187" t="n">
        <v>7</v>
      </c>
      <c r="E1591" s="187" t="inlineStr">
        <is>
          <t>HIGH</t>
        </is>
      </c>
      <c r="F1591" s="187" t="n">
        <v>3</v>
      </c>
      <c r="G1591" s="187" t="n">
        <v>2</v>
      </c>
      <c r="H1591" s="187" t="inlineStr">
        <is>
          <t>HIGH</t>
        </is>
      </c>
      <c r="I1591" s="187" t="n">
        <v>13</v>
      </c>
      <c r="J1591" s="187" t="inlineStr">
        <is>
          <t>NO</t>
        </is>
      </c>
      <c r="K1591" s="187" t="inlineStr">
        <is>
          <t>https://talosintelligence.com/reputation_center/lookup?search=1.30.110.211</t>
        </is>
      </c>
      <c r="L1591" s="187" t="inlineStr">
        <is>
          <t>2026-02-27 20:47</t>
        </is>
      </c>
      <c r="M1591" s="187" t="inlineStr">
        <is>
          <t>Block IP</t>
        </is>
      </c>
      <c r="N1591" s="187" t="inlineStr">
        <is>
          <t>https://talosintelligence.com/reputation_center/lookup?search=1.30.110.211</t>
        </is>
      </c>
      <c r="O1591" s="187" t="inlineStr">
        <is>
          <t>Block IP 1.30.110.211 at firewall | Cisco Talos confirmed malicious</t>
        </is>
      </c>
      <c r="P1591" s="187" t="inlineStr">
        <is>
          <t>Network perimeter / Email / Web</t>
        </is>
      </c>
      <c r="Q1591" s="187" t="inlineStr">
        <is>
          <t>P3</t>
        </is>
      </c>
      <c r="R1591" s="187" t="inlineStr">
        <is>
          <t>🚫 Block IP at firewall immediately | 🔍 Check logs for existing connections | 🛡️ Add to threat intelligence blocklist</t>
        </is>
      </c>
      <c r="S1591" s="187" t="inlineStr">
        <is>
          <t>Check ip-api.com + AbuseIPDB for context</t>
        </is>
      </c>
      <c r="T1591" s="187" t="n">
        <v>0</v>
      </c>
      <c r="U1591" s="187" t="n">
        <v>0</v>
      </c>
      <c r="V1591" s="187" t="inlineStr">
        <is>
          <t>T1110:Brute Force | T1190:Exploit Public-Facing Application | T1566:Phishing</t>
        </is>
      </c>
      <c r="W1591" s="187" t="n">
        <v>1</v>
      </c>
      <c r="X1591" s="187" t="inlineStr">
        <is>
          <t>MEDIUM (60%)</t>
        </is>
      </c>
      <c r="Y1591" s="187" t="inlineStr">
        <is>
          <t>NONE</t>
        </is>
      </c>
      <c r="Z1591" s="187" t="inlineStr">
        <is>
          <t>NONE</t>
        </is>
      </c>
      <c r="AA1591" s="187" t="inlineStr">
        <is>
          <t>NONE</t>
        </is>
      </c>
      <c r="AB1591" s="187" t="inlineStr">
        <is>
          <t>NONE</t>
        </is>
      </c>
      <c r="AC1591" s="187" t="n">
        <v>0</v>
      </c>
      <c r="AD1591" s="187" t="inlineStr"/>
    </row>
    <row r="1592">
      <c r="A1592" s="187" t="inlineStr">
        <is>
          <t>TALOS_IP</t>
        </is>
      </c>
      <c r="B1592" s="187" t="inlineStr">
        <is>
          <t>c82b8ffa280f</t>
        </is>
      </c>
      <c r="C1592" s="187" t="inlineStr">
        <is>
          <t>Cisco Talos Blacklisted IP: 1.30.197.2 | Verified malicious | Sources: TALOS</t>
        </is>
      </c>
      <c r="D1592" s="187" t="n">
        <v>7</v>
      </c>
      <c r="E1592" s="187" t="inlineStr">
        <is>
          <t>HIGH</t>
        </is>
      </c>
      <c r="F1592" s="187" t="n">
        <v>3</v>
      </c>
      <c r="G1592" s="187" t="n">
        <v>2</v>
      </c>
      <c r="H1592" s="187" t="inlineStr">
        <is>
          <t>HIGH</t>
        </is>
      </c>
      <c r="I1592" s="187" t="n">
        <v>13</v>
      </c>
      <c r="J1592" s="187" t="inlineStr">
        <is>
          <t>NO</t>
        </is>
      </c>
      <c r="K1592" s="187" t="inlineStr">
        <is>
          <t>https://talosintelligence.com/reputation_center/lookup?search=1.30.197.2</t>
        </is>
      </c>
      <c r="L1592" s="187" t="inlineStr">
        <is>
          <t>2026-02-27 20:47</t>
        </is>
      </c>
      <c r="M1592" s="187" t="inlineStr">
        <is>
          <t>Block IP</t>
        </is>
      </c>
      <c r="N1592" s="187" t="inlineStr">
        <is>
          <t>https://talosintelligence.com/reputation_center/lookup?search=1.30.197.2</t>
        </is>
      </c>
      <c r="O1592" s="187" t="inlineStr">
        <is>
          <t>Block IP 1.30.197.2 at firewall | Cisco Talos confirmed malicious</t>
        </is>
      </c>
      <c r="P1592" s="187" t="inlineStr">
        <is>
          <t>Network perimeter / Email / Web</t>
        </is>
      </c>
      <c r="Q1592" s="187" t="inlineStr">
        <is>
          <t>P3</t>
        </is>
      </c>
      <c r="R1592" s="187" t="inlineStr">
        <is>
          <t>🚫 Block IP at firewall immediately | 🔍 Check logs for existing connections | 🛡️ Add to threat intelligence blocklist</t>
        </is>
      </c>
      <c r="S1592" s="187" t="inlineStr">
        <is>
          <t>Check ip-api.com + AbuseIPDB for context</t>
        </is>
      </c>
      <c r="T1592" s="187" t="n">
        <v>0</v>
      </c>
      <c r="U1592" s="187" t="n">
        <v>0</v>
      </c>
      <c r="V1592" s="187" t="inlineStr">
        <is>
          <t>T1110:Brute Force | T1190:Exploit Public-Facing Application | T1566:Phishing</t>
        </is>
      </c>
      <c r="W1592" s="187" t="n">
        <v>1</v>
      </c>
      <c r="X1592" s="187" t="inlineStr">
        <is>
          <t>MEDIUM (60%)</t>
        </is>
      </c>
      <c r="Y1592" s="187" t="inlineStr">
        <is>
          <t>NONE</t>
        </is>
      </c>
      <c r="Z1592" s="187" t="inlineStr">
        <is>
          <t>NONE</t>
        </is>
      </c>
      <c r="AA1592" s="187" t="inlineStr">
        <is>
          <t>NONE</t>
        </is>
      </c>
      <c r="AB1592" s="187" t="inlineStr">
        <is>
          <t>NONE</t>
        </is>
      </c>
      <c r="AC1592" s="187" t="n">
        <v>0</v>
      </c>
      <c r="AD1592" s="187" t="inlineStr"/>
    </row>
    <row r="1593">
      <c r="A1593" s="187" t="inlineStr">
        <is>
          <t>TALOS_IP</t>
        </is>
      </c>
      <c r="B1593" s="187" t="inlineStr">
        <is>
          <t>6f3871b4d2cf</t>
        </is>
      </c>
      <c r="C1593" s="187" t="inlineStr">
        <is>
          <t>Cisco Talos Blacklisted IP: 1.32.57.245 | Verified malicious | Sources: TALOS</t>
        </is>
      </c>
      <c r="D1593" s="187" t="n">
        <v>7</v>
      </c>
      <c r="E1593" s="187" t="inlineStr">
        <is>
          <t>HIGH</t>
        </is>
      </c>
      <c r="F1593" s="187" t="n">
        <v>3</v>
      </c>
      <c r="G1593" s="187" t="n">
        <v>2</v>
      </c>
      <c r="H1593" s="187" t="inlineStr">
        <is>
          <t>HIGH</t>
        </is>
      </c>
      <c r="I1593" s="187" t="n">
        <v>13</v>
      </c>
      <c r="J1593" s="187" t="inlineStr">
        <is>
          <t>NO</t>
        </is>
      </c>
      <c r="K1593" s="187" t="inlineStr">
        <is>
          <t>https://talosintelligence.com/reputation_center/lookup?search=1.32.57.245</t>
        </is>
      </c>
      <c r="L1593" s="187" t="inlineStr">
        <is>
          <t>2026-02-27 20:47</t>
        </is>
      </c>
      <c r="M1593" s="187" t="inlineStr">
        <is>
          <t>Block IP</t>
        </is>
      </c>
      <c r="N1593" s="187" t="inlineStr">
        <is>
          <t>https://talosintelligence.com/reputation_center/lookup?search=1.32.57.245</t>
        </is>
      </c>
      <c r="O1593" s="187" t="inlineStr">
        <is>
          <t>Block IP 1.32.57.245 at firewall | Cisco Talos confirmed malicious</t>
        </is>
      </c>
      <c r="P1593" s="187" t="inlineStr">
        <is>
          <t>Network perimeter / Email / Web</t>
        </is>
      </c>
      <c r="Q1593" s="187" t="inlineStr">
        <is>
          <t>P3</t>
        </is>
      </c>
      <c r="R1593" s="187" t="inlineStr">
        <is>
          <t>🚫 Block IP at firewall immediately | 🔍 Check logs for existing connections | 🛡️ Add to threat intelligence blocklist</t>
        </is>
      </c>
      <c r="S1593" s="187" t="inlineStr">
        <is>
          <t>Check ip-api.com + AbuseIPDB for context</t>
        </is>
      </c>
      <c r="T1593" s="187" t="n">
        <v>0</v>
      </c>
      <c r="U1593" s="187" t="n">
        <v>0</v>
      </c>
      <c r="V1593" s="187" t="inlineStr">
        <is>
          <t>T1110:Brute Force | T1190:Exploit Public-Facing Application | T1566:Phishing</t>
        </is>
      </c>
      <c r="W1593" s="187" t="n">
        <v>1</v>
      </c>
      <c r="X1593" s="187" t="inlineStr">
        <is>
          <t>MEDIUM (60%)</t>
        </is>
      </c>
      <c r="Y1593" s="187" t="inlineStr">
        <is>
          <t>NONE</t>
        </is>
      </c>
      <c r="Z1593" s="187" t="inlineStr">
        <is>
          <t>NONE</t>
        </is>
      </c>
      <c r="AA1593" s="187" t="inlineStr">
        <is>
          <t>NONE</t>
        </is>
      </c>
      <c r="AB1593" s="187" t="inlineStr">
        <is>
          <t>NONE</t>
        </is>
      </c>
      <c r="AC1593" s="187" t="n">
        <v>0</v>
      </c>
      <c r="AD1593" s="187" t="inlineStr"/>
    </row>
    <row r="1594">
      <c r="A1594" s="187" t="inlineStr">
        <is>
          <t>TALOS_IP</t>
        </is>
      </c>
      <c r="B1594" s="187" t="inlineStr">
        <is>
          <t>4b42c4f9aa5b</t>
        </is>
      </c>
      <c r="C1594" s="187" t="inlineStr">
        <is>
          <t>Cisco Talos Blacklisted IP: 1.34.79.8 | Verified malicious | Sources: TALOS</t>
        </is>
      </c>
      <c r="D1594" s="187" t="n">
        <v>7</v>
      </c>
      <c r="E1594" s="187" t="inlineStr">
        <is>
          <t>HIGH</t>
        </is>
      </c>
      <c r="F1594" s="187" t="n">
        <v>3</v>
      </c>
      <c r="G1594" s="187" t="n">
        <v>2</v>
      </c>
      <c r="H1594" s="187" t="inlineStr">
        <is>
          <t>HIGH</t>
        </is>
      </c>
      <c r="I1594" s="187" t="n">
        <v>13</v>
      </c>
      <c r="J1594" s="187" t="inlineStr">
        <is>
          <t>NO</t>
        </is>
      </c>
      <c r="K1594" s="187" t="inlineStr">
        <is>
          <t>https://talosintelligence.com/reputation_center/lookup?search=1.34.79.8</t>
        </is>
      </c>
      <c r="L1594" s="187" t="inlineStr">
        <is>
          <t>2026-02-27 20:47</t>
        </is>
      </c>
      <c r="M1594" s="187" t="inlineStr">
        <is>
          <t>Block IP</t>
        </is>
      </c>
      <c r="N1594" s="187" t="inlineStr">
        <is>
          <t>https://talosintelligence.com/reputation_center/lookup?search=1.34.79.8</t>
        </is>
      </c>
      <c r="O1594" s="187" t="inlineStr">
        <is>
          <t>Block IP 1.34.79.8 at firewall | Cisco Talos confirmed malicious</t>
        </is>
      </c>
      <c r="P1594" s="187" t="inlineStr">
        <is>
          <t>Network perimeter / Email / Web</t>
        </is>
      </c>
      <c r="Q1594" s="187" t="inlineStr">
        <is>
          <t>P3</t>
        </is>
      </c>
      <c r="R1594" s="187" t="inlineStr">
        <is>
          <t>🚫 Block IP at firewall immediately | 🔍 Check logs for existing connections | 🛡️ Add to threat intelligence blocklist</t>
        </is>
      </c>
      <c r="S1594" s="187" t="inlineStr">
        <is>
          <t>Check ip-api.com + AbuseIPDB for context</t>
        </is>
      </c>
      <c r="T1594" s="187" t="n">
        <v>0</v>
      </c>
      <c r="U1594" s="187" t="n">
        <v>0</v>
      </c>
      <c r="V1594" s="187" t="inlineStr">
        <is>
          <t>T1110:Brute Force | T1190:Exploit Public-Facing Application | T1566:Phishing</t>
        </is>
      </c>
      <c r="W1594" s="187" t="n">
        <v>1</v>
      </c>
      <c r="X1594" s="187" t="inlineStr">
        <is>
          <t>MEDIUM (60%)</t>
        </is>
      </c>
      <c r="Y1594" s="187" t="inlineStr">
        <is>
          <t>NONE</t>
        </is>
      </c>
      <c r="Z1594" s="187" t="inlineStr">
        <is>
          <t>NONE</t>
        </is>
      </c>
      <c r="AA1594" s="187" t="inlineStr">
        <is>
          <t>NONE</t>
        </is>
      </c>
      <c r="AB1594" s="187" t="inlineStr">
        <is>
          <t>NONE</t>
        </is>
      </c>
      <c r="AC1594" s="187" t="n">
        <v>0</v>
      </c>
      <c r="AD1594" s="187" t="inlineStr"/>
    </row>
    <row r="1595">
      <c r="A1595" s="187" t="inlineStr">
        <is>
          <t>TALOS_IP</t>
        </is>
      </c>
      <c r="B1595" s="187" t="inlineStr">
        <is>
          <t>5869408c2245</t>
        </is>
      </c>
      <c r="C1595" s="187" t="inlineStr">
        <is>
          <t>Cisco Talos Blacklisted IP: 1.53.228.31 | Verified malicious | Sources: TALOS</t>
        </is>
      </c>
      <c r="D1595" s="187" t="n">
        <v>7</v>
      </c>
      <c r="E1595" s="187" t="inlineStr">
        <is>
          <t>HIGH</t>
        </is>
      </c>
      <c r="F1595" s="187" t="n">
        <v>3</v>
      </c>
      <c r="G1595" s="187" t="n">
        <v>2</v>
      </c>
      <c r="H1595" s="187" t="inlineStr">
        <is>
          <t>HIGH</t>
        </is>
      </c>
      <c r="I1595" s="187" t="n">
        <v>13</v>
      </c>
      <c r="J1595" s="187" t="inlineStr">
        <is>
          <t>NO</t>
        </is>
      </c>
      <c r="K1595" s="187" t="inlineStr">
        <is>
          <t>https://talosintelligence.com/reputation_center/lookup?search=1.53.228.31</t>
        </is>
      </c>
      <c r="L1595" s="187" t="inlineStr">
        <is>
          <t>2026-02-27 20:47</t>
        </is>
      </c>
      <c r="M1595" s="187" t="inlineStr">
        <is>
          <t>Block IP</t>
        </is>
      </c>
      <c r="N1595" s="187" t="inlineStr">
        <is>
          <t>https://talosintelligence.com/reputation_center/lookup?search=1.53.228.31</t>
        </is>
      </c>
      <c r="O1595" s="187" t="inlineStr">
        <is>
          <t>Block IP 1.53.228.31 at firewall | Cisco Talos confirmed malicious</t>
        </is>
      </c>
      <c r="P1595" s="187" t="inlineStr">
        <is>
          <t>Network perimeter / Email / Web</t>
        </is>
      </c>
      <c r="Q1595" s="187" t="inlineStr">
        <is>
          <t>P3</t>
        </is>
      </c>
      <c r="R1595" s="187" t="inlineStr">
        <is>
          <t>🚫 Block IP at firewall immediately | 🔍 Check logs for existing connections | 🛡️ Add to threat intelligence blocklist</t>
        </is>
      </c>
      <c r="S1595" s="187" t="inlineStr">
        <is>
          <t>Check ip-api.com + AbuseIPDB for context</t>
        </is>
      </c>
      <c r="T1595" s="187" t="n">
        <v>0</v>
      </c>
      <c r="U1595" s="187" t="n">
        <v>0</v>
      </c>
      <c r="V1595" s="187" t="inlineStr">
        <is>
          <t>T1110:Brute Force | T1190:Exploit Public-Facing Application | T1566:Phishing</t>
        </is>
      </c>
      <c r="W1595" s="187" t="n">
        <v>1</v>
      </c>
      <c r="X1595" s="187" t="inlineStr">
        <is>
          <t>MEDIUM (60%)</t>
        </is>
      </c>
      <c r="Y1595" s="187" t="inlineStr">
        <is>
          <t>NONE</t>
        </is>
      </c>
      <c r="Z1595" s="187" t="inlineStr">
        <is>
          <t>NONE</t>
        </is>
      </c>
      <c r="AA1595" s="187" t="inlineStr">
        <is>
          <t>NONE</t>
        </is>
      </c>
      <c r="AB1595" s="187" t="inlineStr">
        <is>
          <t>NONE</t>
        </is>
      </c>
      <c r="AC1595" s="187" t="n">
        <v>0</v>
      </c>
      <c r="AD1595" s="187" t="inlineStr"/>
    </row>
    <row r="1596">
      <c r="A1596" s="187" t="inlineStr">
        <is>
          <t>TALOS_IP</t>
        </is>
      </c>
      <c r="B1596" s="187" t="inlineStr">
        <is>
          <t>457e9a82b1df</t>
        </is>
      </c>
      <c r="C1596" s="187" t="inlineStr">
        <is>
          <t>Cisco Talos Blacklisted IP: 1.56.230.150 | Verified malicious | Sources: TALOS</t>
        </is>
      </c>
      <c r="D1596" s="187" t="n">
        <v>7</v>
      </c>
      <c r="E1596" s="187" t="inlineStr">
        <is>
          <t>HIGH</t>
        </is>
      </c>
      <c r="F1596" s="187" t="n">
        <v>3</v>
      </c>
      <c r="G1596" s="187" t="n">
        <v>2</v>
      </c>
      <c r="H1596" s="187" t="inlineStr">
        <is>
          <t>HIGH</t>
        </is>
      </c>
      <c r="I1596" s="187" t="n">
        <v>13</v>
      </c>
      <c r="J1596" s="187" t="inlineStr">
        <is>
          <t>NO</t>
        </is>
      </c>
      <c r="K1596" s="187" t="inlineStr">
        <is>
          <t>https://talosintelligence.com/reputation_center/lookup?search=1.56.230.150</t>
        </is>
      </c>
      <c r="L1596" s="187" t="inlineStr">
        <is>
          <t>2026-02-27 20:47</t>
        </is>
      </c>
      <c r="M1596" s="187" t="inlineStr">
        <is>
          <t>Block IP</t>
        </is>
      </c>
      <c r="N1596" s="187" t="inlineStr">
        <is>
          <t>https://talosintelligence.com/reputation_center/lookup?search=1.56.230.150</t>
        </is>
      </c>
      <c r="O1596" s="187" t="inlineStr">
        <is>
          <t>Block IP 1.56.230.150 at firewall | Cisco Talos confirmed malicious</t>
        </is>
      </c>
      <c r="P1596" s="187" t="inlineStr">
        <is>
          <t>Network perimeter / Email / Web</t>
        </is>
      </c>
      <c r="Q1596" s="187" t="inlineStr">
        <is>
          <t>P3</t>
        </is>
      </c>
      <c r="R1596" s="187" t="inlineStr">
        <is>
          <t>🚫 Block IP at firewall immediately | 🔍 Check logs for existing connections | 🛡️ Add to threat intelligence blocklist</t>
        </is>
      </c>
      <c r="S1596" s="187" t="inlineStr">
        <is>
          <t>Check ip-api.com + AbuseIPDB for context</t>
        </is>
      </c>
      <c r="T1596" s="187" t="n">
        <v>0</v>
      </c>
      <c r="U1596" s="187" t="n">
        <v>0</v>
      </c>
      <c r="V1596" s="187" t="inlineStr">
        <is>
          <t>T1110:Brute Force | T1190:Exploit Public-Facing Application | T1566:Phishing</t>
        </is>
      </c>
      <c r="W1596" s="187" t="n">
        <v>1</v>
      </c>
      <c r="X1596" s="187" t="inlineStr">
        <is>
          <t>MEDIUM (60%)</t>
        </is>
      </c>
      <c r="Y1596" s="187" t="inlineStr">
        <is>
          <t>NONE</t>
        </is>
      </c>
      <c r="Z1596" s="187" t="inlineStr">
        <is>
          <t>NONE</t>
        </is>
      </c>
      <c r="AA1596" s="187" t="inlineStr">
        <is>
          <t>NONE</t>
        </is>
      </c>
      <c r="AB1596" s="187" t="inlineStr">
        <is>
          <t>NONE</t>
        </is>
      </c>
      <c r="AC1596" s="187" t="n">
        <v>0</v>
      </c>
      <c r="AD1596" s="187" t="inlineStr"/>
    </row>
    <row r="1597">
      <c r="A1597" s="187" t="inlineStr">
        <is>
          <t>TALOS_IP</t>
        </is>
      </c>
      <c r="B1597" s="187" t="inlineStr">
        <is>
          <t>176cc2860cc9</t>
        </is>
      </c>
      <c r="C1597" s="187" t="inlineStr">
        <is>
          <t>Cisco Talos Blacklisted IP: 1.63.153.144 | Verified malicious | Sources: TALOS</t>
        </is>
      </c>
      <c r="D1597" s="187" t="n">
        <v>7</v>
      </c>
      <c r="E1597" s="187" t="inlineStr">
        <is>
          <t>HIGH</t>
        </is>
      </c>
      <c r="F1597" s="187" t="n">
        <v>3</v>
      </c>
      <c r="G1597" s="187" t="n">
        <v>2</v>
      </c>
      <c r="H1597" s="187" t="inlineStr">
        <is>
          <t>HIGH</t>
        </is>
      </c>
      <c r="I1597" s="187" t="n">
        <v>13</v>
      </c>
      <c r="J1597" s="187" t="inlineStr">
        <is>
          <t>NO</t>
        </is>
      </c>
      <c r="K1597" s="187" t="inlineStr">
        <is>
          <t>https://talosintelligence.com/reputation_center/lookup?search=1.63.153.144</t>
        </is>
      </c>
      <c r="L1597" s="187" t="inlineStr">
        <is>
          <t>2026-02-27 20:47</t>
        </is>
      </c>
      <c r="M1597" s="187" t="inlineStr">
        <is>
          <t>Block IP</t>
        </is>
      </c>
      <c r="N1597" s="187" t="inlineStr">
        <is>
          <t>https://talosintelligence.com/reputation_center/lookup?search=1.63.153.144</t>
        </is>
      </c>
      <c r="O1597" s="187" t="inlineStr">
        <is>
          <t>Block IP 1.63.153.144 at firewall | Cisco Talos confirmed malicious</t>
        </is>
      </c>
      <c r="P1597" s="187" t="inlineStr">
        <is>
          <t>Network perimeter / Email / Web</t>
        </is>
      </c>
      <c r="Q1597" s="187" t="inlineStr">
        <is>
          <t>P3</t>
        </is>
      </c>
      <c r="R1597" s="187" t="inlineStr">
        <is>
          <t>🚫 Block IP at firewall immediately | 🔍 Check logs for existing connections | 🛡️ Add to threat intelligence blocklist</t>
        </is>
      </c>
      <c r="S1597" s="187" t="inlineStr">
        <is>
          <t>Check ip-api.com + AbuseIPDB for context</t>
        </is>
      </c>
      <c r="T1597" s="187" t="n">
        <v>0</v>
      </c>
      <c r="U1597" s="187" t="n">
        <v>0</v>
      </c>
      <c r="V1597" s="187" t="inlineStr">
        <is>
          <t>T1110:Brute Force | T1190:Exploit Public-Facing Application | T1566:Phishing</t>
        </is>
      </c>
      <c r="W1597" s="187" t="n">
        <v>1</v>
      </c>
      <c r="X1597" s="187" t="inlineStr">
        <is>
          <t>MEDIUM (60%)</t>
        </is>
      </c>
      <c r="Y1597" s="187" t="inlineStr">
        <is>
          <t>NONE</t>
        </is>
      </c>
      <c r="Z1597" s="187" t="inlineStr">
        <is>
          <t>NONE</t>
        </is>
      </c>
      <c r="AA1597" s="187" t="inlineStr">
        <is>
          <t>NONE</t>
        </is>
      </c>
      <c r="AB1597" s="187" t="inlineStr">
        <is>
          <t>NONE</t>
        </is>
      </c>
      <c r="AC1597" s="187" t="n">
        <v>0</v>
      </c>
      <c r="AD1597" s="187" t="inlineStr"/>
    </row>
    <row r="1598">
      <c r="A1598" s="187" t="inlineStr">
        <is>
          <t>TALOS_IP</t>
        </is>
      </c>
      <c r="B1598" s="187" t="inlineStr">
        <is>
          <t>ecbae1885a8e</t>
        </is>
      </c>
      <c r="C1598" s="187" t="inlineStr">
        <is>
          <t>Cisco Talos Blacklisted IP: 1.83.125.101 | Verified malicious | Sources: TALOS</t>
        </is>
      </c>
      <c r="D1598" s="187" t="n">
        <v>7</v>
      </c>
      <c r="E1598" s="187" t="inlineStr">
        <is>
          <t>HIGH</t>
        </is>
      </c>
      <c r="F1598" s="187" t="n">
        <v>3</v>
      </c>
      <c r="G1598" s="187" t="n">
        <v>2</v>
      </c>
      <c r="H1598" s="187" t="inlineStr">
        <is>
          <t>HIGH</t>
        </is>
      </c>
      <c r="I1598" s="187" t="n">
        <v>13</v>
      </c>
      <c r="J1598" s="187" t="inlineStr">
        <is>
          <t>NO</t>
        </is>
      </c>
      <c r="K1598" s="187" t="inlineStr">
        <is>
          <t>https://talosintelligence.com/reputation_center/lookup?search=1.83.125.101</t>
        </is>
      </c>
      <c r="L1598" s="187" t="inlineStr">
        <is>
          <t>2026-02-27 20:47</t>
        </is>
      </c>
      <c r="M1598" s="187" t="inlineStr">
        <is>
          <t>Block IP</t>
        </is>
      </c>
      <c r="N1598" s="187" t="inlineStr">
        <is>
          <t>https://talosintelligence.com/reputation_center/lookup?search=1.83.125.101</t>
        </is>
      </c>
      <c r="O1598" s="187" t="inlineStr">
        <is>
          <t>Block IP 1.83.125.101 at firewall | Cisco Talos confirmed malicious</t>
        </is>
      </c>
      <c r="P1598" s="187" t="inlineStr">
        <is>
          <t>Network perimeter / Email / Web</t>
        </is>
      </c>
      <c r="Q1598" s="187" t="inlineStr">
        <is>
          <t>P3</t>
        </is>
      </c>
      <c r="R1598" s="187" t="inlineStr">
        <is>
          <t>🚫 Block IP at firewall immediately | 🔍 Check logs for existing connections | 🛡️ Add to threat intelligence blocklist</t>
        </is>
      </c>
      <c r="S1598" s="187" t="inlineStr">
        <is>
          <t>Check ip-api.com + AbuseIPDB for context</t>
        </is>
      </c>
      <c r="T1598" s="187" t="n">
        <v>0</v>
      </c>
      <c r="U1598" s="187" t="n">
        <v>0</v>
      </c>
      <c r="V1598" s="187" t="inlineStr">
        <is>
          <t>T1110:Brute Force | T1190:Exploit Public-Facing Application | T1566:Phishing</t>
        </is>
      </c>
      <c r="W1598" s="187" t="n">
        <v>1</v>
      </c>
      <c r="X1598" s="187" t="inlineStr">
        <is>
          <t>MEDIUM (60%)</t>
        </is>
      </c>
      <c r="Y1598" s="187" t="inlineStr">
        <is>
          <t>NONE</t>
        </is>
      </c>
      <c r="Z1598" s="187" t="inlineStr">
        <is>
          <t>NONE</t>
        </is>
      </c>
      <c r="AA1598" s="187" t="inlineStr">
        <is>
          <t>NONE</t>
        </is>
      </c>
      <c r="AB1598" s="187" t="inlineStr">
        <is>
          <t>NONE</t>
        </is>
      </c>
      <c r="AC1598" s="187" t="n">
        <v>0</v>
      </c>
      <c r="AD1598" s="187" t="inlineStr"/>
    </row>
    <row r="1599">
      <c r="A1599" s="187" t="inlineStr">
        <is>
          <t>TALOS_IP</t>
        </is>
      </c>
      <c r="B1599" s="187" t="inlineStr">
        <is>
          <t>d485c0c4ad8b</t>
        </is>
      </c>
      <c r="C1599" s="187" t="inlineStr">
        <is>
          <t>Cisco Talos Blacklisted IP: 1.83.125.102 | Verified malicious | Sources: TALOS</t>
        </is>
      </c>
      <c r="D1599" s="187" t="n">
        <v>7</v>
      </c>
      <c r="E1599" s="187" t="inlineStr">
        <is>
          <t>HIGH</t>
        </is>
      </c>
      <c r="F1599" s="187" t="n">
        <v>3</v>
      </c>
      <c r="G1599" s="187" t="n">
        <v>2</v>
      </c>
      <c r="H1599" s="187" t="inlineStr">
        <is>
          <t>HIGH</t>
        </is>
      </c>
      <c r="I1599" s="187" t="n">
        <v>13</v>
      </c>
      <c r="J1599" s="187" t="inlineStr">
        <is>
          <t>NO</t>
        </is>
      </c>
      <c r="K1599" s="187" t="inlineStr">
        <is>
          <t>https://talosintelligence.com/reputation_center/lookup?search=1.83.125.102</t>
        </is>
      </c>
      <c r="L1599" s="187" t="inlineStr">
        <is>
          <t>2026-02-27 20:47</t>
        </is>
      </c>
      <c r="M1599" s="187" t="inlineStr">
        <is>
          <t>Block IP</t>
        </is>
      </c>
      <c r="N1599" s="187" t="inlineStr">
        <is>
          <t>https://talosintelligence.com/reputation_center/lookup?search=1.83.125.102</t>
        </is>
      </c>
      <c r="O1599" s="187" t="inlineStr">
        <is>
          <t>Block IP 1.83.125.102 at firewall | Cisco Talos confirmed malicious</t>
        </is>
      </c>
      <c r="P1599" s="187" t="inlineStr">
        <is>
          <t>Network perimeter / Email / Web</t>
        </is>
      </c>
      <c r="Q1599" s="187" t="inlineStr">
        <is>
          <t>P3</t>
        </is>
      </c>
      <c r="R1599" s="187" t="inlineStr">
        <is>
          <t>🚫 Block IP at firewall immediately | 🔍 Check logs for existing connections | 🛡️ Add to threat intelligence blocklist</t>
        </is>
      </c>
      <c r="S1599" s="187" t="inlineStr">
        <is>
          <t>Check ip-api.com + AbuseIPDB for context</t>
        </is>
      </c>
      <c r="T1599" s="187" t="n">
        <v>0</v>
      </c>
      <c r="U1599" s="187" t="n">
        <v>0</v>
      </c>
      <c r="V1599" s="187" t="inlineStr">
        <is>
          <t>T1110:Brute Force | T1190:Exploit Public-Facing Application | T1566:Phishing</t>
        </is>
      </c>
      <c r="W1599" s="187" t="n">
        <v>1</v>
      </c>
      <c r="X1599" s="187" t="inlineStr">
        <is>
          <t>MEDIUM (60%)</t>
        </is>
      </c>
      <c r="Y1599" s="187" t="inlineStr">
        <is>
          <t>NONE</t>
        </is>
      </c>
      <c r="Z1599" s="187" t="inlineStr">
        <is>
          <t>NONE</t>
        </is>
      </c>
      <c r="AA1599" s="187" t="inlineStr">
        <is>
          <t>NONE</t>
        </is>
      </c>
      <c r="AB1599" s="187" t="inlineStr">
        <is>
          <t>NONE</t>
        </is>
      </c>
      <c r="AC1599" s="187" t="n">
        <v>0</v>
      </c>
      <c r="AD1599" s="187" t="inlineStr"/>
    </row>
    <row r="1600">
      <c r="A1600" s="187" t="inlineStr">
        <is>
          <t>TALOS_IP</t>
        </is>
      </c>
      <c r="B1600" s="187" t="inlineStr">
        <is>
          <t>9fe36e2bc936</t>
        </is>
      </c>
      <c r="C1600" s="187" t="inlineStr">
        <is>
          <t>Cisco Talos Blacklisted IP: 1.83.125.105 | Verified malicious | Sources: TALOS</t>
        </is>
      </c>
      <c r="D1600" s="187" t="n">
        <v>7</v>
      </c>
      <c r="E1600" s="187" t="inlineStr">
        <is>
          <t>HIGH</t>
        </is>
      </c>
      <c r="F1600" s="187" t="n">
        <v>3</v>
      </c>
      <c r="G1600" s="187" t="n">
        <v>2</v>
      </c>
      <c r="H1600" s="187" t="inlineStr">
        <is>
          <t>HIGH</t>
        </is>
      </c>
      <c r="I1600" s="187" t="n">
        <v>13</v>
      </c>
      <c r="J1600" s="187" t="inlineStr">
        <is>
          <t>NO</t>
        </is>
      </c>
      <c r="K1600" s="187" t="inlineStr">
        <is>
          <t>https://talosintelligence.com/reputation_center/lookup?search=1.83.125.105</t>
        </is>
      </c>
      <c r="L1600" s="187" t="inlineStr">
        <is>
          <t>2026-02-27 20:47</t>
        </is>
      </c>
      <c r="M1600" s="187" t="inlineStr">
        <is>
          <t>Block IP</t>
        </is>
      </c>
      <c r="N1600" s="187" t="inlineStr">
        <is>
          <t>https://talosintelligence.com/reputation_center/lookup?search=1.83.125.105</t>
        </is>
      </c>
      <c r="O1600" s="187" t="inlineStr">
        <is>
          <t>Block IP 1.83.125.105 at firewall | Cisco Talos confirmed malicious</t>
        </is>
      </c>
      <c r="P1600" s="187" t="inlineStr">
        <is>
          <t>Network perimeter / Email / Web</t>
        </is>
      </c>
      <c r="Q1600" s="187" t="inlineStr">
        <is>
          <t>P3</t>
        </is>
      </c>
      <c r="R1600" s="187" t="inlineStr">
        <is>
          <t>🚫 Block IP at firewall immediately | 🔍 Check logs for existing connections | 🛡️ Add to threat intelligence blocklist</t>
        </is>
      </c>
      <c r="S1600" s="187" t="inlineStr">
        <is>
          <t>Check ip-api.com + AbuseIPDB for context</t>
        </is>
      </c>
      <c r="T1600" s="187" t="n">
        <v>0</v>
      </c>
      <c r="U1600" s="187" t="n">
        <v>0</v>
      </c>
      <c r="V1600" s="187" t="inlineStr">
        <is>
          <t>T1110:Brute Force | T1190:Exploit Public-Facing Application | T1566:Phishing</t>
        </is>
      </c>
      <c r="W1600" s="187" t="n">
        <v>1</v>
      </c>
      <c r="X1600" s="187" t="inlineStr">
        <is>
          <t>MEDIUM (60%)</t>
        </is>
      </c>
      <c r="Y1600" s="187" t="inlineStr">
        <is>
          <t>NONE</t>
        </is>
      </c>
      <c r="Z1600" s="187" t="inlineStr">
        <is>
          <t>NONE</t>
        </is>
      </c>
      <c r="AA1600" s="187" t="inlineStr">
        <is>
          <t>NONE</t>
        </is>
      </c>
      <c r="AB1600" s="187" t="inlineStr">
        <is>
          <t>NONE</t>
        </is>
      </c>
      <c r="AC1600" s="187" t="n">
        <v>0</v>
      </c>
      <c r="AD1600" s="187" t="inlineStr"/>
    </row>
    <row r="1601">
      <c r="A1601" s="187" t="inlineStr">
        <is>
          <t>TALOS_IP</t>
        </is>
      </c>
      <c r="B1601" s="187" t="inlineStr">
        <is>
          <t>a44b0b356621</t>
        </is>
      </c>
      <c r="C1601" s="187" t="inlineStr">
        <is>
          <t>Cisco Talos Blacklisted IP: 1.83.125.11 | Verified malicious | Sources: TALOS</t>
        </is>
      </c>
      <c r="D1601" s="187" t="n">
        <v>7</v>
      </c>
      <c r="E1601" s="187" t="inlineStr">
        <is>
          <t>HIGH</t>
        </is>
      </c>
      <c r="F1601" s="187" t="n">
        <v>3</v>
      </c>
      <c r="G1601" s="187" t="n">
        <v>2</v>
      </c>
      <c r="H1601" s="187" t="inlineStr">
        <is>
          <t>HIGH</t>
        </is>
      </c>
      <c r="I1601" s="187" t="n">
        <v>13</v>
      </c>
      <c r="J1601" s="187" t="inlineStr">
        <is>
          <t>NO</t>
        </is>
      </c>
      <c r="K1601" s="187" t="inlineStr">
        <is>
          <t>https://talosintelligence.com/reputation_center/lookup?search=1.83.125.11</t>
        </is>
      </c>
      <c r="L1601" s="187" t="inlineStr">
        <is>
          <t>2026-02-27 20:47</t>
        </is>
      </c>
      <c r="M1601" s="187" t="inlineStr">
        <is>
          <t>Block IP</t>
        </is>
      </c>
      <c r="N1601" s="187" t="inlineStr">
        <is>
          <t>https://talosintelligence.com/reputation_center/lookup?search=1.83.125.11</t>
        </is>
      </c>
      <c r="O1601" s="187" t="inlineStr">
        <is>
          <t>Block IP 1.83.125.11 at firewall | Cisco Talos confirmed malicious</t>
        </is>
      </c>
      <c r="P1601" s="187" t="inlineStr">
        <is>
          <t>Network perimeter / Email / Web</t>
        </is>
      </c>
      <c r="Q1601" s="187" t="inlineStr">
        <is>
          <t>P3</t>
        </is>
      </c>
      <c r="R1601" s="187" t="inlineStr">
        <is>
          <t>🚫 Block IP at firewall immediately | 🔍 Check logs for existing connections | 🛡️ Add to threat intelligence blocklist</t>
        </is>
      </c>
      <c r="S1601" s="187" t="inlineStr">
        <is>
          <t>Check ip-api.com + AbuseIPDB for context</t>
        </is>
      </c>
      <c r="T1601" s="187" t="n">
        <v>0</v>
      </c>
      <c r="U1601" s="187" t="n">
        <v>0</v>
      </c>
      <c r="V1601" s="187" t="inlineStr">
        <is>
          <t>T1110:Brute Force | T1190:Exploit Public-Facing Application | T1566:Phishing</t>
        </is>
      </c>
      <c r="W1601" s="187" t="n">
        <v>1</v>
      </c>
      <c r="X1601" s="187" t="inlineStr">
        <is>
          <t>MEDIUM (60%)</t>
        </is>
      </c>
      <c r="Y1601" s="187" t="inlineStr">
        <is>
          <t>NONE</t>
        </is>
      </c>
      <c r="Z1601" s="187" t="inlineStr">
        <is>
          <t>NONE</t>
        </is>
      </c>
      <c r="AA1601" s="187" t="inlineStr">
        <is>
          <t>NONE</t>
        </is>
      </c>
      <c r="AB1601" s="187" t="inlineStr">
        <is>
          <t>NONE</t>
        </is>
      </c>
      <c r="AC1601" s="187" t="n">
        <v>0</v>
      </c>
      <c r="AD1601" s="187" t="inlineStr"/>
    </row>
    <row r="1602">
      <c r="A1602" s="187" t="inlineStr">
        <is>
          <t>TALOS_IP</t>
        </is>
      </c>
      <c r="B1602" s="187" t="inlineStr">
        <is>
          <t>760b873aa357</t>
        </is>
      </c>
      <c r="C1602" s="187" t="inlineStr">
        <is>
          <t>Cisco Talos Blacklisted IP: 1.83.125.110 | Verified malicious | Sources: TALOS</t>
        </is>
      </c>
      <c r="D1602" s="187" t="n">
        <v>7</v>
      </c>
      <c r="E1602" s="187" t="inlineStr">
        <is>
          <t>HIGH</t>
        </is>
      </c>
      <c r="F1602" s="187" t="n">
        <v>3</v>
      </c>
      <c r="G1602" s="187" t="n">
        <v>2</v>
      </c>
      <c r="H1602" s="187" t="inlineStr">
        <is>
          <t>HIGH</t>
        </is>
      </c>
      <c r="I1602" s="187" t="n">
        <v>13</v>
      </c>
      <c r="J1602" s="187" t="inlineStr">
        <is>
          <t>NO</t>
        </is>
      </c>
      <c r="K1602" s="187" t="inlineStr">
        <is>
          <t>https://talosintelligence.com/reputation_center/lookup?search=1.83.125.110</t>
        </is>
      </c>
      <c r="L1602" s="187" t="inlineStr">
        <is>
          <t>2026-02-27 20:47</t>
        </is>
      </c>
      <c r="M1602" s="187" t="inlineStr">
        <is>
          <t>Block IP</t>
        </is>
      </c>
      <c r="N1602" s="187" t="inlineStr">
        <is>
          <t>https://talosintelligence.com/reputation_center/lookup?search=1.83.125.110</t>
        </is>
      </c>
      <c r="O1602" s="187" t="inlineStr">
        <is>
          <t>Block IP 1.83.125.110 at firewall | Cisco Talos confirmed malicious</t>
        </is>
      </c>
      <c r="P1602" s="187" t="inlineStr">
        <is>
          <t>Network perimeter / Email / Web</t>
        </is>
      </c>
      <c r="Q1602" s="187" t="inlineStr">
        <is>
          <t>P3</t>
        </is>
      </c>
      <c r="R1602" s="187" t="inlineStr">
        <is>
          <t>🚫 Block IP at firewall immediately | 🔍 Check logs for existing connections | 🛡️ Add to threat intelligence blocklist</t>
        </is>
      </c>
      <c r="S1602" s="187" t="inlineStr">
        <is>
          <t>Check ip-api.com + AbuseIPDB for context</t>
        </is>
      </c>
      <c r="T1602" s="187" t="n">
        <v>0</v>
      </c>
      <c r="U1602" s="187" t="n">
        <v>0</v>
      </c>
      <c r="V1602" s="187" t="inlineStr">
        <is>
          <t>T1110:Brute Force | T1190:Exploit Public-Facing Application | T1566:Phishing</t>
        </is>
      </c>
      <c r="W1602" s="187" t="n">
        <v>1</v>
      </c>
      <c r="X1602" s="187" t="inlineStr">
        <is>
          <t>MEDIUM (60%)</t>
        </is>
      </c>
      <c r="Y1602" s="187" t="inlineStr">
        <is>
          <t>NONE</t>
        </is>
      </c>
      <c r="Z1602" s="187" t="inlineStr">
        <is>
          <t>NONE</t>
        </is>
      </c>
      <c r="AA1602" s="187" t="inlineStr">
        <is>
          <t>NONE</t>
        </is>
      </c>
      <c r="AB1602" s="187" t="inlineStr">
        <is>
          <t>NONE</t>
        </is>
      </c>
      <c r="AC1602" s="187" t="n">
        <v>0</v>
      </c>
      <c r="AD1602" s="187" t="inlineStr"/>
    </row>
    <row r="1603">
      <c r="A1603" s="187" t="inlineStr">
        <is>
          <t>EMERGING_THREAT_IP</t>
        </is>
      </c>
      <c r="B1603" s="187" t="inlineStr">
        <is>
          <t>383c44b46f35</t>
        </is>
      </c>
      <c r="C1603" s="187" t="inlineStr">
        <is>
          <t>Emerging Threats Compromised IP: 101.36.104.242 | Sources: EMERGING_THREATS</t>
        </is>
      </c>
      <c r="D1603" s="187" t="n">
        <v>6.5</v>
      </c>
      <c r="E1603" s="187" t="inlineStr">
        <is>
          <t>HIGH</t>
        </is>
      </c>
      <c r="F1603" s="187" t="n">
        <v>3</v>
      </c>
      <c r="G1603" s="187" t="n">
        <v>2</v>
      </c>
      <c r="H1603" s="187" t="inlineStr">
        <is>
          <t>HIGH</t>
        </is>
      </c>
      <c r="I1603" s="187" t="n">
        <v>12.5</v>
      </c>
      <c r="J1603" s="187" t="inlineStr">
        <is>
          <t>NO</t>
        </is>
      </c>
      <c r="K1603" s="187" t="inlineStr">
        <is>
          <t>https://rules.emergingthreats.net/</t>
        </is>
      </c>
      <c r="L1603" s="187" t="inlineStr">
        <is>
          <t>2026-02-27 20:47</t>
        </is>
      </c>
      <c r="M1603" s="187" t="inlineStr">
        <is>
          <t>Block IP</t>
        </is>
      </c>
      <c r="N1603" s="187" t="inlineStr">
        <is>
          <t>https://rules.emergingthreats.net/blockrules/compromised-ips.txt</t>
        </is>
      </c>
      <c r="O1603" s="187" t="inlineStr">
        <is>
          <t>Block IP 101.36.104.242 at firewall | Emerging Threats compromised host</t>
        </is>
      </c>
      <c r="P1603" s="187" t="inlineStr">
        <is>
          <t>Network perimeter</t>
        </is>
      </c>
      <c r="Q1603" s="187" t="inlineStr">
        <is>
          <t>P3</t>
        </is>
      </c>
      <c r="R1603" s="187" t="inlineStr">
        <is>
          <t>🚫 Block IP at firewall immediately | 🔍 Check logs for existing connections | 🛡️ Add to threat intelligence blocklist</t>
        </is>
      </c>
      <c r="S1603" s="187" t="inlineStr">
        <is>
          <t>Check ip-api.com + AbuseIPDB for context</t>
        </is>
      </c>
      <c r="T1603" s="187" t="n">
        <v>0</v>
      </c>
      <c r="U1603" s="187" t="n">
        <v>0</v>
      </c>
      <c r="V1603" s="187" t="inlineStr">
        <is>
          <t>T1110:Brute Force | T1190:Exploit Public-Facing Application</t>
        </is>
      </c>
      <c r="W1603" s="187" t="n">
        <v>1</v>
      </c>
      <c r="X1603" s="187" t="inlineStr">
        <is>
          <t>LOW (40%)</t>
        </is>
      </c>
      <c r="Y1603" s="187" t="inlineStr">
        <is>
          <t>NONE</t>
        </is>
      </c>
      <c r="Z1603" s="187" t="inlineStr">
        <is>
          <t>NONE</t>
        </is>
      </c>
      <c r="AA1603" s="187" t="inlineStr">
        <is>
          <t>NONE</t>
        </is>
      </c>
      <c r="AB1603" s="187" t="inlineStr">
        <is>
          <t>NONE</t>
        </is>
      </c>
      <c r="AC1603" s="187" t="n">
        <v>0</v>
      </c>
      <c r="AD1603" s="187" t="inlineStr"/>
    </row>
    <row r="1604">
      <c r="A1604" s="187" t="inlineStr">
        <is>
          <t>EMERGING_THREAT_IP</t>
        </is>
      </c>
      <c r="B1604" s="187" t="inlineStr">
        <is>
          <t>fae96200765a</t>
        </is>
      </c>
      <c r="C1604" s="187" t="inlineStr">
        <is>
          <t>Emerging Threats Compromised IP: 101.36.118.177 | Sources: EMERGING_THREATS</t>
        </is>
      </c>
      <c r="D1604" s="187" t="n">
        <v>6.5</v>
      </c>
      <c r="E1604" s="187" t="inlineStr">
        <is>
          <t>HIGH</t>
        </is>
      </c>
      <c r="F1604" s="187" t="n">
        <v>3</v>
      </c>
      <c r="G1604" s="187" t="n">
        <v>2</v>
      </c>
      <c r="H1604" s="187" t="inlineStr">
        <is>
          <t>HIGH</t>
        </is>
      </c>
      <c r="I1604" s="187" t="n">
        <v>12.5</v>
      </c>
      <c r="J1604" s="187" t="inlineStr">
        <is>
          <t>NO</t>
        </is>
      </c>
      <c r="K1604" s="187" t="inlineStr">
        <is>
          <t>https://rules.emergingthreats.net/</t>
        </is>
      </c>
      <c r="L1604" s="187" t="inlineStr">
        <is>
          <t>2026-02-27 20:47</t>
        </is>
      </c>
      <c r="M1604" s="187" t="inlineStr">
        <is>
          <t>Block IP</t>
        </is>
      </c>
      <c r="N1604" s="187" t="inlineStr">
        <is>
          <t>https://rules.emergingthreats.net/blockrules/compromised-ips.txt</t>
        </is>
      </c>
      <c r="O1604" s="187" t="inlineStr">
        <is>
          <t>Block IP 101.36.118.177 at firewall | Emerging Threats compromised host</t>
        </is>
      </c>
      <c r="P1604" s="187" t="inlineStr">
        <is>
          <t>Network perimeter</t>
        </is>
      </c>
      <c r="Q1604" s="187" t="inlineStr">
        <is>
          <t>P3</t>
        </is>
      </c>
      <c r="R1604" s="187" t="inlineStr">
        <is>
          <t>🚫 Block IP at firewall immediately | 🔍 Check logs for existing connections | 🛡️ Add to threat intelligence blocklist</t>
        </is>
      </c>
      <c r="S1604" s="187" t="inlineStr">
        <is>
          <t>Check ip-api.com + AbuseIPDB for context</t>
        </is>
      </c>
      <c r="T1604" s="187" t="n">
        <v>0</v>
      </c>
      <c r="U1604" s="187" t="n">
        <v>0</v>
      </c>
      <c r="V1604" s="187" t="inlineStr">
        <is>
          <t>T1110:Brute Force | T1190:Exploit Public-Facing Application</t>
        </is>
      </c>
      <c r="W1604" s="187" t="n">
        <v>1</v>
      </c>
      <c r="X1604" s="187" t="inlineStr">
        <is>
          <t>LOW (40%)</t>
        </is>
      </c>
      <c r="Y1604" s="187" t="inlineStr">
        <is>
          <t>NONE</t>
        </is>
      </c>
      <c r="Z1604" s="187" t="inlineStr">
        <is>
          <t>NONE</t>
        </is>
      </c>
      <c r="AA1604" s="187" t="inlineStr">
        <is>
          <t>NONE</t>
        </is>
      </c>
      <c r="AB1604" s="187" t="inlineStr">
        <is>
          <t>NONE</t>
        </is>
      </c>
      <c r="AC1604" s="187" t="n">
        <v>0</v>
      </c>
      <c r="AD1604" s="187" t="inlineStr"/>
    </row>
    <row r="1605">
      <c r="A1605" s="187" t="inlineStr">
        <is>
          <t>EMERGING_THREAT_IP</t>
        </is>
      </c>
      <c r="B1605" s="187" t="inlineStr">
        <is>
          <t>455b8822a4a2</t>
        </is>
      </c>
      <c r="C1605" s="187" t="inlineStr">
        <is>
          <t>Emerging Threats Compromised IP: 101.36.123.102 | Sources: EMERGING_THREATS</t>
        </is>
      </c>
      <c r="D1605" s="187" t="n">
        <v>6.5</v>
      </c>
      <c r="E1605" s="187" t="inlineStr">
        <is>
          <t>HIGH</t>
        </is>
      </c>
      <c r="F1605" s="187" t="n">
        <v>3</v>
      </c>
      <c r="G1605" s="187" t="n">
        <v>2</v>
      </c>
      <c r="H1605" s="187" t="inlineStr">
        <is>
          <t>HIGH</t>
        </is>
      </c>
      <c r="I1605" s="187" t="n">
        <v>12.5</v>
      </c>
      <c r="J1605" s="187" t="inlineStr">
        <is>
          <t>NO</t>
        </is>
      </c>
      <c r="K1605" s="187" t="inlineStr">
        <is>
          <t>https://rules.emergingthreats.net/</t>
        </is>
      </c>
      <c r="L1605" s="187" t="inlineStr">
        <is>
          <t>2026-02-27 20:47</t>
        </is>
      </c>
      <c r="M1605" s="187" t="inlineStr">
        <is>
          <t>Block IP</t>
        </is>
      </c>
      <c r="N1605" s="187" t="inlineStr">
        <is>
          <t>https://rules.emergingthreats.net/blockrules/compromised-ips.txt</t>
        </is>
      </c>
      <c r="O1605" s="187" t="inlineStr">
        <is>
          <t>Block IP 101.36.123.102 at firewall | Emerging Threats compromised host</t>
        </is>
      </c>
      <c r="P1605" s="187" t="inlineStr">
        <is>
          <t>Network perimeter</t>
        </is>
      </c>
      <c r="Q1605" s="187" t="inlineStr">
        <is>
          <t>P3</t>
        </is>
      </c>
      <c r="R1605" s="187" t="inlineStr">
        <is>
          <t>🚫 Block IP at firewall immediately | 🔍 Check logs for existing connections | 🛡️ Add to threat intelligence blocklist</t>
        </is>
      </c>
      <c r="S1605" s="187" t="inlineStr">
        <is>
          <t>Check ip-api.com + AbuseIPDB for context</t>
        </is>
      </c>
      <c r="T1605" s="187" t="n">
        <v>0</v>
      </c>
      <c r="U1605" s="187" t="n">
        <v>0</v>
      </c>
      <c r="V1605" s="187" t="inlineStr">
        <is>
          <t>T1110:Brute Force | T1190:Exploit Public-Facing Application</t>
        </is>
      </c>
      <c r="W1605" s="187" t="n">
        <v>1</v>
      </c>
      <c r="X1605" s="187" t="inlineStr">
        <is>
          <t>LOW (40%)</t>
        </is>
      </c>
      <c r="Y1605" s="187" t="inlineStr">
        <is>
          <t>NONE</t>
        </is>
      </c>
      <c r="Z1605" s="187" t="inlineStr">
        <is>
          <t>NONE</t>
        </is>
      </c>
      <c r="AA1605" s="187" t="inlineStr">
        <is>
          <t>NONE</t>
        </is>
      </c>
      <c r="AB1605" s="187" t="inlineStr">
        <is>
          <t>NONE</t>
        </is>
      </c>
      <c r="AC1605" s="187" t="n">
        <v>0</v>
      </c>
      <c r="AD1605" s="187" t="inlineStr"/>
    </row>
    <row r="1606">
      <c r="A1606" s="187" t="inlineStr">
        <is>
          <t>EMERGING_THREAT_IP</t>
        </is>
      </c>
      <c r="B1606" s="187" t="inlineStr">
        <is>
          <t>356717d3fb41</t>
        </is>
      </c>
      <c r="C1606" s="187" t="inlineStr">
        <is>
          <t>Emerging Threats Compromised IP: 102.244.97.183 | Sources: EMERGING_THREATS</t>
        </is>
      </c>
      <c r="D1606" s="187" t="n">
        <v>6.5</v>
      </c>
      <c r="E1606" s="187" t="inlineStr">
        <is>
          <t>HIGH</t>
        </is>
      </c>
      <c r="F1606" s="187" t="n">
        <v>3</v>
      </c>
      <c r="G1606" s="187" t="n">
        <v>2</v>
      </c>
      <c r="H1606" s="187" t="inlineStr">
        <is>
          <t>HIGH</t>
        </is>
      </c>
      <c r="I1606" s="187" t="n">
        <v>12.5</v>
      </c>
      <c r="J1606" s="187" t="inlineStr">
        <is>
          <t>NO</t>
        </is>
      </c>
      <c r="K1606" s="187" t="inlineStr">
        <is>
          <t>https://rules.emergingthreats.net/</t>
        </is>
      </c>
      <c r="L1606" s="187" t="inlineStr">
        <is>
          <t>2026-02-27 20:47</t>
        </is>
      </c>
      <c r="M1606" s="187" t="inlineStr">
        <is>
          <t>Block IP</t>
        </is>
      </c>
      <c r="N1606" s="187" t="inlineStr">
        <is>
          <t>https://rules.emergingthreats.net/blockrules/compromised-ips.txt</t>
        </is>
      </c>
      <c r="O1606" s="187" t="inlineStr">
        <is>
          <t>Block IP 102.244.97.183 at firewall | Emerging Threats compromised host</t>
        </is>
      </c>
      <c r="P1606" s="187" t="inlineStr">
        <is>
          <t>Network perimeter</t>
        </is>
      </c>
      <c r="Q1606" s="187" t="inlineStr">
        <is>
          <t>P3</t>
        </is>
      </c>
      <c r="R1606" s="187" t="inlineStr">
        <is>
          <t>🚫 Block IP at firewall immediately | 🔍 Check logs for existing connections | 🛡️ Add to threat intelligence blocklist</t>
        </is>
      </c>
      <c r="S1606" s="187" t="inlineStr">
        <is>
          <t>Check ip-api.com + AbuseIPDB for context</t>
        </is>
      </c>
      <c r="T1606" s="187" t="n">
        <v>0</v>
      </c>
      <c r="U1606" s="187" t="n">
        <v>0</v>
      </c>
      <c r="V1606" s="187" t="inlineStr">
        <is>
          <t>T1110:Brute Force | T1190:Exploit Public-Facing Application</t>
        </is>
      </c>
      <c r="W1606" s="187" t="n">
        <v>1</v>
      </c>
      <c r="X1606" s="187" t="inlineStr">
        <is>
          <t>LOW (40%)</t>
        </is>
      </c>
      <c r="Y1606" s="187" t="inlineStr">
        <is>
          <t>NONE</t>
        </is>
      </c>
      <c r="Z1606" s="187" t="inlineStr">
        <is>
          <t>NONE</t>
        </is>
      </c>
      <c r="AA1606" s="187" t="inlineStr">
        <is>
          <t>NONE</t>
        </is>
      </c>
      <c r="AB1606" s="187" t="inlineStr">
        <is>
          <t>NONE</t>
        </is>
      </c>
      <c r="AC1606" s="187" t="n">
        <v>0</v>
      </c>
      <c r="AD1606" s="187" t="inlineStr"/>
    </row>
    <row r="1607">
      <c r="A1607" s="187" t="inlineStr">
        <is>
          <t>EMERGING_THREAT_IP</t>
        </is>
      </c>
      <c r="B1607" s="187" t="inlineStr">
        <is>
          <t>340ffbe1b705</t>
        </is>
      </c>
      <c r="C1607" s="187" t="inlineStr">
        <is>
          <t>Emerging Threats Compromised IP: 103.103.21.109 | Sources: EMERGING_THREATS</t>
        </is>
      </c>
      <c r="D1607" s="187" t="n">
        <v>6.5</v>
      </c>
      <c r="E1607" s="187" t="inlineStr">
        <is>
          <t>HIGH</t>
        </is>
      </c>
      <c r="F1607" s="187" t="n">
        <v>3</v>
      </c>
      <c r="G1607" s="187" t="n">
        <v>2</v>
      </c>
      <c r="H1607" s="187" t="inlineStr">
        <is>
          <t>HIGH</t>
        </is>
      </c>
      <c r="I1607" s="187" t="n">
        <v>12.5</v>
      </c>
      <c r="J1607" s="187" t="inlineStr">
        <is>
          <t>NO</t>
        </is>
      </c>
      <c r="K1607" s="187" t="inlineStr">
        <is>
          <t>https://rules.emergingthreats.net/</t>
        </is>
      </c>
      <c r="L1607" s="187" t="inlineStr">
        <is>
          <t>2026-02-27 20:47</t>
        </is>
      </c>
      <c r="M1607" s="187" t="inlineStr">
        <is>
          <t>Block IP</t>
        </is>
      </c>
      <c r="N1607" s="187" t="inlineStr">
        <is>
          <t>https://rules.emergingthreats.net/blockrules/compromised-ips.txt</t>
        </is>
      </c>
      <c r="O1607" s="187" t="inlineStr">
        <is>
          <t>Block IP 103.103.21.109 at firewall | Emerging Threats compromised host</t>
        </is>
      </c>
      <c r="P1607" s="187" t="inlineStr">
        <is>
          <t>Network perimeter</t>
        </is>
      </c>
      <c r="Q1607" s="187" t="inlineStr">
        <is>
          <t>P3</t>
        </is>
      </c>
      <c r="R1607" s="187" t="inlineStr">
        <is>
          <t>🚫 Block IP at firewall immediately | 🔍 Check logs for existing connections | 🛡️ Add to threat intelligence blocklist</t>
        </is>
      </c>
      <c r="S1607" s="187" t="inlineStr">
        <is>
          <t>Check ip-api.com + AbuseIPDB for context</t>
        </is>
      </c>
      <c r="T1607" s="187" t="n">
        <v>0</v>
      </c>
      <c r="U1607" s="187" t="n">
        <v>0</v>
      </c>
      <c r="V1607" s="187" t="inlineStr">
        <is>
          <t>T1110:Brute Force | T1190:Exploit Public-Facing Application</t>
        </is>
      </c>
      <c r="W1607" s="187" t="n">
        <v>1</v>
      </c>
      <c r="X1607" s="187" t="inlineStr">
        <is>
          <t>LOW (40%)</t>
        </is>
      </c>
      <c r="Y1607" s="187" t="inlineStr">
        <is>
          <t>NONE</t>
        </is>
      </c>
      <c r="Z1607" s="187" t="inlineStr">
        <is>
          <t>NONE</t>
        </is>
      </c>
      <c r="AA1607" s="187" t="inlineStr">
        <is>
          <t>NONE</t>
        </is>
      </c>
      <c r="AB1607" s="187" t="inlineStr">
        <is>
          <t>NONE</t>
        </is>
      </c>
      <c r="AC1607" s="187" t="n">
        <v>0</v>
      </c>
      <c r="AD1607" s="187" t="inlineStr"/>
    </row>
    <row r="1608">
      <c r="A1608" s="187" t="inlineStr">
        <is>
          <t>EMERGING_THREAT_IP</t>
        </is>
      </c>
      <c r="B1608" s="187" t="inlineStr">
        <is>
          <t>034ed7f153b4</t>
        </is>
      </c>
      <c r="C1608" s="187" t="inlineStr">
        <is>
          <t>Emerging Threats Compromised IP: 103.121.91.144 | Sources: EMERGING_THREATS</t>
        </is>
      </c>
      <c r="D1608" s="187" t="n">
        <v>6.5</v>
      </c>
      <c r="E1608" s="187" t="inlineStr">
        <is>
          <t>HIGH</t>
        </is>
      </c>
      <c r="F1608" s="187" t="n">
        <v>3</v>
      </c>
      <c r="G1608" s="187" t="n">
        <v>2</v>
      </c>
      <c r="H1608" s="187" t="inlineStr">
        <is>
          <t>HIGH</t>
        </is>
      </c>
      <c r="I1608" s="187" t="n">
        <v>12.5</v>
      </c>
      <c r="J1608" s="187" t="inlineStr">
        <is>
          <t>NO</t>
        </is>
      </c>
      <c r="K1608" s="187" t="inlineStr">
        <is>
          <t>https://rules.emergingthreats.net/</t>
        </is>
      </c>
      <c r="L1608" s="187" t="inlineStr">
        <is>
          <t>2026-02-27 20:47</t>
        </is>
      </c>
      <c r="M1608" s="187" t="inlineStr">
        <is>
          <t>Block IP</t>
        </is>
      </c>
      <c r="N1608" s="187" t="inlineStr">
        <is>
          <t>https://rules.emergingthreats.net/blockrules/compromised-ips.txt</t>
        </is>
      </c>
      <c r="O1608" s="187" t="inlineStr">
        <is>
          <t>Block IP 103.121.91.144 at firewall | Emerging Threats compromised host</t>
        </is>
      </c>
      <c r="P1608" s="187" t="inlineStr">
        <is>
          <t>Network perimeter</t>
        </is>
      </c>
      <c r="Q1608" s="187" t="inlineStr">
        <is>
          <t>P3</t>
        </is>
      </c>
      <c r="R1608" s="187" t="inlineStr">
        <is>
          <t>🚫 Block IP at firewall immediately | 🔍 Check logs for existing connections | 🛡️ Add to threat intelligence blocklist</t>
        </is>
      </c>
      <c r="S1608" s="187" t="inlineStr">
        <is>
          <t>Check ip-api.com + AbuseIPDB for context</t>
        </is>
      </c>
      <c r="T1608" s="187" t="n">
        <v>0</v>
      </c>
      <c r="U1608" s="187" t="n">
        <v>0</v>
      </c>
      <c r="V1608" s="187" t="inlineStr">
        <is>
          <t>T1110:Brute Force | T1190:Exploit Public-Facing Application</t>
        </is>
      </c>
      <c r="W1608" s="187" t="n">
        <v>1</v>
      </c>
      <c r="X1608" s="187" t="inlineStr">
        <is>
          <t>LOW (40%)</t>
        </is>
      </c>
      <c r="Y1608" s="187" t="inlineStr">
        <is>
          <t>NONE</t>
        </is>
      </c>
      <c r="Z1608" s="187" t="inlineStr">
        <is>
          <t>NONE</t>
        </is>
      </c>
      <c r="AA1608" s="187" t="inlineStr">
        <is>
          <t>NONE</t>
        </is>
      </c>
      <c r="AB1608" s="187" t="inlineStr">
        <is>
          <t>NONE</t>
        </is>
      </c>
      <c r="AC1608" s="187" t="n">
        <v>0</v>
      </c>
      <c r="AD1608" s="187" t="inlineStr"/>
    </row>
    <row r="1609">
      <c r="A1609" s="187" t="inlineStr">
        <is>
          <t>EMERGING_THREAT_IP</t>
        </is>
      </c>
      <c r="B1609" s="187" t="inlineStr">
        <is>
          <t>233f6f0124ad</t>
        </is>
      </c>
      <c r="C1609" s="187" t="inlineStr">
        <is>
          <t>Emerging Threats Compromised IP: 103.124.107.26 | Sources: EMERGING_THREATS</t>
        </is>
      </c>
      <c r="D1609" s="187" t="n">
        <v>6.5</v>
      </c>
      <c r="E1609" s="187" t="inlineStr">
        <is>
          <t>HIGH</t>
        </is>
      </c>
      <c r="F1609" s="187" t="n">
        <v>3</v>
      </c>
      <c r="G1609" s="187" t="n">
        <v>2</v>
      </c>
      <c r="H1609" s="187" t="inlineStr">
        <is>
          <t>HIGH</t>
        </is>
      </c>
      <c r="I1609" s="187" t="n">
        <v>12.5</v>
      </c>
      <c r="J1609" s="187" t="inlineStr">
        <is>
          <t>NO</t>
        </is>
      </c>
      <c r="K1609" s="187" t="inlineStr">
        <is>
          <t>https://rules.emergingthreats.net/</t>
        </is>
      </c>
      <c r="L1609" s="187" t="inlineStr">
        <is>
          <t>2026-02-27 20:47</t>
        </is>
      </c>
      <c r="M1609" s="187" t="inlineStr">
        <is>
          <t>Block IP</t>
        </is>
      </c>
      <c r="N1609" s="187" t="inlineStr">
        <is>
          <t>https://rules.emergingthreats.net/blockrules/compromised-ips.txt</t>
        </is>
      </c>
      <c r="O1609" s="187" t="inlineStr">
        <is>
          <t>Block IP 103.124.107.26 at firewall | Emerging Threats compromised host</t>
        </is>
      </c>
      <c r="P1609" s="187" t="inlineStr">
        <is>
          <t>Network perimeter</t>
        </is>
      </c>
      <c r="Q1609" s="187" t="inlineStr">
        <is>
          <t>P3</t>
        </is>
      </c>
      <c r="R1609" s="187" t="inlineStr">
        <is>
          <t>🚫 Block IP at firewall immediately | 🔍 Check logs for existing connections | 🛡️ Add to threat intelligence blocklist</t>
        </is>
      </c>
      <c r="S1609" s="187" t="inlineStr">
        <is>
          <t>Check ip-api.com + AbuseIPDB for context</t>
        </is>
      </c>
      <c r="T1609" s="187" t="n">
        <v>0</v>
      </c>
      <c r="U1609" s="187" t="n">
        <v>0</v>
      </c>
      <c r="V1609" s="187" t="inlineStr">
        <is>
          <t>T1110:Brute Force | T1190:Exploit Public-Facing Application</t>
        </is>
      </c>
      <c r="W1609" s="187" t="n">
        <v>1</v>
      </c>
      <c r="X1609" s="187" t="inlineStr">
        <is>
          <t>LOW (40%)</t>
        </is>
      </c>
      <c r="Y1609" s="187" t="inlineStr">
        <is>
          <t>NONE</t>
        </is>
      </c>
      <c r="Z1609" s="187" t="inlineStr">
        <is>
          <t>NONE</t>
        </is>
      </c>
      <c r="AA1609" s="187" t="inlineStr">
        <is>
          <t>NONE</t>
        </is>
      </c>
      <c r="AB1609" s="187" t="inlineStr">
        <is>
          <t>NONE</t>
        </is>
      </c>
      <c r="AC1609" s="187" t="n">
        <v>0</v>
      </c>
      <c r="AD1609" s="187" t="inlineStr"/>
    </row>
    <row r="1610">
      <c r="A1610" s="187" t="inlineStr">
        <is>
          <t>EMERGING_THREAT_IP</t>
        </is>
      </c>
      <c r="B1610" s="187" t="inlineStr">
        <is>
          <t>f260d21ba61b</t>
        </is>
      </c>
      <c r="C1610" s="187" t="inlineStr">
        <is>
          <t>Emerging Threats Compromised IP: 103.14.32.75 | Sources: EMERGING_THREATS</t>
        </is>
      </c>
      <c r="D1610" s="187" t="n">
        <v>6.5</v>
      </c>
      <c r="E1610" s="187" t="inlineStr">
        <is>
          <t>HIGH</t>
        </is>
      </c>
      <c r="F1610" s="187" t="n">
        <v>3</v>
      </c>
      <c r="G1610" s="187" t="n">
        <v>2</v>
      </c>
      <c r="H1610" s="187" t="inlineStr">
        <is>
          <t>HIGH</t>
        </is>
      </c>
      <c r="I1610" s="187" t="n">
        <v>12.5</v>
      </c>
      <c r="J1610" s="187" t="inlineStr">
        <is>
          <t>NO</t>
        </is>
      </c>
      <c r="K1610" s="187" t="inlineStr">
        <is>
          <t>https://rules.emergingthreats.net/</t>
        </is>
      </c>
      <c r="L1610" s="187" t="inlineStr">
        <is>
          <t>2026-02-27 20:47</t>
        </is>
      </c>
      <c r="M1610" s="187" t="inlineStr">
        <is>
          <t>Block IP</t>
        </is>
      </c>
      <c r="N1610" s="187" t="inlineStr">
        <is>
          <t>https://rules.emergingthreats.net/blockrules/compromised-ips.txt</t>
        </is>
      </c>
      <c r="O1610" s="187" t="inlineStr">
        <is>
          <t>Block IP 103.14.32.75 at firewall | Emerging Threats compromised host</t>
        </is>
      </c>
      <c r="P1610" s="187" t="inlineStr">
        <is>
          <t>Network perimeter</t>
        </is>
      </c>
      <c r="Q1610" s="187" t="inlineStr">
        <is>
          <t>P3</t>
        </is>
      </c>
      <c r="R1610" s="187" t="inlineStr">
        <is>
          <t>🚫 Block IP at firewall immediately | 🔍 Check logs for existing connections | 🛡️ Add to threat intelligence blocklist</t>
        </is>
      </c>
      <c r="S1610" s="187" t="inlineStr">
        <is>
          <t>Check ip-api.com + AbuseIPDB for context</t>
        </is>
      </c>
      <c r="T1610" s="187" t="n">
        <v>0</v>
      </c>
      <c r="U1610" s="187" t="n">
        <v>0</v>
      </c>
      <c r="V1610" s="187" t="inlineStr">
        <is>
          <t>T1110:Brute Force | T1190:Exploit Public-Facing Application</t>
        </is>
      </c>
      <c r="W1610" s="187" t="n">
        <v>1</v>
      </c>
      <c r="X1610" s="187" t="inlineStr">
        <is>
          <t>LOW (40%)</t>
        </is>
      </c>
      <c r="Y1610" s="187" t="inlineStr">
        <is>
          <t>NONE</t>
        </is>
      </c>
      <c r="Z1610" s="187" t="inlineStr">
        <is>
          <t>NONE</t>
        </is>
      </c>
      <c r="AA1610" s="187" t="inlineStr">
        <is>
          <t>NONE</t>
        </is>
      </c>
      <c r="AB1610" s="187" t="inlineStr">
        <is>
          <t>NONE</t>
        </is>
      </c>
      <c r="AC1610" s="187" t="n">
        <v>0</v>
      </c>
      <c r="AD1610" s="187" t="inlineStr"/>
    </row>
    <row r="1611">
      <c r="A1611" s="187" t="inlineStr">
        <is>
          <t>EMERGING_THREAT_IP</t>
        </is>
      </c>
      <c r="B1611" s="187" t="inlineStr">
        <is>
          <t>ffec239995ac</t>
        </is>
      </c>
      <c r="C1611" s="187" t="inlineStr">
        <is>
          <t>Emerging Threats Compromised IP: 103.148.118.211 | Sources: EMERGING_THREATS</t>
        </is>
      </c>
      <c r="D1611" s="187" t="n">
        <v>6.5</v>
      </c>
      <c r="E1611" s="187" t="inlineStr">
        <is>
          <t>HIGH</t>
        </is>
      </c>
      <c r="F1611" s="187" t="n">
        <v>3</v>
      </c>
      <c r="G1611" s="187" t="n">
        <v>2</v>
      </c>
      <c r="H1611" s="187" t="inlineStr">
        <is>
          <t>HIGH</t>
        </is>
      </c>
      <c r="I1611" s="187" t="n">
        <v>12.5</v>
      </c>
      <c r="J1611" s="187" t="inlineStr">
        <is>
          <t>NO</t>
        </is>
      </c>
      <c r="K1611" s="187" t="inlineStr">
        <is>
          <t>https://rules.emergingthreats.net/</t>
        </is>
      </c>
      <c r="L1611" s="187" t="inlineStr">
        <is>
          <t>2026-02-27 20:47</t>
        </is>
      </c>
      <c r="M1611" s="187" t="inlineStr">
        <is>
          <t>Block IP</t>
        </is>
      </c>
      <c r="N1611" s="187" t="inlineStr">
        <is>
          <t>https://rules.emergingthreats.net/blockrules/compromised-ips.txt</t>
        </is>
      </c>
      <c r="O1611" s="187" t="inlineStr">
        <is>
          <t>Block IP 103.148.118.211 at firewall | Emerging Threats compromised host</t>
        </is>
      </c>
      <c r="P1611" s="187" t="inlineStr">
        <is>
          <t>Network perimeter</t>
        </is>
      </c>
      <c r="Q1611" s="187" t="inlineStr">
        <is>
          <t>P3</t>
        </is>
      </c>
      <c r="R1611" s="187" t="inlineStr">
        <is>
          <t>🚫 Block IP at firewall immediately | 🔍 Check logs for existing connections | 🛡️ Add to threat intelligence blocklist</t>
        </is>
      </c>
      <c r="S1611" s="187" t="inlineStr">
        <is>
          <t>Check ip-api.com + AbuseIPDB for context</t>
        </is>
      </c>
      <c r="T1611" s="187" t="n">
        <v>0</v>
      </c>
      <c r="U1611" s="187" t="n">
        <v>0</v>
      </c>
      <c r="V1611" s="187" t="inlineStr">
        <is>
          <t>T1110:Brute Force | T1190:Exploit Public-Facing Application</t>
        </is>
      </c>
      <c r="W1611" s="187" t="n">
        <v>1</v>
      </c>
      <c r="X1611" s="187" t="inlineStr">
        <is>
          <t>LOW (40%)</t>
        </is>
      </c>
      <c r="Y1611" s="187" t="inlineStr">
        <is>
          <t>NONE</t>
        </is>
      </c>
      <c r="Z1611" s="187" t="inlineStr">
        <is>
          <t>NONE</t>
        </is>
      </c>
      <c r="AA1611" s="187" t="inlineStr">
        <is>
          <t>NONE</t>
        </is>
      </c>
      <c r="AB1611" s="187" t="inlineStr">
        <is>
          <t>NONE</t>
        </is>
      </c>
      <c r="AC1611" s="187" t="n">
        <v>0</v>
      </c>
      <c r="AD1611" s="187" t="inlineStr"/>
    </row>
    <row r="1612">
      <c r="A1612" s="187" t="inlineStr">
        <is>
          <t>EMERGING_THREAT_IP</t>
        </is>
      </c>
      <c r="B1612" s="187" t="inlineStr">
        <is>
          <t>fe6b4e19212f</t>
        </is>
      </c>
      <c r="C1612" s="187" t="inlineStr">
        <is>
          <t>Emerging Threats Compromised IP: 103.148.195.198 | Sources: EMERGING_THREATS</t>
        </is>
      </c>
      <c r="D1612" s="187" t="n">
        <v>6.5</v>
      </c>
      <c r="E1612" s="187" t="inlineStr">
        <is>
          <t>HIGH</t>
        </is>
      </c>
      <c r="F1612" s="187" t="n">
        <v>3</v>
      </c>
      <c r="G1612" s="187" t="n">
        <v>2</v>
      </c>
      <c r="H1612" s="187" t="inlineStr">
        <is>
          <t>HIGH</t>
        </is>
      </c>
      <c r="I1612" s="187" t="n">
        <v>12.5</v>
      </c>
      <c r="J1612" s="187" t="inlineStr">
        <is>
          <t>NO</t>
        </is>
      </c>
      <c r="K1612" s="187" t="inlineStr">
        <is>
          <t>https://rules.emergingthreats.net/</t>
        </is>
      </c>
      <c r="L1612" s="187" t="inlineStr">
        <is>
          <t>2026-02-27 20:47</t>
        </is>
      </c>
      <c r="M1612" s="187" t="inlineStr">
        <is>
          <t>Block IP</t>
        </is>
      </c>
      <c r="N1612" s="187" t="inlineStr">
        <is>
          <t>https://rules.emergingthreats.net/blockrules/compromised-ips.txt</t>
        </is>
      </c>
      <c r="O1612" s="187" t="inlineStr">
        <is>
          <t>Block IP 103.148.195.198 at firewall | Emerging Threats compromised host</t>
        </is>
      </c>
      <c r="P1612" s="187" t="inlineStr">
        <is>
          <t>Network perimeter</t>
        </is>
      </c>
      <c r="Q1612" s="187" t="inlineStr">
        <is>
          <t>P3</t>
        </is>
      </c>
      <c r="R1612" s="187" t="inlineStr">
        <is>
          <t>🚫 Block IP at firewall immediately | 🔍 Check logs for existing connections | 🛡️ Add to threat intelligence blocklist</t>
        </is>
      </c>
      <c r="S1612" s="187" t="inlineStr">
        <is>
          <t>Check ip-api.com + AbuseIPDB for context</t>
        </is>
      </c>
      <c r="T1612" s="187" t="n">
        <v>0</v>
      </c>
      <c r="U1612" s="187" t="n">
        <v>0</v>
      </c>
      <c r="V1612" s="187" t="inlineStr">
        <is>
          <t>T1110:Brute Force | T1190:Exploit Public-Facing Application</t>
        </is>
      </c>
      <c r="W1612" s="187" t="n">
        <v>1</v>
      </c>
      <c r="X1612" s="187" t="inlineStr">
        <is>
          <t>LOW (40%)</t>
        </is>
      </c>
      <c r="Y1612" s="187" t="inlineStr">
        <is>
          <t>NONE</t>
        </is>
      </c>
      <c r="Z1612" s="187" t="inlineStr">
        <is>
          <t>NONE</t>
        </is>
      </c>
      <c r="AA1612" s="187" t="inlineStr">
        <is>
          <t>NONE</t>
        </is>
      </c>
      <c r="AB1612" s="187" t="inlineStr">
        <is>
          <t>NONE</t>
        </is>
      </c>
      <c r="AC1612" s="187" t="n">
        <v>0</v>
      </c>
      <c r="AD1612" s="187" t="inlineStr"/>
    </row>
    <row r="1613">
      <c r="A1613" s="187" t="inlineStr">
        <is>
          <t>EMERGING_THREAT_IP</t>
        </is>
      </c>
      <c r="B1613" s="187" t="inlineStr">
        <is>
          <t>760e3739b969</t>
        </is>
      </c>
      <c r="C1613" s="187" t="inlineStr">
        <is>
          <t>Emerging Threats Compromised IP: 103.160.5.123 | Sources: EMERGING_THREATS</t>
        </is>
      </c>
      <c r="D1613" s="187" t="n">
        <v>6.5</v>
      </c>
      <c r="E1613" s="187" t="inlineStr">
        <is>
          <t>HIGH</t>
        </is>
      </c>
      <c r="F1613" s="187" t="n">
        <v>3</v>
      </c>
      <c r="G1613" s="187" t="n">
        <v>2</v>
      </c>
      <c r="H1613" s="187" t="inlineStr">
        <is>
          <t>HIGH</t>
        </is>
      </c>
      <c r="I1613" s="187" t="n">
        <v>12.5</v>
      </c>
      <c r="J1613" s="187" t="inlineStr">
        <is>
          <t>NO</t>
        </is>
      </c>
      <c r="K1613" s="187" t="inlineStr">
        <is>
          <t>https://rules.emergingthreats.net/</t>
        </is>
      </c>
      <c r="L1613" s="187" t="inlineStr">
        <is>
          <t>2026-02-27 20:47</t>
        </is>
      </c>
      <c r="M1613" s="187" t="inlineStr">
        <is>
          <t>Block IP</t>
        </is>
      </c>
      <c r="N1613" s="187" t="inlineStr">
        <is>
          <t>https://rules.emergingthreats.net/blockrules/compromised-ips.txt</t>
        </is>
      </c>
      <c r="O1613" s="187" t="inlineStr">
        <is>
          <t>Block IP 103.160.5.123 at firewall | Emerging Threats compromised host</t>
        </is>
      </c>
      <c r="P1613" s="187" t="inlineStr">
        <is>
          <t>Network perimeter</t>
        </is>
      </c>
      <c r="Q1613" s="187" t="inlineStr">
        <is>
          <t>P3</t>
        </is>
      </c>
      <c r="R1613" s="187" t="inlineStr">
        <is>
          <t>🚫 Block IP at firewall immediately | 🔍 Check logs for existing connections | 🛡️ Add to threat intelligence blocklist</t>
        </is>
      </c>
      <c r="S1613" s="187" t="inlineStr">
        <is>
          <t>Check ip-api.com + AbuseIPDB for context</t>
        </is>
      </c>
      <c r="T1613" s="187" t="n">
        <v>0</v>
      </c>
      <c r="U1613" s="187" t="n">
        <v>0</v>
      </c>
      <c r="V1613" s="187" t="inlineStr">
        <is>
          <t>T1110:Brute Force | T1190:Exploit Public-Facing Application</t>
        </is>
      </c>
      <c r="W1613" s="187" t="n">
        <v>1</v>
      </c>
      <c r="X1613" s="187" t="inlineStr">
        <is>
          <t>LOW (40%)</t>
        </is>
      </c>
      <c r="Y1613" s="187" t="inlineStr">
        <is>
          <t>NONE</t>
        </is>
      </c>
      <c r="Z1613" s="187" t="inlineStr">
        <is>
          <t>NONE</t>
        </is>
      </c>
      <c r="AA1613" s="187" t="inlineStr">
        <is>
          <t>NONE</t>
        </is>
      </c>
      <c r="AB1613" s="187" t="inlineStr">
        <is>
          <t>NONE</t>
        </is>
      </c>
      <c r="AC1613" s="187" t="n">
        <v>0</v>
      </c>
      <c r="AD1613" s="187" t="inlineStr"/>
    </row>
    <row r="1614">
      <c r="A1614" s="187" t="inlineStr">
        <is>
          <t>EMERGING_THREAT_IP</t>
        </is>
      </c>
      <c r="B1614" s="187" t="inlineStr">
        <is>
          <t>cdf077fccefb</t>
        </is>
      </c>
      <c r="C1614" s="187" t="inlineStr">
        <is>
          <t>Emerging Threats Compromised IP: 103.218.241.106 | Sources: EMERGING_THREATS</t>
        </is>
      </c>
      <c r="D1614" s="187" t="n">
        <v>6.5</v>
      </c>
      <c r="E1614" s="187" t="inlineStr">
        <is>
          <t>HIGH</t>
        </is>
      </c>
      <c r="F1614" s="187" t="n">
        <v>3</v>
      </c>
      <c r="G1614" s="187" t="n">
        <v>2</v>
      </c>
      <c r="H1614" s="187" t="inlineStr">
        <is>
          <t>HIGH</t>
        </is>
      </c>
      <c r="I1614" s="187" t="n">
        <v>12.5</v>
      </c>
      <c r="J1614" s="187" t="inlineStr">
        <is>
          <t>NO</t>
        </is>
      </c>
      <c r="K1614" s="187" t="inlineStr">
        <is>
          <t>https://rules.emergingthreats.net/</t>
        </is>
      </c>
      <c r="L1614" s="187" t="inlineStr">
        <is>
          <t>2026-02-27 20:47</t>
        </is>
      </c>
      <c r="M1614" s="187" t="inlineStr">
        <is>
          <t>Block IP</t>
        </is>
      </c>
      <c r="N1614" s="187" t="inlineStr">
        <is>
          <t>https://rules.emergingthreats.net/blockrules/compromised-ips.txt</t>
        </is>
      </c>
      <c r="O1614" s="187" t="inlineStr">
        <is>
          <t>Block IP 103.218.241.106 at firewall | Emerging Threats compromised host</t>
        </is>
      </c>
      <c r="P1614" s="187" t="inlineStr">
        <is>
          <t>Network perimeter</t>
        </is>
      </c>
      <c r="Q1614" s="187" t="inlineStr">
        <is>
          <t>P3</t>
        </is>
      </c>
      <c r="R1614" s="187" t="inlineStr">
        <is>
          <t>🚫 Block IP at firewall immediately | 🔍 Check logs for existing connections | 🛡️ Add to threat intelligence blocklist</t>
        </is>
      </c>
      <c r="S1614" s="187" t="inlineStr">
        <is>
          <t>Check ip-api.com + AbuseIPDB for context</t>
        </is>
      </c>
      <c r="T1614" s="187" t="n">
        <v>0</v>
      </c>
      <c r="U1614" s="187" t="n">
        <v>0</v>
      </c>
      <c r="V1614" s="187" t="inlineStr">
        <is>
          <t>T1110:Brute Force | T1190:Exploit Public-Facing Application</t>
        </is>
      </c>
      <c r="W1614" s="187" t="n">
        <v>1</v>
      </c>
      <c r="X1614" s="187" t="inlineStr">
        <is>
          <t>LOW (40%)</t>
        </is>
      </c>
      <c r="Y1614" s="187" t="inlineStr">
        <is>
          <t>NONE</t>
        </is>
      </c>
      <c r="Z1614" s="187" t="inlineStr">
        <is>
          <t>NONE</t>
        </is>
      </c>
      <c r="AA1614" s="187" t="inlineStr">
        <is>
          <t>NONE</t>
        </is>
      </c>
      <c r="AB1614" s="187" t="inlineStr">
        <is>
          <t>NONE</t>
        </is>
      </c>
      <c r="AC1614" s="187" t="n">
        <v>0</v>
      </c>
      <c r="AD1614" s="187" t="inlineStr"/>
    </row>
    <row r="1615">
      <c r="A1615" s="187" t="inlineStr">
        <is>
          <t>EMERGING_THREAT_IP</t>
        </is>
      </c>
      <c r="B1615" s="187" t="inlineStr">
        <is>
          <t>64210da85eb5</t>
        </is>
      </c>
      <c r="C1615" s="187" t="inlineStr">
        <is>
          <t>Emerging Threats Compromised IP: 103.232.121.71 | Sources: EMERGING_THREATS</t>
        </is>
      </c>
      <c r="D1615" s="187" t="n">
        <v>6.5</v>
      </c>
      <c r="E1615" s="187" t="inlineStr">
        <is>
          <t>HIGH</t>
        </is>
      </c>
      <c r="F1615" s="187" t="n">
        <v>3</v>
      </c>
      <c r="G1615" s="187" t="n">
        <v>2</v>
      </c>
      <c r="H1615" s="187" t="inlineStr">
        <is>
          <t>HIGH</t>
        </is>
      </c>
      <c r="I1615" s="187" t="n">
        <v>12.5</v>
      </c>
      <c r="J1615" s="187" t="inlineStr">
        <is>
          <t>NO</t>
        </is>
      </c>
      <c r="K1615" s="187" t="inlineStr">
        <is>
          <t>https://rules.emergingthreats.net/</t>
        </is>
      </c>
      <c r="L1615" s="187" t="inlineStr">
        <is>
          <t>2026-02-27 20:47</t>
        </is>
      </c>
      <c r="M1615" s="187" t="inlineStr">
        <is>
          <t>Block IP</t>
        </is>
      </c>
      <c r="N1615" s="187" t="inlineStr">
        <is>
          <t>https://rules.emergingthreats.net/blockrules/compromised-ips.txt</t>
        </is>
      </c>
      <c r="O1615" s="187" t="inlineStr">
        <is>
          <t>Block IP 103.232.121.71 at firewall | Emerging Threats compromised host</t>
        </is>
      </c>
      <c r="P1615" s="187" t="inlineStr">
        <is>
          <t>Network perimeter</t>
        </is>
      </c>
      <c r="Q1615" s="187" t="inlineStr">
        <is>
          <t>P3</t>
        </is>
      </c>
      <c r="R1615" s="187" t="inlineStr">
        <is>
          <t>🚫 Block IP at firewall immediately | 🔍 Check logs for existing connections | 🛡️ Add to threat intelligence blocklist</t>
        </is>
      </c>
      <c r="S1615" s="187" t="inlineStr">
        <is>
          <t>Check ip-api.com + AbuseIPDB for context</t>
        </is>
      </c>
      <c r="T1615" s="187" t="n">
        <v>0</v>
      </c>
      <c r="U1615" s="187" t="n">
        <v>0</v>
      </c>
      <c r="V1615" s="187" t="inlineStr">
        <is>
          <t>T1110:Brute Force | T1190:Exploit Public-Facing Application</t>
        </is>
      </c>
      <c r="W1615" s="187" t="n">
        <v>1</v>
      </c>
      <c r="X1615" s="187" t="inlineStr">
        <is>
          <t>LOW (40%)</t>
        </is>
      </c>
      <c r="Y1615" s="187" t="inlineStr">
        <is>
          <t>NONE</t>
        </is>
      </c>
      <c r="Z1615" s="187" t="inlineStr">
        <is>
          <t>NONE</t>
        </is>
      </c>
      <c r="AA1615" s="187" t="inlineStr">
        <is>
          <t>NONE</t>
        </is>
      </c>
      <c r="AB1615" s="187" t="inlineStr">
        <is>
          <t>NONE</t>
        </is>
      </c>
      <c r="AC1615" s="187" t="n">
        <v>0</v>
      </c>
      <c r="AD1615" s="187" t="inlineStr"/>
    </row>
    <row r="1616">
      <c r="A1616" s="187" t="inlineStr">
        <is>
          <t>EMERGING_THREAT_IP</t>
        </is>
      </c>
      <c r="B1616" s="187" t="inlineStr">
        <is>
          <t>5c383c76de68</t>
        </is>
      </c>
      <c r="C1616" s="187" t="inlineStr">
        <is>
          <t>Emerging Threats Compromised IP: 103.239.252.132 | Sources: EMERGING_THREATS</t>
        </is>
      </c>
      <c r="D1616" s="187" t="n">
        <v>6.5</v>
      </c>
      <c r="E1616" s="187" t="inlineStr">
        <is>
          <t>HIGH</t>
        </is>
      </c>
      <c r="F1616" s="187" t="n">
        <v>3</v>
      </c>
      <c r="G1616" s="187" t="n">
        <v>2</v>
      </c>
      <c r="H1616" s="187" t="inlineStr">
        <is>
          <t>HIGH</t>
        </is>
      </c>
      <c r="I1616" s="187" t="n">
        <v>12.5</v>
      </c>
      <c r="J1616" s="187" t="inlineStr">
        <is>
          <t>NO</t>
        </is>
      </c>
      <c r="K1616" s="187" t="inlineStr">
        <is>
          <t>https://rules.emergingthreats.net/</t>
        </is>
      </c>
      <c r="L1616" s="187" t="inlineStr">
        <is>
          <t>2026-02-27 20:47</t>
        </is>
      </c>
      <c r="M1616" s="187" t="inlineStr">
        <is>
          <t>Block IP</t>
        </is>
      </c>
      <c r="N1616" s="187" t="inlineStr">
        <is>
          <t>https://rules.emergingthreats.net/blockrules/compromised-ips.txt</t>
        </is>
      </c>
      <c r="O1616" s="187" t="inlineStr">
        <is>
          <t>Block IP 103.239.252.132 at firewall | Emerging Threats compromised host</t>
        </is>
      </c>
      <c r="P1616" s="187" t="inlineStr">
        <is>
          <t>Network perimeter</t>
        </is>
      </c>
      <c r="Q1616" s="187" t="inlineStr">
        <is>
          <t>P3</t>
        </is>
      </c>
      <c r="R1616" s="187" t="inlineStr">
        <is>
          <t>🚫 Block IP at firewall immediately | 🔍 Check logs for existing connections | 🛡️ Add to threat intelligence blocklist</t>
        </is>
      </c>
      <c r="S1616" s="187" t="inlineStr">
        <is>
          <t>Check ip-api.com + AbuseIPDB for context</t>
        </is>
      </c>
      <c r="T1616" s="187" t="n">
        <v>0</v>
      </c>
      <c r="U1616" s="187" t="n">
        <v>0</v>
      </c>
      <c r="V1616" s="187" t="inlineStr">
        <is>
          <t>T1110:Brute Force | T1190:Exploit Public-Facing Application</t>
        </is>
      </c>
      <c r="W1616" s="187" t="n">
        <v>1</v>
      </c>
      <c r="X1616" s="187" t="inlineStr">
        <is>
          <t>LOW (40%)</t>
        </is>
      </c>
      <c r="Y1616" s="187" t="inlineStr">
        <is>
          <t>NONE</t>
        </is>
      </c>
      <c r="Z1616" s="187" t="inlineStr">
        <is>
          <t>NONE</t>
        </is>
      </c>
      <c r="AA1616" s="187" t="inlineStr">
        <is>
          <t>NONE</t>
        </is>
      </c>
      <c r="AB1616" s="187" t="inlineStr">
        <is>
          <t>NONE</t>
        </is>
      </c>
      <c r="AC1616" s="187" t="n">
        <v>0</v>
      </c>
      <c r="AD1616" s="187" t="inlineStr"/>
    </row>
    <row r="1617">
      <c r="A1617" s="187" t="inlineStr">
        <is>
          <t>EMERGING_THREAT_IP</t>
        </is>
      </c>
      <c r="B1617" s="187" t="inlineStr">
        <is>
          <t>5583c88d0b92</t>
        </is>
      </c>
      <c r="C1617" s="187" t="inlineStr">
        <is>
          <t>Emerging Threats Compromised IP: 103.249.200.230 | Sources: EMERGING_THREATS</t>
        </is>
      </c>
      <c r="D1617" s="187" t="n">
        <v>6.5</v>
      </c>
      <c r="E1617" s="187" t="inlineStr">
        <is>
          <t>HIGH</t>
        </is>
      </c>
      <c r="F1617" s="187" t="n">
        <v>3</v>
      </c>
      <c r="G1617" s="187" t="n">
        <v>2</v>
      </c>
      <c r="H1617" s="187" t="inlineStr">
        <is>
          <t>HIGH</t>
        </is>
      </c>
      <c r="I1617" s="187" t="n">
        <v>12.5</v>
      </c>
      <c r="J1617" s="187" t="inlineStr">
        <is>
          <t>NO</t>
        </is>
      </c>
      <c r="K1617" s="187" t="inlineStr">
        <is>
          <t>https://rules.emergingthreats.net/</t>
        </is>
      </c>
      <c r="L1617" s="187" t="inlineStr">
        <is>
          <t>2026-02-27 20:47</t>
        </is>
      </c>
      <c r="M1617" s="187" t="inlineStr">
        <is>
          <t>Block IP</t>
        </is>
      </c>
      <c r="N1617" s="187" t="inlineStr">
        <is>
          <t>https://rules.emergingthreats.net/blockrules/compromised-ips.txt</t>
        </is>
      </c>
      <c r="O1617" s="187" t="inlineStr">
        <is>
          <t>Block IP 103.249.200.230 at firewall | Emerging Threats compromised host</t>
        </is>
      </c>
      <c r="P1617" s="187" t="inlineStr">
        <is>
          <t>Network perimeter</t>
        </is>
      </c>
      <c r="Q1617" s="187" t="inlineStr">
        <is>
          <t>P3</t>
        </is>
      </c>
      <c r="R1617" s="187" t="inlineStr">
        <is>
          <t>🚫 Block IP at firewall immediately | 🔍 Check logs for existing connections | 🛡️ Add to threat intelligence blocklist</t>
        </is>
      </c>
      <c r="S1617" s="187" t="inlineStr">
        <is>
          <t>Check ip-api.com + AbuseIPDB for context</t>
        </is>
      </c>
      <c r="T1617" s="187" t="n">
        <v>0</v>
      </c>
      <c r="U1617" s="187" t="n">
        <v>0</v>
      </c>
      <c r="V1617" s="187" t="inlineStr">
        <is>
          <t>T1110:Brute Force | T1190:Exploit Public-Facing Application</t>
        </is>
      </c>
      <c r="W1617" s="187" t="n">
        <v>1</v>
      </c>
      <c r="X1617" s="187" t="inlineStr">
        <is>
          <t>LOW (40%)</t>
        </is>
      </c>
      <c r="Y1617" s="187" t="inlineStr">
        <is>
          <t>NONE</t>
        </is>
      </c>
      <c r="Z1617" s="187" t="inlineStr">
        <is>
          <t>NONE</t>
        </is>
      </c>
      <c r="AA1617" s="187" t="inlineStr">
        <is>
          <t>NONE</t>
        </is>
      </c>
      <c r="AB1617" s="187" t="inlineStr">
        <is>
          <t>NONE</t>
        </is>
      </c>
      <c r="AC1617" s="187" t="n">
        <v>0</v>
      </c>
      <c r="AD1617" s="187" t="inlineStr"/>
    </row>
    <row r="1618">
      <c r="A1618" s="187" t="inlineStr">
        <is>
          <t>EMERGING_THREAT_IP</t>
        </is>
      </c>
      <c r="B1618" s="187" t="inlineStr">
        <is>
          <t>890c9c3b7ae6</t>
        </is>
      </c>
      <c r="C1618" s="187" t="inlineStr">
        <is>
          <t>Emerging Threats Compromised IP: 103.252.73.37 | Sources: EMERGING_THREATS</t>
        </is>
      </c>
      <c r="D1618" s="187" t="n">
        <v>6.5</v>
      </c>
      <c r="E1618" s="187" t="inlineStr">
        <is>
          <t>HIGH</t>
        </is>
      </c>
      <c r="F1618" s="187" t="n">
        <v>3</v>
      </c>
      <c r="G1618" s="187" t="n">
        <v>2</v>
      </c>
      <c r="H1618" s="187" t="inlineStr">
        <is>
          <t>HIGH</t>
        </is>
      </c>
      <c r="I1618" s="187" t="n">
        <v>12.5</v>
      </c>
      <c r="J1618" s="187" t="inlineStr">
        <is>
          <t>NO</t>
        </is>
      </c>
      <c r="K1618" s="187" t="inlineStr">
        <is>
          <t>https://rules.emergingthreats.net/</t>
        </is>
      </c>
      <c r="L1618" s="187" t="inlineStr">
        <is>
          <t>2026-02-27 20:47</t>
        </is>
      </c>
      <c r="M1618" s="187" t="inlineStr">
        <is>
          <t>Block IP</t>
        </is>
      </c>
      <c r="N1618" s="187" t="inlineStr">
        <is>
          <t>https://rules.emergingthreats.net/blockrules/compromised-ips.txt</t>
        </is>
      </c>
      <c r="O1618" s="187" t="inlineStr">
        <is>
          <t>Block IP 103.252.73.37 at firewall | Emerging Threats compromised host</t>
        </is>
      </c>
      <c r="P1618" s="187" t="inlineStr">
        <is>
          <t>Network perimeter</t>
        </is>
      </c>
      <c r="Q1618" s="187" t="inlineStr">
        <is>
          <t>P3</t>
        </is>
      </c>
      <c r="R1618" s="187" t="inlineStr">
        <is>
          <t>🚫 Block IP at firewall immediately | 🔍 Check logs for existing connections | 🛡️ Add to threat intelligence blocklist</t>
        </is>
      </c>
      <c r="S1618" s="187" t="inlineStr">
        <is>
          <t>Check ip-api.com + AbuseIPDB for context</t>
        </is>
      </c>
      <c r="T1618" s="187" t="n">
        <v>0</v>
      </c>
      <c r="U1618" s="187" t="n">
        <v>0</v>
      </c>
      <c r="V1618" s="187" t="inlineStr">
        <is>
          <t>T1110:Brute Force | T1190:Exploit Public-Facing Application</t>
        </is>
      </c>
      <c r="W1618" s="187" t="n">
        <v>1</v>
      </c>
      <c r="X1618" s="187" t="inlineStr">
        <is>
          <t>LOW (40%)</t>
        </is>
      </c>
      <c r="Y1618" s="187" t="inlineStr">
        <is>
          <t>NONE</t>
        </is>
      </c>
      <c r="Z1618" s="187" t="inlineStr">
        <is>
          <t>NONE</t>
        </is>
      </c>
      <c r="AA1618" s="187" t="inlineStr">
        <is>
          <t>NONE</t>
        </is>
      </c>
      <c r="AB1618" s="187" t="inlineStr">
        <is>
          <t>NONE</t>
        </is>
      </c>
      <c r="AC1618" s="187" t="n">
        <v>0</v>
      </c>
      <c r="AD1618" s="187" t="inlineStr"/>
    </row>
    <row r="1619">
      <c r="A1619" s="187" t="inlineStr">
        <is>
          <t>EMERGING_THREAT_IP</t>
        </is>
      </c>
      <c r="B1619" s="187" t="inlineStr">
        <is>
          <t>e7df42bbb1e6</t>
        </is>
      </c>
      <c r="C1619" s="187" t="inlineStr">
        <is>
          <t>Emerging Threats Compromised IP: 103.39.222.143 | Sources: EMERGING_THREATS</t>
        </is>
      </c>
      <c r="D1619" s="187" t="n">
        <v>6.5</v>
      </c>
      <c r="E1619" s="187" t="inlineStr">
        <is>
          <t>HIGH</t>
        </is>
      </c>
      <c r="F1619" s="187" t="n">
        <v>3</v>
      </c>
      <c r="G1619" s="187" t="n">
        <v>2</v>
      </c>
      <c r="H1619" s="187" t="inlineStr">
        <is>
          <t>HIGH</t>
        </is>
      </c>
      <c r="I1619" s="187" t="n">
        <v>12.5</v>
      </c>
      <c r="J1619" s="187" t="inlineStr">
        <is>
          <t>NO</t>
        </is>
      </c>
      <c r="K1619" s="187" t="inlineStr">
        <is>
          <t>https://rules.emergingthreats.net/</t>
        </is>
      </c>
      <c r="L1619" s="187" t="inlineStr">
        <is>
          <t>2026-02-27 20:47</t>
        </is>
      </c>
      <c r="M1619" s="187" t="inlineStr">
        <is>
          <t>Block IP</t>
        </is>
      </c>
      <c r="N1619" s="187" t="inlineStr">
        <is>
          <t>https://rules.emergingthreats.net/blockrules/compromised-ips.txt</t>
        </is>
      </c>
      <c r="O1619" s="187" t="inlineStr">
        <is>
          <t>Block IP 103.39.222.143 at firewall | Emerging Threats compromised host</t>
        </is>
      </c>
      <c r="P1619" s="187" t="inlineStr">
        <is>
          <t>Network perimeter</t>
        </is>
      </c>
      <c r="Q1619" s="187" t="inlineStr">
        <is>
          <t>P3</t>
        </is>
      </c>
      <c r="R1619" s="187" t="inlineStr">
        <is>
          <t>🚫 Block IP at firewall immediately | 🔍 Check logs for existing connections | 🛡️ Add to threat intelligence blocklist</t>
        </is>
      </c>
      <c r="S1619" s="187" t="inlineStr">
        <is>
          <t>Check ip-api.com + AbuseIPDB for context</t>
        </is>
      </c>
      <c r="T1619" s="187" t="n">
        <v>0</v>
      </c>
      <c r="U1619" s="187" t="n">
        <v>0</v>
      </c>
      <c r="V1619" s="187" t="inlineStr">
        <is>
          <t>T1110:Brute Force | T1190:Exploit Public-Facing Application</t>
        </is>
      </c>
      <c r="W1619" s="187" t="n">
        <v>1</v>
      </c>
      <c r="X1619" s="187" t="inlineStr">
        <is>
          <t>LOW (40%)</t>
        </is>
      </c>
      <c r="Y1619" s="187" t="inlineStr">
        <is>
          <t>NONE</t>
        </is>
      </c>
      <c r="Z1619" s="187" t="inlineStr">
        <is>
          <t>NONE</t>
        </is>
      </c>
      <c r="AA1619" s="187" t="inlineStr">
        <is>
          <t>NONE</t>
        </is>
      </c>
      <c r="AB1619" s="187" t="inlineStr">
        <is>
          <t>NONE</t>
        </is>
      </c>
      <c r="AC1619" s="187" t="n">
        <v>0</v>
      </c>
      <c r="AD1619" s="187" t="inlineStr"/>
    </row>
    <row r="1620">
      <c r="A1620" s="187" t="inlineStr">
        <is>
          <t>EMERGING_THREAT_IP</t>
        </is>
      </c>
      <c r="B1620" s="187" t="inlineStr">
        <is>
          <t>ae885b936d47</t>
        </is>
      </c>
      <c r="C1620" s="187" t="inlineStr">
        <is>
          <t>Emerging Threats Compromised IP: 103.40.61.98 | Sources: EMERGING_THREATS</t>
        </is>
      </c>
      <c r="D1620" s="187" t="n">
        <v>6.5</v>
      </c>
      <c r="E1620" s="187" t="inlineStr">
        <is>
          <t>HIGH</t>
        </is>
      </c>
      <c r="F1620" s="187" t="n">
        <v>3</v>
      </c>
      <c r="G1620" s="187" t="n">
        <v>2</v>
      </c>
      <c r="H1620" s="187" t="inlineStr">
        <is>
          <t>HIGH</t>
        </is>
      </c>
      <c r="I1620" s="187" t="n">
        <v>12.5</v>
      </c>
      <c r="J1620" s="187" t="inlineStr">
        <is>
          <t>NO</t>
        </is>
      </c>
      <c r="K1620" s="187" t="inlineStr">
        <is>
          <t>https://rules.emergingthreats.net/</t>
        </is>
      </c>
      <c r="L1620" s="187" t="inlineStr">
        <is>
          <t>2026-02-27 20:47</t>
        </is>
      </c>
      <c r="M1620" s="187" t="inlineStr">
        <is>
          <t>Block IP</t>
        </is>
      </c>
      <c r="N1620" s="187" t="inlineStr">
        <is>
          <t>https://rules.emergingthreats.net/blockrules/compromised-ips.txt</t>
        </is>
      </c>
      <c r="O1620" s="187" t="inlineStr">
        <is>
          <t>Block IP 103.40.61.98 at firewall | Emerging Threats compromised host</t>
        </is>
      </c>
      <c r="P1620" s="187" t="inlineStr">
        <is>
          <t>Network perimeter</t>
        </is>
      </c>
      <c r="Q1620" s="187" t="inlineStr">
        <is>
          <t>P3</t>
        </is>
      </c>
      <c r="R1620" s="187" t="inlineStr">
        <is>
          <t>🚫 Block IP at firewall immediately | 🔍 Check logs for existing connections | 🛡️ Add to threat intelligence blocklist</t>
        </is>
      </c>
      <c r="S1620" s="187" t="inlineStr">
        <is>
          <t>Check ip-api.com + AbuseIPDB for context</t>
        </is>
      </c>
      <c r="T1620" s="187" t="n">
        <v>0</v>
      </c>
      <c r="U1620" s="187" t="n">
        <v>0</v>
      </c>
      <c r="V1620" s="187" t="inlineStr">
        <is>
          <t>T1110:Brute Force | T1190:Exploit Public-Facing Application</t>
        </is>
      </c>
      <c r="W1620" s="187" t="n">
        <v>1</v>
      </c>
      <c r="X1620" s="187" t="inlineStr">
        <is>
          <t>LOW (40%)</t>
        </is>
      </c>
      <c r="Y1620" s="187" t="inlineStr">
        <is>
          <t>NONE</t>
        </is>
      </c>
      <c r="Z1620" s="187" t="inlineStr">
        <is>
          <t>NONE</t>
        </is>
      </c>
      <c r="AA1620" s="187" t="inlineStr">
        <is>
          <t>NONE</t>
        </is>
      </c>
      <c r="AB1620" s="187" t="inlineStr">
        <is>
          <t>NONE</t>
        </is>
      </c>
      <c r="AC1620" s="187" t="n">
        <v>0</v>
      </c>
      <c r="AD1620" s="187" t="inlineStr"/>
    </row>
    <row r="1621">
      <c r="A1621" s="187" t="inlineStr">
        <is>
          <t>EMERGING_THREAT_IP</t>
        </is>
      </c>
      <c r="B1621" s="187" t="inlineStr">
        <is>
          <t>2ba8853e01d2</t>
        </is>
      </c>
      <c r="C1621" s="187" t="inlineStr">
        <is>
          <t>Emerging Threats Compromised IP: 103.63.24.38 | Sources: EMERGING_THREATS</t>
        </is>
      </c>
      <c r="D1621" s="187" t="n">
        <v>6.5</v>
      </c>
      <c r="E1621" s="187" t="inlineStr">
        <is>
          <t>HIGH</t>
        </is>
      </c>
      <c r="F1621" s="187" t="n">
        <v>3</v>
      </c>
      <c r="G1621" s="187" t="n">
        <v>2</v>
      </c>
      <c r="H1621" s="187" t="inlineStr">
        <is>
          <t>HIGH</t>
        </is>
      </c>
      <c r="I1621" s="187" t="n">
        <v>12.5</v>
      </c>
      <c r="J1621" s="187" t="inlineStr">
        <is>
          <t>NO</t>
        </is>
      </c>
      <c r="K1621" s="187" t="inlineStr">
        <is>
          <t>https://rules.emergingthreats.net/</t>
        </is>
      </c>
      <c r="L1621" s="187" t="inlineStr">
        <is>
          <t>2026-02-27 20:47</t>
        </is>
      </c>
      <c r="M1621" s="187" t="inlineStr">
        <is>
          <t>Block IP</t>
        </is>
      </c>
      <c r="N1621" s="187" t="inlineStr">
        <is>
          <t>https://rules.emergingthreats.net/blockrules/compromised-ips.txt</t>
        </is>
      </c>
      <c r="O1621" s="187" t="inlineStr">
        <is>
          <t>Block IP 103.63.24.38 at firewall | Emerging Threats compromised host</t>
        </is>
      </c>
      <c r="P1621" s="187" t="inlineStr">
        <is>
          <t>Network perimeter</t>
        </is>
      </c>
      <c r="Q1621" s="187" t="inlineStr">
        <is>
          <t>P3</t>
        </is>
      </c>
      <c r="R1621" s="187" t="inlineStr">
        <is>
          <t>🚫 Block IP at firewall immediately | 🔍 Check logs for existing connections | 🛡️ Add to threat intelligence blocklist</t>
        </is>
      </c>
      <c r="S1621" s="187" t="inlineStr">
        <is>
          <t>Check ip-api.com + AbuseIPDB for context</t>
        </is>
      </c>
      <c r="T1621" s="187" t="n">
        <v>0</v>
      </c>
      <c r="U1621" s="187" t="n">
        <v>0</v>
      </c>
      <c r="V1621" s="187" t="inlineStr">
        <is>
          <t>T1110:Brute Force | T1190:Exploit Public-Facing Application</t>
        </is>
      </c>
      <c r="W1621" s="187" t="n">
        <v>1</v>
      </c>
      <c r="X1621" s="187" t="inlineStr">
        <is>
          <t>LOW (40%)</t>
        </is>
      </c>
      <c r="Y1621" s="187" t="inlineStr">
        <is>
          <t>NONE</t>
        </is>
      </c>
      <c r="Z1621" s="187" t="inlineStr">
        <is>
          <t>NONE</t>
        </is>
      </c>
      <c r="AA1621" s="187" t="inlineStr">
        <is>
          <t>NONE</t>
        </is>
      </c>
      <c r="AB1621" s="187" t="inlineStr">
        <is>
          <t>NONE</t>
        </is>
      </c>
      <c r="AC1621" s="187" t="n">
        <v>0</v>
      </c>
      <c r="AD1621" s="187" t="inlineStr"/>
    </row>
    <row r="1622">
      <c r="A1622" s="187" t="inlineStr">
        <is>
          <t>EMERGING_THREAT_IP</t>
        </is>
      </c>
      <c r="B1622" s="187" t="inlineStr">
        <is>
          <t>935a49ba8025</t>
        </is>
      </c>
      <c r="C1622" s="187" t="inlineStr">
        <is>
          <t>Emerging Threats Compromised IP: 104.131.20.206 | Sources: EMERGING_THREATS</t>
        </is>
      </c>
      <c r="D1622" s="187" t="n">
        <v>6.5</v>
      </c>
      <c r="E1622" s="187" t="inlineStr">
        <is>
          <t>HIGH</t>
        </is>
      </c>
      <c r="F1622" s="187" t="n">
        <v>3</v>
      </c>
      <c r="G1622" s="187" t="n">
        <v>2</v>
      </c>
      <c r="H1622" s="187" t="inlineStr">
        <is>
          <t>HIGH</t>
        </is>
      </c>
      <c r="I1622" s="187" t="n">
        <v>12.5</v>
      </c>
      <c r="J1622" s="187" t="inlineStr">
        <is>
          <t>NO</t>
        </is>
      </c>
      <c r="K1622" s="187" t="inlineStr">
        <is>
          <t>https://rules.emergingthreats.net/</t>
        </is>
      </c>
      <c r="L1622" s="187" t="inlineStr">
        <is>
          <t>2026-02-27 20:47</t>
        </is>
      </c>
      <c r="M1622" s="187" t="inlineStr">
        <is>
          <t>Block IP</t>
        </is>
      </c>
      <c r="N1622" s="187" t="inlineStr">
        <is>
          <t>https://rules.emergingthreats.net/blockrules/compromised-ips.txt</t>
        </is>
      </c>
      <c r="O1622" s="187" t="inlineStr">
        <is>
          <t>Block IP 104.131.20.206 at firewall | Emerging Threats compromised host</t>
        </is>
      </c>
      <c r="P1622" s="187" t="inlineStr">
        <is>
          <t>Network perimeter</t>
        </is>
      </c>
      <c r="Q1622" s="187" t="inlineStr">
        <is>
          <t>P3</t>
        </is>
      </c>
      <c r="R1622" s="187" t="inlineStr">
        <is>
          <t>🚫 Block IP at firewall immediately | 🔍 Check logs for existing connections | 🛡️ Add to threat intelligence blocklist</t>
        </is>
      </c>
      <c r="S1622" s="187" t="inlineStr">
        <is>
          <t>Check ip-api.com + AbuseIPDB for context</t>
        </is>
      </c>
      <c r="T1622" s="187" t="n">
        <v>0</v>
      </c>
      <c r="U1622" s="187" t="n">
        <v>0</v>
      </c>
      <c r="V1622" s="187" t="inlineStr">
        <is>
          <t>T1110:Brute Force | T1190:Exploit Public-Facing Application</t>
        </is>
      </c>
      <c r="W1622" s="187" t="n">
        <v>1</v>
      </c>
      <c r="X1622" s="187" t="inlineStr">
        <is>
          <t>LOW (40%)</t>
        </is>
      </c>
      <c r="Y1622" s="187" t="inlineStr">
        <is>
          <t>NONE</t>
        </is>
      </c>
      <c r="Z1622" s="187" t="inlineStr">
        <is>
          <t>NONE</t>
        </is>
      </c>
      <c r="AA1622" s="187" t="inlineStr">
        <is>
          <t>NONE</t>
        </is>
      </c>
      <c r="AB1622" s="187" t="inlineStr">
        <is>
          <t>NONE</t>
        </is>
      </c>
      <c r="AC1622" s="187" t="n">
        <v>0</v>
      </c>
      <c r="AD1622" s="187" t="inlineStr"/>
    </row>
    <row r="1623">
      <c r="A1623" s="187" t="inlineStr">
        <is>
          <t>EMERGING_THREAT_IP</t>
        </is>
      </c>
      <c r="B1623" s="187" t="inlineStr">
        <is>
          <t>47a83752a21b</t>
        </is>
      </c>
      <c r="C1623" s="187" t="inlineStr">
        <is>
          <t>Emerging Threats Compromised IP: 104.131.4.130 | Sources: EMERGING_THREATS</t>
        </is>
      </c>
      <c r="D1623" s="187" t="n">
        <v>6.5</v>
      </c>
      <c r="E1623" s="187" t="inlineStr">
        <is>
          <t>HIGH</t>
        </is>
      </c>
      <c r="F1623" s="187" t="n">
        <v>3</v>
      </c>
      <c r="G1623" s="187" t="n">
        <v>2</v>
      </c>
      <c r="H1623" s="187" t="inlineStr">
        <is>
          <t>HIGH</t>
        </is>
      </c>
      <c r="I1623" s="187" t="n">
        <v>12.5</v>
      </c>
      <c r="J1623" s="187" t="inlineStr">
        <is>
          <t>NO</t>
        </is>
      </c>
      <c r="K1623" s="187" t="inlineStr">
        <is>
          <t>https://rules.emergingthreats.net/</t>
        </is>
      </c>
      <c r="L1623" s="187" t="inlineStr">
        <is>
          <t>2026-02-27 20:47</t>
        </is>
      </c>
      <c r="M1623" s="187" t="inlineStr">
        <is>
          <t>Block IP</t>
        </is>
      </c>
      <c r="N1623" s="187" t="inlineStr">
        <is>
          <t>https://rules.emergingthreats.net/blockrules/compromised-ips.txt</t>
        </is>
      </c>
      <c r="O1623" s="187" t="inlineStr">
        <is>
          <t>Block IP 104.131.4.130 at firewall | Emerging Threats compromised host</t>
        </is>
      </c>
      <c r="P1623" s="187" t="inlineStr">
        <is>
          <t>Network perimeter</t>
        </is>
      </c>
      <c r="Q1623" s="187" t="inlineStr">
        <is>
          <t>P3</t>
        </is>
      </c>
      <c r="R1623" s="187" t="inlineStr">
        <is>
          <t>🚫 Block IP at firewall immediately | 🔍 Check logs for existing connections | 🛡️ Add to threat intelligence blocklist</t>
        </is>
      </c>
      <c r="S1623" s="187" t="inlineStr">
        <is>
          <t>Check ip-api.com + AbuseIPDB for context</t>
        </is>
      </c>
      <c r="T1623" s="187" t="n">
        <v>0</v>
      </c>
      <c r="U1623" s="187" t="n">
        <v>0</v>
      </c>
      <c r="V1623" s="187" t="inlineStr">
        <is>
          <t>T1110:Brute Force | T1190:Exploit Public-Facing Application</t>
        </is>
      </c>
      <c r="W1623" s="187" t="n">
        <v>1</v>
      </c>
      <c r="X1623" s="187" t="inlineStr">
        <is>
          <t>LOW (40%)</t>
        </is>
      </c>
      <c r="Y1623" s="187" t="inlineStr">
        <is>
          <t>NONE</t>
        </is>
      </c>
      <c r="Z1623" s="187" t="inlineStr">
        <is>
          <t>NONE</t>
        </is>
      </c>
      <c r="AA1623" s="187" t="inlineStr">
        <is>
          <t>NONE</t>
        </is>
      </c>
      <c r="AB1623" s="187" t="inlineStr">
        <is>
          <t>NONE</t>
        </is>
      </c>
      <c r="AC1623" s="187" t="n">
        <v>0</v>
      </c>
      <c r="AD1623" s="187" t="inlineStr"/>
    </row>
    <row r="1624">
      <c r="A1624" s="187" t="inlineStr">
        <is>
          <t>EMERGING_THREAT_IP</t>
        </is>
      </c>
      <c r="B1624" s="187" t="inlineStr">
        <is>
          <t>4125319882fc</t>
        </is>
      </c>
      <c r="C1624" s="187" t="inlineStr">
        <is>
          <t>Emerging Threats Compromised IP: 104.168.4.152 | Sources: EMERGING_THREATS</t>
        </is>
      </c>
      <c r="D1624" s="187" t="n">
        <v>6.5</v>
      </c>
      <c r="E1624" s="187" t="inlineStr">
        <is>
          <t>HIGH</t>
        </is>
      </c>
      <c r="F1624" s="187" t="n">
        <v>3</v>
      </c>
      <c r="G1624" s="187" t="n">
        <v>2</v>
      </c>
      <c r="H1624" s="187" t="inlineStr">
        <is>
          <t>HIGH</t>
        </is>
      </c>
      <c r="I1624" s="187" t="n">
        <v>12.5</v>
      </c>
      <c r="J1624" s="187" t="inlineStr">
        <is>
          <t>NO</t>
        </is>
      </c>
      <c r="K1624" s="187" t="inlineStr">
        <is>
          <t>https://rules.emergingthreats.net/</t>
        </is>
      </c>
      <c r="L1624" s="187" t="inlineStr">
        <is>
          <t>2026-02-27 20:47</t>
        </is>
      </c>
      <c r="M1624" s="187" t="inlineStr">
        <is>
          <t>Block IP</t>
        </is>
      </c>
      <c r="N1624" s="187" t="inlineStr">
        <is>
          <t>https://rules.emergingthreats.net/blockrules/compromised-ips.txt</t>
        </is>
      </c>
      <c r="O1624" s="187" t="inlineStr">
        <is>
          <t>Block IP 104.168.4.152 at firewall | Emerging Threats compromised host</t>
        </is>
      </c>
      <c r="P1624" s="187" t="inlineStr">
        <is>
          <t>Network perimeter</t>
        </is>
      </c>
      <c r="Q1624" s="187" t="inlineStr">
        <is>
          <t>P3</t>
        </is>
      </c>
      <c r="R1624" s="187" t="inlineStr">
        <is>
          <t>🚫 Block IP at firewall immediately | 🔍 Check logs for existing connections | 🛡️ Add to threat intelligence blocklist</t>
        </is>
      </c>
      <c r="S1624" s="187" t="inlineStr">
        <is>
          <t>Check ip-api.com + AbuseIPDB for context</t>
        </is>
      </c>
      <c r="T1624" s="187" t="n">
        <v>0</v>
      </c>
      <c r="U1624" s="187" t="n">
        <v>0</v>
      </c>
      <c r="V1624" s="187" t="inlineStr">
        <is>
          <t>T1110:Brute Force | T1190:Exploit Public-Facing Application</t>
        </is>
      </c>
      <c r="W1624" s="187" t="n">
        <v>1</v>
      </c>
      <c r="X1624" s="187" t="inlineStr">
        <is>
          <t>LOW (40%)</t>
        </is>
      </c>
      <c r="Y1624" s="187" t="inlineStr">
        <is>
          <t>NONE</t>
        </is>
      </c>
      <c r="Z1624" s="187" t="inlineStr">
        <is>
          <t>NONE</t>
        </is>
      </c>
      <c r="AA1624" s="187" t="inlineStr">
        <is>
          <t>NONE</t>
        </is>
      </c>
      <c r="AB1624" s="187" t="inlineStr">
        <is>
          <t>NONE</t>
        </is>
      </c>
      <c r="AC1624" s="187" t="n">
        <v>0</v>
      </c>
      <c r="AD1624" s="187" t="inlineStr"/>
    </row>
    <row r="1625">
      <c r="A1625" s="187" t="inlineStr">
        <is>
          <t>EMERGING_THREAT_IP</t>
        </is>
      </c>
      <c r="B1625" s="187" t="inlineStr">
        <is>
          <t>55063dd94c21</t>
        </is>
      </c>
      <c r="C1625" s="187" t="inlineStr">
        <is>
          <t>Emerging Threats Compromised IP: 104.236.80.177 | Sources: EMERGING_THREATS</t>
        </is>
      </c>
      <c r="D1625" s="187" t="n">
        <v>6.5</v>
      </c>
      <c r="E1625" s="187" t="inlineStr">
        <is>
          <t>HIGH</t>
        </is>
      </c>
      <c r="F1625" s="187" t="n">
        <v>3</v>
      </c>
      <c r="G1625" s="187" t="n">
        <v>2</v>
      </c>
      <c r="H1625" s="187" t="inlineStr">
        <is>
          <t>HIGH</t>
        </is>
      </c>
      <c r="I1625" s="187" t="n">
        <v>12.5</v>
      </c>
      <c r="J1625" s="187" t="inlineStr">
        <is>
          <t>NO</t>
        </is>
      </c>
      <c r="K1625" s="187" t="inlineStr">
        <is>
          <t>https://rules.emergingthreats.net/</t>
        </is>
      </c>
      <c r="L1625" s="187" t="inlineStr">
        <is>
          <t>2026-02-27 20:47</t>
        </is>
      </c>
      <c r="M1625" s="187" t="inlineStr">
        <is>
          <t>Block IP</t>
        </is>
      </c>
      <c r="N1625" s="187" t="inlineStr">
        <is>
          <t>https://rules.emergingthreats.net/blockrules/compromised-ips.txt</t>
        </is>
      </c>
      <c r="O1625" s="187" t="inlineStr">
        <is>
          <t>Block IP 104.236.80.177 at firewall | Emerging Threats compromised host</t>
        </is>
      </c>
      <c r="P1625" s="187" t="inlineStr">
        <is>
          <t>Network perimeter</t>
        </is>
      </c>
      <c r="Q1625" s="187" t="inlineStr">
        <is>
          <t>P3</t>
        </is>
      </c>
      <c r="R1625" s="187" t="inlineStr">
        <is>
          <t>🚫 Block IP at firewall immediately | 🔍 Check logs for existing connections | 🛡️ Add to threat intelligence blocklist</t>
        </is>
      </c>
      <c r="S1625" s="187" t="inlineStr">
        <is>
          <t>Check ip-api.com + AbuseIPDB for context</t>
        </is>
      </c>
      <c r="T1625" s="187" t="n">
        <v>0</v>
      </c>
      <c r="U1625" s="187" t="n">
        <v>0</v>
      </c>
      <c r="V1625" s="187" t="inlineStr">
        <is>
          <t>T1110:Brute Force | T1190:Exploit Public-Facing Application</t>
        </is>
      </c>
      <c r="W1625" s="187" t="n">
        <v>1</v>
      </c>
      <c r="X1625" s="187" t="inlineStr">
        <is>
          <t>LOW (40%)</t>
        </is>
      </c>
      <c r="Y1625" s="187" t="inlineStr">
        <is>
          <t>NONE</t>
        </is>
      </c>
      <c r="Z1625" s="187" t="inlineStr">
        <is>
          <t>NONE</t>
        </is>
      </c>
      <c r="AA1625" s="187" t="inlineStr">
        <is>
          <t>NONE</t>
        </is>
      </c>
      <c r="AB1625" s="187" t="inlineStr">
        <is>
          <t>NONE</t>
        </is>
      </c>
      <c r="AC1625" s="187" t="n">
        <v>0</v>
      </c>
      <c r="AD1625" s="187" t="inlineStr"/>
    </row>
    <row r="1626">
      <c r="A1626" s="187" t="inlineStr">
        <is>
          <t>EMERGING_THREAT_IP</t>
        </is>
      </c>
      <c r="B1626" s="187" t="inlineStr">
        <is>
          <t>50750a0dd5f6</t>
        </is>
      </c>
      <c r="C1626" s="187" t="inlineStr">
        <is>
          <t>Emerging Threats Compromised IP: 104.236.84.17 | Sources: EMERGING_THREATS</t>
        </is>
      </c>
      <c r="D1626" s="187" t="n">
        <v>6.5</v>
      </c>
      <c r="E1626" s="187" t="inlineStr">
        <is>
          <t>HIGH</t>
        </is>
      </c>
      <c r="F1626" s="187" t="n">
        <v>3</v>
      </c>
      <c r="G1626" s="187" t="n">
        <v>2</v>
      </c>
      <c r="H1626" s="187" t="inlineStr">
        <is>
          <t>HIGH</t>
        </is>
      </c>
      <c r="I1626" s="187" t="n">
        <v>12.5</v>
      </c>
      <c r="J1626" s="187" t="inlineStr">
        <is>
          <t>NO</t>
        </is>
      </c>
      <c r="K1626" s="187" t="inlineStr">
        <is>
          <t>https://rules.emergingthreats.net/</t>
        </is>
      </c>
      <c r="L1626" s="187" t="inlineStr">
        <is>
          <t>2026-02-27 20:47</t>
        </is>
      </c>
      <c r="M1626" s="187" t="inlineStr">
        <is>
          <t>Block IP</t>
        </is>
      </c>
      <c r="N1626" s="187" t="inlineStr">
        <is>
          <t>https://rules.emergingthreats.net/blockrules/compromised-ips.txt</t>
        </is>
      </c>
      <c r="O1626" s="187" t="inlineStr">
        <is>
          <t>Block IP 104.236.84.17 at firewall | Emerging Threats compromised host</t>
        </is>
      </c>
      <c r="P1626" s="187" t="inlineStr">
        <is>
          <t>Network perimeter</t>
        </is>
      </c>
      <c r="Q1626" s="187" t="inlineStr">
        <is>
          <t>P3</t>
        </is>
      </c>
      <c r="R1626" s="187" t="inlineStr">
        <is>
          <t>🚫 Block IP at firewall immediately | 🔍 Check logs for existing connections | 🛡️ Add to threat intelligence blocklist</t>
        </is>
      </c>
      <c r="S1626" s="187" t="inlineStr">
        <is>
          <t>Check ip-api.com + AbuseIPDB for context</t>
        </is>
      </c>
      <c r="T1626" s="187" t="n">
        <v>0</v>
      </c>
      <c r="U1626" s="187" t="n">
        <v>0</v>
      </c>
      <c r="V1626" s="187" t="inlineStr">
        <is>
          <t>T1110:Brute Force | T1190:Exploit Public-Facing Application</t>
        </is>
      </c>
      <c r="W1626" s="187" t="n">
        <v>1</v>
      </c>
      <c r="X1626" s="187" t="inlineStr">
        <is>
          <t>LOW (40%)</t>
        </is>
      </c>
      <c r="Y1626" s="187" t="inlineStr">
        <is>
          <t>NONE</t>
        </is>
      </c>
      <c r="Z1626" s="187" t="inlineStr">
        <is>
          <t>NONE</t>
        </is>
      </c>
      <c r="AA1626" s="187" t="inlineStr">
        <is>
          <t>NONE</t>
        </is>
      </c>
      <c r="AB1626" s="187" t="inlineStr">
        <is>
          <t>NONE</t>
        </is>
      </c>
      <c r="AC1626" s="187" t="n">
        <v>0</v>
      </c>
      <c r="AD1626" s="187" t="inlineStr"/>
    </row>
    <row r="1627">
      <c r="A1627" s="187" t="inlineStr">
        <is>
          <t>EMERGING_THREAT_IP</t>
        </is>
      </c>
      <c r="B1627" s="187" t="inlineStr">
        <is>
          <t>5ea9455342e5</t>
        </is>
      </c>
      <c r="C1627" s="187" t="inlineStr">
        <is>
          <t>Emerging Threats Compromised IP: 104.236.95.108 | Sources: EMERGING_THREATS</t>
        </is>
      </c>
      <c r="D1627" s="187" t="n">
        <v>6.5</v>
      </c>
      <c r="E1627" s="187" t="inlineStr">
        <is>
          <t>HIGH</t>
        </is>
      </c>
      <c r="F1627" s="187" t="n">
        <v>3</v>
      </c>
      <c r="G1627" s="187" t="n">
        <v>2</v>
      </c>
      <c r="H1627" s="187" t="inlineStr">
        <is>
          <t>HIGH</t>
        </is>
      </c>
      <c r="I1627" s="187" t="n">
        <v>12.5</v>
      </c>
      <c r="J1627" s="187" t="inlineStr">
        <is>
          <t>NO</t>
        </is>
      </c>
      <c r="K1627" s="187" t="inlineStr">
        <is>
          <t>https://rules.emergingthreats.net/</t>
        </is>
      </c>
      <c r="L1627" s="187" t="inlineStr">
        <is>
          <t>2026-02-27 20:47</t>
        </is>
      </c>
      <c r="M1627" s="187" t="inlineStr">
        <is>
          <t>Block IP</t>
        </is>
      </c>
      <c r="N1627" s="187" t="inlineStr">
        <is>
          <t>https://rules.emergingthreats.net/blockrules/compromised-ips.txt</t>
        </is>
      </c>
      <c r="O1627" s="187" t="inlineStr">
        <is>
          <t>Block IP 104.236.95.108 at firewall | Emerging Threats compromised host</t>
        </is>
      </c>
      <c r="P1627" s="187" t="inlineStr">
        <is>
          <t>Network perimeter</t>
        </is>
      </c>
      <c r="Q1627" s="187" t="inlineStr">
        <is>
          <t>P3</t>
        </is>
      </c>
      <c r="R1627" s="187" t="inlineStr">
        <is>
          <t>🚫 Block IP at firewall immediately | 🔍 Check logs for existing connections | 🛡️ Add to threat intelligence blocklist</t>
        </is>
      </c>
      <c r="S1627" s="187" t="inlineStr">
        <is>
          <t>Check ip-api.com + AbuseIPDB for context</t>
        </is>
      </c>
      <c r="T1627" s="187" t="n">
        <v>0</v>
      </c>
      <c r="U1627" s="187" t="n">
        <v>0</v>
      </c>
      <c r="V1627" s="187" t="inlineStr">
        <is>
          <t>T1110:Brute Force | T1190:Exploit Public-Facing Application</t>
        </is>
      </c>
      <c r="W1627" s="187" t="n">
        <v>1</v>
      </c>
      <c r="X1627" s="187" t="inlineStr">
        <is>
          <t>LOW (40%)</t>
        </is>
      </c>
      <c r="Y1627" s="187" t="inlineStr">
        <is>
          <t>NONE</t>
        </is>
      </c>
      <c r="Z1627" s="187" t="inlineStr">
        <is>
          <t>NONE</t>
        </is>
      </c>
      <c r="AA1627" s="187" t="inlineStr">
        <is>
          <t>NONE</t>
        </is>
      </c>
      <c r="AB1627" s="187" t="inlineStr">
        <is>
          <t>NONE</t>
        </is>
      </c>
      <c r="AC1627" s="187" t="n">
        <v>0</v>
      </c>
      <c r="AD1627" s="187" t="inlineStr"/>
    </row>
    <row r="1628">
      <c r="A1628" s="187" t="inlineStr">
        <is>
          <t>EMERGING_THREAT_IP</t>
        </is>
      </c>
      <c r="B1628" s="187" t="inlineStr">
        <is>
          <t>7b158df7da56</t>
        </is>
      </c>
      <c r="C1628" s="187" t="inlineStr">
        <is>
          <t>Emerging Threats Compromised IP: 104.248.41.74 | Sources: EMERGING_THREATS</t>
        </is>
      </c>
      <c r="D1628" s="187" t="n">
        <v>6.5</v>
      </c>
      <c r="E1628" s="187" t="inlineStr">
        <is>
          <t>HIGH</t>
        </is>
      </c>
      <c r="F1628" s="187" t="n">
        <v>3</v>
      </c>
      <c r="G1628" s="187" t="n">
        <v>2</v>
      </c>
      <c r="H1628" s="187" t="inlineStr">
        <is>
          <t>HIGH</t>
        </is>
      </c>
      <c r="I1628" s="187" t="n">
        <v>12.5</v>
      </c>
      <c r="J1628" s="187" t="inlineStr">
        <is>
          <t>NO</t>
        </is>
      </c>
      <c r="K1628" s="187" t="inlineStr">
        <is>
          <t>https://rules.emergingthreats.net/</t>
        </is>
      </c>
      <c r="L1628" s="187" t="inlineStr">
        <is>
          <t>2026-02-27 20:47</t>
        </is>
      </c>
      <c r="M1628" s="187" t="inlineStr">
        <is>
          <t>Block IP</t>
        </is>
      </c>
      <c r="N1628" s="187" t="inlineStr">
        <is>
          <t>https://rules.emergingthreats.net/blockrules/compromised-ips.txt</t>
        </is>
      </c>
      <c r="O1628" s="187" t="inlineStr">
        <is>
          <t>Block IP 104.248.41.74 at firewall | Emerging Threats compromised host</t>
        </is>
      </c>
      <c r="P1628" s="187" t="inlineStr">
        <is>
          <t>Network perimeter</t>
        </is>
      </c>
      <c r="Q1628" s="187" t="inlineStr">
        <is>
          <t>P3</t>
        </is>
      </c>
      <c r="R1628" s="187" t="inlineStr">
        <is>
          <t>🚫 Block IP at firewall immediately | 🔍 Check logs for existing connections | 🛡️ Add to threat intelligence blocklist</t>
        </is>
      </c>
      <c r="S1628" s="187" t="inlineStr">
        <is>
          <t>Check ip-api.com + AbuseIPDB for context</t>
        </is>
      </c>
      <c r="T1628" s="187" t="n">
        <v>0</v>
      </c>
      <c r="U1628" s="187" t="n">
        <v>0</v>
      </c>
      <c r="V1628" s="187" t="inlineStr">
        <is>
          <t>T1110:Brute Force | T1190:Exploit Public-Facing Application</t>
        </is>
      </c>
      <c r="W1628" s="187" t="n">
        <v>1</v>
      </c>
      <c r="X1628" s="187" t="inlineStr">
        <is>
          <t>LOW (40%)</t>
        </is>
      </c>
      <c r="Y1628" s="187" t="inlineStr">
        <is>
          <t>NONE</t>
        </is>
      </c>
      <c r="Z1628" s="187" t="inlineStr">
        <is>
          <t>NONE</t>
        </is>
      </c>
      <c r="AA1628" s="187" t="inlineStr">
        <is>
          <t>NONE</t>
        </is>
      </c>
      <c r="AB1628" s="187" t="inlineStr">
        <is>
          <t>NONE</t>
        </is>
      </c>
      <c r="AC1628" s="187" t="n">
        <v>0</v>
      </c>
      <c r="AD1628" s="187" t="inlineStr"/>
    </row>
    <row r="1629">
      <c r="A1629" s="187" t="inlineStr">
        <is>
          <t>EMERGING_THREAT_IP</t>
        </is>
      </c>
      <c r="B1629" s="187" t="inlineStr">
        <is>
          <t>0f5bdeffdf57</t>
        </is>
      </c>
      <c r="C1629" s="187" t="inlineStr">
        <is>
          <t>Emerging Threats Compromised IP: 104.248.84.27 | Sources: EMERGING_THREATS</t>
        </is>
      </c>
      <c r="D1629" s="187" t="n">
        <v>6.5</v>
      </c>
      <c r="E1629" s="187" t="inlineStr">
        <is>
          <t>HIGH</t>
        </is>
      </c>
      <c r="F1629" s="187" t="n">
        <v>3</v>
      </c>
      <c r="G1629" s="187" t="n">
        <v>2</v>
      </c>
      <c r="H1629" s="187" t="inlineStr">
        <is>
          <t>HIGH</t>
        </is>
      </c>
      <c r="I1629" s="187" t="n">
        <v>12.5</v>
      </c>
      <c r="J1629" s="187" t="inlineStr">
        <is>
          <t>NO</t>
        </is>
      </c>
      <c r="K1629" s="187" t="inlineStr">
        <is>
          <t>https://rules.emergingthreats.net/</t>
        </is>
      </c>
      <c r="L1629" s="187" t="inlineStr">
        <is>
          <t>2026-02-27 20:47</t>
        </is>
      </c>
      <c r="M1629" s="187" t="inlineStr">
        <is>
          <t>Block IP</t>
        </is>
      </c>
      <c r="N1629" s="187" t="inlineStr">
        <is>
          <t>https://rules.emergingthreats.net/blockrules/compromised-ips.txt</t>
        </is>
      </c>
      <c r="O1629" s="187" t="inlineStr">
        <is>
          <t>Block IP 104.248.84.27 at firewall | Emerging Threats compromised host</t>
        </is>
      </c>
      <c r="P1629" s="187" t="inlineStr">
        <is>
          <t>Network perimeter</t>
        </is>
      </c>
      <c r="Q1629" s="187" t="inlineStr">
        <is>
          <t>P3</t>
        </is>
      </c>
      <c r="R1629" s="187" t="inlineStr">
        <is>
          <t>🚫 Block IP at firewall immediately | 🔍 Check logs for existing connections | 🛡️ Add to threat intelligence blocklist</t>
        </is>
      </c>
      <c r="S1629" s="187" t="inlineStr">
        <is>
          <t>Check ip-api.com + AbuseIPDB for context</t>
        </is>
      </c>
      <c r="T1629" s="187" t="n">
        <v>0</v>
      </c>
      <c r="U1629" s="187" t="n">
        <v>0</v>
      </c>
      <c r="V1629" s="187" t="inlineStr">
        <is>
          <t>T1110:Brute Force | T1190:Exploit Public-Facing Application</t>
        </is>
      </c>
      <c r="W1629" s="187" t="n">
        <v>1</v>
      </c>
      <c r="X1629" s="187" t="inlineStr">
        <is>
          <t>LOW (40%)</t>
        </is>
      </c>
      <c r="Y1629" s="187" t="inlineStr">
        <is>
          <t>NONE</t>
        </is>
      </c>
      <c r="Z1629" s="187" t="inlineStr">
        <is>
          <t>NONE</t>
        </is>
      </c>
      <c r="AA1629" s="187" t="inlineStr">
        <is>
          <t>NONE</t>
        </is>
      </c>
      <c r="AB1629" s="187" t="inlineStr">
        <is>
          <t>NONE</t>
        </is>
      </c>
      <c r="AC1629" s="187" t="n">
        <v>0</v>
      </c>
      <c r="AD1629" s="187" t="inlineStr"/>
    </row>
    <row r="1630">
      <c r="A1630" s="187" t="inlineStr">
        <is>
          <t>EMERGING_THREAT_IP</t>
        </is>
      </c>
      <c r="B1630" s="187" t="inlineStr">
        <is>
          <t>3f924c0230ce</t>
        </is>
      </c>
      <c r="C1630" s="187" t="inlineStr">
        <is>
          <t>Emerging Threats Compromised IP: 106.124.137.21 | Sources: EMERGING_THREATS</t>
        </is>
      </c>
      <c r="D1630" s="187" t="n">
        <v>6.5</v>
      </c>
      <c r="E1630" s="187" t="inlineStr">
        <is>
          <t>HIGH</t>
        </is>
      </c>
      <c r="F1630" s="187" t="n">
        <v>3</v>
      </c>
      <c r="G1630" s="187" t="n">
        <v>2</v>
      </c>
      <c r="H1630" s="187" t="inlineStr">
        <is>
          <t>HIGH</t>
        </is>
      </c>
      <c r="I1630" s="187" t="n">
        <v>12.5</v>
      </c>
      <c r="J1630" s="187" t="inlineStr">
        <is>
          <t>NO</t>
        </is>
      </c>
      <c r="K1630" s="187" t="inlineStr">
        <is>
          <t>https://rules.emergingthreats.net/</t>
        </is>
      </c>
      <c r="L1630" s="187" t="inlineStr">
        <is>
          <t>2026-02-27 20:47</t>
        </is>
      </c>
      <c r="M1630" s="187" t="inlineStr">
        <is>
          <t>Block IP</t>
        </is>
      </c>
      <c r="N1630" s="187" t="inlineStr">
        <is>
          <t>https://rules.emergingthreats.net/blockrules/compromised-ips.txt</t>
        </is>
      </c>
      <c r="O1630" s="187" t="inlineStr">
        <is>
          <t>Block IP 106.124.137.21 at firewall | Emerging Threats compromised host</t>
        </is>
      </c>
      <c r="P1630" s="187" t="inlineStr">
        <is>
          <t>Network perimeter</t>
        </is>
      </c>
      <c r="Q1630" s="187" t="inlineStr">
        <is>
          <t>P3</t>
        </is>
      </c>
      <c r="R1630" s="187" t="inlineStr">
        <is>
          <t>🚫 Block IP at firewall immediately | 🔍 Check logs for existing connections | 🛡️ Add to threat intelligence blocklist</t>
        </is>
      </c>
      <c r="S1630" s="187" t="inlineStr">
        <is>
          <t>Check ip-api.com + AbuseIPDB for context</t>
        </is>
      </c>
      <c r="T1630" s="187" t="n">
        <v>0</v>
      </c>
      <c r="U1630" s="187" t="n">
        <v>0</v>
      </c>
      <c r="V1630" s="187" t="inlineStr">
        <is>
          <t>T1110:Brute Force | T1190:Exploit Public-Facing Application</t>
        </is>
      </c>
      <c r="W1630" s="187" t="n">
        <v>1</v>
      </c>
      <c r="X1630" s="187" t="inlineStr">
        <is>
          <t>LOW (40%)</t>
        </is>
      </c>
      <c r="Y1630" s="187" t="inlineStr">
        <is>
          <t>NONE</t>
        </is>
      </c>
      <c r="Z1630" s="187" t="inlineStr">
        <is>
          <t>NONE</t>
        </is>
      </c>
      <c r="AA1630" s="187" t="inlineStr">
        <is>
          <t>NONE</t>
        </is>
      </c>
      <c r="AB1630" s="187" t="inlineStr">
        <is>
          <t>NONE</t>
        </is>
      </c>
      <c r="AC1630" s="187" t="n">
        <v>0</v>
      </c>
      <c r="AD1630" s="187" t="inlineStr"/>
    </row>
    <row r="1631">
      <c r="A1631" s="187" t="inlineStr">
        <is>
          <t>EMERGING_THREAT_IP</t>
        </is>
      </c>
      <c r="B1631" s="187" t="inlineStr">
        <is>
          <t>9129fa0e480d</t>
        </is>
      </c>
      <c r="C1631" s="187" t="inlineStr">
        <is>
          <t>Emerging Threats Compromised IP: 106.74.27.94 | Sources: EMERGING_THREATS</t>
        </is>
      </c>
      <c r="D1631" s="187" t="n">
        <v>6.5</v>
      </c>
      <c r="E1631" s="187" t="inlineStr">
        <is>
          <t>HIGH</t>
        </is>
      </c>
      <c r="F1631" s="187" t="n">
        <v>3</v>
      </c>
      <c r="G1631" s="187" t="n">
        <v>2</v>
      </c>
      <c r="H1631" s="187" t="inlineStr">
        <is>
          <t>HIGH</t>
        </is>
      </c>
      <c r="I1631" s="187" t="n">
        <v>12.5</v>
      </c>
      <c r="J1631" s="187" t="inlineStr">
        <is>
          <t>NO</t>
        </is>
      </c>
      <c r="K1631" s="187" t="inlineStr">
        <is>
          <t>https://rules.emergingthreats.net/</t>
        </is>
      </c>
      <c r="L1631" s="187" t="inlineStr">
        <is>
          <t>2026-02-27 20:47</t>
        </is>
      </c>
      <c r="M1631" s="187" t="inlineStr">
        <is>
          <t>Block IP</t>
        </is>
      </c>
      <c r="N1631" s="187" t="inlineStr">
        <is>
          <t>https://rules.emergingthreats.net/blockrules/compromised-ips.txt</t>
        </is>
      </c>
      <c r="O1631" s="187" t="inlineStr">
        <is>
          <t>Block IP 106.74.27.94 at firewall | Emerging Threats compromised host</t>
        </is>
      </c>
      <c r="P1631" s="187" t="inlineStr">
        <is>
          <t>Network perimeter</t>
        </is>
      </c>
      <c r="Q1631" s="187" t="inlineStr">
        <is>
          <t>P3</t>
        </is>
      </c>
      <c r="R1631" s="187" t="inlineStr">
        <is>
          <t>🚫 Block IP at firewall immediately | 🔍 Check logs for existing connections | 🛡️ Add to threat intelligence blocklist</t>
        </is>
      </c>
      <c r="S1631" s="187" t="inlineStr">
        <is>
          <t>Check ip-api.com + AbuseIPDB for context</t>
        </is>
      </c>
      <c r="T1631" s="187" t="n">
        <v>0</v>
      </c>
      <c r="U1631" s="187" t="n">
        <v>0</v>
      </c>
      <c r="V1631" s="187" t="inlineStr">
        <is>
          <t>T1110:Brute Force | T1190:Exploit Public-Facing Application</t>
        </is>
      </c>
      <c r="W1631" s="187" t="n">
        <v>1</v>
      </c>
      <c r="X1631" s="187" t="inlineStr">
        <is>
          <t>LOW (40%)</t>
        </is>
      </c>
      <c r="Y1631" s="187" t="inlineStr">
        <is>
          <t>NONE</t>
        </is>
      </c>
      <c r="Z1631" s="187" t="inlineStr">
        <is>
          <t>NONE</t>
        </is>
      </c>
      <c r="AA1631" s="187" t="inlineStr">
        <is>
          <t>NONE</t>
        </is>
      </c>
      <c r="AB1631" s="187" t="inlineStr">
        <is>
          <t>NONE</t>
        </is>
      </c>
      <c r="AC1631" s="187" t="n">
        <v>0</v>
      </c>
      <c r="AD1631" s="187" t="inlineStr"/>
    </row>
    <row r="1632">
      <c r="A1632" s="187" t="inlineStr">
        <is>
          <t>EMERGING_THREAT_IP</t>
        </is>
      </c>
      <c r="B1632" s="187" t="inlineStr">
        <is>
          <t>c7876c4462b8</t>
        </is>
      </c>
      <c r="C1632" s="187" t="inlineStr">
        <is>
          <t>Emerging Threats Compromised IP: 107.150.119.229 | Sources: EMERGING_THREATS</t>
        </is>
      </c>
      <c r="D1632" s="187" t="n">
        <v>6.5</v>
      </c>
      <c r="E1632" s="187" t="inlineStr">
        <is>
          <t>HIGH</t>
        </is>
      </c>
      <c r="F1632" s="187" t="n">
        <v>3</v>
      </c>
      <c r="G1632" s="187" t="n">
        <v>2</v>
      </c>
      <c r="H1632" s="187" t="inlineStr">
        <is>
          <t>HIGH</t>
        </is>
      </c>
      <c r="I1632" s="187" t="n">
        <v>12.5</v>
      </c>
      <c r="J1632" s="187" t="inlineStr">
        <is>
          <t>NO</t>
        </is>
      </c>
      <c r="K1632" s="187" t="inlineStr">
        <is>
          <t>https://rules.emergingthreats.net/</t>
        </is>
      </c>
      <c r="L1632" s="187" t="inlineStr">
        <is>
          <t>2026-02-27 20:47</t>
        </is>
      </c>
      <c r="M1632" s="187" t="inlineStr">
        <is>
          <t>Block IP</t>
        </is>
      </c>
      <c r="N1632" s="187" t="inlineStr">
        <is>
          <t>https://rules.emergingthreats.net/blockrules/compromised-ips.txt</t>
        </is>
      </c>
      <c r="O1632" s="187" t="inlineStr">
        <is>
          <t>Block IP 107.150.119.229 at firewall | Emerging Threats compromised host</t>
        </is>
      </c>
      <c r="P1632" s="187" t="inlineStr">
        <is>
          <t>Network perimeter</t>
        </is>
      </c>
      <c r="Q1632" s="187" t="inlineStr">
        <is>
          <t>P3</t>
        </is>
      </c>
      <c r="R1632" s="187" t="inlineStr">
        <is>
          <t>🚫 Block IP at firewall immediately | 🔍 Check logs for existing connections | 🛡️ Add to threat intelligence blocklist</t>
        </is>
      </c>
      <c r="S1632" s="187" t="inlineStr">
        <is>
          <t>Check ip-api.com + AbuseIPDB for context</t>
        </is>
      </c>
      <c r="T1632" s="187" t="n">
        <v>0</v>
      </c>
      <c r="U1632" s="187" t="n">
        <v>0</v>
      </c>
      <c r="V1632" s="187" t="inlineStr">
        <is>
          <t>T1110:Brute Force | T1190:Exploit Public-Facing Application</t>
        </is>
      </c>
      <c r="W1632" s="187" t="n">
        <v>1</v>
      </c>
      <c r="X1632" s="187" t="inlineStr">
        <is>
          <t>LOW (40%)</t>
        </is>
      </c>
      <c r="Y1632" s="187" t="inlineStr">
        <is>
          <t>NONE</t>
        </is>
      </c>
      <c r="Z1632" s="187" t="inlineStr">
        <is>
          <t>NONE</t>
        </is>
      </c>
      <c r="AA1632" s="187" t="inlineStr">
        <is>
          <t>NONE</t>
        </is>
      </c>
      <c r="AB1632" s="187" t="inlineStr">
        <is>
          <t>NONE</t>
        </is>
      </c>
      <c r="AC1632" s="187" t="n">
        <v>0</v>
      </c>
      <c r="AD1632" s="187" t="inlineStr"/>
    </row>
    <row r="1633">
      <c r="A1633" s="187" t="inlineStr">
        <is>
          <t>EMERGING_THREAT_IP</t>
        </is>
      </c>
      <c r="B1633" s="187" t="inlineStr">
        <is>
          <t>f70533669fa1</t>
        </is>
      </c>
      <c r="C1633" s="187" t="inlineStr">
        <is>
          <t>Emerging Threats Compromised IP: 107.175.114.119 | Sources: EMERGING_THREATS</t>
        </is>
      </c>
      <c r="D1633" s="187" t="n">
        <v>6.5</v>
      </c>
      <c r="E1633" s="187" t="inlineStr">
        <is>
          <t>HIGH</t>
        </is>
      </c>
      <c r="F1633" s="187" t="n">
        <v>3</v>
      </c>
      <c r="G1633" s="187" t="n">
        <v>2</v>
      </c>
      <c r="H1633" s="187" t="inlineStr">
        <is>
          <t>HIGH</t>
        </is>
      </c>
      <c r="I1633" s="187" t="n">
        <v>12.5</v>
      </c>
      <c r="J1633" s="187" t="inlineStr">
        <is>
          <t>NO</t>
        </is>
      </c>
      <c r="K1633" s="187" t="inlineStr">
        <is>
          <t>https://rules.emergingthreats.net/</t>
        </is>
      </c>
      <c r="L1633" s="187" t="inlineStr">
        <is>
          <t>2026-02-27 20:47</t>
        </is>
      </c>
      <c r="M1633" s="187" t="inlineStr">
        <is>
          <t>Block IP</t>
        </is>
      </c>
      <c r="N1633" s="187" t="inlineStr">
        <is>
          <t>https://rules.emergingthreats.net/blockrules/compromised-ips.txt</t>
        </is>
      </c>
      <c r="O1633" s="187" t="inlineStr">
        <is>
          <t>Block IP 107.175.114.119 at firewall | Emerging Threats compromised host</t>
        </is>
      </c>
      <c r="P1633" s="187" t="inlineStr">
        <is>
          <t>Network perimeter</t>
        </is>
      </c>
      <c r="Q1633" s="187" t="inlineStr">
        <is>
          <t>P3</t>
        </is>
      </c>
      <c r="R1633" s="187" t="inlineStr">
        <is>
          <t>🚫 Block IP at firewall immediately | 🔍 Check logs for existing connections | 🛡️ Add to threat intelligence blocklist</t>
        </is>
      </c>
      <c r="S1633" s="187" t="inlineStr">
        <is>
          <t>Check ip-api.com + AbuseIPDB for context</t>
        </is>
      </c>
      <c r="T1633" s="187" t="n">
        <v>0</v>
      </c>
      <c r="U1633" s="187" t="n">
        <v>0</v>
      </c>
      <c r="V1633" s="187" t="inlineStr">
        <is>
          <t>T1110:Brute Force | T1190:Exploit Public-Facing Application</t>
        </is>
      </c>
      <c r="W1633" s="187" t="n">
        <v>1</v>
      </c>
      <c r="X1633" s="187" t="inlineStr">
        <is>
          <t>LOW (40%)</t>
        </is>
      </c>
      <c r="Y1633" s="187" t="inlineStr">
        <is>
          <t>NONE</t>
        </is>
      </c>
      <c r="Z1633" s="187" t="inlineStr">
        <is>
          <t>NONE</t>
        </is>
      </c>
      <c r="AA1633" s="187" t="inlineStr">
        <is>
          <t>NONE</t>
        </is>
      </c>
      <c r="AB1633" s="187" t="inlineStr">
        <is>
          <t>NONE</t>
        </is>
      </c>
      <c r="AC1633" s="187" t="n">
        <v>0</v>
      </c>
      <c r="AD1633" s="187" t="inlineStr"/>
    </row>
    <row r="1634">
      <c r="A1634" s="187" t="inlineStr">
        <is>
          <t>EMERGING_THREAT_IP</t>
        </is>
      </c>
      <c r="B1634" s="187" t="inlineStr">
        <is>
          <t>8d4c992d158f</t>
        </is>
      </c>
      <c r="C1634" s="187" t="inlineStr">
        <is>
          <t>Emerging Threats Compromised IP: 109.122.196.176 | Sources: EMERGING_THREATS</t>
        </is>
      </c>
      <c r="D1634" s="187" t="n">
        <v>6.5</v>
      </c>
      <c r="E1634" s="187" t="inlineStr">
        <is>
          <t>HIGH</t>
        </is>
      </c>
      <c r="F1634" s="187" t="n">
        <v>3</v>
      </c>
      <c r="G1634" s="187" t="n">
        <v>2</v>
      </c>
      <c r="H1634" s="187" t="inlineStr">
        <is>
          <t>HIGH</t>
        </is>
      </c>
      <c r="I1634" s="187" t="n">
        <v>12.5</v>
      </c>
      <c r="J1634" s="187" t="inlineStr">
        <is>
          <t>NO</t>
        </is>
      </c>
      <c r="K1634" s="187" t="inlineStr">
        <is>
          <t>https://rules.emergingthreats.net/</t>
        </is>
      </c>
      <c r="L1634" s="187" t="inlineStr">
        <is>
          <t>2026-02-27 20:47</t>
        </is>
      </c>
      <c r="M1634" s="187" t="inlineStr">
        <is>
          <t>Block IP</t>
        </is>
      </c>
      <c r="N1634" s="187" t="inlineStr">
        <is>
          <t>https://rules.emergingthreats.net/blockrules/compromised-ips.txt</t>
        </is>
      </c>
      <c r="O1634" s="187" t="inlineStr">
        <is>
          <t>Block IP 109.122.196.176 at firewall | Emerging Threats compromised host</t>
        </is>
      </c>
      <c r="P1634" s="187" t="inlineStr">
        <is>
          <t>Network perimeter</t>
        </is>
      </c>
      <c r="Q1634" s="187" t="inlineStr">
        <is>
          <t>P3</t>
        </is>
      </c>
      <c r="R1634" s="187" t="inlineStr">
        <is>
          <t>🚫 Block IP at firewall immediately | 🔍 Check logs for existing connections | 🛡️ Add to threat intelligence blocklist</t>
        </is>
      </c>
      <c r="S1634" s="187" t="inlineStr">
        <is>
          <t>Check ip-api.com + AbuseIPDB for context</t>
        </is>
      </c>
      <c r="T1634" s="187" t="n">
        <v>0</v>
      </c>
      <c r="U1634" s="187" t="n">
        <v>0</v>
      </c>
      <c r="V1634" s="187" t="inlineStr">
        <is>
          <t>T1110:Brute Force | T1190:Exploit Public-Facing Application</t>
        </is>
      </c>
      <c r="W1634" s="187" t="n">
        <v>1</v>
      </c>
      <c r="X1634" s="187" t="inlineStr">
        <is>
          <t>LOW (40%)</t>
        </is>
      </c>
      <c r="Y1634" s="187" t="inlineStr">
        <is>
          <t>NONE</t>
        </is>
      </c>
      <c r="Z1634" s="187" t="inlineStr">
        <is>
          <t>NONE</t>
        </is>
      </c>
      <c r="AA1634" s="187" t="inlineStr">
        <is>
          <t>NONE</t>
        </is>
      </c>
      <c r="AB1634" s="187" t="inlineStr">
        <is>
          <t>NONE</t>
        </is>
      </c>
      <c r="AC1634" s="187" t="n">
        <v>0</v>
      </c>
      <c r="AD1634" s="187" t="inlineStr"/>
    </row>
    <row r="1635">
      <c r="A1635" s="187" t="inlineStr">
        <is>
          <t>EMERGING_THREAT_IP</t>
        </is>
      </c>
      <c r="B1635" s="187" t="inlineStr">
        <is>
          <t>c90196742a73</t>
        </is>
      </c>
      <c r="C1635" s="187" t="inlineStr">
        <is>
          <t>Emerging Threats Compromised IP: 109.172.55.64 | Sources: EMERGING_THREATS</t>
        </is>
      </c>
      <c r="D1635" s="187" t="n">
        <v>6.5</v>
      </c>
      <c r="E1635" s="187" t="inlineStr">
        <is>
          <t>HIGH</t>
        </is>
      </c>
      <c r="F1635" s="187" t="n">
        <v>3</v>
      </c>
      <c r="G1635" s="187" t="n">
        <v>2</v>
      </c>
      <c r="H1635" s="187" t="inlineStr">
        <is>
          <t>HIGH</t>
        </is>
      </c>
      <c r="I1635" s="187" t="n">
        <v>12.5</v>
      </c>
      <c r="J1635" s="187" t="inlineStr">
        <is>
          <t>NO</t>
        </is>
      </c>
      <c r="K1635" s="187" t="inlineStr">
        <is>
          <t>https://rules.emergingthreats.net/</t>
        </is>
      </c>
      <c r="L1635" s="187" t="inlineStr">
        <is>
          <t>2026-02-27 20:47</t>
        </is>
      </c>
      <c r="M1635" s="187" t="inlineStr">
        <is>
          <t>Block IP</t>
        </is>
      </c>
      <c r="N1635" s="187" t="inlineStr">
        <is>
          <t>https://rules.emergingthreats.net/blockrules/compromised-ips.txt</t>
        </is>
      </c>
      <c r="O1635" s="187" t="inlineStr">
        <is>
          <t>Block IP 109.172.55.64 at firewall | Emerging Threats compromised host</t>
        </is>
      </c>
      <c r="P1635" s="187" t="inlineStr">
        <is>
          <t>Network perimeter</t>
        </is>
      </c>
      <c r="Q1635" s="187" t="inlineStr">
        <is>
          <t>P3</t>
        </is>
      </c>
      <c r="R1635" s="187" t="inlineStr">
        <is>
          <t>🚫 Block IP at firewall immediately | 🔍 Check logs for existing connections | 🛡️ Add to threat intelligence blocklist</t>
        </is>
      </c>
      <c r="S1635" s="187" t="inlineStr">
        <is>
          <t>Check ip-api.com + AbuseIPDB for context</t>
        </is>
      </c>
      <c r="T1635" s="187" t="n">
        <v>0</v>
      </c>
      <c r="U1635" s="187" t="n">
        <v>0</v>
      </c>
      <c r="V1635" s="187" t="inlineStr">
        <is>
          <t>T1110:Brute Force | T1190:Exploit Public-Facing Application</t>
        </is>
      </c>
      <c r="W1635" s="187" t="n">
        <v>1</v>
      </c>
      <c r="X1635" s="187" t="inlineStr">
        <is>
          <t>LOW (40%)</t>
        </is>
      </c>
      <c r="Y1635" s="187" t="inlineStr">
        <is>
          <t>NONE</t>
        </is>
      </c>
      <c r="Z1635" s="187" t="inlineStr">
        <is>
          <t>NONE</t>
        </is>
      </c>
      <c r="AA1635" s="187" t="inlineStr">
        <is>
          <t>NONE</t>
        </is>
      </c>
      <c r="AB1635" s="187" t="inlineStr">
        <is>
          <t>NONE</t>
        </is>
      </c>
      <c r="AC1635" s="187" t="n">
        <v>0</v>
      </c>
      <c r="AD1635" s="187" t="inlineStr"/>
    </row>
    <row r="1636">
      <c r="A1636" s="187" t="inlineStr">
        <is>
          <t>EMERGING_THREAT_IP</t>
        </is>
      </c>
      <c r="B1636" s="187" t="inlineStr">
        <is>
          <t>58a732101248</t>
        </is>
      </c>
      <c r="C1636" s="187" t="inlineStr">
        <is>
          <t>Emerging Threats Compromised IP: 111.160.133.62 | Sources: EMERGING_THREATS</t>
        </is>
      </c>
      <c r="D1636" s="187" t="n">
        <v>6.5</v>
      </c>
      <c r="E1636" s="187" t="inlineStr">
        <is>
          <t>HIGH</t>
        </is>
      </c>
      <c r="F1636" s="187" t="n">
        <v>3</v>
      </c>
      <c r="G1636" s="187" t="n">
        <v>2</v>
      </c>
      <c r="H1636" s="187" t="inlineStr">
        <is>
          <t>HIGH</t>
        </is>
      </c>
      <c r="I1636" s="187" t="n">
        <v>12.5</v>
      </c>
      <c r="J1636" s="187" t="inlineStr">
        <is>
          <t>NO</t>
        </is>
      </c>
      <c r="K1636" s="187" t="inlineStr">
        <is>
          <t>https://rules.emergingthreats.net/</t>
        </is>
      </c>
      <c r="L1636" s="187" t="inlineStr">
        <is>
          <t>2026-02-27 20:47</t>
        </is>
      </c>
      <c r="M1636" s="187" t="inlineStr">
        <is>
          <t>Block IP</t>
        </is>
      </c>
      <c r="N1636" s="187" t="inlineStr">
        <is>
          <t>https://rules.emergingthreats.net/blockrules/compromised-ips.txt</t>
        </is>
      </c>
      <c r="O1636" s="187" t="inlineStr">
        <is>
          <t>Block IP 111.160.133.62 at firewall | Emerging Threats compromised host</t>
        </is>
      </c>
      <c r="P1636" s="187" t="inlineStr">
        <is>
          <t>Network perimeter</t>
        </is>
      </c>
      <c r="Q1636" s="187" t="inlineStr">
        <is>
          <t>P3</t>
        </is>
      </c>
      <c r="R1636" s="187" t="inlineStr">
        <is>
          <t>🚫 Block IP at firewall immediately | 🔍 Check logs for existing connections | 🛡️ Add to threat intelligence blocklist</t>
        </is>
      </c>
      <c r="S1636" s="187" t="inlineStr">
        <is>
          <t>Check ip-api.com + AbuseIPDB for context</t>
        </is>
      </c>
      <c r="T1636" s="187" t="n">
        <v>0</v>
      </c>
      <c r="U1636" s="187" t="n">
        <v>0</v>
      </c>
      <c r="V1636" s="187" t="inlineStr">
        <is>
          <t>T1110:Brute Force | T1190:Exploit Public-Facing Application</t>
        </is>
      </c>
      <c r="W1636" s="187" t="n">
        <v>1</v>
      </c>
      <c r="X1636" s="187" t="inlineStr">
        <is>
          <t>LOW (40%)</t>
        </is>
      </c>
      <c r="Y1636" s="187" t="inlineStr">
        <is>
          <t>NONE</t>
        </is>
      </c>
      <c r="Z1636" s="187" t="inlineStr">
        <is>
          <t>NONE</t>
        </is>
      </c>
      <c r="AA1636" s="187" t="inlineStr">
        <is>
          <t>NONE</t>
        </is>
      </c>
      <c r="AB1636" s="187" t="inlineStr">
        <is>
          <t>NONE</t>
        </is>
      </c>
      <c r="AC1636" s="187" t="n">
        <v>0</v>
      </c>
      <c r="AD1636" s="187" t="inlineStr"/>
    </row>
    <row r="1637">
      <c r="A1637" s="187" t="inlineStr">
        <is>
          <t>EMERGING_THREAT_IP</t>
        </is>
      </c>
      <c r="B1637" s="187" t="inlineStr">
        <is>
          <t>153710cc82cd</t>
        </is>
      </c>
      <c r="C1637" s="187" t="inlineStr">
        <is>
          <t>Emerging Threats Compromised IP: 111.32.36.226 | Sources: EMERGING_THREATS</t>
        </is>
      </c>
      <c r="D1637" s="187" t="n">
        <v>6.5</v>
      </c>
      <c r="E1637" s="187" t="inlineStr">
        <is>
          <t>HIGH</t>
        </is>
      </c>
      <c r="F1637" s="187" t="n">
        <v>3</v>
      </c>
      <c r="G1637" s="187" t="n">
        <v>2</v>
      </c>
      <c r="H1637" s="187" t="inlineStr">
        <is>
          <t>HIGH</t>
        </is>
      </c>
      <c r="I1637" s="187" t="n">
        <v>12.5</v>
      </c>
      <c r="J1637" s="187" t="inlineStr">
        <is>
          <t>NO</t>
        </is>
      </c>
      <c r="K1637" s="187" t="inlineStr">
        <is>
          <t>https://rules.emergingthreats.net/</t>
        </is>
      </c>
      <c r="L1637" s="187" t="inlineStr">
        <is>
          <t>2026-02-27 20:47</t>
        </is>
      </c>
      <c r="M1637" s="187" t="inlineStr">
        <is>
          <t>Block IP</t>
        </is>
      </c>
      <c r="N1637" s="187" t="inlineStr">
        <is>
          <t>https://rules.emergingthreats.net/blockrules/compromised-ips.txt</t>
        </is>
      </c>
      <c r="O1637" s="187" t="inlineStr">
        <is>
          <t>Block IP 111.32.36.226 at firewall | Emerging Threats compromised host</t>
        </is>
      </c>
      <c r="P1637" s="187" t="inlineStr">
        <is>
          <t>Network perimeter</t>
        </is>
      </c>
      <c r="Q1637" s="187" t="inlineStr">
        <is>
          <t>P3</t>
        </is>
      </c>
      <c r="R1637" s="187" t="inlineStr">
        <is>
          <t>🚫 Block IP at firewall immediately | 🔍 Check logs for existing connections | 🛡️ Add to threat intelligence blocklist</t>
        </is>
      </c>
      <c r="S1637" s="187" t="inlineStr">
        <is>
          <t>Check ip-api.com + AbuseIPDB for context</t>
        </is>
      </c>
      <c r="T1637" s="187" t="n">
        <v>0</v>
      </c>
      <c r="U1637" s="187" t="n">
        <v>0</v>
      </c>
      <c r="V1637" s="187" t="inlineStr">
        <is>
          <t>T1110:Brute Force | T1190:Exploit Public-Facing Application</t>
        </is>
      </c>
      <c r="W1637" s="187" t="n">
        <v>1</v>
      </c>
      <c r="X1637" s="187" t="inlineStr">
        <is>
          <t>LOW (40%)</t>
        </is>
      </c>
      <c r="Y1637" s="187" t="inlineStr">
        <is>
          <t>NONE</t>
        </is>
      </c>
      <c r="Z1637" s="187" t="inlineStr">
        <is>
          <t>NONE</t>
        </is>
      </c>
      <c r="AA1637" s="187" t="inlineStr">
        <is>
          <t>NONE</t>
        </is>
      </c>
      <c r="AB1637" s="187" t="inlineStr">
        <is>
          <t>NONE</t>
        </is>
      </c>
      <c r="AC1637" s="187" t="n">
        <v>0</v>
      </c>
      <c r="AD1637" s="187" t="inlineStr"/>
    </row>
    <row r="1638">
      <c r="A1638" s="187" t="inlineStr">
        <is>
          <t>EMERGING_THREAT_IP</t>
        </is>
      </c>
      <c r="B1638" s="187" t="inlineStr">
        <is>
          <t>56362e505e20</t>
        </is>
      </c>
      <c r="C1638" s="187" t="inlineStr">
        <is>
          <t>Emerging Threats Compromised IP: 112.163.119.199 | Sources: EMERGING_THREATS</t>
        </is>
      </c>
      <c r="D1638" s="187" t="n">
        <v>6.5</v>
      </c>
      <c r="E1638" s="187" t="inlineStr">
        <is>
          <t>HIGH</t>
        </is>
      </c>
      <c r="F1638" s="187" t="n">
        <v>3</v>
      </c>
      <c r="G1638" s="187" t="n">
        <v>2</v>
      </c>
      <c r="H1638" s="187" t="inlineStr">
        <is>
          <t>HIGH</t>
        </is>
      </c>
      <c r="I1638" s="187" t="n">
        <v>12.5</v>
      </c>
      <c r="J1638" s="187" t="inlineStr">
        <is>
          <t>NO</t>
        </is>
      </c>
      <c r="K1638" s="187" t="inlineStr">
        <is>
          <t>https://rules.emergingthreats.net/</t>
        </is>
      </c>
      <c r="L1638" s="187" t="inlineStr">
        <is>
          <t>2026-02-27 20:47</t>
        </is>
      </c>
      <c r="M1638" s="187" t="inlineStr">
        <is>
          <t>Block IP</t>
        </is>
      </c>
      <c r="N1638" s="187" t="inlineStr">
        <is>
          <t>https://rules.emergingthreats.net/blockrules/compromised-ips.txt</t>
        </is>
      </c>
      <c r="O1638" s="187" t="inlineStr">
        <is>
          <t>Block IP 112.163.119.199 at firewall | Emerging Threats compromised host</t>
        </is>
      </c>
      <c r="P1638" s="187" t="inlineStr">
        <is>
          <t>Network perimeter</t>
        </is>
      </c>
      <c r="Q1638" s="187" t="inlineStr">
        <is>
          <t>P3</t>
        </is>
      </c>
      <c r="R1638" s="187" t="inlineStr">
        <is>
          <t>🚫 Block IP at firewall immediately | 🔍 Check logs for existing connections | 🛡️ Add to threat intelligence blocklist</t>
        </is>
      </c>
      <c r="S1638" s="187" t="inlineStr">
        <is>
          <t>Check ip-api.com + AbuseIPDB for context</t>
        </is>
      </c>
      <c r="T1638" s="187" t="n">
        <v>0</v>
      </c>
      <c r="U1638" s="187" t="n">
        <v>0</v>
      </c>
      <c r="V1638" s="187" t="inlineStr">
        <is>
          <t>T1110:Brute Force | T1190:Exploit Public-Facing Application</t>
        </is>
      </c>
      <c r="W1638" s="187" t="n">
        <v>1</v>
      </c>
      <c r="X1638" s="187" t="inlineStr">
        <is>
          <t>LOW (40%)</t>
        </is>
      </c>
      <c r="Y1638" s="187" t="inlineStr">
        <is>
          <t>NONE</t>
        </is>
      </c>
      <c r="Z1638" s="187" t="inlineStr">
        <is>
          <t>NONE</t>
        </is>
      </c>
      <c r="AA1638" s="187" t="inlineStr">
        <is>
          <t>NONE</t>
        </is>
      </c>
      <c r="AB1638" s="187" t="inlineStr">
        <is>
          <t>NONE</t>
        </is>
      </c>
      <c r="AC1638" s="187" t="n">
        <v>0</v>
      </c>
      <c r="AD1638" s="187" t="inlineStr"/>
    </row>
    <row r="1639">
      <c r="A1639" s="187" t="inlineStr">
        <is>
          <t>EMERGING_THREAT_IP</t>
        </is>
      </c>
      <c r="B1639" s="187" t="inlineStr">
        <is>
          <t>a5391b0ff482</t>
        </is>
      </c>
      <c r="C1639" s="187" t="inlineStr">
        <is>
          <t>Emerging Threats Compromised IP: 112.203.76.195 | Sources: EMERGING_THREATS</t>
        </is>
      </c>
      <c r="D1639" s="187" t="n">
        <v>6.5</v>
      </c>
      <c r="E1639" s="187" t="inlineStr">
        <is>
          <t>HIGH</t>
        </is>
      </c>
      <c r="F1639" s="187" t="n">
        <v>3</v>
      </c>
      <c r="G1639" s="187" t="n">
        <v>2</v>
      </c>
      <c r="H1639" s="187" t="inlineStr">
        <is>
          <t>HIGH</t>
        </is>
      </c>
      <c r="I1639" s="187" t="n">
        <v>12.5</v>
      </c>
      <c r="J1639" s="187" t="inlineStr">
        <is>
          <t>NO</t>
        </is>
      </c>
      <c r="K1639" s="187" t="inlineStr">
        <is>
          <t>https://rules.emergingthreats.net/</t>
        </is>
      </c>
      <c r="L1639" s="187" t="inlineStr">
        <is>
          <t>2026-02-27 20:47</t>
        </is>
      </c>
      <c r="M1639" s="187" t="inlineStr">
        <is>
          <t>Block IP</t>
        </is>
      </c>
      <c r="N1639" s="187" t="inlineStr">
        <is>
          <t>https://rules.emergingthreats.net/blockrules/compromised-ips.txt</t>
        </is>
      </c>
      <c r="O1639" s="187" t="inlineStr">
        <is>
          <t>Block IP 112.203.76.195 at firewall | Emerging Threats compromised host</t>
        </is>
      </c>
      <c r="P1639" s="187" t="inlineStr">
        <is>
          <t>Network perimeter</t>
        </is>
      </c>
      <c r="Q1639" s="187" t="inlineStr">
        <is>
          <t>P3</t>
        </is>
      </c>
      <c r="R1639" s="187" t="inlineStr">
        <is>
          <t>🚫 Block IP at firewall immediately | 🔍 Check logs for existing connections | 🛡️ Add to threat intelligence blocklist</t>
        </is>
      </c>
      <c r="S1639" s="187" t="inlineStr">
        <is>
          <t>Check ip-api.com + AbuseIPDB for context</t>
        </is>
      </c>
      <c r="T1639" s="187" t="n">
        <v>0</v>
      </c>
      <c r="U1639" s="187" t="n">
        <v>0</v>
      </c>
      <c r="V1639" s="187" t="inlineStr">
        <is>
          <t>T1110:Brute Force | T1190:Exploit Public-Facing Application</t>
        </is>
      </c>
      <c r="W1639" s="187" t="n">
        <v>1</v>
      </c>
      <c r="X1639" s="187" t="inlineStr">
        <is>
          <t>LOW (40%)</t>
        </is>
      </c>
      <c r="Y1639" s="187" t="inlineStr">
        <is>
          <t>NONE</t>
        </is>
      </c>
      <c r="Z1639" s="187" t="inlineStr">
        <is>
          <t>NONE</t>
        </is>
      </c>
      <c r="AA1639" s="187" t="inlineStr">
        <is>
          <t>NONE</t>
        </is>
      </c>
      <c r="AB1639" s="187" t="inlineStr">
        <is>
          <t>NONE</t>
        </is>
      </c>
      <c r="AC1639" s="187" t="n">
        <v>0</v>
      </c>
      <c r="AD1639" s="187" t="inlineStr"/>
    </row>
    <row r="1640">
      <c r="A1640" s="187" t="inlineStr">
        <is>
          <t>EMERGING_THREAT_IP</t>
        </is>
      </c>
      <c r="B1640" s="187" t="inlineStr">
        <is>
          <t>fb69466d3c6c</t>
        </is>
      </c>
      <c r="C1640" s="187" t="inlineStr">
        <is>
          <t>Emerging Threats Compromised IP: 113.240.110.0 | Sources: EMERGING_THREATS</t>
        </is>
      </c>
      <c r="D1640" s="187" t="n">
        <v>6.5</v>
      </c>
      <c r="E1640" s="187" t="inlineStr">
        <is>
          <t>HIGH</t>
        </is>
      </c>
      <c r="F1640" s="187" t="n">
        <v>3</v>
      </c>
      <c r="G1640" s="187" t="n">
        <v>2</v>
      </c>
      <c r="H1640" s="187" t="inlineStr">
        <is>
          <t>HIGH</t>
        </is>
      </c>
      <c r="I1640" s="187" t="n">
        <v>12.5</v>
      </c>
      <c r="J1640" s="187" t="inlineStr">
        <is>
          <t>NO</t>
        </is>
      </c>
      <c r="K1640" s="187" t="inlineStr">
        <is>
          <t>https://rules.emergingthreats.net/</t>
        </is>
      </c>
      <c r="L1640" s="187" t="inlineStr">
        <is>
          <t>2026-02-27 20:47</t>
        </is>
      </c>
      <c r="M1640" s="187" t="inlineStr">
        <is>
          <t>Block IP</t>
        </is>
      </c>
      <c r="N1640" s="187" t="inlineStr">
        <is>
          <t>https://rules.emergingthreats.net/blockrules/compromised-ips.txt</t>
        </is>
      </c>
      <c r="O1640" s="187" t="inlineStr">
        <is>
          <t>Block IP 113.240.110.0 at firewall | Emerging Threats compromised host</t>
        </is>
      </c>
      <c r="P1640" s="187" t="inlineStr">
        <is>
          <t>Network perimeter</t>
        </is>
      </c>
      <c r="Q1640" s="187" t="inlineStr">
        <is>
          <t>P3</t>
        </is>
      </c>
      <c r="R1640" s="187" t="inlineStr">
        <is>
          <t>🚫 Block IP at firewall immediately | 🔍 Check logs for existing connections | 🛡️ Add to threat intelligence blocklist</t>
        </is>
      </c>
      <c r="S1640" s="187" t="inlineStr">
        <is>
          <t>Check ip-api.com + AbuseIPDB for context</t>
        </is>
      </c>
      <c r="T1640" s="187" t="n">
        <v>0</v>
      </c>
      <c r="U1640" s="187" t="n">
        <v>0</v>
      </c>
      <c r="V1640" s="187" t="inlineStr">
        <is>
          <t>T1110:Brute Force | T1190:Exploit Public-Facing Application</t>
        </is>
      </c>
      <c r="W1640" s="187" t="n">
        <v>1</v>
      </c>
      <c r="X1640" s="187" t="inlineStr">
        <is>
          <t>LOW (40%)</t>
        </is>
      </c>
      <c r="Y1640" s="187" t="inlineStr">
        <is>
          <t>NONE</t>
        </is>
      </c>
      <c r="Z1640" s="187" t="inlineStr">
        <is>
          <t>NONE</t>
        </is>
      </c>
      <c r="AA1640" s="187" t="inlineStr">
        <is>
          <t>NONE</t>
        </is>
      </c>
      <c r="AB1640" s="187" t="inlineStr">
        <is>
          <t>NONE</t>
        </is>
      </c>
      <c r="AC1640" s="187" t="n">
        <v>0</v>
      </c>
      <c r="AD1640" s="187" t="inlineStr"/>
    </row>
    <row r="1641">
      <c r="A1641" s="187" t="inlineStr">
        <is>
          <t>EMERGING_THREAT_IP</t>
        </is>
      </c>
      <c r="B1641" s="187" t="inlineStr">
        <is>
          <t>2bc8ac825e6b</t>
        </is>
      </c>
      <c r="C1641" s="187" t="inlineStr">
        <is>
          <t>Emerging Threats Compromised IP: 114.246.36.108 | Sources: EMERGING_THREATS</t>
        </is>
      </c>
      <c r="D1641" s="187" t="n">
        <v>6.5</v>
      </c>
      <c r="E1641" s="187" t="inlineStr">
        <is>
          <t>HIGH</t>
        </is>
      </c>
      <c r="F1641" s="187" t="n">
        <v>3</v>
      </c>
      <c r="G1641" s="187" t="n">
        <v>2</v>
      </c>
      <c r="H1641" s="187" t="inlineStr">
        <is>
          <t>HIGH</t>
        </is>
      </c>
      <c r="I1641" s="187" t="n">
        <v>12.5</v>
      </c>
      <c r="J1641" s="187" t="inlineStr">
        <is>
          <t>NO</t>
        </is>
      </c>
      <c r="K1641" s="187" t="inlineStr">
        <is>
          <t>https://rules.emergingthreats.net/</t>
        </is>
      </c>
      <c r="L1641" s="187" t="inlineStr">
        <is>
          <t>2026-02-27 20:47</t>
        </is>
      </c>
      <c r="M1641" s="187" t="inlineStr">
        <is>
          <t>Block IP</t>
        </is>
      </c>
      <c r="N1641" s="187" t="inlineStr">
        <is>
          <t>https://rules.emergingthreats.net/blockrules/compromised-ips.txt</t>
        </is>
      </c>
      <c r="O1641" s="187" t="inlineStr">
        <is>
          <t>Block IP 114.246.36.108 at firewall | Emerging Threats compromised host</t>
        </is>
      </c>
      <c r="P1641" s="187" t="inlineStr">
        <is>
          <t>Network perimeter</t>
        </is>
      </c>
      <c r="Q1641" s="187" t="inlineStr">
        <is>
          <t>P3</t>
        </is>
      </c>
      <c r="R1641" s="187" t="inlineStr">
        <is>
          <t>🚫 Block IP at firewall immediately | 🔍 Check logs for existing connections | 🛡️ Add to threat intelligence blocklist</t>
        </is>
      </c>
      <c r="S1641" s="187" t="inlineStr">
        <is>
          <t>Check ip-api.com + AbuseIPDB for context</t>
        </is>
      </c>
      <c r="T1641" s="187" t="n">
        <v>0</v>
      </c>
      <c r="U1641" s="187" t="n">
        <v>0</v>
      </c>
      <c r="V1641" s="187" t="inlineStr">
        <is>
          <t>T1110:Brute Force | T1190:Exploit Public-Facing Application</t>
        </is>
      </c>
      <c r="W1641" s="187" t="n">
        <v>1</v>
      </c>
      <c r="X1641" s="187" t="inlineStr">
        <is>
          <t>LOW (40%)</t>
        </is>
      </c>
      <c r="Y1641" s="187" t="inlineStr">
        <is>
          <t>NONE</t>
        </is>
      </c>
      <c r="Z1641" s="187" t="inlineStr">
        <is>
          <t>NONE</t>
        </is>
      </c>
      <c r="AA1641" s="187" t="inlineStr">
        <is>
          <t>NONE</t>
        </is>
      </c>
      <c r="AB1641" s="187" t="inlineStr">
        <is>
          <t>NONE</t>
        </is>
      </c>
      <c r="AC1641" s="187" t="n">
        <v>0</v>
      </c>
      <c r="AD1641" s="187" t="inlineStr"/>
    </row>
    <row r="1642">
      <c r="A1642" s="187" t="inlineStr">
        <is>
          <t>EMERGING_THREAT_IP</t>
        </is>
      </c>
      <c r="B1642" s="187" t="inlineStr">
        <is>
          <t>0d9c0ca40d1b</t>
        </is>
      </c>
      <c r="C1642" s="187" t="inlineStr">
        <is>
          <t>Emerging Threats Compromised IP: 115.140.161.61 | Sources: EMERGING_THREATS</t>
        </is>
      </c>
      <c r="D1642" s="187" t="n">
        <v>6.5</v>
      </c>
      <c r="E1642" s="187" t="inlineStr">
        <is>
          <t>HIGH</t>
        </is>
      </c>
      <c r="F1642" s="187" t="n">
        <v>3</v>
      </c>
      <c r="G1642" s="187" t="n">
        <v>2</v>
      </c>
      <c r="H1642" s="187" t="inlineStr">
        <is>
          <t>HIGH</t>
        </is>
      </c>
      <c r="I1642" s="187" t="n">
        <v>12.5</v>
      </c>
      <c r="J1642" s="187" t="inlineStr">
        <is>
          <t>NO</t>
        </is>
      </c>
      <c r="K1642" s="187" t="inlineStr">
        <is>
          <t>https://rules.emergingthreats.net/</t>
        </is>
      </c>
      <c r="L1642" s="187" t="inlineStr">
        <is>
          <t>2026-02-27 20:47</t>
        </is>
      </c>
      <c r="M1642" s="187" t="inlineStr">
        <is>
          <t>Block IP</t>
        </is>
      </c>
      <c r="N1642" s="187" t="inlineStr">
        <is>
          <t>https://rules.emergingthreats.net/blockrules/compromised-ips.txt</t>
        </is>
      </c>
      <c r="O1642" s="187" t="inlineStr">
        <is>
          <t>Block IP 115.140.161.61 at firewall | Emerging Threats compromised host</t>
        </is>
      </c>
      <c r="P1642" s="187" t="inlineStr">
        <is>
          <t>Network perimeter</t>
        </is>
      </c>
      <c r="Q1642" s="187" t="inlineStr">
        <is>
          <t>P3</t>
        </is>
      </c>
      <c r="R1642" s="187" t="inlineStr">
        <is>
          <t>🚫 Block IP at firewall immediately | 🔍 Check logs for existing connections | 🛡️ Add to threat intelligence blocklist</t>
        </is>
      </c>
      <c r="S1642" s="187" t="inlineStr">
        <is>
          <t>Check ip-api.com + AbuseIPDB for context</t>
        </is>
      </c>
      <c r="T1642" s="187" t="n">
        <v>0</v>
      </c>
      <c r="U1642" s="187" t="n">
        <v>0</v>
      </c>
      <c r="V1642" s="187" t="inlineStr">
        <is>
          <t>T1110:Brute Force | T1190:Exploit Public-Facing Application</t>
        </is>
      </c>
      <c r="W1642" s="187" t="n">
        <v>1</v>
      </c>
      <c r="X1642" s="187" t="inlineStr">
        <is>
          <t>LOW (40%)</t>
        </is>
      </c>
      <c r="Y1642" s="187" t="inlineStr">
        <is>
          <t>NONE</t>
        </is>
      </c>
      <c r="Z1642" s="187" t="inlineStr">
        <is>
          <t>NONE</t>
        </is>
      </c>
      <c r="AA1642" s="187" t="inlineStr">
        <is>
          <t>NONE</t>
        </is>
      </c>
      <c r="AB1642" s="187" t="inlineStr">
        <is>
          <t>NONE</t>
        </is>
      </c>
      <c r="AC1642" s="187" t="n">
        <v>0</v>
      </c>
      <c r="AD1642" s="187" t="inlineStr"/>
    </row>
    <row r="1643">
      <c r="A1643" s="187" t="inlineStr">
        <is>
          <t>EMERGING_THREAT_IP</t>
        </is>
      </c>
      <c r="B1643" s="187" t="inlineStr">
        <is>
          <t>b193ce1c8118</t>
        </is>
      </c>
      <c r="C1643" s="187" t="inlineStr">
        <is>
          <t>Emerging Threats Compromised IP: 115.160.79.71 | Sources: EMERGING_THREATS</t>
        </is>
      </c>
      <c r="D1643" s="187" t="n">
        <v>6.5</v>
      </c>
      <c r="E1643" s="187" t="inlineStr">
        <is>
          <t>HIGH</t>
        </is>
      </c>
      <c r="F1643" s="187" t="n">
        <v>3</v>
      </c>
      <c r="G1643" s="187" t="n">
        <v>2</v>
      </c>
      <c r="H1643" s="187" t="inlineStr">
        <is>
          <t>HIGH</t>
        </is>
      </c>
      <c r="I1643" s="187" t="n">
        <v>12.5</v>
      </c>
      <c r="J1643" s="187" t="inlineStr">
        <is>
          <t>NO</t>
        </is>
      </c>
      <c r="K1643" s="187" t="inlineStr">
        <is>
          <t>https://rules.emergingthreats.net/</t>
        </is>
      </c>
      <c r="L1643" s="187" t="inlineStr">
        <is>
          <t>2026-02-27 20:47</t>
        </is>
      </c>
      <c r="M1643" s="187" t="inlineStr">
        <is>
          <t>Block IP</t>
        </is>
      </c>
      <c r="N1643" s="187" t="inlineStr">
        <is>
          <t>https://rules.emergingthreats.net/blockrules/compromised-ips.txt</t>
        </is>
      </c>
      <c r="O1643" s="187" t="inlineStr">
        <is>
          <t>Block IP 115.160.79.71 at firewall | Emerging Threats compromised host</t>
        </is>
      </c>
      <c r="P1643" s="187" t="inlineStr">
        <is>
          <t>Network perimeter</t>
        </is>
      </c>
      <c r="Q1643" s="187" t="inlineStr">
        <is>
          <t>P3</t>
        </is>
      </c>
      <c r="R1643" s="187" t="inlineStr">
        <is>
          <t>🚫 Block IP at firewall immediately | 🔍 Check logs for existing connections | 🛡️ Add to threat intelligence blocklist</t>
        </is>
      </c>
      <c r="S1643" s="187" t="inlineStr">
        <is>
          <t>Check ip-api.com + AbuseIPDB for context</t>
        </is>
      </c>
      <c r="T1643" s="187" t="n">
        <v>0</v>
      </c>
      <c r="U1643" s="187" t="n">
        <v>0</v>
      </c>
      <c r="V1643" s="187" t="inlineStr">
        <is>
          <t>T1110:Brute Force | T1190:Exploit Public-Facing Application</t>
        </is>
      </c>
      <c r="W1643" s="187" t="n">
        <v>1</v>
      </c>
      <c r="X1643" s="187" t="inlineStr">
        <is>
          <t>LOW (40%)</t>
        </is>
      </c>
      <c r="Y1643" s="187" t="inlineStr">
        <is>
          <t>NONE</t>
        </is>
      </c>
      <c r="Z1643" s="187" t="inlineStr">
        <is>
          <t>NONE</t>
        </is>
      </c>
      <c r="AA1643" s="187" t="inlineStr">
        <is>
          <t>NONE</t>
        </is>
      </c>
      <c r="AB1643" s="187" t="inlineStr">
        <is>
          <t>NONE</t>
        </is>
      </c>
      <c r="AC1643" s="187" t="n">
        <v>0</v>
      </c>
      <c r="AD1643" s="187" t="inlineStr"/>
    </row>
    <row r="1644">
      <c r="A1644" s="187" t="inlineStr">
        <is>
          <t>EMERGING_THREAT_IP</t>
        </is>
      </c>
      <c r="B1644" s="187" t="inlineStr">
        <is>
          <t>98108d97a1e0</t>
        </is>
      </c>
      <c r="C1644" s="187" t="inlineStr">
        <is>
          <t>Emerging Threats Compromised IP: 115.190.14.206 | Sources: EMERGING_THREATS</t>
        </is>
      </c>
      <c r="D1644" s="187" t="n">
        <v>6.5</v>
      </c>
      <c r="E1644" s="187" t="inlineStr">
        <is>
          <t>HIGH</t>
        </is>
      </c>
      <c r="F1644" s="187" t="n">
        <v>3</v>
      </c>
      <c r="G1644" s="187" t="n">
        <v>2</v>
      </c>
      <c r="H1644" s="187" t="inlineStr">
        <is>
          <t>HIGH</t>
        </is>
      </c>
      <c r="I1644" s="187" t="n">
        <v>12.5</v>
      </c>
      <c r="J1644" s="187" t="inlineStr">
        <is>
          <t>NO</t>
        </is>
      </c>
      <c r="K1644" s="187" t="inlineStr">
        <is>
          <t>https://rules.emergingthreats.net/</t>
        </is>
      </c>
      <c r="L1644" s="187" t="inlineStr">
        <is>
          <t>2026-02-27 20:47</t>
        </is>
      </c>
      <c r="M1644" s="187" t="inlineStr">
        <is>
          <t>Block IP</t>
        </is>
      </c>
      <c r="N1644" s="187" t="inlineStr">
        <is>
          <t>https://rules.emergingthreats.net/blockrules/compromised-ips.txt</t>
        </is>
      </c>
      <c r="O1644" s="187" t="inlineStr">
        <is>
          <t>Block IP 115.190.14.206 at firewall | Emerging Threats compromised host</t>
        </is>
      </c>
      <c r="P1644" s="187" t="inlineStr">
        <is>
          <t>Network perimeter</t>
        </is>
      </c>
      <c r="Q1644" s="187" t="inlineStr">
        <is>
          <t>P3</t>
        </is>
      </c>
      <c r="R1644" s="187" t="inlineStr">
        <is>
          <t>🚫 Block IP at firewall immediately | 🔍 Check logs for existing connections | 🛡️ Add to threat intelligence blocklist</t>
        </is>
      </c>
      <c r="S1644" s="187" t="inlineStr">
        <is>
          <t>Check ip-api.com + AbuseIPDB for context</t>
        </is>
      </c>
      <c r="T1644" s="187" t="n">
        <v>0</v>
      </c>
      <c r="U1644" s="187" t="n">
        <v>0</v>
      </c>
      <c r="V1644" s="187" t="inlineStr">
        <is>
          <t>T1110:Brute Force | T1190:Exploit Public-Facing Application</t>
        </is>
      </c>
      <c r="W1644" s="187" t="n">
        <v>1</v>
      </c>
      <c r="X1644" s="187" t="inlineStr">
        <is>
          <t>LOW (40%)</t>
        </is>
      </c>
      <c r="Y1644" s="187" t="inlineStr">
        <is>
          <t>NONE</t>
        </is>
      </c>
      <c r="Z1644" s="187" t="inlineStr">
        <is>
          <t>NONE</t>
        </is>
      </c>
      <c r="AA1644" s="187" t="inlineStr">
        <is>
          <t>NONE</t>
        </is>
      </c>
      <c r="AB1644" s="187" t="inlineStr">
        <is>
          <t>NONE</t>
        </is>
      </c>
      <c r="AC1644" s="187" t="n">
        <v>0</v>
      </c>
      <c r="AD1644" s="187" t="inlineStr"/>
    </row>
    <row r="1645">
      <c r="A1645" s="187" t="inlineStr">
        <is>
          <t>EMERGING_THREAT_IP</t>
        </is>
      </c>
      <c r="B1645" s="187" t="inlineStr">
        <is>
          <t>f6a22beb1877</t>
        </is>
      </c>
      <c r="C1645" s="187" t="inlineStr">
        <is>
          <t>Emerging Threats Compromised IP: 115.190.20.70 | Sources: EMERGING_THREATS</t>
        </is>
      </c>
      <c r="D1645" s="187" t="n">
        <v>6.5</v>
      </c>
      <c r="E1645" s="187" t="inlineStr">
        <is>
          <t>HIGH</t>
        </is>
      </c>
      <c r="F1645" s="187" t="n">
        <v>3</v>
      </c>
      <c r="G1645" s="187" t="n">
        <v>2</v>
      </c>
      <c r="H1645" s="187" t="inlineStr">
        <is>
          <t>HIGH</t>
        </is>
      </c>
      <c r="I1645" s="187" t="n">
        <v>12.5</v>
      </c>
      <c r="J1645" s="187" t="inlineStr">
        <is>
          <t>NO</t>
        </is>
      </c>
      <c r="K1645" s="187" t="inlineStr">
        <is>
          <t>https://rules.emergingthreats.net/</t>
        </is>
      </c>
      <c r="L1645" s="187" t="inlineStr">
        <is>
          <t>2026-02-27 20:47</t>
        </is>
      </c>
      <c r="M1645" s="187" t="inlineStr">
        <is>
          <t>Block IP</t>
        </is>
      </c>
      <c r="N1645" s="187" t="inlineStr">
        <is>
          <t>https://rules.emergingthreats.net/blockrules/compromised-ips.txt</t>
        </is>
      </c>
      <c r="O1645" s="187" t="inlineStr">
        <is>
          <t>Block IP 115.190.20.70 at firewall | Emerging Threats compromised host</t>
        </is>
      </c>
      <c r="P1645" s="187" t="inlineStr">
        <is>
          <t>Network perimeter</t>
        </is>
      </c>
      <c r="Q1645" s="187" t="inlineStr">
        <is>
          <t>P3</t>
        </is>
      </c>
      <c r="R1645" s="187" t="inlineStr">
        <is>
          <t>🚫 Block IP at firewall immediately | 🔍 Check logs for existing connections | 🛡️ Add to threat intelligence blocklist</t>
        </is>
      </c>
      <c r="S1645" s="187" t="inlineStr">
        <is>
          <t>Check ip-api.com + AbuseIPDB for context</t>
        </is>
      </c>
      <c r="T1645" s="187" t="n">
        <v>0</v>
      </c>
      <c r="U1645" s="187" t="n">
        <v>0</v>
      </c>
      <c r="V1645" s="187" t="inlineStr">
        <is>
          <t>T1110:Brute Force | T1190:Exploit Public-Facing Application</t>
        </is>
      </c>
      <c r="W1645" s="187" t="n">
        <v>1</v>
      </c>
      <c r="X1645" s="187" t="inlineStr">
        <is>
          <t>LOW (40%)</t>
        </is>
      </c>
      <c r="Y1645" s="187" t="inlineStr">
        <is>
          <t>NONE</t>
        </is>
      </c>
      <c r="Z1645" s="187" t="inlineStr">
        <is>
          <t>NONE</t>
        </is>
      </c>
      <c r="AA1645" s="187" t="inlineStr">
        <is>
          <t>NONE</t>
        </is>
      </c>
      <c r="AB1645" s="187" t="inlineStr">
        <is>
          <t>NONE</t>
        </is>
      </c>
      <c r="AC1645" s="187" t="n">
        <v>0</v>
      </c>
      <c r="AD1645" s="187" t="inlineStr"/>
    </row>
    <row r="1646">
      <c r="A1646" s="187" t="inlineStr">
        <is>
          <t>EMERGING_THREAT_IP</t>
        </is>
      </c>
      <c r="B1646" s="187" t="inlineStr">
        <is>
          <t>601857c09b38</t>
        </is>
      </c>
      <c r="C1646" s="187" t="inlineStr">
        <is>
          <t>Emerging Threats Compromised IP: 115.190.87.147 | Sources: EMERGING_THREATS</t>
        </is>
      </c>
      <c r="D1646" s="187" t="n">
        <v>6.5</v>
      </c>
      <c r="E1646" s="187" t="inlineStr">
        <is>
          <t>HIGH</t>
        </is>
      </c>
      <c r="F1646" s="187" t="n">
        <v>3</v>
      </c>
      <c r="G1646" s="187" t="n">
        <v>2</v>
      </c>
      <c r="H1646" s="187" t="inlineStr">
        <is>
          <t>HIGH</t>
        </is>
      </c>
      <c r="I1646" s="187" t="n">
        <v>12.5</v>
      </c>
      <c r="J1646" s="187" t="inlineStr">
        <is>
          <t>NO</t>
        </is>
      </c>
      <c r="K1646" s="187" t="inlineStr">
        <is>
          <t>https://rules.emergingthreats.net/</t>
        </is>
      </c>
      <c r="L1646" s="187" t="inlineStr">
        <is>
          <t>2026-02-27 20:47</t>
        </is>
      </c>
      <c r="M1646" s="187" t="inlineStr">
        <is>
          <t>Block IP</t>
        </is>
      </c>
      <c r="N1646" s="187" t="inlineStr">
        <is>
          <t>https://rules.emergingthreats.net/blockrules/compromised-ips.txt</t>
        </is>
      </c>
      <c r="O1646" s="187" t="inlineStr">
        <is>
          <t>Block IP 115.190.87.147 at firewall | Emerging Threats compromised host</t>
        </is>
      </c>
      <c r="P1646" s="187" t="inlineStr">
        <is>
          <t>Network perimeter</t>
        </is>
      </c>
      <c r="Q1646" s="187" t="inlineStr">
        <is>
          <t>P3</t>
        </is>
      </c>
      <c r="R1646" s="187" t="inlineStr">
        <is>
          <t>🚫 Block IP at firewall immediately | 🔍 Check logs for existing connections | 🛡️ Add to threat intelligence blocklist</t>
        </is>
      </c>
      <c r="S1646" s="187" t="inlineStr">
        <is>
          <t>Check ip-api.com + AbuseIPDB for context</t>
        </is>
      </c>
      <c r="T1646" s="187" t="n">
        <v>0</v>
      </c>
      <c r="U1646" s="187" t="n">
        <v>0</v>
      </c>
      <c r="V1646" s="187" t="inlineStr">
        <is>
          <t>T1110:Brute Force | T1190:Exploit Public-Facing Application</t>
        </is>
      </c>
      <c r="W1646" s="187" t="n">
        <v>1</v>
      </c>
      <c r="X1646" s="187" t="inlineStr">
        <is>
          <t>LOW (40%)</t>
        </is>
      </c>
      <c r="Y1646" s="187" t="inlineStr">
        <is>
          <t>NONE</t>
        </is>
      </c>
      <c r="Z1646" s="187" t="inlineStr">
        <is>
          <t>NONE</t>
        </is>
      </c>
      <c r="AA1646" s="187" t="inlineStr">
        <is>
          <t>NONE</t>
        </is>
      </c>
      <c r="AB1646" s="187" t="inlineStr">
        <is>
          <t>NONE</t>
        </is>
      </c>
      <c r="AC1646" s="187" t="n">
        <v>0</v>
      </c>
      <c r="AD1646" s="187" t="inlineStr"/>
    </row>
    <row r="1647">
      <c r="A1647" s="187" t="inlineStr">
        <is>
          <t>EMERGING_THREAT_IP</t>
        </is>
      </c>
      <c r="B1647" s="187" t="inlineStr">
        <is>
          <t>a39bf180eb6c</t>
        </is>
      </c>
      <c r="C1647" s="187" t="inlineStr">
        <is>
          <t>Emerging Threats Compromised IP: 115.245.162.218 | Sources: EMERGING_THREATS</t>
        </is>
      </c>
      <c r="D1647" s="187" t="n">
        <v>6.5</v>
      </c>
      <c r="E1647" s="187" t="inlineStr">
        <is>
          <t>HIGH</t>
        </is>
      </c>
      <c r="F1647" s="187" t="n">
        <v>3</v>
      </c>
      <c r="G1647" s="187" t="n">
        <v>2</v>
      </c>
      <c r="H1647" s="187" t="inlineStr">
        <is>
          <t>HIGH</t>
        </is>
      </c>
      <c r="I1647" s="187" t="n">
        <v>12.5</v>
      </c>
      <c r="J1647" s="187" t="inlineStr">
        <is>
          <t>NO</t>
        </is>
      </c>
      <c r="K1647" s="187" t="inlineStr">
        <is>
          <t>https://rules.emergingthreats.net/</t>
        </is>
      </c>
      <c r="L1647" s="187" t="inlineStr">
        <is>
          <t>2026-02-27 20:47</t>
        </is>
      </c>
      <c r="M1647" s="187" t="inlineStr">
        <is>
          <t>Block IP</t>
        </is>
      </c>
      <c r="N1647" s="187" t="inlineStr">
        <is>
          <t>https://rules.emergingthreats.net/blockrules/compromised-ips.txt</t>
        </is>
      </c>
      <c r="O1647" s="187" t="inlineStr">
        <is>
          <t>Block IP 115.245.162.218 at firewall | Emerging Threats compromised host</t>
        </is>
      </c>
      <c r="P1647" s="187" t="inlineStr">
        <is>
          <t>Network perimeter</t>
        </is>
      </c>
      <c r="Q1647" s="187" t="inlineStr">
        <is>
          <t>P3</t>
        </is>
      </c>
      <c r="R1647" s="187" t="inlineStr">
        <is>
          <t>🚫 Block IP at firewall immediately | 🔍 Check logs for existing connections | 🛡️ Add to threat intelligence blocklist</t>
        </is>
      </c>
      <c r="S1647" s="187" t="inlineStr">
        <is>
          <t>Check ip-api.com + AbuseIPDB for context</t>
        </is>
      </c>
      <c r="T1647" s="187" t="n">
        <v>0</v>
      </c>
      <c r="U1647" s="187" t="n">
        <v>0</v>
      </c>
      <c r="V1647" s="187" t="inlineStr">
        <is>
          <t>T1110:Brute Force | T1190:Exploit Public-Facing Application</t>
        </is>
      </c>
      <c r="W1647" s="187" t="n">
        <v>1</v>
      </c>
      <c r="X1647" s="187" t="inlineStr">
        <is>
          <t>LOW (40%)</t>
        </is>
      </c>
      <c r="Y1647" s="187" t="inlineStr">
        <is>
          <t>NONE</t>
        </is>
      </c>
      <c r="Z1647" s="187" t="inlineStr">
        <is>
          <t>NONE</t>
        </is>
      </c>
      <c r="AA1647" s="187" t="inlineStr">
        <is>
          <t>NONE</t>
        </is>
      </c>
      <c r="AB1647" s="187" t="inlineStr">
        <is>
          <t>NONE</t>
        </is>
      </c>
      <c r="AC1647" s="187" t="n">
        <v>0</v>
      </c>
      <c r="AD1647" s="187" t="inlineStr"/>
    </row>
    <row r="1648">
      <c r="A1648" s="187" t="inlineStr">
        <is>
          <t>EMERGING_THREAT_IP</t>
        </is>
      </c>
      <c r="B1648" s="187" t="inlineStr">
        <is>
          <t>c251342adada</t>
        </is>
      </c>
      <c r="C1648" s="187" t="inlineStr">
        <is>
          <t>Emerging Threats Compromised IP: 116.110.13.198 | Sources: EMERGING_THREATS</t>
        </is>
      </c>
      <c r="D1648" s="187" t="n">
        <v>6.5</v>
      </c>
      <c r="E1648" s="187" t="inlineStr">
        <is>
          <t>HIGH</t>
        </is>
      </c>
      <c r="F1648" s="187" t="n">
        <v>3</v>
      </c>
      <c r="G1648" s="187" t="n">
        <v>2</v>
      </c>
      <c r="H1648" s="187" t="inlineStr">
        <is>
          <t>HIGH</t>
        </is>
      </c>
      <c r="I1648" s="187" t="n">
        <v>12.5</v>
      </c>
      <c r="J1648" s="187" t="inlineStr">
        <is>
          <t>NO</t>
        </is>
      </c>
      <c r="K1648" s="187" t="inlineStr">
        <is>
          <t>https://rules.emergingthreats.net/</t>
        </is>
      </c>
      <c r="L1648" s="187" t="inlineStr">
        <is>
          <t>2026-02-27 20:47</t>
        </is>
      </c>
      <c r="M1648" s="187" t="inlineStr">
        <is>
          <t>Block IP</t>
        </is>
      </c>
      <c r="N1648" s="187" t="inlineStr">
        <is>
          <t>https://rules.emergingthreats.net/blockrules/compromised-ips.txt</t>
        </is>
      </c>
      <c r="O1648" s="187" t="inlineStr">
        <is>
          <t>Block IP 116.110.13.198 at firewall | Emerging Threats compromised host</t>
        </is>
      </c>
      <c r="P1648" s="187" t="inlineStr">
        <is>
          <t>Network perimeter</t>
        </is>
      </c>
      <c r="Q1648" s="187" t="inlineStr">
        <is>
          <t>P3</t>
        </is>
      </c>
      <c r="R1648" s="187" t="inlineStr">
        <is>
          <t>🚫 Block IP at firewall immediately | 🔍 Check logs for existing connections | 🛡️ Add to threat intelligence blocklist</t>
        </is>
      </c>
      <c r="S1648" s="187" t="inlineStr">
        <is>
          <t>Check ip-api.com + AbuseIPDB for context</t>
        </is>
      </c>
      <c r="T1648" s="187" t="n">
        <v>0</v>
      </c>
      <c r="U1648" s="187" t="n">
        <v>0</v>
      </c>
      <c r="V1648" s="187" t="inlineStr">
        <is>
          <t>T1110:Brute Force | T1190:Exploit Public-Facing Application</t>
        </is>
      </c>
      <c r="W1648" s="187" t="n">
        <v>1</v>
      </c>
      <c r="X1648" s="187" t="inlineStr">
        <is>
          <t>LOW (40%)</t>
        </is>
      </c>
      <c r="Y1648" s="187" t="inlineStr">
        <is>
          <t>NONE</t>
        </is>
      </c>
      <c r="Z1648" s="187" t="inlineStr">
        <is>
          <t>NONE</t>
        </is>
      </c>
      <c r="AA1648" s="187" t="inlineStr">
        <is>
          <t>NONE</t>
        </is>
      </c>
      <c r="AB1648" s="187" t="inlineStr">
        <is>
          <t>NONE</t>
        </is>
      </c>
      <c r="AC1648" s="187" t="n">
        <v>0</v>
      </c>
      <c r="AD1648" s="187" t="inlineStr"/>
    </row>
    <row r="1649">
      <c r="A1649" s="187" t="inlineStr">
        <is>
          <t>EMERGING_THREAT_IP</t>
        </is>
      </c>
      <c r="B1649" s="187" t="inlineStr">
        <is>
          <t>689af0729f7f</t>
        </is>
      </c>
      <c r="C1649" s="187" t="inlineStr">
        <is>
          <t>Emerging Threats Compromised IP: 116.110.146.223 | Sources: EMERGING_THREATS</t>
        </is>
      </c>
      <c r="D1649" s="187" t="n">
        <v>6.5</v>
      </c>
      <c r="E1649" s="187" t="inlineStr">
        <is>
          <t>HIGH</t>
        </is>
      </c>
      <c r="F1649" s="187" t="n">
        <v>3</v>
      </c>
      <c r="G1649" s="187" t="n">
        <v>2</v>
      </c>
      <c r="H1649" s="187" t="inlineStr">
        <is>
          <t>HIGH</t>
        </is>
      </c>
      <c r="I1649" s="187" t="n">
        <v>12.5</v>
      </c>
      <c r="J1649" s="187" t="inlineStr">
        <is>
          <t>NO</t>
        </is>
      </c>
      <c r="K1649" s="187" t="inlineStr">
        <is>
          <t>https://rules.emergingthreats.net/</t>
        </is>
      </c>
      <c r="L1649" s="187" t="inlineStr">
        <is>
          <t>2026-02-27 20:47</t>
        </is>
      </c>
      <c r="M1649" s="187" t="inlineStr">
        <is>
          <t>Block IP</t>
        </is>
      </c>
      <c r="N1649" s="187" t="inlineStr">
        <is>
          <t>https://rules.emergingthreats.net/blockrules/compromised-ips.txt</t>
        </is>
      </c>
      <c r="O1649" s="187" t="inlineStr">
        <is>
          <t>Block IP 116.110.146.223 at firewall | Emerging Threats compromised host</t>
        </is>
      </c>
      <c r="P1649" s="187" t="inlineStr">
        <is>
          <t>Network perimeter</t>
        </is>
      </c>
      <c r="Q1649" s="187" t="inlineStr">
        <is>
          <t>P3</t>
        </is>
      </c>
      <c r="R1649" s="187" t="inlineStr">
        <is>
          <t>🚫 Block IP at firewall immediately | 🔍 Check logs for existing connections | 🛡️ Add to threat intelligence blocklist</t>
        </is>
      </c>
      <c r="S1649" s="187" t="inlineStr">
        <is>
          <t>Check ip-api.com + AbuseIPDB for context</t>
        </is>
      </c>
      <c r="T1649" s="187" t="n">
        <v>0</v>
      </c>
      <c r="U1649" s="187" t="n">
        <v>0</v>
      </c>
      <c r="V1649" s="187" t="inlineStr">
        <is>
          <t>T1110:Brute Force | T1190:Exploit Public-Facing Application</t>
        </is>
      </c>
      <c r="W1649" s="187" t="n">
        <v>1</v>
      </c>
      <c r="X1649" s="187" t="inlineStr">
        <is>
          <t>LOW (40%)</t>
        </is>
      </c>
      <c r="Y1649" s="187" t="inlineStr">
        <is>
          <t>NONE</t>
        </is>
      </c>
      <c r="Z1649" s="187" t="inlineStr">
        <is>
          <t>NONE</t>
        </is>
      </c>
      <c r="AA1649" s="187" t="inlineStr">
        <is>
          <t>NONE</t>
        </is>
      </c>
      <c r="AB1649" s="187" t="inlineStr">
        <is>
          <t>NONE</t>
        </is>
      </c>
      <c r="AC1649" s="187" t="n">
        <v>0</v>
      </c>
      <c r="AD1649" s="187" t="inlineStr"/>
    </row>
    <row r="1650">
      <c r="A1650" s="187" t="inlineStr">
        <is>
          <t>EMERGING_THREAT_IP</t>
        </is>
      </c>
      <c r="B1650" s="187" t="inlineStr">
        <is>
          <t>b2f16ddb6fcd</t>
        </is>
      </c>
      <c r="C1650" s="187" t="inlineStr">
        <is>
          <t>Emerging Threats Compromised IP: 116.110.155.60 | Sources: EMERGING_THREATS</t>
        </is>
      </c>
      <c r="D1650" s="187" t="n">
        <v>6.5</v>
      </c>
      <c r="E1650" s="187" t="inlineStr">
        <is>
          <t>HIGH</t>
        </is>
      </c>
      <c r="F1650" s="187" t="n">
        <v>3</v>
      </c>
      <c r="G1650" s="187" t="n">
        <v>2</v>
      </c>
      <c r="H1650" s="187" t="inlineStr">
        <is>
          <t>HIGH</t>
        </is>
      </c>
      <c r="I1650" s="187" t="n">
        <v>12.5</v>
      </c>
      <c r="J1650" s="187" t="inlineStr">
        <is>
          <t>NO</t>
        </is>
      </c>
      <c r="K1650" s="187" t="inlineStr">
        <is>
          <t>https://rules.emergingthreats.net/</t>
        </is>
      </c>
      <c r="L1650" s="187" t="inlineStr">
        <is>
          <t>2026-02-27 20:47</t>
        </is>
      </c>
      <c r="M1650" s="187" t="inlineStr">
        <is>
          <t>Block IP</t>
        </is>
      </c>
      <c r="N1650" s="187" t="inlineStr">
        <is>
          <t>https://rules.emergingthreats.net/blockrules/compromised-ips.txt</t>
        </is>
      </c>
      <c r="O1650" s="187" t="inlineStr">
        <is>
          <t>Block IP 116.110.155.60 at firewall | Emerging Threats compromised host</t>
        </is>
      </c>
      <c r="P1650" s="187" t="inlineStr">
        <is>
          <t>Network perimeter</t>
        </is>
      </c>
      <c r="Q1650" s="187" t="inlineStr">
        <is>
          <t>P3</t>
        </is>
      </c>
      <c r="R1650" s="187" t="inlineStr">
        <is>
          <t>🚫 Block IP at firewall immediately | 🔍 Check logs for existing connections | 🛡️ Add to threat intelligence blocklist</t>
        </is>
      </c>
      <c r="S1650" s="187" t="inlineStr">
        <is>
          <t>Check ip-api.com + AbuseIPDB for context</t>
        </is>
      </c>
      <c r="T1650" s="187" t="n">
        <v>0</v>
      </c>
      <c r="U1650" s="187" t="n">
        <v>0</v>
      </c>
      <c r="V1650" s="187" t="inlineStr">
        <is>
          <t>T1110:Brute Force | T1190:Exploit Public-Facing Application</t>
        </is>
      </c>
      <c r="W1650" s="187" t="n">
        <v>1</v>
      </c>
      <c r="X1650" s="187" t="inlineStr">
        <is>
          <t>LOW (40%)</t>
        </is>
      </c>
      <c r="Y1650" s="187" t="inlineStr">
        <is>
          <t>NONE</t>
        </is>
      </c>
      <c r="Z1650" s="187" t="inlineStr">
        <is>
          <t>NONE</t>
        </is>
      </c>
      <c r="AA1650" s="187" t="inlineStr">
        <is>
          <t>NONE</t>
        </is>
      </c>
      <c r="AB1650" s="187" t="inlineStr">
        <is>
          <t>NONE</t>
        </is>
      </c>
      <c r="AC1650" s="187" t="n">
        <v>0</v>
      </c>
      <c r="AD1650" s="187" t="inlineStr"/>
    </row>
    <row r="1651">
      <c r="A1651" s="187" t="inlineStr">
        <is>
          <t>EMERGING_THREAT_IP</t>
        </is>
      </c>
      <c r="B1651" s="187" t="inlineStr">
        <is>
          <t>fe1a3a1be248</t>
        </is>
      </c>
      <c r="C1651" s="187" t="inlineStr">
        <is>
          <t>Emerging Threats Compromised IP: 116.110.213.68 | Sources: EMERGING_THREATS</t>
        </is>
      </c>
      <c r="D1651" s="187" t="n">
        <v>6.5</v>
      </c>
      <c r="E1651" s="187" t="inlineStr">
        <is>
          <t>HIGH</t>
        </is>
      </c>
      <c r="F1651" s="187" t="n">
        <v>3</v>
      </c>
      <c r="G1651" s="187" t="n">
        <v>2</v>
      </c>
      <c r="H1651" s="187" t="inlineStr">
        <is>
          <t>HIGH</t>
        </is>
      </c>
      <c r="I1651" s="187" t="n">
        <v>12.5</v>
      </c>
      <c r="J1651" s="187" t="inlineStr">
        <is>
          <t>NO</t>
        </is>
      </c>
      <c r="K1651" s="187" t="inlineStr">
        <is>
          <t>https://rules.emergingthreats.net/</t>
        </is>
      </c>
      <c r="L1651" s="187" t="inlineStr">
        <is>
          <t>2026-02-27 20:47</t>
        </is>
      </c>
      <c r="M1651" s="187" t="inlineStr">
        <is>
          <t>Block IP</t>
        </is>
      </c>
      <c r="N1651" s="187" t="inlineStr">
        <is>
          <t>https://rules.emergingthreats.net/blockrules/compromised-ips.txt</t>
        </is>
      </c>
      <c r="O1651" s="187" t="inlineStr">
        <is>
          <t>Block IP 116.110.213.68 at firewall | Emerging Threats compromised host</t>
        </is>
      </c>
      <c r="P1651" s="187" t="inlineStr">
        <is>
          <t>Network perimeter</t>
        </is>
      </c>
      <c r="Q1651" s="187" t="inlineStr">
        <is>
          <t>P3</t>
        </is>
      </c>
      <c r="R1651" s="187" t="inlineStr">
        <is>
          <t>🚫 Block IP at firewall immediately | 🔍 Check logs for existing connections | 🛡️ Add to threat intelligence blocklist</t>
        </is>
      </c>
      <c r="S1651" s="187" t="inlineStr">
        <is>
          <t>Check ip-api.com + AbuseIPDB for context</t>
        </is>
      </c>
      <c r="T1651" s="187" t="n">
        <v>0</v>
      </c>
      <c r="U1651" s="187" t="n">
        <v>0</v>
      </c>
      <c r="V1651" s="187" t="inlineStr">
        <is>
          <t>T1110:Brute Force | T1190:Exploit Public-Facing Application</t>
        </is>
      </c>
      <c r="W1651" s="187" t="n">
        <v>1</v>
      </c>
      <c r="X1651" s="187" t="inlineStr">
        <is>
          <t>LOW (40%)</t>
        </is>
      </c>
      <c r="Y1651" s="187" t="inlineStr">
        <is>
          <t>NONE</t>
        </is>
      </c>
      <c r="Z1651" s="187" t="inlineStr">
        <is>
          <t>NONE</t>
        </is>
      </c>
      <c r="AA1651" s="187" t="inlineStr">
        <is>
          <t>NONE</t>
        </is>
      </c>
      <c r="AB1651" s="187" t="inlineStr">
        <is>
          <t>NONE</t>
        </is>
      </c>
      <c r="AC1651" s="187" t="n">
        <v>0</v>
      </c>
      <c r="AD1651" s="187" t="inlineStr"/>
    </row>
    <row r="1652">
      <c r="A1652" s="187" t="inlineStr">
        <is>
          <t>EMERGING_THREAT_IP</t>
        </is>
      </c>
      <c r="B1652" s="187" t="inlineStr">
        <is>
          <t>c3a5ec83daeb</t>
        </is>
      </c>
      <c r="C1652" s="187" t="inlineStr">
        <is>
          <t>Emerging Threats Compromised IP: 116.110.213.79 | Sources: EMERGING_THREATS</t>
        </is>
      </c>
      <c r="D1652" s="187" t="n">
        <v>6.5</v>
      </c>
      <c r="E1652" s="187" t="inlineStr">
        <is>
          <t>HIGH</t>
        </is>
      </c>
      <c r="F1652" s="187" t="n">
        <v>3</v>
      </c>
      <c r="G1652" s="187" t="n">
        <v>2</v>
      </c>
      <c r="H1652" s="187" t="inlineStr">
        <is>
          <t>HIGH</t>
        </is>
      </c>
      <c r="I1652" s="187" t="n">
        <v>12.5</v>
      </c>
      <c r="J1652" s="187" t="inlineStr">
        <is>
          <t>NO</t>
        </is>
      </c>
      <c r="K1652" s="187" t="inlineStr">
        <is>
          <t>https://rules.emergingthreats.net/</t>
        </is>
      </c>
      <c r="L1652" s="187" t="inlineStr">
        <is>
          <t>2026-02-27 20:47</t>
        </is>
      </c>
      <c r="M1652" s="187" t="inlineStr">
        <is>
          <t>Block IP</t>
        </is>
      </c>
      <c r="N1652" s="187" t="inlineStr">
        <is>
          <t>https://rules.emergingthreats.net/blockrules/compromised-ips.txt</t>
        </is>
      </c>
      <c r="O1652" s="187" t="inlineStr">
        <is>
          <t>Block IP 116.110.213.79 at firewall | Emerging Threats compromised host</t>
        </is>
      </c>
      <c r="P1652" s="187" t="inlineStr">
        <is>
          <t>Network perimeter</t>
        </is>
      </c>
      <c r="Q1652" s="187" t="inlineStr">
        <is>
          <t>P3</t>
        </is>
      </c>
      <c r="R1652" s="187" t="inlineStr">
        <is>
          <t>🚫 Block IP at firewall immediately | 🔍 Check logs for existing connections | 🛡️ Add to threat intelligence blocklist</t>
        </is>
      </c>
      <c r="S1652" s="187" t="inlineStr">
        <is>
          <t>Check ip-api.com + AbuseIPDB for context</t>
        </is>
      </c>
      <c r="T1652" s="187" t="n">
        <v>0</v>
      </c>
      <c r="U1652" s="187" t="n">
        <v>0</v>
      </c>
      <c r="V1652" s="187" t="inlineStr">
        <is>
          <t>T1110:Brute Force | T1190:Exploit Public-Facing Application</t>
        </is>
      </c>
      <c r="W1652" s="187" t="n">
        <v>1</v>
      </c>
      <c r="X1652" s="187" t="inlineStr">
        <is>
          <t>LOW (40%)</t>
        </is>
      </c>
      <c r="Y1652" s="187" t="inlineStr">
        <is>
          <t>NONE</t>
        </is>
      </c>
      <c r="Z1652" s="187" t="inlineStr">
        <is>
          <t>NONE</t>
        </is>
      </c>
      <c r="AA1652" s="187" t="inlineStr">
        <is>
          <t>NONE</t>
        </is>
      </c>
      <c r="AB1652" s="187" t="inlineStr">
        <is>
          <t>NONE</t>
        </is>
      </c>
      <c r="AC1652" s="187" t="n">
        <v>0</v>
      </c>
      <c r="AD1652" s="187" t="inlineStr"/>
    </row>
    <row r="1653">
      <c r="A1653" s="187" t="inlineStr">
        <is>
          <t>VULNCHECK_KEV</t>
        </is>
      </c>
      <c r="B1653" s="187" t="inlineStr">
        <is>
          <t>950424e6ecc8</t>
        </is>
      </c>
      <c r="C1653" s="187" t="inlineStr">
        <is>
          <t>VulnCheck KEV:  | CVEs: CVE-2026-27542</t>
        </is>
      </c>
      <c r="D1653" s="187" t="n">
        <v>7</v>
      </c>
      <c r="E1653" s="187" t="inlineStr">
        <is>
          <t>HIGH</t>
        </is>
      </c>
      <c r="F1653" s="187" t="n">
        <v>3</v>
      </c>
      <c r="G1653" s="187" t="n">
        <v>2</v>
      </c>
      <c r="H1653" s="187" t="inlineStr">
        <is>
          <t>HIGH</t>
        </is>
      </c>
      <c r="I1653" s="187" t="n">
        <v>13</v>
      </c>
      <c r="J1653" s="187" t="inlineStr">
        <is>
          <t>YES</t>
        </is>
      </c>
      <c r="K1653" s="187" t="inlineStr">
        <is>
          <t>https://vulncheck.com/blog/vuln-check-kev</t>
        </is>
      </c>
      <c r="L1653" s="187" t="inlineStr"/>
      <c r="M1653" s="187" t="inlineStr">
        <is>
          <t>URGENT - actively exploited</t>
        </is>
      </c>
      <c r="N1653" s="187" t="inlineStr">
        <is>
          <t>https://vulncheck.com/blog/vuln-check-kev</t>
        </is>
      </c>
      <c r="O1653" s="187" t="inlineStr">
        <is>
          <t>Patch immediately - known exploited</t>
        </is>
      </c>
      <c r="P1653" s="187" t="inlineStr">
        <is>
          <t>CVE-2026-27542</t>
        </is>
      </c>
      <c r="Q1653" s="187" t="inlineStr">
        <is>
          <t>P1</t>
        </is>
      </c>
      <c r="R1653" s="187" t="inlineStr">
        <is>
          <t>🔍 Investigate and apply appropriate controls</t>
        </is>
      </c>
      <c r="S1653" s="187" t="inlineStr">
        <is>
          <t>KEV entry - check specific CVEs for IP context</t>
        </is>
      </c>
      <c r="T1653" s="187" t="n">
        <v>0</v>
      </c>
      <c r="U1653" s="187" t="n">
        <v>0</v>
      </c>
      <c r="V1653" s="187" t="inlineStr">
        <is>
          <t>T1190:Exploit Public-Facing Application</t>
        </is>
      </c>
      <c r="W1653" s="187" t="n">
        <v>2</v>
      </c>
      <c r="X1653" s="187" t="inlineStr">
        <is>
          <t>CONFIRMED (82%)</t>
        </is>
      </c>
      <c r="Y1653" s="187" t="inlineStr">
        <is>
          <t>YES</t>
        </is>
      </c>
      <c r="Z1653" s="187" t="inlineStr">
        <is>
          <t>URGENT</t>
        </is>
      </c>
      <c r="AA1653" s="187" t="inlineStr">
        <is>
          <t>https://vulncheck.com/blog/vuln-check-kev</t>
        </is>
      </c>
      <c r="AB1653" s="187" t="inlineStr">
        <is>
          <t>NONE</t>
        </is>
      </c>
      <c r="AC1653" s="187" t="n">
        <v>0</v>
      </c>
      <c r="AD1653" s="187" t="inlineStr"/>
    </row>
    <row r="1654">
      <c r="A1654" s="187" t="inlineStr">
        <is>
          <t>VULNCHECK_KEV</t>
        </is>
      </c>
      <c r="B1654" s="187" t="inlineStr">
        <is>
          <t>7960a82ce30a</t>
        </is>
      </c>
      <c r="C1654" s="187" t="inlineStr">
        <is>
          <t>VulnCheck KEV:  | CVEs: CVE-2026-27540</t>
        </is>
      </c>
      <c r="D1654" s="187" t="n">
        <v>7</v>
      </c>
      <c r="E1654" s="187" t="inlineStr">
        <is>
          <t>HIGH</t>
        </is>
      </c>
      <c r="F1654" s="187" t="n">
        <v>3</v>
      </c>
      <c r="G1654" s="187" t="n">
        <v>2</v>
      </c>
      <c r="H1654" s="187" t="inlineStr">
        <is>
          <t>HIGH</t>
        </is>
      </c>
      <c r="I1654" s="187" t="n">
        <v>13</v>
      </c>
      <c r="J1654" s="187" t="inlineStr">
        <is>
          <t>YES</t>
        </is>
      </c>
      <c r="K1654" s="187" t="inlineStr">
        <is>
          <t>https://vulncheck.com/blog/vuln-check-kev</t>
        </is>
      </c>
      <c r="L1654" s="187" t="inlineStr"/>
      <c r="M1654" s="187" t="inlineStr">
        <is>
          <t>URGENT - actively exploited</t>
        </is>
      </c>
      <c r="N1654" s="187" t="inlineStr">
        <is>
          <t>https://vulncheck.com/blog/vuln-check-kev</t>
        </is>
      </c>
      <c r="O1654" s="187" t="inlineStr">
        <is>
          <t>Patch immediately - known exploited</t>
        </is>
      </c>
      <c r="P1654" s="187" t="inlineStr">
        <is>
          <t>CVE-2026-27540</t>
        </is>
      </c>
      <c r="Q1654" s="187" t="inlineStr">
        <is>
          <t>P1</t>
        </is>
      </c>
      <c r="R1654" s="187" t="inlineStr">
        <is>
          <t>🔍 Investigate and apply appropriate controls</t>
        </is>
      </c>
      <c r="S1654" s="187" t="inlineStr">
        <is>
          <t>KEV entry - check specific CVEs for IP context</t>
        </is>
      </c>
      <c r="T1654" s="187" t="n">
        <v>0</v>
      </c>
      <c r="U1654" s="187" t="n">
        <v>0</v>
      </c>
      <c r="V1654" s="187" t="inlineStr">
        <is>
          <t>T1190:Exploit Public-Facing Application</t>
        </is>
      </c>
      <c r="W1654" s="187" t="n">
        <v>2</v>
      </c>
      <c r="X1654" s="187" t="inlineStr">
        <is>
          <t>CONFIRMED (82%)</t>
        </is>
      </c>
      <c r="Y1654" s="187" t="inlineStr">
        <is>
          <t>YES</t>
        </is>
      </c>
      <c r="Z1654" s="187" t="inlineStr">
        <is>
          <t>URGENT</t>
        </is>
      </c>
      <c r="AA1654" s="187" t="inlineStr">
        <is>
          <t>https://vulncheck.com/blog/vuln-check-kev</t>
        </is>
      </c>
      <c r="AB1654" s="187" t="inlineStr">
        <is>
          <t>NONE</t>
        </is>
      </c>
      <c r="AC1654" s="187" t="n">
        <v>0</v>
      </c>
      <c r="AD1654" s="187" t="inlineStr"/>
    </row>
    <row r="1655">
      <c r="A1655" s="187" t="inlineStr">
        <is>
          <t>VULNCHECK_KEV</t>
        </is>
      </c>
      <c r="B1655" s="187" t="inlineStr">
        <is>
          <t>f708391a9e44</t>
        </is>
      </c>
      <c r="C1655" s="187"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655" s="187" t="n">
        <v>7</v>
      </c>
      <c r="E1655" s="187" t="inlineStr">
        <is>
          <t>HIGH</t>
        </is>
      </c>
      <c r="F1655" s="187" t="n">
        <v>3</v>
      </c>
      <c r="G1655" s="187" t="n">
        <v>2</v>
      </c>
      <c r="H1655" s="187" t="inlineStr">
        <is>
          <t>HIGH</t>
        </is>
      </c>
      <c r="I1655" s="187" t="n">
        <v>13</v>
      </c>
      <c r="J1655" s="187" t="inlineStr">
        <is>
          <t>YES</t>
        </is>
      </c>
      <c r="K1655" s="187" t="inlineStr">
        <is>
          <t>https://vulncheck.com/blog/vuln-check-kev</t>
        </is>
      </c>
      <c r="L1655" s="187" t="inlineStr"/>
      <c r="M1655" s="187" t="inlineStr">
        <is>
          <t>URGENT - actively exploited</t>
        </is>
      </c>
      <c r="N1655" s="187" t="inlineStr">
        <is>
          <t>https://vulncheck.com/blog/vuln-check-kev</t>
        </is>
      </c>
      <c r="O1655" s="187" t="inlineStr">
        <is>
          <t>Patch immediately - known exploited</t>
        </is>
      </c>
      <c r="P1655" s="187" t="inlineStr">
        <is>
          <t>CVE-2026-25815</t>
        </is>
      </c>
      <c r="Q1655" s="187" t="inlineStr">
        <is>
          <t>P1</t>
        </is>
      </c>
      <c r="R1655" s="187" t="inlineStr">
        <is>
          <t>🔍 Investigate and apply appropriate controls</t>
        </is>
      </c>
      <c r="S1655" s="187" t="inlineStr">
        <is>
          <t>KEV entry - check specific CVEs for IP context</t>
        </is>
      </c>
      <c r="T1655" s="187" t="n">
        <v>0</v>
      </c>
      <c r="U1655" s="187" t="n">
        <v>0</v>
      </c>
      <c r="V1655" s="187" t="inlineStr">
        <is>
          <t>T1190:Exploit Public-Facing Application</t>
        </is>
      </c>
      <c r="W1655" s="187" t="n">
        <v>2</v>
      </c>
      <c r="X1655" s="187" t="inlineStr">
        <is>
          <t>CONFIRMED (82%)</t>
        </is>
      </c>
      <c r="Y1655" s="187" t="inlineStr">
        <is>
          <t>YES</t>
        </is>
      </c>
      <c r="Z1655" s="187" t="inlineStr">
        <is>
          <t>URGENT</t>
        </is>
      </c>
      <c r="AA1655" s="187" t="inlineStr">
        <is>
          <t>https://vulncheck.com/blog/vuln-check-kev</t>
        </is>
      </c>
      <c r="AB1655" s="187" t="inlineStr">
        <is>
          <t>NONE</t>
        </is>
      </c>
      <c r="AC1655" s="187" t="n">
        <v>0</v>
      </c>
      <c r="AD1655" s="187" t="inlineStr"/>
    </row>
    <row r="1656">
      <c r="A1656" s="187" t="inlineStr">
        <is>
          <t>VULNCHECK_KEV</t>
        </is>
      </c>
      <c r="B1656" s="187" t="inlineStr">
        <is>
          <t>b090c6c9d65f</t>
        </is>
      </c>
      <c r="C1656" s="187" t="inlineStr">
        <is>
          <t>VulnCheck KEV: OpenClaw (aka clawdbot or Moltbot) before 2026.1.29 obtains a gatewayUrl value from a query string and automatically makes a WebSocket connection without prompting, sending a token value. | CVEs: CVE-2026-25253</t>
        </is>
      </c>
      <c r="D1656" s="187" t="n">
        <v>7</v>
      </c>
      <c r="E1656" s="187" t="inlineStr">
        <is>
          <t>HIGH</t>
        </is>
      </c>
      <c r="F1656" s="187" t="n">
        <v>3</v>
      </c>
      <c r="G1656" s="187" t="n">
        <v>2</v>
      </c>
      <c r="H1656" s="187" t="inlineStr">
        <is>
          <t>HIGH</t>
        </is>
      </c>
      <c r="I1656" s="187" t="n">
        <v>13</v>
      </c>
      <c r="J1656" s="187" t="inlineStr">
        <is>
          <t>YES</t>
        </is>
      </c>
      <c r="K1656" s="187" t="inlineStr">
        <is>
          <t>https://vulncheck.com/blog/vuln-check-kev</t>
        </is>
      </c>
      <c r="L1656" s="187" t="inlineStr"/>
      <c r="M1656" s="187" t="inlineStr">
        <is>
          <t>URGENT - actively exploited</t>
        </is>
      </c>
      <c r="N1656" s="187" t="inlineStr">
        <is>
          <t>https://vulncheck.com/blog/vuln-check-kev</t>
        </is>
      </c>
      <c r="O1656" s="187" t="inlineStr">
        <is>
          <t>Patch immediately - known exploited</t>
        </is>
      </c>
      <c r="P1656" s="187" t="inlineStr">
        <is>
          <t>CVE-2026-25253</t>
        </is>
      </c>
      <c r="Q1656" s="187" t="inlineStr">
        <is>
          <t>P1</t>
        </is>
      </c>
      <c r="R1656" s="187" t="inlineStr">
        <is>
          <t>🔍 Investigate and apply appropriate controls</t>
        </is>
      </c>
      <c r="S1656" s="187" t="inlineStr">
        <is>
          <t>KEV entry - check specific CVEs for IP context</t>
        </is>
      </c>
      <c r="T1656" s="187" t="n">
        <v>0</v>
      </c>
      <c r="U1656" s="187" t="n">
        <v>0</v>
      </c>
      <c r="V1656" s="187" t="inlineStr">
        <is>
          <t>T1190:Exploit Public-Facing Application</t>
        </is>
      </c>
      <c r="W1656" s="187" t="n">
        <v>2</v>
      </c>
      <c r="X1656" s="187" t="inlineStr">
        <is>
          <t>CONFIRMED (82%)</t>
        </is>
      </c>
      <c r="Y1656" s="187" t="inlineStr">
        <is>
          <t>YES</t>
        </is>
      </c>
      <c r="Z1656" s="187" t="inlineStr">
        <is>
          <t>URGENT</t>
        </is>
      </c>
      <c r="AA1656" s="187" t="inlineStr">
        <is>
          <t>https://vulncheck.com/blog/vuln-check-kev</t>
        </is>
      </c>
      <c r="AB1656" s="187" t="inlineStr">
        <is>
          <t>NONE</t>
        </is>
      </c>
      <c r="AC1656" s="187" t="n">
        <v>0</v>
      </c>
      <c r="AD1656" s="187" t="inlineStr"/>
    </row>
    <row r="1657">
      <c r="A1657" s="187" t="inlineStr">
        <is>
          <t>VULNCHECK_KEV</t>
        </is>
      </c>
      <c r="B1657" s="187" t="inlineStr">
        <is>
          <t>cee91b1f674c</t>
        </is>
      </c>
      <c r="C1657" s="187" t="inlineStr">
        <is>
          <t>VulnCheck KEV: Soliton Systems K.K FileZen contains an OS command injection vulnerability when an user logs-in to the affected product and sends a specially crafted HTTP request. | CVEs: CVE-2026-25108</t>
        </is>
      </c>
      <c r="D1657" s="187" t="n">
        <v>7</v>
      </c>
      <c r="E1657" s="187" t="inlineStr">
        <is>
          <t>HIGH</t>
        </is>
      </c>
      <c r="F1657" s="187" t="n">
        <v>3</v>
      </c>
      <c r="G1657" s="187" t="n">
        <v>2</v>
      </c>
      <c r="H1657" s="187" t="inlineStr">
        <is>
          <t>HIGH</t>
        </is>
      </c>
      <c r="I1657" s="187" t="n">
        <v>13</v>
      </c>
      <c r="J1657" s="187" t="inlineStr">
        <is>
          <t>YES</t>
        </is>
      </c>
      <c r="K1657" s="187" t="inlineStr">
        <is>
          <t>https://vulncheck.com/blog/vuln-check-kev</t>
        </is>
      </c>
      <c r="L1657" s="187" t="inlineStr"/>
      <c r="M1657" s="187" t="inlineStr">
        <is>
          <t>URGENT - actively exploited</t>
        </is>
      </c>
      <c r="N1657" s="187" t="inlineStr">
        <is>
          <t>https://vulncheck.com/blog/vuln-check-kev</t>
        </is>
      </c>
      <c r="O1657" s="187" t="inlineStr">
        <is>
          <t>Patch immediately - known exploited</t>
        </is>
      </c>
      <c r="P1657" s="187" t="inlineStr">
        <is>
          <t>CVE-2026-25108</t>
        </is>
      </c>
      <c r="Q1657" s="187" t="inlineStr">
        <is>
          <t>P1</t>
        </is>
      </c>
      <c r="R1657" s="187" t="inlineStr">
        <is>
          <t>🔍 Investigate and apply appropriate controls</t>
        </is>
      </c>
      <c r="S1657" s="187" t="inlineStr">
        <is>
          <t>KEV entry - check specific CVEs for IP context</t>
        </is>
      </c>
      <c r="T1657" s="187" t="n">
        <v>0</v>
      </c>
      <c r="U1657" s="187" t="n">
        <v>0</v>
      </c>
      <c r="V1657" s="187" t="inlineStr">
        <is>
          <t>T1190:Exploit Public-Facing Application</t>
        </is>
      </c>
      <c r="W1657" s="187" t="n">
        <v>2</v>
      </c>
      <c r="X1657" s="187" t="inlineStr">
        <is>
          <t>CONFIRMED (82%)</t>
        </is>
      </c>
      <c r="Y1657" s="187" t="inlineStr">
        <is>
          <t>YES</t>
        </is>
      </c>
      <c r="Z1657" s="187" t="inlineStr">
        <is>
          <t>URGENT</t>
        </is>
      </c>
      <c r="AA1657" s="187" t="inlineStr">
        <is>
          <t>https://vulncheck.com/blog/vuln-check-kev</t>
        </is>
      </c>
      <c r="AB1657" s="187" t="inlineStr">
        <is>
          <t>NONE</t>
        </is>
      </c>
      <c r="AC1657" s="187" t="n">
        <v>0</v>
      </c>
      <c r="AD1657" s="187" t="inlineStr"/>
    </row>
    <row r="1658">
      <c r="A1658" s="187" t="inlineStr">
        <is>
          <t>VULNCHECK_KEV</t>
        </is>
      </c>
      <c r="B1658" s="187" t="inlineStr">
        <is>
          <t>5b14f44ef18f</t>
        </is>
      </c>
      <c r="C1658" s="187"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658" s="187" t="n">
        <v>7</v>
      </c>
      <c r="E1658" s="187" t="inlineStr">
        <is>
          <t>HIGH</t>
        </is>
      </c>
      <c r="F1658" s="187" t="n">
        <v>3</v>
      </c>
      <c r="G1658" s="187" t="n">
        <v>2</v>
      </c>
      <c r="H1658" s="187" t="inlineStr">
        <is>
          <t>HIGH</t>
        </is>
      </c>
      <c r="I1658" s="187" t="n">
        <v>13</v>
      </c>
      <c r="J1658" s="187" t="inlineStr">
        <is>
          <t>YES</t>
        </is>
      </c>
      <c r="K1658" s="187" t="inlineStr">
        <is>
          <t>https://vulncheck.com/blog/vuln-check-kev</t>
        </is>
      </c>
      <c r="L1658" s="187" t="inlineStr"/>
      <c r="M1658" s="187" t="inlineStr">
        <is>
          <t>URGENT - actively exploited</t>
        </is>
      </c>
      <c r="N1658" s="187" t="inlineStr">
        <is>
          <t>https://vulncheck.com/blog/vuln-check-kev</t>
        </is>
      </c>
      <c r="O1658" s="187" t="inlineStr">
        <is>
          <t>Patch immediately - known exploited</t>
        </is>
      </c>
      <c r="P1658" s="187" t="inlineStr">
        <is>
          <t>CVE-2026-24858</t>
        </is>
      </c>
      <c r="Q1658" s="187" t="inlineStr">
        <is>
          <t>P1</t>
        </is>
      </c>
      <c r="R1658" s="187" t="inlineStr">
        <is>
          <t>🔍 Investigate and apply appropriate controls</t>
        </is>
      </c>
      <c r="S1658" s="187" t="inlineStr">
        <is>
          <t>KEV entry - check specific CVEs for IP context</t>
        </is>
      </c>
      <c r="T1658" s="187" t="n">
        <v>0</v>
      </c>
      <c r="U1658" s="187" t="n">
        <v>0</v>
      </c>
      <c r="V1658" s="187" t="inlineStr">
        <is>
          <t>T1190:Exploit Public-Facing Application</t>
        </is>
      </c>
      <c r="W1658" s="187" t="n">
        <v>2</v>
      </c>
      <c r="X1658" s="187" t="inlineStr">
        <is>
          <t>CONFIRMED (82%)</t>
        </is>
      </c>
      <c r="Y1658" s="187" t="inlineStr">
        <is>
          <t>YES</t>
        </is>
      </c>
      <c r="Z1658" s="187" t="inlineStr">
        <is>
          <t>URGENT</t>
        </is>
      </c>
      <c r="AA1658" s="187" t="inlineStr">
        <is>
          <t>https://vulncheck.com/blog/vuln-check-kev</t>
        </is>
      </c>
      <c r="AB1658" s="187" t="inlineStr">
        <is>
          <t>NONE</t>
        </is>
      </c>
      <c r="AC1658" s="187" t="n">
        <v>0</v>
      </c>
      <c r="AD1658" s="187" t="inlineStr"/>
    </row>
    <row r="1659">
      <c r="A1659" s="187" t="inlineStr">
        <is>
          <t>VULNCHECK_KEV</t>
        </is>
      </c>
      <c r="B1659" s="187" t="inlineStr">
        <is>
          <t>7216a4375bca</t>
        </is>
      </c>
      <c r="C1659" s="187"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659" s="187" t="n">
        <v>7</v>
      </c>
      <c r="E1659" s="187" t="inlineStr">
        <is>
          <t>HIGH</t>
        </is>
      </c>
      <c r="F1659" s="187" t="n">
        <v>3</v>
      </c>
      <c r="G1659" s="187" t="n">
        <v>2</v>
      </c>
      <c r="H1659" s="187" t="inlineStr">
        <is>
          <t>HIGH</t>
        </is>
      </c>
      <c r="I1659" s="187" t="n">
        <v>13</v>
      </c>
      <c r="J1659" s="187" t="inlineStr">
        <is>
          <t>YES</t>
        </is>
      </c>
      <c r="K1659" s="187" t="inlineStr">
        <is>
          <t>https://vulncheck.com/blog/vuln-check-kev</t>
        </is>
      </c>
      <c r="L1659" s="187" t="inlineStr"/>
      <c r="M1659" s="187" t="inlineStr">
        <is>
          <t>URGENT - actively exploited</t>
        </is>
      </c>
      <c r="N1659" s="187" t="inlineStr">
        <is>
          <t>https://vulncheck.com/blog/vuln-check-kev</t>
        </is>
      </c>
      <c r="O1659" s="187" t="inlineStr">
        <is>
          <t>Patch immediately - known exploited</t>
        </is>
      </c>
      <c r="P1659" s="187" t="inlineStr">
        <is>
          <t>CVE-2026-24423</t>
        </is>
      </c>
      <c r="Q1659" s="187" t="inlineStr">
        <is>
          <t>P1</t>
        </is>
      </c>
      <c r="R1659" s="187" t="inlineStr">
        <is>
          <t>🔍 Investigate and apply appropriate controls</t>
        </is>
      </c>
      <c r="S1659" s="187" t="inlineStr">
        <is>
          <t>KEV entry - check specific CVEs for IP context</t>
        </is>
      </c>
      <c r="T1659" s="187" t="n">
        <v>0</v>
      </c>
      <c r="U1659" s="187" t="n">
        <v>0</v>
      </c>
      <c r="V1659" s="187" t="inlineStr">
        <is>
          <t>T1190:Exploit Public-Facing Application</t>
        </is>
      </c>
      <c r="W1659" s="187" t="n">
        <v>2</v>
      </c>
      <c r="X1659" s="187" t="inlineStr">
        <is>
          <t>CONFIRMED (82%)</t>
        </is>
      </c>
      <c r="Y1659" s="187" t="inlineStr">
        <is>
          <t>YES</t>
        </is>
      </c>
      <c r="Z1659" s="187" t="inlineStr">
        <is>
          <t>URGENT</t>
        </is>
      </c>
      <c r="AA1659" s="187" t="inlineStr">
        <is>
          <t>https://vulncheck.com/blog/vuln-check-kev</t>
        </is>
      </c>
      <c r="AB1659" s="187" t="inlineStr">
        <is>
          <t>NONE</t>
        </is>
      </c>
      <c r="AC1659" s="187" t="n">
        <v>0</v>
      </c>
      <c r="AD1659" s="187" t="inlineStr"/>
    </row>
    <row r="1660">
      <c r="A1660" s="187" t="inlineStr">
        <is>
          <t>VULNCHECK_KEV</t>
        </is>
      </c>
      <c r="B1660" s="187" t="inlineStr">
        <is>
          <t>792e86d42368</t>
        </is>
      </c>
      <c r="C1660" s="187"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660" s="187" t="n">
        <v>7</v>
      </c>
      <c r="E1660" s="187" t="inlineStr">
        <is>
          <t>HIGH</t>
        </is>
      </c>
      <c r="F1660" s="187" t="n">
        <v>3</v>
      </c>
      <c r="G1660" s="187" t="n">
        <v>2</v>
      </c>
      <c r="H1660" s="187" t="inlineStr">
        <is>
          <t>HIGH</t>
        </is>
      </c>
      <c r="I1660" s="187" t="n">
        <v>13</v>
      </c>
      <c r="J1660" s="187" t="inlineStr">
        <is>
          <t>YES</t>
        </is>
      </c>
      <c r="K1660" s="187" t="inlineStr">
        <is>
          <t>https://vulncheck.com/blog/vuln-check-kev</t>
        </is>
      </c>
      <c r="L1660" s="187" t="inlineStr"/>
      <c r="M1660" s="187" t="inlineStr">
        <is>
          <t>URGENT - actively exploited</t>
        </is>
      </c>
      <c r="N1660" s="187" t="inlineStr">
        <is>
          <t>https://vulncheck.com/blog/vuln-check-kev</t>
        </is>
      </c>
      <c r="O1660" s="187" t="inlineStr">
        <is>
          <t>Patch immediately - known exploited</t>
        </is>
      </c>
      <c r="P1660" s="187" t="inlineStr">
        <is>
          <t>CVE-2026-2441</t>
        </is>
      </c>
      <c r="Q1660" s="187" t="inlineStr">
        <is>
          <t>P1</t>
        </is>
      </c>
      <c r="R1660" s="187" t="inlineStr">
        <is>
          <t>🔍 Investigate and apply appropriate controls</t>
        </is>
      </c>
      <c r="S1660" s="187" t="inlineStr">
        <is>
          <t>KEV entry - check specific CVEs for IP context</t>
        </is>
      </c>
      <c r="T1660" s="187" t="n">
        <v>0</v>
      </c>
      <c r="U1660" s="187" t="n">
        <v>0</v>
      </c>
      <c r="V1660" s="187" t="inlineStr">
        <is>
          <t>T1190:Exploit Public-Facing Application</t>
        </is>
      </c>
      <c r="W1660" s="187" t="n">
        <v>2</v>
      </c>
      <c r="X1660" s="187" t="inlineStr">
        <is>
          <t>CONFIRMED (82%)</t>
        </is>
      </c>
      <c r="Y1660" s="187" t="inlineStr">
        <is>
          <t>YES</t>
        </is>
      </c>
      <c r="Z1660" s="187" t="inlineStr">
        <is>
          <t>URGENT</t>
        </is>
      </c>
      <c r="AA1660" s="187" t="inlineStr">
        <is>
          <t>https://vulncheck.com/blog/vuln-check-kev</t>
        </is>
      </c>
      <c r="AB1660" s="187" t="inlineStr">
        <is>
          <t>NONE</t>
        </is>
      </c>
      <c r="AC1660" s="187" t="n">
        <v>0</v>
      </c>
      <c r="AD1660" s="187" t="inlineStr"/>
    </row>
    <row r="1661">
      <c r="A1661" s="187" t="inlineStr">
        <is>
          <t>VULNCHECK_KEV</t>
        </is>
      </c>
      <c r="B1661" s="187" t="inlineStr">
        <is>
          <t>693cd28f6e90</t>
        </is>
      </c>
      <c r="C1661" s="187" t="inlineStr">
        <is>
          <t>VulnCheck KEV: GNU InetUtils contains an argument injection vulnerability in telnetd that could allow for remote authentication bypass via a "-f root" value for the USER environment variable. | CVEs: CVE-2026-24061</t>
        </is>
      </c>
      <c r="D1661" s="187" t="n">
        <v>7</v>
      </c>
      <c r="E1661" s="187" t="inlineStr">
        <is>
          <t>HIGH</t>
        </is>
      </c>
      <c r="F1661" s="187" t="n">
        <v>3</v>
      </c>
      <c r="G1661" s="187" t="n">
        <v>2</v>
      </c>
      <c r="H1661" s="187" t="inlineStr">
        <is>
          <t>HIGH</t>
        </is>
      </c>
      <c r="I1661" s="187" t="n">
        <v>13</v>
      </c>
      <c r="J1661" s="187" t="inlineStr">
        <is>
          <t>YES</t>
        </is>
      </c>
      <c r="K1661" s="187" t="inlineStr">
        <is>
          <t>https://vulncheck.com/blog/vuln-check-kev</t>
        </is>
      </c>
      <c r="L1661" s="187" t="inlineStr"/>
      <c r="M1661" s="187" t="inlineStr">
        <is>
          <t>URGENT - actively exploited</t>
        </is>
      </c>
      <c r="N1661" s="187" t="inlineStr">
        <is>
          <t>https://vulncheck.com/blog/vuln-check-kev</t>
        </is>
      </c>
      <c r="O1661" s="187" t="inlineStr">
        <is>
          <t>Patch immediately - known exploited</t>
        </is>
      </c>
      <c r="P1661" s="187" t="inlineStr">
        <is>
          <t>CVE-2026-24061</t>
        </is>
      </c>
      <c r="Q1661" s="187" t="inlineStr">
        <is>
          <t>P1</t>
        </is>
      </c>
      <c r="R1661" s="187" t="inlineStr">
        <is>
          <t>🔍 Investigate and apply appropriate controls</t>
        </is>
      </c>
      <c r="S1661" s="187" t="inlineStr">
        <is>
          <t>KEV entry - check specific CVEs for IP context</t>
        </is>
      </c>
      <c r="T1661" s="187" t="n">
        <v>0</v>
      </c>
      <c r="U1661" s="187" t="n">
        <v>0</v>
      </c>
      <c r="V1661" s="187" t="inlineStr">
        <is>
          <t>T1190:Exploit Public-Facing Application</t>
        </is>
      </c>
      <c r="W1661" s="187" t="n">
        <v>2</v>
      </c>
      <c r="X1661" s="187" t="inlineStr">
        <is>
          <t>CONFIRMED (82%)</t>
        </is>
      </c>
      <c r="Y1661" s="187" t="inlineStr">
        <is>
          <t>YES</t>
        </is>
      </c>
      <c r="Z1661" s="187" t="inlineStr">
        <is>
          <t>URGENT</t>
        </is>
      </c>
      <c r="AA1661" s="187" t="inlineStr">
        <is>
          <t>https://vulncheck.com/blog/vuln-check-kev</t>
        </is>
      </c>
      <c r="AB1661" s="187" t="inlineStr">
        <is>
          <t>NONE</t>
        </is>
      </c>
      <c r="AC1661" s="187" t="n">
        <v>0</v>
      </c>
      <c r="AD1661" s="187" t="inlineStr"/>
    </row>
    <row r="1662">
      <c r="A1662" s="187" t="inlineStr">
        <is>
          <t>VULNCHECK_KEV</t>
        </is>
      </c>
      <c r="B1662" s="187" t="inlineStr">
        <is>
          <t>23d9f45e272e</t>
        </is>
      </c>
      <c r="C1662" s="187" t="inlineStr">
        <is>
          <t>VulnCheck KEV: Incorrect Privilege Assignment vulnerability in Modular DS modular-connector allows Privilege Escalation.This issue affects Modular DS: from 2.5.2 before 2.6.0. | CVEs: CVE-2026-23800</t>
        </is>
      </c>
      <c r="D1662" s="187" t="n">
        <v>7</v>
      </c>
      <c r="E1662" s="187" t="inlineStr">
        <is>
          <t>HIGH</t>
        </is>
      </c>
      <c r="F1662" s="187" t="n">
        <v>3</v>
      </c>
      <c r="G1662" s="187" t="n">
        <v>2</v>
      </c>
      <c r="H1662" s="187" t="inlineStr">
        <is>
          <t>HIGH</t>
        </is>
      </c>
      <c r="I1662" s="187" t="n">
        <v>13</v>
      </c>
      <c r="J1662" s="187" t="inlineStr">
        <is>
          <t>YES</t>
        </is>
      </c>
      <c r="K1662" s="187" t="inlineStr">
        <is>
          <t>https://vulncheck.com/blog/vuln-check-kev</t>
        </is>
      </c>
      <c r="L1662" s="187" t="inlineStr"/>
      <c r="M1662" s="187" t="inlineStr">
        <is>
          <t>URGENT - actively exploited</t>
        </is>
      </c>
      <c r="N1662" s="187" t="inlineStr">
        <is>
          <t>https://vulncheck.com/blog/vuln-check-kev</t>
        </is>
      </c>
      <c r="O1662" s="187" t="inlineStr">
        <is>
          <t>Patch immediately - known exploited</t>
        </is>
      </c>
      <c r="P1662" s="187" t="inlineStr">
        <is>
          <t>CVE-2026-23800</t>
        </is>
      </c>
      <c r="Q1662" s="187" t="inlineStr">
        <is>
          <t>P1</t>
        </is>
      </c>
      <c r="R1662" s="187" t="inlineStr">
        <is>
          <t>🔍 Investigate and apply appropriate controls</t>
        </is>
      </c>
      <c r="S1662" s="187" t="inlineStr">
        <is>
          <t>KEV entry - check specific CVEs for IP context</t>
        </is>
      </c>
      <c r="T1662" s="187" t="n">
        <v>0</v>
      </c>
      <c r="U1662" s="187" t="n">
        <v>0</v>
      </c>
      <c r="V1662" s="187" t="inlineStr">
        <is>
          <t>T1190:Exploit Public-Facing Application</t>
        </is>
      </c>
      <c r="W1662" s="187" t="n">
        <v>2</v>
      </c>
      <c r="X1662" s="187" t="inlineStr">
        <is>
          <t>CONFIRMED (82%)</t>
        </is>
      </c>
      <c r="Y1662" s="187" t="inlineStr">
        <is>
          <t>YES</t>
        </is>
      </c>
      <c r="Z1662" s="187" t="inlineStr">
        <is>
          <t>URGENT</t>
        </is>
      </c>
      <c r="AA1662" s="187" t="inlineStr">
        <is>
          <t>https://vulncheck.com/blog/vuln-check-kev</t>
        </is>
      </c>
      <c r="AB1662" s="187" t="inlineStr">
        <is>
          <t>NONE</t>
        </is>
      </c>
      <c r="AC1662" s="187" t="n">
        <v>0</v>
      </c>
      <c r="AD1662" s="187" t="inlineStr"/>
    </row>
    <row r="1663">
      <c r="A1663" s="187" t="inlineStr">
        <is>
          <t>VULNCHECK_KEV</t>
        </is>
      </c>
      <c r="B1663" s="187" t="inlineStr">
        <is>
          <t>5cf1ec21b577</t>
        </is>
      </c>
      <c r="C1663" s="187"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663" s="187" t="n">
        <v>7</v>
      </c>
      <c r="E1663" s="187" t="inlineStr">
        <is>
          <t>HIGH</t>
        </is>
      </c>
      <c r="F1663" s="187" t="n">
        <v>3</v>
      </c>
      <c r="G1663" s="187" t="n">
        <v>2</v>
      </c>
      <c r="H1663" s="187" t="inlineStr">
        <is>
          <t>HIGH</t>
        </is>
      </c>
      <c r="I1663" s="187" t="n">
        <v>13</v>
      </c>
      <c r="J1663" s="187" t="inlineStr">
        <is>
          <t>YES</t>
        </is>
      </c>
      <c r="K1663" s="187" t="inlineStr">
        <is>
          <t>https://vulncheck.com/blog/vuln-check-kev</t>
        </is>
      </c>
      <c r="L1663" s="187" t="inlineStr"/>
      <c r="M1663" s="187" t="inlineStr">
        <is>
          <t>URGENT - actively exploited</t>
        </is>
      </c>
      <c r="N1663" s="187" t="inlineStr">
        <is>
          <t>https://vulncheck.com/blog/vuln-check-kev</t>
        </is>
      </c>
      <c r="O1663" s="187" t="inlineStr">
        <is>
          <t>Patch immediately - known exploited</t>
        </is>
      </c>
      <c r="P1663" s="187" t="inlineStr">
        <is>
          <t>CVE-2026-23760</t>
        </is>
      </c>
      <c r="Q1663" s="187" t="inlineStr">
        <is>
          <t>P1</t>
        </is>
      </c>
      <c r="R1663" s="187" t="inlineStr">
        <is>
          <t>🔍 Investigate and apply appropriate controls</t>
        </is>
      </c>
      <c r="S1663" s="187" t="inlineStr">
        <is>
          <t>KEV entry - check specific CVEs for IP context</t>
        </is>
      </c>
      <c r="T1663" s="187" t="n">
        <v>0</v>
      </c>
      <c r="U1663" s="187" t="n">
        <v>0</v>
      </c>
      <c r="V1663" s="187" t="inlineStr">
        <is>
          <t>T1190:Exploit Public-Facing Application</t>
        </is>
      </c>
      <c r="W1663" s="187" t="n">
        <v>2</v>
      </c>
      <c r="X1663" s="187" t="inlineStr">
        <is>
          <t>CONFIRMED (82%)</t>
        </is>
      </c>
      <c r="Y1663" s="187" t="inlineStr">
        <is>
          <t>YES</t>
        </is>
      </c>
      <c r="Z1663" s="187" t="inlineStr">
        <is>
          <t>URGENT</t>
        </is>
      </c>
      <c r="AA1663" s="187" t="inlineStr">
        <is>
          <t>https://vulncheck.com/blog/vuln-check-kev</t>
        </is>
      </c>
      <c r="AB1663" s="187" t="inlineStr">
        <is>
          <t>NONE</t>
        </is>
      </c>
      <c r="AC1663" s="187" t="n">
        <v>0</v>
      </c>
      <c r="AD1663" s="187" t="inlineStr"/>
    </row>
    <row r="1664">
      <c r="A1664" s="187" t="inlineStr">
        <is>
          <t>VULNCHECK_KEV</t>
        </is>
      </c>
      <c r="B1664" s="187" t="inlineStr">
        <is>
          <t>1f4d494859cc</t>
        </is>
      </c>
      <c r="C1664" s="187"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664" s="187" t="n">
        <v>7</v>
      </c>
      <c r="E1664" s="187" t="inlineStr">
        <is>
          <t>HIGH</t>
        </is>
      </c>
      <c r="F1664" s="187" t="n">
        <v>3</v>
      </c>
      <c r="G1664" s="187" t="n">
        <v>2</v>
      </c>
      <c r="H1664" s="187" t="inlineStr">
        <is>
          <t>HIGH</t>
        </is>
      </c>
      <c r="I1664" s="187" t="n">
        <v>13</v>
      </c>
      <c r="J1664" s="187" t="inlineStr">
        <is>
          <t>YES</t>
        </is>
      </c>
      <c r="K1664" s="187" t="inlineStr">
        <is>
          <t>https://vulncheck.com/blog/vuln-check-kev</t>
        </is>
      </c>
      <c r="L1664" s="187" t="inlineStr"/>
      <c r="M1664" s="187" t="inlineStr">
        <is>
          <t>URGENT - actively exploited</t>
        </is>
      </c>
      <c r="N1664" s="187" t="inlineStr">
        <is>
          <t>https://vulncheck.com/blog/vuln-check-kev</t>
        </is>
      </c>
      <c r="O1664" s="187" t="inlineStr">
        <is>
          <t>Patch immediately - known exploited</t>
        </is>
      </c>
      <c r="P1664" s="187" t="inlineStr">
        <is>
          <t>CVE-2026-23744</t>
        </is>
      </c>
      <c r="Q1664" s="187" t="inlineStr">
        <is>
          <t>P1</t>
        </is>
      </c>
      <c r="R1664" s="187" t="inlineStr">
        <is>
          <t>🔍 Investigate and apply appropriate controls</t>
        </is>
      </c>
      <c r="S1664" s="187" t="inlineStr">
        <is>
          <t>KEV entry - check specific CVEs for IP context</t>
        </is>
      </c>
      <c r="T1664" s="187" t="n">
        <v>0</v>
      </c>
      <c r="U1664" s="187" t="n">
        <v>0</v>
      </c>
      <c r="V1664" s="187" t="inlineStr">
        <is>
          <t>T1190:Exploit Public-Facing Application</t>
        </is>
      </c>
      <c r="W1664" s="187" t="n">
        <v>2</v>
      </c>
      <c r="X1664" s="187" t="inlineStr">
        <is>
          <t>CONFIRMED (82%)</t>
        </is>
      </c>
      <c r="Y1664" s="187" t="inlineStr">
        <is>
          <t>YES</t>
        </is>
      </c>
      <c r="Z1664" s="187" t="inlineStr">
        <is>
          <t>URGENT</t>
        </is>
      </c>
      <c r="AA1664" s="187" t="inlineStr">
        <is>
          <t>https://vulncheck.com/blog/vuln-check-kev</t>
        </is>
      </c>
      <c r="AB1664" s="187" t="inlineStr">
        <is>
          <t>NONE</t>
        </is>
      </c>
      <c r="AC1664" s="187" t="n">
        <v>0</v>
      </c>
      <c r="AD1664" s="187" t="inlineStr"/>
    </row>
    <row r="1665">
      <c r="A1665" s="187" t="inlineStr">
        <is>
          <t>VULNCHECK_KEV</t>
        </is>
      </c>
      <c r="B1665" s="187" t="inlineStr">
        <is>
          <t>b49d35435cd1</t>
        </is>
      </c>
      <c r="C1665" s="187" t="inlineStr">
        <is>
          <t>VulnCheck KEV: Incorrect Privilege Assignment vulnerability in Modular DS allows Privilege Escalation.This issue affects Modular DS: from n/a through 2.5.1. | CVEs: CVE-2026-23550</t>
        </is>
      </c>
      <c r="D1665" s="187" t="n">
        <v>7</v>
      </c>
      <c r="E1665" s="187" t="inlineStr">
        <is>
          <t>HIGH</t>
        </is>
      </c>
      <c r="F1665" s="187" t="n">
        <v>3</v>
      </c>
      <c r="G1665" s="187" t="n">
        <v>2</v>
      </c>
      <c r="H1665" s="187" t="inlineStr">
        <is>
          <t>HIGH</t>
        </is>
      </c>
      <c r="I1665" s="187" t="n">
        <v>13</v>
      </c>
      <c r="J1665" s="187" t="inlineStr">
        <is>
          <t>YES</t>
        </is>
      </c>
      <c r="K1665" s="187" t="inlineStr">
        <is>
          <t>https://vulncheck.com/blog/vuln-check-kev</t>
        </is>
      </c>
      <c r="L1665" s="187" t="inlineStr"/>
      <c r="M1665" s="187" t="inlineStr">
        <is>
          <t>URGENT - actively exploited</t>
        </is>
      </c>
      <c r="N1665" s="187" t="inlineStr">
        <is>
          <t>https://vulncheck.com/blog/vuln-check-kev</t>
        </is>
      </c>
      <c r="O1665" s="187" t="inlineStr">
        <is>
          <t>Patch immediately - known exploited</t>
        </is>
      </c>
      <c r="P1665" s="187" t="inlineStr">
        <is>
          <t>CVE-2026-23550</t>
        </is>
      </c>
      <c r="Q1665" s="187" t="inlineStr">
        <is>
          <t>P1</t>
        </is>
      </c>
      <c r="R1665" s="187" t="inlineStr">
        <is>
          <t>🔍 Investigate and apply appropriate controls</t>
        </is>
      </c>
      <c r="S1665" s="187" t="inlineStr">
        <is>
          <t>KEV entry - check specific CVEs for IP context</t>
        </is>
      </c>
      <c r="T1665" s="187" t="n">
        <v>0</v>
      </c>
      <c r="U1665" s="187" t="n">
        <v>0</v>
      </c>
      <c r="V1665" s="187" t="inlineStr">
        <is>
          <t>T1190:Exploit Public-Facing Application</t>
        </is>
      </c>
      <c r="W1665" s="187" t="n">
        <v>2</v>
      </c>
      <c r="X1665" s="187" t="inlineStr">
        <is>
          <t>CONFIRMED (82%)</t>
        </is>
      </c>
      <c r="Y1665" s="187" t="inlineStr">
        <is>
          <t>YES</t>
        </is>
      </c>
      <c r="Z1665" s="187" t="inlineStr">
        <is>
          <t>URGENT</t>
        </is>
      </c>
      <c r="AA1665" s="187" t="inlineStr">
        <is>
          <t>https://vulncheck.com/blog/vuln-check-kev</t>
        </is>
      </c>
      <c r="AB1665" s="187" t="inlineStr">
        <is>
          <t>NONE</t>
        </is>
      </c>
      <c r="AC1665" s="187" t="n">
        <v>0</v>
      </c>
      <c r="AD1665" s="187" t="inlineStr"/>
    </row>
    <row r="1666">
      <c r="A1666" s="187" t="inlineStr">
        <is>
          <t>VULNCHECK_KEV</t>
        </is>
      </c>
      <c r="B1666" s="187" t="inlineStr">
        <is>
          <t>cea8b06eb756</t>
        </is>
      </c>
      <c r="C1666" s="187"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666" s="187" t="n">
        <v>7</v>
      </c>
      <c r="E1666" s="187" t="inlineStr">
        <is>
          <t>HIGH</t>
        </is>
      </c>
      <c r="F1666" s="187" t="n">
        <v>3</v>
      </c>
      <c r="G1666" s="187" t="n">
        <v>2</v>
      </c>
      <c r="H1666" s="187" t="inlineStr">
        <is>
          <t>HIGH</t>
        </is>
      </c>
      <c r="I1666" s="187" t="n">
        <v>13</v>
      </c>
      <c r="J1666" s="187" t="inlineStr">
        <is>
          <t>YES</t>
        </is>
      </c>
      <c r="K1666" s="187" t="inlineStr">
        <is>
          <t>https://vulncheck.com/blog/vuln-check-kev</t>
        </is>
      </c>
      <c r="L1666" s="187" t="inlineStr"/>
      <c r="M1666" s="187" t="inlineStr">
        <is>
          <t>URGENT - actively exploited</t>
        </is>
      </c>
      <c r="N1666" s="187" t="inlineStr">
        <is>
          <t>https://vulncheck.com/blog/vuln-check-kev</t>
        </is>
      </c>
      <c r="O1666" s="187" t="inlineStr">
        <is>
          <t>Patch immediately - known exploited</t>
        </is>
      </c>
      <c r="P1666" s="187" t="inlineStr">
        <is>
          <t>CVE-2026-22769</t>
        </is>
      </c>
      <c r="Q1666" s="187" t="inlineStr">
        <is>
          <t>P1</t>
        </is>
      </c>
      <c r="R1666" s="187" t="inlineStr">
        <is>
          <t>🔍 Investigate and apply appropriate controls</t>
        </is>
      </c>
      <c r="S1666" s="187" t="inlineStr">
        <is>
          <t>KEV entry - check specific CVEs for IP context</t>
        </is>
      </c>
      <c r="T1666" s="187" t="n">
        <v>0</v>
      </c>
      <c r="U1666" s="187" t="n">
        <v>0</v>
      </c>
      <c r="V1666" s="187" t="inlineStr">
        <is>
          <t>T1190:Exploit Public-Facing Application</t>
        </is>
      </c>
      <c r="W1666" s="187" t="n">
        <v>2</v>
      </c>
      <c r="X1666" s="187" t="inlineStr">
        <is>
          <t>CONFIRMED (82%)</t>
        </is>
      </c>
      <c r="Y1666" s="187" t="inlineStr">
        <is>
          <t>YES</t>
        </is>
      </c>
      <c r="Z1666" s="187" t="inlineStr">
        <is>
          <t>URGENT</t>
        </is>
      </c>
      <c r="AA1666" s="187" t="inlineStr">
        <is>
          <t>https://vulncheck.com/blog/vuln-check-kev</t>
        </is>
      </c>
      <c r="AB1666" s="187" t="inlineStr">
        <is>
          <t>NONE</t>
        </is>
      </c>
      <c r="AC1666" s="187" t="n">
        <v>0</v>
      </c>
      <c r="AD1666" s="187" t="inlineStr"/>
    </row>
    <row r="1667">
      <c r="A1667" s="187" t="inlineStr">
        <is>
          <t>VULNCHECK_KEV</t>
        </is>
      </c>
      <c r="B1667" s="187" t="inlineStr">
        <is>
          <t>55eecf6fae85</t>
        </is>
      </c>
      <c r="C1667" s="187"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667" s="187" t="n">
        <v>7</v>
      </c>
      <c r="E1667" s="187" t="inlineStr">
        <is>
          <t>HIGH</t>
        </is>
      </c>
      <c r="F1667" s="187" t="n">
        <v>3</v>
      </c>
      <c r="G1667" s="187" t="n">
        <v>2</v>
      </c>
      <c r="H1667" s="187" t="inlineStr">
        <is>
          <t>HIGH</t>
        </is>
      </c>
      <c r="I1667" s="187" t="n">
        <v>13</v>
      </c>
      <c r="J1667" s="187" t="inlineStr">
        <is>
          <t>YES</t>
        </is>
      </c>
      <c r="K1667" s="187" t="inlineStr">
        <is>
          <t>https://vulncheck.com/blog/vuln-check-kev</t>
        </is>
      </c>
      <c r="L1667" s="187" t="inlineStr"/>
      <c r="M1667" s="187" t="inlineStr">
        <is>
          <t>URGENT - actively exploited</t>
        </is>
      </c>
      <c r="N1667" s="187" t="inlineStr">
        <is>
          <t>https://vulncheck.com/blog/vuln-check-kev</t>
        </is>
      </c>
      <c r="O1667" s="187" t="inlineStr">
        <is>
          <t>Patch immediately - known exploited</t>
        </is>
      </c>
      <c r="P1667" s="187" t="inlineStr">
        <is>
          <t>CVE-2026-21962</t>
        </is>
      </c>
      <c r="Q1667" s="187" t="inlineStr">
        <is>
          <t>P1</t>
        </is>
      </c>
      <c r="R1667" s="187" t="inlineStr">
        <is>
          <t>🔍 Investigate and apply appropriate controls</t>
        </is>
      </c>
      <c r="S1667" s="187" t="inlineStr">
        <is>
          <t>KEV entry - check specific CVEs for IP context</t>
        </is>
      </c>
      <c r="T1667" s="187" t="n">
        <v>0</v>
      </c>
      <c r="U1667" s="187" t="n">
        <v>0</v>
      </c>
      <c r="V1667" s="187" t="inlineStr">
        <is>
          <t>T1190:Exploit Public-Facing Application</t>
        </is>
      </c>
      <c r="W1667" s="187" t="n">
        <v>2</v>
      </c>
      <c r="X1667" s="187" t="inlineStr">
        <is>
          <t>CONFIRMED (82%)</t>
        </is>
      </c>
      <c r="Y1667" s="187" t="inlineStr">
        <is>
          <t>YES</t>
        </is>
      </c>
      <c r="Z1667" s="187" t="inlineStr">
        <is>
          <t>URGENT</t>
        </is>
      </c>
      <c r="AA1667" s="187" t="inlineStr">
        <is>
          <t>https://vulncheck.com/blog/vuln-check-kev</t>
        </is>
      </c>
      <c r="AB1667" s="187" t="inlineStr">
        <is>
          <t>NONE</t>
        </is>
      </c>
      <c r="AC1667" s="187" t="n">
        <v>0</v>
      </c>
      <c r="AD1667" s="187" t="inlineStr"/>
    </row>
    <row r="1668">
      <c r="A1668" s="187" t="inlineStr">
        <is>
          <t>VULNCHECK_KEV</t>
        </is>
      </c>
      <c r="B1668" s="187" t="inlineStr">
        <is>
          <t>eef05c51ff9a</t>
        </is>
      </c>
      <c r="C1668" s="187"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668" s="187" t="n">
        <v>7</v>
      </c>
      <c r="E1668" s="187" t="inlineStr">
        <is>
          <t>HIGH</t>
        </is>
      </c>
      <c r="F1668" s="187" t="n">
        <v>3</v>
      </c>
      <c r="G1668" s="187" t="n">
        <v>2</v>
      </c>
      <c r="H1668" s="187" t="inlineStr">
        <is>
          <t>HIGH</t>
        </is>
      </c>
      <c r="I1668" s="187" t="n">
        <v>13</v>
      </c>
      <c r="J1668" s="187" t="inlineStr">
        <is>
          <t>YES</t>
        </is>
      </c>
      <c r="K1668" s="187" t="inlineStr">
        <is>
          <t>https://vulncheck.com/blog/vuln-check-kev</t>
        </is>
      </c>
      <c r="L1668" s="187" t="inlineStr"/>
      <c r="M1668" s="187" t="inlineStr">
        <is>
          <t>URGENT - actively exploited</t>
        </is>
      </c>
      <c r="N1668" s="187" t="inlineStr">
        <is>
          <t>https://vulncheck.com/blog/vuln-check-kev</t>
        </is>
      </c>
      <c r="O1668" s="187" t="inlineStr">
        <is>
          <t>Patch immediately - known exploited</t>
        </is>
      </c>
      <c r="P1668" s="187" t="inlineStr">
        <is>
          <t>CVE-2026-21859</t>
        </is>
      </c>
      <c r="Q1668" s="187" t="inlineStr">
        <is>
          <t>P1</t>
        </is>
      </c>
      <c r="R1668" s="187" t="inlineStr">
        <is>
          <t>🔍 Investigate and apply appropriate controls</t>
        </is>
      </c>
      <c r="S1668" s="187" t="inlineStr">
        <is>
          <t>KEV entry - check specific CVEs for IP context</t>
        </is>
      </c>
      <c r="T1668" s="187" t="n">
        <v>0</v>
      </c>
      <c r="U1668" s="187" t="n">
        <v>0</v>
      </c>
      <c r="V1668" s="187" t="inlineStr">
        <is>
          <t>T1190:Exploit Public-Facing Application</t>
        </is>
      </c>
      <c r="W1668" s="187" t="n">
        <v>2</v>
      </c>
      <c r="X1668" s="187" t="inlineStr">
        <is>
          <t>CONFIRMED (82%)</t>
        </is>
      </c>
      <c r="Y1668" s="187" t="inlineStr">
        <is>
          <t>YES</t>
        </is>
      </c>
      <c r="Z1668" s="187" t="inlineStr">
        <is>
          <t>URGENT</t>
        </is>
      </c>
      <c r="AA1668" s="187" t="inlineStr">
        <is>
          <t>https://vulncheck.com/blog/vuln-check-kev</t>
        </is>
      </c>
      <c r="AB1668" s="187" t="inlineStr">
        <is>
          <t>NONE</t>
        </is>
      </c>
      <c r="AC1668" s="187" t="n">
        <v>0</v>
      </c>
      <c r="AD1668" s="187" t="inlineStr"/>
    </row>
    <row r="1669">
      <c r="A1669" s="187" t="inlineStr">
        <is>
          <t>VULNCHECK_KEV</t>
        </is>
      </c>
      <c r="B1669" s="187" t="inlineStr">
        <is>
          <t>243096ea782b</t>
        </is>
      </c>
      <c r="C1669" s="187"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669" s="187" t="n">
        <v>7</v>
      </c>
      <c r="E1669" s="187" t="inlineStr">
        <is>
          <t>HIGH</t>
        </is>
      </c>
      <c r="F1669" s="187" t="n">
        <v>3</v>
      </c>
      <c r="G1669" s="187" t="n">
        <v>2</v>
      </c>
      <c r="H1669" s="187" t="inlineStr">
        <is>
          <t>HIGH</t>
        </is>
      </c>
      <c r="I1669" s="187" t="n">
        <v>13</v>
      </c>
      <c r="J1669" s="187" t="inlineStr">
        <is>
          <t>YES</t>
        </is>
      </c>
      <c r="K1669" s="187" t="inlineStr">
        <is>
          <t>https://vulncheck.com/blog/vuln-check-kev</t>
        </is>
      </c>
      <c r="L1669" s="187" t="inlineStr"/>
      <c r="M1669" s="187" t="inlineStr">
        <is>
          <t>URGENT - actively exploited</t>
        </is>
      </c>
      <c r="N1669" s="187" t="inlineStr">
        <is>
          <t>https://vulncheck.com/blog/vuln-check-kev</t>
        </is>
      </c>
      <c r="O1669" s="187" t="inlineStr">
        <is>
          <t>Patch immediately - known exploited</t>
        </is>
      </c>
      <c r="P1669" s="187" t="inlineStr">
        <is>
          <t>CVE-2026-21858</t>
        </is>
      </c>
      <c r="Q1669" s="187" t="inlineStr">
        <is>
          <t>P1</t>
        </is>
      </c>
      <c r="R1669" s="187" t="inlineStr">
        <is>
          <t>🔍 Investigate and apply appropriate controls</t>
        </is>
      </c>
      <c r="S1669" s="187" t="inlineStr">
        <is>
          <t>KEV entry - check specific CVEs for IP context</t>
        </is>
      </c>
      <c r="T1669" s="187" t="n">
        <v>0</v>
      </c>
      <c r="U1669" s="187" t="n">
        <v>0</v>
      </c>
      <c r="V1669" s="187" t="inlineStr">
        <is>
          <t>T1190:Exploit Public-Facing Application</t>
        </is>
      </c>
      <c r="W1669" s="187" t="n">
        <v>2</v>
      </c>
      <c r="X1669" s="187" t="inlineStr">
        <is>
          <t>CONFIRMED (82%)</t>
        </is>
      </c>
      <c r="Y1669" s="187" t="inlineStr">
        <is>
          <t>YES</t>
        </is>
      </c>
      <c r="Z1669" s="187" t="inlineStr">
        <is>
          <t>URGENT</t>
        </is>
      </c>
      <c r="AA1669" s="187" t="inlineStr">
        <is>
          <t>https://vulncheck.com/blog/vuln-check-kev</t>
        </is>
      </c>
      <c r="AB1669" s="187" t="inlineStr">
        <is>
          <t>NONE</t>
        </is>
      </c>
      <c r="AC1669" s="187" t="n">
        <v>0</v>
      </c>
      <c r="AD1669" s="187" t="inlineStr"/>
    </row>
    <row r="1670">
      <c r="A1670" s="187" t="inlineStr">
        <is>
          <t>VULNCHECK_KEV</t>
        </is>
      </c>
      <c r="B1670" s="187" t="inlineStr">
        <is>
          <t>69cfbfe107e1</t>
        </is>
      </c>
      <c r="C1670" s="187" t="inlineStr">
        <is>
          <t>VulnCheck KEV: Microsoft Windows Remote Desktop Services contains an improper privilege management vulnerability that could allow an authorized attacker to elevate privileges locally. | CVEs: CVE-2026-21533</t>
        </is>
      </c>
      <c r="D1670" s="187" t="n">
        <v>7</v>
      </c>
      <c r="E1670" s="187" t="inlineStr">
        <is>
          <t>HIGH</t>
        </is>
      </c>
      <c r="F1670" s="187" t="n">
        <v>3</v>
      </c>
      <c r="G1670" s="187" t="n">
        <v>2</v>
      </c>
      <c r="H1670" s="187" t="inlineStr">
        <is>
          <t>HIGH</t>
        </is>
      </c>
      <c r="I1670" s="187" t="n">
        <v>13</v>
      </c>
      <c r="J1670" s="187" t="inlineStr">
        <is>
          <t>YES</t>
        </is>
      </c>
      <c r="K1670" s="187" t="inlineStr">
        <is>
          <t>https://vulncheck.com/blog/vuln-check-kev</t>
        </is>
      </c>
      <c r="L1670" s="187" t="inlineStr"/>
      <c r="M1670" s="187" t="inlineStr">
        <is>
          <t>URGENT - actively exploited</t>
        </is>
      </c>
      <c r="N1670" s="187" t="inlineStr">
        <is>
          <t>https://vulncheck.com/blog/vuln-check-kev</t>
        </is>
      </c>
      <c r="O1670" s="187" t="inlineStr">
        <is>
          <t>Patch immediately - known exploited</t>
        </is>
      </c>
      <c r="P1670" s="187" t="inlineStr">
        <is>
          <t>CVE-2026-21533</t>
        </is>
      </c>
      <c r="Q1670" s="187" t="inlineStr">
        <is>
          <t>P1</t>
        </is>
      </c>
      <c r="R1670" s="187" t="inlineStr">
        <is>
          <t>🔍 Investigate and apply appropriate controls</t>
        </is>
      </c>
      <c r="S1670" s="187" t="inlineStr">
        <is>
          <t>KEV entry - check specific CVEs for IP context</t>
        </is>
      </c>
      <c r="T1670" s="187" t="n">
        <v>0</v>
      </c>
      <c r="U1670" s="187" t="n">
        <v>0</v>
      </c>
      <c r="V1670" s="187" t="inlineStr">
        <is>
          <t>T1190:Exploit Public-Facing Application</t>
        </is>
      </c>
      <c r="W1670" s="187" t="n">
        <v>2</v>
      </c>
      <c r="X1670" s="187" t="inlineStr">
        <is>
          <t>CONFIRMED (82%)</t>
        </is>
      </c>
      <c r="Y1670" s="187" t="inlineStr">
        <is>
          <t>YES</t>
        </is>
      </c>
      <c r="Z1670" s="187" t="inlineStr">
        <is>
          <t>URGENT</t>
        </is>
      </c>
      <c r="AA1670" s="187" t="inlineStr">
        <is>
          <t>https://vulncheck.com/blog/vuln-check-kev</t>
        </is>
      </c>
      <c r="AB1670" s="187" t="inlineStr">
        <is>
          <t>NONE</t>
        </is>
      </c>
      <c r="AC1670" s="187" t="n">
        <v>0</v>
      </c>
      <c r="AD1670" s="187" t="inlineStr"/>
    </row>
    <row r="1671">
      <c r="A1671" s="187" t="inlineStr">
        <is>
          <t>VULNCHECK_KEV</t>
        </is>
      </c>
      <c r="B1671" s="187" t="inlineStr">
        <is>
          <t>0ab1b88545d6</t>
        </is>
      </c>
      <c r="C1671" s="187" t="inlineStr">
        <is>
          <t>VulnCheck KEV: Microsoft Windows Remote Access Connection Manager contains a NULL pointer dereference that could allow an unauthorized attacker to deny service locally. | CVEs: CVE-2026-21525</t>
        </is>
      </c>
      <c r="D1671" s="187" t="n">
        <v>7</v>
      </c>
      <c r="E1671" s="187" t="inlineStr">
        <is>
          <t>HIGH</t>
        </is>
      </c>
      <c r="F1671" s="187" t="n">
        <v>3</v>
      </c>
      <c r="G1671" s="187" t="n">
        <v>2</v>
      </c>
      <c r="H1671" s="187" t="inlineStr">
        <is>
          <t>HIGH</t>
        </is>
      </c>
      <c r="I1671" s="187" t="n">
        <v>13</v>
      </c>
      <c r="J1671" s="187" t="inlineStr">
        <is>
          <t>YES</t>
        </is>
      </c>
      <c r="K1671" s="187" t="inlineStr">
        <is>
          <t>https://vulncheck.com/blog/vuln-check-kev</t>
        </is>
      </c>
      <c r="L1671" s="187" t="inlineStr"/>
      <c r="M1671" s="187" t="inlineStr">
        <is>
          <t>URGENT - actively exploited</t>
        </is>
      </c>
      <c r="N1671" s="187" t="inlineStr">
        <is>
          <t>https://vulncheck.com/blog/vuln-check-kev</t>
        </is>
      </c>
      <c r="O1671" s="187" t="inlineStr">
        <is>
          <t>Patch immediately - known exploited</t>
        </is>
      </c>
      <c r="P1671" s="187" t="inlineStr">
        <is>
          <t>CVE-2026-21525</t>
        </is>
      </c>
      <c r="Q1671" s="187" t="inlineStr">
        <is>
          <t>P1</t>
        </is>
      </c>
      <c r="R1671" s="187" t="inlineStr">
        <is>
          <t>🔍 Investigate and apply appropriate controls</t>
        </is>
      </c>
      <c r="S1671" s="187" t="inlineStr">
        <is>
          <t>KEV entry - check specific CVEs for IP context</t>
        </is>
      </c>
      <c r="T1671" s="187" t="n">
        <v>0</v>
      </c>
      <c r="U1671" s="187" t="n">
        <v>0</v>
      </c>
      <c r="V1671" s="187" t="inlineStr">
        <is>
          <t>T1190:Exploit Public-Facing Application</t>
        </is>
      </c>
      <c r="W1671" s="187" t="n">
        <v>2</v>
      </c>
      <c r="X1671" s="187" t="inlineStr">
        <is>
          <t>CONFIRMED (82%)</t>
        </is>
      </c>
      <c r="Y1671" s="187" t="inlineStr">
        <is>
          <t>YES</t>
        </is>
      </c>
      <c r="Z1671" s="187" t="inlineStr">
        <is>
          <t>URGENT</t>
        </is>
      </c>
      <c r="AA1671" s="187" t="inlineStr">
        <is>
          <t>https://vulncheck.com/blog/vuln-check-kev</t>
        </is>
      </c>
      <c r="AB1671" s="187" t="inlineStr">
        <is>
          <t>NONE</t>
        </is>
      </c>
      <c r="AC1671" s="187" t="n">
        <v>0</v>
      </c>
      <c r="AD1671" s="187" t="inlineStr"/>
    </row>
    <row r="1672">
      <c r="A1672" s="187" t="inlineStr">
        <is>
          <t>VULNCHECK_KEV</t>
        </is>
      </c>
      <c r="B1672" s="187" t="inlineStr">
        <is>
          <t>85f634fd5bfa</t>
        </is>
      </c>
      <c r="C1672" s="187" t="inlineStr">
        <is>
          <t>VulnCheck KEV: Microsoft Desktop Windows Manager contains a type confusion vulnerability that could allow an authorized attacker to elevate privileges locally. | CVEs: CVE-2026-21519</t>
        </is>
      </c>
      <c r="D1672" s="187" t="n">
        <v>7</v>
      </c>
      <c r="E1672" s="187" t="inlineStr">
        <is>
          <t>HIGH</t>
        </is>
      </c>
      <c r="F1672" s="187" t="n">
        <v>3</v>
      </c>
      <c r="G1672" s="187" t="n">
        <v>2</v>
      </c>
      <c r="H1672" s="187" t="inlineStr">
        <is>
          <t>HIGH</t>
        </is>
      </c>
      <c r="I1672" s="187" t="n">
        <v>13</v>
      </c>
      <c r="J1672" s="187" t="inlineStr">
        <is>
          <t>YES</t>
        </is>
      </c>
      <c r="K1672" s="187" t="inlineStr">
        <is>
          <t>https://vulncheck.com/blog/vuln-check-kev</t>
        </is>
      </c>
      <c r="L1672" s="187" t="inlineStr"/>
      <c r="M1672" s="187" t="inlineStr">
        <is>
          <t>URGENT - actively exploited</t>
        </is>
      </c>
      <c r="N1672" s="187" t="inlineStr">
        <is>
          <t>https://vulncheck.com/blog/vuln-check-kev</t>
        </is>
      </c>
      <c r="O1672" s="187" t="inlineStr">
        <is>
          <t>Patch immediately - known exploited</t>
        </is>
      </c>
      <c r="P1672" s="187" t="inlineStr">
        <is>
          <t>CVE-2026-21519</t>
        </is>
      </c>
      <c r="Q1672" s="187" t="inlineStr">
        <is>
          <t>P1</t>
        </is>
      </c>
      <c r="R1672" s="187" t="inlineStr">
        <is>
          <t>🔍 Investigate and apply appropriate controls</t>
        </is>
      </c>
      <c r="S1672" s="187" t="inlineStr">
        <is>
          <t>KEV entry - check specific CVEs for IP context</t>
        </is>
      </c>
      <c r="T1672" s="187" t="n">
        <v>0</v>
      </c>
      <c r="U1672" s="187" t="n">
        <v>0</v>
      </c>
      <c r="V1672" s="187" t="inlineStr">
        <is>
          <t>T1190:Exploit Public-Facing Application</t>
        </is>
      </c>
      <c r="W1672" s="187" t="n">
        <v>2</v>
      </c>
      <c r="X1672" s="187" t="inlineStr">
        <is>
          <t>CONFIRMED (82%)</t>
        </is>
      </c>
      <c r="Y1672" s="187" t="inlineStr">
        <is>
          <t>YES</t>
        </is>
      </c>
      <c r="Z1672" s="187" t="inlineStr">
        <is>
          <t>URGENT</t>
        </is>
      </c>
      <c r="AA1672" s="187" t="inlineStr">
        <is>
          <t>https://vulncheck.com/blog/vuln-check-kev</t>
        </is>
      </c>
      <c r="AB1672" s="187" t="inlineStr">
        <is>
          <t>NONE</t>
        </is>
      </c>
      <c r="AC1672" s="187" t="n">
        <v>0</v>
      </c>
      <c r="AD1672" s="187" t="inlineStr"/>
    </row>
    <row r="1673">
      <c r="A1673" s="187" t="inlineStr">
        <is>
          <t>FIREWALL_ADVISORY</t>
        </is>
      </c>
      <c r="B1673" s="187" t="inlineStr">
        <is>
          <t>PAN-ADV</t>
        </is>
      </c>
      <c r="C1673" s="187" t="inlineStr">
        <is>
          <t>PAN Advisory: PAN-OS: Memory Corruption Vulnerability in GlobalProtect Clientless VPN During SAML Authentication</t>
        </is>
      </c>
      <c r="D1673" s="187" t="n">
        <v>7.5</v>
      </c>
      <c r="E1673" s="187" t="inlineStr">
        <is>
          <t>HIGH</t>
        </is>
      </c>
      <c r="F1673" s="187" t="n">
        <v>2</v>
      </c>
      <c r="G1673" s="187" t="n">
        <v>2</v>
      </c>
      <c r="H1673" s="187" t="inlineStr">
        <is>
          <t>MEDIUM</t>
        </is>
      </c>
      <c r="I1673" s="187" t="n">
        <v>11.5</v>
      </c>
      <c r="J1673" s="187" t="inlineStr">
        <is>
          <t>NO</t>
        </is>
      </c>
      <c r="K1673" s="187" t="inlineStr">
        <is>
          <t>https://security.paloaltonetworks.com/</t>
        </is>
      </c>
      <c r="L1673" s="187" t="inlineStr">
        <is>
          <t>2026-02-27 20:47</t>
        </is>
      </c>
      <c r="M1673" s="187" t="inlineStr">
        <is>
          <t>YES - Apply vendor patch immediately</t>
        </is>
      </c>
      <c r="N1673" s="187" t="inlineStr">
        <is>
          <t>https://security.paloaltonetworks.com/</t>
        </is>
      </c>
      <c r="O1673" s="187" t="inlineStr">
        <is>
          <t>Apply Palo Alto Networks security patches immediately | Review affected products | Check for workarounds</t>
        </is>
      </c>
      <c r="P1673" s="187" t="inlineStr">
        <is>
          <t>PAN-OS / GlobalProtect / Prisma / Cortex</t>
        </is>
      </c>
      <c r="Q1673" s="187" t="inlineStr">
        <is>
          <t>P3</t>
        </is>
      </c>
      <c r="R1673" s="187" t="inlineStr">
        <is>
          <t>🚫 Block IP at firewall immediately | 🔍 Check logs for existing connections | 🛡️ Add to threat intelligence blocklist</t>
        </is>
      </c>
      <c r="S1673" s="187" t="inlineStr">
        <is>
          <t>Firewall Advisory - Palo Alto Networks</t>
        </is>
      </c>
      <c r="T1673" s="187" t="n">
        <v>0</v>
      </c>
      <c r="U1673" s="187" t="n">
        <v>0</v>
      </c>
      <c r="V1673" s="187" t="inlineStr">
        <is>
          <t>T1190:Exploit Public-Facing Application | T1133:External Remote Services</t>
        </is>
      </c>
      <c r="W1673" s="187" t="n">
        <v>2</v>
      </c>
      <c r="X1673" s="187" t="inlineStr">
        <is>
          <t>MEDIUM (52%)</t>
        </is>
      </c>
      <c r="Y1673" s="187" t="inlineStr">
        <is>
          <t>CHECK_VENDOR</t>
        </is>
      </c>
      <c r="Z1673" s="187" t="inlineStr">
        <is>
          <t>YES</t>
        </is>
      </c>
      <c r="AA1673" s="187" t="inlineStr">
        <is>
          <t>https://security.paloaltonetworks.com/</t>
        </is>
      </c>
      <c r="AB1673" s="187" t="inlineStr">
        <is>
          <t>NONE</t>
        </is>
      </c>
      <c r="AC1673" s="187" t="n">
        <v>0</v>
      </c>
      <c r="AD1673" s="187" t="inlineStr"/>
    </row>
    <row r="1674">
      <c r="A1674" s="187" t="inlineStr">
        <is>
          <t>FIREWALL_ADVISORY</t>
        </is>
      </c>
      <c r="B1674" s="187" t="inlineStr">
        <is>
          <t>PAN-ADV</t>
        </is>
      </c>
      <c r="C1674" s="187" t="inlineStr">
        <is>
          <t>PAN Advisory:  PAN-OS: Firewall Denial of Service (DoS) in GlobalProtect Gateway and Portal</t>
        </is>
      </c>
      <c r="D1674" s="187" t="n">
        <v>7.5</v>
      </c>
      <c r="E1674" s="187" t="inlineStr">
        <is>
          <t>HIGH</t>
        </is>
      </c>
      <c r="F1674" s="187" t="n">
        <v>2</v>
      </c>
      <c r="G1674" s="187" t="n">
        <v>2</v>
      </c>
      <c r="H1674" s="187" t="inlineStr">
        <is>
          <t>MEDIUM</t>
        </is>
      </c>
      <c r="I1674" s="187" t="n">
        <v>11.5</v>
      </c>
      <c r="J1674" s="187" t="inlineStr">
        <is>
          <t>NO</t>
        </is>
      </c>
      <c r="K1674" s="187" t="inlineStr">
        <is>
          <t>https://security.paloaltonetworks.com/</t>
        </is>
      </c>
      <c r="L1674" s="187" t="inlineStr">
        <is>
          <t>2026-02-27 20:47</t>
        </is>
      </c>
      <c r="M1674" s="187" t="inlineStr">
        <is>
          <t>YES - Apply vendor patch immediately</t>
        </is>
      </c>
      <c r="N1674" s="187" t="inlineStr">
        <is>
          <t>https://security.paloaltonetworks.com/</t>
        </is>
      </c>
      <c r="O1674" s="187" t="inlineStr">
        <is>
          <t>Apply Palo Alto Networks security patches immediately | Review affected products | Check for workarounds</t>
        </is>
      </c>
      <c r="P1674" s="187" t="inlineStr">
        <is>
          <t>PAN-OS / GlobalProtect / Prisma / Cortex</t>
        </is>
      </c>
      <c r="Q1674" s="187" t="inlineStr">
        <is>
          <t>P3</t>
        </is>
      </c>
      <c r="R1674" s="187" t="inlineStr">
        <is>
          <t>🚫 Block IP at firewall immediately | 🔍 Check logs for existing connections | 🛡️ Add to threat intelligence blocklist</t>
        </is>
      </c>
      <c r="S1674" s="187" t="inlineStr">
        <is>
          <t>Firewall Advisory - Palo Alto Networks</t>
        </is>
      </c>
      <c r="T1674" s="187" t="n">
        <v>0</v>
      </c>
      <c r="U1674" s="187" t="n">
        <v>0</v>
      </c>
      <c r="V1674" s="187" t="inlineStr">
        <is>
          <t>T1190:Exploit Public-Facing Application | T1133:External Remote Services</t>
        </is>
      </c>
      <c r="W1674" s="187" t="n">
        <v>2</v>
      </c>
      <c r="X1674" s="187" t="inlineStr">
        <is>
          <t>MEDIUM (52%)</t>
        </is>
      </c>
      <c r="Y1674" s="187" t="inlineStr">
        <is>
          <t>CHECK_VENDOR</t>
        </is>
      </c>
      <c r="Z1674" s="187" t="inlineStr">
        <is>
          <t>YES</t>
        </is>
      </c>
      <c r="AA1674" s="187" t="inlineStr">
        <is>
          <t>https://security.paloaltonetworks.com/</t>
        </is>
      </c>
      <c r="AB1674" s="187" t="inlineStr">
        <is>
          <t>NONE</t>
        </is>
      </c>
      <c r="AC1674" s="187" t="n">
        <v>0</v>
      </c>
      <c r="AD1674" s="187" t="inlineStr"/>
    </row>
    <row r="1675">
      <c r="A1675" s="187" t="inlineStr">
        <is>
          <t>FIREWALL_ADVISORY</t>
        </is>
      </c>
      <c r="B1675" s="187" t="inlineStr">
        <is>
          <t>PAN-ADV</t>
        </is>
      </c>
      <c r="C1675" s="187" t="inlineStr">
        <is>
          <t>PAN Advisory: Chromium: Monthly Vulnerability Update (February 2026)</t>
        </is>
      </c>
      <c r="D1675" s="187" t="n">
        <v>7.5</v>
      </c>
      <c r="E1675" s="187" t="inlineStr">
        <is>
          <t>HIGH</t>
        </is>
      </c>
      <c r="F1675" s="187" t="n">
        <v>2</v>
      </c>
      <c r="G1675" s="187" t="n">
        <v>2</v>
      </c>
      <c r="H1675" s="187" t="inlineStr">
        <is>
          <t>MEDIUM</t>
        </is>
      </c>
      <c r="I1675" s="187" t="n">
        <v>11.5</v>
      </c>
      <c r="J1675" s="187" t="inlineStr">
        <is>
          <t>NO</t>
        </is>
      </c>
      <c r="K1675" s="187" t="inlineStr">
        <is>
          <t>https://security.paloaltonetworks.com/</t>
        </is>
      </c>
      <c r="L1675" s="187" t="inlineStr">
        <is>
          <t>2026-02-27 20:47</t>
        </is>
      </c>
      <c r="M1675" s="187" t="inlineStr">
        <is>
          <t>YES - Apply vendor patch immediately</t>
        </is>
      </c>
      <c r="N1675" s="187" t="inlineStr">
        <is>
          <t>https://security.paloaltonetworks.com/</t>
        </is>
      </c>
      <c r="O1675" s="187" t="inlineStr">
        <is>
          <t>Apply Palo Alto Networks security patches immediately | Review affected products | Check for workarounds</t>
        </is>
      </c>
      <c r="P1675" s="187" t="inlineStr">
        <is>
          <t>PAN-OS / GlobalProtect / Prisma / Cortex</t>
        </is>
      </c>
      <c r="Q1675" s="187" t="inlineStr">
        <is>
          <t>P3</t>
        </is>
      </c>
      <c r="R1675" s="187" t="inlineStr">
        <is>
          <t>🚫 Block IP at firewall immediately | 🔍 Check logs for existing connections | 🛡️ Add to threat intelligence blocklist</t>
        </is>
      </c>
      <c r="S1675" s="187" t="inlineStr">
        <is>
          <t>Firewall Advisory - Palo Alto Networks</t>
        </is>
      </c>
      <c r="T1675" s="187" t="n">
        <v>0</v>
      </c>
      <c r="U1675" s="187" t="n">
        <v>0</v>
      </c>
      <c r="V1675" s="187" t="inlineStr">
        <is>
          <t>T1190:Exploit Public-Facing Application | T1133:External Remote Services</t>
        </is>
      </c>
      <c r="W1675" s="187" t="n">
        <v>2</v>
      </c>
      <c r="X1675" s="187" t="inlineStr">
        <is>
          <t>MEDIUM (52%)</t>
        </is>
      </c>
      <c r="Y1675" s="187" t="inlineStr">
        <is>
          <t>CHECK_VENDOR</t>
        </is>
      </c>
      <c r="Z1675" s="187" t="inlineStr">
        <is>
          <t>YES</t>
        </is>
      </c>
      <c r="AA1675" s="187" t="inlineStr">
        <is>
          <t>https://security.paloaltonetworks.com/</t>
        </is>
      </c>
      <c r="AB1675" s="187" t="inlineStr">
        <is>
          <t>NONE</t>
        </is>
      </c>
      <c r="AC1675" s="187" t="n">
        <v>0</v>
      </c>
      <c r="AD1675" s="187" t="inlineStr"/>
    </row>
    <row r="1676">
      <c r="A1676" s="187" t="inlineStr">
        <is>
          <t>FIREWALL_ADVISORY</t>
        </is>
      </c>
      <c r="B1676" s="187" t="inlineStr">
        <is>
          <t>PAN-ADV</t>
        </is>
      </c>
      <c r="C1676" s="187" t="inlineStr">
        <is>
          <t>PAN Advisory: Chromium: Monthly Vulnerability Updates</t>
        </is>
      </c>
      <c r="D1676" s="187" t="n">
        <v>7.5</v>
      </c>
      <c r="E1676" s="187" t="inlineStr">
        <is>
          <t>HIGH</t>
        </is>
      </c>
      <c r="F1676" s="187" t="n">
        <v>2</v>
      </c>
      <c r="G1676" s="187" t="n">
        <v>2</v>
      </c>
      <c r="H1676" s="187" t="inlineStr">
        <is>
          <t>MEDIUM</t>
        </is>
      </c>
      <c r="I1676" s="187" t="n">
        <v>11.5</v>
      </c>
      <c r="J1676" s="187" t="inlineStr">
        <is>
          <t>NO</t>
        </is>
      </c>
      <c r="K1676" s="187" t="inlineStr">
        <is>
          <t>https://security.paloaltonetworks.com/</t>
        </is>
      </c>
      <c r="L1676" s="187" t="inlineStr">
        <is>
          <t>2026-02-27 20:47</t>
        </is>
      </c>
      <c r="M1676" s="187" t="inlineStr">
        <is>
          <t>YES - Apply vendor patch immediately</t>
        </is>
      </c>
      <c r="N1676" s="187" t="inlineStr">
        <is>
          <t>https://security.paloaltonetworks.com/</t>
        </is>
      </c>
      <c r="O1676" s="187" t="inlineStr">
        <is>
          <t>Apply Palo Alto Networks security patches immediately | Review affected products | Check for workarounds</t>
        </is>
      </c>
      <c r="P1676" s="187" t="inlineStr">
        <is>
          <t>PAN-OS / GlobalProtect / Prisma / Cortex</t>
        </is>
      </c>
      <c r="Q1676" s="187" t="inlineStr">
        <is>
          <t>P3</t>
        </is>
      </c>
      <c r="R1676" s="187" t="inlineStr">
        <is>
          <t>🚫 Block IP at firewall immediately | 🔍 Check logs for existing connections | 🛡️ Add to threat intelligence blocklist</t>
        </is>
      </c>
      <c r="S1676" s="187" t="inlineStr">
        <is>
          <t>Firewall Advisory - Palo Alto Networks</t>
        </is>
      </c>
      <c r="T1676" s="187" t="n">
        <v>0</v>
      </c>
      <c r="U1676" s="187" t="n">
        <v>0</v>
      </c>
      <c r="V1676" s="187" t="inlineStr">
        <is>
          <t>T1190:Exploit Public-Facing Application | T1133:External Remote Services</t>
        </is>
      </c>
      <c r="W1676" s="187" t="n">
        <v>2</v>
      </c>
      <c r="X1676" s="187" t="inlineStr">
        <is>
          <t>MEDIUM (52%)</t>
        </is>
      </c>
      <c r="Y1676" s="187" t="inlineStr">
        <is>
          <t>CHECK_VENDOR</t>
        </is>
      </c>
      <c r="Z1676" s="187" t="inlineStr">
        <is>
          <t>YES</t>
        </is>
      </c>
      <c r="AA1676" s="187" t="inlineStr">
        <is>
          <t>https://security.paloaltonetworks.com/</t>
        </is>
      </c>
      <c r="AB1676" s="187" t="inlineStr">
        <is>
          <t>NONE</t>
        </is>
      </c>
      <c r="AC1676" s="187" t="n">
        <v>0</v>
      </c>
      <c r="AD1676" s="187" t="inlineStr"/>
    </row>
    <row r="1677">
      <c r="A1677" s="187" t="inlineStr">
        <is>
          <t>FIREWALL_ADVISORY</t>
        </is>
      </c>
      <c r="B1677" s="187" t="inlineStr">
        <is>
          <t>PAN-ADV</t>
        </is>
      </c>
      <c r="C1677" s="187" t="inlineStr">
        <is>
          <t>PAN Advisory: Secdo: Privilege escalation via hardcoded script path</t>
        </is>
      </c>
      <c r="D1677" s="187" t="n">
        <v>7.5</v>
      </c>
      <c r="E1677" s="187" t="inlineStr">
        <is>
          <t>HIGH</t>
        </is>
      </c>
      <c r="F1677" s="187" t="n">
        <v>2</v>
      </c>
      <c r="G1677" s="187" t="n">
        <v>2</v>
      </c>
      <c r="H1677" s="187" t="inlineStr">
        <is>
          <t>MEDIUM</t>
        </is>
      </c>
      <c r="I1677" s="187" t="n">
        <v>11.5</v>
      </c>
      <c r="J1677" s="187" t="inlineStr">
        <is>
          <t>NO</t>
        </is>
      </c>
      <c r="K1677" s="187" t="inlineStr">
        <is>
          <t>https://security.paloaltonetworks.com/</t>
        </is>
      </c>
      <c r="L1677" s="187" t="inlineStr">
        <is>
          <t>2026-02-27 20:47</t>
        </is>
      </c>
      <c r="M1677" s="187" t="inlineStr">
        <is>
          <t>YES - Apply vendor patch immediately</t>
        </is>
      </c>
      <c r="N1677" s="187" t="inlineStr">
        <is>
          <t>https://security.paloaltonetworks.com/</t>
        </is>
      </c>
      <c r="O1677" s="187" t="inlineStr">
        <is>
          <t>Apply Palo Alto Networks security patches immediately | Review affected products | Check for workarounds</t>
        </is>
      </c>
      <c r="P1677" s="187" t="inlineStr">
        <is>
          <t>PAN-OS / GlobalProtect / Prisma / Cortex</t>
        </is>
      </c>
      <c r="Q1677" s="187" t="inlineStr">
        <is>
          <t>P3</t>
        </is>
      </c>
      <c r="R1677" s="187" t="inlineStr">
        <is>
          <t>🚫 Block IP at firewall immediately | 🔍 Check logs for existing connections | 🛡️ Add to threat intelligence blocklist</t>
        </is>
      </c>
      <c r="S1677" s="187" t="inlineStr">
        <is>
          <t>Firewall Advisory - Palo Alto Networks</t>
        </is>
      </c>
      <c r="T1677" s="187" t="n">
        <v>0</v>
      </c>
      <c r="U1677" s="187" t="n">
        <v>0</v>
      </c>
      <c r="V1677" s="187" t="inlineStr">
        <is>
          <t>T1190:Exploit Public-Facing Application | T1133:External Remote Services</t>
        </is>
      </c>
      <c r="W1677" s="187" t="n">
        <v>2</v>
      </c>
      <c r="X1677" s="187" t="inlineStr">
        <is>
          <t>MEDIUM (52%)</t>
        </is>
      </c>
      <c r="Y1677" s="187" t="inlineStr">
        <is>
          <t>CHECK_VENDOR</t>
        </is>
      </c>
      <c r="Z1677" s="187" t="inlineStr">
        <is>
          <t>YES</t>
        </is>
      </c>
      <c r="AA1677" s="187" t="inlineStr">
        <is>
          <t>https://security.paloaltonetworks.com/</t>
        </is>
      </c>
      <c r="AB1677" s="187" t="inlineStr">
        <is>
          <t>NONE</t>
        </is>
      </c>
      <c r="AC1677" s="187" t="n">
        <v>0</v>
      </c>
      <c r="AD1677" s="187" t="inlineStr"/>
    </row>
    <row r="1678">
      <c r="A1678" s="187" t="inlineStr">
        <is>
          <t>FIREWALL_ADVISORY</t>
        </is>
      </c>
      <c r="B1678" s="187" t="inlineStr">
        <is>
          <t>PAN-ADV</t>
        </is>
      </c>
      <c r="C1678" s="187" t="inlineStr">
        <is>
          <t xml:space="preserve">PAN Advisory: Secdo: Incorrect Default Permissions </t>
        </is>
      </c>
      <c r="D1678" s="187" t="n">
        <v>7.5</v>
      </c>
      <c r="E1678" s="187" t="inlineStr">
        <is>
          <t>HIGH</t>
        </is>
      </c>
      <c r="F1678" s="187" t="n">
        <v>2</v>
      </c>
      <c r="G1678" s="187" t="n">
        <v>2</v>
      </c>
      <c r="H1678" s="187" t="inlineStr">
        <is>
          <t>MEDIUM</t>
        </is>
      </c>
      <c r="I1678" s="187" t="n">
        <v>11.5</v>
      </c>
      <c r="J1678" s="187" t="inlineStr">
        <is>
          <t>NO</t>
        </is>
      </c>
      <c r="K1678" s="187" t="inlineStr">
        <is>
          <t>https://security.paloaltonetworks.com/</t>
        </is>
      </c>
      <c r="L1678" s="187" t="inlineStr">
        <is>
          <t>2026-02-27 20:47</t>
        </is>
      </c>
      <c r="M1678" s="187" t="inlineStr">
        <is>
          <t>YES - Apply vendor patch immediately</t>
        </is>
      </c>
      <c r="N1678" s="187" t="inlineStr">
        <is>
          <t>https://security.paloaltonetworks.com/</t>
        </is>
      </c>
      <c r="O1678" s="187" t="inlineStr">
        <is>
          <t>Apply Palo Alto Networks security patches immediately | Review affected products | Check for workarounds</t>
        </is>
      </c>
      <c r="P1678" s="187" t="inlineStr">
        <is>
          <t>PAN-OS / GlobalProtect / Prisma / Cortex</t>
        </is>
      </c>
      <c r="Q1678" s="187" t="inlineStr">
        <is>
          <t>P3</t>
        </is>
      </c>
      <c r="R1678" s="187" t="inlineStr">
        <is>
          <t>🚫 Block IP at firewall immediately | 🔍 Check logs for existing connections | 🛡️ Add to threat intelligence blocklist</t>
        </is>
      </c>
      <c r="S1678" s="187" t="inlineStr">
        <is>
          <t>Firewall Advisory - Palo Alto Networks</t>
        </is>
      </c>
      <c r="T1678" s="187" t="n">
        <v>0</v>
      </c>
      <c r="U1678" s="187" t="n">
        <v>0</v>
      </c>
      <c r="V1678" s="187" t="inlineStr">
        <is>
          <t>T1190:Exploit Public-Facing Application | T1133:External Remote Services</t>
        </is>
      </c>
      <c r="W1678" s="187" t="n">
        <v>2</v>
      </c>
      <c r="X1678" s="187" t="inlineStr">
        <is>
          <t>MEDIUM (52%)</t>
        </is>
      </c>
      <c r="Y1678" s="187" t="inlineStr">
        <is>
          <t>CHECK_VENDOR</t>
        </is>
      </c>
      <c r="Z1678" s="187" t="inlineStr">
        <is>
          <t>YES</t>
        </is>
      </c>
      <c r="AA1678" s="187" t="inlineStr">
        <is>
          <t>https://security.paloaltonetworks.com/</t>
        </is>
      </c>
      <c r="AB1678" s="187" t="inlineStr">
        <is>
          <t>NONE</t>
        </is>
      </c>
      <c r="AC1678" s="187" t="n">
        <v>0</v>
      </c>
      <c r="AD1678" s="187" t="inlineStr"/>
    </row>
    <row r="1679">
      <c r="A1679" s="187" t="inlineStr">
        <is>
          <t>FIREWALL_ADVISORY</t>
        </is>
      </c>
      <c r="B1679" s="187" t="inlineStr">
        <is>
          <t>PAN-ADV</t>
        </is>
      </c>
      <c r="C1679" s="187" t="inlineStr">
        <is>
          <t>PAN Advisory: PAN-OS OpenConfig Plugin: Command Injection Vulnerability in OpenConfig Plugin</t>
        </is>
      </c>
      <c r="D1679" s="187" t="n">
        <v>7.5</v>
      </c>
      <c r="E1679" s="187" t="inlineStr">
        <is>
          <t>HIGH</t>
        </is>
      </c>
      <c r="F1679" s="187" t="n">
        <v>2</v>
      </c>
      <c r="G1679" s="187" t="n">
        <v>2</v>
      </c>
      <c r="H1679" s="187" t="inlineStr">
        <is>
          <t>MEDIUM</t>
        </is>
      </c>
      <c r="I1679" s="187" t="n">
        <v>11.5</v>
      </c>
      <c r="J1679" s="187" t="inlineStr">
        <is>
          <t>NO</t>
        </is>
      </c>
      <c r="K1679" s="187" t="inlineStr">
        <is>
          <t>https://security.paloaltonetworks.com/</t>
        </is>
      </c>
      <c r="L1679" s="187" t="inlineStr">
        <is>
          <t>2026-02-27 20:47</t>
        </is>
      </c>
      <c r="M1679" s="187" t="inlineStr">
        <is>
          <t>YES - Apply vendor patch immediately</t>
        </is>
      </c>
      <c r="N1679" s="187" t="inlineStr">
        <is>
          <t>https://security.paloaltonetworks.com/</t>
        </is>
      </c>
      <c r="O1679" s="187" t="inlineStr">
        <is>
          <t>Apply Palo Alto Networks security patches immediately | Review affected products | Check for workarounds</t>
        </is>
      </c>
      <c r="P1679" s="187" t="inlineStr">
        <is>
          <t>PAN-OS / GlobalProtect / Prisma / Cortex</t>
        </is>
      </c>
      <c r="Q1679" s="187" t="inlineStr">
        <is>
          <t>P3</t>
        </is>
      </c>
      <c r="R1679" s="187" t="inlineStr">
        <is>
          <t>🚫 Block IP at firewall immediately | 🔍 Check logs for existing connections | 🛡️ Add to threat intelligence blocklist</t>
        </is>
      </c>
      <c r="S1679" s="187" t="inlineStr">
        <is>
          <t>Firewall Advisory - Palo Alto Networks</t>
        </is>
      </c>
      <c r="T1679" s="187" t="n">
        <v>0</v>
      </c>
      <c r="U1679" s="187" t="n">
        <v>0</v>
      </c>
      <c r="V1679" s="187" t="inlineStr">
        <is>
          <t>T1190:Exploit Public-Facing Application | T1133:External Remote Services</t>
        </is>
      </c>
      <c r="W1679" s="187" t="n">
        <v>2</v>
      </c>
      <c r="X1679" s="187" t="inlineStr">
        <is>
          <t>MEDIUM (52%)</t>
        </is>
      </c>
      <c r="Y1679" s="187" t="inlineStr">
        <is>
          <t>CHECK_VENDOR</t>
        </is>
      </c>
      <c r="Z1679" s="187" t="inlineStr">
        <is>
          <t>YES</t>
        </is>
      </c>
      <c r="AA1679" s="187" t="inlineStr">
        <is>
          <t>https://security.paloaltonetworks.com/</t>
        </is>
      </c>
      <c r="AB1679" s="187" t="inlineStr">
        <is>
          <t>NONE</t>
        </is>
      </c>
      <c r="AC1679" s="187" t="n">
        <v>0</v>
      </c>
      <c r="AD1679" s="187" t="inlineStr"/>
    </row>
    <row r="1680">
      <c r="A1680" s="187" t="inlineStr">
        <is>
          <t>FIREWALL_ADVISORY</t>
        </is>
      </c>
      <c r="B1680" s="187" t="inlineStr">
        <is>
          <t>CPAI-2025-12582</t>
        </is>
      </c>
      <c r="C1680" s="187" t="inlineStr">
        <is>
          <t>Check Point Advisory: CPAI-2025-12582 | The post CPAI-2025-12582 appeared first on Check Point Software .</t>
        </is>
      </c>
      <c r="D1680" s="187" t="n">
        <v>7.5</v>
      </c>
      <c r="E1680" s="187" t="inlineStr">
        <is>
          <t>HIGH</t>
        </is>
      </c>
      <c r="F1680" s="187" t="n">
        <v>2</v>
      </c>
      <c r="G1680" s="187" t="n">
        <v>2</v>
      </c>
      <c r="H1680" s="187" t="inlineStr">
        <is>
          <t>MEDIUM</t>
        </is>
      </c>
      <c r="I1680" s="187" t="n">
        <v>11.5</v>
      </c>
      <c r="J1680" s="187" t="inlineStr">
        <is>
          <t>NO</t>
        </is>
      </c>
      <c r="K1680" s="187" t="inlineStr">
        <is>
          <t>/defense/advisories/public/2026/cpai-2025-12582.html</t>
        </is>
      </c>
      <c r="L1680" s="187" t="inlineStr">
        <is>
          <t>2026-02-27 20:47</t>
        </is>
      </c>
      <c r="M1680" s="187" t="inlineStr">
        <is>
          <t>YES - Apply vendor patch immediately</t>
        </is>
      </c>
      <c r="N1680" s="187" t="inlineStr">
        <is>
          <t>/defense/advisories/public/2026/cpai-2025-12582.html</t>
        </is>
      </c>
      <c r="O1680" s="187" t="inlineStr">
        <is>
          <t>Apply Check Point security patches immediately | Review affected products | Check for workarounds</t>
        </is>
      </c>
      <c r="P1680" s="187" t="inlineStr">
        <is>
          <t>Check Point Gaia OS / CloudGuard / Quantum</t>
        </is>
      </c>
      <c r="Q1680" s="187" t="inlineStr">
        <is>
          <t>P3</t>
        </is>
      </c>
      <c r="R1680" s="187" t="inlineStr">
        <is>
          <t>🚫 Block IP at firewall immediately | 🔍 Check logs for existing connections | 🛡️ Add to threat intelligence blocklist</t>
        </is>
      </c>
      <c r="S1680" s="187" t="inlineStr">
        <is>
          <t>Firewall Advisory - Check Point</t>
        </is>
      </c>
      <c r="T1680" s="187" t="n">
        <v>0</v>
      </c>
      <c r="U1680" s="187" t="n">
        <v>0</v>
      </c>
      <c r="V1680" s="187" t="inlineStr">
        <is>
          <t>T1190:Exploit Public-Facing Application | T1133:External Remote Services</t>
        </is>
      </c>
      <c r="W1680" s="187" t="n">
        <v>2</v>
      </c>
      <c r="X1680" s="187" t="inlineStr">
        <is>
          <t>MEDIUM (52%)</t>
        </is>
      </c>
      <c r="Y1680" s="187" t="inlineStr">
        <is>
          <t>CHECK_VENDOR</t>
        </is>
      </c>
      <c r="Z1680" s="187" t="inlineStr">
        <is>
          <t>YES</t>
        </is>
      </c>
      <c r="AA1680" s="187" t="inlineStr">
        <is>
          <t>/defense/advisories/public/2026/cpai-2025-12582.html</t>
        </is>
      </c>
      <c r="AB1680" s="187" t="inlineStr">
        <is>
          <t>NONE</t>
        </is>
      </c>
      <c r="AC1680" s="187" t="n">
        <v>0</v>
      </c>
      <c r="AD1680" s="187" t="inlineStr"/>
    </row>
    <row r="1681">
      <c r="A1681" s="187" t="inlineStr">
        <is>
          <t>FIREWALL_ADVISORY</t>
        </is>
      </c>
      <c r="B1681" s="187" t="inlineStr">
        <is>
          <t>CPAI-2025-12449</t>
        </is>
      </c>
      <c r="C1681" s="187" t="inlineStr">
        <is>
          <t>Check Point Advisory: CPAI-2025-12449 | The post CPAI-2025-12449 appeared first on Check Point Software .</t>
        </is>
      </c>
      <c r="D1681" s="187" t="n">
        <v>7.5</v>
      </c>
      <c r="E1681" s="187" t="inlineStr">
        <is>
          <t>HIGH</t>
        </is>
      </c>
      <c r="F1681" s="187" t="n">
        <v>2</v>
      </c>
      <c r="G1681" s="187" t="n">
        <v>2</v>
      </c>
      <c r="H1681" s="187" t="inlineStr">
        <is>
          <t>MEDIUM</t>
        </is>
      </c>
      <c r="I1681" s="187" t="n">
        <v>11.5</v>
      </c>
      <c r="J1681" s="187" t="inlineStr">
        <is>
          <t>NO</t>
        </is>
      </c>
      <c r="K1681" s="187" t="inlineStr">
        <is>
          <t>/defense/advisories/public/2026/cpai-2025-12449.html</t>
        </is>
      </c>
      <c r="L1681" s="187" t="inlineStr">
        <is>
          <t>2026-02-27 20:47</t>
        </is>
      </c>
      <c r="M1681" s="187" t="inlineStr">
        <is>
          <t>YES - Apply vendor patch immediately</t>
        </is>
      </c>
      <c r="N1681" s="187" t="inlineStr">
        <is>
          <t>/defense/advisories/public/2026/cpai-2025-12449.html</t>
        </is>
      </c>
      <c r="O1681" s="187" t="inlineStr">
        <is>
          <t>Apply Check Point security patches immediately | Review affected products | Check for workarounds</t>
        </is>
      </c>
      <c r="P1681" s="187" t="inlineStr">
        <is>
          <t>Check Point Gaia OS / CloudGuard / Quantum</t>
        </is>
      </c>
      <c r="Q1681" s="187" t="inlineStr">
        <is>
          <t>P3</t>
        </is>
      </c>
      <c r="R1681" s="187" t="inlineStr">
        <is>
          <t>🚫 Block IP at firewall immediately | 🔍 Check logs for existing connections | 🛡️ Add to threat intelligence blocklist</t>
        </is>
      </c>
      <c r="S1681" s="187" t="inlineStr">
        <is>
          <t>Firewall Advisory - Check Point</t>
        </is>
      </c>
      <c r="T1681" s="187" t="n">
        <v>0</v>
      </c>
      <c r="U1681" s="187" t="n">
        <v>0</v>
      </c>
      <c r="V1681" s="187" t="inlineStr">
        <is>
          <t>T1190:Exploit Public-Facing Application | T1133:External Remote Services</t>
        </is>
      </c>
      <c r="W1681" s="187" t="n">
        <v>2</v>
      </c>
      <c r="X1681" s="187" t="inlineStr">
        <is>
          <t>MEDIUM (52%)</t>
        </is>
      </c>
      <c r="Y1681" s="187" t="inlineStr">
        <is>
          <t>CHECK_VENDOR</t>
        </is>
      </c>
      <c r="Z1681" s="187" t="inlineStr">
        <is>
          <t>YES</t>
        </is>
      </c>
      <c r="AA1681" s="187" t="inlineStr">
        <is>
          <t>/defense/advisories/public/2026/cpai-2025-12449.html</t>
        </is>
      </c>
      <c r="AB1681" s="187" t="inlineStr">
        <is>
          <t>NONE</t>
        </is>
      </c>
      <c r="AC1681" s="187" t="n">
        <v>0</v>
      </c>
      <c r="AD1681" s="187" t="inlineStr"/>
    </row>
    <row r="1682">
      <c r="A1682" s="187" t="inlineStr">
        <is>
          <t>FIREWALL_ADVISORY</t>
        </is>
      </c>
      <c r="B1682" s="187" t="inlineStr">
        <is>
          <t>CPAI-2025-12453</t>
        </is>
      </c>
      <c r="C1682" s="187" t="inlineStr">
        <is>
          <t>Check Point Advisory: CPAI-2025-12453 | The post CPAI-2025-12453 appeared first on Check Point Software .</t>
        </is>
      </c>
      <c r="D1682" s="187" t="n">
        <v>7.5</v>
      </c>
      <c r="E1682" s="187" t="inlineStr">
        <is>
          <t>HIGH</t>
        </is>
      </c>
      <c r="F1682" s="187" t="n">
        <v>2</v>
      </c>
      <c r="G1682" s="187" t="n">
        <v>2</v>
      </c>
      <c r="H1682" s="187" t="inlineStr">
        <is>
          <t>MEDIUM</t>
        </is>
      </c>
      <c r="I1682" s="187" t="n">
        <v>11.5</v>
      </c>
      <c r="J1682" s="187" t="inlineStr">
        <is>
          <t>NO</t>
        </is>
      </c>
      <c r="K1682" s="187" t="inlineStr">
        <is>
          <t>/defense/advisories/public/2026/cpai-2025-12453.html</t>
        </is>
      </c>
      <c r="L1682" s="187" t="inlineStr">
        <is>
          <t>2026-02-27 20:47</t>
        </is>
      </c>
      <c r="M1682" s="187" t="inlineStr">
        <is>
          <t>YES - Apply vendor patch immediately</t>
        </is>
      </c>
      <c r="N1682" s="187" t="inlineStr">
        <is>
          <t>/defense/advisories/public/2026/cpai-2025-12453.html</t>
        </is>
      </c>
      <c r="O1682" s="187" t="inlineStr">
        <is>
          <t>Apply Check Point security patches immediately | Review affected products | Check for workarounds</t>
        </is>
      </c>
      <c r="P1682" s="187" t="inlineStr">
        <is>
          <t>Check Point Gaia OS / CloudGuard / Quantum</t>
        </is>
      </c>
      <c r="Q1682" s="187" t="inlineStr">
        <is>
          <t>P3</t>
        </is>
      </c>
      <c r="R1682" s="187" t="inlineStr">
        <is>
          <t>🚫 Block IP at firewall immediately | 🔍 Check logs for existing connections | 🛡️ Add to threat intelligence blocklist</t>
        </is>
      </c>
      <c r="S1682" s="187" t="inlineStr">
        <is>
          <t>Firewall Advisory - Check Point</t>
        </is>
      </c>
      <c r="T1682" s="187" t="n">
        <v>0</v>
      </c>
      <c r="U1682" s="187" t="n">
        <v>0</v>
      </c>
      <c r="V1682" s="187" t="inlineStr">
        <is>
          <t>T1190:Exploit Public-Facing Application | T1133:External Remote Services</t>
        </is>
      </c>
      <c r="W1682" s="187" t="n">
        <v>2</v>
      </c>
      <c r="X1682" s="187" t="inlineStr">
        <is>
          <t>MEDIUM (52%)</t>
        </is>
      </c>
      <c r="Y1682" s="187" t="inlineStr">
        <is>
          <t>CHECK_VENDOR</t>
        </is>
      </c>
      <c r="Z1682" s="187" t="inlineStr">
        <is>
          <t>YES</t>
        </is>
      </c>
      <c r="AA1682" s="187" t="inlineStr">
        <is>
          <t>/defense/advisories/public/2026/cpai-2025-12453.html</t>
        </is>
      </c>
      <c r="AB1682" s="187" t="inlineStr">
        <is>
          <t>NONE</t>
        </is>
      </c>
      <c r="AC1682" s="187" t="n">
        <v>0</v>
      </c>
      <c r="AD1682" s="187" t="inlineStr"/>
    </row>
    <row r="1683">
      <c r="A1683" s="187" t="inlineStr">
        <is>
          <t>FIREWALL_ADVISORY</t>
        </is>
      </c>
      <c r="B1683" s="187" t="inlineStr">
        <is>
          <t>CPAI-2025-12332</t>
        </is>
      </c>
      <c r="C1683" s="187" t="inlineStr">
        <is>
          <t>Check Point Advisory: CPAI-2025-12332 | The post CPAI-2025-12332 appeared first on Check Point Software .</t>
        </is>
      </c>
      <c r="D1683" s="187" t="n">
        <v>7.5</v>
      </c>
      <c r="E1683" s="187" t="inlineStr">
        <is>
          <t>HIGH</t>
        </is>
      </c>
      <c r="F1683" s="187" t="n">
        <v>2</v>
      </c>
      <c r="G1683" s="187" t="n">
        <v>2</v>
      </c>
      <c r="H1683" s="187" t="inlineStr">
        <is>
          <t>MEDIUM</t>
        </is>
      </c>
      <c r="I1683" s="187" t="n">
        <v>11.5</v>
      </c>
      <c r="J1683" s="187" t="inlineStr">
        <is>
          <t>NO</t>
        </is>
      </c>
      <c r="K1683" s="187" t="inlineStr">
        <is>
          <t>/defense/advisories/public/2026/cpai-2025-12332.html</t>
        </is>
      </c>
      <c r="L1683" s="187" t="inlineStr">
        <is>
          <t>2026-02-27 20:47</t>
        </is>
      </c>
      <c r="M1683" s="187" t="inlineStr">
        <is>
          <t>YES - Apply vendor patch immediately</t>
        </is>
      </c>
      <c r="N1683" s="187" t="inlineStr">
        <is>
          <t>/defense/advisories/public/2026/cpai-2025-12332.html</t>
        </is>
      </c>
      <c r="O1683" s="187" t="inlineStr">
        <is>
          <t>Apply Check Point security patches immediately | Review affected products | Check for workarounds</t>
        </is>
      </c>
      <c r="P1683" s="187" t="inlineStr">
        <is>
          <t>Check Point Gaia OS / CloudGuard / Quantum</t>
        </is>
      </c>
      <c r="Q1683" s="187" t="inlineStr">
        <is>
          <t>P3</t>
        </is>
      </c>
      <c r="R1683" s="187" t="inlineStr">
        <is>
          <t>🚫 Block IP at firewall immediately | 🔍 Check logs for existing connections | 🛡️ Add to threat intelligence blocklist</t>
        </is>
      </c>
      <c r="S1683" s="187" t="inlineStr">
        <is>
          <t>Firewall Advisory - Check Point</t>
        </is>
      </c>
      <c r="T1683" s="187" t="n">
        <v>0</v>
      </c>
      <c r="U1683" s="187" t="n">
        <v>0</v>
      </c>
      <c r="V1683" s="187" t="inlineStr">
        <is>
          <t>T1190:Exploit Public-Facing Application | T1133:External Remote Services</t>
        </is>
      </c>
      <c r="W1683" s="187" t="n">
        <v>2</v>
      </c>
      <c r="X1683" s="187" t="inlineStr">
        <is>
          <t>MEDIUM (52%)</t>
        </is>
      </c>
      <c r="Y1683" s="187" t="inlineStr">
        <is>
          <t>CHECK_VENDOR</t>
        </is>
      </c>
      <c r="Z1683" s="187" t="inlineStr">
        <is>
          <t>YES</t>
        </is>
      </c>
      <c r="AA1683" s="187" t="inlineStr">
        <is>
          <t>/defense/advisories/public/2026/cpai-2025-12332.html</t>
        </is>
      </c>
      <c r="AB1683" s="187" t="inlineStr">
        <is>
          <t>NONE</t>
        </is>
      </c>
      <c r="AC1683" s="187" t="n">
        <v>0</v>
      </c>
      <c r="AD1683" s="187" t="inlineStr"/>
    </row>
    <row r="1684">
      <c r="A1684" s="187" t="inlineStr">
        <is>
          <t>FIREWALL_ADVISORY</t>
        </is>
      </c>
      <c r="B1684" s="187" t="inlineStr">
        <is>
          <t>CPAI-2026-0972</t>
        </is>
      </c>
      <c r="C1684" s="187" t="inlineStr">
        <is>
          <t>Check Point Advisory: CPAI-2026-0972 | The post CPAI-2026-0972 appeared first on Check Point Software .</t>
        </is>
      </c>
      <c r="D1684" s="187" t="n">
        <v>7.5</v>
      </c>
      <c r="E1684" s="187" t="inlineStr">
        <is>
          <t>HIGH</t>
        </is>
      </c>
      <c r="F1684" s="187" t="n">
        <v>2</v>
      </c>
      <c r="G1684" s="187" t="n">
        <v>2</v>
      </c>
      <c r="H1684" s="187" t="inlineStr">
        <is>
          <t>MEDIUM</t>
        </is>
      </c>
      <c r="I1684" s="187" t="n">
        <v>11.5</v>
      </c>
      <c r="J1684" s="187" t="inlineStr">
        <is>
          <t>NO</t>
        </is>
      </c>
      <c r="K1684" s="187" t="inlineStr">
        <is>
          <t>/defense/advisories/public/2026/cpai-2026-0972.html</t>
        </is>
      </c>
      <c r="L1684" s="187" t="inlineStr">
        <is>
          <t>2026-02-27 20:47</t>
        </is>
      </c>
      <c r="M1684" s="187" t="inlineStr">
        <is>
          <t>YES - Apply vendor patch immediately</t>
        </is>
      </c>
      <c r="N1684" s="187" t="inlineStr">
        <is>
          <t>/defense/advisories/public/2026/cpai-2026-0972.html</t>
        </is>
      </c>
      <c r="O1684" s="187" t="inlineStr">
        <is>
          <t>Apply Check Point security patches immediately | Review affected products | Check for workarounds</t>
        </is>
      </c>
      <c r="P1684" s="187" t="inlineStr">
        <is>
          <t>Check Point Gaia OS / CloudGuard / Quantum</t>
        </is>
      </c>
      <c r="Q1684" s="187" t="inlineStr">
        <is>
          <t>P3</t>
        </is>
      </c>
      <c r="R1684" s="187" t="inlineStr">
        <is>
          <t>🚫 Block IP at firewall immediately | 🔍 Check logs for existing connections | 🛡️ Add to threat intelligence blocklist</t>
        </is>
      </c>
      <c r="S1684" s="187" t="inlineStr">
        <is>
          <t>Firewall Advisory - Check Point</t>
        </is>
      </c>
      <c r="T1684" s="187" t="n">
        <v>0</v>
      </c>
      <c r="U1684" s="187" t="n">
        <v>0</v>
      </c>
      <c r="V1684" s="187" t="inlineStr">
        <is>
          <t>T1190:Exploit Public-Facing Application | T1133:External Remote Services</t>
        </is>
      </c>
      <c r="W1684" s="187" t="n">
        <v>2</v>
      </c>
      <c r="X1684" s="187" t="inlineStr">
        <is>
          <t>MEDIUM (52%)</t>
        </is>
      </c>
      <c r="Y1684" s="187" t="inlineStr">
        <is>
          <t>CHECK_VENDOR</t>
        </is>
      </c>
      <c r="Z1684" s="187" t="inlineStr">
        <is>
          <t>YES</t>
        </is>
      </c>
      <c r="AA1684" s="187" t="inlineStr">
        <is>
          <t>/defense/advisories/public/2026/cpai-2026-0972.html</t>
        </is>
      </c>
      <c r="AB1684" s="187" t="inlineStr">
        <is>
          <t>NONE</t>
        </is>
      </c>
      <c r="AC1684" s="187" t="n">
        <v>0</v>
      </c>
      <c r="AD1684" s="187" t="inlineStr"/>
    </row>
    <row r="1685">
      <c r="A1685" s="189" t="inlineStr">
        <is>
          <t>FIREWALL_ADVISORY</t>
        </is>
      </c>
      <c r="B1685" s="189" t="inlineStr">
        <is>
          <t>CVE-2025-13942</t>
        </is>
      </c>
      <c r="C1685" s="189" t="inlineStr">
        <is>
          <t xml:space="preserve">Zyxel Advisory: A command injection vulnerability in the UPnP function of the Zyxel EX3510-B0 firmware versions through 5.17(ABUP.15.1)C0 could allow a remote attacker to execute operating system (OS) commands on an </t>
        </is>
      </c>
      <c r="D1685" s="189" t="n">
        <v>9</v>
      </c>
      <c r="E1685" s="189" t="inlineStr">
        <is>
          <t>CRITICAL</t>
        </is>
      </c>
      <c r="F1685" s="189" t="n">
        <v>3</v>
      </c>
      <c r="G1685" s="189" t="n">
        <v>3</v>
      </c>
      <c r="H1685" s="189" t="inlineStr">
        <is>
          <t>CRITICAL</t>
        </is>
      </c>
      <c r="I1685" s="189" t="n">
        <v>18</v>
      </c>
      <c r="J1685" s="189" t="inlineStr">
        <is>
          <t>NO</t>
        </is>
      </c>
      <c r="K1685" s="189" t="inlineStr">
        <is>
          <t>https://nvd.nist.gov/vuln/detail/CVE-2025-13942</t>
        </is>
      </c>
      <c r="L1685" s="189" t="inlineStr">
        <is>
          <t>2026-02-27 20:47</t>
        </is>
      </c>
      <c r="M1685" s="189" t="inlineStr">
        <is>
          <t>YES - Apply vendor patch immediately</t>
        </is>
      </c>
      <c r="N1685" s="189" t="inlineStr">
        <is>
          <t>https://nvd.nist.gov/vuln/detail/CVE-2025-13942</t>
        </is>
      </c>
      <c r="O1685" s="189" t="inlineStr">
        <is>
          <t>Apply Zyxel security patches immediately | Review affected products | Check for workarounds</t>
        </is>
      </c>
      <c r="P1685" s="189" t="inlineStr">
        <is>
          <t>Zyxel Firewall / VPN / NAS / ATP Series</t>
        </is>
      </c>
      <c r="Q1685" s="189" t="inlineStr">
        <is>
          <t>P1</t>
        </is>
      </c>
      <c r="R1685" s="189" t="inlineStr">
        <is>
          <t>🚫 Block IP at firewall immediately | 🔍 Check logs for existing connections | 🛡️ Add to threat intelligence blocklist</t>
        </is>
      </c>
      <c r="S1685" s="189" t="inlineStr">
        <is>
          <t>Firewall Advisory - Zyxel</t>
        </is>
      </c>
      <c r="T1685" s="189" t="n">
        <v>0</v>
      </c>
      <c r="U1685" s="189" t="n">
        <v>0</v>
      </c>
      <c r="V1685" s="189" t="inlineStr">
        <is>
          <t>T1190:Exploit Public-Facing Application | T1133:External Remote Services</t>
        </is>
      </c>
      <c r="W1685" s="189" t="n">
        <v>2</v>
      </c>
      <c r="X1685" s="189" t="inlineStr">
        <is>
          <t>MEDIUM (52%)</t>
        </is>
      </c>
      <c r="Y1685" s="189" t="inlineStr">
        <is>
          <t>CHECK_VENDOR</t>
        </is>
      </c>
      <c r="Z1685" s="189" t="inlineStr">
        <is>
          <t>YES</t>
        </is>
      </c>
      <c r="AA1685" s="189" t="inlineStr">
        <is>
          <t>https://nvd.nist.gov/vuln/detail/CVE-2025-13942</t>
        </is>
      </c>
      <c r="AB1685" s="189" t="inlineStr">
        <is>
          <t>NONE</t>
        </is>
      </c>
      <c r="AC1685" s="189" t="n">
        <v>0</v>
      </c>
      <c r="AD1685" s="189" t="inlineStr"/>
    </row>
    <row r="1686">
      <c r="A1686" s="187" t="inlineStr">
        <is>
          <t>FIREWALL_ADVISORY</t>
        </is>
      </c>
      <c r="B1686" s="187" t="inlineStr">
        <is>
          <t>WatchG-ADV</t>
        </is>
      </c>
      <c r="C1686" s="187" t="inlineStr">
        <is>
          <t>WatchGuard Advisory: WatchGuard Firebox LDAP Injection | WatchGuard Firebox LDAP Injection Advisory ID &lt;div class="field__it</t>
        </is>
      </c>
      <c r="D1686" s="187" t="n">
        <v>7.5</v>
      </c>
      <c r="E1686" s="187" t="inlineStr">
        <is>
          <t>HIGH</t>
        </is>
      </c>
      <c r="F1686" s="187" t="n">
        <v>2</v>
      </c>
      <c r="G1686" s="187" t="n">
        <v>2</v>
      </c>
      <c r="H1686" s="187" t="inlineStr">
        <is>
          <t>MEDIUM</t>
        </is>
      </c>
      <c r="I1686" s="187" t="n">
        <v>11.5</v>
      </c>
      <c r="J1686" s="187" t="inlineStr">
        <is>
          <t>NO</t>
        </is>
      </c>
      <c r="K1686" s="187" t="inlineStr">
        <is>
          <t>https://www.watchguard.com/wgrd-psirt/advisory/wgsa-2026-00001</t>
        </is>
      </c>
      <c r="L1686" s="187" t="inlineStr">
        <is>
          <t>2026-02-27 20:47</t>
        </is>
      </c>
      <c r="M1686" s="187" t="inlineStr">
        <is>
          <t>YES - Apply vendor patch immediately</t>
        </is>
      </c>
      <c r="N1686" s="187" t="inlineStr">
        <is>
          <t>https://www.watchguard.com/wgrd-psirt/advisory/wgsa-2026-00001</t>
        </is>
      </c>
      <c r="O1686" s="187" t="inlineStr">
        <is>
          <t>Apply WatchGuard security patches immediately | Review affected products | Check for workarounds</t>
        </is>
      </c>
      <c r="P1686" s="187" t="inlineStr">
        <is>
          <t>WatchGuard Firebox / FireboxV / WatchGuard Cloud</t>
        </is>
      </c>
      <c r="Q1686" s="187" t="inlineStr">
        <is>
          <t>P3</t>
        </is>
      </c>
      <c r="R1686" s="187" t="inlineStr">
        <is>
          <t>🚫 Block IP at firewall immediately | 🔍 Check logs for existing connections | 🛡️ Add to threat intelligence blocklist</t>
        </is>
      </c>
      <c r="S1686" s="187" t="inlineStr">
        <is>
          <t>Firewall Advisory - WatchGuard</t>
        </is>
      </c>
      <c r="T1686" s="187" t="n">
        <v>0</v>
      </c>
      <c r="U1686" s="187" t="n">
        <v>0</v>
      </c>
      <c r="V1686" s="187" t="inlineStr">
        <is>
          <t>T1190:Exploit Public-Facing Application | T1133:External Remote Services</t>
        </is>
      </c>
      <c r="W1686" s="187" t="n">
        <v>2</v>
      </c>
      <c r="X1686" s="187" t="inlineStr">
        <is>
          <t>MEDIUM (52%)</t>
        </is>
      </c>
      <c r="Y1686" s="187" t="inlineStr">
        <is>
          <t>CHECK_VENDOR</t>
        </is>
      </c>
      <c r="Z1686" s="187" t="inlineStr">
        <is>
          <t>YES</t>
        </is>
      </c>
      <c r="AA1686" s="187" t="inlineStr">
        <is>
          <t>https://www.watchguard.com/wgrd-psirt/advisory/wgsa-2026-00001</t>
        </is>
      </c>
      <c r="AB1686" s="187" t="inlineStr">
        <is>
          <t>NONE</t>
        </is>
      </c>
      <c r="AC1686" s="187" t="n">
        <v>0</v>
      </c>
      <c r="AD1686" s="187" t="inlineStr"/>
    </row>
    <row r="1687">
      <c r="A1687" s="187" t="inlineStr">
        <is>
          <t>FIREWALL_ADVISORY</t>
        </is>
      </c>
      <c r="B1687" s="187" t="inlineStr">
        <is>
          <t>WatchG-ADV</t>
        </is>
      </c>
      <c r="C1687" s="187" t="inlineStr">
        <is>
          <t>WatchGuard Advisory: NCP IPSec VPN Client MSI Installer Privilege Escallation (NCPVE-2025-0626) | NCP IPSec VPN Client MSI Installer Privilege Escallation (NCPVE-2025-0626) Advisory ID</t>
        </is>
      </c>
      <c r="D1687" s="187" t="n">
        <v>7.5</v>
      </c>
      <c r="E1687" s="187" t="inlineStr">
        <is>
          <t>HIGH</t>
        </is>
      </c>
      <c r="F1687" s="187" t="n">
        <v>2</v>
      </c>
      <c r="G1687" s="187" t="n">
        <v>2</v>
      </c>
      <c r="H1687" s="187" t="inlineStr">
        <is>
          <t>MEDIUM</t>
        </is>
      </c>
      <c r="I1687" s="187" t="n">
        <v>11.5</v>
      </c>
      <c r="J1687" s="187" t="inlineStr">
        <is>
          <t>NO</t>
        </is>
      </c>
      <c r="K1687" s="187" t="inlineStr">
        <is>
          <t>https://www.watchguard.com/wgrd-psirt/advisory/wgsa-2026-00002</t>
        </is>
      </c>
      <c r="L1687" s="187" t="inlineStr">
        <is>
          <t>2026-02-27 20:47</t>
        </is>
      </c>
      <c r="M1687" s="187" t="inlineStr">
        <is>
          <t>YES - Apply vendor patch immediately</t>
        </is>
      </c>
      <c r="N1687" s="187" t="inlineStr">
        <is>
          <t>https://www.watchguard.com/wgrd-psirt/advisory/wgsa-2026-00002</t>
        </is>
      </c>
      <c r="O1687" s="187" t="inlineStr">
        <is>
          <t>Apply WatchGuard security patches immediately | Review affected products | Check for workarounds</t>
        </is>
      </c>
      <c r="P1687" s="187" t="inlineStr">
        <is>
          <t>WatchGuard Firebox / FireboxV / WatchGuard Cloud</t>
        </is>
      </c>
      <c r="Q1687" s="187" t="inlineStr">
        <is>
          <t>P3</t>
        </is>
      </c>
      <c r="R1687" s="187" t="inlineStr">
        <is>
          <t>🚫 Block IP at firewall immediately | 🔍 Check logs for existing connections | 🛡️ Add to threat intelligence blocklist</t>
        </is>
      </c>
      <c r="S1687" s="187" t="inlineStr">
        <is>
          <t>Firewall Advisory - WatchGuard</t>
        </is>
      </c>
      <c r="T1687" s="187" t="n">
        <v>0</v>
      </c>
      <c r="U1687" s="187" t="n">
        <v>0</v>
      </c>
      <c r="V1687" s="187" t="inlineStr">
        <is>
          <t>T1190:Exploit Public-Facing Application | T1133:External Remote Services</t>
        </is>
      </c>
      <c r="W1687" s="187" t="n">
        <v>2</v>
      </c>
      <c r="X1687" s="187" t="inlineStr">
        <is>
          <t>MEDIUM (52%)</t>
        </is>
      </c>
      <c r="Y1687" s="187" t="inlineStr">
        <is>
          <t>CHECK_VENDOR</t>
        </is>
      </c>
      <c r="Z1687" s="187" t="inlineStr">
        <is>
          <t>YES</t>
        </is>
      </c>
      <c r="AA1687" s="187" t="inlineStr">
        <is>
          <t>https://www.watchguard.com/wgrd-psirt/advisory/wgsa-2026-00002</t>
        </is>
      </c>
      <c r="AB1687" s="187" t="inlineStr">
        <is>
          <t>NONE</t>
        </is>
      </c>
      <c r="AC1687" s="187" t="n">
        <v>0</v>
      </c>
      <c r="AD1687" s="187" t="inlineStr"/>
    </row>
    <row r="1688">
      <c r="A1688" s="187" t="inlineStr">
        <is>
          <t>FIREWALL_ADVISORY</t>
        </is>
      </c>
      <c r="B1688" s="187" t="inlineStr">
        <is>
          <t>WatchG-ADV</t>
        </is>
      </c>
      <c r="C1688" s="187" t="inlineStr">
        <is>
          <t>WatchGuard Advisory: WatchGuard Firebox iked Out of Bounds Write Vulnerability | WatchGuard Firebox iked Out of Bounds Write Vulnerability Advisory ID</t>
        </is>
      </c>
      <c r="D1688" s="187" t="n">
        <v>7.5</v>
      </c>
      <c r="E1688" s="187" t="inlineStr">
        <is>
          <t>HIGH</t>
        </is>
      </c>
      <c r="F1688" s="187" t="n">
        <v>2</v>
      </c>
      <c r="G1688" s="187" t="n">
        <v>2</v>
      </c>
      <c r="H1688" s="187" t="inlineStr">
        <is>
          <t>MEDIUM</t>
        </is>
      </c>
      <c r="I1688" s="187" t="n">
        <v>11.5</v>
      </c>
      <c r="J1688" s="187" t="inlineStr">
        <is>
          <t>NO</t>
        </is>
      </c>
      <c r="K1688" s="187" t="inlineStr">
        <is>
          <t>https://www.watchguard.com/wgrd-psirt/advisory/wgsa-2025-00027</t>
        </is>
      </c>
      <c r="L1688" s="187" t="inlineStr">
        <is>
          <t>2026-02-27 20:47</t>
        </is>
      </c>
      <c r="M1688" s="187" t="inlineStr">
        <is>
          <t>YES - Apply vendor patch immediately</t>
        </is>
      </c>
      <c r="N1688" s="187" t="inlineStr">
        <is>
          <t>https://www.watchguard.com/wgrd-psirt/advisory/wgsa-2025-00027</t>
        </is>
      </c>
      <c r="O1688" s="187" t="inlineStr">
        <is>
          <t>Apply WatchGuard security patches immediately | Review affected products | Check for workarounds</t>
        </is>
      </c>
      <c r="P1688" s="187" t="inlineStr">
        <is>
          <t>WatchGuard Firebox / FireboxV / WatchGuard Cloud</t>
        </is>
      </c>
      <c r="Q1688" s="187" t="inlineStr">
        <is>
          <t>P3</t>
        </is>
      </c>
      <c r="R1688" s="187" t="inlineStr">
        <is>
          <t>🚫 Block IP at firewall immediately | 🔍 Check logs for existing connections | 🛡️ Add to threat intelligence blocklist</t>
        </is>
      </c>
      <c r="S1688" s="187" t="inlineStr">
        <is>
          <t>Firewall Advisory - WatchGuard</t>
        </is>
      </c>
      <c r="T1688" s="187" t="n">
        <v>0</v>
      </c>
      <c r="U1688" s="187" t="n">
        <v>0</v>
      </c>
      <c r="V1688" s="187" t="inlineStr">
        <is>
          <t>T1190:Exploit Public-Facing Application | T1133:External Remote Services</t>
        </is>
      </c>
      <c r="W1688" s="187" t="n">
        <v>2</v>
      </c>
      <c r="X1688" s="187" t="inlineStr">
        <is>
          <t>MEDIUM (52%)</t>
        </is>
      </c>
      <c r="Y1688" s="187" t="inlineStr">
        <is>
          <t>CHECK_VENDOR</t>
        </is>
      </c>
      <c r="Z1688" s="187" t="inlineStr">
        <is>
          <t>YES</t>
        </is>
      </c>
      <c r="AA1688" s="187" t="inlineStr">
        <is>
          <t>https://www.watchguard.com/wgrd-psirt/advisory/wgsa-2025-00027</t>
        </is>
      </c>
      <c r="AB1688" s="187" t="inlineStr">
        <is>
          <t>NONE</t>
        </is>
      </c>
      <c r="AC1688" s="187" t="n">
        <v>0</v>
      </c>
      <c r="AD1688" s="187" t="inlineStr"/>
    </row>
    <row r="1689">
      <c r="A1689" s="187" t="inlineStr">
        <is>
          <t>FIREWALL_ADVISORY</t>
        </is>
      </c>
      <c r="B1689" s="187" t="inlineStr">
        <is>
          <t>WatchG-ADV</t>
        </is>
      </c>
      <c r="C1689" s="187" t="inlineStr">
        <is>
          <t>WatchGuard Advisory: WatchGuard Firebox Boot Time System Integrity Check Bypass | WatchGuard Firebox Boot Time System Integrity Check Bypass Advisory ID</t>
        </is>
      </c>
      <c r="D1689" s="187" t="n">
        <v>7.5</v>
      </c>
      <c r="E1689" s="187" t="inlineStr">
        <is>
          <t>HIGH</t>
        </is>
      </c>
      <c r="F1689" s="187" t="n">
        <v>2</v>
      </c>
      <c r="G1689" s="187" t="n">
        <v>2</v>
      </c>
      <c r="H1689" s="187" t="inlineStr">
        <is>
          <t>MEDIUM</t>
        </is>
      </c>
      <c r="I1689" s="187" t="n">
        <v>11.5</v>
      </c>
      <c r="J1689" s="187" t="inlineStr">
        <is>
          <t>NO</t>
        </is>
      </c>
      <c r="K1689" s="187" t="inlineStr">
        <is>
          <t>https://www.watchguard.com/wgrd-psirt/advisory/wgsa-2025-00026</t>
        </is>
      </c>
      <c r="L1689" s="187" t="inlineStr">
        <is>
          <t>2026-02-27 20:47</t>
        </is>
      </c>
      <c r="M1689" s="187" t="inlineStr">
        <is>
          <t>YES - Apply vendor patch immediately</t>
        </is>
      </c>
      <c r="N1689" s="187" t="inlineStr">
        <is>
          <t>https://www.watchguard.com/wgrd-psirt/advisory/wgsa-2025-00026</t>
        </is>
      </c>
      <c r="O1689" s="187" t="inlineStr">
        <is>
          <t>Apply WatchGuard security patches immediately | Review affected products | Check for workarounds</t>
        </is>
      </c>
      <c r="P1689" s="187" t="inlineStr">
        <is>
          <t>WatchGuard Firebox / FireboxV / WatchGuard Cloud</t>
        </is>
      </c>
      <c r="Q1689" s="187" t="inlineStr">
        <is>
          <t>P3</t>
        </is>
      </c>
      <c r="R1689" s="187" t="inlineStr">
        <is>
          <t>🚫 Block IP at firewall immediately | 🔍 Check logs for existing connections | 🛡️ Add to threat intelligence blocklist</t>
        </is>
      </c>
      <c r="S1689" s="187" t="inlineStr">
        <is>
          <t>Firewall Advisory - WatchGuard</t>
        </is>
      </c>
      <c r="T1689" s="187" t="n">
        <v>0</v>
      </c>
      <c r="U1689" s="187" t="n">
        <v>0</v>
      </c>
      <c r="V1689" s="187" t="inlineStr">
        <is>
          <t>T1190:Exploit Public-Facing Application | T1133:External Remote Services</t>
        </is>
      </c>
      <c r="W1689" s="187" t="n">
        <v>2</v>
      </c>
      <c r="X1689" s="187" t="inlineStr">
        <is>
          <t>MEDIUM (52%)</t>
        </is>
      </c>
      <c r="Y1689" s="187" t="inlineStr">
        <is>
          <t>CHECK_VENDOR</t>
        </is>
      </c>
      <c r="Z1689" s="187" t="inlineStr">
        <is>
          <t>YES</t>
        </is>
      </c>
      <c r="AA1689" s="187" t="inlineStr">
        <is>
          <t>https://www.watchguard.com/wgrd-psirt/advisory/wgsa-2025-00026</t>
        </is>
      </c>
      <c r="AB1689" s="187" t="inlineStr">
        <is>
          <t>NONE</t>
        </is>
      </c>
      <c r="AC1689" s="187" t="n">
        <v>0</v>
      </c>
      <c r="AD1689" s="187" t="inlineStr"/>
    </row>
    <row r="1690">
      <c r="A1690" s="187" t="inlineStr">
        <is>
          <t>FIREWALL_ADVISORY</t>
        </is>
      </c>
      <c r="B1690" s="187" t="inlineStr">
        <is>
          <t>WatchG-ADV</t>
        </is>
      </c>
      <c r="C1690" s="187" t="inlineStr">
        <is>
          <t>WatchGuard Advisory: WatchGuard Firebox iked Memory Corruption Vulnerability | WatchGuard Firebox iked Memory Corruption Vulnerability Advisory ID</t>
        </is>
      </c>
      <c r="D1690" s="187" t="n">
        <v>7.5</v>
      </c>
      <c r="E1690" s="187" t="inlineStr">
        <is>
          <t>HIGH</t>
        </is>
      </c>
      <c r="F1690" s="187" t="n">
        <v>2</v>
      </c>
      <c r="G1690" s="187" t="n">
        <v>2</v>
      </c>
      <c r="H1690" s="187" t="inlineStr">
        <is>
          <t>MEDIUM</t>
        </is>
      </c>
      <c r="I1690" s="187" t="n">
        <v>11.5</v>
      </c>
      <c r="J1690" s="187" t="inlineStr">
        <is>
          <t>NO</t>
        </is>
      </c>
      <c r="K1690" s="187" t="inlineStr">
        <is>
          <t>https://www.watchguard.com/wgrd-psirt/advisory/wgsa-2025-00018</t>
        </is>
      </c>
      <c r="L1690" s="187" t="inlineStr">
        <is>
          <t>2026-02-27 20:47</t>
        </is>
      </c>
      <c r="M1690" s="187" t="inlineStr">
        <is>
          <t>YES - Apply vendor patch immediately</t>
        </is>
      </c>
      <c r="N1690" s="187" t="inlineStr">
        <is>
          <t>https://www.watchguard.com/wgrd-psirt/advisory/wgsa-2025-00018</t>
        </is>
      </c>
      <c r="O1690" s="187" t="inlineStr">
        <is>
          <t>Apply WatchGuard security patches immediately | Review affected products | Check for workarounds</t>
        </is>
      </c>
      <c r="P1690" s="187" t="inlineStr">
        <is>
          <t>WatchGuard Firebox / FireboxV / WatchGuard Cloud</t>
        </is>
      </c>
      <c r="Q1690" s="187" t="inlineStr">
        <is>
          <t>P3</t>
        </is>
      </c>
      <c r="R1690" s="187" t="inlineStr">
        <is>
          <t>🚫 Block IP at firewall immediately | 🔍 Check logs for existing connections | 🛡️ Add to threat intelligence blocklist</t>
        </is>
      </c>
      <c r="S1690" s="187" t="inlineStr">
        <is>
          <t>Firewall Advisory - WatchGuard</t>
        </is>
      </c>
      <c r="T1690" s="187" t="n">
        <v>0</v>
      </c>
      <c r="U1690" s="187" t="n">
        <v>0</v>
      </c>
      <c r="V1690" s="187" t="inlineStr">
        <is>
          <t>T1190:Exploit Public-Facing Application | T1133:External Remote Services</t>
        </is>
      </c>
      <c r="W1690" s="187" t="n">
        <v>2</v>
      </c>
      <c r="X1690" s="187" t="inlineStr">
        <is>
          <t>MEDIUM (52%)</t>
        </is>
      </c>
      <c r="Y1690" s="187" t="inlineStr">
        <is>
          <t>CHECK_VENDOR</t>
        </is>
      </c>
      <c r="Z1690" s="187" t="inlineStr">
        <is>
          <t>YES</t>
        </is>
      </c>
      <c r="AA1690" s="187" t="inlineStr">
        <is>
          <t>https://www.watchguard.com/wgrd-psirt/advisory/wgsa-2025-00018</t>
        </is>
      </c>
      <c r="AB1690" s="187" t="inlineStr">
        <is>
          <t>NONE</t>
        </is>
      </c>
      <c r="AC1690" s="187" t="n">
        <v>0</v>
      </c>
      <c r="AD1690" s="187" t="inlineStr"/>
    </row>
    <row r="1691">
      <c r="A1691" s="187" t="inlineStr">
        <is>
          <t>FIREWALL_ADVISORY</t>
        </is>
      </c>
      <c r="B1691" s="187" t="inlineStr">
        <is>
          <t>FG-IR</t>
        </is>
      </c>
      <c r="C1691" s="187" t="inlineStr">
        <is>
          <t>Fortinet PSIRT: Request smuggling attack in FortiOS | CVSSv3 Score: 5.2 An HTTP request smuggling vulnerability [CWE-444] in FortiOS may allow an unauthenticated attacker to smuggle an unlogged http request through the firewall policies via a specially c</t>
        </is>
      </c>
      <c r="D1691" s="187" t="n">
        <v>7.5</v>
      </c>
      <c r="E1691" s="187" t="inlineStr">
        <is>
          <t>HIGH</t>
        </is>
      </c>
      <c r="F1691" s="187" t="n">
        <v>2</v>
      </c>
      <c r="G1691" s="187" t="n">
        <v>2</v>
      </c>
      <c r="H1691" s="187" t="inlineStr">
        <is>
          <t>MEDIUM</t>
        </is>
      </c>
      <c r="I1691" s="187" t="n">
        <v>11.5</v>
      </c>
      <c r="J1691" s="187" t="inlineStr">
        <is>
          <t>NO</t>
        </is>
      </c>
      <c r="K1691" s="187" t="inlineStr">
        <is>
          <t>https://fortiguard.fortinet.com/psirt/FG-IR-25-667</t>
        </is>
      </c>
      <c r="L1691" s="187" t="inlineStr">
        <is>
          <t>2026-02-27 20:47</t>
        </is>
      </c>
      <c r="M1691" s="187" t="inlineStr">
        <is>
          <t>YES - Apply vendor patch immediately</t>
        </is>
      </c>
      <c r="N1691" s="187" t="inlineStr">
        <is>
          <t>https://fortiguard.fortinet.com/psirt/FG-IR-25-667</t>
        </is>
      </c>
      <c r="O1691" s="187" t="inlineStr">
        <is>
          <t>Apply Fortinet security patches immediately | Review affected products | Check for workarounds</t>
        </is>
      </c>
      <c r="P1691" s="187" t="inlineStr">
        <is>
          <t>FortiOS / FortiGate / FortiProxy / FortiManager</t>
        </is>
      </c>
      <c r="Q1691" s="187" t="inlineStr">
        <is>
          <t>P3</t>
        </is>
      </c>
      <c r="R1691" s="187" t="inlineStr">
        <is>
          <t>🚫 Block IP at firewall immediately | 🔍 Check logs for existing connections | 🛡️ Add to threat intelligence blocklist</t>
        </is>
      </c>
      <c r="S1691" s="187" t="inlineStr">
        <is>
          <t>Firewall Advisory - Fortinet</t>
        </is>
      </c>
      <c r="T1691" s="187" t="n">
        <v>0</v>
      </c>
      <c r="U1691" s="187" t="n">
        <v>0</v>
      </c>
      <c r="V1691" s="187" t="inlineStr">
        <is>
          <t>T1190:Exploit Public-Facing Application | T1133:External Remote Services</t>
        </is>
      </c>
      <c r="W1691" s="187" t="n">
        <v>2</v>
      </c>
      <c r="X1691" s="187" t="inlineStr">
        <is>
          <t>MEDIUM (52%)</t>
        </is>
      </c>
      <c r="Y1691" s="187" t="inlineStr">
        <is>
          <t>CHECK_VENDOR</t>
        </is>
      </c>
      <c r="Z1691" s="187" t="inlineStr">
        <is>
          <t>YES</t>
        </is>
      </c>
      <c r="AA1691" s="187" t="inlineStr">
        <is>
          <t>https://fortiguard.fortinet.com/psirt/FG-IR-25-667</t>
        </is>
      </c>
      <c r="AB1691" s="187" t="inlineStr">
        <is>
          <t>NONE</t>
        </is>
      </c>
      <c r="AC1691" s="187" t="n">
        <v>0</v>
      </c>
      <c r="AD1691" s="187" t="inlineStr"/>
    </row>
    <row r="1692">
      <c r="A1692" s="187" t="inlineStr">
        <is>
          <t>FIREWALL_ADVISORY</t>
        </is>
      </c>
      <c r="B1692" s="187" t="inlineStr">
        <is>
          <t>FG-IR</t>
        </is>
      </c>
      <c r="C1692" s="187" t="inlineStr">
        <is>
          <t>Fortinet PSIRT: OpenSSL CVE-2025-15467 | CVSSv3 Score: 9.8 CVE-2025-15467Parsing CMS AuthEnvelopedData message with maliciously crafted AEAD parameters can trigger a stack buffer overflow. A stack buffer overflow may lead to a crash, causing</t>
        </is>
      </c>
      <c r="D1692" s="187" t="n">
        <v>7.5</v>
      </c>
      <c r="E1692" s="187" t="inlineStr">
        <is>
          <t>HIGH</t>
        </is>
      </c>
      <c r="F1692" s="187" t="n">
        <v>2</v>
      </c>
      <c r="G1692" s="187" t="n">
        <v>2</v>
      </c>
      <c r="H1692" s="187" t="inlineStr">
        <is>
          <t>MEDIUM</t>
        </is>
      </c>
      <c r="I1692" s="187" t="n">
        <v>11.5</v>
      </c>
      <c r="J1692" s="187" t="inlineStr">
        <is>
          <t>NO</t>
        </is>
      </c>
      <c r="K1692" s="187" t="inlineStr">
        <is>
          <t>https://fortiguard.fortinet.com/psirt/FG-IR-26-076</t>
        </is>
      </c>
      <c r="L1692" s="187" t="inlineStr">
        <is>
          <t>2026-02-27 20:47</t>
        </is>
      </c>
      <c r="M1692" s="187" t="inlineStr">
        <is>
          <t>YES - Apply vendor patch immediately</t>
        </is>
      </c>
      <c r="N1692" s="187" t="inlineStr">
        <is>
          <t>https://fortiguard.fortinet.com/psirt/FG-IR-26-076</t>
        </is>
      </c>
      <c r="O1692" s="187" t="inlineStr">
        <is>
          <t>Apply Fortinet security patches immediately | Review affected products | Check for workarounds</t>
        </is>
      </c>
      <c r="P1692" s="187" t="inlineStr">
        <is>
          <t>FortiOS / FortiGate / FortiProxy / FortiManager</t>
        </is>
      </c>
      <c r="Q1692" s="187" t="inlineStr">
        <is>
          <t>P3</t>
        </is>
      </c>
      <c r="R1692" s="187" t="inlineStr">
        <is>
          <t>🚫 Block IP at firewall immediately | 🔍 Check logs for existing connections | 🛡️ Add to threat intelligence blocklist</t>
        </is>
      </c>
      <c r="S1692" s="187" t="inlineStr">
        <is>
          <t>Firewall Advisory - Fortinet</t>
        </is>
      </c>
      <c r="T1692" s="187" t="n">
        <v>0</v>
      </c>
      <c r="U1692" s="187" t="n">
        <v>0</v>
      </c>
      <c r="V1692" s="187" t="inlineStr">
        <is>
          <t>T1190:Exploit Public-Facing Application | T1133:External Remote Services</t>
        </is>
      </c>
      <c r="W1692" s="187" t="n">
        <v>2</v>
      </c>
      <c r="X1692" s="187" t="inlineStr">
        <is>
          <t>MEDIUM (52%)</t>
        </is>
      </c>
      <c r="Y1692" s="187" t="inlineStr">
        <is>
          <t>CHECK_VENDOR</t>
        </is>
      </c>
      <c r="Z1692" s="187" t="inlineStr">
        <is>
          <t>YES</t>
        </is>
      </c>
      <c r="AA1692" s="187" t="inlineStr">
        <is>
          <t>https://fortiguard.fortinet.com/psirt/FG-IR-26-076</t>
        </is>
      </c>
      <c r="AB1692" s="187" t="inlineStr">
        <is>
          <t>NONE</t>
        </is>
      </c>
      <c r="AC1692" s="187" t="n">
        <v>0</v>
      </c>
      <c r="AD1692" s="187" t="inlineStr"/>
    </row>
    <row r="1693">
      <c r="A1693" s="187" t="inlineStr">
        <is>
          <t>FIREWALL_ADVISORY</t>
        </is>
      </c>
      <c r="B1693" s="187" t="inlineStr">
        <is>
          <t>FG-IR</t>
        </is>
      </c>
      <c r="C1693" s="187"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693" s="187" t="n">
        <v>7.5</v>
      </c>
      <c r="E1693" s="187" t="inlineStr">
        <is>
          <t>HIGH</t>
        </is>
      </c>
      <c r="F1693" s="187" t="n">
        <v>2</v>
      </c>
      <c r="G1693" s="187" t="n">
        <v>2</v>
      </c>
      <c r="H1693" s="187" t="inlineStr">
        <is>
          <t>MEDIUM</t>
        </is>
      </c>
      <c r="I1693" s="187" t="n">
        <v>11.5</v>
      </c>
      <c r="J1693" s="187" t="inlineStr">
        <is>
          <t>NO</t>
        </is>
      </c>
      <c r="K1693" s="187" t="inlineStr">
        <is>
          <t>https://fortiguard.fortinet.com/psirt/FG-IR-25-084</t>
        </is>
      </c>
      <c r="L1693" s="187" t="inlineStr">
        <is>
          <t>2026-02-27 20:47</t>
        </is>
      </c>
      <c r="M1693" s="187" t="inlineStr">
        <is>
          <t>YES - Apply vendor patch immediately</t>
        </is>
      </c>
      <c r="N1693" s="187" t="inlineStr">
        <is>
          <t>https://fortiguard.fortinet.com/psirt/FG-IR-25-084</t>
        </is>
      </c>
      <c r="O1693" s="187" t="inlineStr">
        <is>
          <t>Apply Fortinet security patches immediately | Review affected products | Check for workarounds</t>
        </is>
      </c>
      <c r="P1693" s="187" t="inlineStr">
        <is>
          <t>FortiOS / FortiGate / FortiProxy / FortiManager</t>
        </is>
      </c>
      <c r="Q1693" s="187" t="inlineStr">
        <is>
          <t>P3</t>
        </is>
      </c>
      <c r="R1693" s="187" t="inlineStr">
        <is>
          <t>🚫 Block IP at firewall immediately | 🔍 Check logs for existing connections | 🛡️ Add to threat intelligence blocklist</t>
        </is>
      </c>
      <c r="S1693" s="187" t="inlineStr">
        <is>
          <t>Firewall Advisory - Fortinet</t>
        </is>
      </c>
      <c r="T1693" s="187" t="n">
        <v>0</v>
      </c>
      <c r="U1693" s="187" t="n">
        <v>0</v>
      </c>
      <c r="V1693" s="187" t="inlineStr">
        <is>
          <t>T1190:Exploit Public-Facing Application | T1133:External Remote Services</t>
        </is>
      </c>
      <c r="W1693" s="187" t="n">
        <v>2</v>
      </c>
      <c r="X1693" s="187" t="inlineStr">
        <is>
          <t>MEDIUM (52%)</t>
        </is>
      </c>
      <c r="Y1693" s="187" t="inlineStr">
        <is>
          <t>CHECK_VENDOR</t>
        </is>
      </c>
      <c r="Z1693" s="187" t="inlineStr">
        <is>
          <t>YES</t>
        </is>
      </c>
      <c r="AA1693" s="187" t="inlineStr">
        <is>
          <t>https://fortiguard.fortinet.com/psirt/FG-IR-25-084</t>
        </is>
      </c>
      <c r="AB1693" s="187" t="inlineStr">
        <is>
          <t>NONE</t>
        </is>
      </c>
      <c r="AC1693" s="187" t="n">
        <v>0</v>
      </c>
      <c r="AD1693" s="187" t="inlineStr"/>
    </row>
    <row r="1694">
      <c r="A1694" s="187" t="inlineStr">
        <is>
          <t>FIREWALL_ADVISORY</t>
        </is>
      </c>
      <c r="B1694" s="187" t="inlineStr">
        <is>
          <t>FG-IR</t>
        </is>
      </c>
      <c r="C1694" s="187" t="inlineStr">
        <is>
          <t xml:space="preserve">Fortinet PSIRT: SQL injection in forward module | </t>
        </is>
      </c>
      <c r="D1694" s="187" t="n">
        <v>7.5</v>
      </c>
      <c r="E1694" s="187" t="inlineStr">
        <is>
          <t>HIGH</t>
        </is>
      </c>
      <c r="F1694" s="187" t="n">
        <v>2</v>
      </c>
      <c r="G1694" s="187" t="n">
        <v>2</v>
      </c>
      <c r="H1694" s="187" t="inlineStr">
        <is>
          <t>MEDIUM</t>
        </is>
      </c>
      <c r="I1694" s="187" t="n">
        <v>11.5</v>
      </c>
      <c r="J1694" s="187" t="inlineStr">
        <is>
          <t>NO</t>
        </is>
      </c>
      <c r="K1694" s="187" t="inlineStr">
        <is>
          <t>https://fortiguard.fortinet.com/psirt/#5575</t>
        </is>
      </c>
      <c r="L1694" s="187" t="inlineStr">
        <is>
          <t>2026-02-27 20:47</t>
        </is>
      </c>
      <c r="M1694" s="187" t="inlineStr">
        <is>
          <t>YES - Apply vendor patch immediately</t>
        </is>
      </c>
      <c r="N1694" s="187" t="inlineStr">
        <is>
          <t>https://fortiguard.fortinet.com/psirt/#5575</t>
        </is>
      </c>
      <c r="O1694" s="187" t="inlineStr">
        <is>
          <t>Apply Fortinet security patches immediately | Review affected products | Check for workarounds</t>
        </is>
      </c>
      <c r="P1694" s="187" t="inlineStr">
        <is>
          <t>FortiOS / FortiGate / FortiProxy / FortiManager</t>
        </is>
      </c>
      <c r="Q1694" s="187" t="inlineStr">
        <is>
          <t>P3</t>
        </is>
      </c>
      <c r="R1694" s="187" t="inlineStr">
        <is>
          <t>🚫 Block IP at firewall immediately | 🔍 Check logs for existing connections | 🛡️ Add to threat intelligence blocklist</t>
        </is>
      </c>
      <c r="S1694" s="187" t="inlineStr">
        <is>
          <t>Firewall Advisory - Fortinet</t>
        </is>
      </c>
      <c r="T1694" s="187" t="n">
        <v>0</v>
      </c>
      <c r="U1694" s="187" t="n">
        <v>0</v>
      </c>
      <c r="V1694" s="187" t="inlineStr">
        <is>
          <t>T1190:Exploit Public-Facing Application | T1133:External Remote Services</t>
        </is>
      </c>
      <c r="W1694" s="187" t="n">
        <v>2</v>
      </c>
      <c r="X1694" s="187" t="inlineStr">
        <is>
          <t>MEDIUM (52%)</t>
        </is>
      </c>
      <c r="Y1694" s="187" t="inlineStr">
        <is>
          <t>CHECK_VENDOR</t>
        </is>
      </c>
      <c r="Z1694" s="187" t="inlineStr">
        <is>
          <t>YES</t>
        </is>
      </c>
      <c r="AA1694" s="187" t="inlineStr">
        <is>
          <t>https://fortiguard.fortinet.com/psirt/#5575</t>
        </is>
      </c>
      <c r="AB1694" s="187" t="inlineStr">
        <is>
          <t>NONE</t>
        </is>
      </c>
      <c r="AC1694" s="187" t="n">
        <v>0</v>
      </c>
      <c r="AD1694" s="187" t="inlineStr"/>
    </row>
    <row r="1695">
      <c r="A1695" s="187" t="inlineStr">
        <is>
          <t>FIREWALL_ADVISORY</t>
        </is>
      </c>
      <c r="B1695" s="187" t="inlineStr">
        <is>
          <t>FG-IR</t>
        </is>
      </c>
      <c r="C1695" s="187" t="inlineStr">
        <is>
          <t>Fortinet PSIRT: Arbitrary XML file write in FCConfig | CVSSv3 Score: 6.4 An Improper Link Resolution Before File Access vulnerability [CWE-59] in FortiClient Windows may allow a local low-privilege attacker to perform an arbitrary file write with elevated</t>
        </is>
      </c>
      <c r="D1695" s="187" t="n">
        <v>7.5</v>
      </c>
      <c r="E1695" s="187" t="inlineStr">
        <is>
          <t>HIGH</t>
        </is>
      </c>
      <c r="F1695" s="187" t="n">
        <v>2</v>
      </c>
      <c r="G1695" s="187" t="n">
        <v>2</v>
      </c>
      <c r="H1695" s="187" t="inlineStr">
        <is>
          <t>MEDIUM</t>
        </is>
      </c>
      <c r="I1695" s="187" t="n">
        <v>11.5</v>
      </c>
      <c r="J1695" s="187" t="inlineStr">
        <is>
          <t>NO</t>
        </is>
      </c>
      <c r="K1695" s="187" t="inlineStr">
        <is>
          <t>https://fortiguard.fortinet.com/psirt/FG-IR-25-661</t>
        </is>
      </c>
      <c r="L1695" s="187" t="inlineStr">
        <is>
          <t>2026-02-27 20:47</t>
        </is>
      </c>
      <c r="M1695" s="187" t="inlineStr">
        <is>
          <t>YES - Apply vendor patch immediately</t>
        </is>
      </c>
      <c r="N1695" s="187" t="inlineStr">
        <is>
          <t>https://fortiguard.fortinet.com/psirt/FG-IR-25-661</t>
        </is>
      </c>
      <c r="O1695" s="187" t="inlineStr">
        <is>
          <t>Apply Fortinet security patches immediately | Review affected products | Check for workarounds</t>
        </is>
      </c>
      <c r="P1695" s="187" t="inlineStr">
        <is>
          <t>FortiOS / FortiGate / FortiProxy / FortiManager</t>
        </is>
      </c>
      <c r="Q1695" s="187" t="inlineStr">
        <is>
          <t>P3</t>
        </is>
      </c>
      <c r="R1695" s="187" t="inlineStr">
        <is>
          <t>🚫 Block IP at firewall immediately | 🔍 Check logs for existing connections | 🛡️ Add to threat intelligence blocklist</t>
        </is>
      </c>
      <c r="S1695" s="187" t="inlineStr">
        <is>
          <t>Firewall Advisory - Fortinet</t>
        </is>
      </c>
      <c r="T1695" s="187" t="n">
        <v>0</v>
      </c>
      <c r="U1695" s="187" t="n">
        <v>0</v>
      </c>
      <c r="V1695" s="187" t="inlineStr">
        <is>
          <t>T1190:Exploit Public-Facing Application | T1133:External Remote Services</t>
        </is>
      </c>
      <c r="W1695" s="187" t="n">
        <v>2</v>
      </c>
      <c r="X1695" s="187" t="inlineStr">
        <is>
          <t>MEDIUM (52%)</t>
        </is>
      </c>
      <c r="Y1695" s="187" t="inlineStr">
        <is>
          <t>CHECK_VENDOR</t>
        </is>
      </c>
      <c r="Z1695" s="187" t="inlineStr">
        <is>
          <t>YES</t>
        </is>
      </c>
      <c r="AA1695" s="187" t="inlineStr">
        <is>
          <t>https://fortiguard.fortinet.com/psirt/FG-IR-25-661</t>
        </is>
      </c>
      <c r="AB1695" s="187" t="inlineStr">
        <is>
          <t>NONE</t>
        </is>
      </c>
      <c r="AC1695" s="187" t="n">
        <v>0</v>
      </c>
      <c r="AD1695" s="187" t="inlineStr"/>
    </row>
    <row r="1696">
      <c r="A1696" s="187" t="inlineStr">
        <is>
          <t>FIREWALL_ADVISORY</t>
        </is>
      </c>
      <c r="B1696" s="187" t="inlineStr">
        <is>
          <t>Cisco</t>
        </is>
      </c>
      <c r="C1696" s="187"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1696" s="187" t="n">
        <v>7.5</v>
      </c>
      <c r="E1696" s="187" t="inlineStr">
        <is>
          <t>HIGH</t>
        </is>
      </c>
      <c r="F1696" s="187" t="n">
        <v>2</v>
      </c>
      <c r="G1696" s="187" t="n">
        <v>2</v>
      </c>
      <c r="H1696" s="187" t="inlineStr">
        <is>
          <t>MEDIUM</t>
        </is>
      </c>
      <c r="I1696" s="187" t="n">
        <v>11.5</v>
      </c>
      <c r="J1696" s="187" t="inlineStr">
        <is>
          <t>NO</t>
        </is>
      </c>
      <c r="K1696" s="187" t="inlineStr">
        <is>
          <t>https://sec.cloudapps.cisco.com/security/center/content/CiscoSecurityAdvisory/cisco-sa-sdwan-rpa-EHchtZk?vs_f=Cisco%20Security%20Advisory%26vs_cat=Security%20Intelligence%26vs_type=RSS%26vs_p=Cisco%20Catalyst%20SD-WAN%20Controller%20Authentication%20Bypass%20Vulnerability%26vs_k=1</t>
        </is>
      </c>
      <c r="L1696" s="187" t="inlineStr">
        <is>
          <t>2026-02-27 20:47</t>
        </is>
      </c>
      <c r="M1696" s="187" t="inlineStr">
        <is>
          <t>YES - Apply vendor patch immediately</t>
        </is>
      </c>
      <c r="N1696" s="187" t="inlineStr">
        <is>
          <t>https://sec.cloudapps.cisco.com/security/center/content/CiscoSecurityAdvisory/cisco-sa-sdwan-rpa-EHchtZk?vs_f=Cisco%20Security%20Advisory%26vs_cat=Security%20Intelligence%26vs_type=RSS%26vs_p=Cisco%20Catalyst%20SD-WAN%20Controller%20Authentication%20Bypass%20Vulnerability%26vs_k=1</t>
        </is>
      </c>
      <c r="O1696" s="187" t="inlineStr">
        <is>
          <t>Apply Cisco security patches immediately | Review affected products | Check for workarounds</t>
        </is>
      </c>
      <c r="P1696" s="187" t="inlineStr">
        <is>
          <t>Cisco ASA / Firepower / IOS / FTD / FMC</t>
        </is>
      </c>
      <c r="Q1696" s="187" t="inlineStr">
        <is>
          <t>P3</t>
        </is>
      </c>
      <c r="R1696" s="187" t="inlineStr">
        <is>
          <t>🚫 Block IP at firewall immediately | 🔍 Check logs for existing connections | 🛡️ Add to threat intelligence blocklist</t>
        </is>
      </c>
      <c r="S1696" s="187" t="inlineStr">
        <is>
          <t>Firewall Advisory - Cisco</t>
        </is>
      </c>
      <c r="T1696" s="187" t="n">
        <v>0</v>
      </c>
      <c r="U1696" s="187" t="n">
        <v>0</v>
      </c>
      <c r="V1696" s="187" t="inlineStr">
        <is>
          <t>T1190:Exploit Public-Facing Application | T1133:External Remote Services</t>
        </is>
      </c>
      <c r="W1696" s="187" t="n">
        <v>2</v>
      </c>
      <c r="X1696" s="187" t="inlineStr">
        <is>
          <t>MEDIUM (52%)</t>
        </is>
      </c>
      <c r="Y1696" s="187" t="inlineStr">
        <is>
          <t>CHECK_VENDOR</t>
        </is>
      </c>
      <c r="Z1696" s="187" t="inlineStr">
        <is>
          <t>YES</t>
        </is>
      </c>
      <c r="AA1696" s="187" t="inlineStr">
        <is>
          <t>https://sec.cloudapps.cisco.com/security/center/content/CiscoSecurityAdvisory/cisco-sa-sdwan-rpa-EHchtZk?vs_f=Cisco%20Security%20Advisory%26vs_cat=Security%20Intelligence%26vs_type=RSS%26vs_p=Cisco%20Catalyst%20SD-WAN%20Controller%20Authentication%20Bypass%20Vulnerability%26vs_k=1</t>
        </is>
      </c>
      <c r="AB1696" s="187" t="inlineStr">
        <is>
          <t>NONE</t>
        </is>
      </c>
      <c r="AC1696" s="187" t="n">
        <v>0</v>
      </c>
      <c r="AD1696" s="187" t="inlineStr"/>
    </row>
    <row r="1697">
      <c r="A1697" s="187" t="inlineStr">
        <is>
          <t>FIREWALL_ADVISORY</t>
        </is>
      </c>
      <c r="B1697" s="187" t="inlineStr">
        <is>
          <t>Cisco</t>
        </is>
      </c>
      <c r="C1697" s="187" t="inlineStr">
        <is>
          <t>Cisco PSIRT: Cisco Catalyst SD-WAN Vulnerabilities | Multiple vulnerabilities in Cisco Catalyst SD-WAN Manager, formerly SD-WAN vManage, could allow an attacker to access an affected system, elevate privileges to root, gain access to sensitive informati</t>
        </is>
      </c>
      <c r="D1697" s="187" t="n">
        <v>7.5</v>
      </c>
      <c r="E1697" s="187" t="inlineStr">
        <is>
          <t>HIGH</t>
        </is>
      </c>
      <c r="F1697" s="187" t="n">
        <v>2</v>
      </c>
      <c r="G1697" s="187" t="n">
        <v>2</v>
      </c>
      <c r="H1697" s="187" t="inlineStr">
        <is>
          <t>MEDIUM</t>
        </is>
      </c>
      <c r="I1697" s="187" t="n">
        <v>11.5</v>
      </c>
      <c r="J1697" s="187" t="inlineStr">
        <is>
          <t>NO</t>
        </is>
      </c>
      <c r="K1697" s="187" t="inlineStr">
        <is>
          <t>https://sec.cloudapps.cisco.com/security/center/content/CiscoSecurityAdvisory/cisco-sa-sdwan-authbp-qwCX8D4v?vs_f=Cisco%20Security%20Advisory%26vs_cat=Security%20Intelligence%26vs_type=RSS%26vs_p=Cisco%20Catalyst%20SD-WAN%20Vulnerabilities%26vs_k=1</t>
        </is>
      </c>
      <c r="L1697" s="187" t="inlineStr">
        <is>
          <t>2026-02-27 20:47</t>
        </is>
      </c>
      <c r="M1697" s="187" t="inlineStr">
        <is>
          <t>YES - Apply vendor patch immediately</t>
        </is>
      </c>
      <c r="N1697" s="187" t="inlineStr">
        <is>
          <t>https://sec.cloudapps.cisco.com/security/center/content/CiscoSecurityAdvisory/cisco-sa-sdwan-authbp-qwCX8D4v?vs_f=Cisco%20Security%20Advisory%26vs_cat=Security%20Intelligence%26vs_type=RSS%26vs_p=Cisco%20Catalyst%20SD-WAN%20Vulnerabilities%26vs_k=1</t>
        </is>
      </c>
      <c r="O1697" s="187" t="inlineStr">
        <is>
          <t>Apply Cisco security patches immediately | Review affected products | Check for workarounds</t>
        </is>
      </c>
      <c r="P1697" s="187" t="inlineStr">
        <is>
          <t>Cisco ASA / Firepower / IOS / FTD / FMC</t>
        </is>
      </c>
      <c r="Q1697" s="187" t="inlineStr">
        <is>
          <t>P3</t>
        </is>
      </c>
      <c r="R1697" s="187" t="inlineStr">
        <is>
          <t>🚫 Block IP at firewall immediately | 🔍 Check logs for existing connections | 🛡️ Add to threat intelligence blocklist</t>
        </is>
      </c>
      <c r="S1697" s="187" t="inlineStr">
        <is>
          <t>Firewall Advisory - Cisco</t>
        </is>
      </c>
      <c r="T1697" s="187" t="n">
        <v>0</v>
      </c>
      <c r="U1697" s="187" t="n">
        <v>0</v>
      </c>
      <c r="V1697" s="187" t="inlineStr">
        <is>
          <t>T1190:Exploit Public-Facing Application | T1133:External Remote Services</t>
        </is>
      </c>
      <c r="W1697" s="187" t="n">
        <v>2</v>
      </c>
      <c r="X1697" s="187" t="inlineStr">
        <is>
          <t>MEDIUM (52%)</t>
        </is>
      </c>
      <c r="Y1697" s="187" t="inlineStr">
        <is>
          <t>CHECK_VENDOR</t>
        </is>
      </c>
      <c r="Z1697" s="187" t="inlineStr">
        <is>
          <t>YES</t>
        </is>
      </c>
      <c r="AA1697" s="187" t="inlineStr">
        <is>
          <t>https://sec.cloudapps.cisco.com/security/center/content/CiscoSecurityAdvisory/cisco-sa-sdwan-authbp-qwCX8D4v?vs_f=Cisco%20Security%20Advisory%26vs_cat=Security%20Intelligence%26vs_type=RSS%26vs_p=Cisco%20Catalyst%20SD-WAN%20Vulnerabilities%26vs_k=1</t>
        </is>
      </c>
      <c r="AB1697" s="187" t="inlineStr">
        <is>
          <t>NONE</t>
        </is>
      </c>
      <c r="AC1697" s="187" t="n">
        <v>0</v>
      </c>
      <c r="AD1697" s="187" t="inlineStr"/>
    </row>
    <row r="1698">
      <c r="A1698" s="187" t="inlineStr">
        <is>
          <t>FIREWALL_ADVISORY</t>
        </is>
      </c>
      <c r="B1698" s="187" t="inlineStr">
        <is>
          <t>Cisco</t>
        </is>
      </c>
      <c r="C1698" s="187"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1698" s="187" t="n">
        <v>7.5</v>
      </c>
      <c r="E1698" s="187" t="inlineStr">
        <is>
          <t>HIGH</t>
        </is>
      </c>
      <c r="F1698" s="187" t="n">
        <v>2</v>
      </c>
      <c r="G1698" s="187" t="n">
        <v>2</v>
      </c>
      <c r="H1698" s="187" t="inlineStr">
        <is>
          <t>MEDIUM</t>
        </is>
      </c>
      <c r="I1698" s="187" t="n">
        <v>11.5</v>
      </c>
      <c r="J1698" s="187" t="inlineStr">
        <is>
          <t>NO</t>
        </is>
      </c>
      <c r="K1698" s="187" t="inlineStr">
        <is>
          <t>https://sec.cloudapps.cisco.com/security/center/content/CiscoSecurityAdvisory/cisco-sa-ucsciv-wGYtC78q?vs_f=Cisco%20Security%20Advisory%26vs_cat=Security%20Intelligence%26vs_type=RSS%26vs_p=Cisco%20FXOS%20and%20UCS%20Manager%20Software%20Command%20Injection%20Vulnerability%26vs_k=1</t>
        </is>
      </c>
      <c r="L1698" s="187" t="inlineStr">
        <is>
          <t>2026-02-27 20:47</t>
        </is>
      </c>
      <c r="M1698" s="187" t="inlineStr">
        <is>
          <t>YES - Apply vendor patch immediately</t>
        </is>
      </c>
      <c r="N1698" s="187" t="inlineStr">
        <is>
          <t>https://sec.cloudapps.cisco.com/security/center/content/CiscoSecurityAdvisory/cisco-sa-ucsciv-wGYtC78q?vs_f=Cisco%20Security%20Advisory%26vs_cat=Security%20Intelligence%26vs_type=RSS%26vs_p=Cisco%20FXOS%20and%20UCS%20Manager%20Software%20Command%20Injection%20Vulnerability%26vs_k=1</t>
        </is>
      </c>
      <c r="O1698" s="187" t="inlineStr">
        <is>
          <t>Apply Cisco security patches immediately | Review affected products | Check for workarounds</t>
        </is>
      </c>
      <c r="P1698" s="187" t="inlineStr">
        <is>
          <t>Cisco ASA / Firepower / IOS / FTD / FMC</t>
        </is>
      </c>
      <c r="Q1698" s="187" t="inlineStr">
        <is>
          <t>P3</t>
        </is>
      </c>
      <c r="R1698" s="187" t="inlineStr">
        <is>
          <t>🚫 Block IP at firewall immediately | 🔍 Check logs for existing connections | 🛡️ Add to threat intelligence blocklist</t>
        </is>
      </c>
      <c r="S1698" s="187" t="inlineStr">
        <is>
          <t>Firewall Advisory - Cisco</t>
        </is>
      </c>
      <c r="T1698" s="187" t="n">
        <v>0</v>
      </c>
      <c r="U1698" s="187" t="n">
        <v>0</v>
      </c>
      <c r="V1698" s="187" t="inlineStr">
        <is>
          <t>T1190:Exploit Public-Facing Application | T1133:External Remote Services</t>
        </is>
      </c>
      <c r="W1698" s="187" t="n">
        <v>2</v>
      </c>
      <c r="X1698" s="187" t="inlineStr">
        <is>
          <t>MEDIUM (52%)</t>
        </is>
      </c>
      <c r="Y1698" s="187" t="inlineStr">
        <is>
          <t>CHECK_VENDOR</t>
        </is>
      </c>
      <c r="Z1698" s="187" t="inlineStr">
        <is>
          <t>YES</t>
        </is>
      </c>
      <c r="AA1698" s="187" t="inlineStr">
        <is>
          <t>https://sec.cloudapps.cisco.com/security/center/content/CiscoSecurityAdvisory/cisco-sa-ucsciv-wGYtC78q?vs_f=Cisco%20Security%20Advisory%26vs_cat=Security%20Intelligence%26vs_type=RSS%26vs_p=Cisco%20FXOS%20and%20UCS%20Manager%20Software%20Command%20Injection%20Vulnerability%26vs_k=1</t>
        </is>
      </c>
      <c r="AB1698" s="187" t="inlineStr">
        <is>
          <t>NONE</t>
        </is>
      </c>
      <c r="AC1698" s="187" t="n">
        <v>0</v>
      </c>
      <c r="AD1698" s="187" t="inlineStr"/>
    </row>
    <row r="1699">
      <c r="A1699" s="187" t="inlineStr">
        <is>
          <t>FIREWALL_ADVISORY</t>
        </is>
      </c>
      <c r="B1699" s="187" t="inlineStr">
        <is>
          <t>Cisco</t>
        </is>
      </c>
      <c r="C1699" s="187"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1699" s="187" t="n">
        <v>7.5</v>
      </c>
      <c r="E1699" s="187" t="inlineStr">
        <is>
          <t>HIGH</t>
        </is>
      </c>
      <c r="F1699" s="187" t="n">
        <v>2</v>
      </c>
      <c r="G1699" s="187" t="n">
        <v>2</v>
      </c>
      <c r="H1699" s="187" t="inlineStr">
        <is>
          <t>MEDIUM</t>
        </is>
      </c>
      <c r="I1699" s="187" t="n">
        <v>11.5</v>
      </c>
      <c r="J1699" s="187" t="inlineStr">
        <is>
          <t>NO</t>
        </is>
      </c>
      <c r="K1699" s="187"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1699" s="187" t="inlineStr">
        <is>
          <t>2026-02-27 20:47</t>
        </is>
      </c>
      <c r="M1699" s="187" t="inlineStr">
        <is>
          <t>YES - Apply vendor patch immediately</t>
        </is>
      </c>
      <c r="N1699" s="187"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1699" s="187" t="inlineStr">
        <is>
          <t>Apply Cisco security patches immediately | Review affected products | Check for workarounds</t>
        </is>
      </c>
      <c r="P1699" s="187" t="inlineStr">
        <is>
          <t>Cisco ASA / Firepower / IOS / FTD / FMC</t>
        </is>
      </c>
      <c r="Q1699" s="187" t="inlineStr">
        <is>
          <t>P3</t>
        </is>
      </c>
      <c r="R1699" s="187" t="inlineStr">
        <is>
          <t>🚫 Block IP at firewall immediately | 🔍 Check logs for existing connections | 🛡️ Add to threat intelligence blocklist</t>
        </is>
      </c>
      <c r="S1699" s="187" t="inlineStr">
        <is>
          <t>Firewall Advisory - Cisco</t>
        </is>
      </c>
      <c r="T1699" s="187" t="n">
        <v>0</v>
      </c>
      <c r="U1699" s="187" t="n">
        <v>0</v>
      </c>
      <c r="V1699" s="187" t="inlineStr">
        <is>
          <t>T1190:Exploit Public-Facing Application | T1133:External Remote Services</t>
        </is>
      </c>
      <c r="W1699" s="187" t="n">
        <v>2</v>
      </c>
      <c r="X1699" s="187" t="inlineStr">
        <is>
          <t>MEDIUM (52%)</t>
        </is>
      </c>
      <c r="Y1699" s="187" t="inlineStr">
        <is>
          <t>CHECK_VENDOR</t>
        </is>
      </c>
      <c r="Z1699" s="187" t="inlineStr">
        <is>
          <t>YES</t>
        </is>
      </c>
      <c r="AA1699" s="187"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1699" s="187" t="inlineStr">
        <is>
          <t>NONE</t>
        </is>
      </c>
      <c r="AC1699" s="187" t="n">
        <v>0</v>
      </c>
      <c r="AD1699" s="187" t="inlineStr"/>
    </row>
    <row r="1700">
      <c r="A1700" s="187" t="inlineStr">
        <is>
          <t>FIREWALL_ADVISORY</t>
        </is>
      </c>
      <c r="B1700" s="187" t="inlineStr">
        <is>
          <t>Cisco</t>
        </is>
      </c>
      <c r="C1700" s="187"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1700" s="187" t="n">
        <v>7.5</v>
      </c>
      <c r="E1700" s="187" t="inlineStr">
        <is>
          <t>HIGH</t>
        </is>
      </c>
      <c r="F1700" s="187" t="n">
        <v>2</v>
      </c>
      <c r="G1700" s="187" t="n">
        <v>2</v>
      </c>
      <c r="H1700" s="187" t="inlineStr">
        <is>
          <t>MEDIUM</t>
        </is>
      </c>
      <c r="I1700" s="187" t="n">
        <v>11.5</v>
      </c>
      <c r="J1700" s="187" t="inlineStr">
        <is>
          <t>NO</t>
        </is>
      </c>
      <c r="K1700" s="187"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L1700" s="187" t="inlineStr">
        <is>
          <t>2026-02-27 20:47</t>
        </is>
      </c>
      <c r="M1700" s="187" t="inlineStr">
        <is>
          <t>YES - Apply vendor patch immediately</t>
        </is>
      </c>
      <c r="N1700" s="187"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O1700" s="187" t="inlineStr">
        <is>
          <t>Apply Cisco security patches immediately | Review affected products | Check for workarounds</t>
        </is>
      </c>
      <c r="P1700" s="187" t="inlineStr">
        <is>
          <t>Cisco ASA / Firepower / IOS / FTD / FMC</t>
        </is>
      </c>
      <c r="Q1700" s="187" t="inlineStr">
        <is>
          <t>P3</t>
        </is>
      </c>
      <c r="R1700" s="187" t="inlineStr">
        <is>
          <t>🚫 Block IP at firewall immediately | 🔍 Check logs for existing connections | 🛡️ Add to threat intelligence blocklist</t>
        </is>
      </c>
      <c r="S1700" s="187" t="inlineStr">
        <is>
          <t>Firewall Advisory - Cisco</t>
        </is>
      </c>
      <c r="T1700" s="187" t="n">
        <v>0</v>
      </c>
      <c r="U1700" s="187" t="n">
        <v>0</v>
      </c>
      <c r="V1700" s="187" t="inlineStr">
        <is>
          <t>T1190:Exploit Public-Facing Application | T1133:External Remote Services</t>
        </is>
      </c>
      <c r="W1700" s="187" t="n">
        <v>2</v>
      </c>
      <c r="X1700" s="187" t="inlineStr">
        <is>
          <t>MEDIUM (52%)</t>
        </is>
      </c>
      <c r="Y1700" s="187" t="inlineStr">
        <is>
          <t>CHECK_VENDOR</t>
        </is>
      </c>
      <c r="Z1700" s="187" t="inlineStr">
        <is>
          <t>YES</t>
        </is>
      </c>
      <c r="AA1700" s="187"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AB1700" s="187" t="inlineStr">
        <is>
          <t>NONE</t>
        </is>
      </c>
      <c r="AC1700" s="187" t="n">
        <v>0</v>
      </c>
      <c r="AD1700" s="187" t="inlineStr"/>
    </row>
    <row r="1701">
      <c r="A1701" s="189" t="inlineStr">
        <is>
          <t>FIREWALL_ADVISORY</t>
        </is>
      </c>
      <c r="B1701" s="189" t="inlineStr">
        <is>
          <t>CVE-2026-21902</t>
        </is>
      </c>
      <c r="C1701" s="189" t="inlineStr">
        <is>
          <t>Juniper Networks Advisory: An Incorrect Permission Assignment for Critical Resource vulnerability in the On-Box Anomaly detection framework of Juniper Networks Junos OS Evolved on PTX Series allows an unauthenticated, network-b</t>
        </is>
      </c>
      <c r="D1701" s="189" t="n">
        <v>9</v>
      </c>
      <c r="E1701" s="189" t="inlineStr">
        <is>
          <t>CRITICAL</t>
        </is>
      </c>
      <c r="F1701" s="189" t="n">
        <v>3</v>
      </c>
      <c r="G1701" s="189" t="n">
        <v>3</v>
      </c>
      <c r="H1701" s="189" t="inlineStr">
        <is>
          <t>CRITICAL</t>
        </is>
      </c>
      <c r="I1701" s="189" t="n">
        <v>18</v>
      </c>
      <c r="J1701" s="189" t="inlineStr">
        <is>
          <t>NO</t>
        </is>
      </c>
      <c r="K1701" s="189" t="inlineStr">
        <is>
          <t>https://nvd.nist.gov/vuln/detail/CVE-2026-21902</t>
        </is>
      </c>
      <c r="L1701" s="189" t="inlineStr">
        <is>
          <t>2026-02-27 20:47</t>
        </is>
      </c>
      <c r="M1701" s="189" t="inlineStr">
        <is>
          <t>YES - Apply vendor patch immediately</t>
        </is>
      </c>
      <c r="N1701" s="189" t="inlineStr">
        <is>
          <t>https://nvd.nist.gov/vuln/detail/CVE-2026-21902</t>
        </is>
      </c>
      <c r="O1701" s="189" t="inlineStr">
        <is>
          <t>Apply Juniper Networks security patches immediately | Review affected products | Check for workarounds</t>
        </is>
      </c>
      <c r="P1701" s="189" t="inlineStr">
        <is>
          <t>Junos OS / SRX / MX / EX Series</t>
        </is>
      </c>
      <c r="Q1701" s="189" t="inlineStr">
        <is>
          <t>P1</t>
        </is>
      </c>
      <c r="R1701" s="189" t="inlineStr">
        <is>
          <t>🚫 Block IP at firewall immediately | 🔍 Check logs for existing connections | 🛡️ Add to threat intelligence blocklist</t>
        </is>
      </c>
      <c r="S1701" s="189" t="inlineStr">
        <is>
          <t>Firewall Advisory - Juniper Networks</t>
        </is>
      </c>
      <c r="T1701" s="189" t="n">
        <v>0</v>
      </c>
      <c r="U1701" s="189" t="n">
        <v>0</v>
      </c>
      <c r="V1701" s="189" t="inlineStr">
        <is>
          <t>T1190:Exploit Public-Facing Application | T1133:External Remote Services</t>
        </is>
      </c>
      <c r="W1701" s="189" t="n">
        <v>2</v>
      </c>
      <c r="X1701" s="189" t="inlineStr">
        <is>
          <t>MEDIUM (52%)</t>
        </is>
      </c>
      <c r="Y1701" s="189" t="inlineStr">
        <is>
          <t>CHECK_VENDOR</t>
        </is>
      </c>
      <c r="Z1701" s="189" t="inlineStr">
        <is>
          <t>YES</t>
        </is>
      </c>
      <c r="AA1701" s="189" t="inlineStr">
        <is>
          <t>https://nvd.nist.gov/vuln/detail/CVE-2026-21902</t>
        </is>
      </c>
      <c r="AB1701" s="189" t="inlineStr">
        <is>
          <t>NONE</t>
        </is>
      </c>
      <c r="AC1701" s="189" t="n">
        <v>0</v>
      </c>
      <c r="AD1701" s="189" t="inlineStr"/>
    </row>
    <row r="1702">
      <c r="A1702" s="187" t="inlineStr">
        <is>
          <t>ZDI_ADVISORY</t>
        </is>
      </c>
      <c r="B1702" s="187" t="inlineStr">
        <is>
          <t>ZDI-26-132</t>
        </is>
      </c>
      <c r="C1702" s="187" t="inlineStr">
        <is>
          <t>ZDI Published 0-Day: ZDI-26-132: Siemens SINEC NMS Uncontrolled Search Path Element Local Privilege Escalation Vulnerability | CVEs: CVE-2026-25656 | Product: See ZDI advisory</t>
        </is>
      </c>
      <c r="D1702" s="187" t="n">
        <v>7.5</v>
      </c>
      <c r="E1702" s="187" t="inlineStr">
        <is>
          <t>HIGH</t>
        </is>
      </c>
      <c r="F1702" s="187" t="n">
        <v>3</v>
      </c>
      <c r="G1702" s="187" t="n">
        <v>3</v>
      </c>
      <c r="H1702" s="187" t="inlineStr">
        <is>
          <t>CRITICAL</t>
        </is>
      </c>
      <c r="I1702" s="187" t="n">
        <v>16.5</v>
      </c>
      <c r="J1702" s="187" t="inlineStr">
        <is>
          <t>NO</t>
        </is>
      </c>
      <c r="K1702" s="187" t="inlineStr">
        <is>
          <t>http://www.zerodayinitiative.com/advisories/ZDI-26-132/</t>
        </is>
      </c>
      <c r="L1702" s="187" t="inlineStr">
        <is>
          <t>2026-02-25 06:00</t>
        </is>
      </c>
      <c r="M1702" s="187" t="inlineStr">
        <is>
          <t>CHECK_VENDOR - ZDI published, vendor patch may be pending</t>
        </is>
      </c>
      <c r="N1702" s="187" t="inlineStr">
        <is>
          <t>http://www.zerodayinitiative.com/advisories/ZDI-26-132/</t>
        </is>
      </c>
      <c r="O1702" s="187" t="inlineStr">
        <is>
          <t>ZDI-published 0-day: apply vendor patch IMMEDIATELY | CVEs: CVE-2026-25656</t>
        </is>
      </c>
      <c r="P1702" s="187" t="inlineStr">
        <is>
          <t>See ZDI advisory</t>
        </is>
      </c>
      <c r="Q1702" s="187" t="inlineStr">
        <is>
          <t>P1</t>
        </is>
      </c>
      <c r="R1702" s="187" t="inlineStr">
        <is>
          <t>🎯 ZDI-published 0-day: apply vendor patch immediately | ⚠️ Check ZDI advisory page for workarounds | 🔍 Hunt for exploitation attempts in logs</t>
        </is>
      </c>
      <c r="S1702" s="187" t="inlineStr">
        <is>
          <t>ZDI 0-day advisory - no IP context</t>
        </is>
      </c>
      <c r="T1702" s="187" t="n">
        <v>0.0001</v>
      </c>
      <c r="U1702" s="187" t="n">
        <v>0.0043</v>
      </c>
      <c r="V1702" s="187" t="inlineStr">
        <is>
          <t>T1068:Exploitation for Privilege Escalation</t>
        </is>
      </c>
      <c r="W1702" s="187" t="n">
        <v>2</v>
      </c>
      <c r="X1702" s="187" t="inlineStr">
        <is>
          <t>CONFIRMED (82%)</t>
        </is>
      </c>
      <c r="Y1702" s="187" t="inlineStr">
        <is>
          <t>YES</t>
        </is>
      </c>
      <c r="Z1702" s="187" t="inlineStr">
        <is>
          <t>CHECK_VENDOR</t>
        </is>
      </c>
      <c r="AA1702" s="187" t="inlineStr">
        <is>
          <t>https://security.snyk.io/vuln/CVE-2026-25656</t>
        </is>
      </c>
      <c r="AB1702" s="187" t="inlineStr">
        <is>
          <t>http://www.zerodayinitiative.com/advisories/ZDI-26-132/</t>
        </is>
      </c>
      <c r="AC1702" s="187" t="n">
        <v>0</v>
      </c>
      <c r="AD1702" s="187" t="inlineStr"/>
    </row>
    <row r="1703">
      <c r="A1703" s="187" t="inlineStr">
        <is>
          <t>ZDI_ADVISORY</t>
        </is>
      </c>
      <c r="B1703" s="187" t="inlineStr">
        <is>
          <t>ZDI-26-131</t>
        </is>
      </c>
      <c r="C1703" s="187" t="inlineStr">
        <is>
          <t>ZDI Published 0-Day: ZDI-26-131: Siemens SINEC NMS Uncontrolled Search Path Element Local Privilege Escalation Vulnerability | CVEs: CVE-2026-25655 | Product: See ZDI advisory</t>
        </is>
      </c>
      <c r="D1703" s="187" t="n">
        <v>7.5</v>
      </c>
      <c r="E1703" s="187" t="inlineStr">
        <is>
          <t>HIGH</t>
        </is>
      </c>
      <c r="F1703" s="187" t="n">
        <v>3</v>
      </c>
      <c r="G1703" s="187" t="n">
        <v>3</v>
      </c>
      <c r="H1703" s="187" t="inlineStr">
        <is>
          <t>CRITICAL</t>
        </is>
      </c>
      <c r="I1703" s="187" t="n">
        <v>16.5</v>
      </c>
      <c r="J1703" s="187" t="inlineStr">
        <is>
          <t>NO</t>
        </is>
      </c>
      <c r="K1703" s="187" t="inlineStr">
        <is>
          <t>http://www.zerodayinitiative.com/advisories/ZDI-26-131/</t>
        </is>
      </c>
      <c r="L1703" s="187" t="inlineStr">
        <is>
          <t>2026-02-25 06:00</t>
        </is>
      </c>
      <c r="M1703" s="187" t="inlineStr">
        <is>
          <t>CHECK_VENDOR - ZDI published, vendor patch may be pending</t>
        </is>
      </c>
      <c r="N1703" s="187" t="inlineStr">
        <is>
          <t>http://www.zerodayinitiative.com/advisories/ZDI-26-131/</t>
        </is>
      </c>
      <c r="O1703" s="187" t="inlineStr">
        <is>
          <t>ZDI-published 0-day: apply vendor patch IMMEDIATELY | CVEs: CVE-2026-25655</t>
        </is>
      </c>
      <c r="P1703" s="187" t="inlineStr">
        <is>
          <t>See ZDI advisory</t>
        </is>
      </c>
      <c r="Q1703" s="187" t="inlineStr">
        <is>
          <t>P1</t>
        </is>
      </c>
      <c r="R1703" s="187" t="inlineStr">
        <is>
          <t>🎯 ZDI-published 0-day: apply vendor patch immediately | ⚠️ Check ZDI advisory page for workarounds | 🔍 Hunt for exploitation attempts in logs</t>
        </is>
      </c>
      <c r="S1703" s="187" t="inlineStr">
        <is>
          <t>ZDI 0-day advisory - no IP context</t>
        </is>
      </c>
      <c r="T1703" s="187" t="n">
        <v>0.0001</v>
      </c>
      <c r="U1703" s="187" t="n">
        <v>0.0043</v>
      </c>
      <c r="V1703" s="187" t="inlineStr">
        <is>
          <t>T1068:Exploitation for Privilege Escalation</t>
        </is>
      </c>
      <c r="W1703" s="187" t="n">
        <v>2</v>
      </c>
      <c r="X1703" s="187" t="inlineStr">
        <is>
          <t>CONFIRMED (82%)</t>
        </is>
      </c>
      <c r="Y1703" s="187" t="inlineStr">
        <is>
          <t>YES</t>
        </is>
      </c>
      <c r="Z1703" s="187" t="inlineStr">
        <is>
          <t>CHECK_VENDOR</t>
        </is>
      </c>
      <c r="AA1703" s="187" t="inlineStr">
        <is>
          <t>https://security.snyk.io/vuln/CVE-2026-25655</t>
        </is>
      </c>
      <c r="AB1703" s="187" t="inlineStr">
        <is>
          <t>http://www.zerodayinitiative.com/advisories/ZDI-26-131/</t>
        </is>
      </c>
      <c r="AC1703" s="187" t="n">
        <v>0</v>
      </c>
      <c r="AD1703" s="187" t="inlineStr"/>
    </row>
    <row r="1704">
      <c r="A1704" s="187" t="inlineStr">
        <is>
          <t>ZDI_ADVISORY</t>
        </is>
      </c>
      <c r="B1704" s="187" t="inlineStr">
        <is>
          <t>ZDI-26-130</t>
        </is>
      </c>
      <c r="C1704" s="187" t="inlineStr">
        <is>
          <t>ZDI Published 0-Day: ZDI-26-130: IceWarp collaboration Directory Traversal Information Disclosure Vulnerability | CVEs: CVE-2026-2493 | Product: See ZDI advisory</t>
        </is>
      </c>
      <c r="D1704" s="187" t="n">
        <v>7.5</v>
      </c>
      <c r="E1704" s="187" t="inlineStr">
        <is>
          <t>HIGH</t>
        </is>
      </c>
      <c r="F1704" s="187" t="n">
        <v>3</v>
      </c>
      <c r="G1704" s="187" t="n">
        <v>3</v>
      </c>
      <c r="H1704" s="187" t="inlineStr">
        <is>
          <t>CRITICAL</t>
        </is>
      </c>
      <c r="I1704" s="187" t="n">
        <v>16.5</v>
      </c>
      <c r="J1704" s="187" t="inlineStr">
        <is>
          <t>NO</t>
        </is>
      </c>
      <c r="K1704" s="187" t="inlineStr">
        <is>
          <t>http://www.zerodayinitiative.com/advisories/ZDI-26-130/</t>
        </is>
      </c>
      <c r="L1704" s="187" t="inlineStr">
        <is>
          <t>2026-02-25 06:00</t>
        </is>
      </c>
      <c r="M1704" s="187" t="inlineStr">
        <is>
          <t>CHECK_VENDOR - ZDI published, vendor patch may be pending</t>
        </is>
      </c>
      <c r="N1704" s="187" t="inlineStr">
        <is>
          <t>http://www.zerodayinitiative.com/advisories/ZDI-26-130/</t>
        </is>
      </c>
      <c r="O1704" s="187" t="inlineStr">
        <is>
          <t>ZDI-published 0-day: apply vendor patch IMMEDIATELY | CVEs: CVE-2026-2493</t>
        </is>
      </c>
      <c r="P1704" s="187" t="inlineStr">
        <is>
          <t>See ZDI advisory</t>
        </is>
      </c>
      <c r="Q1704" s="187" t="inlineStr">
        <is>
          <t>P1</t>
        </is>
      </c>
      <c r="R1704" s="187" t="inlineStr">
        <is>
          <t>🎯 ZDI-published 0-day: apply vendor patch immediately | ⚠️ Check ZDI advisory page for workarounds | 🔍 Hunt for exploitation attempts in logs</t>
        </is>
      </c>
      <c r="S1704" s="187" t="inlineStr">
        <is>
          <t>ZDI 0-day advisory - no IP context</t>
        </is>
      </c>
      <c r="T1704" s="187" t="n">
        <v>0</v>
      </c>
      <c r="U1704" s="187" t="n">
        <v>0</v>
      </c>
      <c r="V1704" s="187" t="inlineStr">
        <is>
          <t>T1083:File and Directory Discovery | T1213:Data from Information Repositories</t>
        </is>
      </c>
      <c r="W1704" s="187" t="n">
        <v>2</v>
      </c>
      <c r="X1704" s="187" t="inlineStr">
        <is>
          <t>CONFIRMED (82%)</t>
        </is>
      </c>
      <c r="Y1704" s="187" t="inlineStr">
        <is>
          <t>YES</t>
        </is>
      </c>
      <c r="Z1704" s="187" t="inlineStr">
        <is>
          <t>CHECK_VENDOR</t>
        </is>
      </c>
      <c r="AA1704" s="187" t="inlineStr">
        <is>
          <t>https://security.snyk.io/vuln/CVE-2026-2493</t>
        </is>
      </c>
      <c r="AB1704" s="187" t="inlineStr">
        <is>
          <t>http://www.zerodayinitiative.com/advisories/ZDI-26-130/</t>
        </is>
      </c>
      <c r="AC1704" s="187" t="n">
        <v>0</v>
      </c>
      <c r="AD1704" s="187" t="inlineStr"/>
    </row>
    <row r="1705">
      <c r="A1705" s="187" t="inlineStr">
        <is>
          <t>ZDI_ADVISORY</t>
        </is>
      </c>
      <c r="B1705" s="187" t="inlineStr">
        <is>
          <t>ZDI-26-129</t>
        </is>
      </c>
      <c r="C1705" s="187" t="inlineStr">
        <is>
          <t>ZDI Published 0-Day: ZDI-26-129: Socomec DIRIS A-40 HTTP API Authentication Bypass Vulnerability | CVEs: CVE-2026-2491 | Product: See ZDI advisory</t>
        </is>
      </c>
      <c r="D1705" s="187" t="n">
        <v>7.5</v>
      </c>
      <c r="E1705" s="187" t="inlineStr">
        <is>
          <t>HIGH</t>
        </is>
      </c>
      <c r="F1705" s="187" t="n">
        <v>3</v>
      </c>
      <c r="G1705" s="187" t="n">
        <v>3</v>
      </c>
      <c r="H1705" s="187" t="inlineStr">
        <is>
          <t>CRITICAL</t>
        </is>
      </c>
      <c r="I1705" s="187" t="n">
        <v>16.5</v>
      </c>
      <c r="J1705" s="187" t="inlineStr">
        <is>
          <t>NO</t>
        </is>
      </c>
      <c r="K1705" s="187" t="inlineStr">
        <is>
          <t>http://www.zerodayinitiative.com/advisories/ZDI-26-129/</t>
        </is>
      </c>
      <c r="L1705" s="187" t="inlineStr">
        <is>
          <t>2026-02-25 06:00</t>
        </is>
      </c>
      <c r="M1705" s="187" t="inlineStr">
        <is>
          <t>CHECK_VENDOR - ZDI published, vendor patch may be pending</t>
        </is>
      </c>
      <c r="N1705" s="187" t="inlineStr">
        <is>
          <t>http://www.zerodayinitiative.com/advisories/ZDI-26-129/</t>
        </is>
      </c>
      <c r="O1705" s="187" t="inlineStr">
        <is>
          <t>ZDI-published 0-day: apply vendor patch IMMEDIATELY | CVEs: CVE-2026-2491</t>
        </is>
      </c>
      <c r="P1705" s="187" t="inlineStr">
        <is>
          <t>See ZDI advisory</t>
        </is>
      </c>
      <c r="Q1705" s="187" t="inlineStr">
        <is>
          <t>P1</t>
        </is>
      </c>
      <c r="R1705" s="187" t="inlineStr">
        <is>
          <t>🎯 ZDI-published 0-day: apply vendor patch immediately | ⚠️ Check ZDI advisory page for workarounds | 🔍 Hunt for exploitation attempts in logs</t>
        </is>
      </c>
      <c r="S1705" s="187" t="inlineStr">
        <is>
          <t>ZDI 0-day advisory - no IP context</t>
        </is>
      </c>
      <c r="T1705" s="187" t="n">
        <v>0</v>
      </c>
      <c r="U1705" s="187" t="n">
        <v>0</v>
      </c>
      <c r="V1705" s="187" t="inlineStr">
        <is>
          <t>T1078:Valid Accounts</t>
        </is>
      </c>
      <c r="W1705" s="187" t="n">
        <v>2</v>
      </c>
      <c r="X1705" s="187" t="inlineStr">
        <is>
          <t>CONFIRMED (82%)</t>
        </is>
      </c>
      <c r="Y1705" s="187" t="inlineStr">
        <is>
          <t>YES</t>
        </is>
      </c>
      <c r="Z1705" s="187" t="inlineStr">
        <is>
          <t>CHECK_VENDOR</t>
        </is>
      </c>
      <c r="AA1705" s="187" t="inlineStr">
        <is>
          <t>https://security.snyk.io/vuln/CVE-2026-2491</t>
        </is>
      </c>
      <c r="AB1705" s="187" t="inlineStr">
        <is>
          <t>http://www.zerodayinitiative.com/advisories/ZDI-26-129/</t>
        </is>
      </c>
      <c r="AC1705" s="187" t="n">
        <v>0</v>
      </c>
      <c r="AD1705" s="187" t="inlineStr"/>
    </row>
    <row r="1706">
      <c r="A1706" s="187" t="inlineStr">
        <is>
          <t>ZDI_ADVISORY</t>
        </is>
      </c>
      <c r="B1706" s="187" t="inlineStr">
        <is>
          <t>ZDI-26-128</t>
        </is>
      </c>
      <c r="C1706" s="187" t="inlineStr">
        <is>
          <t>ZDI Published 0-Day: ZDI-26-128: (Pwn2Own) Ubiquiti Networks AI Pro Uncaught Exception Denial-of-Service Vulnerability | CVEs: CVE-2026-21634 | Product: See ZDI advisory</t>
        </is>
      </c>
      <c r="D1706" s="187" t="n">
        <v>7.5</v>
      </c>
      <c r="E1706" s="187" t="inlineStr">
        <is>
          <t>HIGH</t>
        </is>
      </c>
      <c r="F1706" s="187" t="n">
        <v>3</v>
      </c>
      <c r="G1706" s="187" t="n">
        <v>3</v>
      </c>
      <c r="H1706" s="187" t="inlineStr">
        <is>
          <t>CRITICAL</t>
        </is>
      </c>
      <c r="I1706" s="187" t="n">
        <v>16.5</v>
      </c>
      <c r="J1706" s="187" t="inlineStr">
        <is>
          <t>NO</t>
        </is>
      </c>
      <c r="K1706" s="187" t="inlineStr">
        <is>
          <t>http://www.zerodayinitiative.com/advisories/ZDI-26-128/</t>
        </is>
      </c>
      <c r="L1706" s="187" t="inlineStr">
        <is>
          <t>2026-02-25 06:00</t>
        </is>
      </c>
      <c r="M1706" s="187" t="inlineStr">
        <is>
          <t>CHECK_VENDOR - ZDI published, vendor patch may be pending</t>
        </is>
      </c>
      <c r="N1706" s="187" t="inlineStr">
        <is>
          <t>http://www.zerodayinitiative.com/advisories/ZDI-26-128/</t>
        </is>
      </c>
      <c r="O1706" s="187" t="inlineStr">
        <is>
          <t>ZDI-published 0-day: apply vendor patch IMMEDIATELY | CVEs: CVE-2026-21634</t>
        </is>
      </c>
      <c r="P1706" s="187" t="inlineStr">
        <is>
          <t>See ZDI advisory</t>
        </is>
      </c>
      <c r="Q1706" s="187" t="inlineStr">
        <is>
          <t>P1</t>
        </is>
      </c>
      <c r="R1706" s="187" t="inlineStr">
        <is>
          <t>🎯 ZDI-published 0-day: apply vendor patch immediately | ⚠️ Check ZDI advisory page for workarounds | 🔍 Hunt for exploitation attempts in logs</t>
        </is>
      </c>
      <c r="S1706" s="187" t="inlineStr">
        <is>
          <t>ZDI 0-day advisory - no IP context</t>
        </is>
      </c>
      <c r="T1706" s="187" t="n">
        <v>0.0002</v>
      </c>
      <c r="U1706" s="187" t="n">
        <v>0.0508</v>
      </c>
      <c r="V1706" s="187" t="inlineStr">
        <is>
          <t>T1190:Exploit Public-Facing Application</t>
        </is>
      </c>
      <c r="W1706" s="187" t="n">
        <v>2</v>
      </c>
      <c r="X1706" s="187" t="inlineStr">
        <is>
          <t>CONFIRMED (82%)</t>
        </is>
      </c>
      <c r="Y1706" s="187" t="inlineStr">
        <is>
          <t>YES</t>
        </is>
      </c>
      <c r="Z1706" s="187" t="inlineStr">
        <is>
          <t>CHECK_VENDOR</t>
        </is>
      </c>
      <c r="AA1706" s="187" t="inlineStr">
        <is>
          <t>https://security.snyk.io/vuln/CVE-2026-21634</t>
        </is>
      </c>
      <c r="AB1706" s="187" t="inlineStr">
        <is>
          <t>http://www.zerodayinitiative.com/advisories/ZDI-26-128/</t>
        </is>
      </c>
      <c r="AC1706" s="187" t="n">
        <v>0</v>
      </c>
      <c r="AD1706" s="187" t="inlineStr"/>
    </row>
    <row r="1707">
      <c r="A1707" s="187" t="inlineStr">
        <is>
          <t>ZDI_ADVISORY</t>
        </is>
      </c>
      <c r="B1707" s="187" t="inlineStr">
        <is>
          <t>ZDI-26-127</t>
        </is>
      </c>
      <c r="C1707" s="187" t="inlineStr">
        <is>
          <t>ZDI Published 0-Day: ZDI-26-127: (Pwn2Own) Ubiquiti Networks AI Pro Cleartext Transmission Information Disclosure Vulnerability | CVEs: CVE-2026-21633 | Product: See ZDI advisory</t>
        </is>
      </c>
      <c r="D1707" s="187" t="n">
        <v>7.5</v>
      </c>
      <c r="E1707" s="187" t="inlineStr">
        <is>
          <t>HIGH</t>
        </is>
      </c>
      <c r="F1707" s="187" t="n">
        <v>3</v>
      </c>
      <c r="G1707" s="187" t="n">
        <v>3</v>
      </c>
      <c r="H1707" s="187" t="inlineStr">
        <is>
          <t>CRITICAL</t>
        </is>
      </c>
      <c r="I1707" s="187" t="n">
        <v>16.5</v>
      </c>
      <c r="J1707" s="187" t="inlineStr">
        <is>
          <t>NO</t>
        </is>
      </c>
      <c r="K1707" s="187" t="inlineStr">
        <is>
          <t>http://www.zerodayinitiative.com/advisories/ZDI-26-127/</t>
        </is>
      </c>
      <c r="L1707" s="187" t="inlineStr">
        <is>
          <t>2026-02-25 06:00</t>
        </is>
      </c>
      <c r="M1707" s="187" t="inlineStr">
        <is>
          <t>CHECK_VENDOR - ZDI published, vendor patch may be pending</t>
        </is>
      </c>
      <c r="N1707" s="187" t="inlineStr">
        <is>
          <t>http://www.zerodayinitiative.com/advisories/ZDI-26-127/</t>
        </is>
      </c>
      <c r="O1707" s="187" t="inlineStr">
        <is>
          <t>ZDI-published 0-day: apply vendor patch IMMEDIATELY | CVEs: CVE-2026-21633</t>
        </is>
      </c>
      <c r="P1707" s="187" t="inlineStr">
        <is>
          <t>See ZDI advisory</t>
        </is>
      </c>
      <c r="Q1707" s="187" t="inlineStr">
        <is>
          <t>P1</t>
        </is>
      </c>
      <c r="R1707" s="187" t="inlineStr">
        <is>
          <t>🎯 ZDI-published 0-day: apply vendor patch immediately | ⚠️ Check ZDI advisory page for workarounds | 🔍 Hunt for exploitation attempts in logs</t>
        </is>
      </c>
      <c r="S1707" s="187" t="inlineStr">
        <is>
          <t>ZDI 0-day advisory - no IP context</t>
        </is>
      </c>
      <c r="T1707" s="187" t="n">
        <v>0.0005</v>
      </c>
      <c r="U1707" s="187" t="n">
        <v>0.1394</v>
      </c>
      <c r="V1707" s="187" t="inlineStr">
        <is>
          <t>T1213:Data from Information Repositories</t>
        </is>
      </c>
      <c r="W1707" s="187" t="n">
        <v>2</v>
      </c>
      <c r="X1707" s="187" t="inlineStr">
        <is>
          <t>CONFIRMED (82%)</t>
        </is>
      </c>
      <c r="Y1707" s="187" t="inlineStr">
        <is>
          <t>YES</t>
        </is>
      </c>
      <c r="Z1707" s="187" t="inlineStr">
        <is>
          <t>CHECK_VENDOR</t>
        </is>
      </c>
      <c r="AA1707" s="187" t="inlineStr">
        <is>
          <t>https://security.snyk.io/vuln/CVE-2026-21633</t>
        </is>
      </c>
      <c r="AB1707" s="187" t="inlineStr">
        <is>
          <t>http://www.zerodayinitiative.com/advisories/ZDI-26-127/</t>
        </is>
      </c>
      <c r="AC1707" s="187" t="n">
        <v>0</v>
      </c>
      <c r="AD1707" s="187" t="inlineStr"/>
    </row>
    <row r="1708">
      <c r="A1708" s="187" t="inlineStr">
        <is>
          <t>ZDI_ADVISORY</t>
        </is>
      </c>
      <c r="B1708" s="187" t="inlineStr">
        <is>
          <t>ZDI-26-126</t>
        </is>
      </c>
      <c r="C1708" s="187" t="inlineStr">
        <is>
          <t>ZDI Published 0-Day: ZDI-26-126: (Pwn2Own) Ubiquiti Networks AI Pro Discovery Protocol Missing Encryption Protocol Downgrade Vulnerability | CVEs: CVE-2026-21633 | Product: See ZDI advisory</t>
        </is>
      </c>
      <c r="D1708" s="187" t="n">
        <v>7.5</v>
      </c>
      <c r="E1708" s="187" t="inlineStr">
        <is>
          <t>HIGH</t>
        </is>
      </c>
      <c r="F1708" s="187" t="n">
        <v>3</v>
      </c>
      <c r="G1708" s="187" t="n">
        <v>3</v>
      </c>
      <c r="H1708" s="187" t="inlineStr">
        <is>
          <t>CRITICAL</t>
        </is>
      </c>
      <c r="I1708" s="187" t="n">
        <v>16.5</v>
      </c>
      <c r="J1708" s="187" t="inlineStr">
        <is>
          <t>NO</t>
        </is>
      </c>
      <c r="K1708" s="187" t="inlineStr">
        <is>
          <t>http://www.zerodayinitiative.com/advisories/ZDI-26-126/</t>
        </is>
      </c>
      <c r="L1708" s="187" t="inlineStr">
        <is>
          <t>2026-02-25 06:00</t>
        </is>
      </c>
      <c r="M1708" s="187" t="inlineStr">
        <is>
          <t>CHECK_VENDOR - ZDI published, vendor patch may be pending</t>
        </is>
      </c>
      <c r="N1708" s="187" t="inlineStr">
        <is>
          <t>http://www.zerodayinitiative.com/advisories/ZDI-26-126/</t>
        </is>
      </c>
      <c r="O1708" s="187" t="inlineStr">
        <is>
          <t>ZDI-published 0-day: apply vendor patch IMMEDIATELY | CVEs: CVE-2026-21633</t>
        </is>
      </c>
      <c r="P1708" s="187" t="inlineStr">
        <is>
          <t>See ZDI advisory</t>
        </is>
      </c>
      <c r="Q1708" s="187" t="inlineStr">
        <is>
          <t>P1</t>
        </is>
      </c>
      <c r="R1708" s="187" t="inlineStr">
        <is>
          <t>🎯 ZDI-published 0-day: apply vendor patch immediately | ⚠️ Check ZDI advisory page for workarounds | 🔍 Hunt for exploitation attempts in logs</t>
        </is>
      </c>
      <c r="S1708" s="187" t="inlineStr">
        <is>
          <t>ZDI 0-day advisory - no IP context</t>
        </is>
      </c>
      <c r="T1708" s="187" t="n">
        <v>0.0005</v>
      </c>
      <c r="U1708" s="187" t="n">
        <v>0.1394</v>
      </c>
      <c r="V1708" s="187" t="inlineStr">
        <is>
          <t>T1190:Exploit Public-Facing Application</t>
        </is>
      </c>
      <c r="W1708" s="187" t="n">
        <v>2</v>
      </c>
      <c r="X1708" s="187" t="inlineStr">
        <is>
          <t>CONFIRMED (82%)</t>
        </is>
      </c>
      <c r="Y1708" s="187" t="inlineStr">
        <is>
          <t>YES</t>
        </is>
      </c>
      <c r="Z1708" s="187" t="inlineStr">
        <is>
          <t>CHECK_VENDOR</t>
        </is>
      </c>
      <c r="AA1708" s="187" t="inlineStr">
        <is>
          <t>https://security.snyk.io/vuln/CVE-2026-21633</t>
        </is>
      </c>
      <c r="AB1708" s="187" t="inlineStr">
        <is>
          <t>http://www.zerodayinitiative.com/advisories/ZDI-26-126/</t>
        </is>
      </c>
      <c r="AC1708" s="187" t="n">
        <v>0</v>
      </c>
      <c r="AD1708" s="187" t="inlineStr"/>
    </row>
    <row r="1709">
      <c r="A1709" s="187" t="inlineStr">
        <is>
          <t>ZDI_ADVISORY</t>
        </is>
      </c>
      <c r="B1709" s="187" t="inlineStr">
        <is>
          <t>ZDI-26-125</t>
        </is>
      </c>
      <c r="C1709" s="187" t="inlineStr">
        <is>
          <t>ZDI Published 0-Day: ZDI-26-125: Docker Desktop grpcfuse Kernel Module Out-Of-Bounds Read Information Disclosure Vulnerability | CVEs: CVE-2026-2664 | Product: See ZDI advisory</t>
        </is>
      </c>
      <c r="D1709" s="187" t="n">
        <v>7.5</v>
      </c>
      <c r="E1709" s="187" t="inlineStr">
        <is>
          <t>HIGH</t>
        </is>
      </c>
      <c r="F1709" s="187" t="n">
        <v>3</v>
      </c>
      <c r="G1709" s="187" t="n">
        <v>3</v>
      </c>
      <c r="H1709" s="187" t="inlineStr">
        <is>
          <t>CRITICAL</t>
        </is>
      </c>
      <c r="I1709" s="187" t="n">
        <v>16.5</v>
      </c>
      <c r="J1709" s="187" t="inlineStr">
        <is>
          <t>NO</t>
        </is>
      </c>
      <c r="K1709" s="187" t="inlineStr">
        <is>
          <t>http://www.zerodayinitiative.com/advisories/ZDI-26-125/</t>
        </is>
      </c>
      <c r="L1709" s="187" t="inlineStr">
        <is>
          <t>2026-02-25 06:00</t>
        </is>
      </c>
      <c r="M1709" s="187" t="inlineStr">
        <is>
          <t>CHECK_VENDOR - ZDI published, vendor patch may be pending</t>
        </is>
      </c>
      <c r="N1709" s="187" t="inlineStr">
        <is>
          <t>http://www.zerodayinitiative.com/advisories/ZDI-26-125/</t>
        </is>
      </c>
      <c r="O1709" s="187" t="inlineStr">
        <is>
          <t>ZDI-published 0-day: apply vendor patch IMMEDIATELY | CVEs: CVE-2026-2664</t>
        </is>
      </c>
      <c r="P1709" s="187" t="inlineStr">
        <is>
          <t>See ZDI advisory</t>
        </is>
      </c>
      <c r="Q1709" s="187" t="inlineStr">
        <is>
          <t>P1</t>
        </is>
      </c>
      <c r="R1709" s="187" t="inlineStr">
        <is>
          <t>🎯 ZDI-published 0-day: apply vendor patch immediately | ⚠️ Check ZDI advisory page for workarounds | 🔍 Hunt for exploitation attempts in logs</t>
        </is>
      </c>
      <c r="S1709" s="187" t="inlineStr">
        <is>
          <t>ZDI 0-day advisory - no IP context</t>
        </is>
      </c>
      <c r="T1709" s="187" t="n">
        <v>0.0001</v>
      </c>
      <c r="U1709" s="187" t="n">
        <v>0.0251</v>
      </c>
      <c r="V1709" s="187" t="inlineStr">
        <is>
          <t>T1203:Exploitation for Client Execution | T1213:Data from Information Repositories</t>
        </is>
      </c>
      <c r="W1709" s="187" t="n">
        <v>2</v>
      </c>
      <c r="X1709" s="187" t="inlineStr">
        <is>
          <t>CONFIRMED (82%)</t>
        </is>
      </c>
      <c r="Y1709" s="187" t="inlineStr">
        <is>
          <t>YES</t>
        </is>
      </c>
      <c r="Z1709" s="187" t="inlineStr">
        <is>
          <t>CHECK_VENDOR</t>
        </is>
      </c>
      <c r="AA1709" s="187" t="inlineStr">
        <is>
          <t>https://security.snyk.io/vuln/CVE-2026-2664</t>
        </is>
      </c>
      <c r="AB1709" s="187" t="inlineStr">
        <is>
          <t>http://www.zerodayinitiative.com/advisories/ZDI-26-125/</t>
        </is>
      </c>
      <c r="AC1709" s="187" t="n">
        <v>0</v>
      </c>
      <c r="AD1709" s="187" t="inlineStr"/>
    </row>
    <row r="1710">
      <c r="A1710" s="187" t="inlineStr">
        <is>
          <t>ZDI_ADVISORY</t>
        </is>
      </c>
      <c r="B1710" s="187" t="inlineStr">
        <is>
          <t>ZDI-26-124</t>
        </is>
      </c>
      <c r="C1710" s="187" t="inlineStr">
        <is>
          <t>ZDI Published 0-Day: ZDI-26-124: claude-hovercraft executeClaudeCode Command Injection Remote Code Execution Vulnerability | CVEs: CVE-2025-15060 | Product: See ZDI advisory</t>
        </is>
      </c>
      <c r="D1710" s="187" t="n">
        <v>7.5</v>
      </c>
      <c r="E1710" s="187" t="inlineStr">
        <is>
          <t>HIGH</t>
        </is>
      </c>
      <c r="F1710" s="187" t="n">
        <v>3</v>
      </c>
      <c r="G1710" s="187" t="n">
        <v>3</v>
      </c>
      <c r="H1710" s="187" t="inlineStr">
        <is>
          <t>CRITICAL</t>
        </is>
      </c>
      <c r="I1710" s="187" t="n">
        <v>16.5</v>
      </c>
      <c r="J1710" s="187" t="inlineStr">
        <is>
          <t>NO</t>
        </is>
      </c>
      <c r="K1710" s="187" t="inlineStr">
        <is>
          <t>http://www.zerodayinitiative.com/advisories/ZDI-26-124/</t>
        </is>
      </c>
      <c r="L1710" s="187" t="inlineStr">
        <is>
          <t>2026-02-25 06:00</t>
        </is>
      </c>
      <c r="M1710" s="187" t="inlineStr">
        <is>
          <t>CHECK_VENDOR - ZDI published, vendor patch may be pending</t>
        </is>
      </c>
      <c r="N1710" s="187" t="inlineStr">
        <is>
          <t>http://www.zerodayinitiative.com/advisories/ZDI-26-124/</t>
        </is>
      </c>
      <c r="O1710" s="187" t="inlineStr">
        <is>
          <t>ZDI-published 0-day: apply vendor patch IMMEDIATELY | CVEs: CVE-2025-15060</t>
        </is>
      </c>
      <c r="P1710" s="187" t="inlineStr">
        <is>
          <t>See ZDI advisory</t>
        </is>
      </c>
      <c r="Q1710" s="187" t="inlineStr">
        <is>
          <t>P1</t>
        </is>
      </c>
      <c r="R1710" s="187" t="inlineStr">
        <is>
          <t>🎯 ZDI-published 0-day: apply vendor patch immediately | ⚠️ Check ZDI advisory page for workarounds | 🔍 Hunt for exploitation attempts in logs</t>
        </is>
      </c>
      <c r="S1710" s="187" t="inlineStr">
        <is>
          <t>ZDI 0-day advisory - no IP context</t>
        </is>
      </c>
      <c r="T1710" s="187" t="n">
        <v>0</v>
      </c>
      <c r="U1710" s="187" t="n">
        <v>0</v>
      </c>
      <c r="V1710" s="187" t="inlineStr">
        <is>
          <t>T1190:Exploit Public-Facing Application | T1210:Exploitation of Remote Services | T1059:Command and Scripting Interpreter</t>
        </is>
      </c>
      <c r="W1710" s="187" t="n">
        <v>2</v>
      </c>
      <c r="X1710" s="187" t="inlineStr">
        <is>
          <t>CONFIRMED (82%)</t>
        </is>
      </c>
      <c r="Y1710" s="187" t="inlineStr">
        <is>
          <t>YES</t>
        </is>
      </c>
      <c r="Z1710" s="187" t="inlineStr">
        <is>
          <t>CHECK_VENDOR</t>
        </is>
      </c>
      <c r="AA1710" s="187" t="inlineStr">
        <is>
          <t>https://security.snyk.io/vuln/CVE-2025-15060</t>
        </is>
      </c>
      <c r="AB1710" s="187" t="inlineStr">
        <is>
          <t>http://www.zerodayinitiative.com/advisories/ZDI-26-124/</t>
        </is>
      </c>
      <c r="AC1710" s="187" t="n">
        <v>0</v>
      </c>
      <c r="AD1710" s="187" t="inlineStr"/>
    </row>
    <row r="1711">
      <c r="A1711" s="187" t="inlineStr">
        <is>
          <t>ZDI_ADVISORY</t>
        </is>
      </c>
      <c r="B1711" s="187" t="inlineStr">
        <is>
          <t>ZDI-26-123</t>
        </is>
      </c>
      <c r="C1711" s="187" t="inlineStr">
        <is>
          <t>ZDI Published 0-Day: ZDI-26-123: Docker Desktop MCP Server Cleartext Storage of Sensitive Information Vulnerability | CVEs:  | Product: See ZDI advisory</t>
        </is>
      </c>
      <c r="D1711" s="187" t="n">
        <v>7.5</v>
      </c>
      <c r="E1711" s="187" t="inlineStr">
        <is>
          <t>HIGH</t>
        </is>
      </c>
      <c r="F1711" s="187" t="n">
        <v>3</v>
      </c>
      <c r="G1711" s="187" t="n">
        <v>3</v>
      </c>
      <c r="H1711" s="187" t="inlineStr">
        <is>
          <t>CRITICAL</t>
        </is>
      </c>
      <c r="I1711" s="187" t="n">
        <v>16.5</v>
      </c>
      <c r="J1711" s="187" t="inlineStr">
        <is>
          <t>NO</t>
        </is>
      </c>
      <c r="K1711" s="187" t="inlineStr">
        <is>
          <t>http://www.zerodayinitiative.com/advisories/ZDI-26-123/</t>
        </is>
      </c>
      <c r="L1711" s="187" t="inlineStr">
        <is>
          <t>2026-02-23 06:00</t>
        </is>
      </c>
      <c r="M1711" s="187" t="inlineStr">
        <is>
          <t>CHECK_VENDOR - ZDI published, vendor patch may be pending</t>
        </is>
      </c>
      <c r="N1711" s="187" t="inlineStr">
        <is>
          <t>http://www.zerodayinitiative.com/advisories/ZDI-26-123/</t>
        </is>
      </c>
      <c r="O1711" s="187" t="inlineStr">
        <is>
          <t xml:space="preserve">ZDI-published 0-day: apply vendor patch IMMEDIATELY | CVEs: </t>
        </is>
      </c>
      <c r="P1711" s="187" t="inlineStr">
        <is>
          <t>See ZDI advisory</t>
        </is>
      </c>
      <c r="Q1711" s="187" t="inlineStr">
        <is>
          <t>P1</t>
        </is>
      </c>
      <c r="R1711" s="187" t="inlineStr">
        <is>
          <t>🎯 ZDI-published 0-day: apply vendor patch immediately | ⚠️ Check ZDI advisory page for workarounds | 🔍 Hunt for exploitation attempts in logs</t>
        </is>
      </c>
      <c r="S1711" s="187" t="inlineStr">
        <is>
          <t>ZDI 0-day advisory - no IP context</t>
        </is>
      </c>
      <c r="T1711" s="187" t="n">
        <v>0</v>
      </c>
      <c r="U1711" s="187" t="n">
        <v>0</v>
      </c>
      <c r="V1711" s="187" t="inlineStr">
        <is>
          <t>T1190:Exploit Public-Facing Application</t>
        </is>
      </c>
      <c r="W1711" s="187" t="n">
        <v>2</v>
      </c>
      <c r="X1711" s="187" t="inlineStr">
        <is>
          <t>CONFIRMED (82%)</t>
        </is>
      </c>
      <c r="Y1711" s="187" t="inlineStr">
        <is>
          <t>YES</t>
        </is>
      </c>
      <c r="Z1711" s="187" t="inlineStr">
        <is>
          <t>CHECK_VENDOR</t>
        </is>
      </c>
      <c r="AA1711" s="187" t="inlineStr">
        <is>
          <t>http://www.zerodayinitiative.com/advisories/ZDI-26-123/</t>
        </is>
      </c>
      <c r="AB1711" s="187" t="inlineStr">
        <is>
          <t>http://www.zerodayinitiative.com/advisories/ZDI-26-123/</t>
        </is>
      </c>
      <c r="AC1711" s="187" t="n">
        <v>0</v>
      </c>
      <c r="AD1711" s="187" t="inlineStr"/>
    </row>
    <row r="1712">
      <c r="A1712" s="187" t="inlineStr">
        <is>
          <t>ZDI_ADVISORY</t>
        </is>
      </c>
      <c r="B1712" s="187" t="inlineStr">
        <is>
          <t>ZDI-26-122</t>
        </is>
      </c>
      <c r="C1712" s="187" t="inlineStr">
        <is>
          <t>ZDI Published 0-Day: ZDI-26-122: PDF-XChange Editor TrackerUpdate Uncontrolled Search Path Element Local Privilege Escalation Vulnerability | CVEs: CVE-2026-2040 | Product: See ZDI advisory</t>
        </is>
      </c>
      <c r="D1712" s="187" t="n">
        <v>7.5</v>
      </c>
      <c r="E1712" s="187" t="inlineStr">
        <is>
          <t>HIGH</t>
        </is>
      </c>
      <c r="F1712" s="187" t="n">
        <v>3</v>
      </c>
      <c r="G1712" s="187" t="n">
        <v>3</v>
      </c>
      <c r="H1712" s="187" t="inlineStr">
        <is>
          <t>CRITICAL</t>
        </is>
      </c>
      <c r="I1712" s="187" t="n">
        <v>16.5</v>
      </c>
      <c r="J1712" s="187" t="inlineStr">
        <is>
          <t>NO</t>
        </is>
      </c>
      <c r="K1712" s="187" t="inlineStr">
        <is>
          <t>http://www.zerodayinitiative.com/advisories/ZDI-26-122/</t>
        </is>
      </c>
      <c r="L1712" s="187" t="inlineStr">
        <is>
          <t>2026-02-19 06:00</t>
        </is>
      </c>
      <c r="M1712" s="187" t="inlineStr">
        <is>
          <t>CHECK_VENDOR - ZDI published, vendor patch may be pending</t>
        </is>
      </c>
      <c r="N1712" s="187" t="inlineStr">
        <is>
          <t>http://www.zerodayinitiative.com/advisories/ZDI-26-122/</t>
        </is>
      </c>
      <c r="O1712" s="187" t="inlineStr">
        <is>
          <t>ZDI-published 0-day: apply vendor patch IMMEDIATELY | CVEs: CVE-2026-2040</t>
        </is>
      </c>
      <c r="P1712" s="187" t="inlineStr">
        <is>
          <t>See ZDI advisory</t>
        </is>
      </c>
      <c r="Q1712" s="187" t="inlineStr">
        <is>
          <t>P1</t>
        </is>
      </c>
      <c r="R1712" s="187" t="inlineStr">
        <is>
          <t>🎯 ZDI-published 0-day: apply vendor patch immediately | ⚠️ Check ZDI advisory page for workarounds | 🔍 Hunt for exploitation attempts in logs</t>
        </is>
      </c>
      <c r="S1712" s="187" t="inlineStr">
        <is>
          <t>ZDI 0-day advisory - no IP context</t>
        </is>
      </c>
      <c r="T1712" s="187" t="n">
        <v>0.0001</v>
      </c>
      <c r="U1712" s="187" t="n">
        <v>0.0257</v>
      </c>
      <c r="V1712" s="187" t="inlineStr">
        <is>
          <t>T1068:Exploitation for Privilege Escalation</t>
        </is>
      </c>
      <c r="W1712" s="187" t="n">
        <v>2</v>
      </c>
      <c r="X1712" s="187" t="inlineStr">
        <is>
          <t>CONFIRMED (82%)</t>
        </is>
      </c>
      <c r="Y1712" s="187" t="inlineStr">
        <is>
          <t>YES</t>
        </is>
      </c>
      <c r="Z1712" s="187" t="inlineStr">
        <is>
          <t>CHECK_VENDOR</t>
        </is>
      </c>
      <c r="AA1712" s="187" t="inlineStr">
        <is>
          <t>https://security.snyk.io/vuln/CVE-2026-2040</t>
        </is>
      </c>
      <c r="AB1712" s="187" t="inlineStr">
        <is>
          <t>http://www.zerodayinitiative.com/advisories/ZDI-26-122/</t>
        </is>
      </c>
      <c r="AC1712" s="187" t="n">
        <v>0</v>
      </c>
      <c r="AD1712" s="187" t="inlineStr"/>
    </row>
    <row r="1713">
      <c r="A1713" s="187" t="inlineStr">
        <is>
          <t>ZDI_ADVISORY</t>
        </is>
      </c>
      <c r="B1713" s="187" t="inlineStr">
        <is>
          <t>ZDI-26-121</t>
        </is>
      </c>
      <c r="C1713" s="187" t="inlineStr">
        <is>
          <t>ZDI Published 0-Day: ZDI-26-121: GIMP XWD File Parsing Out-Of-Bounds Write Remote Code Execution Vulnerability | CVEs: CVE-2026-2048 | Product: See ZDI advisory</t>
        </is>
      </c>
      <c r="D1713" s="187" t="n">
        <v>7.5</v>
      </c>
      <c r="E1713" s="187" t="inlineStr">
        <is>
          <t>HIGH</t>
        </is>
      </c>
      <c r="F1713" s="187" t="n">
        <v>3</v>
      </c>
      <c r="G1713" s="187" t="n">
        <v>3</v>
      </c>
      <c r="H1713" s="187" t="inlineStr">
        <is>
          <t>CRITICAL</t>
        </is>
      </c>
      <c r="I1713" s="187" t="n">
        <v>16.5</v>
      </c>
      <c r="J1713" s="187" t="inlineStr">
        <is>
          <t>NO</t>
        </is>
      </c>
      <c r="K1713" s="187" t="inlineStr">
        <is>
          <t>http://www.zerodayinitiative.com/advisories/ZDI-26-121/</t>
        </is>
      </c>
      <c r="L1713" s="187" t="inlineStr">
        <is>
          <t>2026-02-19 06:00</t>
        </is>
      </c>
      <c r="M1713" s="187" t="inlineStr">
        <is>
          <t>CHECK_VENDOR - ZDI published, vendor patch may be pending</t>
        </is>
      </c>
      <c r="N1713" s="187" t="inlineStr">
        <is>
          <t>http://www.zerodayinitiative.com/advisories/ZDI-26-121/</t>
        </is>
      </c>
      <c r="O1713" s="187" t="inlineStr">
        <is>
          <t>ZDI-published 0-day: apply vendor patch IMMEDIATELY | CVEs: CVE-2026-2048</t>
        </is>
      </c>
      <c r="P1713" s="187" t="inlineStr">
        <is>
          <t>See ZDI advisory</t>
        </is>
      </c>
      <c r="Q1713" s="187" t="inlineStr">
        <is>
          <t>P1</t>
        </is>
      </c>
      <c r="R1713" s="187" t="inlineStr">
        <is>
          <t>🎯 ZDI-published 0-day: apply vendor patch immediately | ⚠️ Check ZDI advisory page for workarounds | 🔍 Hunt for exploitation attempts in logs</t>
        </is>
      </c>
      <c r="S1713" s="187" t="inlineStr">
        <is>
          <t>ZDI 0-day advisory - no IP context</t>
        </is>
      </c>
      <c r="T1713" s="187" t="n">
        <v>0.0008</v>
      </c>
      <c r="U1713" s="187" t="n">
        <v>0.2351</v>
      </c>
      <c r="V1713" s="187" t="inlineStr">
        <is>
          <t>T1190:Exploit Public-Facing Application | T1210:Exploitation of Remote Services | T1203:Exploitation for Client Execution</t>
        </is>
      </c>
      <c r="W1713" s="187" t="n">
        <v>2</v>
      </c>
      <c r="X1713" s="187" t="inlineStr">
        <is>
          <t>CONFIRMED (82%)</t>
        </is>
      </c>
      <c r="Y1713" s="187" t="inlineStr">
        <is>
          <t>YES</t>
        </is>
      </c>
      <c r="Z1713" s="187" t="inlineStr">
        <is>
          <t>CHECK_VENDOR</t>
        </is>
      </c>
      <c r="AA1713" s="187" t="inlineStr">
        <is>
          <t>https://security.snyk.io/vuln/CVE-2026-2048</t>
        </is>
      </c>
      <c r="AB1713" s="187" t="inlineStr">
        <is>
          <t>http://www.zerodayinitiative.com/advisories/ZDI-26-121/</t>
        </is>
      </c>
      <c r="AC1713" s="187" t="n">
        <v>0</v>
      </c>
      <c r="AD1713" s="187" t="inlineStr"/>
    </row>
    <row r="1714">
      <c r="A1714" s="187" t="inlineStr">
        <is>
          <t>ZDI_ADVISORY</t>
        </is>
      </c>
      <c r="B1714" s="187" t="inlineStr">
        <is>
          <t>ZDI-26-120</t>
        </is>
      </c>
      <c r="C1714" s="187" t="inlineStr">
        <is>
          <t>ZDI Published 0-Day: ZDI-26-120: GIMP ICNS File Parsing Heap-based Buffer Overflow Remote Code Execution Vulnerability | CVEs: CVE-2026-2047 | Product: See ZDI advisory</t>
        </is>
      </c>
      <c r="D1714" s="187" t="n">
        <v>7.5</v>
      </c>
      <c r="E1714" s="187" t="inlineStr">
        <is>
          <t>HIGH</t>
        </is>
      </c>
      <c r="F1714" s="187" t="n">
        <v>3</v>
      </c>
      <c r="G1714" s="187" t="n">
        <v>3</v>
      </c>
      <c r="H1714" s="187" t="inlineStr">
        <is>
          <t>CRITICAL</t>
        </is>
      </c>
      <c r="I1714" s="187" t="n">
        <v>16.5</v>
      </c>
      <c r="J1714" s="187" t="inlineStr">
        <is>
          <t>NO</t>
        </is>
      </c>
      <c r="K1714" s="187" t="inlineStr">
        <is>
          <t>http://www.zerodayinitiative.com/advisories/ZDI-26-120/</t>
        </is>
      </c>
      <c r="L1714" s="187" t="inlineStr">
        <is>
          <t>2026-02-19 06:00</t>
        </is>
      </c>
      <c r="M1714" s="187" t="inlineStr">
        <is>
          <t>CHECK_VENDOR - ZDI published, vendor patch may be pending</t>
        </is>
      </c>
      <c r="N1714" s="187" t="inlineStr">
        <is>
          <t>http://www.zerodayinitiative.com/advisories/ZDI-26-120/</t>
        </is>
      </c>
      <c r="O1714" s="187" t="inlineStr">
        <is>
          <t>ZDI-published 0-day: apply vendor patch IMMEDIATELY | CVEs: CVE-2026-2047</t>
        </is>
      </c>
      <c r="P1714" s="187" t="inlineStr">
        <is>
          <t>See ZDI advisory</t>
        </is>
      </c>
      <c r="Q1714" s="187" t="inlineStr">
        <is>
          <t>P1</t>
        </is>
      </c>
      <c r="R1714" s="187" t="inlineStr">
        <is>
          <t>🎯 ZDI-published 0-day: apply vendor patch immediately | ⚠️ Check ZDI advisory page for workarounds | 🔍 Hunt for exploitation attempts in logs</t>
        </is>
      </c>
      <c r="S1714" s="187" t="inlineStr">
        <is>
          <t>ZDI 0-day advisory - no IP context</t>
        </is>
      </c>
      <c r="T1714" s="187" t="n">
        <v>0.0005999999999999999</v>
      </c>
      <c r="U1714" s="187" t="n">
        <v>0.1804</v>
      </c>
      <c r="V1714" s="187" t="inlineStr">
        <is>
          <t>T1190:Exploit Public-Facing Application | T1210:Exploitation of Remote Services | T1203:Exploitation for Client Execution</t>
        </is>
      </c>
      <c r="W1714" s="187" t="n">
        <v>2</v>
      </c>
      <c r="X1714" s="187" t="inlineStr">
        <is>
          <t>CONFIRMED (82%)</t>
        </is>
      </c>
      <c r="Y1714" s="187" t="inlineStr">
        <is>
          <t>YES</t>
        </is>
      </c>
      <c r="Z1714" s="187" t="inlineStr">
        <is>
          <t>CHECK_VENDOR</t>
        </is>
      </c>
      <c r="AA1714" s="187" t="inlineStr">
        <is>
          <t>https://security.snyk.io/vuln/CVE-2026-2047</t>
        </is>
      </c>
      <c r="AB1714" s="187" t="inlineStr">
        <is>
          <t>http://www.zerodayinitiative.com/advisories/ZDI-26-120/</t>
        </is>
      </c>
      <c r="AC1714" s="187" t="n">
        <v>0</v>
      </c>
      <c r="AD1714" s="187" t="inlineStr"/>
    </row>
    <row r="1715">
      <c r="A1715" s="187" t="inlineStr">
        <is>
          <t>ZDI_ADVISORY</t>
        </is>
      </c>
      <c r="B1715" s="187" t="inlineStr">
        <is>
          <t>ZDI-26-119</t>
        </is>
      </c>
      <c r="C1715" s="187" t="inlineStr">
        <is>
          <t>ZDI Published 0-Day: ZDI-26-119: GIMP XWD File Parsing Out-Of-Bounds Write Remote Code Execution Vulnerability | CVEs: CVE-2026-2045 | Product: See ZDI advisory</t>
        </is>
      </c>
      <c r="D1715" s="187" t="n">
        <v>7.5</v>
      </c>
      <c r="E1715" s="187" t="inlineStr">
        <is>
          <t>HIGH</t>
        </is>
      </c>
      <c r="F1715" s="187" t="n">
        <v>3</v>
      </c>
      <c r="G1715" s="187" t="n">
        <v>3</v>
      </c>
      <c r="H1715" s="187" t="inlineStr">
        <is>
          <t>CRITICAL</t>
        </is>
      </c>
      <c r="I1715" s="187" t="n">
        <v>16.5</v>
      </c>
      <c r="J1715" s="187" t="inlineStr">
        <is>
          <t>NO</t>
        </is>
      </c>
      <c r="K1715" s="187" t="inlineStr">
        <is>
          <t>http://www.zerodayinitiative.com/advisories/ZDI-26-119/</t>
        </is>
      </c>
      <c r="L1715" s="187" t="inlineStr">
        <is>
          <t>2026-02-19 06:00</t>
        </is>
      </c>
      <c r="M1715" s="187" t="inlineStr">
        <is>
          <t>CHECK_VENDOR - ZDI published, vendor patch may be pending</t>
        </is>
      </c>
      <c r="N1715" s="187" t="inlineStr">
        <is>
          <t>http://www.zerodayinitiative.com/advisories/ZDI-26-119/</t>
        </is>
      </c>
      <c r="O1715" s="187" t="inlineStr">
        <is>
          <t>ZDI-published 0-day: apply vendor patch IMMEDIATELY | CVEs: CVE-2026-2045</t>
        </is>
      </c>
      <c r="P1715" s="187" t="inlineStr">
        <is>
          <t>See ZDI advisory</t>
        </is>
      </c>
      <c r="Q1715" s="187" t="inlineStr">
        <is>
          <t>P1</t>
        </is>
      </c>
      <c r="R1715" s="187" t="inlineStr">
        <is>
          <t>🎯 ZDI-published 0-day: apply vendor patch immediately | ⚠️ Check ZDI advisory page for workarounds | 🔍 Hunt for exploitation attempts in logs</t>
        </is>
      </c>
      <c r="S1715" s="187" t="inlineStr">
        <is>
          <t>ZDI 0-day advisory - no IP context</t>
        </is>
      </c>
      <c r="T1715" s="187" t="n">
        <v>0.0008</v>
      </c>
      <c r="U1715" s="187" t="n">
        <v>0.2351</v>
      </c>
      <c r="V1715" s="187" t="inlineStr">
        <is>
          <t>T1190:Exploit Public-Facing Application | T1210:Exploitation of Remote Services | T1203:Exploitation for Client Execution</t>
        </is>
      </c>
      <c r="W1715" s="187" t="n">
        <v>2</v>
      </c>
      <c r="X1715" s="187" t="inlineStr">
        <is>
          <t>CONFIRMED (82%)</t>
        </is>
      </c>
      <c r="Y1715" s="187" t="inlineStr">
        <is>
          <t>YES</t>
        </is>
      </c>
      <c r="Z1715" s="187" t="inlineStr">
        <is>
          <t>CHECK_VENDOR</t>
        </is>
      </c>
      <c r="AA1715" s="187" t="inlineStr">
        <is>
          <t>https://security.snyk.io/vuln/CVE-2026-2045</t>
        </is>
      </c>
      <c r="AB1715" s="187" t="inlineStr">
        <is>
          <t>http://www.zerodayinitiative.com/advisories/ZDI-26-119/</t>
        </is>
      </c>
      <c r="AC1715" s="187" t="n">
        <v>0</v>
      </c>
      <c r="AD1715" s="187" t="inlineStr"/>
    </row>
    <row r="1716">
      <c r="A1716" s="187" t="inlineStr">
        <is>
          <t>ZDI_ADVISORY</t>
        </is>
      </c>
      <c r="B1716" s="187" t="inlineStr">
        <is>
          <t>ZDI-26-118</t>
        </is>
      </c>
      <c r="C1716" s="187" t="inlineStr">
        <is>
          <t>ZDI Published 0-Day: ZDI-26-118: GIMP PGM File Parsing Uninitialized Memory Remote Code Execution Vulnerability | CVEs: CVE-2026-2044 | Product: See ZDI advisory</t>
        </is>
      </c>
      <c r="D1716" s="187" t="n">
        <v>7.5</v>
      </c>
      <c r="E1716" s="187" t="inlineStr">
        <is>
          <t>HIGH</t>
        </is>
      </c>
      <c r="F1716" s="187" t="n">
        <v>3</v>
      </c>
      <c r="G1716" s="187" t="n">
        <v>3</v>
      </c>
      <c r="H1716" s="187" t="inlineStr">
        <is>
          <t>CRITICAL</t>
        </is>
      </c>
      <c r="I1716" s="187" t="n">
        <v>16.5</v>
      </c>
      <c r="J1716" s="187" t="inlineStr">
        <is>
          <t>NO</t>
        </is>
      </c>
      <c r="K1716" s="187" t="inlineStr">
        <is>
          <t>http://www.zerodayinitiative.com/advisories/ZDI-26-118/</t>
        </is>
      </c>
      <c r="L1716" s="187" t="inlineStr">
        <is>
          <t>2026-02-19 06:00</t>
        </is>
      </c>
      <c r="M1716" s="187" t="inlineStr">
        <is>
          <t>CHECK_VENDOR - ZDI published, vendor patch may be pending</t>
        </is>
      </c>
      <c r="N1716" s="187" t="inlineStr">
        <is>
          <t>http://www.zerodayinitiative.com/advisories/ZDI-26-118/</t>
        </is>
      </c>
      <c r="O1716" s="187" t="inlineStr">
        <is>
          <t>ZDI-published 0-day: apply vendor patch IMMEDIATELY | CVEs: CVE-2026-2044</t>
        </is>
      </c>
      <c r="P1716" s="187" t="inlineStr">
        <is>
          <t>See ZDI advisory</t>
        </is>
      </c>
      <c r="Q1716" s="187" t="inlineStr">
        <is>
          <t>P1</t>
        </is>
      </c>
      <c r="R1716" s="187" t="inlineStr">
        <is>
          <t>🎯 ZDI-published 0-day: apply vendor patch immediately | ⚠️ Check ZDI advisory page for workarounds | 🔍 Hunt for exploitation attempts in logs</t>
        </is>
      </c>
      <c r="S1716" s="187" t="inlineStr">
        <is>
          <t>ZDI 0-day advisory - no IP context</t>
        </is>
      </c>
      <c r="T1716" s="187" t="n">
        <v>0.0005999999999999999</v>
      </c>
      <c r="U1716" s="187" t="n">
        <v>0.1967</v>
      </c>
      <c r="V1716" s="187" t="inlineStr">
        <is>
          <t>T1190:Exploit Public-Facing Application | T1210:Exploitation of Remote Services</t>
        </is>
      </c>
      <c r="W1716" s="187" t="n">
        <v>2</v>
      </c>
      <c r="X1716" s="187" t="inlineStr">
        <is>
          <t>CONFIRMED (82%)</t>
        </is>
      </c>
      <c r="Y1716" s="187" t="inlineStr">
        <is>
          <t>YES</t>
        </is>
      </c>
      <c r="Z1716" s="187" t="inlineStr">
        <is>
          <t>CHECK_VENDOR</t>
        </is>
      </c>
      <c r="AA1716" s="187" t="inlineStr">
        <is>
          <t>https://security.snyk.io/vuln/CVE-2026-2044</t>
        </is>
      </c>
      <c r="AB1716" s="187" t="inlineStr">
        <is>
          <t>http://www.zerodayinitiative.com/advisories/ZDI-26-118/</t>
        </is>
      </c>
      <c r="AC1716" s="187" t="n">
        <v>0</v>
      </c>
      <c r="AD1716" s="187" t="inlineStr"/>
    </row>
    <row r="1717">
      <c r="A1717" s="187" t="inlineStr">
        <is>
          <t>ZDI_ADVISORY</t>
        </is>
      </c>
      <c r="B1717" s="187" t="inlineStr">
        <is>
          <t>ZDI-26-117</t>
        </is>
      </c>
      <c r="C1717" s="187" t="inlineStr">
        <is>
          <t>ZDI Published 0-Day: ZDI-26-117: RustDesk Client for Windows Transfer File Link Following Information Disclosure Vulnerability | CVEs: CVE-2026-2490 | Product: See ZDI advisory</t>
        </is>
      </c>
      <c r="D1717" s="187" t="n">
        <v>7.5</v>
      </c>
      <c r="E1717" s="187" t="inlineStr">
        <is>
          <t>HIGH</t>
        </is>
      </c>
      <c r="F1717" s="187" t="n">
        <v>3</v>
      </c>
      <c r="G1717" s="187" t="n">
        <v>3</v>
      </c>
      <c r="H1717" s="187" t="inlineStr">
        <is>
          <t>CRITICAL</t>
        </is>
      </c>
      <c r="I1717" s="187" t="n">
        <v>16.5</v>
      </c>
      <c r="J1717" s="187" t="inlineStr">
        <is>
          <t>NO</t>
        </is>
      </c>
      <c r="K1717" s="187" t="inlineStr">
        <is>
          <t>http://www.zerodayinitiative.com/advisories/ZDI-26-117/</t>
        </is>
      </c>
      <c r="L1717" s="187" t="inlineStr">
        <is>
          <t>2026-02-19 06:00</t>
        </is>
      </c>
      <c r="M1717" s="187" t="inlineStr">
        <is>
          <t>CHECK_VENDOR - ZDI published, vendor patch may be pending</t>
        </is>
      </c>
      <c r="N1717" s="187" t="inlineStr">
        <is>
          <t>http://www.zerodayinitiative.com/advisories/ZDI-26-117/</t>
        </is>
      </c>
      <c r="O1717" s="187" t="inlineStr">
        <is>
          <t>ZDI-published 0-day: apply vendor patch IMMEDIATELY | CVEs: CVE-2026-2490</t>
        </is>
      </c>
      <c r="P1717" s="187" t="inlineStr">
        <is>
          <t>See ZDI advisory</t>
        </is>
      </c>
      <c r="Q1717" s="187" t="inlineStr">
        <is>
          <t>P1</t>
        </is>
      </c>
      <c r="R1717" s="187" t="inlineStr">
        <is>
          <t>🎯 ZDI-published 0-day: apply vendor patch immediately | ⚠️ Check ZDI advisory page for workarounds | 🔍 Hunt for exploitation attempts in logs</t>
        </is>
      </c>
      <c r="S1717" s="187" t="inlineStr">
        <is>
          <t>ZDI 0-day advisory - no IP context</t>
        </is>
      </c>
      <c r="T1717" s="187" t="n">
        <v>0.0002</v>
      </c>
      <c r="U1717" s="187" t="n">
        <v>0.0376</v>
      </c>
      <c r="V1717" s="187" t="inlineStr">
        <is>
          <t>T1213:Data from Information Repositories</t>
        </is>
      </c>
      <c r="W1717" s="187" t="n">
        <v>2</v>
      </c>
      <c r="X1717" s="187" t="inlineStr">
        <is>
          <t>CONFIRMED (82%)</t>
        </is>
      </c>
      <c r="Y1717" s="187" t="inlineStr">
        <is>
          <t>YES</t>
        </is>
      </c>
      <c r="Z1717" s="187" t="inlineStr">
        <is>
          <t>CHECK_VENDOR</t>
        </is>
      </c>
      <c r="AA1717" s="187" t="inlineStr">
        <is>
          <t>https://security.snyk.io/vuln/CVE-2026-2490</t>
        </is>
      </c>
      <c r="AB1717" s="187" t="inlineStr">
        <is>
          <t>http://www.zerodayinitiative.com/advisories/ZDI-26-117/</t>
        </is>
      </c>
      <c r="AC1717" s="187" t="n">
        <v>0</v>
      </c>
      <c r="AD1717" s="187" t="inlineStr"/>
    </row>
    <row r="1718">
      <c r="A1718" s="187" t="inlineStr">
        <is>
          <t>ZDI_ADVISORY</t>
        </is>
      </c>
      <c r="B1718" s="187" t="inlineStr">
        <is>
          <t>ZDI-26-116</t>
        </is>
      </c>
      <c r="C1718" s="187" t="inlineStr">
        <is>
          <t>ZDI Published 0-Day: ZDI-26-116: TensorFlow HDF5 Library Uncontrolled Search Path Element Local Privilege Escalation Vulnerability | CVEs: CVE-2026-2492 | Product: See ZDI advisory</t>
        </is>
      </c>
      <c r="D1718" s="187" t="n">
        <v>7.5</v>
      </c>
      <c r="E1718" s="187" t="inlineStr">
        <is>
          <t>HIGH</t>
        </is>
      </c>
      <c r="F1718" s="187" t="n">
        <v>3</v>
      </c>
      <c r="G1718" s="187" t="n">
        <v>3</v>
      </c>
      <c r="H1718" s="187" t="inlineStr">
        <is>
          <t>CRITICAL</t>
        </is>
      </c>
      <c r="I1718" s="187" t="n">
        <v>16.5</v>
      </c>
      <c r="J1718" s="187" t="inlineStr">
        <is>
          <t>NO</t>
        </is>
      </c>
      <c r="K1718" s="187" t="inlineStr">
        <is>
          <t>http://www.zerodayinitiative.com/advisories/ZDI-26-116/</t>
        </is>
      </c>
      <c r="L1718" s="187" t="inlineStr">
        <is>
          <t>2026-02-19 06:00</t>
        </is>
      </c>
      <c r="M1718" s="187" t="inlineStr">
        <is>
          <t>CHECK_VENDOR - ZDI published, vendor patch may be pending</t>
        </is>
      </c>
      <c r="N1718" s="187" t="inlineStr">
        <is>
          <t>http://www.zerodayinitiative.com/advisories/ZDI-26-116/</t>
        </is>
      </c>
      <c r="O1718" s="187" t="inlineStr">
        <is>
          <t>ZDI-published 0-day: apply vendor patch IMMEDIATELY | CVEs: CVE-2026-2492</t>
        </is>
      </c>
      <c r="P1718" s="187" t="inlineStr">
        <is>
          <t>See ZDI advisory</t>
        </is>
      </c>
      <c r="Q1718" s="187" t="inlineStr">
        <is>
          <t>P1</t>
        </is>
      </c>
      <c r="R1718" s="187" t="inlineStr">
        <is>
          <t>🎯 ZDI-published 0-day: apply vendor patch immediately | ⚠️ Check ZDI advisory page for workarounds | 🔍 Hunt for exploitation attempts in logs</t>
        </is>
      </c>
      <c r="S1718" s="187" t="inlineStr">
        <is>
          <t>ZDI 0-day advisory - no IP context</t>
        </is>
      </c>
      <c r="T1718" s="187" t="n">
        <v>0.0002</v>
      </c>
      <c r="U1718" s="187" t="n">
        <v>0.0326</v>
      </c>
      <c r="V1718" s="187" t="inlineStr">
        <is>
          <t>T1068:Exploitation for Privilege Escalation</t>
        </is>
      </c>
      <c r="W1718" s="187" t="n">
        <v>2</v>
      </c>
      <c r="X1718" s="187" t="inlineStr">
        <is>
          <t>CONFIRMED (82%)</t>
        </is>
      </c>
      <c r="Y1718" s="187" t="inlineStr">
        <is>
          <t>YES</t>
        </is>
      </c>
      <c r="Z1718" s="187" t="inlineStr">
        <is>
          <t>CHECK_VENDOR</t>
        </is>
      </c>
      <c r="AA1718" s="187" t="inlineStr">
        <is>
          <t>https://security.snyk.io/vuln/CVE-2026-2492</t>
        </is>
      </c>
      <c r="AB1718" s="187" t="inlineStr">
        <is>
          <t>http://www.zerodayinitiative.com/advisories/ZDI-26-116/</t>
        </is>
      </c>
      <c r="AC1718" s="187" t="n">
        <v>0</v>
      </c>
      <c r="AD1718" s="187" t="inlineStr"/>
    </row>
    <row r="1719">
      <c r="A1719" s="187" t="inlineStr">
        <is>
          <t>ZDI_ADVISORY</t>
        </is>
      </c>
      <c r="B1719" s="187" t="inlineStr">
        <is>
          <t>ZDI-26-115</t>
        </is>
      </c>
      <c r="C1719" s="187" t="inlineStr">
        <is>
          <t>ZDI Published 0-Day: ZDI-26-115: Fortinet FortiClient VPN FCConfig Utility Link Following Local Privilege Escalation Vulnerability | CVEs: CVE-2025-62676 | Product: See ZDI advisory</t>
        </is>
      </c>
      <c r="D1719" s="187" t="n">
        <v>7.5</v>
      </c>
      <c r="E1719" s="187" t="inlineStr">
        <is>
          <t>HIGH</t>
        </is>
      </c>
      <c r="F1719" s="187" t="n">
        <v>3</v>
      </c>
      <c r="G1719" s="187" t="n">
        <v>3</v>
      </c>
      <c r="H1719" s="187" t="inlineStr">
        <is>
          <t>CRITICAL</t>
        </is>
      </c>
      <c r="I1719" s="187" t="n">
        <v>16.5</v>
      </c>
      <c r="J1719" s="187" t="inlineStr">
        <is>
          <t>NO</t>
        </is>
      </c>
      <c r="K1719" s="187" t="inlineStr">
        <is>
          <t>http://www.zerodayinitiative.com/advisories/ZDI-26-115/</t>
        </is>
      </c>
      <c r="L1719" s="187" t="inlineStr">
        <is>
          <t>2026-02-19 06:00</t>
        </is>
      </c>
      <c r="M1719" s="187" t="inlineStr">
        <is>
          <t>CHECK_VENDOR - ZDI published, vendor patch may be pending</t>
        </is>
      </c>
      <c r="N1719" s="187" t="inlineStr">
        <is>
          <t>http://www.zerodayinitiative.com/advisories/ZDI-26-115/</t>
        </is>
      </c>
      <c r="O1719" s="187" t="inlineStr">
        <is>
          <t>ZDI-published 0-day: apply vendor patch IMMEDIATELY | CVEs: CVE-2025-62676</t>
        </is>
      </c>
      <c r="P1719" s="187" t="inlineStr">
        <is>
          <t>See ZDI advisory</t>
        </is>
      </c>
      <c r="Q1719" s="187" t="inlineStr">
        <is>
          <t>P1</t>
        </is>
      </c>
      <c r="R1719" s="187" t="inlineStr">
        <is>
          <t>🎯 ZDI-published 0-day: apply vendor patch immediately | ⚠️ Check ZDI advisory page for workarounds | 🔍 Hunt for exploitation attempts in logs</t>
        </is>
      </c>
      <c r="S1719" s="187" t="inlineStr">
        <is>
          <t>ZDI 0-day advisory - no IP context</t>
        </is>
      </c>
      <c r="T1719" s="187" t="n">
        <v>0.0001</v>
      </c>
      <c r="U1719" s="187" t="n">
        <v>0.0019</v>
      </c>
      <c r="V1719" s="187" t="inlineStr">
        <is>
          <t>T1068:Exploitation for Privilege Escalation | T1133:External Remote Services</t>
        </is>
      </c>
      <c r="W1719" s="187" t="n">
        <v>2</v>
      </c>
      <c r="X1719" s="187" t="inlineStr">
        <is>
          <t>CONFIRMED (82%)</t>
        </is>
      </c>
      <c r="Y1719" s="187" t="inlineStr">
        <is>
          <t>YES</t>
        </is>
      </c>
      <c r="Z1719" s="187" t="inlineStr">
        <is>
          <t>CHECK_VENDOR</t>
        </is>
      </c>
      <c r="AA1719" s="187" t="inlineStr">
        <is>
          <t>https://security.snyk.io/vuln/CVE-2025-62676</t>
        </is>
      </c>
      <c r="AB1719" s="187" t="inlineStr">
        <is>
          <t>http://www.zerodayinitiative.com/advisories/ZDI-26-115/</t>
        </is>
      </c>
      <c r="AC1719" s="187" t="n">
        <v>0</v>
      </c>
      <c r="AD1719" s="187" t="inlineStr"/>
    </row>
    <row r="1720">
      <c r="A1720" s="187" t="inlineStr">
        <is>
          <t>ZDI_ADVISORY</t>
        </is>
      </c>
      <c r="B1720" s="187" t="inlineStr">
        <is>
          <t>ZDI-26-114</t>
        </is>
      </c>
      <c r="C1720" s="187" t="inlineStr">
        <is>
          <t>ZDI Published 0-Day: ZDI-26-114: Dassault Systèmes eDrawings Viewer EPRT File Parsing Out-Of-Bounds Write Remote Code Execution Vulnerability | CVEs: CVE-2026-1335 | Product: See ZDI advisory</t>
        </is>
      </c>
      <c r="D1720" s="187" t="n">
        <v>7.5</v>
      </c>
      <c r="E1720" s="187" t="inlineStr">
        <is>
          <t>HIGH</t>
        </is>
      </c>
      <c r="F1720" s="187" t="n">
        <v>3</v>
      </c>
      <c r="G1720" s="187" t="n">
        <v>3</v>
      </c>
      <c r="H1720" s="187" t="inlineStr">
        <is>
          <t>CRITICAL</t>
        </is>
      </c>
      <c r="I1720" s="187" t="n">
        <v>16.5</v>
      </c>
      <c r="J1720" s="187" t="inlineStr">
        <is>
          <t>NO</t>
        </is>
      </c>
      <c r="K1720" s="187" t="inlineStr">
        <is>
          <t>http://www.zerodayinitiative.com/advisories/ZDI-26-114/</t>
        </is>
      </c>
      <c r="L1720" s="187" t="inlineStr">
        <is>
          <t>2026-02-19 06:00</t>
        </is>
      </c>
      <c r="M1720" s="187" t="inlineStr">
        <is>
          <t>CHECK_VENDOR - ZDI published, vendor patch may be pending</t>
        </is>
      </c>
      <c r="N1720" s="187" t="inlineStr">
        <is>
          <t>http://www.zerodayinitiative.com/advisories/ZDI-26-114/</t>
        </is>
      </c>
      <c r="O1720" s="187" t="inlineStr">
        <is>
          <t>ZDI-published 0-day: apply vendor patch IMMEDIATELY | CVEs: CVE-2026-1335</t>
        </is>
      </c>
      <c r="P1720" s="187" t="inlineStr">
        <is>
          <t>See ZDI advisory</t>
        </is>
      </c>
      <c r="Q1720" s="187" t="inlineStr">
        <is>
          <t>P1</t>
        </is>
      </c>
      <c r="R1720" s="187" t="inlineStr">
        <is>
          <t>🎯 ZDI-published 0-day: apply vendor patch immediately | ⚠️ Check ZDI advisory page for workarounds | 🔍 Hunt for exploitation attempts in logs</t>
        </is>
      </c>
      <c r="S1720" s="187" t="inlineStr">
        <is>
          <t>ZDI 0-day advisory - no IP context</t>
        </is>
      </c>
      <c r="T1720" s="187" t="n">
        <v>0.0002</v>
      </c>
      <c r="U1720" s="187" t="n">
        <v>0.0513</v>
      </c>
      <c r="V1720" s="187" t="inlineStr">
        <is>
          <t>T1190:Exploit Public-Facing Application | T1210:Exploitation of Remote Services | T1203:Exploitation for Client Execution</t>
        </is>
      </c>
      <c r="W1720" s="187" t="n">
        <v>2</v>
      </c>
      <c r="X1720" s="187" t="inlineStr">
        <is>
          <t>CONFIRMED (82%)</t>
        </is>
      </c>
      <c r="Y1720" s="187" t="inlineStr">
        <is>
          <t>YES</t>
        </is>
      </c>
      <c r="Z1720" s="187" t="inlineStr">
        <is>
          <t>CHECK_VENDOR</t>
        </is>
      </c>
      <c r="AA1720" s="187" t="inlineStr">
        <is>
          <t>https://security.snyk.io/vuln/CVE-2026-1335</t>
        </is>
      </c>
      <c r="AB1720" s="187" t="inlineStr">
        <is>
          <t>http://www.zerodayinitiative.com/advisories/ZDI-26-114/</t>
        </is>
      </c>
      <c r="AC1720" s="187" t="n">
        <v>0</v>
      </c>
      <c r="AD1720" s="187" t="inlineStr"/>
    </row>
    <row r="1721">
      <c r="A1721" s="187" t="inlineStr">
        <is>
          <t>ZDI_ADVISORY</t>
        </is>
      </c>
      <c r="B1721" s="187" t="inlineStr">
        <is>
          <t>ZDI-26-113</t>
        </is>
      </c>
      <c r="C1721" s="187" t="inlineStr">
        <is>
          <t>ZDI Published 0-Day: ZDI-26-113: Dassault Systèmes eDrawings Viewer EPRT File Parsing Memory Corruption Remote Code Execution Vulnerability | CVEs: CVE-2026-1334 | Product: See ZDI advisory</t>
        </is>
      </c>
      <c r="D1721" s="187" t="n">
        <v>7.5</v>
      </c>
      <c r="E1721" s="187" t="inlineStr">
        <is>
          <t>HIGH</t>
        </is>
      </c>
      <c r="F1721" s="187" t="n">
        <v>3</v>
      </c>
      <c r="G1721" s="187" t="n">
        <v>3</v>
      </c>
      <c r="H1721" s="187" t="inlineStr">
        <is>
          <t>CRITICAL</t>
        </is>
      </c>
      <c r="I1721" s="187" t="n">
        <v>16.5</v>
      </c>
      <c r="J1721" s="187" t="inlineStr">
        <is>
          <t>NO</t>
        </is>
      </c>
      <c r="K1721" s="187" t="inlineStr">
        <is>
          <t>http://www.zerodayinitiative.com/advisories/ZDI-26-113/</t>
        </is>
      </c>
      <c r="L1721" s="187" t="inlineStr">
        <is>
          <t>2026-02-19 06:00</t>
        </is>
      </c>
      <c r="M1721" s="187" t="inlineStr">
        <is>
          <t>CHECK_VENDOR - ZDI published, vendor patch may be pending</t>
        </is>
      </c>
      <c r="N1721" s="187" t="inlineStr">
        <is>
          <t>http://www.zerodayinitiative.com/advisories/ZDI-26-113/</t>
        </is>
      </c>
      <c r="O1721" s="187" t="inlineStr">
        <is>
          <t>ZDI-published 0-day: apply vendor patch IMMEDIATELY | CVEs: CVE-2026-1334</t>
        </is>
      </c>
      <c r="P1721" s="187" t="inlineStr">
        <is>
          <t>See ZDI advisory</t>
        </is>
      </c>
      <c r="Q1721" s="187" t="inlineStr">
        <is>
          <t>P1</t>
        </is>
      </c>
      <c r="R1721" s="187" t="inlineStr">
        <is>
          <t>🎯 ZDI-published 0-day: apply vendor patch immediately | ⚠️ Check ZDI advisory page for workarounds | 🔍 Hunt for exploitation attempts in logs</t>
        </is>
      </c>
      <c r="S1721" s="187" t="inlineStr">
        <is>
          <t>ZDI 0-day advisory - no IP context</t>
        </is>
      </c>
      <c r="T1721" s="187" t="n">
        <v>0.0002</v>
      </c>
      <c r="U1721" s="187" t="n">
        <v>0.0346</v>
      </c>
      <c r="V1721" s="187" t="inlineStr">
        <is>
          <t>T1190:Exploit Public-Facing Application | T1210:Exploitation of Remote Services | T1203:Exploitation for Client Execution</t>
        </is>
      </c>
      <c r="W1721" s="187" t="n">
        <v>2</v>
      </c>
      <c r="X1721" s="187" t="inlineStr">
        <is>
          <t>CONFIRMED (82%)</t>
        </is>
      </c>
      <c r="Y1721" s="187" t="inlineStr">
        <is>
          <t>YES</t>
        </is>
      </c>
      <c r="Z1721" s="187" t="inlineStr">
        <is>
          <t>CHECK_VENDOR</t>
        </is>
      </c>
      <c r="AA1721" s="187" t="inlineStr">
        <is>
          <t>https://security.snyk.io/vuln/CVE-2026-1334</t>
        </is>
      </c>
      <c r="AB1721" s="187" t="inlineStr">
        <is>
          <t>http://www.zerodayinitiative.com/advisories/ZDI-26-113/</t>
        </is>
      </c>
      <c r="AC1721" s="187" t="n">
        <v>0</v>
      </c>
      <c r="AD1721" s="187" t="inlineStr"/>
    </row>
    <row r="1722">
      <c r="A1722" s="187" t="inlineStr">
        <is>
          <t>ZDI_ADVISORY</t>
        </is>
      </c>
      <c r="B1722" s="187" t="inlineStr">
        <is>
          <t>ZDI-26-112</t>
        </is>
      </c>
      <c r="C1722" s="187" t="inlineStr">
        <is>
          <t>ZDI Published 0-Day: ZDI-26-112: Dassault Systèmes eDrawings Viewer EPRT File Parsing Uninitialized Variable Remote Code Execution Vulnerability | CVEs: CVE-2026-1333 | Product: See ZDI advisory</t>
        </is>
      </c>
      <c r="D1722" s="187" t="n">
        <v>7.5</v>
      </c>
      <c r="E1722" s="187" t="inlineStr">
        <is>
          <t>HIGH</t>
        </is>
      </c>
      <c r="F1722" s="187" t="n">
        <v>3</v>
      </c>
      <c r="G1722" s="187" t="n">
        <v>3</v>
      </c>
      <c r="H1722" s="187" t="inlineStr">
        <is>
          <t>CRITICAL</t>
        </is>
      </c>
      <c r="I1722" s="187" t="n">
        <v>16.5</v>
      </c>
      <c r="J1722" s="187" t="inlineStr">
        <is>
          <t>NO</t>
        </is>
      </c>
      <c r="K1722" s="187" t="inlineStr">
        <is>
          <t>http://www.zerodayinitiative.com/advisories/ZDI-26-112/</t>
        </is>
      </c>
      <c r="L1722" s="187" t="inlineStr">
        <is>
          <t>2026-02-19 06:00</t>
        </is>
      </c>
      <c r="M1722" s="187" t="inlineStr">
        <is>
          <t>CHECK_VENDOR - ZDI published, vendor patch may be pending</t>
        </is>
      </c>
      <c r="N1722" s="187" t="inlineStr">
        <is>
          <t>http://www.zerodayinitiative.com/advisories/ZDI-26-112/</t>
        </is>
      </c>
      <c r="O1722" s="187" t="inlineStr">
        <is>
          <t>ZDI-published 0-day: apply vendor patch IMMEDIATELY | CVEs: CVE-2026-1333</t>
        </is>
      </c>
      <c r="P1722" s="187" t="inlineStr">
        <is>
          <t>See ZDI advisory</t>
        </is>
      </c>
      <c r="Q1722" s="187" t="inlineStr">
        <is>
          <t>P1</t>
        </is>
      </c>
      <c r="R1722" s="187" t="inlineStr">
        <is>
          <t>🎯 ZDI-published 0-day: apply vendor patch immediately | ⚠️ Check ZDI advisory page for workarounds | 🔍 Hunt for exploitation attempts in logs</t>
        </is>
      </c>
      <c r="S1722" s="187" t="inlineStr">
        <is>
          <t>ZDI 0-day advisory - no IP context</t>
        </is>
      </c>
      <c r="T1722" s="187" t="n">
        <v>0.0002</v>
      </c>
      <c r="U1722" s="187" t="n">
        <v>0.0346</v>
      </c>
      <c r="V1722" s="187" t="inlineStr">
        <is>
          <t>T1190:Exploit Public-Facing Application | T1210:Exploitation of Remote Services</t>
        </is>
      </c>
      <c r="W1722" s="187" t="n">
        <v>2</v>
      </c>
      <c r="X1722" s="187" t="inlineStr">
        <is>
          <t>CONFIRMED (82%)</t>
        </is>
      </c>
      <c r="Y1722" s="187" t="inlineStr">
        <is>
          <t>YES</t>
        </is>
      </c>
      <c r="Z1722" s="187" t="inlineStr">
        <is>
          <t>CHECK_VENDOR</t>
        </is>
      </c>
      <c r="AA1722" s="187" t="inlineStr">
        <is>
          <t>https://security.snyk.io/vuln/CVE-2026-1333</t>
        </is>
      </c>
      <c r="AB1722" s="187" t="inlineStr">
        <is>
          <t>http://www.zerodayinitiative.com/advisories/ZDI-26-112/</t>
        </is>
      </c>
      <c r="AC1722" s="187" t="n">
        <v>0</v>
      </c>
      <c r="AD1722" s="187" t="inlineStr"/>
    </row>
    <row r="1723">
      <c r="A1723" s="187" t="inlineStr">
        <is>
          <t>ZDI_ADVISORY</t>
        </is>
      </c>
      <c r="B1723" s="187" t="inlineStr">
        <is>
          <t>ZDI-26-111</t>
        </is>
      </c>
      <c r="C1723" s="187" t="inlineStr">
        <is>
          <t>ZDI Published 0-Day: ZDI-26-111: MLflow Use of Default Password Authentication Bypass Vulnerability | CVEs: CVE-2026-2635 | Product: See ZDI advisory</t>
        </is>
      </c>
      <c r="D1723" s="187" t="n">
        <v>7.5</v>
      </c>
      <c r="E1723" s="187" t="inlineStr">
        <is>
          <t>HIGH</t>
        </is>
      </c>
      <c r="F1723" s="187" t="n">
        <v>3</v>
      </c>
      <c r="G1723" s="187" t="n">
        <v>3</v>
      </c>
      <c r="H1723" s="187" t="inlineStr">
        <is>
          <t>CRITICAL</t>
        </is>
      </c>
      <c r="I1723" s="187" t="n">
        <v>16.5</v>
      </c>
      <c r="J1723" s="187" t="inlineStr">
        <is>
          <t>NO</t>
        </is>
      </c>
      <c r="K1723" s="187" t="inlineStr">
        <is>
          <t>http://www.zerodayinitiative.com/advisories/ZDI-26-111/</t>
        </is>
      </c>
      <c r="L1723" s="187" t="inlineStr">
        <is>
          <t>2026-02-19 06:00</t>
        </is>
      </c>
      <c r="M1723" s="187" t="inlineStr">
        <is>
          <t>CHECK_VENDOR - ZDI published, vendor patch may be pending</t>
        </is>
      </c>
      <c r="N1723" s="187" t="inlineStr">
        <is>
          <t>http://www.zerodayinitiative.com/advisories/ZDI-26-111/</t>
        </is>
      </c>
      <c r="O1723" s="187" t="inlineStr">
        <is>
          <t>ZDI-published 0-day: apply vendor patch IMMEDIATELY | CVEs: CVE-2026-2635</t>
        </is>
      </c>
      <c r="P1723" s="187" t="inlineStr">
        <is>
          <t>See ZDI advisory</t>
        </is>
      </c>
      <c r="Q1723" s="187" t="inlineStr">
        <is>
          <t>P1</t>
        </is>
      </c>
      <c r="R1723" s="187" t="inlineStr">
        <is>
          <t>🎯 ZDI-published 0-day: apply vendor patch immediately | ⚠️ Check ZDI advisory page for workarounds | 🔍 Hunt for exploitation attempts in logs</t>
        </is>
      </c>
      <c r="S1723" s="187" t="inlineStr">
        <is>
          <t>ZDI 0-day advisory - no IP context</t>
        </is>
      </c>
      <c r="T1723" s="187" t="n">
        <v>0.0139</v>
      </c>
      <c r="U1723" s="187" t="n">
        <v>0.8011</v>
      </c>
      <c r="V1723" s="187" t="inlineStr">
        <is>
          <t>T1078:Valid Accounts</t>
        </is>
      </c>
      <c r="W1723" s="187" t="n">
        <v>2</v>
      </c>
      <c r="X1723" s="187" t="inlineStr">
        <is>
          <t>CONFIRMED (82%)</t>
        </is>
      </c>
      <c r="Y1723" s="187" t="inlineStr">
        <is>
          <t>YES</t>
        </is>
      </c>
      <c r="Z1723" s="187" t="inlineStr">
        <is>
          <t>CHECK_VENDOR</t>
        </is>
      </c>
      <c r="AA1723" s="187" t="inlineStr">
        <is>
          <t>https://security.snyk.io/vuln/CVE-2026-2635</t>
        </is>
      </c>
      <c r="AB1723" s="187" t="inlineStr">
        <is>
          <t>http://www.zerodayinitiative.com/advisories/ZDI-26-111/</t>
        </is>
      </c>
      <c r="AC1723" s="187" t="n">
        <v>0</v>
      </c>
      <c r="AD1723" s="187" t="inlineStr"/>
    </row>
    <row r="1724">
      <c r="A1724" s="187" t="inlineStr">
        <is>
          <t>ZDI_ADVISORY</t>
        </is>
      </c>
      <c r="B1724" s="187" t="inlineStr">
        <is>
          <t>ZDI-26-110</t>
        </is>
      </c>
      <c r="C1724" s="187" t="inlineStr">
        <is>
          <t>ZDI Published 0-Day: ZDI-26-110: Bosch Rexroth IndraWorks Print Settings File Parsing Deserialization Of Untrusted Data Remote Code Execution Vulnerability | CVEs: CVE-2025-60038, CVE-2025-60037 | Product: See ZDI advisory</t>
        </is>
      </c>
      <c r="D1724" s="187" t="n">
        <v>7.5</v>
      </c>
      <c r="E1724" s="187" t="inlineStr">
        <is>
          <t>HIGH</t>
        </is>
      </c>
      <c r="F1724" s="187" t="n">
        <v>3</v>
      </c>
      <c r="G1724" s="187" t="n">
        <v>3</v>
      </c>
      <c r="H1724" s="187" t="inlineStr">
        <is>
          <t>CRITICAL</t>
        </is>
      </c>
      <c r="I1724" s="187" t="n">
        <v>16.5</v>
      </c>
      <c r="J1724" s="187" t="inlineStr">
        <is>
          <t>NO</t>
        </is>
      </c>
      <c r="K1724" s="187" t="inlineStr">
        <is>
          <t>http://www.zerodayinitiative.com/advisories/ZDI-26-110/</t>
        </is>
      </c>
      <c r="L1724" s="187" t="inlineStr">
        <is>
          <t>2026-02-19 06:00</t>
        </is>
      </c>
      <c r="M1724" s="187" t="inlineStr">
        <is>
          <t>CHECK_VENDOR - ZDI published, vendor patch may be pending</t>
        </is>
      </c>
      <c r="N1724" s="187" t="inlineStr">
        <is>
          <t>http://www.zerodayinitiative.com/advisories/ZDI-26-110/</t>
        </is>
      </c>
      <c r="O1724" s="187" t="inlineStr">
        <is>
          <t>ZDI-published 0-day: apply vendor patch IMMEDIATELY | CVEs: CVE-2025-60038, CVE-2025-60037</t>
        </is>
      </c>
      <c r="P1724" s="187" t="inlineStr">
        <is>
          <t>See ZDI advisory</t>
        </is>
      </c>
      <c r="Q1724" s="187" t="inlineStr">
        <is>
          <t>P1</t>
        </is>
      </c>
      <c r="R1724" s="187" t="inlineStr">
        <is>
          <t>🎯 ZDI-published 0-day: apply vendor patch immediately | ⚠️ Check ZDI advisory page for workarounds | 🔍 Hunt for exploitation attempts in logs</t>
        </is>
      </c>
      <c r="S1724" s="187" t="inlineStr">
        <is>
          <t>ZDI 0-day advisory - no IP context</t>
        </is>
      </c>
      <c r="T1724" s="187" t="n">
        <v>0.0014</v>
      </c>
      <c r="U1724" s="187" t="n">
        <v>0.3467</v>
      </c>
      <c r="V1724" s="187" t="inlineStr">
        <is>
          <t>T1190:Exploit Public-Facing Application | T1210:Exploitation of Remote Services | T1059:Command and Scripting Interpreter</t>
        </is>
      </c>
      <c r="W1724" s="187" t="n">
        <v>2</v>
      </c>
      <c r="X1724" s="187" t="inlineStr">
        <is>
          <t>CONFIRMED (82%)</t>
        </is>
      </c>
      <c r="Y1724" s="187" t="inlineStr">
        <is>
          <t>YES</t>
        </is>
      </c>
      <c r="Z1724" s="187" t="inlineStr">
        <is>
          <t>CHECK_VENDOR</t>
        </is>
      </c>
      <c r="AA1724" s="187" t="inlineStr">
        <is>
          <t>https://security.snyk.io/vuln/CVE-2025-60038</t>
        </is>
      </c>
      <c r="AB1724" s="187" t="inlineStr">
        <is>
          <t>http://www.zerodayinitiative.com/advisories/ZDI-26-110/</t>
        </is>
      </c>
      <c r="AC1724" s="187" t="n">
        <v>0</v>
      </c>
      <c r="AD1724" s="187" t="inlineStr"/>
    </row>
    <row r="1725">
      <c r="A1725" s="187" t="inlineStr">
        <is>
          <t>ZDI_ADVISORY</t>
        </is>
      </c>
      <c r="B1725" s="187" t="inlineStr">
        <is>
          <t>ZDI-26-109</t>
        </is>
      </c>
      <c r="C1725" s="187" t="inlineStr">
        <is>
          <t>ZDI Published 0-Day: ZDI-26-109: Bosch Rexroth IndraWorks OPC.TestClient XML File Parsing Deserialization Of Untrusted Data Remote Code Execution Vulnerability | CVEs: CVE-2025-60035 | Product: See ZDI advisory</t>
        </is>
      </c>
      <c r="D1725" s="187" t="n">
        <v>7.5</v>
      </c>
      <c r="E1725" s="187" t="inlineStr">
        <is>
          <t>HIGH</t>
        </is>
      </c>
      <c r="F1725" s="187" t="n">
        <v>3</v>
      </c>
      <c r="G1725" s="187" t="n">
        <v>3</v>
      </c>
      <c r="H1725" s="187" t="inlineStr">
        <is>
          <t>CRITICAL</t>
        </is>
      </c>
      <c r="I1725" s="187" t="n">
        <v>16.5</v>
      </c>
      <c r="J1725" s="187" t="inlineStr">
        <is>
          <t>NO</t>
        </is>
      </c>
      <c r="K1725" s="187" t="inlineStr">
        <is>
          <t>http://www.zerodayinitiative.com/advisories/ZDI-26-109/</t>
        </is>
      </c>
      <c r="L1725" s="187" t="inlineStr">
        <is>
          <t>2026-02-19 06:00</t>
        </is>
      </c>
      <c r="M1725" s="187" t="inlineStr">
        <is>
          <t>CHECK_VENDOR - ZDI published, vendor patch may be pending</t>
        </is>
      </c>
      <c r="N1725" s="187" t="inlineStr">
        <is>
          <t>http://www.zerodayinitiative.com/advisories/ZDI-26-109/</t>
        </is>
      </c>
      <c r="O1725" s="187" t="inlineStr">
        <is>
          <t>ZDI-published 0-day: apply vendor patch IMMEDIATELY | CVEs: CVE-2025-60035</t>
        </is>
      </c>
      <c r="P1725" s="187" t="inlineStr">
        <is>
          <t>See ZDI advisory</t>
        </is>
      </c>
      <c r="Q1725" s="187" t="inlineStr">
        <is>
          <t>P1</t>
        </is>
      </c>
      <c r="R1725" s="187" t="inlineStr">
        <is>
          <t>🎯 ZDI-published 0-day: apply vendor patch immediately | ⚠️ Check ZDI advisory page for workarounds | 🔍 Hunt for exploitation attempts in logs</t>
        </is>
      </c>
      <c r="S1725" s="187" t="inlineStr">
        <is>
          <t>ZDI 0-day advisory - no IP context</t>
        </is>
      </c>
      <c r="T1725" s="187" t="n">
        <v>0.0014</v>
      </c>
      <c r="U1725" s="187" t="n">
        <v>0.3467</v>
      </c>
      <c r="V1725" s="187" t="inlineStr">
        <is>
          <t>T1190:Exploit Public-Facing Application | T1210:Exploitation of Remote Services | T1059:Command and Scripting Interpreter</t>
        </is>
      </c>
      <c r="W1725" s="187" t="n">
        <v>2</v>
      </c>
      <c r="X1725" s="187" t="inlineStr">
        <is>
          <t>CONFIRMED (82%)</t>
        </is>
      </c>
      <c r="Y1725" s="187" t="inlineStr">
        <is>
          <t>YES</t>
        </is>
      </c>
      <c r="Z1725" s="187" t="inlineStr">
        <is>
          <t>CHECK_VENDOR</t>
        </is>
      </c>
      <c r="AA1725" s="187" t="inlineStr">
        <is>
          <t>https://security.snyk.io/vuln/CVE-2025-60035</t>
        </is>
      </c>
      <c r="AB1725" s="187" t="inlineStr">
        <is>
          <t>http://www.zerodayinitiative.com/advisories/ZDI-26-109/</t>
        </is>
      </c>
      <c r="AC1725" s="187" t="n">
        <v>0</v>
      </c>
      <c r="AD1725" s="187" t="inlineStr"/>
    </row>
    <row r="1726">
      <c r="A1726" s="187" t="inlineStr">
        <is>
          <t>ZDI_ADVISORY</t>
        </is>
      </c>
      <c r="B1726" s="187" t="inlineStr">
        <is>
          <t>ZDI-26-108</t>
        </is>
      </c>
      <c r="C1726" s="187" t="inlineStr">
        <is>
          <t>ZDI Published 0-Day: ZDI-26-108: Bosch Rexroth IndraWorks UA.TestClient XML File Parsing Deserialization Of Untrusted Data Remote Code Execution Vulnerability | CVEs: CVE-2025-60036 | Product: See ZDI advisory</t>
        </is>
      </c>
      <c r="D1726" s="187" t="n">
        <v>7.5</v>
      </c>
      <c r="E1726" s="187" t="inlineStr">
        <is>
          <t>HIGH</t>
        </is>
      </c>
      <c r="F1726" s="187" t="n">
        <v>3</v>
      </c>
      <c r="G1726" s="187" t="n">
        <v>3</v>
      </c>
      <c r="H1726" s="187" t="inlineStr">
        <is>
          <t>CRITICAL</t>
        </is>
      </c>
      <c r="I1726" s="187" t="n">
        <v>16.5</v>
      </c>
      <c r="J1726" s="187" t="inlineStr">
        <is>
          <t>NO</t>
        </is>
      </c>
      <c r="K1726" s="187" t="inlineStr">
        <is>
          <t>http://www.zerodayinitiative.com/advisories/ZDI-26-108/</t>
        </is>
      </c>
      <c r="L1726" s="187" t="inlineStr">
        <is>
          <t>2026-02-19 06:00</t>
        </is>
      </c>
      <c r="M1726" s="187" t="inlineStr">
        <is>
          <t>CHECK_VENDOR - ZDI published, vendor patch may be pending</t>
        </is>
      </c>
      <c r="N1726" s="187" t="inlineStr">
        <is>
          <t>http://www.zerodayinitiative.com/advisories/ZDI-26-108/</t>
        </is>
      </c>
      <c r="O1726" s="187" t="inlineStr">
        <is>
          <t>ZDI-published 0-day: apply vendor patch IMMEDIATELY | CVEs: CVE-2025-60036</t>
        </is>
      </c>
      <c r="P1726" s="187" t="inlineStr">
        <is>
          <t>See ZDI advisory</t>
        </is>
      </c>
      <c r="Q1726" s="187" t="inlineStr">
        <is>
          <t>P1</t>
        </is>
      </c>
      <c r="R1726" s="187" t="inlineStr">
        <is>
          <t>🎯 ZDI-published 0-day: apply vendor patch immediately | ⚠️ Check ZDI advisory page for workarounds | 🔍 Hunt for exploitation attempts in logs</t>
        </is>
      </c>
      <c r="S1726" s="187" t="inlineStr">
        <is>
          <t>ZDI 0-day advisory - no IP context</t>
        </is>
      </c>
      <c r="T1726" s="187" t="n">
        <v>0.0014</v>
      </c>
      <c r="U1726" s="187" t="n">
        <v>0.3467</v>
      </c>
      <c r="V1726" s="187" t="inlineStr">
        <is>
          <t>T1190:Exploit Public-Facing Application | T1210:Exploitation of Remote Services | T1059:Command and Scripting Interpreter</t>
        </is>
      </c>
      <c r="W1726" s="187" t="n">
        <v>2</v>
      </c>
      <c r="X1726" s="187" t="inlineStr">
        <is>
          <t>CONFIRMED (82%)</t>
        </is>
      </c>
      <c r="Y1726" s="187" t="inlineStr">
        <is>
          <t>YES</t>
        </is>
      </c>
      <c r="Z1726" s="187" t="inlineStr">
        <is>
          <t>CHECK_VENDOR</t>
        </is>
      </c>
      <c r="AA1726" s="187" t="inlineStr">
        <is>
          <t>https://security.snyk.io/vuln/CVE-2025-60036</t>
        </is>
      </c>
      <c r="AB1726" s="187" t="inlineStr">
        <is>
          <t>http://www.zerodayinitiative.com/advisories/ZDI-26-108/</t>
        </is>
      </c>
      <c r="AC1726" s="187" t="n">
        <v>0</v>
      </c>
      <c r="AD1726" s="187" t="inlineStr"/>
    </row>
    <row r="1727">
      <c r="A1727" s="187" t="inlineStr">
        <is>
          <t>ZDI_ADVISORY</t>
        </is>
      </c>
      <c r="B1727" s="187" t="inlineStr">
        <is>
          <t>ZDI-26-107</t>
        </is>
      </c>
      <c r="C1727" s="187" t="inlineStr">
        <is>
          <t>ZDI Published 0-Day: ZDI-26-107: Autodesk AutoCAD MODEL File Out-Of-Bounds Write Remote Code Execution Vulnerability | CVEs: CVE-2026-0875 | Product: See ZDI advisory</t>
        </is>
      </c>
      <c r="D1727" s="187" t="n">
        <v>7.5</v>
      </c>
      <c r="E1727" s="187" t="inlineStr">
        <is>
          <t>HIGH</t>
        </is>
      </c>
      <c r="F1727" s="187" t="n">
        <v>3</v>
      </c>
      <c r="G1727" s="187" t="n">
        <v>3</v>
      </c>
      <c r="H1727" s="187" t="inlineStr">
        <is>
          <t>CRITICAL</t>
        </is>
      </c>
      <c r="I1727" s="187" t="n">
        <v>16.5</v>
      </c>
      <c r="J1727" s="187" t="inlineStr">
        <is>
          <t>NO</t>
        </is>
      </c>
      <c r="K1727" s="187" t="inlineStr">
        <is>
          <t>http://www.zerodayinitiative.com/advisories/ZDI-26-107/</t>
        </is>
      </c>
      <c r="L1727" s="187" t="inlineStr">
        <is>
          <t>2026-02-18 06:00</t>
        </is>
      </c>
      <c r="M1727" s="187" t="inlineStr">
        <is>
          <t>CHECK_VENDOR - ZDI published, vendor patch may be pending</t>
        </is>
      </c>
      <c r="N1727" s="187" t="inlineStr">
        <is>
          <t>http://www.zerodayinitiative.com/advisories/ZDI-26-107/</t>
        </is>
      </c>
      <c r="O1727" s="187" t="inlineStr">
        <is>
          <t>ZDI-published 0-day: apply vendor patch IMMEDIATELY | CVEs: CVE-2026-0875</t>
        </is>
      </c>
      <c r="P1727" s="187" t="inlineStr">
        <is>
          <t>See ZDI advisory</t>
        </is>
      </c>
      <c r="Q1727" s="187" t="inlineStr">
        <is>
          <t>P1</t>
        </is>
      </c>
      <c r="R1727" s="187" t="inlineStr">
        <is>
          <t>🎯 ZDI-published 0-day: apply vendor patch immediately | ⚠️ Check ZDI advisory page for workarounds | 🔍 Hunt for exploitation attempts in logs</t>
        </is>
      </c>
      <c r="S1727" s="187" t="inlineStr">
        <is>
          <t>ZDI 0-day advisory - no IP context</t>
        </is>
      </c>
      <c r="T1727" s="187" t="n">
        <v>0.0003</v>
      </c>
      <c r="U1727" s="187" t="n">
        <v>0.079</v>
      </c>
      <c r="V1727" s="187" t="inlineStr">
        <is>
          <t>T1190:Exploit Public-Facing Application | T1210:Exploitation of Remote Services | T1203:Exploitation for Client Execution</t>
        </is>
      </c>
      <c r="W1727" s="187" t="n">
        <v>2</v>
      </c>
      <c r="X1727" s="187" t="inlineStr">
        <is>
          <t>CONFIRMED (82%)</t>
        </is>
      </c>
      <c r="Y1727" s="187" t="inlineStr">
        <is>
          <t>YES</t>
        </is>
      </c>
      <c r="Z1727" s="187" t="inlineStr">
        <is>
          <t>CHECK_VENDOR</t>
        </is>
      </c>
      <c r="AA1727" s="187" t="inlineStr">
        <is>
          <t>https://security.snyk.io/vuln/CVE-2026-0875</t>
        </is>
      </c>
      <c r="AB1727" s="187" t="inlineStr">
        <is>
          <t>http://www.zerodayinitiative.com/advisories/ZDI-26-107/</t>
        </is>
      </c>
      <c r="AC1727" s="187" t="n">
        <v>0</v>
      </c>
      <c r="AD1727" s="187" t="inlineStr"/>
    </row>
    <row r="1728">
      <c r="A1728" s="187" t="inlineStr">
        <is>
          <t>ZDI_ADVISORY</t>
        </is>
      </c>
      <c r="B1728" s="187" t="inlineStr">
        <is>
          <t>ZDI-26-106</t>
        </is>
      </c>
      <c r="C1728" s="187" t="inlineStr">
        <is>
          <t>ZDI Published 0-Day: ZDI-26-106: Autodesk AutoCAD CATPART File Parsing Out-Of-Bounds Write Remote Code Execution Vulnerability | CVEs: CVE-2026-0874 | Product: See ZDI advisory</t>
        </is>
      </c>
      <c r="D1728" s="187" t="n">
        <v>7.5</v>
      </c>
      <c r="E1728" s="187" t="inlineStr">
        <is>
          <t>HIGH</t>
        </is>
      </c>
      <c r="F1728" s="187" t="n">
        <v>3</v>
      </c>
      <c r="G1728" s="187" t="n">
        <v>3</v>
      </c>
      <c r="H1728" s="187" t="inlineStr">
        <is>
          <t>CRITICAL</t>
        </is>
      </c>
      <c r="I1728" s="187" t="n">
        <v>16.5</v>
      </c>
      <c r="J1728" s="187" t="inlineStr">
        <is>
          <t>NO</t>
        </is>
      </c>
      <c r="K1728" s="187" t="inlineStr">
        <is>
          <t>http://www.zerodayinitiative.com/advisories/ZDI-26-106/</t>
        </is>
      </c>
      <c r="L1728" s="187" t="inlineStr">
        <is>
          <t>2026-02-18 06:00</t>
        </is>
      </c>
      <c r="M1728" s="187" t="inlineStr">
        <is>
          <t>CHECK_VENDOR - ZDI published, vendor patch may be pending</t>
        </is>
      </c>
      <c r="N1728" s="187" t="inlineStr">
        <is>
          <t>http://www.zerodayinitiative.com/advisories/ZDI-26-106/</t>
        </is>
      </c>
      <c r="O1728" s="187" t="inlineStr">
        <is>
          <t>ZDI-published 0-day: apply vendor patch IMMEDIATELY | CVEs: CVE-2026-0874</t>
        </is>
      </c>
      <c r="P1728" s="187" t="inlineStr">
        <is>
          <t>See ZDI advisory</t>
        </is>
      </c>
      <c r="Q1728" s="187" t="inlineStr">
        <is>
          <t>P1</t>
        </is>
      </c>
      <c r="R1728" s="187" t="inlineStr">
        <is>
          <t>🎯 ZDI-published 0-day: apply vendor patch immediately | ⚠️ Check ZDI advisory page for workarounds | 🔍 Hunt for exploitation attempts in logs</t>
        </is>
      </c>
      <c r="S1728" s="187" t="inlineStr">
        <is>
          <t>ZDI 0-day advisory - no IP context</t>
        </is>
      </c>
      <c r="T1728" s="187" t="n">
        <v>0.0003</v>
      </c>
      <c r="U1728" s="187" t="n">
        <v>0.079</v>
      </c>
      <c r="V1728" s="187" t="inlineStr">
        <is>
          <t>T1190:Exploit Public-Facing Application | T1210:Exploitation of Remote Services | T1203:Exploitation for Client Execution</t>
        </is>
      </c>
      <c r="W1728" s="187" t="n">
        <v>2</v>
      </c>
      <c r="X1728" s="187" t="inlineStr">
        <is>
          <t>CONFIRMED (82%)</t>
        </is>
      </c>
      <c r="Y1728" s="187" t="inlineStr">
        <is>
          <t>YES</t>
        </is>
      </c>
      <c r="Z1728" s="187" t="inlineStr">
        <is>
          <t>CHECK_VENDOR</t>
        </is>
      </c>
      <c r="AA1728" s="187" t="inlineStr">
        <is>
          <t>https://security.snyk.io/vuln/CVE-2026-0874</t>
        </is>
      </c>
      <c r="AB1728" s="187" t="inlineStr">
        <is>
          <t>http://www.zerodayinitiative.com/advisories/ZDI-26-106/</t>
        </is>
      </c>
      <c r="AC1728" s="187" t="n">
        <v>0</v>
      </c>
      <c r="AD1728" s="187" t="inlineStr"/>
    </row>
    <row r="1729">
      <c r="A1729" s="187" t="inlineStr">
        <is>
          <t>SANS_ISC</t>
        </is>
      </c>
      <c r="B1729" s="187" t="inlineStr">
        <is>
          <t>700803c21b98</t>
        </is>
      </c>
      <c r="C1729" s="187"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1729" s="187" t="n">
        <v>7</v>
      </c>
      <c r="E1729" s="187" t="inlineStr">
        <is>
          <t>HIGH</t>
        </is>
      </c>
      <c r="F1729" s="187" t="n">
        <v>3</v>
      </c>
      <c r="G1729" s="187" t="n">
        <v>2</v>
      </c>
      <c r="H1729" s="187" t="inlineStr">
        <is>
          <t>HIGH</t>
        </is>
      </c>
      <c r="I1729" s="187" t="n">
        <v>13</v>
      </c>
      <c r="J1729" s="187" t="inlineStr">
        <is>
          <t>NO</t>
        </is>
      </c>
      <c r="K1729" s="187" t="inlineStr">
        <is>
          <t>https://isc.sans.edu/diary/rss/32754</t>
        </is>
      </c>
      <c r="L1729" s="187" t="inlineStr">
        <is>
          <t>2026-02-27 12:22</t>
        </is>
      </c>
      <c r="M1729" s="187" t="inlineStr">
        <is>
          <t>CHECK_VENDOR</t>
        </is>
      </c>
      <c r="N1729" s="187" t="inlineStr">
        <is>
          <t>https://isc.sans.edu/diary/rss/32754</t>
        </is>
      </c>
      <c r="O1729" s="187" t="inlineStr">
        <is>
          <t>See SANS ISC diary for indicators and mitigations | Check IOCs</t>
        </is>
      </c>
      <c r="P1729" s="187" t="inlineStr">
        <is>
          <t>See SANS ISC diary</t>
        </is>
      </c>
      <c r="Q1729" s="187" t="inlineStr">
        <is>
          <t>P3</t>
        </is>
      </c>
      <c r="R1729" s="187" t="inlineStr">
        <is>
          <t>📡 SANS ISC flagged this threat - high analyst confidence | 🔍 Review SANS diary entry for IOCs | 🛡️ Apply recommended mitigations from diary</t>
        </is>
      </c>
      <c r="S1729" s="187" t="inlineStr">
        <is>
          <t>SANS ISC analysis - no direct IP context</t>
        </is>
      </c>
      <c r="T1729" s="187" t="n">
        <v>0</v>
      </c>
      <c r="U1729" s="187" t="n">
        <v>0</v>
      </c>
      <c r="V1729" s="187" t="inlineStr">
        <is>
          <t>T1190:Exploit Public-Facing Application</t>
        </is>
      </c>
      <c r="W1729" s="187" t="n">
        <v>1</v>
      </c>
      <c r="X1729" s="187" t="inlineStr">
        <is>
          <t>LOW (40%)</t>
        </is>
      </c>
      <c r="Y1729" s="187" t="inlineStr">
        <is>
          <t>CHECK_SANS</t>
        </is>
      </c>
      <c r="Z1729" s="187" t="inlineStr">
        <is>
          <t>CHECK_VENDOR</t>
        </is>
      </c>
      <c r="AA1729" s="187" t="inlineStr">
        <is>
          <t>https://isc.sans.edu/diary/rss/32754</t>
        </is>
      </c>
      <c r="AB1729" s="187" t="inlineStr">
        <is>
          <t>NONE</t>
        </is>
      </c>
      <c r="AC1729" s="187" t="n">
        <v>0</v>
      </c>
      <c r="AD1729" s="187" t="inlineStr">
        <is>
          <t>Fake Fedex Email Delivers Donuts&amp;#x21;, (Fri, Feb 27th)</t>
        </is>
      </c>
    </row>
    <row r="1730">
      <c r="A1730" s="187" t="inlineStr">
        <is>
          <t>SANS_ISC</t>
        </is>
      </c>
      <c r="B1730" s="187" t="inlineStr">
        <is>
          <t>41bf1b569770</t>
        </is>
      </c>
      <c r="C1730" s="187" t="inlineStr">
        <is>
          <t>SANS ISC: The CLAIR Model: A Synthesized Conceptual Framework for Mapping Critical Infrastructure Interdependencies &amp;#x5b;Guest Diary&amp;#x5d;, (Wed, Feb 25th) | &amp;#xd;</t>
        </is>
      </c>
      <c r="D1730" s="187" t="n">
        <v>7</v>
      </c>
      <c r="E1730" s="187" t="inlineStr">
        <is>
          <t>HIGH</t>
        </is>
      </c>
      <c r="F1730" s="187" t="n">
        <v>3</v>
      </c>
      <c r="G1730" s="187" t="n">
        <v>2</v>
      </c>
      <c r="H1730" s="187" t="inlineStr">
        <is>
          <t>HIGH</t>
        </is>
      </c>
      <c r="I1730" s="187" t="n">
        <v>13</v>
      </c>
      <c r="J1730" s="187" t="inlineStr">
        <is>
          <t>NO</t>
        </is>
      </c>
      <c r="K1730" s="187" t="inlineStr">
        <is>
          <t>https://isc.sans.edu/diary/rss/32748</t>
        </is>
      </c>
      <c r="L1730" s="187" t="inlineStr">
        <is>
          <t>2026-02-26 12:21</t>
        </is>
      </c>
      <c r="M1730" s="187" t="inlineStr">
        <is>
          <t>CHECK_VENDOR</t>
        </is>
      </c>
      <c r="N1730" s="187" t="inlineStr">
        <is>
          <t>https://isc.sans.edu/diary/rss/32748</t>
        </is>
      </c>
      <c r="O1730" s="187" t="inlineStr">
        <is>
          <t>See SANS ISC diary for indicators and mitigations | Check IOCs</t>
        </is>
      </c>
      <c r="P1730" s="187" t="inlineStr">
        <is>
          <t>See SANS ISC diary</t>
        </is>
      </c>
      <c r="Q1730" s="187" t="inlineStr">
        <is>
          <t>P3</t>
        </is>
      </c>
      <c r="R1730" s="187" t="inlineStr">
        <is>
          <t>📡 SANS ISC flagged this threat - high analyst confidence | 🔍 Review SANS diary entry for IOCs | 🛡️ Apply recommended mitigations from diary</t>
        </is>
      </c>
      <c r="S1730" s="187" t="inlineStr">
        <is>
          <t>SANS ISC analysis - no direct IP context</t>
        </is>
      </c>
      <c r="T1730" s="187" t="n">
        <v>0</v>
      </c>
      <c r="U1730" s="187" t="n">
        <v>0</v>
      </c>
      <c r="V1730" s="187" t="inlineStr">
        <is>
          <t>T1190:Exploit Public-Facing Application</t>
        </is>
      </c>
      <c r="W1730" s="187" t="n">
        <v>1</v>
      </c>
      <c r="X1730" s="187" t="inlineStr">
        <is>
          <t>LOW (40%)</t>
        </is>
      </c>
      <c r="Y1730" s="187" t="inlineStr">
        <is>
          <t>CHECK_SANS</t>
        </is>
      </c>
      <c r="Z1730" s="187" t="inlineStr">
        <is>
          <t>CHECK_VENDOR</t>
        </is>
      </c>
      <c r="AA1730" s="187" t="inlineStr">
        <is>
          <t>https://isc.sans.edu/diary/rss/32748</t>
        </is>
      </c>
      <c r="AB1730" s="187" t="inlineStr">
        <is>
          <t>NONE</t>
        </is>
      </c>
      <c r="AC1730" s="187" t="n">
        <v>0</v>
      </c>
      <c r="AD1730" s="187" t="inlineStr">
        <is>
          <t>The CLAIR Model: A Synthesized Conceptual Framework for Mapping Critical Infrastructure Interdependencies &amp;#x5b;Guest Diary&amp;#x5d;, (Wed, Feb 25th)</t>
        </is>
      </c>
    </row>
    <row r="1731">
      <c r="A1731" s="187" t="inlineStr">
        <is>
          <t>SANS_ISC</t>
        </is>
      </c>
      <c r="B1731" s="187" t="inlineStr">
        <is>
          <t>5b6584381208</t>
        </is>
      </c>
      <c r="C1731" s="187"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1731" s="187" t="n">
        <v>7</v>
      </c>
      <c r="E1731" s="187" t="inlineStr">
        <is>
          <t>HIGH</t>
        </is>
      </c>
      <c r="F1731" s="187" t="n">
        <v>3</v>
      </c>
      <c r="G1731" s="187" t="n">
        <v>2</v>
      </c>
      <c r="H1731" s="187" t="inlineStr">
        <is>
          <t>HIGH</t>
        </is>
      </c>
      <c r="I1731" s="187" t="n">
        <v>13</v>
      </c>
      <c r="J1731" s="187" t="inlineStr">
        <is>
          <t>NO</t>
        </is>
      </c>
      <c r="K1731" s="187" t="inlineStr">
        <is>
          <t>https://isc.sans.edu/diary/rss/32742</t>
        </is>
      </c>
      <c r="L1731" s="187" t="inlineStr">
        <is>
          <t>2026-02-24 18:04</t>
        </is>
      </c>
      <c r="M1731" s="187" t="inlineStr">
        <is>
          <t>CHECK_VENDOR</t>
        </is>
      </c>
      <c r="N1731" s="187" t="inlineStr">
        <is>
          <t>https://isc.sans.edu/diary/rss/32742</t>
        </is>
      </c>
      <c r="O1731" s="187" t="inlineStr">
        <is>
          <t>See SANS ISC diary for indicators and mitigations | Check IOCs</t>
        </is>
      </c>
      <c r="P1731" s="187" t="inlineStr">
        <is>
          <t>See SANS ISC diary</t>
        </is>
      </c>
      <c r="Q1731" s="187" t="inlineStr">
        <is>
          <t>P3</t>
        </is>
      </c>
      <c r="R1731" s="187" t="inlineStr">
        <is>
          <t>📡 SANS ISC flagged this threat - high analyst confidence | 🔍 Review SANS diary entry for IOCs | 🛡️ Apply recommended mitigations from diary</t>
        </is>
      </c>
      <c r="S1731" s="187" t="inlineStr">
        <is>
          <t>SANS ISC analysis - no direct IP context</t>
        </is>
      </c>
      <c r="T1731" s="187" t="n">
        <v>0</v>
      </c>
      <c r="U1731" s="187" t="n">
        <v>0</v>
      </c>
      <c r="V1731" s="187" t="inlineStr">
        <is>
          <t>T1190:Exploit Public-Facing Application</t>
        </is>
      </c>
      <c r="W1731" s="187" t="n">
        <v>1</v>
      </c>
      <c r="X1731" s="187" t="inlineStr">
        <is>
          <t>LOW (40%)</t>
        </is>
      </c>
      <c r="Y1731" s="187" t="inlineStr">
        <is>
          <t>CHECK_SANS</t>
        </is>
      </c>
      <c r="Z1731" s="187" t="inlineStr">
        <is>
          <t>CHECK_VENDOR</t>
        </is>
      </c>
      <c r="AA1731" s="187" t="inlineStr">
        <is>
          <t>https://isc.sans.edu/diary/rss/32742</t>
        </is>
      </c>
      <c r="AB1731" s="187" t="inlineStr">
        <is>
          <t>NONE</t>
        </is>
      </c>
      <c r="AC1731" s="187" t="n">
        <v>0</v>
      </c>
      <c r="AD1731" s="187" t="inlineStr">
        <is>
          <t>Open Redirects: A Forgotten Vulnerability&amp;#x3f;, (Tue, Feb 24th)</t>
        </is>
      </c>
    </row>
    <row r="1732">
      <c r="A1732" s="187" t="inlineStr">
        <is>
          <t>SANS_ISC</t>
        </is>
      </c>
      <c r="B1732" s="187" t="inlineStr">
        <is>
          <t>cf1a85460441</t>
        </is>
      </c>
      <c r="C1732" s="187"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732" s="187" t="n">
        <v>7</v>
      </c>
      <c r="E1732" s="187" t="inlineStr">
        <is>
          <t>HIGH</t>
        </is>
      </c>
      <c r="F1732" s="187" t="n">
        <v>3</v>
      </c>
      <c r="G1732" s="187" t="n">
        <v>2</v>
      </c>
      <c r="H1732" s="187" t="inlineStr">
        <is>
          <t>HIGH</t>
        </is>
      </c>
      <c r="I1732" s="187" t="n">
        <v>13</v>
      </c>
      <c r="J1732" s="187" t="inlineStr">
        <is>
          <t>NO</t>
        </is>
      </c>
      <c r="K1732" s="187" t="inlineStr">
        <is>
          <t>https://isc.sans.edu/diary/rss/32738</t>
        </is>
      </c>
      <c r="L1732" s="187" t="inlineStr">
        <is>
          <t>2026-02-23 14:26</t>
        </is>
      </c>
      <c r="M1732" s="187" t="inlineStr">
        <is>
          <t>CHECK_VENDOR</t>
        </is>
      </c>
      <c r="N1732" s="187" t="inlineStr">
        <is>
          <t>https://isc.sans.edu/diary/rss/32738</t>
        </is>
      </c>
      <c r="O1732" s="187" t="inlineStr">
        <is>
          <t>See SANS ISC diary for indicators and mitigations | Check IOCs</t>
        </is>
      </c>
      <c r="P1732" s="187" t="inlineStr">
        <is>
          <t>See SANS ISC diary</t>
        </is>
      </c>
      <c r="Q1732" s="187" t="inlineStr">
        <is>
          <t>P3</t>
        </is>
      </c>
      <c r="R1732" s="187" t="inlineStr">
        <is>
          <t>📡 SANS ISC flagged this threat - high analyst confidence | 🔍 Review SANS diary entry for IOCs | 🛡️ Apply recommended mitigations from diary</t>
        </is>
      </c>
      <c r="S1732" s="187" t="inlineStr">
        <is>
          <t>SANS ISC analysis - no direct IP context</t>
        </is>
      </c>
      <c r="T1732" s="187" t="n">
        <v>0</v>
      </c>
      <c r="U1732" s="187" t="n">
        <v>0</v>
      </c>
      <c r="V1732" s="187" t="inlineStr">
        <is>
          <t>T1190:Exploit Public-Facing Application</t>
        </is>
      </c>
      <c r="W1732" s="187" t="n">
        <v>1</v>
      </c>
      <c r="X1732" s="187" t="inlineStr">
        <is>
          <t>LOW (40%)</t>
        </is>
      </c>
      <c r="Y1732" s="187" t="inlineStr">
        <is>
          <t>CHECK_SANS</t>
        </is>
      </c>
      <c r="Z1732" s="187" t="inlineStr">
        <is>
          <t>CHECK_VENDOR</t>
        </is>
      </c>
      <c r="AA1732" s="187" t="inlineStr">
        <is>
          <t>https://isc.sans.edu/diary/rss/32738</t>
        </is>
      </c>
      <c r="AB1732" s="187" t="inlineStr">
        <is>
          <t>NONE</t>
        </is>
      </c>
      <c r="AC1732" s="187" t="n">
        <v>0</v>
      </c>
      <c r="AD1732" s="187" t="inlineStr">
        <is>
          <t>Another day, another malicious JPEG, (Mon, Feb 23rd)</t>
        </is>
      </c>
    </row>
    <row r="1733">
      <c r="A1733" s="188" t="inlineStr">
        <is>
          <t>NEWS_ALERT</t>
        </is>
      </c>
      <c r="B1733" s="188" t="inlineStr">
        <is>
          <t>8b9f836f77be</t>
        </is>
      </c>
      <c r="C1733" s="188" t="inlineStr">
        <is>
          <t>[BleepingComputer] Third-Party Patching and the Business Footprint We All Share | Keywords: exploit | Everyday tools like PDF readers, email clients, and archive utilities quietly define the real attack surface. Action1 explains how third-party softwar</t>
        </is>
      </c>
      <c r="D1733" s="188" t="n">
        <v>5</v>
      </c>
      <c r="E1733" s="188" t="inlineStr">
        <is>
          <t>MEDIUM</t>
        </is>
      </c>
      <c r="F1733" s="188" t="n">
        <v>2</v>
      </c>
      <c r="G1733" s="188" t="n">
        <v>1</v>
      </c>
      <c r="H1733" s="188" t="inlineStr">
        <is>
          <t>LOW</t>
        </is>
      </c>
      <c r="I1733" s="188" t="n">
        <v>7</v>
      </c>
      <c r="J1733" s="188" t="inlineStr">
        <is>
          <t>NO</t>
        </is>
      </c>
      <c r="K1733" s="188" t="inlineStr">
        <is>
          <t>https://www.bleepingcomputer.com/news/security/third-party-patching-and-the-business-footprint-we-all-share/</t>
        </is>
      </c>
      <c r="L1733" s="188" t="inlineStr">
        <is>
          <t>2026-02-27 15:00</t>
        </is>
      </c>
      <c r="M1733" s="188" t="inlineStr">
        <is>
          <t>Monitor</t>
        </is>
      </c>
      <c r="N1733" s="188" t="inlineStr">
        <is>
          <t>https://www.bleepingcomputer.com/news/security/third-party-patching-and-the-business-footprint-we-all-share/</t>
        </is>
      </c>
      <c r="O1733" s="188" t="inlineStr">
        <is>
          <t>Monitor for developments | Review article for IOCs | Escalate if relevant to your infra</t>
        </is>
      </c>
      <c r="P1733" s="188" t="inlineStr">
        <is>
          <t>Varies - see article</t>
        </is>
      </c>
      <c r="Q1733" s="188" t="inlineStr">
        <is>
          <t>P4</t>
        </is>
      </c>
      <c r="R1733" s="188" t="inlineStr">
        <is>
          <t>📰 Security news alert - monitor for developments | 🔍 Review article for IOCs | 📋 Escalate if relevant to your infrastructure</t>
        </is>
      </c>
      <c r="S1733" s="188" t="inlineStr">
        <is>
          <t>News alert - no IP context</t>
        </is>
      </c>
      <c r="T1733" s="188" t="n">
        <v>0</v>
      </c>
      <c r="U1733" s="188" t="n">
        <v>0</v>
      </c>
      <c r="V1733" s="188" t="inlineStr">
        <is>
          <t>See article for technique context</t>
        </is>
      </c>
      <c r="W1733" s="188" t="n">
        <v>1</v>
      </c>
      <c r="X1733" s="188" t="inlineStr">
        <is>
          <t>LOW (40%)</t>
        </is>
      </c>
      <c r="Y1733" s="188" t="inlineStr">
        <is>
          <t>NONE</t>
        </is>
      </c>
      <c r="Z1733" s="188" t="inlineStr">
        <is>
          <t>NONE</t>
        </is>
      </c>
      <c r="AA1733" s="188" t="inlineStr">
        <is>
          <t>NONE</t>
        </is>
      </c>
      <c r="AB1733" s="188" t="inlineStr">
        <is>
          <t>NONE</t>
        </is>
      </c>
      <c r="AC1733" s="188" t="n">
        <v>0</v>
      </c>
      <c r="AD1733" s="188" t="inlineStr">
        <is>
          <t>Third-Party Patching and the Business Footprint We All Share</t>
        </is>
      </c>
    </row>
    <row r="1734">
      <c r="A1734" s="188" t="inlineStr">
        <is>
          <t>NEWS_ALERT</t>
        </is>
      </c>
      <c r="B1734" s="188" t="inlineStr">
        <is>
          <t>a1e6bb058188</t>
        </is>
      </c>
      <c r="C1734" s="188" t="inlineStr">
        <is>
          <t xml:space="preserve">[BleepingComputer] Trend Micro warns of critical Apex One code execution flaws | Keywords: rce, remote code | Trend Micro has patched two critical Apex One vulnerabilities that allow attackers to gain remote code execution (RCE) on vulnerable Windows systems. </t>
        </is>
      </c>
      <c r="D1734" s="188" t="n">
        <v>5</v>
      </c>
      <c r="E1734" s="188" t="inlineStr">
        <is>
          <t>MEDIUM</t>
        </is>
      </c>
      <c r="F1734" s="188" t="n">
        <v>2</v>
      </c>
      <c r="G1734" s="188" t="n">
        <v>1</v>
      </c>
      <c r="H1734" s="188" t="inlineStr">
        <is>
          <t>LOW</t>
        </is>
      </c>
      <c r="I1734" s="188" t="n">
        <v>7</v>
      </c>
      <c r="J1734" s="188" t="inlineStr">
        <is>
          <t>NO</t>
        </is>
      </c>
      <c r="K1734" s="188" t="inlineStr">
        <is>
          <t>https://www.bleepingcomputer.com/news/security/trend-micro-warns-of-critical-apex-one-rce-vulnerabilities/</t>
        </is>
      </c>
      <c r="L1734" s="188" t="inlineStr">
        <is>
          <t>2026-02-26 17:58</t>
        </is>
      </c>
      <c r="M1734" s="188" t="inlineStr">
        <is>
          <t>Monitor</t>
        </is>
      </c>
      <c r="N1734" s="188" t="inlineStr">
        <is>
          <t>https://www.bleepingcomputer.com/news/security/trend-micro-warns-of-critical-apex-one-rce-vulnerabilities/</t>
        </is>
      </c>
      <c r="O1734" s="188" t="inlineStr">
        <is>
          <t>Monitor for developments | Review article for IOCs | Escalate if relevant to your infra</t>
        </is>
      </c>
      <c r="P1734" s="188" t="inlineStr">
        <is>
          <t>Varies - see article</t>
        </is>
      </c>
      <c r="Q1734" s="188" t="inlineStr">
        <is>
          <t>P4</t>
        </is>
      </c>
      <c r="R1734" s="188" t="inlineStr">
        <is>
          <t>📰 Security news alert - monitor for developments | 🔍 Review article for IOCs | 📋 Escalate if relevant to your infrastructure</t>
        </is>
      </c>
      <c r="S1734" s="188" t="inlineStr">
        <is>
          <t>News alert - no IP context</t>
        </is>
      </c>
      <c r="T1734" s="188" t="n">
        <v>0</v>
      </c>
      <c r="U1734" s="188" t="n">
        <v>0</v>
      </c>
      <c r="V1734" s="188" t="inlineStr">
        <is>
          <t>See article for technique context</t>
        </is>
      </c>
      <c r="W1734" s="188" t="n">
        <v>1</v>
      </c>
      <c r="X1734" s="188" t="inlineStr">
        <is>
          <t>LOW (40%)</t>
        </is>
      </c>
      <c r="Y1734" s="188" t="inlineStr">
        <is>
          <t>NONE</t>
        </is>
      </c>
      <c r="Z1734" s="188" t="inlineStr">
        <is>
          <t>NONE</t>
        </is>
      </c>
      <c r="AA1734" s="188" t="inlineStr">
        <is>
          <t>NONE</t>
        </is>
      </c>
      <c r="AB1734" s="188" t="inlineStr">
        <is>
          <t>NONE</t>
        </is>
      </c>
      <c r="AC1734" s="188" t="n">
        <v>0</v>
      </c>
      <c r="AD1734" s="188" t="inlineStr">
        <is>
          <t>Trend Micro warns of critical Apex One code execution flaws</t>
        </is>
      </c>
    </row>
    <row r="1735">
      <c r="A1735" s="188" t="inlineStr">
        <is>
          <t>NEWS_ALERT</t>
        </is>
      </c>
      <c r="B1735" s="188" t="inlineStr">
        <is>
          <t>e35da055fe9a</t>
        </is>
      </c>
      <c r="C1735" s="188" t="inlineStr">
        <is>
          <t>[BleepingComputer] European DYI chain ManoMano data breach impacts 38 million customers | Keywords: breach | DIY store chain ManoMano is notifying customers of a data breach personal data, which was caused by hackers compromising a third-party service provide</t>
        </is>
      </c>
      <c r="D1735" s="188" t="n">
        <v>5</v>
      </c>
      <c r="E1735" s="188" t="inlineStr">
        <is>
          <t>MEDIUM</t>
        </is>
      </c>
      <c r="F1735" s="188" t="n">
        <v>2</v>
      </c>
      <c r="G1735" s="188" t="n">
        <v>1</v>
      </c>
      <c r="H1735" s="188" t="inlineStr">
        <is>
          <t>LOW</t>
        </is>
      </c>
      <c r="I1735" s="188" t="n">
        <v>7</v>
      </c>
      <c r="J1735" s="188" t="inlineStr">
        <is>
          <t>NO</t>
        </is>
      </c>
      <c r="K1735" s="188" t="inlineStr">
        <is>
          <t>https://www.bleepingcomputer.com/news/security/european-dyi-chain-manomano-data-breach-impacts-38-million-customers/</t>
        </is>
      </c>
      <c r="L1735" s="188" t="inlineStr">
        <is>
          <t>2026-02-26 17:35</t>
        </is>
      </c>
      <c r="M1735" s="188" t="inlineStr">
        <is>
          <t>Monitor</t>
        </is>
      </c>
      <c r="N1735" s="188" t="inlineStr">
        <is>
          <t>https://www.bleepingcomputer.com/news/security/european-dyi-chain-manomano-data-breach-impacts-38-million-customers/</t>
        </is>
      </c>
      <c r="O1735" s="188" t="inlineStr">
        <is>
          <t>Monitor for developments | Review article for IOCs | Escalate if relevant to your infra</t>
        </is>
      </c>
      <c r="P1735" s="188" t="inlineStr">
        <is>
          <t>Varies - see article</t>
        </is>
      </c>
      <c r="Q1735" s="188" t="inlineStr">
        <is>
          <t>P4</t>
        </is>
      </c>
      <c r="R1735" s="188" t="inlineStr">
        <is>
          <t>📰 Security news alert - monitor for developments | 🔍 Review article for IOCs | 📋 Escalate if relevant to your infrastructure</t>
        </is>
      </c>
      <c r="S1735" s="188" t="inlineStr">
        <is>
          <t>News alert - no IP context</t>
        </is>
      </c>
      <c r="T1735" s="188" t="n">
        <v>0</v>
      </c>
      <c r="U1735" s="188" t="n">
        <v>0</v>
      </c>
      <c r="V1735" s="188" t="inlineStr">
        <is>
          <t>See article for technique context</t>
        </is>
      </c>
      <c r="W1735" s="188" t="n">
        <v>1</v>
      </c>
      <c r="X1735" s="188" t="inlineStr">
        <is>
          <t>LOW (40%)</t>
        </is>
      </c>
      <c r="Y1735" s="188" t="inlineStr">
        <is>
          <t>NONE</t>
        </is>
      </c>
      <c r="Z1735" s="188" t="inlineStr">
        <is>
          <t>NONE</t>
        </is>
      </c>
      <c r="AA1735" s="188" t="inlineStr">
        <is>
          <t>NONE</t>
        </is>
      </c>
      <c r="AB1735" s="188" t="inlineStr">
        <is>
          <t>NONE</t>
        </is>
      </c>
      <c r="AC1735" s="188" t="n">
        <v>0</v>
      </c>
      <c r="AD1735" s="188" t="inlineStr">
        <is>
          <t>European DYI chain ManoMano data breach impacts 38 million customers</t>
        </is>
      </c>
    </row>
    <row r="1736">
      <c r="A1736" s="188" t="inlineStr">
        <is>
          <t>NEWS_ALERT</t>
        </is>
      </c>
      <c r="B1736" s="188" t="inlineStr">
        <is>
          <t>fdc3822d60a6</t>
        </is>
      </c>
      <c r="C1736" s="188"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1736" s="188" t="n">
        <v>5</v>
      </c>
      <c r="E1736" s="188" t="inlineStr">
        <is>
          <t>MEDIUM</t>
        </is>
      </c>
      <c r="F1736" s="188" t="n">
        <v>2</v>
      </c>
      <c r="G1736" s="188" t="n">
        <v>1</v>
      </c>
      <c r="H1736" s="188" t="inlineStr">
        <is>
          <t>LOW</t>
        </is>
      </c>
      <c r="I1736" s="188" t="n">
        <v>7</v>
      </c>
      <c r="J1736" s="188" t="inlineStr">
        <is>
          <t>NO</t>
        </is>
      </c>
      <c r="K1736" s="188" t="inlineStr">
        <is>
          <t>https://www.bleepingcomputer.com/news/security/critical-juniper-networks-ptx-flaw-allows-full-router-takeover/</t>
        </is>
      </c>
      <c r="L1736" s="188" t="inlineStr">
        <is>
          <t>2026-02-26 16:42</t>
        </is>
      </c>
      <c r="M1736" s="188" t="inlineStr">
        <is>
          <t>Monitor</t>
        </is>
      </c>
      <c r="N1736" s="188" t="inlineStr">
        <is>
          <t>https://www.bleepingcomputer.com/news/security/critical-juniper-networks-ptx-flaw-allows-full-router-takeover/</t>
        </is>
      </c>
      <c r="O1736" s="188" t="inlineStr">
        <is>
          <t>Monitor for developments | Review article for IOCs | Escalate if relevant to your infra</t>
        </is>
      </c>
      <c r="P1736" s="188" t="inlineStr">
        <is>
          <t>Varies - see article</t>
        </is>
      </c>
      <c r="Q1736" s="188" t="inlineStr">
        <is>
          <t>P4</t>
        </is>
      </c>
      <c r="R1736" s="188" t="inlineStr">
        <is>
          <t>📰 Security news alert - monitor for developments | 🔍 Review article for IOCs | 📋 Escalate if relevant to your infrastructure</t>
        </is>
      </c>
      <c r="S1736" s="188" t="inlineStr">
        <is>
          <t>News alert - no IP context</t>
        </is>
      </c>
      <c r="T1736" s="188" t="n">
        <v>0</v>
      </c>
      <c r="U1736" s="188" t="n">
        <v>0</v>
      </c>
      <c r="V1736" s="188" t="inlineStr">
        <is>
          <t>See article for technique context</t>
        </is>
      </c>
      <c r="W1736" s="188" t="n">
        <v>1</v>
      </c>
      <c r="X1736" s="188" t="inlineStr">
        <is>
          <t>LOW (40%)</t>
        </is>
      </c>
      <c r="Y1736" s="188" t="inlineStr">
        <is>
          <t>NONE</t>
        </is>
      </c>
      <c r="Z1736" s="188" t="inlineStr">
        <is>
          <t>NONE</t>
        </is>
      </c>
      <c r="AA1736" s="188" t="inlineStr">
        <is>
          <t>NONE</t>
        </is>
      </c>
      <c r="AB1736" s="188" t="inlineStr">
        <is>
          <t>NONE</t>
        </is>
      </c>
      <c r="AC1736" s="188" t="n">
        <v>0</v>
      </c>
      <c r="AD1736" s="188" t="inlineStr">
        <is>
          <t>Critical Juniper Networks PTX flaw allows full router takeover</t>
        </is>
      </c>
    </row>
    <row r="1737">
      <c r="A1737" s="188" t="inlineStr">
        <is>
          <t>NEWS_ALERT</t>
        </is>
      </c>
      <c r="B1737" s="188" t="inlineStr">
        <is>
          <t>57706e527f6d</t>
        </is>
      </c>
      <c r="C1737" s="188"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1737" s="188" t="n">
        <v>5</v>
      </c>
      <c r="E1737" s="188" t="inlineStr">
        <is>
          <t>MEDIUM</t>
        </is>
      </c>
      <c r="F1737" s="188" t="n">
        <v>2</v>
      </c>
      <c r="G1737" s="188" t="n">
        <v>1</v>
      </c>
      <c r="H1737" s="188" t="inlineStr">
        <is>
          <t>LOW</t>
        </is>
      </c>
      <c r="I1737" s="188" t="n">
        <v>7</v>
      </c>
      <c r="J1737" s="188" t="inlineStr">
        <is>
          <t>NO</t>
        </is>
      </c>
      <c r="K1737" s="188" t="inlineStr">
        <is>
          <t>https://www.bleepingcomputer.com/news/security/olympique-marseille-football-club-confirms-cyberattack-after-data-leak/</t>
        </is>
      </c>
      <c r="L1737" s="188" t="inlineStr">
        <is>
          <t>2026-02-26 16:11</t>
        </is>
      </c>
      <c r="M1737" s="188" t="inlineStr">
        <is>
          <t>Monitor</t>
        </is>
      </c>
      <c r="N1737" s="188" t="inlineStr">
        <is>
          <t>https://www.bleepingcomputer.com/news/security/olympique-marseille-football-club-confirms-cyberattack-after-data-leak/</t>
        </is>
      </c>
      <c r="O1737" s="188" t="inlineStr">
        <is>
          <t>Monitor for developments | Review article for IOCs | Escalate if relevant to your infra</t>
        </is>
      </c>
      <c r="P1737" s="188" t="inlineStr">
        <is>
          <t>Varies - see article</t>
        </is>
      </c>
      <c r="Q1737" s="188" t="inlineStr">
        <is>
          <t>P4</t>
        </is>
      </c>
      <c r="R1737" s="188" t="inlineStr">
        <is>
          <t>📰 Security news alert - monitor for developments | 🔍 Review article for IOCs | 📋 Escalate if relevant to your infrastructure</t>
        </is>
      </c>
      <c r="S1737" s="188" t="inlineStr">
        <is>
          <t>News alert - no IP context</t>
        </is>
      </c>
      <c r="T1737" s="188" t="n">
        <v>0</v>
      </c>
      <c r="U1737" s="188" t="n">
        <v>0</v>
      </c>
      <c r="V1737" s="188" t="inlineStr">
        <is>
          <t>See article for technique context</t>
        </is>
      </c>
      <c r="W1737" s="188" t="n">
        <v>1</v>
      </c>
      <c r="X1737" s="188" t="inlineStr">
        <is>
          <t>LOW (40%)</t>
        </is>
      </c>
      <c r="Y1737" s="188" t="inlineStr">
        <is>
          <t>NONE</t>
        </is>
      </c>
      <c r="Z1737" s="188" t="inlineStr">
        <is>
          <t>NONE</t>
        </is>
      </c>
      <c r="AA1737" s="188" t="inlineStr">
        <is>
          <t>NONE</t>
        </is>
      </c>
      <c r="AB1737" s="188" t="inlineStr">
        <is>
          <t>NONE</t>
        </is>
      </c>
      <c r="AC1737" s="188" t="n">
        <v>0</v>
      </c>
      <c r="AD1737" s="188" t="inlineStr">
        <is>
          <t>Olympique Marseille confirms 'attempted' cyberattack after data leak</t>
        </is>
      </c>
    </row>
    <row r="1738">
      <c r="A1738" s="188" t="inlineStr">
        <is>
          <t>NEWS_ALERT</t>
        </is>
      </c>
      <c r="B1738" s="188" t="inlineStr">
        <is>
          <t>3fcf2da961e2</t>
        </is>
      </c>
      <c r="C1738" s="188"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1738" s="188" t="n">
        <v>5</v>
      </c>
      <c r="E1738" s="188" t="inlineStr">
        <is>
          <t>MEDIUM</t>
        </is>
      </c>
      <c r="F1738" s="188" t="n">
        <v>2</v>
      </c>
      <c r="G1738" s="188" t="n">
        <v>1</v>
      </c>
      <c r="H1738" s="188" t="inlineStr">
        <is>
          <t>LOW</t>
        </is>
      </c>
      <c r="I1738" s="188" t="n">
        <v>7</v>
      </c>
      <c r="J1738" s="188" t="inlineStr">
        <is>
          <t>NO</t>
        </is>
      </c>
      <c r="K1738" s="188" t="inlineStr">
        <is>
          <t>https://www.bleepingcomputer.com/news/security/ransomware-payment-rate-drops-to-record-low-as-attacks-surge/</t>
        </is>
      </c>
      <c r="L1738" s="188" t="inlineStr">
        <is>
          <t>2026-02-26 14:00</t>
        </is>
      </c>
      <c r="M1738" s="188" t="inlineStr">
        <is>
          <t>Monitor</t>
        </is>
      </c>
      <c r="N1738" s="188" t="inlineStr">
        <is>
          <t>https://www.bleepingcomputer.com/news/security/ransomware-payment-rate-drops-to-record-low-as-attacks-surge/</t>
        </is>
      </c>
      <c r="O1738" s="188" t="inlineStr">
        <is>
          <t>Monitor for developments | Review article for IOCs | Escalate if relevant to your infra</t>
        </is>
      </c>
      <c r="P1738" s="188" t="inlineStr">
        <is>
          <t>Varies - see article</t>
        </is>
      </c>
      <c r="Q1738" s="188" t="inlineStr">
        <is>
          <t>P4</t>
        </is>
      </c>
      <c r="R1738" s="188" t="inlineStr">
        <is>
          <t>📰 Security news alert - monitor for developments | 🔍 Review article for IOCs | 📋 Escalate if relevant to your infrastructure</t>
        </is>
      </c>
      <c r="S1738" s="188" t="inlineStr">
        <is>
          <t>News alert - no IP context</t>
        </is>
      </c>
      <c r="T1738" s="188" t="n">
        <v>0</v>
      </c>
      <c r="U1738" s="188" t="n">
        <v>0</v>
      </c>
      <c r="V1738" s="188" t="inlineStr">
        <is>
          <t>See article for technique context</t>
        </is>
      </c>
      <c r="W1738" s="188" t="n">
        <v>1</v>
      </c>
      <c r="X1738" s="188" t="inlineStr">
        <is>
          <t>LOW (40%)</t>
        </is>
      </c>
      <c r="Y1738" s="188" t="inlineStr">
        <is>
          <t>NONE</t>
        </is>
      </c>
      <c r="Z1738" s="188" t="inlineStr">
        <is>
          <t>NONE</t>
        </is>
      </c>
      <c r="AA1738" s="188" t="inlineStr">
        <is>
          <t>NONE</t>
        </is>
      </c>
      <c r="AB1738" s="188" t="inlineStr">
        <is>
          <t>NONE</t>
        </is>
      </c>
      <c r="AC1738" s="188" t="n">
        <v>0</v>
      </c>
      <c r="AD1738" s="188" t="inlineStr">
        <is>
          <t>Ransomware payment rate drops to record low as attacks surge</t>
        </is>
      </c>
    </row>
    <row r="1739">
      <c r="A1739" s="188" t="inlineStr">
        <is>
          <t>NEWS_ALERT</t>
        </is>
      </c>
      <c r="B1739" s="188" t="inlineStr">
        <is>
          <t>017d0706d2fb</t>
        </is>
      </c>
      <c r="C1739" s="188" t="inlineStr">
        <is>
          <t>[BleepingComputer] Fake Next.js job interview tests backdoor developer's devices | Keywords: backdoor | The Microsoft Defender team has discovered a coordinated campaign targeting software developers through malicious repositories posing as legitimate Ne</t>
        </is>
      </c>
      <c r="D1739" s="188" t="n">
        <v>5</v>
      </c>
      <c r="E1739" s="188" t="inlineStr">
        <is>
          <t>MEDIUM</t>
        </is>
      </c>
      <c r="F1739" s="188" t="n">
        <v>2</v>
      </c>
      <c r="G1739" s="188" t="n">
        <v>1</v>
      </c>
      <c r="H1739" s="188" t="inlineStr">
        <is>
          <t>LOW</t>
        </is>
      </c>
      <c r="I1739" s="188" t="n">
        <v>7</v>
      </c>
      <c r="J1739" s="188" t="inlineStr">
        <is>
          <t>NO</t>
        </is>
      </c>
      <c r="K1739" s="188" t="inlineStr">
        <is>
          <t>https://www.bleepingcomputer.com/news/security/fake-nextjs-job-interview-tests-backdoor-developers-devices/</t>
        </is>
      </c>
      <c r="L1739" s="188" t="inlineStr">
        <is>
          <t>2026-02-25 21:47</t>
        </is>
      </c>
      <c r="M1739" s="188" t="inlineStr">
        <is>
          <t>Monitor</t>
        </is>
      </c>
      <c r="N1739" s="188" t="inlineStr">
        <is>
          <t>https://www.bleepingcomputer.com/news/security/fake-nextjs-job-interview-tests-backdoor-developers-devices/</t>
        </is>
      </c>
      <c r="O1739" s="188" t="inlineStr">
        <is>
          <t>Monitor for developments | Review article for IOCs | Escalate if relevant to your infra</t>
        </is>
      </c>
      <c r="P1739" s="188" t="inlineStr">
        <is>
          <t>Varies - see article</t>
        </is>
      </c>
      <c r="Q1739" s="188" t="inlineStr">
        <is>
          <t>P4</t>
        </is>
      </c>
      <c r="R1739" s="188" t="inlineStr">
        <is>
          <t>📰 Security news alert - monitor for developments | 🔍 Review article for IOCs | 📋 Escalate if relevant to your infrastructure</t>
        </is>
      </c>
      <c r="S1739" s="188" t="inlineStr">
        <is>
          <t>News alert - no IP context</t>
        </is>
      </c>
      <c r="T1739" s="188" t="n">
        <v>0</v>
      </c>
      <c r="U1739" s="188" t="n">
        <v>0</v>
      </c>
      <c r="V1739" s="188" t="inlineStr">
        <is>
          <t>See article for technique context</t>
        </is>
      </c>
      <c r="W1739" s="188" t="n">
        <v>1</v>
      </c>
      <c r="X1739" s="188" t="inlineStr">
        <is>
          <t>LOW (40%)</t>
        </is>
      </c>
      <c r="Y1739" s="188" t="inlineStr">
        <is>
          <t>NONE</t>
        </is>
      </c>
      <c r="Z1739" s="188" t="inlineStr">
        <is>
          <t>NONE</t>
        </is>
      </c>
      <c r="AA1739" s="188" t="inlineStr">
        <is>
          <t>NONE</t>
        </is>
      </c>
      <c r="AB1739" s="188" t="inlineStr">
        <is>
          <t>NONE</t>
        </is>
      </c>
      <c r="AC1739" s="188" t="n">
        <v>0</v>
      </c>
      <c r="AD1739" s="188" t="inlineStr">
        <is>
          <t>Fake Next.js job interview tests backdoor developer's devices</t>
        </is>
      </c>
    </row>
    <row r="1740">
      <c r="A1740" s="188" t="inlineStr">
        <is>
          <t>NEWS_ALERT</t>
        </is>
      </c>
      <c r="B1740" s="188" t="inlineStr">
        <is>
          <t>7a8bfa59208b</t>
        </is>
      </c>
      <c r="C1740" s="188" t="inlineStr">
        <is>
          <t>[SecurityAffairs] ManoMano data breach impacted 38 Million customer accounts | Keywords: breach | European DIY platform ManoMano suffered a data breach via a third-party provider, exposing personal data of 38 million customers. European DIY e-comme</t>
        </is>
      </c>
      <c r="D1740" s="188" t="n">
        <v>5</v>
      </c>
      <c r="E1740" s="188" t="inlineStr">
        <is>
          <t>MEDIUM</t>
        </is>
      </c>
      <c r="F1740" s="188" t="n">
        <v>2</v>
      </c>
      <c r="G1740" s="188" t="n">
        <v>1</v>
      </c>
      <c r="H1740" s="188" t="inlineStr">
        <is>
          <t>LOW</t>
        </is>
      </c>
      <c r="I1740" s="188" t="n">
        <v>7</v>
      </c>
      <c r="J1740" s="188" t="inlineStr">
        <is>
          <t>NO</t>
        </is>
      </c>
      <c r="K1740" s="188" t="inlineStr">
        <is>
          <t>https://securityaffairs.com/188582/data-breach/manomano-data-breach-impacted-38-million-customer-accounts.html</t>
        </is>
      </c>
      <c r="L1740" s="188" t="inlineStr">
        <is>
          <t>2026-02-27 07:41</t>
        </is>
      </c>
      <c r="M1740" s="188" t="inlineStr">
        <is>
          <t>Monitor</t>
        </is>
      </c>
      <c r="N1740" s="188" t="inlineStr">
        <is>
          <t>https://securityaffairs.com/188582/data-breach/manomano-data-breach-impacted-38-million-customer-accounts.html</t>
        </is>
      </c>
      <c r="O1740" s="188" t="inlineStr">
        <is>
          <t>Monitor for developments | Review article for IOCs | Escalate if relevant to your infra</t>
        </is>
      </c>
      <c r="P1740" s="188" t="inlineStr">
        <is>
          <t>Varies - see article</t>
        </is>
      </c>
      <c r="Q1740" s="188" t="inlineStr">
        <is>
          <t>P4</t>
        </is>
      </c>
      <c r="R1740" s="188" t="inlineStr">
        <is>
          <t>📰 Security news alert - monitor for developments | 🔍 Review article for IOCs | 📋 Escalate if relevant to your infrastructure</t>
        </is>
      </c>
      <c r="S1740" s="188" t="inlineStr">
        <is>
          <t>News alert - no IP context</t>
        </is>
      </c>
      <c r="T1740" s="188" t="n">
        <v>0</v>
      </c>
      <c r="U1740" s="188" t="n">
        <v>0</v>
      </c>
      <c r="V1740" s="188" t="inlineStr">
        <is>
          <t>See article for technique context</t>
        </is>
      </c>
      <c r="W1740" s="188" t="n">
        <v>1</v>
      </c>
      <c r="X1740" s="188" t="inlineStr">
        <is>
          <t>LOW (40%)</t>
        </is>
      </c>
      <c r="Y1740" s="188" t="inlineStr">
        <is>
          <t>NONE</t>
        </is>
      </c>
      <c r="Z1740" s="188" t="inlineStr">
        <is>
          <t>NONE</t>
        </is>
      </c>
      <c r="AA1740" s="188" t="inlineStr">
        <is>
          <t>NONE</t>
        </is>
      </c>
      <c r="AB1740" s="188" t="inlineStr">
        <is>
          <t>NONE</t>
        </is>
      </c>
      <c r="AC1740" s="188" t="n">
        <v>0</v>
      </c>
      <c r="AD1740" s="188" t="inlineStr">
        <is>
          <t>ManoMano data breach impacted 38 Million customer accounts</t>
        </is>
      </c>
    </row>
    <row r="1741">
      <c r="A1741" s="188" t="inlineStr">
        <is>
          <t>NEWS_ALERT</t>
        </is>
      </c>
      <c r="B1741" s="188" t="inlineStr">
        <is>
          <t>c6814d153dcb</t>
        </is>
      </c>
      <c r="C1741" s="188" t="inlineStr">
        <is>
          <t>[SecurityAffairs] Trend Micro fixes two critical flaws in Apex One | Keywords: critical vulnerabilities, remote code | Trend Micro fixed two critical Apex One flaws enabling remote code execution on vulnerable Windows systems and urged immediate updates. Trend Micro ha</t>
        </is>
      </c>
      <c r="D1741" s="188" t="n">
        <v>5</v>
      </c>
      <c r="E1741" s="188" t="inlineStr">
        <is>
          <t>MEDIUM</t>
        </is>
      </c>
      <c r="F1741" s="188" t="n">
        <v>2</v>
      </c>
      <c r="G1741" s="188" t="n">
        <v>1</v>
      </c>
      <c r="H1741" s="188" t="inlineStr">
        <is>
          <t>LOW</t>
        </is>
      </c>
      <c r="I1741" s="188" t="n">
        <v>7</v>
      </c>
      <c r="J1741" s="188" t="inlineStr">
        <is>
          <t>NO</t>
        </is>
      </c>
      <c r="K1741" s="188" t="inlineStr">
        <is>
          <t>https://securityaffairs.com/188572/security/trend-micro-fixes-two-critical-flaws-in-apex-one.html</t>
        </is>
      </c>
      <c r="L1741" s="188" t="inlineStr">
        <is>
          <t>2026-02-26 21:35</t>
        </is>
      </c>
      <c r="M1741" s="188" t="inlineStr">
        <is>
          <t>Monitor</t>
        </is>
      </c>
      <c r="N1741" s="188" t="inlineStr">
        <is>
          <t>https://securityaffairs.com/188572/security/trend-micro-fixes-two-critical-flaws-in-apex-one.html</t>
        </is>
      </c>
      <c r="O1741" s="188" t="inlineStr">
        <is>
          <t>Monitor for developments | Review article for IOCs | Escalate if relevant to your infra</t>
        </is>
      </c>
      <c r="P1741" s="188" t="inlineStr">
        <is>
          <t>Varies - see article</t>
        </is>
      </c>
      <c r="Q1741" s="188" t="inlineStr">
        <is>
          <t>P4</t>
        </is>
      </c>
      <c r="R1741" s="188" t="inlineStr">
        <is>
          <t>📰 Security news alert - monitor for developments | 🔍 Review article for IOCs | 📋 Escalate if relevant to your infrastructure</t>
        </is>
      </c>
      <c r="S1741" s="188" t="inlineStr">
        <is>
          <t>News alert - no IP context</t>
        </is>
      </c>
      <c r="T1741" s="188" t="n">
        <v>0</v>
      </c>
      <c r="U1741" s="188" t="n">
        <v>0</v>
      </c>
      <c r="V1741" s="188" t="inlineStr">
        <is>
          <t>See article for technique context</t>
        </is>
      </c>
      <c r="W1741" s="188" t="n">
        <v>1</v>
      </c>
      <c r="X1741" s="188" t="inlineStr">
        <is>
          <t>LOW (40%)</t>
        </is>
      </c>
      <c r="Y1741" s="188" t="inlineStr">
        <is>
          <t>NONE</t>
        </is>
      </c>
      <c r="Z1741" s="188" t="inlineStr">
        <is>
          <t>NONE</t>
        </is>
      </c>
      <c r="AA1741" s="188" t="inlineStr">
        <is>
          <t>NONE</t>
        </is>
      </c>
      <c r="AB1741" s="188" t="inlineStr">
        <is>
          <t>NONE</t>
        </is>
      </c>
      <c r="AC1741" s="188" t="n">
        <v>0</v>
      </c>
      <c r="AD1741" s="188" t="inlineStr">
        <is>
          <t>Trend Micro fixes two critical flaws in Apex One</t>
        </is>
      </c>
    </row>
    <row r="1742">
      <c r="A1742" s="188" t="inlineStr">
        <is>
          <t>NEWS_ALERT</t>
        </is>
      </c>
      <c r="B1742" s="188" t="inlineStr">
        <is>
          <t>d92de54f2dd7</t>
        </is>
      </c>
      <c r="C1742" s="188" t="inlineStr">
        <is>
          <t>[SecurityAffairs] UAT-10027 campaign hits U.S. education and healthcare with stealthy Dohdoor backdoor | Keywords: phishing, backdoor | UAT-10027 campaign is targeting U.S. education and healthcare sectors to deploy a new Dohdoor backdoor. Cisco Talos has identified a new threat cluste</t>
        </is>
      </c>
      <c r="D1742" s="188" t="n">
        <v>5</v>
      </c>
      <c r="E1742" s="188" t="inlineStr">
        <is>
          <t>MEDIUM</t>
        </is>
      </c>
      <c r="F1742" s="188" t="n">
        <v>2</v>
      </c>
      <c r="G1742" s="188" t="n">
        <v>1</v>
      </c>
      <c r="H1742" s="188" t="inlineStr">
        <is>
          <t>LOW</t>
        </is>
      </c>
      <c r="I1742" s="188" t="n">
        <v>7</v>
      </c>
      <c r="J1742" s="188" t="inlineStr">
        <is>
          <t>NO</t>
        </is>
      </c>
      <c r="K1742" s="188" t="inlineStr">
        <is>
          <t>https://securityaffairs.com/188558/apt/uat-10027-campaign-hits-u-s-education-and-healthcare-with-stealthy-dohdoor-backdoor.html</t>
        </is>
      </c>
      <c r="L1742" s="188" t="inlineStr">
        <is>
          <t>2026-02-26 19:10</t>
        </is>
      </c>
      <c r="M1742" s="188" t="inlineStr">
        <is>
          <t>Monitor</t>
        </is>
      </c>
      <c r="N1742" s="188" t="inlineStr">
        <is>
          <t>https://securityaffairs.com/188558/apt/uat-10027-campaign-hits-u-s-education-and-healthcare-with-stealthy-dohdoor-backdoor.html</t>
        </is>
      </c>
      <c r="O1742" s="188" t="inlineStr">
        <is>
          <t>Monitor for developments | Review article for IOCs | Escalate if relevant to your infra</t>
        </is>
      </c>
      <c r="P1742" s="188" t="inlineStr">
        <is>
          <t>Varies - see article</t>
        </is>
      </c>
      <c r="Q1742" s="188" t="inlineStr">
        <is>
          <t>P4</t>
        </is>
      </c>
      <c r="R1742" s="188" t="inlineStr">
        <is>
          <t>📰 Security news alert - monitor for developments | 🔍 Review article for IOCs | 📋 Escalate if relevant to your infrastructure</t>
        </is>
      </c>
      <c r="S1742" s="188" t="inlineStr">
        <is>
          <t>News alert - no IP context</t>
        </is>
      </c>
      <c r="T1742" s="188" t="n">
        <v>0</v>
      </c>
      <c r="U1742" s="188" t="n">
        <v>0</v>
      </c>
      <c r="V1742" s="188" t="inlineStr">
        <is>
          <t>See article for technique context</t>
        </is>
      </c>
      <c r="W1742" s="188" t="n">
        <v>1</v>
      </c>
      <c r="X1742" s="188" t="inlineStr">
        <is>
          <t>LOW (40%)</t>
        </is>
      </c>
      <c r="Y1742" s="188" t="inlineStr">
        <is>
          <t>NONE</t>
        </is>
      </c>
      <c r="Z1742" s="188" t="inlineStr">
        <is>
          <t>NONE</t>
        </is>
      </c>
      <c r="AA1742" s="188" t="inlineStr">
        <is>
          <t>NONE</t>
        </is>
      </c>
      <c r="AB1742" s="188" t="inlineStr">
        <is>
          <t>NONE</t>
        </is>
      </c>
      <c r="AC1742" s="188" t="n">
        <v>0</v>
      </c>
      <c r="AD1742" s="188" t="inlineStr">
        <is>
          <t>UAT-10027 campaign hits U.S. education and healthcare with stealthy Dohdoor backdoor</t>
        </is>
      </c>
    </row>
    <row r="1743">
      <c r="A1743" s="188" t="inlineStr">
        <is>
          <t>NEWS_ALERT</t>
        </is>
      </c>
      <c r="B1743" s="188" t="inlineStr">
        <is>
          <t>7e921c433b9a</t>
        </is>
      </c>
      <c r="C1743" s="188" t="inlineStr">
        <is>
          <t>[SecurityAffairs] U.S. CISA adds Cisco SD-WAN flaws to its Known Exploited Vulnerabilities catalog | Keywords: exploited | U.S. Cybersecurity and Infrastructure Security Agency (CISA) adds Cisco SD-WAN flaws to its Known Exploited Vulnerabilities catalog. The U.S. Cybersec</t>
        </is>
      </c>
      <c r="D1743" s="188" t="n">
        <v>5</v>
      </c>
      <c r="E1743" s="188" t="inlineStr">
        <is>
          <t>MEDIUM</t>
        </is>
      </c>
      <c r="F1743" s="188" t="n">
        <v>2</v>
      </c>
      <c r="G1743" s="188" t="n">
        <v>1</v>
      </c>
      <c r="H1743" s="188" t="inlineStr">
        <is>
          <t>LOW</t>
        </is>
      </c>
      <c r="I1743" s="188" t="n">
        <v>7</v>
      </c>
      <c r="J1743" s="188" t="inlineStr">
        <is>
          <t>NO</t>
        </is>
      </c>
      <c r="K1743" s="188" t="inlineStr">
        <is>
          <t>https://securityaffairs.com/188548/hacking/u-s-cisa-adds-cisco-sd-wan-flaws-to-its-known-exploited-vulnerabilities-catalog.html</t>
        </is>
      </c>
      <c r="L1743" s="188" t="inlineStr">
        <is>
          <t>2026-02-26 15:04</t>
        </is>
      </c>
      <c r="M1743" s="188" t="inlineStr">
        <is>
          <t>Monitor</t>
        </is>
      </c>
      <c r="N1743" s="188" t="inlineStr">
        <is>
          <t>https://securityaffairs.com/188548/hacking/u-s-cisa-adds-cisco-sd-wan-flaws-to-its-known-exploited-vulnerabilities-catalog.html</t>
        </is>
      </c>
      <c r="O1743" s="188" t="inlineStr">
        <is>
          <t>Monitor for developments | Review article for IOCs | Escalate if relevant to your infra</t>
        </is>
      </c>
      <c r="P1743" s="188" t="inlineStr">
        <is>
          <t>Varies - see article</t>
        </is>
      </c>
      <c r="Q1743" s="188" t="inlineStr">
        <is>
          <t>P4</t>
        </is>
      </c>
      <c r="R1743" s="188" t="inlineStr">
        <is>
          <t>📰 Security news alert - monitor for developments | 🔍 Review article for IOCs | 📋 Escalate if relevant to your infrastructure</t>
        </is>
      </c>
      <c r="S1743" s="188" t="inlineStr">
        <is>
          <t>News alert - no IP context</t>
        </is>
      </c>
      <c r="T1743" s="188" t="n">
        <v>0</v>
      </c>
      <c r="U1743" s="188" t="n">
        <v>0</v>
      </c>
      <c r="V1743" s="188" t="inlineStr">
        <is>
          <t>See article for technique context</t>
        </is>
      </c>
      <c r="W1743" s="188" t="n">
        <v>1</v>
      </c>
      <c r="X1743" s="188" t="inlineStr">
        <is>
          <t>LOW (40%)</t>
        </is>
      </c>
      <c r="Y1743" s="188" t="inlineStr">
        <is>
          <t>NONE</t>
        </is>
      </c>
      <c r="Z1743" s="188" t="inlineStr">
        <is>
          <t>NONE</t>
        </is>
      </c>
      <c r="AA1743" s="188" t="inlineStr">
        <is>
          <t>NONE</t>
        </is>
      </c>
      <c r="AB1743" s="188" t="inlineStr">
        <is>
          <t>NONE</t>
        </is>
      </c>
      <c r="AC1743" s="188" t="n">
        <v>0</v>
      </c>
      <c r="AD1743" s="188" t="inlineStr">
        <is>
          <t>U.S. CISA adds Cisco SD-WAN flaws to its Known Exploited Vulnerabilities catalog</t>
        </is>
      </c>
    </row>
    <row r="1744">
      <c r="A1744" s="188" t="inlineStr">
        <is>
          <t>NEWS_ALERT</t>
        </is>
      </c>
      <c r="B1744" s="188" t="inlineStr">
        <is>
          <t>7687257a1794</t>
        </is>
      </c>
      <c r="C1744" s="188" t="inlineStr">
        <is>
          <t>[SecurityAffairs] Google GTIG disrupted China-linked APT UNC2814 halting attacks on 53 orgs in 42 countries | Keywords: apt | Google and partners disrupted UNC2814, a suspected China-linked group that hacked 53 organizations across 42 countries. Google, with industry partners</t>
        </is>
      </c>
      <c r="D1744" s="188" t="n">
        <v>5</v>
      </c>
      <c r="E1744" s="188" t="inlineStr">
        <is>
          <t>MEDIUM</t>
        </is>
      </c>
      <c r="F1744" s="188" t="n">
        <v>2</v>
      </c>
      <c r="G1744" s="188" t="n">
        <v>1</v>
      </c>
      <c r="H1744" s="188" t="inlineStr">
        <is>
          <t>LOW</t>
        </is>
      </c>
      <c r="I1744" s="188" t="n">
        <v>7</v>
      </c>
      <c r="J1744" s="188" t="inlineStr">
        <is>
          <t>NO</t>
        </is>
      </c>
      <c r="K1744" s="188" t="inlineStr">
        <is>
          <t>https://securityaffairs.com/188521/apt/google-gtig-disrupted-china-linked-apt-unc2814-halting-attacks-on-53-orgs-in-42-countries.html</t>
        </is>
      </c>
      <c r="L1744" s="188" t="inlineStr">
        <is>
          <t>2026-02-26 08:29</t>
        </is>
      </c>
      <c r="M1744" s="188" t="inlineStr">
        <is>
          <t>Monitor</t>
        </is>
      </c>
      <c r="N1744" s="188" t="inlineStr">
        <is>
          <t>https://securityaffairs.com/188521/apt/google-gtig-disrupted-china-linked-apt-unc2814-halting-attacks-on-53-orgs-in-42-countries.html</t>
        </is>
      </c>
      <c r="O1744" s="188" t="inlineStr">
        <is>
          <t>Monitor for developments | Review article for IOCs | Escalate if relevant to your infra</t>
        </is>
      </c>
      <c r="P1744" s="188" t="inlineStr">
        <is>
          <t>Varies - see article</t>
        </is>
      </c>
      <c r="Q1744" s="188" t="inlineStr">
        <is>
          <t>P4</t>
        </is>
      </c>
      <c r="R1744" s="188" t="inlineStr">
        <is>
          <t>📰 Security news alert - monitor for developments | 🔍 Review article for IOCs | 📋 Escalate if relevant to your infrastructure</t>
        </is>
      </c>
      <c r="S1744" s="188" t="inlineStr">
        <is>
          <t>News alert - no IP context</t>
        </is>
      </c>
      <c r="T1744" s="188" t="n">
        <v>0</v>
      </c>
      <c r="U1744" s="188" t="n">
        <v>0</v>
      </c>
      <c r="V1744" s="188" t="inlineStr">
        <is>
          <t>See article for technique context</t>
        </is>
      </c>
      <c r="W1744" s="188" t="n">
        <v>1</v>
      </c>
      <c r="X1744" s="188" t="inlineStr">
        <is>
          <t>LOW (40%)</t>
        </is>
      </c>
      <c r="Y1744" s="188" t="inlineStr">
        <is>
          <t>NONE</t>
        </is>
      </c>
      <c r="Z1744" s="188" t="inlineStr">
        <is>
          <t>NONE</t>
        </is>
      </c>
      <c r="AA1744" s="188" t="inlineStr">
        <is>
          <t>NONE</t>
        </is>
      </c>
      <c r="AB1744" s="188" t="inlineStr">
        <is>
          <t>NONE</t>
        </is>
      </c>
      <c r="AC1744" s="188" t="n">
        <v>0</v>
      </c>
      <c r="AD1744" s="188" t="inlineStr">
        <is>
          <t>Google GTIG disrupted China-linked APT UNC2814 halting attacks on 53 orgs in 42 countries</t>
        </is>
      </c>
    </row>
    <row r="1745">
      <c r="A1745" s="188" t="inlineStr">
        <is>
          <t>NEWS_ALERT</t>
        </is>
      </c>
      <c r="B1745" s="188" t="inlineStr">
        <is>
          <t>a04cf66aed99</t>
        </is>
      </c>
      <c r="C1745" s="188"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1745" s="188" t="n">
        <v>5</v>
      </c>
      <c r="E1745" s="188" t="inlineStr">
        <is>
          <t>MEDIUM</t>
        </is>
      </c>
      <c r="F1745" s="188" t="n">
        <v>2</v>
      </c>
      <c r="G1745" s="188" t="n">
        <v>1</v>
      </c>
      <c r="H1745" s="188" t="inlineStr">
        <is>
          <t>LOW</t>
        </is>
      </c>
      <c r="I1745" s="188" t="n">
        <v>7</v>
      </c>
      <c r="J1745" s="188" t="inlineStr">
        <is>
          <t>NO</t>
        </is>
      </c>
      <c r="K1745" s="188" t="inlineStr">
        <is>
          <t>https://thehackernews.com/2026/02/900-sangoma-freepbx-instances.html</t>
        </is>
      </c>
      <c r="L1745" s="188" t="inlineStr">
        <is>
          <t>2026-02-27 17:59</t>
        </is>
      </c>
      <c r="M1745" s="188" t="inlineStr">
        <is>
          <t>Monitor</t>
        </is>
      </c>
      <c r="N1745" s="188" t="inlineStr">
        <is>
          <t>https://thehackernews.com/2026/02/900-sangoma-freepbx-instances.html</t>
        </is>
      </c>
      <c r="O1745" s="188" t="inlineStr">
        <is>
          <t>Monitor for developments | Review article for IOCs | Escalate if relevant to your infra</t>
        </is>
      </c>
      <c r="P1745" s="188" t="inlineStr">
        <is>
          <t>Varies - see article</t>
        </is>
      </c>
      <c r="Q1745" s="188" t="inlineStr">
        <is>
          <t>P4</t>
        </is>
      </c>
      <c r="R1745" s="188" t="inlineStr">
        <is>
          <t>📰 Security news alert - monitor for developments | 🔍 Review article for IOCs | 📋 Escalate if relevant to your infrastructure</t>
        </is>
      </c>
      <c r="S1745" s="188" t="inlineStr">
        <is>
          <t>News alert - no IP context</t>
        </is>
      </c>
      <c r="T1745" s="188" t="n">
        <v>0</v>
      </c>
      <c r="U1745" s="188" t="n">
        <v>0</v>
      </c>
      <c r="V1745" s="188" t="inlineStr">
        <is>
          <t>See article for technique context</t>
        </is>
      </c>
      <c r="W1745" s="188" t="n">
        <v>1</v>
      </c>
      <c r="X1745" s="188" t="inlineStr">
        <is>
          <t>LOW (40%)</t>
        </is>
      </c>
      <c r="Y1745" s="188" t="inlineStr">
        <is>
          <t>NONE</t>
        </is>
      </c>
      <c r="Z1745" s="188" t="inlineStr">
        <is>
          <t>NONE</t>
        </is>
      </c>
      <c r="AA1745" s="188" t="inlineStr">
        <is>
          <t>NONE</t>
        </is>
      </c>
      <c r="AB1745" s="188" t="inlineStr">
        <is>
          <t>NONE</t>
        </is>
      </c>
      <c r="AC1745" s="188" t="n">
        <v>0</v>
      </c>
      <c r="AD1745" s="188" t="inlineStr">
        <is>
          <t>900+ Sangoma FreePBX Instances Compromised in Ongoing Web Shell Attacks</t>
        </is>
      </c>
    </row>
    <row r="1746">
      <c r="A1746" s="188" t="inlineStr">
        <is>
          <t>NEWS_ALERT</t>
        </is>
      </c>
      <c r="B1746" s="188" t="inlineStr">
        <is>
          <t>a1ae46a8a2ad</t>
        </is>
      </c>
      <c r="C1746" s="188"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1746" s="188" t="n">
        <v>5</v>
      </c>
      <c r="E1746" s="188" t="inlineStr">
        <is>
          <t>MEDIUM</t>
        </is>
      </c>
      <c r="F1746" s="188" t="n">
        <v>2</v>
      </c>
      <c r="G1746" s="188" t="n">
        <v>1</v>
      </c>
      <c r="H1746" s="188" t="inlineStr">
        <is>
          <t>LOW</t>
        </is>
      </c>
      <c r="I1746" s="188" t="n">
        <v>7</v>
      </c>
      <c r="J1746" s="188" t="inlineStr">
        <is>
          <t>NO</t>
        </is>
      </c>
      <c r="K1746" s="188" t="inlineStr">
        <is>
          <t>https://thehackernews.com/2026/02/malicious-go-crypto-module-steals.html</t>
        </is>
      </c>
      <c r="L1746" s="188" t="inlineStr">
        <is>
          <t>2026-02-27 15:33</t>
        </is>
      </c>
      <c r="M1746" s="188" t="inlineStr">
        <is>
          <t>Monitor</t>
        </is>
      </c>
      <c r="N1746" s="188" t="inlineStr">
        <is>
          <t>https://thehackernews.com/2026/02/malicious-go-crypto-module-steals.html</t>
        </is>
      </c>
      <c r="O1746" s="188" t="inlineStr">
        <is>
          <t>Monitor for developments | Review article for IOCs | Escalate if relevant to your infra</t>
        </is>
      </c>
      <c r="P1746" s="188" t="inlineStr">
        <is>
          <t>Varies - see article</t>
        </is>
      </c>
      <c r="Q1746" s="188" t="inlineStr">
        <is>
          <t>P4</t>
        </is>
      </c>
      <c r="R1746" s="188" t="inlineStr">
        <is>
          <t>📰 Security news alert - monitor for developments | 🔍 Review article for IOCs | 📋 Escalate if relevant to your infrastructure</t>
        </is>
      </c>
      <c r="S1746" s="188" t="inlineStr">
        <is>
          <t>News alert - no IP context</t>
        </is>
      </c>
      <c r="T1746" s="188" t="n">
        <v>0</v>
      </c>
      <c r="U1746" s="188" t="n">
        <v>0</v>
      </c>
      <c r="V1746" s="188" t="inlineStr">
        <is>
          <t>See article for technique context</t>
        </is>
      </c>
      <c r="W1746" s="188" t="n">
        <v>1</v>
      </c>
      <c r="X1746" s="188" t="inlineStr">
        <is>
          <t>LOW (40%)</t>
        </is>
      </c>
      <c r="Y1746" s="188" t="inlineStr">
        <is>
          <t>NONE</t>
        </is>
      </c>
      <c r="Z1746" s="188" t="inlineStr">
        <is>
          <t>NONE</t>
        </is>
      </c>
      <c r="AA1746" s="188" t="inlineStr">
        <is>
          <t>NONE</t>
        </is>
      </c>
      <c r="AB1746" s="188" t="inlineStr">
        <is>
          <t>NONE</t>
        </is>
      </c>
      <c r="AC1746" s="188" t="n">
        <v>0</v>
      </c>
      <c r="AD1746" s="188" t="inlineStr">
        <is>
          <t>Malicious Go Crypto Module Steals Passwords, Deploys Rekoobe Backdoor</t>
        </is>
      </c>
    </row>
    <row r="1747">
      <c r="A1747" s="188" t="inlineStr">
        <is>
          <t>NEWS_ALERT</t>
        </is>
      </c>
      <c r="B1747" s="188" t="inlineStr">
        <is>
          <t>02c14f7f3c5e</t>
        </is>
      </c>
      <c r="C1747" s="188" t="inlineStr">
        <is>
          <t>[TheHackerNews] ScarCruft Uses Zoho WorkDrive and USB Malware to Breach Air-Gapped Networks | Keywords: malware, threat actor, breach, breach, malware, backdoor | The North Korean threat actor known as ScarCruft has been attributed to a fresh set of tools, including a backdoor that uses Zoho WorkDrive for comman</t>
        </is>
      </c>
      <c r="D1747" s="188" t="n">
        <v>5</v>
      </c>
      <c r="E1747" s="188" t="inlineStr">
        <is>
          <t>MEDIUM</t>
        </is>
      </c>
      <c r="F1747" s="188" t="n">
        <v>2</v>
      </c>
      <c r="G1747" s="188" t="n">
        <v>1</v>
      </c>
      <c r="H1747" s="188" t="inlineStr">
        <is>
          <t>LOW</t>
        </is>
      </c>
      <c r="I1747" s="188" t="n">
        <v>7</v>
      </c>
      <c r="J1747" s="188" t="inlineStr">
        <is>
          <t>NO</t>
        </is>
      </c>
      <c r="K1747" s="188" t="inlineStr">
        <is>
          <t>https://thehackernews.com/2026/02/scarcruft-uses-zoho-workdrive-and-usb.html</t>
        </is>
      </c>
      <c r="L1747" s="188" t="inlineStr">
        <is>
          <t>2026-02-27 12:43</t>
        </is>
      </c>
      <c r="M1747" s="188" t="inlineStr">
        <is>
          <t>Monitor</t>
        </is>
      </c>
      <c r="N1747" s="188" t="inlineStr">
        <is>
          <t>https://thehackernews.com/2026/02/scarcruft-uses-zoho-workdrive-and-usb.html</t>
        </is>
      </c>
      <c r="O1747" s="188" t="inlineStr">
        <is>
          <t>Monitor for developments | Review article for IOCs | Escalate if relevant to your infra</t>
        </is>
      </c>
      <c r="P1747" s="188" t="inlineStr">
        <is>
          <t>Varies - see article</t>
        </is>
      </c>
      <c r="Q1747" s="188" t="inlineStr">
        <is>
          <t>P4</t>
        </is>
      </c>
      <c r="R1747" s="188" t="inlineStr">
        <is>
          <t>📰 Security news alert - monitor for developments | 🔍 Review article for IOCs | 📋 Escalate if relevant to your infrastructure</t>
        </is>
      </c>
      <c r="S1747" s="188" t="inlineStr">
        <is>
          <t>News alert - no IP context</t>
        </is>
      </c>
      <c r="T1747" s="188" t="n">
        <v>0</v>
      </c>
      <c r="U1747" s="188" t="n">
        <v>0</v>
      </c>
      <c r="V1747" s="188" t="inlineStr">
        <is>
          <t>See article for technique context</t>
        </is>
      </c>
      <c r="W1747" s="188" t="n">
        <v>1</v>
      </c>
      <c r="X1747" s="188" t="inlineStr">
        <is>
          <t>LOW (40%)</t>
        </is>
      </c>
      <c r="Y1747" s="188" t="inlineStr">
        <is>
          <t>NONE</t>
        </is>
      </c>
      <c r="Z1747" s="188" t="inlineStr">
        <is>
          <t>NONE</t>
        </is>
      </c>
      <c r="AA1747" s="188" t="inlineStr">
        <is>
          <t>NONE</t>
        </is>
      </c>
      <c r="AB1747" s="188" t="inlineStr">
        <is>
          <t>NONE</t>
        </is>
      </c>
      <c r="AC1747" s="188" t="n">
        <v>0</v>
      </c>
      <c r="AD1747" s="188" t="inlineStr">
        <is>
          <t>ScarCruft Uses Zoho WorkDrive and USB Malware to Breach Air-Gapped Networks</t>
        </is>
      </c>
    </row>
    <row r="1748">
      <c r="A1748" s="188" t="inlineStr">
        <is>
          <t>NEWS_ALERT</t>
        </is>
      </c>
      <c r="B1748" s="188" t="inlineStr">
        <is>
          <t>10fe2cea4deb</t>
        </is>
      </c>
      <c r="C1748" s="188"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1748" s="188" t="n">
        <v>5</v>
      </c>
      <c r="E1748" s="188" t="inlineStr">
        <is>
          <t>MEDIUM</t>
        </is>
      </c>
      <c r="F1748" s="188" t="n">
        <v>2</v>
      </c>
      <c r="G1748" s="188" t="n">
        <v>1</v>
      </c>
      <c r="H1748" s="188" t="inlineStr">
        <is>
          <t>LOW</t>
        </is>
      </c>
      <c r="I1748" s="188" t="n">
        <v>7</v>
      </c>
      <c r="J1748" s="188" t="inlineStr">
        <is>
          <t>NO</t>
        </is>
      </c>
      <c r="K1748" s="188" t="inlineStr">
        <is>
          <t>https://thehackernews.com/2026/02/uat-10027-targets-us-education-and.html</t>
        </is>
      </c>
      <c r="L1748" s="188" t="inlineStr">
        <is>
          <t>2026-02-26 15:17</t>
        </is>
      </c>
      <c r="M1748" s="188" t="inlineStr">
        <is>
          <t>Monitor</t>
        </is>
      </c>
      <c r="N1748" s="188" t="inlineStr">
        <is>
          <t>https://thehackernews.com/2026/02/uat-10027-targets-us-education-and.html</t>
        </is>
      </c>
      <c r="O1748" s="188" t="inlineStr">
        <is>
          <t>Monitor for developments | Review article for IOCs | Escalate if relevant to your infra</t>
        </is>
      </c>
      <c r="P1748" s="188" t="inlineStr">
        <is>
          <t>Varies - see article</t>
        </is>
      </c>
      <c r="Q1748" s="188" t="inlineStr">
        <is>
          <t>P4</t>
        </is>
      </c>
      <c r="R1748" s="188" t="inlineStr">
        <is>
          <t>📰 Security news alert - monitor for developments | 🔍 Review article for IOCs | 📋 Escalate if relevant to your infrastructure</t>
        </is>
      </c>
      <c r="S1748" s="188" t="inlineStr">
        <is>
          <t>News alert - no IP context</t>
        </is>
      </c>
      <c r="T1748" s="188" t="n">
        <v>0</v>
      </c>
      <c r="U1748" s="188" t="n">
        <v>0</v>
      </c>
      <c r="V1748" s="188" t="inlineStr">
        <is>
          <t>See article for technique context</t>
        </is>
      </c>
      <c r="W1748" s="188" t="n">
        <v>1</v>
      </c>
      <c r="X1748" s="188" t="inlineStr">
        <is>
          <t>LOW (40%)</t>
        </is>
      </c>
      <c r="Y1748" s="188" t="inlineStr">
        <is>
          <t>NONE</t>
        </is>
      </c>
      <c r="Z1748" s="188" t="inlineStr">
        <is>
          <t>NONE</t>
        </is>
      </c>
      <c r="AA1748" s="188" t="inlineStr">
        <is>
          <t>NONE</t>
        </is>
      </c>
      <c r="AB1748" s="188" t="inlineStr">
        <is>
          <t>NONE</t>
        </is>
      </c>
      <c r="AC1748" s="188" t="n">
        <v>0</v>
      </c>
      <c r="AD1748" s="188" t="inlineStr">
        <is>
          <t>UAT-10027 Targets U.S. Education and Healthcare with Dohdoor Backdoor</t>
        </is>
      </c>
    </row>
    <row r="1749">
      <c r="A1749" s="188" t="inlineStr">
        <is>
          <t>NEWS_ALERT</t>
        </is>
      </c>
      <c r="B1749" s="188" t="inlineStr">
        <is>
          <t>96fd26c759b4</t>
        </is>
      </c>
      <c r="C1749" s="188" t="inlineStr">
        <is>
          <t>[TheHackerNews] Expert Recommends: Prepare for PQC Right Now | Keywords: ransomware | Introduction: Steal It Today, Break It in a Decade Digital evolution is unstoppable, and though the pace may vary, things tend to fall into place soon</t>
        </is>
      </c>
      <c r="D1749" s="188" t="n">
        <v>5</v>
      </c>
      <c r="E1749" s="188" t="inlineStr">
        <is>
          <t>MEDIUM</t>
        </is>
      </c>
      <c r="F1749" s="188" t="n">
        <v>2</v>
      </c>
      <c r="G1749" s="188" t="n">
        <v>1</v>
      </c>
      <c r="H1749" s="188" t="inlineStr">
        <is>
          <t>LOW</t>
        </is>
      </c>
      <c r="I1749" s="188" t="n">
        <v>7</v>
      </c>
      <c r="J1749" s="188" t="inlineStr">
        <is>
          <t>NO</t>
        </is>
      </c>
      <c r="K1749" s="188" t="inlineStr">
        <is>
          <t>https://thehackernews.com/2026/02/expert-recommends-prepare-for-pqc-right.html</t>
        </is>
      </c>
      <c r="L1749" s="188" t="inlineStr">
        <is>
          <t>2026-02-26 12:06</t>
        </is>
      </c>
      <c r="M1749" s="188" t="inlineStr">
        <is>
          <t>Monitor</t>
        </is>
      </c>
      <c r="N1749" s="188" t="inlineStr">
        <is>
          <t>https://thehackernews.com/2026/02/expert-recommends-prepare-for-pqc-right.html</t>
        </is>
      </c>
      <c r="O1749" s="188" t="inlineStr">
        <is>
          <t>Monitor for developments | Review article for IOCs | Escalate if relevant to your infra</t>
        </is>
      </c>
      <c r="P1749" s="188" t="inlineStr">
        <is>
          <t>Varies - see article</t>
        </is>
      </c>
      <c r="Q1749" s="188" t="inlineStr">
        <is>
          <t>P4</t>
        </is>
      </c>
      <c r="R1749" s="188" t="inlineStr">
        <is>
          <t>📰 Security news alert - monitor for developments | 🔍 Review article for IOCs | 📋 Escalate if relevant to your infrastructure</t>
        </is>
      </c>
      <c r="S1749" s="188" t="inlineStr">
        <is>
          <t>News alert - no IP context</t>
        </is>
      </c>
      <c r="T1749" s="188" t="n">
        <v>0</v>
      </c>
      <c r="U1749" s="188" t="n">
        <v>0</v>
      </c>
      <c r="V1749" s="188" t="inlineStr">
        <is>
          <t>See article for technique context</t>
        </is>
      </c>
      <c r="W1749" s="188" t="n">
        <v>1</v>
      </c>
      <c r="X1749" s="188" t="inlineStr">
        <is>
          <t>LOW (40%)</t>
        </is>
      </c>
      <c r="Y1749" s="188" t="inlineStr">
        <is>
          <t>NONE</t>
        </is>
      </c>
      <c r="Z1749" s="188" t="inlineStr">
        <is>
          <t>NONE</t>
        </is>
      </c>
      <c r="AA1749" s="188" t="inlineStr">
        <is>
          <t>NONE</t>
        </is>
      </c>
      <c r="AB1749" s="188" t="inlineStr">
        <is>
          <t>NONE</t>
        </is>
      </c>
      <c r="AC1749" s="188" t="n">
        <v>0</v>
      </c>
      <c r="AD1749" s="188" t="inlineStr">
        <is>
          <t>Expert Recommends: Prepare for PQC Right Now</t>
        </is>
      </c>
    </row>
    <row r="1750">
      <c r="A1750" s="188" t="inlineStr">
        <is>
          <t>NEWS_ALERT</t>
        </is>
      </c>
      <c r="B1750" s="188" t="inlineStr">
        <is>
          <t>72bc7ff6d3de</t>
        </is>
      </c>
      <c r="C1750" s="188"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1750" s="188" t="n">
        <v>5</v>
      </c>
      <c r="E1750" s="188" t="inlineStr">
        <is>
          <t>MEDIUM</t>
        </is>
      </c>
      <c r="F1750" s="188" t="n">
        <v>2</v>
      </c>
      <c r="G1750" s="188" t="n">
        <v>1</v>
      </c>
      <c r="H1750" s="188" t="inlineStr">
        <is>
          <t>LOW</t>
        </is>
      </c>
      <c r="I1750" s="188" t="n">
        <v>7</v>
      </c>
      <c r="J1750" s="188" t="inlineStr">
        <is>
          <t>NO</t>
        </is>
      </c>
      <c r="K1750" s="188" t="inlineStr">
        <is>
          <t>https://thehackernews.com/2026/02/fake-nextjs-repos-target-developers.html</t>
        </is>
      </c>
      <c r="L1750" s="188" t="inlineStr">
        <is>
          <t>2026-02-26 10:35</t>
        </is>
      </c>
      <c r="M1750" s="188" t="inlineStr">
        <is>
          <t>Monitor</t>
        </is>
      </c>
      <c r="N1750" s="188" t="inlineStr">
        <is>
          <t>https://thehackernews.com/2026/02/fake-nextjs-repos-target-developers.html</t>
        </is>
      </c>
      <c r="O1750" s="188" t="inlineStr">
        <is>
          <t>Monitor for developments | Review article for IOCs | Escalate if relevant to your infra</t>
        </is>
      </c>
      <c r="P1750" s="188" t="inlineStr">
        <is>
          <t>Varies - see article</t>
        </is>
      </c>
      <c r="Q1750" s="188" t="inlineStr">
        <is>
          <t>P4</t>
        </is>
      </c>
      <c r="R1750" s="188" t="inlineStr">
        <is>
          <t>📰 Security news alert - monitor for developments | 🔍 Review article for IOCs | 📋 Escalate if relevant to your infrastructure</t>
        </is>
      </c>
      <c r="S1750" s="188" t="inlineStr">
        <is>
          <t>News alert - no IP context</t>
        </is>
      </c>
      <c r="T1750" s="188" t="n">
        <v>0</v>
      </c>
      <c r="U1750" s="188" t="n">
        <v>0</v>
      </c>
      <c r="V1750" s="188" t="inlineStr">
        <is>
          <t>See article for technique context</t>
        </is>
      </c>
      <c r="W1750" s="188" t="n">
        <v>1</v>
      </c>
      <c r="X1750" s="188" t="inlineStr">
        <is>
          <t>LOW (40%)</t>
        </is>
      </c>
      <c r="Y1750" s="188" t="inlineStr">
        <is>
          <t>NONE</t>
        </is>
      </c>
      <c r="Z1750" s="188" t="inlineStr">
        <is>
          <t>NONE</t>
        </is>
      </c>
      <c r="AA1750" s="188" t="inlineStr">
        <is>
          <t>NONE</t>
        </is>
      </c>
      <c r="AB1750" s="188" t="inlineStr">
        <is>
          <t>NONE</t>
        </is>
      </c>
      <c r="AC1750" s="188" t="n">
        <v>0</v>
      </c>
      <c r="AD1750" s="188" t="inlineStr">
        <is>
          <t>Microsoft Warns Developers of Fake Next.js Job Repos Delivering In-Memory Malware</t>
        </is>
      </c>
    </row>
    <row r="1751">
      <c r="A1751" s="188" t="inlineStr">
        <is>
          <t>NEWS_ALERT</t>
        </is>
      </c>
      <c r="B1751" s="188" t="inlineStr">
        <is>
          <t>a740d371f2b8</t>
        </is>
      </c>
      <c r="C1751" s="188" t="inlineStr">
        <is>
          <t xml:space="preserve">[TheHackerNews] Claude Code Flaws Allow Remote Code Execution and API Key Exfiltration | Keywords: exploit, remote code, remote code | Cybersecurity researchers have disclosed multiple security vulnerabilities in Anthropic's Claude Code, an artificial intelligence (AI)-powered coding </t>
        </is>
      </c>
      <c r="D1751" s="188" t="n">
        <v>5</v>
      </c>
      <c r="E1751" s="188" t="inlineStr">
        <is>
          <t>MEDIUM</t>
        </is>
      </c>
      <c r="F1751" s="188" t="n">
        <v>2</v>
      </c>
      <c r="G1751" s="188" t="n">
        <v>1</v>
      </c>
      <c r="H1751" s="188" t="inlineStr">
        <is>
          <t>LOW</t>
        </is>
      </c>
      <c r="I1751" s="188" t="n">
        <v>7</v>
      </c>
      <c r="J1751" s="188" t="inlineStr">
        <is>
          <t>NO</t>
        </is>
      </c>
      <c r="K1751" s="188" t="inlineStr">
        <is>
          <t>https://thehackernews.com/2026/02/claude-code-flaws-allow-remote-code.html</t>
        </is>
      </c>
      <c r="L1751" s="188" t="inlineStr">
        <is>
          <t>2026-02-25 17:00</t>
        </is>
      </c>
      <c r="M1751" s="188" t="inlineStr">
        <is>
          <t>Monitor</t>
        </is>
      </c>
      <c r="N1751" s="188" t="inlineStr">
        <is>
          <t>https://thehackernews.com/2026/02/claude-code-flaws-allow-remote-code.html</t>
        </is>
      </c>
      <c r="O1751" s="188" t="inlineStr">
        <is>
          <t>Monitor for developments | Review article for IOCs | Escalate if relevant to your infra</t>
        </is>
      </c>
      <c r="P1751" s="188" t="inlineStr">
        <is>
          <t>Varies - see article</t>
        </is>
      </c>
      <c r="Q1751" s="188" t="inlineStr">
        <is>
          <t>P4</t>
        </is>
      </c>
      <c r="R1751" s="188" t="inlineStr">
        <is>
          <t>📰 Security news alert - monitor for developments | 🔍 Review article for IOCs | 📋 Escalate if relevant to your infrastructure</t>
        </is>
      </c>
      <c r="S1751" s="188" t="inlineStr">
        <is>
          <t>News alert - no IP context</t>
        </is>
      </c>
      <c r="T1751" s="188" t="n">
        <v>0</v>
      </c>
      <c r="U1751" s="188" t="n">
        <v>0</v>
      </c>
      <c r="V1751" s="188" t="inlineStr">
        <is>
          <t>See article for technique context</t>
        </is>
      </c>
      <c r="W1751" s="188" t="n">
        <v>1</v>
      </c>
      <c r="X1751" s="188" t="inlineStr">
        <is>
          <t>LOW (40%)</t>
        </is>
      </c>
      <c r="Y1751" s="188" t="inlineStr">
        <is>
          <t>NONE</t>
        </is>
      </c>
      <c r="Z1751" s="188" t="inlineStr">
        <is>
          <t>NONE</t>
        </is>
      </c>
      <c r="AA1751" s="188" t="inlineStr">
        <is>
          <t>NONE</t>
        </is>
      </c>
      <c r="AB1751" s="188" t="inlineStr">
        <is>
          <t>NONE</t>
        </is>
      </c>
      <c r="AC1751" s="188" t="n">
        <v>0</v>
      </c>
      <c r="AD1751" s="188" t="inlineStr">
        <is>
          <t>Claude Code Flaws Allow Remote Code Execution and API Key Exfiltration</t>
        </is>
      </c>
    </row>
    <row r="1752">
      <c r="A1752" s="188" t="inlineStr">
        <is>
          <t>NEWS_ALERT</t>
        </is>
      </c>
      <c r="B1752" s="188" t="inlineStr">
        <is>
          <t>5a1262d06a75</t>
        </is>
      </c>
      <c r="C1752" s="188" t="inlineStr">
        <is>
          <t>[DarkReading] The Case for Why Better Breach Transparency Matters | Keywords: breach, breach | It's become a standard practice for organizations to disclose the bare minimum about a data breach, or worse — not disclose the incident at all.</t>
        </is>
      </c>
      <c r="D1752" s="188" t="n">
        <v>5</v>
      </c>
      <c r="E1752" s="188" t="inlineStr">
        <is>
          <t>MEDIUM</t>
        </is>
      </c>
      <c r="F1752" s="188" t="n">
        <v>2</v>
      </c>
      <c r="G1752" s="188" t="n">
        <v>1</v>
      </c>
      <c r="H1752" s="188" t="inlineStr">
        <is>
          <t>LOW</t>
        </is>
      </c>
      <c r="I1752" s="188" t="n">
        <v>7</v>
      </c>
      <c r="J1752" s="188" t="inlineStr">
        <is>
          <t>NO</t>
        </is>
      </c>
      <c r="K1752" s="188" t="inlineStr">
        <is>
          <t>https://www.darkreading.com/cyberattacks-data-breaches/why-better-breach-transparency-matters</t>
        </is>
      </c>
      <c r="L1752" s="188" t="inlineStr">
        <is>
          <t>2026-02-27 16:18</t>
        </is>
      </c>
      <c r="M1752" s="188" t="inlineStr">
        <is>
          <t>Monitor</t>
        </is>
      </c>
      <c r="N1752" s="188" t="inlineStr">
        <is>
          <t>https://www.darkreading.com/cyberattacks-data-breaches/why-better-breach-transparency-matters</t>
        </is>
      </c>
      <c r="O1752" s="188" t="inlineStr">
        <is>
          <t>Monitor for developments | Review article for IOCs | Escalate if relevant to your infra</t>
        </is>
      </c>
      <c r="P1752" s="188" t="inlineStr">
        <is>
          <t>Varies - see article</t>
        </is>
      </c>
      <c r="Q1752" s="188" t="inlineStr">
        <is>
          <t>P4</t>
        </is>
      </c>
      <c r="R1752" s="188" t="inlineStr">
        <is>
          <t>📰 Security news alert - monitor for developments | 🔍 Review article for IOCs | 📋 Escalate if relevant to your infrastructure</t>
        </is>
      </c>
      <c r="S1752" s="188" t="inlineStr">
        <is>
          <t>News alert - no IP context</t>
        </is>
      </c>
      <c r="T1752" s="188" t="n">
        <v>0</v>
      </c>
      <c r="U1752" s="188" t="n">
        <v>0</v>
      </c>
      <c r="V1752" s="188" t="inlineStr">
        <is>
          <t>See article for technique context</t>
        </is>
      </c>
      <c r="W1752" s="188" t="n">
        <v>1</v>
      </c>
      <c r="X1752" s="188" t="inlineStr">
        <is>
          <t>LOW (40%)</t>
        </is>
      </c>
      <c r="Y1752" s="188" t="inlineStr">
        <is>
          <t>NONE</t>
        </is>
      </c>
      <c r="Z1752" s="188" t="inlineStr">
        <is>
          <t>NONE</t>
        </is>
      </c>
      <c r="AA1752" s="188" t="inlineStr">
        <is>
          <t>NONE</t>
        </is>
      </c>
      <c r="AB1752" s="188" t="inlineStr">
        <is>
          <t>NONE</t>
        </is>
      </c>
      <c r="AC1752" s="188" t="n">
        <v>0</v>
      </c>
      <c r="AD1752" s="188" t="inlineStr">
        <is>
          <t>The Case for Why Better Breach Transparency Matters</t>
        </is>
      </c>
    </row>
    <row r="1753">
      <c r="A1753" s="188" t="inlineStr">
        <is>
          <t>NEWS_ALERT</t>
        </is>
      </c>
      <c r="B1753" s="188" t="inlineStr">
        <is>
          <t>6b3f7d77535c</t>
        </is>
      </c>
      <c r="C1753" s="188" t="inlineStr">
        <is>
          <t>[DarkReading] Marquis v. SonicWall Lawsuit Ups the Breach Blame Game | Keywords: breach | When a company gets breached through a third-party security vendor, who should bear responsibility? For one FinTech company, the answer is the firewal</t>
        </is>
      </c>
      <c r="D1753" s="188" t="n">
        <v>5</v>
      </c>
      <c r="E1753" s="188" t="inlineStr">
        <is>
          <t>MEDIUM</t>
        </is>
      </c>
      <c r="F1753" s="188" t="n">
        <v>2</v>
      </c>
      <c r="G1753" s="188" t="n">
        <v>1</v>
      </c>
      <c r="H1753" s="188" t="inlineStr">
        <is>
          <t>LOW</t>
        </is>
      </c>
      <c r="I1753" s="188" t="n">
        <v>7</v>
      </c>
      <c r="J1753" s="188" t="inlineStr">
        <is>
          <t>NO</t>
        </is>
      </c>
      <c r="K1753" s="188" t="inlineStr">
        <is>
          <t>https://www.darkreading.com/cloud-security/marquis-sonicwall-lawsuit-breach-blame-game</t>
        </is>
      </c>
      <c r="L1753" s="188" t="inlineStr">
        <is>
          <t>2026-02-26 22:02</t>
        </is>
      </c>
      <c r="M1753" s="188" t="inlineStr">
        <is>
          <t>Monitor</t>
        </is>
      </c>
      <c r="N1753" s="188" t="inlineStr">
        <is>
          <t>https://www.darkreading.com/cloud-security/marquis-sonicwall-lawsuit-breach-blame-game</t>
        </is>
      </c>
      <c r="O1753" s="188" t="inlineStr">
        <is>
          <t>Monitor for developments | Review article for IOCs | Escalate if relevant to your infra</t>
        </is>
      </c>
      <c r="P1753" s="188" t="inlineStr">
        <is>
          <t>Varies - see article</t>
        </is>
      </c>
      <c r="Q1753" s="188" t="inlineStr">
        <is>
          <t>P4</t>
        </is>
      </c>
      <c r="R1753" s="188" t="inlineStr">
        <is>
          <t>📰 Security news alert - monitor for developments | 🔍 Review article for IOCs | 📋 Escalate if relevant to your infrastructure</t>
        </is>
      </c>
      <c r="S1753" s="188" t="inlineStr">
        <is>
          <t>News alert - no IP context</t>
        </is>
      </c>
      <c r="T1753" s="188" t="n">
        <v>0</v>
      </c>
      <c r="U1753" s="188" t="n">
        <v>0</v>
      </c>
      <c r="V1753" s="188" t="inlineStr">
        <is>
          <t>See article for technique context</t>
        </is>
      </c>
      <c r="W1753" s="188" t="n">
        <v>1</v>
      </c>
      <c r="X1753" s="188" t="inlineStr">
        <is>
          <t>LOW (40%)</t>
        </is>
      </c>
      <c r="Y1753" s="188" t="inlineStr">
        <is>
          <t>NONE</t>
        </is>
      </c>
      <c r="Z1753" s="188" t="inlineStr">
        <is>
          <t>NONE</t>
        </is>
      </c>
      <c r="AA1753" s="188" t="inlineStr">
        <is>
          <t>NONE</t>
        </is>
      </c>
      <c r="AB1753" s="188" t="inlineStr">
        <is>
          <t>NONE</t>
        </is>
      </c>
      <c r="AC1753" s="188" t="n">
        <v>0</v>
      </c>
      <c r="AD1753" s="188" t="inlineStr">
        <is>
          <t>Marquis v. SonicWall Lawsuit Ups the Breach Blame Game</t>
        </is>
      </c>
    </row>
    <row r="1754">
      <c r="A1754" s="188" t="inlineStr">
        <is>
          <t>NEWS_ALERT</t>
        </is>
      </c>
      <c r="B1754" s="188" t="inlineStr">
        <is>
          <t>37bd42f3cc8f</t>
        </is>
      </c>
      <c r="C1754" s="188" t="inlineStr">
        <is>
          <t>[DarkReading] RAMP Forum Seizure Fractures Ransomware Ecosystem | Keywords: ransomware | Researchers suggest defenders monitor how these malicious groups re-form and leverage the useful threat intel to guide their next moves.</t>
        </is>
      </c>
      <c r="D1754" s="188" t="n">
        <v>5</v>
      </c>
      <c r="E1754" s="188" t="inlineStr">
        <is>
          <t>MEDIUM</t>
        </is>
      </c>
      <c r="F1754" s="188" t="n">
        <v>2</v>
      </c>
      <c r="G1754" s="188" t="n">
        <v>1</v>
      </c>
      <c r="H1754" s="188" t="inlineStr">
        <is>
          <t>LOW</t>
        </is>
      </c>
      <c r="I1754" s="188" t="n">
        <v>7</v>
      </c>
      <c r="J1754" s="188" t="inlineStr">
        <is>
          <t>NO</t>
        </is>
      </c>
      <c r="K1754" s="188" t="inlineStr">
        <is>
          <t>https://www.darkreading.com/threat-intelligence/ramp-forum-seizure-fractures-ransomware-ecosystem</t>
        </is>
      </c>
      <c r="L1754" s="188" t="inlineStr">
        <is>
          <t>2026-02-25 21:14</t>
        </is>
      </c>
      <c r="M1754" s="188" t="inlineStr">
        <is>
          <t>Monitor</t>
        </is>
      </c>
      <c r="N1754" s="188" t="inlineStr">
        <is>
          <t>https://www.darkreading.com/threat-intelligence/ramp-forum-seizure-fractures-ransomware-ecosystem</t>
        </is>
      </c>
      <c r="O1754" s="188" t="inlineStr">
        <is>
          <t>Monitor for developments | Review article for IOCs | Escalate if relevant to your infra</t>
        </is>
      </c>
      <c r="P1754" s="188" t="inlineStr">
        <is>
          <t>Varies - see article</t>
        </is>
      </c>
      <c r="Q1754" s="188" t="inlineStr">
        <is>
          <t>P4</t>
        </is>
      </c>
      <c r="R1754" s="188" t="inlineStr">
        <is>
          <t>📰 Security news alert - monitor for developments | 🔍 Review article for IOCs | 📋 Escalate if relevant to your infrastructure</t>
        </is>
      </c>
      <c r="S1754" s="188" t="inlineStr">
        <is>
          <t>News alert - no IP context</t>
        </is>
      </c>
      <c r="T1754" s="188" t="n">
        <v>0</v>
      </c>
      <c r="U1754" s="188" t="n">
        <v>0</v>
      </c>
      <c r="V1754" s="188" t="inlineStr">
        <is>
          <t>See article for technique context</t>
        </is>
      </c>
      <c r="W1754" s="188" t="n">
        <v>1</v>
      </c>
      <c r="X1754" s="188" t="inlineStr">
        <is>
          <t>LOW (40%)</t>
        </is>
      </c>
      <c r="Y1754" s="188" t="inlineStr">
        <is>
          <t>NONE</t>
        </is>
      </c>
      <c r="Z1754" s="188" t="inlineStr">
        <is>
          <t>NONE</t>
        </is>
      </c>
      <c r="AA1754" s="188" t="inlineStr">
        <is>
          <t>NONE</t>
        </is>
      </c>
      <c r="AB1754" s="188" t="inlineStr">
        <is>
          <t>NONE</t>
        </is>
      </c>
      <c r="AC1754" s="188" t="n">
        <v>0</v>
      </c>
      <c r="AD1754" s="188" t="inlineStr">
        <is>
          <t>RAMP Forum Seizure Fractures Ransomware Ecosystem</t>
        </is>
      </c>
    </row>
    <row r="1755">
      <c r="A1755" s="188" t="inlineStr">
        <is>
          <t>NEWS_ALERT</t>
        </is>
      </c>
      <c r="B1755" s="188" t="inlineStr">
        <is>
          <t>e4492680030e</t>
        </is>
      </c>
      <c r="C1755" s="188" t="inlineStr">
        <is>
          <t>[DarkReading] Lazarus Group Picks a New Poison: Medusa Ransomware | Keywords: ransomware, backdoor | The North Korean threat group also leveraged Comebacker backdoor, Blindingcan RAT, and info stealer Infohook in its recent attacks.</t>
        </is>
      </c>
      <c r="D1755" s="188" t="n">
        <v>5</v>
      </c>
      <c r="E1755" s="188" t="inlineStr">
        <is>
          <t>MEDIUM</t>
        </is>
      </c>
      <c r="F1755" s="188" t="n">
        <v>2</v>
      </c>
      <c r="G1755" s="188" t="n">
        <v>1</v>
      </c>
      <c r="H1755" s="188" t="inlineStr">
        <is>
          <t>LOW</t>
        </is>
      </c>
      <c r="I1755" s="188" t="n">
        <v>7</v>
      </c>
      <c r="J1755" s="188" t="inlineStr">
        <is>
          <t>NO</t>
        </is>
      </c>
      <c r="K1755" s="188" t="inlineStr">
        <is>
          <t>https://www.darkreading.com/cyberattacks-data-breaches/lazarus-group-new-position-medusa-ransomware</t>
        </is>
      </c>
      <c r="L1755" s="188" t="inlineStr">
        <is>
          <t>2026-02-24 21:18</t>
        </is>
      </c>
      <c r="M1755" s="188" t="inlineStr">
        <is>
          <t>Monitor</t>
        </is>
      </c>
      <c r="N1755" s="188" t="inlineStr">
        <is>
          <t>https://www.darkreading.com/cyberattacks-data-breaches/lazarus-group-new-position-medusa-ransomware</t>
        </is>
      </c>
      <c r="O1755" s="188" t="inlineStr">
        <is>
          <t>Monitor for developments | Review article for IOCs | Escalate if relevant to your infra</t>
        </is>
      </c>
      <c r="P1755" s="188" t="inlineStr">
        <is>
          <t>Varies - see article</t>
        </is>
      </c>
      <c r="Q1755" s="188" t="inlineStr">
        <is>
          <t>P4</t>
        </is>
      </c>
      <c r="R1755" s="188" t="inlineStr">
        <is>
          <t>📰 Security news alert - monitor for developments | 🔍 Review article for IOCs | 📋 Escalate if relevant to your infrastructure</t>
        </is>
      </c>
      <c r="S1755" s="188" t="inlineStr">
        <is>
          <t>News alert - no IP context</t>
        </is>
      </c>
      <c r="T1755" s="188" t="n">
        <v>0</v>
      </c>
      <c r="U1755" s="188" t="n">
        <v>0</v>
      </c>
      <c r="V1755" s="188" t="inlineStr">
        <is>
          <t>See article for technique context</t>
        </is>
      </c>
      <c r="W1755" s="188" t="n">
        <v>1</v>
      </c>
      <c r="X1755" s="188" t="inlineStr">
        <is>
          <t>LOW (40%)</t>
        </is>
      </c>
      <c r="Y1755" s="188" t="inlineStr">
        <is>
          <t>NONE</t>
        </is>
      </c>
      <c r="Z1755" s="188" t="inlineStr">
        <is>
          <t>NONE</t>
        </is>
      </c>
      <c r="AA1755" s="188" t="inlineStr">
        <is>
          <t>NONE</t>
        </is>
      </c>
      <c r="AB1755" s="188" t="inlineStr">
        <is>
          <t>NONE</t>
        </is>
      </c>
      <c r="AC1755" s="188" t="n">
        <v>0</v>
      </c>
      <c r="AD1755" s="188" t="inlineStr">
        <is>
          <t>Lazarus Group Picks a New Poison: Medusa Ransomware</t>
        </is>
      </c>
    </row>
    <row r="1756">
      <c r="A1756" s="188" t="inlineStr">
        <is>
          <t>NEWS_ALERT</t>
        </is>
      </c>
      <c r="B1756" s="188" t="inlineStr">
        <is>
          <t>8287c14235c9</t>
        </is>
      </c>
      <c r="C1756" s="188" t="inlineStr">
        <is>
          <t>[InfoSecurityMagazine] North Korea's APT37 Expands Toolkit to Breach Air-Gapped Networks | Keywords: breach | The security researchers from Zscaler ThreatLabz have also discovered five new tools deployed by the North Korean hacking group</t>
        </is>
      </c>
      <c r="D1756" s="188" t="n">
        <v>5</v>
      </c>
      <c r="E1756" s="188" t="inlineStr">
        <is>
          <t>MEDIUM</t>
        </is>
      </c>
      <c r="F1756" s="188" t="n">
        <v>2</v>
      </c>
      <c r="G1756" s="188" t="n">
        <v>1</v>
      </c>
      <c r="H1756" s="188" t="inlineStr">
        <is>
          <t>LOW</t>
        </is>
      </c>
      <c r="I1756" s="188" t="n">
        <v>7</v>
      </c>
      <c r="J1756" s="188" t="inlineStr">
        <is>
          <t>NO</t>
        </is>
      </c>
      <c r="K1756" s="188" t="inlineStr">
        <is>
          <t>https://www.infosecurity-magazine.com/news/north-korea-apt37-expands-toolkit/</t>
        </is>
      </c>
      <c r="L1756" s="188" t="inlineStr">
        <is>
          <t>2026-02-27 14:15</t>
        </is>
      </c>
      <c r="M1756" s="188" t="inlineStr">
        <is>
          <t>Monitor</t>
        </is>
      </c>
      <c r="N1756" s="188" t="inlineStr">
        <is>
          <t>https://www.infosecurity-magazine.com/news/north-korea-apt37-expands-toolkit/</t>
        </is>
      </c>
      <c r="O1756" s="188" t="inlineStr">
        <is>
          <t>Monitor for developments | Review article for IOCs | Escalate if relevant to your infra</t>
        </is>
      </c>
      <c r="P1756" s="188" t="inlineStr">
        <is>
          <t>Varies - see article</t>
        </is>
      </c>
      <c r="Q1756" s="188" t="inlineStr">
        <is>
          <t>P4</t>
        </is>
      </c>
      <c r="R1756" s="188" t="inlineStr">
        <is>
          <t>📰 Security news alert - monitor for developments | 🔍 Review article for IOCs | 📋 Escalate if relevant to your infrastructure</t>
        </is>
      </c>
      <c r="S1756" s="188" t="inlineStr">
        <is>
          <t>News alert - no IP context</t>
        </is>
      </c>
      <c r="T1756" s="188" t="n">
        <v>0</v>
      </c>
      <c r="U1756" s="188" t="n">
        <v>0</v>
      </c>
      <c r="V1756" s="188" t="inlineStr">
        <is>
          <t>See article for technique context</t>
        </is>
      </c>
      <c r="W1756" s="188" t="n">
        <v>1</v>
      </c>
      <c r="X1756" s="188" t="inlineStr">
        <is>
          <t>LOW (40%)</t>
        </is>
      </c>
      <c r="Y1756" s="188" t="inlineStr">
        <is>
          <t>NONE</t>
        </is>
      </c>
      <c r="Z1756" s="188" t="inlineStr">
        <is>
          <t>NONE</t>
        </is>
      </c>
      <c r="AA1756" s="188" t="inlineStr">
        <is>
          <t>NONE</t>
        </is>
      </c>
      <c r="AB1756" s="188" t="inlineStr">
        <is>
          <t>NONE</t>
        </is>
      </c>
      <c r="AC1756" s="188" t="n">
        <v>0</v>
      </c>
      <c r="AD1756" s="188" t="inlineStr">
        <is>
          <t>North Korea's APT37 Expands Toolkit to Breach Air-Gapped Networks</t>
        </is>
      </c>
    </row>
    <row r="1757">
      <c r="A1757" s="188" t="inlineStr">
        <is>
          <t>NEWS_ALERT</t>
        </is>
      </c>
      <c r="B1757" s="188" t="inlineStr">
        <is>
          <t>7b96ca36ac80</t>
        </is>
      </c>
      <c r="C1757" s="188"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1757" s="188" t="n">
        <v>5</v>
      </c>
      <c r="E1757" s="188" t="inlineStr">
        <is>
          <t>MEDIUM</t>
        </is>
      </c>
      <c r="F1757" s="188" t="n">
        <v>2</v>
      </c>
      <c r="G1757" s="188" t="n">
        <v>1</v>
      </c>
      <c r="H1757" s="188" t="inlineStr">
        <is>
          <t>LOW</t>
        </is>
      </c>
      <c r="I1757" s="188" t="n">
        <v>7</v>
      </c>
      <c r="J1757" s="188" t="inlineStr">
        <is>
          <t>NO</t>
        </is>
      </c>
      <c r="K1757" s="188" t="inlineStr">
        <is>
          <t>https://www.infosecurity-magazine.com/news/project-compass-com-arrests/</t>
        </is>
      </c>
      <c r="L1757" s="188" t="inlineStr">
        <is>
          <t>2026-02-27 11:00</t>
        </is>
      </c>
      <c r="M1757" s="188" t="inlineStr">
        <is>
          <t>Monitor</t>
        </is>
      </c>
      <c r="N1757" s="188" t="inlineStr">
        <is>
          <t>https://www.infosecurity-magazine.com/news/project-compass-com-arrests/</t>
        </is>
      </c>
      <c r="O1757" s="188" t="inlineStr">
        <is>
          <t>Monitor for developments | Review article for IOCs | Escalate if relevant to your infra</t>
        </is>
      </c>
      <c r="P1757" s="188" t="inlineStr">
        <is>
          <t>Varies - see article</t>
        </is>
      </c>
      <c r="Q1757" s="188" t="inlineStr">
        <is>
          <t>P4</t>
        </is>
      </c>
      <c r="R1757" s="188" t="inlineStr">
        <is>
          <t>📰 Security news alert - monitor for developments | 🔍 Review article for IOCs | 📋 Escalate if relevant to your infrastructure</t>
        </is>
      </c>
      <c r="S1757" s="188" t="inlineStr">
        <is>
          <t>News alert - no IP context</t>
        </is>
      </c>
      <c r="T1757" s="188" t="n">
        <v>0</v>
      </c>
      <c r="U1757" s="188" t="n">
        <v>0</v>
      </c>
      <c r="V1757" s="188" t="inlineStr">
        <is>
          <t>See article for technique context</t>
        </is>
      </c>
      <c r="W1757" s="188" t="n">
        <v>1</v>
      </c>
      <c r="X1757" s="188" t="inlineStr">
        <is>
          <t>LOW (40%)</t>
        </is>
      </c>
      <c r="Y1757" s="188" t="inlineStr">
        <is>
          <t>NONE</t>
        </is>
      </c>
      <c r="Z1757" s="188" t="inlineStr">
        <is>
          <t>NONE</t>
        </is>
      </c>
      <c r="AA1757" s="188" t="inlineStr">
        <is>
          <t>NONE</t>
        </is>
      </c>
      <c r="AB1757" s="188" t="inlineStr">
        <is>
          <t>NONE</t>
        </is>
      </c>
      <c r="AC1757" s="188" t="n">
        <v>0</v>
      </c>
      <c r="AD1757" s="188" t="inlineStr">
        <is>
          <t>‘Project Compass’ Cracks Down on ‘The Com’: 30 Members of Notorious Cybercrime Gang Arrested</t>
        </is>
      </c>
    </row>
    <row r="1758">
      <c r="A1758" s="188" t="inlineStr">
        <is>
          <t>NEWS_ALERT</t>
        </is>
      </c>
      <c r="B1758" s="188" t="inlineStr">
        <is>
          <t>c8fdba856a3b</t>
        </is>
      </c>
      <c r="C1758" s="188" t="inlineStr">
        <is>
          <t>[InfoSecurityMagazine] Darktrace Flags 32 Million Phishing Emails in 2025 as Identity Attacks Intensify | Keywords: phishing, phishing | 2025 saw 32M phishing emails, with identity threats surpassing vulnerabilities</t>
        </is>
      </c>
      <c r="D1758" s="188" t="n">
        <v>5</v>
      </c>
      <c r="E1758" s="188" t="inlineStr">
        <is>
          <t>MEDIUM</t>
        </is>
      </c>
      <c r="F1758" s="188" t="n">
        <v>2</v>
      </c>
      <c r="G1758" s="188" t="n">
        <v>1</v>
      </c>
      <c r="H1758" s="188" t="inlineStr">
        <is>
          <t>LOW</t>
        </is>
      </c>
      <c r="I1758" s="188" t="n">
        <v>7</v>
      </c>
      <c r="J1758" s="188" t="inlineStr">
        <is>
          <t>NO</t>
        </is>
      </c>
      <c r="K1758" s="188" t="inlineStr">
        <is>
          <t>https://www.infosecurity-magazine.com/news/32m-phishing-emails-detected-2025/</t>
        </is>
      </c>
      <c r="L1758" s="188" t="inlineStr">
        <is>
          <t>2026-02-26 15:00</t>
        </is>
      </c>
      <c r="M1758" s="188" t="inlineStr">
        <is>
          <t>Monitor</t>
        </is>
      </c>
      <c r="N1758" s="188" t="inlineStr">
        <is>
          <t>https://www.infosecurity-magazine.com/news/32m-phishing-emails-detected-2025/</t>
        </is>
      </c>
      <c r="O1758" s="188" t="inlineStr">
        <is>
          <t>Monitor for developments | Review article for IOCs | Escalate if relevant to your infra</t>
        </is>
      </c>
      <c r="P1758" s="188" t="inlineStr">
        <is>
          <t>Varies - see article</t>
        </is>
      </c>
      <c r="Q1758" s="188" t="inlineStr">
        <is>
          <t>P4</t>
        </is>
      </c>
      <c r="R1758" s="188" t="inlineStr">
        <is>
          <t>📰 Security news alert - monitor for developments | 🔍 Review article for IOCs | 📋 Escalate if relevant to your infrastructure</t>
        </is>
      </c>
      <c r="S1758" s="188" t="inlineStr">
        <is>
          <t>News alert - no IP context</t>
        </is>
      </c>
      <c r="T1758" s="188" t="n">
        <v>0</v>
      </c>
      <c r="U1758" s="188" t="n">
        <v>0</v>
      </c>
      <c r="V1758" s="188" t="inlineStr">
        <is>
          <t>See article for technique context</t>
        </is>
      </c>
      <c r="W1758" s="188" t="n">
        <v>1</v>
      </c>
      <c r="X1758" s="188" t="inlineStr">
        <is>
          <t>LOW (40%)</t>
        </is>
      </c>
      <c r="Y1758" s="188" t="inlineStr">
        <is>
          <t>NONE</t>
        </is>
      </c>
      <c r="Z1758" s="188" t="inlineStr">
        <is>
          <t>NONE</t>
        </is>
      </c>
      <c r="AA1758" s="188" t="inlineStr">
        <is>
          <t>NONE</t>
        </is>
      </c>
      <c r="AB1758" s="188" t="inlineStr">
        <is>
          <t>NONE</t>
        </is>
      </c>
      <c r="AC1758" s="188" t="n">
        <v>0</v>
      </c>
      <c r="AD1758" s="188" t="inlineStr">
        <is>
          <t>Darktrace Flags 32 Million Phishing Emails in 2025 as Identity Attacks Intensify</t>
        </is>
      </c>
    </row>
    <row r="1759">
      <c r="A1759" s="188" t="inlineStr">
        <is>
          <t>NEWS_ALERT</t>
        </is>
      </c>
      <c r="B1759" s="188" t="inlineStr">
        <is>
          <t>58800998d8b8</t>
        </is>
      </c>
      <c r="C1759" s="188" t="inlineStr">
        <is>
          <t>[InfoSecurityMagazine] Google Disrupts ‘Prolific’ and ‘Elusive’ China-Linked Global Hacking Campaign | Keywords: backdoor | UNC2814 hit 53 victims in 42 countries with novel backdoor in decade long cyber espionage operation</t>
        </is>
      </c>
      <c r="D1759" s="188" t="n">
        <v>5</v>
      </c>
      <c r="E1759" s="188" t="inlineStr">
        <is>
          <t>MEDIUM</t>
        </is>
      </c>
      <c r="F1759" s="188" t="n">
        <v>2</v>
      </c>
      <c r="G1759" s="188" t="n">
        <v>1</v>
      </c>
      <c r="H1759" s="188" t="inlineStr">
        <is>
          <t>LOW</t>
        </is>
      </c>
      <c r="I1759" s="188" t="n">
        <v>7</v>
      </c>
      <c r="J1759" s="188" t="inlineStr">
        <is>
          <t>NO</t>
        </is>
      </c>
      <c r="K1759" s="188" t="inlineStr">
        <is>
          <t>https://www.infosecurity-magazine.com/news/google-prolific-china-hacking/</t>
        </is>
      </c>
      <c r="L1759" s="188" t="inlineStr">
        <is>
          <t>2026-02-26 12:09</t>
        </is>
      </c>
      <c r="M1759" s="188" t="inlineStr">
        <is>
          <t>Monitor</t>
        </is>
      </c>
      <c r="N1759" s="188" t="inlineStr">
        <is>
          <t>https://www.infosecurity-magazine.com/news/google-prolific-china-hacking/</t>
        </is>
      </c>
      <c r="O1759" s="188" t="inlineStr">
        <is>
          <t>Monitor for developments | Review article for IOCs | Escalate if relevant to your infra</t>
        </is>
      </c>
      <c r="P1759" s="188" t="inlineStr">
        <is>
          <t>Varies - see article</t>
        </is>
      </c>
      <c r="Q1759" s="188" t="inlineStr">
        <is>
          <t>P4</t>
        </is>
      </c>
      <c r="R1759" s="188" t="inlineStr">
        <is>
          <t>📰 Security news alert - monitor for developments | 🔍 Review article for IOCs | 📋 Escalate if relevant to your infrastructure</t>
        </is>
      </c>
      <c r="S1759" s="188" t="inlineStr">
        <is>
          <t>News alert - no IP context</t>
        </is>
      </c>
      <c r="T1759" s="188" t="n">
        <v>0</v>
      </c>
      <c r="U1759" s="188" t="n">
        <v>0</v>
      </c>
      <c r="V1759" s="188" t="inlineStr">
        <is>
          <t>See article for technique context</t>
        </is>
      </c>
      <c r="W1759" s="188" t="n">
        <v>1</v>
      </c>
      <c r="X1759" s="188" t="inlineStr">
        <is>
          <t>LOW (40%)</t>
        </is>
      </c>
      <c r="Y1759" s="188" t="inlineStr">
        <is>
          <t>NONE</t>
        </is>
      </c>
      <c r="Z1759" s="188" t="inlineStr">
        <is>
          <t>NONE</t>
        </is>
      </c>
      <c r="AA1759" s="188" t="inlineStr">
        <is>
          <t>NONE</t>
        </is>
      </c>
      <c r="AB1759" s="188" t="inlineStr">
        <is>
          <t>NONE</t>
        </is>
      </c>
      <c r="AC1759" s="188" t="n">
        <v>0</v>
      </c>
      <c r="AD1759" s="188" t="inlineStr">
        <is>
          <t>Google Disrupts ‘Prolific’ and ‘Elusive’ China-Linked Global Hacking Campaign</t>
        </is>
      </c>
    </row>
    <row r="1760">
      <c r="A1760" s="188" t="inlineStr">
        <is>
          <t>NEWS_ALERT</t>
        </is>
      </c>
      <c r="B1760" s="188" t="inlineStr">
        <is>
          <t>1bf928024b63</t>
        </is>
      </c>
      <c r="C1760" s="188" t="inlineStr">
        <is>
          <t>[InfoSecurityMagazine] Global Cyber Agencies Urge Immediate Patching of Cisco SD-WAN Zero Day | Keywords: zero day, exploitation | The US and allies are urging Cisco Catalyst SD-WAN customers to hunt for signs of exploitation</t>
        </is>
      </c>
      <c r="D1760" s="188" t="n">
        <v>5</v>
      </c>
      <c r="E1760" s="188" t="inlineStr">
        <is>
          <t>MEDIUM</t>
        </is>
      </c>
      <c r="F1760" s="188" t="n">
        <v>2</v>
      </c>
      <c r="G1760" s="188" t="n">
        <v>1</v>
      </c>
      <c r="H1760" s="188" t="inlineStr">
        <is>
          <t>LOW</t>
        </is>
      </c>
      <c r="I1760" s="188" t="n">
        <v>7</v>
      </c>
      <c r="J1760" s="188" t="inlineStr">
        <is>
          <t>NO</t>
        </is>
      </c>
      <c r="K1760" s="188" t="inlineStr">
        <is>
          <t>https://www.infosecurity-magazine.com/news/immediate-patch-cisco-catalyst/</t>
        </is>
      </c>
      <c r="L1760" s="188" t="inlineStr">
        <is>
          <t>2026-02-26 09:30</t>
        </is>
      </c>
      <c r="M1760" s="188" t="inlineStr">
        <is>
          <t>Monitor</t>
        </is>
      </c>
      <c r="N1760" s="188" t="inlineStr">
        <is>
          <t>https://www.infosecurity-magazine.com/news/immediate-patch-cisco-catalyst/</t>
        </is>
      </c>
      <c r="O1760" s="188" t="inlineStr">
        <is>
          <t>Monitor for developments | Review article for IOCs | Escalate if relevant to your infra</t>
        </is>
      </c>
      <c r="P1760" s="188" t="inlineStr">
        <is>
          <t>Varies - see article</t>
        </is>
      </c>
      <c r="Q1760" s="188" t="inlineStr">
        <is>
          <t>P4</t>
        </is>
      </c>
      <c r="R1760" s="188" t="inlineStr">
        <is>
          <t>📰 Security news alert - monitor for developments | 🔍 Review article for IOCs | 📋 Escalate if relevant to your infrastructure</t>
        </is>
      </c>
      <c r="S1760" s="188" t="inlineStr">
        <is>
          <t>News alert - no IP context</t>
        </is>
      </c>
      <c r="T1760" s="188" t="n">
        <v>0</v>
      </c>
      <c r="U1760" s="188" t="n">
        <v>0</v>
      </c>
      <c r="V1760" s="188" t="inlineStr">
        <is>
          <t>See article for technique context</t>
        </is>
      </c>
      <c r="W1760" s="188" t="n">
        <v>1</v>
      </c>
      <c r="X1760" s="188" t="inlineStr">
        <is>
          <t>LOW (40%)</t>
        </is>
      </c>
      <c r="Y1760" s="188" t="inlineStr">
        <is>
          <t>NONE</t>
        </is>
      </c>
      <c r="Z1760" s="188" t="inlineStr">
        <is>
          <t>NONE</t>
        </is>
      </c>
      <c r="AA1760" s="188" t="inlineStr">
        <is>
          <t>NONE</t>
        </is>
      </c>
      <c r="AB1760" s="188" t="inlineStr">
        <is>
          <t>NONE</t>
        </is>
      </c>
      <c r="AC1760" s="188" t="n">
        <v>0</v>
      </c>
      <c r="AD1760" s="188" t="inlineStr">
        <is>
          <t>Global Cyber Agencies Urge Immediate Patching of Cisco SD-WAN Zero Day</t>
        </is>
      </c>
    </row>
    <row r="1761">
      <c r="A1761" s="188" t="inlineStr">
        <is>
          <t>NEWS_ALERT</t>
        </is>
      </c>
      <c r="B1761" s="188" t="inlineStr">
        <is>
          <t>505d82fc4104</t>
        </is>
      </c>
      <c r="C1761" s="188"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1761" s="188" t="n">
        <v>5</v>
      </c>
      <c r="E1761" s="188" t="inlineStr">
        <is>
          <t>MEDIUM</t>
        </is>
      </c>
      <c r="F1761" s="188" t="n">
        <v>2</v>
      </c>
      <c r="G1761" s="188" t="n">
        <v>1</v>
      </c>
      <c r="H1761" s="188" t="inlineStr">
        <is>
          <t>LOW</t>
        </is>
      </c>
      <c r="I1761" s="188" t="n">
        <v>7</v>
      </c>
      <c r="J1761" s="188" t="inlineStr">
        <is>
          <t>NO</t>
        </is>
      </c>
      <c r="K1761" s="188" t="inlineStr">
        <is>
          <t>https://www.securityweek.com/in-other-news-attck-advisory-council-russian-cyberattacks-aid-missile-strikes-predator-bypasses-ios-indicators/</t>
        </is>
      </c>
      <c r="L1761" s="188" t="inlineStr">
        <is>
          <t>2026-02-27 15:23</t>
        </is>
      </c>
      <c r="M1761" s="188" t="inlineStr">
        <is>
          <t>Monitor</t>
        </is>
      </c>
      <c r="N1761" s="188" t="inlineStr">
        <is>
          <t>https://www.securityweek.com/in-other-news-attck-advisory-council-russian-cyberattacks-aid-missile-strikes-predator-bypasses-ios-indicators/</t>
        </is>
      </c>
      <c r="O1761" s="188" t="inlineStr">
        <is>
          <t>Monitor for developments | Review article for IOCs | Escalate if relevant to your infra</t>
        </is>
      </c>
      <c r="P1761" s="188" t="inlineStr">
        <is>
          <t>Varies - see article</t>
        </is>
      </c>
      <c r="Q1761" s="188" t="inlineStr">
        <is>
          <t>P4</t>
        </is>
      </c>
      <c r="R1761" s="188" t="inlineStr">
        <is>
          <t>📰 Security news alert - monitor for developments | 🔍 Review article for IOCs | 📋 Escalate if relevant to your infrastructure</t>
        </is>
      </c>
      <c r="S1761" s="188" t="inlineStr">
        <is>
          <t>News alert - no IP context</t>
        </is>
      </c>
      <c r="T1761" s="188" t="n">
        <v>0</v>
      </c>
      <c r="U1761" s="188" t="n">
        <v>0</v>
      </c>
      <c r="V1761" s="188" t="inlineStr">
        <is>
          <t>See article for technique context</t>
        </is>
      </c>
      <c r="W1761" s="188" t="n">
        <v>1</v>
      </c>
      <c r="X1761" s="188" t="inlineStr">
        <is>
          <t>LOW (40%)</t>
        </is>
      </c>
      <c r="Y1761" s="188" t="inlineStr">
        <is>
          <t>NONE</t>
        </is>
      </c>
      <c r="Z1761" s="188" t="inlineStr">
        <is>
          <t>NONE</t>
        </is>
      </c>
      <c r="AA1761" s="188" t="inlineStr">
        <is>
          <t>NONE</t>
        </is>
      </c>
      <c r="AB1761" s="188" t="inlineStr">
        <is>
          <t>NONE</t>
        </is>
      </c>
      <c r="AC1761" s="188" t="n">
        <v>0</v>
      </c>
      <c r="AD1761" s="188" t="inlineStr">
        <is>
          <t>In Other News: ATT&amp;CK Advisory Council, Russian Cyberattacks Aid Missile Strikes, Predator Bypasses iOS Indicators</t>
        </is>
      </c>
    </row>
    <row r="1762">
      <c r="A1762" s="188" t="inlineStr">
        <is>
          <t>NEWS_ALERT</t>
        </is>
      </c>
      <c r="B1762" s="188" t="inlineStr">
        <is>
          <t>5a60b582aa77</t>
        </is>
      </c>
      <c r="C1762" s="188" t="inlineStr">
        <is>
          <t>[SecurityWeek] 38 Million Allegedly Impacted by ManoMano Data Breach | Keywords: breach | Hackers stole personal information such as names, email addresses, phone numbers, and other information. The post 38 Million Allegedly Impacted by Man</t>
        </is>
      </c>
      <c r="D1762" s="188" t="n">
        <v>5</v>
      </c>
      <c r="E1762" s="188" t="inlineStr">
        <is>
          <t>MEDIUM</t>
        </is>
      </c>
      <c r="F1762" s="188" t="n">
        <v>2</v>
      </c>
      <c r="G1762" s="188" t="n">
        <v>1</v>
      </c>
      <c r="H1762" s="188" t="inlineStr">
        <is>
          <t>LOW</t>
        </is>
      </c>
      <c r="I1762" s="188" t="n">
        <v>7</v>
      </c>
      <c r="J1762" s="188" t="inlineStr">
        <is>
          <t>NO</t>
        </is>
      </c>
      <c r="K1762" s="188" t="inlineStr">
        <is>
          <t>https://www.securityweek.com/38-million-allegedly-impacted-by-manomano-data-breach/</t>
        </is>
      </c>
      <c r="L1762" s="188" t="inlineStr">
        <is>
          <t>2026-02-27 13:41</t>
        </is>
      </c>
      <c r="M1762" s="188" t="inlineStr">
        <is>
          <t>Monitor</t>
        </is>
      </c>
      <c r="N1762" s="188" t="inlineStr">
        <is>
          <t>https://www.securityweek.com/38-million-allegedly-impacted-by-manomano-data-breach/</t>
        </is>
      </c>
      <c r="O1762" s="188" t="inlineStr">
        <is>
          <t>Monitor for developments | Review article for IOCs | Escalate if relevant to your infra</t>
        </is>
      </c>
      <c r="P1762" s="188" t="inlineStr">
        <is>
          <t>Varies - see article</t>
        </is>
      </c>
      <c r="Q1762" s="188" t="inlineStr">
        <is>
          <t>P4</t>
        </is>
      </c>
      <c r="R1762" s="188" t="inlineStr">
        <is>
          <t>📰 Security news alert - monitor for developments | 🔍 Review article for IOCs | 📋 Escalate if relevant to your infrastructure</t>
        </is>
      </c>
      <c r="S1762" s="188" t="inlineStr">
        <is>
          <t>News alert - no IP context</t>
        </is>
      </c>
      <c r="T1762" s="188" t="n">
        <v>0</v>
      </c>
      <c r="U1762" s="188" t="n">
        <v>0</v>
      </c>
      <c r="V1762" s="188" t="inlineStr">
        <is>
          <t>See article for technique context</t>
        </is>
      </c>
      <c r="W1762" s="188" t="n">
        <v>1</v>
      </c>
      <c r="X1762" s="188" t="inlineStr">
        <is>
          <t>LOW (40%)</t>
        </is>
      </c>
      <c r="Y1762" s="188" t="inlineStr">
        <is>
          <t>NONE</t>
        </is>
      </c>
      <c r="Z1762" s="188" t="inlineStr">
        <is>
          <t>NONE</t>
        </is>
      </c>
      <c r="AA1762" s="188" t="inlineStr">
        <is>
          <t>NONE</t>
        </is>
      </c>
      <c r="AB1762" s="188" t="inlineStr">
        <is>
          <t>NONE</t>
        </is>
      </c>
      <c r="AC1762" s="188" t="n">
        <v>0</v>
      </c>
      <c r="AD1762" s="188" t="inlineStr">
        <is>
          <t>38 Million Allegedly Impacted by ManoMano Data Breach</t>
        </is>
      </c>
    </row>
    <row r="1763">
      <c r="A1763" s="188" t="inlineStr">
        <is>
          <t>NEWS_ALERT</t>
        </is>
      </c>
      <c r="B1763" s="188" t="inlineStr">
        <is>
          <t>95090c3110b5</t>
        </is>
      </c>
      <c r="C1763" s="188" t="inlineStr">
        <is>
          <t>[SecurityWeek] 900 Sangoma FreePBX Instances Infected With Web Shells | Keywords: exploited | The attacks exploited a post-authentication command injection vulnerability in the endpoint manager’s interface. The post 900 Sangoma FreePBX Instance</t>
        </is>
      </c>
      <c r="D1763" s="188" t="n">
        <v>5</v>
      </c>
      <c r="E1763" s="188" t="inlineStr">
        <is>
          <t>MEDIUM</t>
        </is>
      </c>
      <c r="F1763" s="188" t="n">
        <v>2</v>
      </c>
      <c r="G1763" s="188" t="n">
        <v>1</v>
      </c>
      <c r="H1763" s="188" t="inlineStr">
        <is>
          <t>LOW</t>
        </is>
      </c>
      <c r="I1763" s="188" t="n">
        <v>7</v>
      </c>
      <c r="J1763" s="188" t="inlineStr">
        <is>
          <t>NO</t>
        </is>
      </c>
      <c r="K1763" s="188" t="inlineStr">
        <is>
          <t>https://www.securityweek.com/900-sangoma-freepbx-instances-infected-with-web-shells/</t>
        </is>
      </c>
      <c r="L1763" s="188" t="inlineStr">
        <is>
          <t>2026-02-27 13:24</t>
        </is>
      </c>
      <c r="M1763" s="188" t="inlineStr">
        <is>
          <t>Monitor</t>
        </is>
      </c>
      <c r="N1763" s="188" t="inlineStr">
        <is>
          <t>https://www.securityweek.com/900-sangoma-freepbx-instances-infected-with-web-shells/</t>
        </is>
      </c>
      <c r="O1763" s="188" t="inlineStr">
        <is>
          <t>Monitor for developments | Review article for IOCs | Escalate if relevant to your infra</t>
        </is>
      </c>
      <c r="P1763" s="188" t="inlineStr">
        <is>
          <t>Varies - see article</t>
        </is>
      </c>
      <c r="Q1763" s="188" t="inlineStr">
        <is>
          <t>P4</t>
        </is>
      </c>
      <c r="R1763" s="188" t="inlineStr">
        <is>
          <t>📰 Security news alert - monitor for developments | 🔍 Review article for IOCs | 📋 Escalate if relevant to your infrastructure</t>
        </is>
      </c>
      <c r="S1763" s="188" t="inlineStr">
        <is>
          <t>News alert - no IP context</t>
        </is>
      </c>
      <c r="T1763" s="188" t="n">
        <v>0</v>
      </c>
      <c r="U1763" s="188" t="n">
        <v>0</v>
      </c>
      <c r="V1763" s="188" t="inlineStr">
        <is>
          <t>See article for technique context</t>
        </is>
      </c>
      <c r="W1763" s="188" t="n">
        <v>1</v>
      </c>
      <c r="X1763" s="188" t="inlineStr">
        <is>
          <t>LOW (40%)</t>
        </is>
      </c>
      <c r="Y1763" s="188" t="inlineStr">
        <is>
          <t>NONE</t>
        </is>
      </c>
      <c r="Z1763" s="188" t="inlineStr">
        <is>
          <t>NONE</t>
        </is>
      </c>
      <c r="AA1763" s="188" t="inlineStr">
        <is>
          <t>NONE</t>
        </is>
      </c>
      <c r="AB1763" s="188" t="inlineStr">
        <is>
          <t>NONE</t>
        </is>
      </c>
      <c r="AC1763" s="188" t="n">
        <v>0</v>
      </c>
      <c r="AD1763" s="188" t="inlineStr">
        <is>
          <t>900 Sangoma FreePBX Instances Infected With Web Shells</t>
        </is>
      </c>
    </row>
    <row r="1764">
      <c r="A1764" s="188" t="inlineStr">
        <is>
          <t>NEWS_ALERT</t>
        </is>
      </c>
      <c r="B1764" s="188" t="inlineStr">
        <is>
          <t>700803c21b98</t>
        </is>
      </c>
      <c r="C1764" s="188" t="inlineStr">
        <is>
          <t>[SANS-ISC-RSS] Fake Fedex Email Delivers Donuts&amp;#x21;, (Fri, Feb 27th) | Keywords: malware, phishing | It&amp;#x27s Friday, let&amp;#x27s have a look at another simple piece of malware to close a busy week&amp;#x21; I received a Fedex notification about a delivery.</t>
        </is>
      </c>
      <c r="D1764" s="188" t="n">
        <v>5</v>
      </c>
      <c r="E1764" s="188" t="inlineStr">
        <is>
          <t>MEDIUM</t>
        </is>
      </c>
      <c r="F1764" s="188" t="n">
        <v>2</v>
      </c>
      <c r="G1764" s="188" t="n">
        <v>1</v>
      </c>
      <c r="H1764" s="188" t="inlineStr">
        <is>
          <t>LOW</t>
        </is>
      </c>
      <c r="I1764" s="188" t="n">
        <v>7</v>
      </c>
      <c r="J1764" s="188" t="inlineStr">
        <is>
          <t>NO</t>
        </is>
      </c>
      <c r="K1764" s="188" t="inlineStr">
        <is>
          <t>https://isc.sans.edu/diary/rss/32754</t>
        </is>
      </c>
      <c r="L1764" s="188" t="inlineStr">
        <is>
          <t>2026-02-27 12:22</t>
        </is>
      </c>
      <c r="M1764" s="188" t="inlineStr">
        <is>
          <t>Monitor</t>
        </is>
      </c>
      <c r="N1764" s="188" t="inlineStr">
        <is>
          <t>https://isc.sans.edu/diary/rss/32754</t>
        </is>
      </c>
      <c r="O1764" s="188" t="inlineStr">
        <is>
          <t>Monitor for developments | Review article for IOCs | Escalate if relevant to your infra</t>
        </is>
      </c>
      <c r="P1764" s="188" t="inlineStr">
        <is>
          <t>Varies - see article</t>
        </is>
      </c>
      <c r="Q1764" s="188" t="inlineStr">
        <is>
          <t>P4</t>
        </is>
      </c>
      <c r="R1764" s="188" t="inlineStr">
        <is>
          <t>📰 Security news alert - monitor for developments | 🔍 Review article for IOCs | 📋 Escalate if relevant to your infrastructure</t>
        </is>
      </c>
      <c r="S1764" s="188" t="inlineStr">
        <is>
          <t>News alert - no IP context</t>
        </is>
      </c>
      <c r="T1764" s="188" t="n">
        <v>0</v>
      </c>
      <c r="U1764" s="188" t="n">
        <v>0</v>
      </c>
      <c r="V1764" s="188" t="inlineStr">
        <is>
          <t>See article for technique context</t>
        </is>
      </c>
      <c r="W1764" s="188" t="n">
        <v>1</v>
      </c>
      <c r="X1764" s="188" t="inlineStr">
        <is>
          <t>LOW (40%)</t>
        </is>
      </c>
      <c r="Y1764" s="188" t="inlineStr">
        <is>
          <t>NONE</t>
        </is>
      </c>
      <c r="Z1764" s="188" t="inlineStr">
        <is>
          <t>NONE</t>
        </is>
      </c>
      <c r="AA1764" s="188" t="inlineStr">
        <is>
          <t>NONE</t>
        </is>
      </c>
      <c r="AB1764" s="188" t="inlineStr">
        <is>
          <t>NONE</t>
        </is>
      </c>
      <c r="AC1764" s="188" t="n">
        <v>0</v>
      </c>
      <c r="AD1764" s="188" t="inlineStr">
        <is>
          <t>Fake Fedex Email Delivers Donuts&amp;#x21;, (Fri, Feb 27th)</t>
        </is>
      </c>
    </row>
    <row r="1765">
      <c r="A1765" s="188" t="inlineStr">
        <is>
          <t>NEWS_ALERT</t>
        </is>
      </c>
      <c r="B1765" s="188" t="inlineStr">
        <is>
          <t>6c9801c9724b</t>
        </is>
      </c>
      <c r="C1765" s="188" t="inlineStr">
        <is>
          <t>[HackRead] Hackers Use 1Campaign to Hide Malicious Ads From Google Reviewers | Keywords: phishing | Varonis Threat Labs reveals 1Campaign, a platform used to trick Google Ads and hide phishing pages. Learn how this cloaking tool targets real users wh</t>
        </is>
      </c>
      <c r="D1765" s="188" t="n">
        <v>5</v>
      </c>
      <c r="E1765" s="188" t="inlineStr">
        <is>
          <t>MEDIUM</t>
        </is>
      </c>
      <c r="F1765" s="188" t="n">
        <v>2</v>
      </c>
      <c r="G1765" s="188" t="n">
        <v>1</v>
      </c>
      <c r="H1765" s="188" t="inlineStr">
        <is>
          <t>LOW</t>
        </is>
      </c>
      <c r="I1765" s="188" t="n">
        <v>7</v>
      </c>
      <c r="J1765" s="188" t="inlineStr">
        <is>
          <t>NO</t>
        </is>
      </c>
      <c r="K1765" s="188" t="inlineStr">
        <is>
          <t>https://hackread.com/hackers-1campaign-hide-malicious-ads-google-reviewers/</t>
        </is>
      </c>
      <c r="L1765" s="188" t="inlineStr">
        <is>
          <t>2026-02-27 11:16</t>
        </is>
      </c>
      <c r="M1765" s="188" t="inlineStr">
        <is>
          <t>Monitor</t>
        </is>
      </c>
      <c r="N1765" s="188" t="inlineStr">
        <is>
          <t>https://hackread.com/hackers-1campaign-hide-malicious-ads-google-reviewers/</t>
        </is>
      </c>
      <c r="O1765" s="188" t="inlineStr">
        <is>
          <t>Monitor for developments | Review article for IOCs | Escalate if relevant to your infra</t>
        </is>
      </c>
      <c r="P1765" s="188" t="inlineStr">
        <is>
          <t>Varies - see article</t>
        </is>
      </c>
      <c r="Q1765" s="188" t="inlineStr">
        <is>
          <t>P4</t>
        </is>
      </c>
      <c r="R1765" s="188" t="inlineStr">
        <is>
          <t>📰 Security news alert - monitor for developments | 🔍 Review article for IOCs | 📋 Escalate if relevant to your infrastructure</t>
        </is>
      </c>
      <c r="S1765" s="188" t="inlineStr">
        <is>
          <t>News alert - no IP context</t>
        </is>
      </c>
      <c r="T1765" s="188" t="n">
        <v>0</v>
      </c>
      <c r="U1765" s="188" t="n">
        <v>0</v>
      </c>
      <c r="V1765" s="188" t="inlineStr">
        <is>
          <t>See article for technique context</t>
        </is>
      </c>
      <c r="W1765" s="188" t="n">
        <v>1</v>
      </c>
      <c r="X1765" s="188" t="inlineStr">
        <is>
          <t>LOW (40%)</t>
        </is>
      </c>
      <c r="Y1765" s="188" t="inlineStr">
        <is>
          <t>NONE</t>
        </is>
      </c>
      <c r="Z1765" s="188" t="inlineStr">
        <is>
          <t>NONE</t>
        </is>
      </c>
      <c r="AA1765" s="188" t="inlineStr">
        <is>
          <t>NONE</t>
        </is>
      </c>
      <c r="AB1765" s="188" t="inlineStr">
        <is>
          <t>NONE</t>
        </is>
      </c>
      <c r="AC1765" s="188" t="n">
        <v>0</v>
      </c>
      <c r="AD1765" s="188" t="inlineStr">
        <is>
          <t>Hackers Use 1Campaign to Hide Malicious Ads From Google Reviewers</t>
        </is>
      </c>
    </row>
    <row r="1766">
      <c r="A1766" s="188" t="inlineStr">
        <is>
          <t>NEWS_ALERT</t>
        </is>
      </c>
      <c r="B1766" s="188" t="inlineStr">
        <is>
          <t>72aa219bca57</t>
        </is>
      </c>
      <c r="C1766" s="188" t="inlineStr">
        <is>
          <t>[HackRead] Fake Avast Website Targets Users With €499 Phishing Refund Scam | Keywords: phishing, phishing | Fraudsters clone Avast’s website to target French users with a €499 phishing scam, using urgency tactics, live chat, and card validation to steal paym</t>
        </is>
      </c>
      <c r="D1766" s="188" t="n">
        <v>5</v>
      </c>
      <c r="E1766" s="188" t="inlineStr">
        <is>
          <t>MEDIUM</t>
        </is>
      </c>
      <c r="F1766" s="188" t="n">
        <v>2</v>
      </c>
      <c r="G1766" s="188" t="n">
        <v>1</v>
      </c>
      <c r="H1766" s="188" t="inlineStr">
        <is>
          <t>LOW</t>
        </is>
      </c>
      <c r="I1766" s="188" t="n">
        <v>7</v>
      </c>
      <c r="J1766" s="188" t="inlineStr">
        <is>
          <t>NO</t>
        </is>
      </c>
      <c r="K1766" s="188" t="inlineStr">
        <is>
          <t>https://hackread.com/fake-avast-website-phishing-refund-scam/</t>
        </is>
      </c>
      <c r="L1766" s="188" t="inlineStr">
        <is>
          <t>2026-02-26 17:18</t>
        </is>
      </c>
      <c r="M1766" s="188" t="inlineStr">
        <is>
          <t>Monitor</t>
        </is>
      </c>
      <c r="N1766" s="188" t="inlineStr">
        <is>
          <t>https://hackread.com/fake-avast-website-phishing-refund-scam/</t>
        </is>
      </c>
      <c r="O1766" s="188" t="inlineStr">
        <is>
          <t>Monitor for developments | Review article for IOCs | Escalate if relevant to your infra</t>
        </is>
      </c>
      <c r="P1766" s="188" t="inlineStr">
        <is>
          <t>Varies - see article</t>
        </is>
      </c>
      <c r="Q1766" s="188" t="inlineStr">
        <is>
          <t>P4</t>
        </is>
      </c>
      <c r="R1766" s="188" t="inlineStr">
        <is>
          <t>📰 Security news alert - monitor for developments | 🔍 Review article for IOCs | 📋 Escalate if relevant to your infrastructure</t>
        </is>
      </c>
      <c r="S1766" s="188" t="inlineStr">
        <is>
          <t>News alert - no IP context</t>
        </is>
      </c>
      <c r="T1766" s="188" t="n">
        <v>0</v>
      </c>
      <c r="U1766" s="188" t="n">
        <v>0</v>
      </c>
      <c r="V1766" s="188" t="inlineStr">
        <is>
          <t>See article for technique context</t>
        </is>
      </c>
      <c r="W1766" s="188" t="n">
        <v>1</v>
      </c>
      <c r="X1766" s="188" t="inlineStr">
        <is>
          <t>LOW (40%)</t>
        </is>
      </c>
      <c r="Y1766" s="188" t="inlineStr">
        <is>
          <t>NONE</t>
        </is>
      </c>
      <c r="Z1766" s="188" t="inlineStr">
        <is>
          <t>NONE</t>
        </is>
      </c>
      <c r="AA1766" s="188" t="inlineStr">
        <is>
          <t>NONE</t>
        </is>
      </c>
      <c r="AB1766" s="188" t="inlineStr">
        <is>
          <t>NONE</t>
        </is>
      </c>
      <c r="AC1766" s="188" t="n">
        <v>0</v>
      </c>
      <c r="AD1766" s="188" t="inlineStr">
        <is>
          <t>Fake Avast Website Targets Users With €499 Phishing Refund Scam</t>
        </is>
      </c>
    </row>
    <row r="1767">
      <c r="A1767" s="188" t="inlineStr">
        <is>
          <t>NEWS_ALERT</t>
        </is>
      </c>
      <c r="B1767" s="188" t="inlineStr">
        <is>
          <t>8fcc1e99c11d</t>
        </is>
      </c>
      <c r="C1767" s="188" t="inlineStr">
        <is>
          <t>[HackRead] US Sanctions Russian Exploit Broker Over Stolen US Cyber Tools | Keywords: exploit | The US Treasury targets Sergey Zelenyuk and his firm Operation Zero for the illegal trade of stolen government cyber tools following the sentencing of</t>
        </is>
      </c>
      <c r="D1767" s="188" t="n">
        <v>5</v>
      </c>
      <c r="E1767" s="188" t="inlineStr">
        <is>
          <t>MEDIUM</t>
        </is>
      </c>
      <c r="F1767" s="188" t="n">
        <v>2</v>
      </c>
      <c r="G1767" s="188" t="n">
        <v>1</v>
      </c>
      <c r="H1767" s="188" t="inlineStr">
        <is>
          <t>LOW</t>
        </is>
      </c>
      <c r="I1767" s="188" t="n">
        <v>7</v>
      </c>
      <c r="J1767" s="188" t="inlineStr">
        <is>
          <t>NO</t>
        </is>
      </c>
      <c r="K1767" s="188" t="inlineStr">
        <is>
          <t>https://hackread.com/us-sanctions-russian-exploit-broker-us-cyber-tools/</t>
        </is>
      </c>
      <c r="L1767" s="188" t="inlineStr">
        <is>
          <t>2026-02-25 19:29</t>
        </is>
      </c>
      <c r="M1767" s="188" t="inlineStr">
        <is>
          <t>Monitor</t>
        </is>
      </c>
      <c r="N1767" s="188" t="inlineStr">
        <is>
          <t>https://hackread.com/us-sanctions-russian-exploit-broker-us-cyber-tools/</t>
        </is>
      </c>
      <c r="O1767" s="188" t="inlineStr">
        <is>
          <t>Monitor for developments | Review article for IOCs | Escalate if relevant to your infra</t>
        </is>
      </c>
      <c r="P1767" s="188" t="inlineStr">
        <is>
          <t>Varies - see article</t>
        </is>
      </c>
      <c r="Q1767" s="188" t="inlineStr">
        <is>
          <t>P4</t>
        </is>
      </c>
      <c r="R1767" s="188" t="inlineStr">
        <is>
          <t>📰 Security news alert - monitor for developments | 🔍 Review article for IOCs | 📋 Escalate if relevant to your infrastructure</t>
        </is>
      </c>
      <c r="S1767" s="188" t="inlineStr">
        <is>
          <t>News alert - no IP context</t>
        </is>
      </c>
      <c r="T1767" s="188" t="n">
        <v>0</v>
      </c>
      <c r="U1767" s="188" t="n">
        <v>0</v>
      </c>
      <c r="V1767" s="188" t="inlineStr">
        <is>
          <t>See article for technique context</t>
        </is>
      </c>
      <c r="W1767" s="188" t="n">
        <v>1</v>
      </c>
      <c r="X1767" s="188" t="inlineStr">
        <is>
          <t>LOW (40%)</t>
        </is>
      </c>
      <c r="Y1767" s="188" t="inlineStr">
        <is>
          <t>NONE</t>
        </is>
      </c>
      <c r="Z1767" s="188" t="inlineStr">
        <is>
          <t>NONE</t>
        </is>
      </c>
      <c r="AA1767" s="188" t="inlineStr">
        <is>
          <t>NONE</t>
        </is>
      </c>
      <c r="AB1767" s="188" t="inlineStr">
        <is>
          <t>NONE</t>
        </is>
      </c>
      <c r="AC1767" s="188" t="n">
        <v>0</v>
      </c>
      <c r="AD1767" s="188" t="inlineStr">
        <is>
          <t>US Sanctions Russian Exploit Broker Over Stolen US Cyber Tools</t>
        </is>
      </c>
    </row>
    <row r="1768">
      <c r="A1768" s="188" t="inlineStr">
        <is>
          <t>NEWS_ALERT</t>
        </is>
      </c>
      <c r="B1768" s="188" t="inlineStr">
        <is>
          <t>962061c7e435</t>
        </is>
      </c>
      <c r="C1768" s="188" t="inlineStr">
        <is>
          <t>[HackRead] ShinyHunters Claims Odido NL and Ben.nl Breach as Company Confirms Cyberattack | Keywords: breach, breach | ShinyHunters claims 21 million records stolen in Odido NL and Ben.nl data breach as telecom company confirms cyberattack impacting customer contact sy</t>
        </is>
      </c>
      <c r="D1768" s="188" t="n">
        <v>5</v>
      </c>
      <c r="E1768" s="188" t="inlineStr">
        <is>
          <t>MEDIUM</t>
        </is>
      </c>
      <c r="F1768" s="188" t="n">
        <v>2</v>
      </c>
      <c r="G1768" s="188" t="n">
        <v>1</v>
      </c>
      <c r="H1768" s="188" t="inlineStr">
        <is>
          <t>LOW</t>
        </is>
      </c>
      <c r="I1768" s="188" t="n">
        <v>7</v>
      </c>
      <c r="J1768" s="188" t="inlineStr">
        <is>
          <t>NO</t>
        </is>
      </c>
      <c r="K1768" s="188" t="inlineStr">
        <is>
          <t>https://hackread.com/shinyhunters-odido-nl-ben-nl-breach-confirm-cyberattack/</t>
        </is>
      </c>
      <c r="L1768" s="188" t="inlineStr">
        <is>
          <t>2026-02-25 16:40</t>
        </is>
      </c>
      <c r="M1768" s="188" t="inlineStr">
        <is>
          <t>Monitor</t>
        </is>
      </c>
      <c r="N1768" s="188" t="inlineStr">
        <is>
          <t>https://hackread.com/shinyhunters-odido-nl-ben-nl-breach-confirm-cyberattack/</t>
        </is>
      </c>
      <c r="O1768" s="188" t="inlineStr">
        <is>
          <t>Monitor for developments | Review article for IOCs | Escalate if relevant to your infra</t>
        </is>
      </c>
      <c r="P1768" s="188" t="inlineStr">
        <is>
          <t>Varies - see article</t>
        </is>
      </c>
      <c r="Q1768" s="188" t="inlineStr">
        <is>
          <t>P4</t>
        </is>
      </c>
      <c r="R1768" s="188" t="inlineStr">
        <is>
          <t>📰 Security news alert - monitor for developments | 🔍 Review article for IOCs | 📋 Escalate if relevant to your infrastructure</t>
        </is>
      </c>
      <c r="S1768" s="188" t="inlineStr">
        <is>
          <t>News alert - no IP context</t>
        </is>
      </c>
      <c r="T1768" s="188" t="n">
        <v>0</v>
      </c>
      <c r="U1768" s="188" t="n">
        <v>0</v>
      </c>
      <c r="V1768" s="188" t="inlineStr">
        <is>
          <t>See article for technique context</t>
        </is>
      </c>
      <c r="W1768" s="188" t="n">
        <v>1</v>
      </c>
      <c r="X1768" s="188" t="inlineStr">
        <is>
          <t>LOW (40%)</t>
        </is>
      </c>
      <c r="Y1768" s="188" t="inlineStr">
        <is>
          <t>NONE</t>
        </is>
      </c>
      <c r="Z1768" s="188" t="inlineStr">
        <is>
          <t>NONE</t>
        </is>
      </c>
      <c r="AA1768" s="188" t="inlineStr">
        <is>
          <t>NONE</t>
        </is>
      </c>
      <c r="AB1768" s="188" t="inlineStr">
        <is>
          <t>NONE</t>
        </is>
      </c>
      <c r="AC1768" s="188" t="n">
        <v>0</v>
      </c>
      <c r="AD1768" s="188" t="inlineStr">
        <is>
          <t>ShinyHunters Claims Odido NL and Ben.nl Breach as Company Confirms Cyberattack</t>
        </is>
      </c>
    </row>
  </sheetData>
  <autoFilter ref="A1:AD1768"/>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1768"/>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2" t="inlineStr">
        <is>
          <t>Type</t>
        </is>
      </c>
      <c r="B1" s="192" t="inlineStr">
        <is>
          <t>ID</t>
        </is>
      </c>
      <c r="C1" s="192" t="inlineStr">
        <is>
          <t>Description</t>
        </is>
      </c>
      <c r="D1" s="192" t="inlineStr">
        <is>
          <t>CVSS</t>
        </is>
      </c>
      <c r="E1" s="192" t="inlineStr">
        <is>
          <t>Severity</t>
        </is>
      </c>
      <c r="F1" s="192" t="inlineStr">
        <is>
          <t>Likelihood</t>
        </is>
      </c>
      <c r="G1" s="192" t="inlineStr">
        <is>
          <t>Impact</t>
        </is>
      </c>
      <c r="H1" s="192" t="inlineStr">
        <is>
          <t>Risk_Level</t>
        </is>
      </c>
      <c r="I1" s="192" t="inlineStr">
        <is>
          <t>Final_Score</t>
        </is>
      </c>
      <c r="J1" s="192" t="inlineStr">
        <is>
          <t>CISA_KEV</t>
        </is>
      </c>
      <c r="K1" s="192" t="inlineStr">
        <is>
          <t>Timestamp</t>
        </is>
      </c>
      <c r="L1" s="192" t="inlineStr">
        <is>
          <t>Patch_Available</t>
        </is>
      </c>
      <c r="M1" s="192" t="inlineStr">
        <is>
          <t>Affected_Products</t>
        </is>
      </c>
      <c r="N1" s="192" t="inlineStr">
        <is>
          <t>Remediation_Priority</t>
        </is>
      </c>
      <c r="O1" s="192" t="inlineStr">
        <is>
          <t>GreyNoise_Context</t>
        </is>
      </c>
      <c r="P1" s="192" t="inlineStr">
        <is>
          <t>EPSS_Score</t>
        </is>
      </c>
      <c r="Q1" s="192" t="inlineStr">
        <is>
          <t>EPSS_Percentile</t>
        </is>
      </c>
      <c r="R1" s="192" t="inlineStr">
        <is>
          <t>MITRE_Techniques</t>
        </is>
      </c>
      <c r="S1" s="192" t="inlineStr">
        <is>
          <t>Source_Count</t>
        </is>
      </c>
      <c r="T1" s="192" t="inlineStr">
        <is>
          <t>Confidence_Score</t>
        </is>
      </c>
      <c r="U1" s="192" t="inlineStr">
        <is>
          <t>Exploit_Status</t>
        </is>
      </c>
      <c r="V1" s="192" t="inlineStr">
        <is>
          <t>Fix_Available</t>
        </is>
      </c>
      <c r="W1" s="192" t="inlineStr">
        <is>
          <t>Intel_URL</t>
        </is>
      </c>
      <c r="X1" s="192" t="inlineStr">
        <is>
          <t>ZDI_Advisory</t>
        </is>
      </c>
      <c r="Y1" s="192" t="inlineStr">
        <is>
          <t>AttackerKB_Score</t>
        </is>
      </c>
      <c r="Z1" s="192" t="inlineStr">
        <is>
          <t>News_Coverage</t>
        </is>
      </c>
      <c r="AA1" s="192" t="inlineStr">
        <is>
          <t>Link</t>
        </is>
      </c>
    </row>
    <row r="2">
      <c r="A2" t="inlineStr">
        <is>
          <t>CVE</t>
        </is>
      </c>
      <c r="B2" t="inlineStr">
        <is>
          <t>CVE-2026-24891</t>
        </is>
      </c>
      <c r="C2"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2" t="n">
        <v>7.5</v>
      </c>
      <c r="E2" t="inlineStr">
        <is>
          <t>HIGH</t>
        </is>
      </c>
      <c r="F2" t="n">
        <v>2</v>
      </c>
      <c r="G2" t="n">
        <v>3</v>
      </c>
      <c r="H2" t="inlineStr">
        <is>
          <t>HIGH</t>
        </is>
      </c>
      <c r="I2" t="n">
        <v>13.5</v>
      </c>
      <c r="J2" t="inlineStr">
        <is>
          <t>NO</t>
        </is>
      </c>
      <c r="K2" t="inlineStr">
        <is>
          <t>2026-02-27 20:47</t>
        </is>
      </c>
      <c r="L2" t="inlineStr">
        <is>
          <t>YES</t>
        </is>
      </c>
      <c r="M2" t="inlineStr">
        <is>
          <t>it-novum openitcockpit *</t>
        </is>
      </c>
      <c r="N2" t="inlineStr">
        <is>
          <t>P3</t>
        </is>
      </c>
      <c r="O2" t="inlineStr">
        <is>
          <t>CVE - IP enrichment n/a</t>
        </is>
      </c>
      <c r="P2" t="n">
        <v>0.001</v>
      </c>
      <c r="Q2" t="n">
        <v>0.2765</v>
      </c>
      <c r="R2" t="inlineStr">
        <is>
          <t>T1059:Command and Scripting Interpreter | T1190:Exploit Public-Facing Application</t>
        </is>
      </c>
      <c r="S2" t="n">
        <v>1</v>
      </c>
      <c r="T2" t="inlineStr">
        <is>
          <t>LOW (40%)</t>
        </is>
      </c>
      <c r="U2" t="inlineStr">
        <is>
          <t>UNLIKELY</t>
        </is>
      </c>
      <c r="V2" t="inlineStr">
        <is>
          <t>PATCH_AVAILABLE</t>
        </is>
      </c>
      <c r="W2" t="inlineStr">
        <is>
          <t>https://nvd.nist.gov/vuln/detail/CVE-2026-24891</t>
        </is>
      </c>
      <c r="X2" t="inlineStr">
        <is>
          <t>NONE</t>
        </is>
      </c>
      <c r="Y2" t="n">
        <v>0</v>
      </c>
      <c r="Z2" t="inlineStr"/>
      <c r="AA2" t="inlineStr">
        <is>
          <t>https://nvd.nist.gov/vuln/detail/CVE-2026-24891</t>
        </is>
      </c>
    </row>
    <row r="3">
      <c r="A3" t="inlineStr">
        <is>
          <t>CVE</t>
        </is>
      </c>
      <c r="B3" t="inlineStr">
        <is>
          <t>CVE-2026-27115</t>
        </is>
      </c>
      <c r="C3"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3" t="n">
        <v>7.1</v>
      </c>
      <c r="E3" t="inlineStr">
        <is>
          <t>HIGH</t>
        </is>
      </c>
      <c r="F3" t="n">
        <v>2</v>
      </c>
      <c r="G3" t="n">
        <v>3</v>
      </c>
      <c r="H3" t="inlineStr">
        <is>
          <t>HIGH</t>
        </is>
      </c>
      <c r="I3" t="n">
        <v>13.1</v>
      </c>
      <c r="J3" t="inlineStr">
        <is>
          <t>NO</t>
        </is>
      </c>
      <c r="K3" t="inlineStr">
        <is>
          <t>2026-02-27 20:47</t>
        </is>
      </c>
      <c r="L3" t="inlineStr">
        <is>
          <t>CHECK_VENDOR</t>
        </is>
      </c>
      <c r="M3" t="inlineStr">
        <is>
          <t>See CVE details</t>
        </is>
      </c>
      <c r="N3" t="inlineStr">
        <is>
          <t>P3</t>
        </is>
      </c>
      <c r="O3" t="inlineStr">
        <is>
          <t>CVE - IP enrichment n/a</t>
        </is>
      </c>
      <c r="P3" t="n">
        <v>0.0001</v>
      </c>
      <c r="Q3" t="n">
        <v>0.0105</v>
      </c>
      <c r="R3" t="inlineStr">
        <is>
          <t>T1083:File and Directory Discovery</t>
        </is>
      </c>
      <c r="S3" t="n">
        <v>1</v>
      </c>
      <c r="T3" t="inlineStr">
        <is>
          <t>LOW (40%)</t>
        </is>
      </c>
      <c r="U3" t="inlineStr">
        <is>
          <t>UNLIKELY</t>
        </is>
      </c>
      <c r="V3" t="inlineStr">
        <is>
          <t>CHECK_VENDOR</t>
        </is>
      </c>
      <c r="W3" t="inlineStr">
        <is>
          <t>https://nvd.nist.gov/vuln/detail/CVE-2026-27115</t>
        </is>
      </c>
      <c r="X3" t="inlineStr">
        <is>
          <t>NONE</t>
        </is>
      </c>
      <c r="Y3" t="n">
        <v>0</v>
      </c>
      <c r="Z3" t="inlineStr"/>
      <c r="AA3" t="inlineStr">
        <is>
          <t>https://nvd.nist.gov/vuln/detail/CVE-2026-27115</t>
        </is>
      </c>
    </row>
    <row r="4">
      <c r="A4" t="inlineStr">
        <is>
          <t>CVE</t>
        </is>
      </c>
      <c r="B4" t="inlineStr">
        <is>
          <t>CVE-2026-2832</t>
        </is>
      </c>
      <c r="C4" t="inlineStr">
        <is>
          <t>Certain Samsung MultiXpress Multifunction Printers may be vulnerable to information disclosure, potentially exposing address book entries and other device configuration information through specific APIs without proper authorization.</t>
        </is>
      </c>
      <c r="D4" t="n">
        <v>5</v>
      </c>
      <c r="E4" t="inlineStr">
        <is>
          <t>MEDIUM</t>
        </is>
      </c>
      <c r="F4" t="n">
        <v>2</v>
      </c>
      <c r="G4" t="n">
        <v>2</v>
      </c>
      <c r="H4" t="inlineStr">
        <is>
          <t>MEDIUM</t>
        </is>
      </c>
      <c r="I4" t="n">
        <v>9</v>
      </c>
      <c r="J4" t="inlineStr">
        <is>
          <t>NO</t>
        </is>
      </c>
      <c r="K4" t="inlineStr">
        <is>
          <t>2026-02-27 20:47</t>
        </is>
      </c>
      <c r="L4" t="inlineStr">
        <is>
          <t>CHECK_VENDOR</t>
        </is>
      </c>
      <c r="M4" t="inlineStr">
        <is>
          <t>See CVE details</t>
        </is>
      </c>
      <c r="N4" t="inlineStr">
        <is>
          <t>P4</t>
        </is>
      </c>
      <c r="O4" t="inlineStr">
        <is>
          <t>CVE - IP enrichment n/a</t>
        </is>
      </c>
      <c r="P4" t="n">
        <v>0.0002</v>
      </c>
      <c r="Q4" t="n">
        <v>0.0492</v>
      </c>
      <c r="R4" t="inlineStr">
        <is>
          <t>T1213:Data from Information Repositories</t>
        </is>
      </c>
      <c r="S4" t="n">
        <v>1</v>
      </c>
      <c r="T4" t="inlineStr">
        <is>
          <t>LOW (40%)</t>
        </is>
      </c>
      <c r="U4" t="inlineStr">
        <is>
          <t>UNLIKELY</t>
        </is>
      </c>
      <c r="V4" t="inlineStr">
        <is>
          <t>CHECK_VENDOR</t>
        </is>
      </c>
      <c r="W4" t="inlineStr">
        <is>
          <t>https://nvd.nist.gov/vuln/detail/CVE-2026-2832</t>
        </is>
      </c>
      <c r="X4" t="inlineStr">
        <is>
          <t>NONE</t>
        </is>
      </c>
      <c r="Y4" t="n">
        <v>0</v>
      </c>
      <c r="Z4" t="inlineStr"/>
      <c r="AA4" t="inlineStr">
        <is>
          <t>https://nvd.nist.gov/vuln/detail/CVE-2026-2832</t>
        </is>
      </c>
    </row>
    <row r="5">
      <c r="A5" t="inlineStr">
        <is>
          <t>CVE</t>
        </is>
      </c>
      <c r="B5" t="inlineStr">
        <is>
          <t>CVE-2026-2850</t>
        </is>
      </c>
      <c r="C5"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5" t="n">
        <v>6.3</v>
      </c>
      <c r="E5" t="inlineStr">
        <is>
          <t>MEDIUM</t>
        </is>
      </c>
      <c r="F5" t="n">
        <v>2</v>
      </c>
      <c r="G5" t="n">
        <v>2</v>
      </c>
      <c r="H5" t="inlineStr">
        <is>
          <t>MEDIUM</t>
        </is>
      </c>
      <c r="I5" t="n">
        <v>10.3</v>
      </c>
      <c r="J5" t="inlineStr">
        <is>
          <t>NO</t>
        </is>
      </c>
      <c r="K5" t="inlineStr">
        <is>
          <t>2026-02-27 20:47</t>
        </is>
      </c>
      <c r="L5" t="inlineStr">
        <is>
          <t>YES</t>
        </is>
      </c>
      <c r="M5" t="inlineStr">
        <is>
          <t>yeqifu warehouse *</t>
        </is>
      </c>
      <c r="N5" t="inlineStr">
        <is>
          <t>P4</t>
        </is>
      </c>
      <c r="O5" t="inlineStr">
        <is>
          <t>CVE - IP enrichment n/a</t>
        </is>
      </c>
      <c r="P5" t="n">
        <v>0.0004</v>
      </c>
      <c r="Q5" t="n">
        <v>0.134</v>
      </c>
      <c r="R5" t="inlineStr">
        <is>
          <t>T1190:Exploit Public-Facing Application</t>
        </is>
      </c>
      <c r="S5" t="n">
        <v>1</v>
      </c>
      <c r="T5" t="inlineStr">
        <is>
          <t>LOW (40%)</t>
        </is>
      </c>
      <c r="U5" t="inlineStr">
        <is>
          <t>UNLIKELY</t>
        </is>
      </c>
      <c r="V5" t="inlineStr">
        <is>
          <t>PATCH_AVAILABLE</t>
        </is>
      </c>
      <c r="W5" t="inlineStr">
        <is>
          <t>https://nvd.nist.gov/vuln/detail/CVE-2026-2850</t>
        </is>
      </c>
      <c r="X5" t="inlineStr">
        <is>
          <t>NONE</t>
        </is>
      </c>
      <c r="Y5" t="n">
        <v>0</v>
      </c>
      <c r="Z5" t="inlineStr"/>
      <c r="AA5" t="inlineStr">
        <is>
          <t>https://nvd.nist.gov/vuln/detail/CVE-2026-2850</t>
        </is>
      </c>
    </row>
    <row r="6">
      <c r="A6" t="inlineStr">
        <is>
          <t>CVE</t>
        </is>
      </c>
      <c r="B6" t="inlineStr">
        <is>
          <t>CVE-2026-2851</t>
        </is>
      </c>
      <c r="C6"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6" t="n">
        <v>6.3</v>
      </c>
      <c r="E6" t="inlineStr">
        <is>
          <t>MEDIUM</t>
        </is>
      </c>
      <c r="F6" t="n">
        <v>2</v>
      </c>
      <c r="G6" t="n">
        <v>2</v>
      </c>
      <c r="H6" t="inlineStr">
        <is>
          <t>MEDIUM</t>
        </is>
      </c>
      <c r="I6" t="n">
        <v>10.3</v>
      </c>
      <c r="J6" t="inlineStr">
        <is>
          <t>NO</t>
        </is>
      </c>
      <c r="K6" t="inlineStr">
        <is>
          <t>2026-02-27 20:47</t>
        </is>
      </c>
      <c r="L6" t="inlineStr">
        <is>
          <t>CHECK_VENDOR</t>
        </is>
      </c>
      <c r="M6" t="inlineStr">
        <is>
          <t>yeqifu warehouse *</t>
        </is>
      </c>
      <c r="N6" t="inlineStr">
        <is>
          <t>P4</t>
        </is>
      </c>
      <c r="O6" t="inlineStr">
        <is>
          <t>CVE - IP enrichment n/a</t>
        </is>
      </c>
      <c r="P6" t="n">
        <v>0.0003</v>
      </c>
      <c r="Q6" t="n">
        <v>0.09180000000000001</v>
      </c>
      <c r="R6" t="inlineStr">
        <is>
          <t>T1190:Exploit Public-Facing Application</t>
        </is>
      </c>
      <c r="S6" t="n">
        <v>1</v>
      </c>
      <c r="T6" t="inlineStr">
        <is>
          <t>LOW (40%)</t>
        </is>
      </c>
      <c r="U6" t="inlineStr">
        <is>
          <t>UNLIKELY</t>
        </is>
      </c>
      <c r="V6" t="inlineStr">
        <is>
          <t>CHECK_VENDOR</t>
        </is>
      </c>
      <c r="W6" t="inlineStr">
        <is>
          <t>https://nvd.nist.gov/vuln/detail/CVE-2026-2851</t>
        </is>
      </c>
      <c r="X6" t="inlineStr">
        <is>
          <t>NONE</t>
        </is>
      </c>
      <c r="Y6" t="n">
        <v>0</v>
      </c>
      <c r="Z6" t="inlineStr"/>
      <c r="AA6" t="inlineStr">
        <is>
          <t>https://nvd.nist.gov/vuln/detail/CVE-2026-2851</t>
        </is>
      </c>
    </row>
    <row r="7">
      <c r="A7" t="inlineStr">
        <is>
          <t>CVE</t>
        </is>
      </c>
      <c r="B7" t="inlineStr">
        <is>
          <t>CVE-2019-25444</t>
        </is>
      </c>
      <c r="C7"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7" t="n">
        <v>8.199999999999999</v>
      </c>
      <c r="E7" t="inlineStr">
        <is>
          <t>HIGH</t>
        </is>
      </c>
      <c r="F7" t="n">
        <v>2</v>
      </c>
      <c r="G7" t="n">
        <v>3</v>
      </c>
      <c r="H7" t="inlineStr">
        <is>
          <t>HIGH</t>
        </is>
      </c>
      <c r="I7" t="n">
        <v>14.2</v>
      </c>
      <c r="J7" t="inlineStr">
        <is>
          <t>NO</t>
        </is>
      </c>
      <c r="K7" t="inlineStr">
        <is>
          <t>2026-02-27 20:47</t>
        </is>
      </c>
      <c r="L7" t="inlineStr">
        <is>
          <t>CHECK_VENDOR</t>
        </is>
      </c>
      <c r="M7" t="inlineStr">
        <is>
          <t>phpscriptsmall fiverr_clone_script 1.2.2</t>
        </is>
      </c>
      <c r="N7" t="inlineStr">
        <is>
          <t>P3</t>
        </is>
      </c>
      <c r="O7" t="inlineStr">
        <is>
          <t>CVE - IP enrichment n/a</t>
        </is>
      </c>
      <c r="P7" t="n">
        <v>0.0007</v>
      </c>
      <c r="Q7" t="n">
        <v>0.2185</v>
      </c>
      <c r="R7" t="inlineStr">
        <is>
          <t>T1190:Exploit Public-Facing Application</t>
        </is>
      </c>
      <c r="S7" t="n">
        <v>1</v>
      </c>
      <c r="T7" t="inlineStr">
        <is>
          <t>LOW (40%)</t>
        </is>
      </c>
      <c r="U7" t="inlineStr">
        <is>
          <t>UNLIKELY</t>
        </is>
      </c>
      <c r="V7" t="inlineStr">
        <is>
          <t>CHECK_VENDOR</t>
        </is>
      </c>
      <c r="W7" t="inlineStr">
        <is>
          <t>https://nvd.nist.gov/vuln/detail/CVE-2019-25444</t>
        </is>
      </c>
      <c r="X7" t="inlineStr">
        <is>
          <t>NONE</t>
        </is>
      </c>
      <c r="Y7" t="n">
        <v>0</v>
      </c>
      <c r="Z7" t="inlineStr"/>
      <c r="AA7" t="inlineStr">
        <is>
          <t>https://nvd.nist.gov/vuln/detail/CVE-2019-25444</t>
        </is>
      </c>
    </row>
    <row r="8">
      <c r="A8" t="inlineStr">
        <is>
          <t>CVE</t>
        </is>
      </c>
      <c r="B8" t="inlineStr">
        <is>
          <t>CVE-2019-25445</t>
        </is>
      </c>
      <c r="C8"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8" t="n">
        <v>6.1</v>
      </c>
      <c r="E8" t="inlineStr">
        <is>
          <t>MEDIUM</t>
        </is>
      </c>
      <c r="F8" t="n">
        <v>2</v>
      </c>
      <c r="G8" t="n">
        <v>2</v>
      </c>
      <c r="H8" t="inlineStr">
        <is>
          <t>MEDIUM</t>
        </is>
      </c>
      <c r="I8" t="n">
        <v>10.1</v>
      </c>
      <c r="J8" t="inlineStr">
        <is>
          <t>NO</t>
        </is>
      </c>
      <c r="K8" t="inlineStr">
        <is>
          <t>2026-02-27 20:47</t>
        </is>
      </c>
      <c r="L8" t="inlineStr">
        <is>
          <t>CHECK_VENDOR</t>
        </is>
      </c>
      <c r="M8" t="inlineStr">
        <is>
          <t>phpscriptsmall fiverr_clone_script 1.2.2</t>
        </is>
      </c>
      <c r="N8" t="inlineStr">
        <is>
          <t>P4</t>
        </is>
      </c>
      <c r="O8" t="inlineStr">
        <is>
          <t>CVE - IP enrichment n/a</t>
        </is>
      </c>
      <c r="P8" t="n">
        <v>0.0005999999999999999</v>
      </c>
      <c r="Q8" t="n">
        <v>0.1951</v>
      </c>
      <c r="R8" t="inlineStr">
        <is>
          <t>T1189:Drive-by Compromise</t>
        </is>
      </c>
      <c r="S8" t="n">
        <v>1</v>
      </c>
      <c r="T8" t="inlineStr">
        <is>
          <t>LOW (40%)</t>
        </is>
      </c>
      <c r="U8" t="inlineStr">
        <is>
          <t>UNLIKELY</t>
        </is>
      </c>
      <c r="V8" t="inlineStr">
        <is>
          <t>CHECK_VENDOR</t>
        </is>
      </c>
      <c r="W8" t="inlineStr">
        <is>
          <t>https://nvd.nist.gov/vuln/detail/CVE-2019-25445</t>
        </is>
      </c>
      <c r="X8" t="inlineStr">
        <is>
          <t>NONE</t>
        </is>
      </c>
      <c r="Y8" t="n">
        <v>0</v>
      </c>
      <c r="Z8" t="inlineStr"/>
      <c r="AA8" t="inlineStr">
        <is>
          <t>https://nvd.nist.gov/vuln/detail/CVE-2019-25445</t>
        </is>
      </c>
    </row>
    <row r="9">
      <c r="A9" t="inlineStr">
        <is>
          <t>CVE</t>
        </is>
      </c>
      <c r="B9" t="inlineStr">
        <is>
          <t>CVE-2021-35402</t>
        </is>
      </c>
      <c r="C9" t="inlineStr">
        <is>
          <t>PROLiNK PRC2402M 20190909 before 2021-06-13 allows live_api.cgi?page=satellite_list OS command injection via shell metacharacters in the ip parameter (for satellite_status).</t>
        </is>
      </c>
      <c r="D9" t="n">
        <v>10</v>
      </c>
      <c r="E9" t="inlineStr">
        <is>
          <t>CRITICAL</t>
        </is>
      </c>
      <c r="F9" t="n">
        <v>2</v>
      </c>
      <c r="G9" t="n">
        <v>3</v>
      </c>
      <c r="H9" t="inlineStr">
        <is>
          <t>HIGH</t>
        </is>
      </c>
      <c r="I9" t="n">
        <v>16</v>
      </c>
      <c r="J9" t="inlineStr">
        <is>
          <t>NO</t>
        </is>
      </c>
      <c r="K9" t="inlineStr">
        <is>
          <t>2026-02-27 20:47</t>
        </is>
      </c>
      <c r="L9" t="inlineStr">
        <is>
          <t>CHECK_VENDOR</t>
        </is>
      </c>
      <c r="M9" t="inlineStr">
        <is>
          <t>See CVE details</t>
        </is>
      </c>
      <c r="N9" t="inlineStr">
        <is>
          <t>P3</t>
        </is>
      </c>
      <c r="O9" t="inlineStr">
        <is>
          <t>CVE - IP enrichment n/a</t>
        </is>
      </c>
      <c r="P9" t="n">
        <v>0.0039</v>
      </c>
      <c r="Q9" t="n">
        <v>0.5933</v>
      </c>
      <c r="R9" t="inlineStr">
        <is>
          <t>T1059:Command and Scripting Interpreter</t>
        </is>
      </c>
      <c r="S9" t="n">
        <v>1</v>
      </c>
      <c r="T9" t="inlineStr">
        <is>
          <t>LOW (40%)</t>
        </is>
      </c>
      <c r="U9" t="inlineStr">
        <is>
          <t>UNLIKELY</t>
        </is>
      </c>
      <c r="V9" t="inlineStr">
        <is>
          <t>CHECK_VENDOR</t>
        </is>
      </c>
      <c r="W9" t="inlineStr">
        <is>
          <t>https://nvd.nist.gov/vuln/detail/CVE-2021-35402</t>
        </is>
      </c>
      <c r="X9" t="inlineStr">
        <is>
          <t>NONE</t>
        </is>
      </c>
      <c r="Y9" t="n">
        <v>0</v>
      </c>
      <c r="Z9" t="inlineStr"/>
      <c r="AA9" t="inlineStr">
        <is>
          <t>https://nvd.nist.gov/vuln/detail/CVE-2021-35402</t>
        </is>
      </c>
    </row>
    <row r="10">
      <c r="A10" t="inlineStr">
        <is>
          <t>CVE</t>
        </is>
      </c>
      <c r="B10" t="inlineStr">
        <is>
          <t>CVE-2026-2852</t>
        </is>
      </c>
      <c r="C10"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 t="n">
        <v>6.3</v>
      </c>
      <c r="E10" t="inlineStr">
        <is>
          <t>MEDIUM</t>
        </is>
      </c>
      <c r="F10" t="n">
        <v>2</v>
      </c>
      <c r="G10" t="n">
        <v>2</v>
      </c>
      <c r="H10" t="inlineStr">
        <is>
          <t>MEDIUM</t>
        </is>
      </c>
      <c r="I10" t="n">
        <v>10.3</v>
      </c>
      <c r="J10" t="inlineStr">
        <is>
          <t>NO</t>
        </is>
      </c>
      <c r="K10" t="inlineStr">
        <is>
          <t>2026-02-27 20:47</t>
        </is>
      </c>
      <c r="L10" t="inlineStr">
        <is>
          <t>CHECK_VENDOR</t>
        </is>
      </c>
      <c r="M10" t="inlineStr">
        <is>
          <t>yeqifu warehouse *</t>
        </is>
      </c>
      <c r="N10" t="inlineStr">
        <is>
          <t>P4</t>
        </is>
      </c>
      <c r="O10" t="inlineStr">
        <is>
          <t>CVE - IP enrichment n/a</t>
        </is>
      </c>
      <c r="P10" t="n">
        <v>0.0004</v>
      </c>
      <c r="Q10" t="n">
        <v>0.1345</v>
      </c>
      <c r="R10" t="inlineStr">
        <is>
          <t>T1190:Exploit Public-Facing Application</t>
        </is>
      </c>
      <c r="S10" t="n">
        <v>1</v>
      </c>
      <c r="T10" t="inlineStr">
        <is>
          <t>LOW (40%)</t>
        </is>
      </c>
      <c r="U10" t="inlineStr">
        <is>
          <t>UNLIKELY</t>
        </is>
      </c>
      <c r="V10" t="inlineStr">
        <is>
          <t>CHECK_VENDOR</t>
        </is>
      </c>
      <c r="W10" t="inlineStr">
        <is>
          <t>https://nvd.nist.gov/vuln/detail/CVE-2026-2852</t>
        </is>
      </c>
      <c r="X10" t="inlineStr">
        <is>
          <t>NONE</t>
        </is>
      </c>
      <c r="Y10" t="n">
        <v>0</v>
      </c>
      <c r="Z10" t="inlineStr"/>
      <c r="AA10" t="inlineStr">
        <is>
          <t>https://nvd.nist.gov/vuln/detail/CVE-2026-2852</t>
        </is>
      </c>
    </row>
    <row r="11">
      <c r="A11" t="inlineStr">
        <is>
          <t>CVE</t>
        </is>
      </c>
      <c r="B11" t="inlineStr">
        <is>
          <t>CVE-2025-62326</t>
        </is>
      </c>
      <c r="C11" t="inlineStr">
        <is>
          <t>HCL Digital Experience is susceptible to stored cross-site scripting (XSS) in the administrative user interface which would require elevated privileges to exploit.</t>
        </is>
      </c>
      <c r="D11" t="n">
        <v>6.1</v>
      </c>
      <c r="E11" t="inlineStr">
        <is>
          <t>MEDIUM</t>
        </is>
      </c>
      <c r="F11" t="n">
        <v>2</v>
      </c>
      <c r="G11" t="n">
        <v>2</v>
      </c>
      <c r="H11" t="inlineStr">
        <is>
          <t>MEDIUM</t>
        </is>
      </c>
      <c r="I11" t="n">
        <v>10.1</v>
      </c>
      <c r="J11" t="inlineStr">
        <is>
          <t>NO</t>
        </is>
      </c>
      <c r="K11" t="inlineStr">
        <is>
          <t>2026-02-27 20:47</t>
        </is>
      </c>
      <c r="L11" t="inlineStr">
        <is>
          <t>YES</t>
        </is>
      </c>
      <c r="M11" t="inlineStr">
        <is>
          <t>hcltech digital_experience 9.5</t>
        </is>
      </c>
      <c r="N11" t="inlineStr">
        <is>
          <t>P4</t>
        </is>
      </c>
      <c r="O11" t="inlineStr">
        <is>
          <t>CVE - IP enrichment n/a</t>
        </is>
      </c>
      <c r="P11" t="n">
        <v>0.0003</v>
      </c>
      <c r="Q11" t="n">
        <v>0.0896</v>
      </c>
      <c r="R11" t="inlineStr">
        <is>
          <t>T1189:Drive-by Compromise</t>
        </is>
      </c>
      <c r="S11" t="n">
        <v>1</v>
      </c>
      <c r="T11" t="inlineStr">
        <is>
          <t>LOW (40%)</t>
        </is>
      </c>
      <c r="U11" t="inlineStr">
        <is>
          <t>UNLIKELY</t>
        </is>
      </c>
      <c r="V11" t="inlineStr">
        <is>
          <t>PATCH_AVAILABLE</t>
        </is>
      </c>
      <c r="W11" t="inlineStr">
        <is>
          <t>https://nvd.nist.gov/vuln/detail/CVE-2025-62326</t>
        </is>
      </c>
      <c r="X11" t="inlineStr">
        <is>
          <t>NONE</t>
        </is>
      </c>
      <c r="Y11" t="n">
        <v>0</v>
      </c>
      <c r="Z11" t="inlineStr"/>
      <c r="AA11" t="inlineStr">
        <is>
          <t>https://nvd.nist.gov/vuln/detail/CVE-2025-62326</t>
        </is>
      </c>
    </row>
    <row r="12">
      <c r="A12" t="inlineStr">
        <is>
          <t>CVE</t>
        </is>
      </c>
      <c r="B12" t="inlineStr">
        <is>
          <t>CVE-2026-2472</t>
        </is>
      </c>
      <c r="C12"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2" t="n">
        <v>8.5</v>
      </c>
      <c r="E12" t="inlineStr">
        <is>
          <t>HIGH</t>
        </is>
      </c>
      <c r="F12" t="n">
        <v>2</v>
      </c>
      <c r="G12" t="n">
        <v>3</v>
      </c>
      <c r="H12" t="inlineStr">
        <is>
          <t>HIGH</t>
        </is>
      </c>
      <c r="I12" t="n">
        <v>14.5</v>
      </c>
      <c r="J12" t="inlineStr">
        <is>
          <t>NO</t>
        </is>
      </c>
      <c r="K12" t="inlineStr">
        <is>
          <t>2026-02-27 20:47</t>
        </is>
      </c>
      <c r="L12" t="inlineStr">
        <is>
          <t>CHECK_VENDOR</t>
        </is>
      </c>
      <c r="M12" t="inlineStr">
        <is>
          <t>See CVE details</t>
        </is>
      </c>
      <c r="N12" t="inlineStr">
        <is>
          <t>P3</t>
        </is>
      </c>
      <c r="O12" t="inlineStr">
        <is>
          <t>CVE - IP enrichment n/a</t>
        </is>
      </c>
      <c r="P12" t="n">
        <v>0.0019</v>
      </c>
      <c r="Q12" t="n">
        <v>0.4073</v>
      </c>
      <c r="R12" t="inlineStr">
        <is>
          <t>T1189:Drive-by Compromise</t>
        </is>
      </c>
      <c r="S12" t="n">
        <v>1</v>
      </c>
      <c r="T12" t="inlineStr">
        <is>
          <t>LOW (40%)</t>
        </is>
      </c>
      <c r="U12" t="inlineStr">
        <is>
          <t>UNLIKELY</t>
        </is>
      </c>
      <c r="V12" t="inlineStr">
        <is>
          <t>CHECK_VENDOR</t>
        </is>
      </c>
      <c r="W12" t="inlineStr">
        <is>
          <t>https://nvd.nist.gov/vuln/detail/CVE-2026-2472</t>
        </is>
      </c>
      <c r="X12" t="inlineStr">
        <is>
          <t>NONE</t>
        </is>
      </c>
      <c r="Y12" t="n">
        <v>0</v>
      </c>
      <c r="Z12" t="inlineStr"/>
      <c r="AA12" t="inlineStr">
        <is>
          <t>https://nvd.nist.gov/vuln/detail/CVE-2026-2472</t>
        </is>
      </c>
    </row>
    <row r="13">
      <c r="A13" t="inlineStr">
        <is>
          <t>CVE</t>
        </is>
      </c>
      <c r="B13" t="inlineStr">
        <is>
          <t>CVE-2026-2473</t>
        </is>
      </c>
      <c r="C13"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3" t="n">
        <v>8.5</v>
      </c>
      <c r="E13" t="inlineStr">
        <is>
          <t>HIGH</t>
        </is>
      </c>
      <c r="F13" t="n">
        <v>2</v>
      </c>
      <c r="G13" t="n">
        <v>3</v>
      </c>
      <c r="H13" t="inlineStr">
        <is>
          <t>HIGH</t>
        </is>
      </c>
      <c r="I13" t="n">
        <v>14.5</v>
      </c>
      <c r="J13" t="inlineStr">
        <is>
          <t>NO</t>
        </is>
      </c>
      <c r="K13" t="inlineStr">
        <is>
          <t>2026-02-27 20:47</t>
        </is>
      </c>
      <c r="L13" t="inlineStr">
        <is>
          <t>CHECK_VENDOR</t>
        </is>
      </c>
      <c r="M13" t="inlineStr">
        <is>
          <t>See CVE details</t>
        </is>
      </c>
      <c r="N13" t="inlineStr">
        <is>
          <t>P3</t>
        </is>
      </c>
      <c r="O13" t="inlineStr">
        <is>
          <t>CVE - IP enrichment n/a</t>
        </is>
      </c>
      <c r="P13" t="n">
        <v>0.0027</v>
      </c>
      <c r="Q13" t="n">
        <v>0.5053</v>
      </c>
      <c r="R13" t="inlineStr">
        <is>
          <t>T1190:Exploit Public-Facing Application | T1210:Exploitation of Remote Services</t>
        </is>
      </c>
      <c r="S13" t="n">
        <v>1</v>
      </c>
      <c r="T13" t="inlineStr">
        <is>
          <t>LOW (40%)</t>
        </is>
      </c>
      <c r="U13" t="inlineStr">
        <is>
          <t>UNLIKELY</t>
        </is>
      </c>
      <c r="V13" t="inlineStr">
        <is>
          <t>CHECK_VENDOR</t>
        </is>
      </c>
      <c r="W13" t="inlineStr">
        <is>
          <t>https://nvd.nist.gov/vuln/detail/CVE-2026-2473</t>
        </is>
      </c>
      <c r="X13" t="inlineStr">
        <is>
          <t>NONE</t>
        </is>
      </c>
      <c r="Y13" t="n">
        <v>0</v>
      </c>
      <c r="Z13" t="inlineStr"/>
      <c r="AA13" t="inlineStr">
        <is>
          <t>https://nvd.nist.gov/vuln/detail/CVE-2026-2473</t>
        </is>
      </c>
    </row>
    <row r="14">
      <c r="A14" t="inlineStr">
        <is>
          <t>CVE</t>
        </is>
      </c>
      <c r="B14" t="inlineStr">
        <is>
          <t>CVE-2026-2853</t>
        </is>
      </c>
      <c r="C14"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4" t="n">
        <v>8.800000000000001</v>
      </c>
      <c r="E14" t="inlineStr">
        <is>
          <t>HIGH</t>
        </is>
      </c>
      <c r="F14" t="n">
        <v>2</v>
      </c>
      <c r="G14" t="n">
        <v>3</v>
      </c>
      <c r="H14" t="inlineStr">
        <is>
          <t>HIGH</t>
        </is>
      </c>
      <c r="I14" t="n">
        <v>14.8</v>
      </c>
      <c r="J14" t="inlineStr">
        <is>
          <t>NO</t>
        </is>
      </c>
      <c r="K14" t="inlineStr">
        <is>
          <t>2026-02-27 20:47</t>
        </is>
      </c>
      <c r="L14" t="inlineStr">
        <is>
          <t>CHECK_VENDOR</t>
        </is>
      </c>
      <c r="M14" t="inlineStr">
        <is>
          <t>dlink dwr-m960_firmware 1.01.07 | dlink dwr-m960 b1</t>
        </is>
      </c>
      <c r="N14" t="inlineStr">
        <is>
          <t>P3</t>
        </is>
      </c>
      <c r="O14" t="inlineStr">
        <is>
          <t>CVE - IP enrichment n/a</t>
        </is>
      </c>
      <c r="P14" t="n">
        <v>0.0003</v>
      </c>
      <c r="Q14" t="n">
        <v>0.09379999999999999</v>
      </c>
      <c r="R14" t="inlineStr">
        <is>
          <t>T1203:Exploitation for Client Execution</t>
        </is>
      </c>
      <c r="S14" t="n">
        <v>1</v>
      </c>
      <c r="T14" t="inlineStr">
        <is>
          <t>LOW (40%)</t>
        </is>
      </c>
      <c r="U14" t="inlineStr">
        <is>
          <t>UNLIKELY</t>
        </is>
      </c>
      <c r="V14" t="inlineStr">
        <is>
          <t>CHECK_VENDOR</t>
        </is>
      </c>
      <c r="W14" t="inlineStr">
        <is>
          <t>https://nvd.nist.gov/vuln/detail/CVE-2026-2853</t>
        </is>
      </c>
      <c r="X14" t="inlineStr">
        <is>
          <t>NONE</t>
        </is>
      </c>
      <c r="Y14" t="n">
        <v>0</v>
      </c>
      <c r="Z14" t="inlineStr"/>
      <c r="AA14" t="inlineStr">
        <is>
          <t>https://nvd.nist.gov/vuln/detail/CVE-2026-2853</t>
        </is>
      </c>
    </row>
    <row r="15">
      <c r="A15" t="inlineStr">
        <is>
          <t>CVE</t>
        </is>
      </c>
      <c r="B15" t="inlineStr">
        <is>
          <t>CVE-2026-2854</t>
        </is>
      </c>
      <c r="C15"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5" t="n">
        <v>8.800000000000001</v>
      </c>
      <c r="E15" t="inlineStr">
        <is>
          <t>HIGH</t>
        </is>
      </c>
      <c r="F15" t="n">
        <v>2</v>
      </c>
      <c r="G15" t="n">
        <v>3</v>
      </c>
      <c r="H15" t="inlineStr">
        <is>
          <t>HIGH</t>
        </is>
      </c>
      <c r="I15" t="n">
        <v>14.8</v>
      </c>
      <c r="J15" t="inlineStr">
        <is>
          <t>NO</t>
        </is>
      </c>
      <c r="K15" t="inlineStr">
        <is>
          <t>2026-02-27 20:47</t>
        </is>
      </c>
      <c r="L15" t="inlineStr">
        <is>
          <t>CHECK_VENDOR</t>
        </is>
      </c>
      <c r="M15" t="inlineStr">
        <is>
          <t>dlink dwr-m960_firmware 1.01.07 | dlink dwr-m960 b1</t>
        </is>
      </c>
      <c r="N15" t="inlineStr">
        <is>
          <t>P3</t>
        </is>
      </c>
      <c r="O15" t="inlineStr">
        <is>
          <t>CVE - IP enrichment n/a</t>
        </is>
      </c>
      <c r="P15" t="n">
        <v>0.0003</v>
      </c>
      <c r="Q15" t="n">
        <v>0.09379999999999999</v>
      </c>
      <c r="R15" t="inlineStr">
        <is>
          <t>T1203:Exploitation for Client Execution</t>
        </is>
      </c>
      <c r="S15" t="n">
        <v>1</v>
      </c>
      <c r="T15" t="inlineStr">
        <is>
          <t>LOW (40%)</t>
        </is>
      </c>
      <c r="U15" t="inlineStr">
        <is>
          <t>UNLIKELY</t>
        </is>
      </c>
      <c r="V15" t="inlineStr">
        <is>
          <t>CHECK_VENDOR</t>
        </is>
      </c>
      <c r="W15" t="inlineStr">
        <is>
          <t>https://nvd.nist.gov/vuln/detail/CVE-2026-2854</t>
        </is>
      </c>
      <c r="X15" t="inlineStr">
        <is>
          <t>NONE</t>
        </is>
      </c>
      <c r="Y15" t="n">
        <v>0</v>
      </c>
      <c r="Z15" t="inlineStr"/>
      <c r="AA15" t="inlineStr">
        <is>
          <t>https://nvd.nist.gov/vuln/detail/CVE-2026-2854</t>
        </is>
      </c>
    </row>
    <row r="16">
      <c r="A16" t="inlineStr">
        <is>
          <t>CVE</t>
        </is>
      </c>
      <c r="B16" t="inlineStr">
        <is>
          <t>CVE-2026-2855</t>
        </is>
      </c>
      <c r="C16"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6" t="n">
        <v>8.800000000000001</v>
      </c>
      <c r="E16" t="inlineStr">
        <is>
          <t>HIGH</t>
        </is>
      </c>
      <c r="F16" t="n">
        <v>2</v>
      </c>
      <c r="G16" t="n">
        <v>3</v>
      </c>
      <c r="H16" t="inlineStr">
        <is>
          <t>HIGH</t>
        </is>
      </c>
      <c r="I16" t="n">
        <v>14.8</v>
      </c>
      <c r="J16" t="inlineStr">
        <is>
          <t>NO</t>
        </is>
      </c>
      <c r="K16" t="inlineStr">
        <is>
          <t>2026-02-27 20:47</t>
        </is>
      </c>
      <c r="L16" t="inlineStr">
        <is>
          <t>CHECK_VENDOR</t>
        </is>
      </c>
      <c r="M16" t="inlineStr">
        <is>
          <t>dlink dwr-m960_firmware 1.01.07 | dlink dwr-m960 b1</t>
        </is>
      </c>
      <c r="N16" t="inlineStr">
        <is>
          <t>P3</t>
        </is>
      </c>
      <c r="O16" t="inlineStr">
        <is>
          <t>CVE - IP enrichment n/a</t>
        </is>
      </c>
      <c r="P16" t="n">
        <v>0.0003</v>
      </c>
      <c r="Q16" t="n">
        <v>0.09379999999999999</v>
      </c>
      <c r="R16" t="inlineStr">
        <is>
          <t>T1203:Exploitation for Client Execution</t>
        </is>
      </c>
      <c r="S16" t="n">
        <v>1</v>
      </c>
      <c r="T16" t="inlineStr">
        <is>
          <t>LOW (40%)</t>
        </is>
      </c>
      <c r="U16" t="inlineStr">
        <is>
          <t>UNLIKELY</t>
        </is>
      </c>
      <c r="V16" t="inlineStr">
        <is>
          <t>CHECK_VENDOR</t>
        </is>
      </c>
      <c r="W16" t="inlineStr">
        <is>
          <t>https://nvd.nist.gov/vuln/detail/CVE-2026-2855</t>
        </is>
      </c>
      <c r="X16" t="inlineStr">
        <is>
          <t>NONE</t>
        </is>
      </c>
      <c r="Y16" t="n">
        <v>0</v>
      </c>
      <c r="Z16" t="inlineStr"/>
      <c r="AA16" t="inlineStr">
        <is>
          <t>https://nvd.nist.gov/vuln/detail/CVE-2026-2855</t>
        </is>
      </c>
    </row>
    <row r="17">
      <c r="A17" t="inlineStr">
        <is>
          <t>CVE</t>
        </is>
      </c>
      <c r="B17" t="inlineStr">
        <is>
          <t>CVE-2026-24892</t>
        </is>
      </c>
      <c r="C17"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7" t="n">
        <v>7.5</v>
      </c>
      <c r="E17" t="inlineStr">
        <is>
          <t>HIGH</t>
        </is>
      </c>
      <c r="F17" t="n">
        <v>2</v>
      </c>
      <c r="G17" t="n">
        <v>3</v>
      </c>
      <c r="H17" t="inlineStr">
        <is>
          <t>HIGH</t>
        </is>
      </c>
      <c r="I17" t="n">
        <v>13.5</v>
      </c>
      <c r="J17" t="inlineStr">
        <is>
          <t>NO</t>
        </is>
      </c>
      <c r="K17" t="inlineStr">
        <is>
          <t>2026-02-27 20:47</t>
        </is>
      </c>
      <c r="L17" t="inlineStr">
        <is>
          <t>CHECK_VENDOR</t>
        </is>
      </c>
      <c r="M17" t="inlineStr">
        <is>
          <t>See CVE details</t>
        </is>
      </c>
      <c r="N17" t="inlineStr">
        <is>
          <t>P3</t>
        </is>
      </c>
      <c r="O17" t="inlineStr">
        <is>
          <t>CVE - IP enrichment n/a</t>
        </is>
      </c>
      <c r="P17" t="n">
        <v>0.0035</v>
      </c>
      <c r="Q17" t="n">
        <v>0.5718</v>
      </c>
      <c r="R17" t="inlineStr">
        <is>
          <t>T1059:Command and Scripting Interpreter | T1190:Exploit Public-Facing Application | T1210:Exploitation of Remote Services</t>
        </is>
      </c>
      <c r="S17" t="n">
        <v>1</v>
      </c>
      <c r="T17" t="inlineStr">
        <is>
          <t>LOW (40%)</t>
        </is>
      </c>
      <c r="U17" t="inlineStr">
        <is>
          <t>UNLIKELY</t>
        </is>
      </c>
      <c r="V17" t="inlineStr">
        <is>
          <t>CHECK_VENDOR</t>
        </is>
      </c>
      <c r="W17" t="inlineStr">
        <is>
          <t>https://nvd.nist.gov/vuln/detail/CVE-2026-24892</t>
        </is>
      </c>
      <c r="X17" t="inlineStr">
        <is>
          <t>NONE</t>
        </is>
      </c>
      <c r="Y17" t="n">
        <v>0</v>
      </c>
      <c r="Z17" t="inlineStr"/>
      <c r="AA17" t="inlineStr">
        <is>
          <t>https://nvd.nist.gov/vuln/detail/CVE-2026-24892</t>
        </is>
      </c>
    </row>
    <row r="18">
      <c r="A18" t="inlineStr">
        <is>
          <t>CVE</t>
        </is>
      </c>
      <c r="B18" t="inlineStr">
        <is>
          <t>CVE-2026-25896</t>
        </is>
      </c>
      <c r="C18"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8" t="n">
        <v>9.300000000000001</v>
      </c>
      <c r="E18" t="inlineStr">
        <is>
          <t>CRITICAL</t>
        </is>
      </c>
      <c r="F18" t="n">
        <v>2</v>
      </c>
      <c r="G18" t="n">
        <v>3</v>
      </c>
      <c r="H18" t="inlineStr">
        <is>
          <t>HIGH</t>
        </is>
      </c>
      <c r="I18" t="n">
        <v>15.3</v>
      </c>
      <c r="J18" t="inlineStr">
        <is>
          <t>NO</t>
        </is>
      </c>
      <c r="K18" t="inlineStr">
        <is>
          <t>2026-02-27 20:47</t>
        </is>
      </c>
      <c r="L18" t="inlineStr">
        <is>
          <t>CHECK_VENDOR</t>
        </is>
      </c>
      <c r="M18" t="inlineStr">
        <is>
          <t>See CVE details</t>
        </is>
      </c>
      <c r="N18" t="inlineStr">
        <is>
          <t>P3</t>
        </is>
      </c>
      <c r="O18" t="inlineStr">
        <is>
          <t>CVE - IP enrichment n/a</t>
        </is>
      </c>
      <c r="P18" t="n">
        <v>0.0004</v>
      </c>
      <c r="Q18" t="n">
        <v>0.1125</v>
      </c>
      <c r="R18" t="inlineStr">
        <is>
          <t>T1189:Drive-by Compromise</t>
        </is>
      </c>
      <c r="S18" t="n">
        <v>1</v>
      </c>
      <c r="T18" t="inlineStr">
        <is>
          <t>LOW (40%)</t>
        </is>
      </c>
      <c r="U18" t="inlineStr">
        <is>
          <t>UNLIKELY</t>
        </is>
      </c>
      <c r="V18" t="inlineStr">
        <is>
          <t>CHECK_VENDOR</t>
        </is>
      </c>
      <c r="W18" t="inlineStr">
        <is>
          <t>https://nvd.nist.gov/vuln/detail/CVE-2026-25896</t>
        </is>
      </c>
      <c r="X18" t="inlineStr">
        <is>
          <t>NONE</t>
        </is>
      </c>
      <c r="Y18" t="n">
        <v>0</v>
      </c>
      <c r="Z18" t="inlineStr"/>
      <c r="AA18" t="inlineStr">
        <is>
          <t>https://nvd.nist.gov/vuln/detail/CVE-2026-25896</t>
        </is>
      </c>
    </row>
    <row r="19">
      <c r="A19" t="inlineStr">
        <is>
          <t>CVE</t>
        </is>
      </c>
      <c r="B19" t="inlineStr">
        <is>
          <t>CVE-2026-27020</t>
        </is>
      </c>
      <c r="C19" t="inlineStr">
        <is>
          <t>Photobooth prior to 1.0.1 has a cross-site scripting (XSS) vulnerability in user input fields. Malicious users could inject scripts through unvalidated form inputs. This vulnerability is fixed in 1.0.1.</t>
        </is>
      </c>
      <c r="D19" t="n">
        <v>5</v>
      </c>
      <c r="E19" t="inlineStr">
        <is>
          <t>MEDIUM</t>
        </is>
      </c>
      <c r="F19" t="n">
        <v>2</v>
      </c>
      <c r="G19" t="n">
        <v>2</v>
      </c>
      <c r="H19" t="inlineStr">
        <is>
          <t>MEDIUM</t>
        </is>
      </c>
      <c r="I19" t="n">
        <v>9</v>
      </c>
      <c r="J19" t="inlineStr">
        <is>
          <t>NO</t>
        </is>
      </c>
      <c r="K19" t="inlineStr">
        <is>
          <t>2026-02-27 20:47</t>
        </is>
      </c>
      <c r="L19" t="inlineStr">
        <is>
          <t>CHECK_VENDOR</t>
        </is>
      </c>
      <c r="M19" t="inlineStr">
        <is>
          <t>See CVE details</t>
        </is>
      </c>
      <c r="N19" t="inlineStr">
        <is>
          <t>P4</t>
        </is>
      </c>
      <c r="O19" t="inlineStr">
        <is>
          <t>CVE - IP enrichment n/a</t>
        </is>
      </c>
      <c r="P19" t="n">
        <v>0.0005999999999999999</v>
      </c>
      <c r="Q19" t="n">
        <v>0.1926</v>
      </c>
      <c r="R19" t="inlineStr">
        <is>
          <t>T1189:Drive-by Compromise</t>
        </is>
      </c>
      <c r="S19" t="n">
        <v>1</v>
      </c>
      <c r="T19" t="inlineStr">
        <is>
          <t>LOW (40%)</t>
        </is>
      </c>
      <c r="U19" t="inlineStr">
        <is>
          <t>UNLIKELY</t>
        </is>
      </c>
      <c r="V19" t="inlineStr">
        <is>
          <t>CHECK_VENDOR</t>
        </is>
      </c>
      <c r="W19" t="inlineStr">
        <is>
          <t>https://nvd.nist.gov/vuln/detail/CVE-2026-27020</t>
        </is>
      </c>
      <c r="X19" t="inlineStr">
        <is>
          <t>NONE</t>
        </is>
      </c>
      <c r="Y19" t="n">
        <v>0</v>
      </c>
      <c r="Z19" t="inlineStr"/>
      <c r="AA19" t="inlineStr">
        <is>
          <t>https://nvd.nist.gov/vuln/detail/CVE-2026-27020</t>
        </is>
      </c>
    </row>
    <row r="20">
      <c r="A20" t="inlineStr">
        <is>
          <t>CVE</t>
        </is>
      </c>
      <c r="B20" t="inlineStr">
        <is>
          <t>CVE-2026-27190</t>
        </is>
      </c>
      <c r="C20" t="inlineStr">
        <is>
          <t>Deno is a JavaScript, TypeScript, and WebAssembly runtime. Prior to 2.6.8, a command injection vulnerability exists in Deno's node:child_process implementation. This vulnerability is fixed in 2.6.8.</t>
        </is>
      </c>
      <c r="D20" t="n">
        <v>8.1</v>
      </c>
      <c r="E20" t="inlineStr">
        <is>
          <t>HIGH</t>
        </is>
      </c>
      <c r="F20" t="n">
        <v>2</v>
      </c>
      <c r="G20" t="n">
        <v>3</v>
      </c>
      <c r="H20" t="inlineStr">
        <is>
          <t>HIGH</t>
        </is>
      </c>
      <c r="I20" t="n">
        <v>14.1</v>
      </c>
      <c r="J20" t="inlineStr">
        <is>
          <t>NO</t>
        </is>
      </c>
      <c r="K20" t="inlineStr">
        <is>
          <t>2026-02-27 20:47</t>
        </is>
      </c>
      <c r="L20" t="inlineStr">
        <is>
          <t>CHECK_VENDOR</t>
        </is>
      </c>
      <c r="M20" t="inlineStr">
        <is>
          <t>See CVE details</t>
        </is>
      </c>
      <c r="N20" t="inlineStr">
        <is>
          <t>P3</t>
        </is>
      </c>
      <c r="O20" t="inlineStr">
        <is>
          <t>CVE - IP enrichment n/a</t>
        </is>
      </c>
      <c r="P20" t="n">
        <v>0.0023</v>
      </c>
      <c r="Q20" t="n">
        <v>0.4533</v>
      </c>
      <c r="R20" t="inlineStr">
        <is>
          <t>T1059:Command and Scripting Interpreter</t>
        </is>
      </c>
      <c r="S20" t="n">
        <v>1</v>
      </c>
      <c r="T20" t="inlineStr">
        <is>
          <t>LOW (40%)</t>
        </is>
      </c>
      <c r="U20" t="inlineStr">
        <is>
          <t>UNLIKELY</t>
        </is>
      </c>
      <c r="V20" t="inlineStr">
        <is>
          <t>CHECK_VENDOR</t>
        </is>
      </c>
      <c r="W20" t="inlineStr">
        <is>
          <t>https://nvd.nist.gov/vuln/detail/CVE-2026-27190</t>
        </is>
      </c>
      <c r="X20" t="inlineStr">
        <is>
          <t>NONE</t>
        </is>
      </c>
      <c r="Y20" t="n">
        <v>0</v>
      </c>
      <c r="Z20" t="inlineStr"/>
      <c r="AA20" t="inlineStr">
        <is>
          <t>https://nvd.nist.gov/vuln/detail/CVE-2026-27190</t>
        </is>
      </c>
    </row>
    <row r="21">
      <c r="A21" t="inlineStr">
        <is>
          <t>CVE</t>
        </is>
      </c>
      <c r="B21" t="inlineStr">
        <is>
          <t>CVE-2026-2856</t>
        </is>
      </c>
      <c r="C21"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21" t="n">
        <v>8.800000000000001</v>
      </c>
      <c r="E21" t="inlineStr">
        <is>
          <t>HIGH</t>
        </is>
      </c>
      <c r="F21" t="n">
        <v>2</v>
      </c>
      <c r="G21" t="n">
        <v>3</v>
      </c>
      <c r="H21" t="inlineStr">
        <is>
          <t>HIGH</t>
        </is>
      </c>
      <c r="I21" t="n">
        <v>14.8</v>
      </c>
      <c r="J21" t="inlineStr">
        <is>
          <t>NO</t>
        </is>
      </c>
      <c r="K21" t="inlineStr">
        <is>
          <t>2026-02-27 20:47</t>
        </is>
      </c>
      <c r="L21" t="inlineStr">
        <is>
          <t>CHECK_VENDOR</t>
        </is>
      </c>
      <c r="M21" t="inlineStr">
        <is>
          <t>dlink dwr-m960_firmware 1.01.07 | dlink dwr-m960 b1</t>
        </is>
      </c>
      <c r="N21" t="inlineStr">
        <is>
          <t>P3</t>
        </is>
      </c>
      <c r="O21" t="inlineStr">
        <is>
          <t>CVE - IP enrichment n/a</t>
        </is>
      </c>
      <c r="P21" t="n">
        <v>0.0003</v>
      </c>
      <c r="Q21" t="n">
        <v>0.09379999999999999</v>
      </c>
      <c r="R21" t="inlineStr">
        <is>
          <t>T1203:Exploitation for Client Execution</t>
        </is>
      </c>
      <c r="S21" t="n">
        <v>1</v>
      </c>
      <c r="T21" t="inlineStr">
        <is>
          <t>LOW (40%)</t>
        </is>
      </c>
      <c r="U21" t="inlineStr">
        <is>
          <t>UNLIKELY</t>
        </is>
      </c>
      <c r="V21" t="inlineStr">
        <is>
          <t>CHECK_VENDOR</t>
        </is>
      </c>
      <c r="W21" t="inlineStr">
        <is>
          <t>https://nvd.nist.gov/vuln/detail/CVE-2026-2856</t>
        </is>
      </c>
      <c r="X21" t="inlineStr">
        <is>
          <t>NONE</t>
        </is>
      </c>
      <c r="Y21" t="n">
        <v>0</v>
      </c>
      <c r="Z21" t="inlineStr"/>
      <c r="AA21" t="inlineStr">
        <is>
          <t>https://nvd.nist.gov/vuln/detail/CVE-2026-2856</t>
        </is>
      </c>
    </row>
    <row r="22">
      <c r="A22" t="inlineStr">
        <is>
          <t>CVE</t>
        </is>
      </c>
      <c r="B22" t="inlineStr">
        <is>
          <t>CVE-2026-2857</t>
        </is>
      </c>
      <c r="C22"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22" t="n">
        <v>8.800000000000001</v>
      </c>
      <c r="E22" t="inlineStr">
        <is>
          <t>HIGH</t>
        </is>
      </c>
      <c r="F22" t="n">
        <v>2</v>
      </c>
      <c r="G22" t="n">
        <v>3</v>
      </c>
      <c r="H22" t="inlineStr">
        <is>
          <t>HIGH</t>
        </is>
      </c>
      <c r="I22" t="n">
        <v>14.8</v>
      </c>
      <c r="J22" t="inlineStr">
        <is>
          <t>NO</t>
        </is>
      </c>
      <c r="K22" t="inlineStr">
        <is>
          <t>2026-02-27 20:47</t>
        </is>
      </c>
      <c r="L22" t="inlineStr">
        <is>
          <t>CHECK_VENDOR</t>
        </is>
      </c>
      <c r="M22" t="inlineStr">
        <is>
          <t>dlink dwr-m960_firmware 1.01.07 | dlink dwr-m960 b1</t>
        </is>
      </c>
      <c r="N22" t="inlineStr">
        <is>
          <t>P3</t>
        </is>
      </c>
      <c r="O22" t="inlineStr">
        <is>
          <t>CVE - IP enrichment n/a</t>
        </is>
      </c>
      <c r="P22" t="n">
        <v>0.0003</v>
      </c>
      <c r="Q22" t="n">
        <v>0.09379999999999999</v>
      </c>
      <c r="R22" t="inlineStr">
        <is>
          <t>T1203:Exploitation for Client Execution</t>
        </is>
      </c>
      <c r="S22" t="n">
        <v>1</v>
      </c>
      <c r="T22" t="inlineStr">
        <is>
          <t>LOW (40%)</t>
        </is>
      </c>
      <c r="U22" t="inlineStr">
        <is>
          <t>UNLIKELY</t>
        </is>
      </c>
      <c r="V22" t="inlineStr">
        <is>
          <t>CHECK_VENDOR</t>
        </is>
      </c>
      <c r="W22" t="inlineStr">
        <is>
          <t>https://nvd.nist.gov/vuln/detail/CVE-2026-2857</t>
        </is>
      </c>
      <c r="X22" t="inlineStr">
        <is>
          <t>NONE</t>
        </is>
      </c>
      <c r="Y22" t="n">
        <v>0</v>
      </c>
      <c r="Z22" t="inlineStr"/>
      <c r="AA22" t="inlineStr">
        <is>
          <t>https://nvd.nist.gov/vuln/detail/CVE-2026-2857</t>
        </is>
      </c>
    </row>
    <row r="23">
      <c r="A23" t="inlineStr">
        <is>
          <t>CVE</t>
        </is>
      </c>
      <c r="B23" t="inlineStr">
        <is>
          <t>CVE-2026-0777</t>
        </is>
      </c>
      <c r="C23"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23" t="n">
        <v>7.8</v>
      </c>
      <c r="E23" t="inlineStr">
        <is>
          <t>HIGH</t>
        </is>
      </c>
      <c r="F23" t="n">
        <v>2</v>
      </c>
      <c r="G23" t="n">
        <v>3</v>
      </c>
      <c r="H23" t="inlineStr">
        <is>
          <t>HIGH</t>
        </is>
      </c>
      <c r="I23" t="n">
        <v>13.8</v>
      </c>
      <c r="J23" t="inlineStr">
        <is>
          <t>NO</t>
        </is>
      </c>
      <c r="K23" t="inlineStr">
        <is>
          <t>2026-02-27 20:47</t>
        </is>
      </c>
      <c r="L23" t="inlineStr">
        <is>
          <t>CHECK_VENDOR</t>
        </is>
      </c>
      <c r="M23" t="inlineStr">
        <is>
          <t>See CVE details</t>
        </is>
      </c>
      <c r="N23" t="inlineStr">
        <is>
          <t>P1</t>
        </is>
      </c>
      <c r="O23" t="inlineStr">
        <is>
          <t>CVE - IP enrichment n/a</t>
        </is>
      </c>
      <c r="P23" t="n">
        <v>0.0007</v>
      </c>
      <c r="Q23" t="n">
        <v>0.2042</v>
      </c>
      <c r="R23" t="inlineStr">
        <is>
          <t>T1190:Exploit Public-Facing Application | T1210:Exploitation of Remote Services | T1203:Exploitation for Client Execution</t>
        </is>
      </c>
      <c r="S23" t="n">
        <v>2</v>
      </c>
      <c r="T23" t="inlineStr">
        <is>
          <t>HIGH (72%)</t>
        </is>
      </c>
      <c r="U23" t="inlineStr">
        <is>
          <t>HIGH</t>
        </is>
      </c>
      <c r="V23" t="inlineStr">
        <is>
          <t>CHECK_VENDOR</t>
        </is>
      </c>
      <c r="W23" t="inlineStr">
        <is>
          <t>https://nvd.nist.gov/vuln/detail/CVE-2026-0777</t>
        </is>
      </c>
      <c r="X23" t="inlineStr">
        <is>
          <t>http://www.zerodayinitiative.com/advisories/ZDI-26-123/</t>
        </is>
      </c>
      <c r="Y23" t="n">
        <v>0</v>
      </c>
      <c r="Z23" t="inlineStr"/>
      <c r="AA23" t="inlineStr">
        <is>
          <t>https://nvd.nist.gov/vuln/detail/CVE-2026-0777</t>
        </is>
      </c>
    </row>
    <row r="24">
      <c r="A24" t="inlineStr">
        <is>
          <t>CVE</t>
        </is>
      </c>
      <c r="B24" t="inlineStr">
        <is>
          <t>CVE-2026-0797</t>
        </is>
      </c>
      <c r="C24"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24" t="n">
        <v>7.8</v>
      </c>
      <c r="E24" t="inlineStr">
        <is>
          <t>HIGH</t>
        </is>
      </c>
      <c r="F24" t="n">
        <v>2</v>
      </c>
      <c r="G24" t="n">
        <v>3</v>
      </c>
      <c r="H24" t="inlineStr">
        <is>
          <t>HIGH</t>
        </is>
      </c>
      <c r="I24" t="n">
        <v>13.8</v>
      </c>
      <c r="J24" t="inlineStr">
        <is>
          <t>NO</t>
        </is>
      </c>
      <c r="K24" t="inlineStr">
        <is>
          <t>2026-02-27 20:47</t>
        </is>
      </c>
      <c r="L24" t="inlineStr">
        <is>
          <t>YES</t>
        </is>
      </c>
      <c r="M24" t="inlineStr">
        <is>
          <t>gimp gimp 3.2.0</t>
        </is>
      </c>
      <c r="N24" t="inlineStr">
        <is>
          <t>P1</t>
        </is>
      </c>
      <c r="O24" t="inlineStr">
        <is>
          <t>CVE - IP enrichment n/a</t>
        </is>
      </c>
      <c r="P24" t="n">
        <v>0.0005999999999999999</v>
      </c>
      <c r="Q24" t="n">
        <v>0.1936</v>
      </c>
      <c r="R24" t="inlineStr">
        <is>
          <t>T1203:Exploitation for Client Execution | T1190:Exploit Public-Facing Application | T1210:Exploitation of Remote Services</t>
        </is>
      </c>
      <c r="S24" t="n">
        <v>2</v>
      </c>
      <c r="T24" t="inlineStr">
        <is>
          <t>HIGH (72%)</t>
        </is>
      </c>
      <c r="U24" t="inlineStr">
        <is>
          <t>HIGH</t>
        </is>
      </c>
      <c r="V24" t="inlineStr">
        <is>
          <t>PATCH_AVAILABLE</t>
        </is>
      </c>
      <c r="W24" t="inlineStr">
        <is>
          <t>https://nvd.nist.gov/vuln/detail/CVE-2026-0797</t>
        </is>
      </c>
      <c r="X24" t="inlineStr">
        <is>
          <t>http://www.zerodayinitiative.com/advisories/ZDI-26-123/</t>
        </is>
      </c>
      <c r="Y24" t="n">
        <v>0</v>
      </c>
      <c r="Z24" t="inlineStr"/>
      <c r="AA24" t="inlineStr">
        <is>
          <t>https://nvd.nist.gov/vuln/detail/CVE-2026-0797</t>
        </is>
      </c>
    </row>
    <row r="25">
      <c r="A25" t="inlineStr">
        <is>
          <t>CVE</t>
        </is>
      </c>
      <c r="B25" t="inlineStr">
        <is>
          <t>CVE-2026-27022</t>
        </is>
      </c>
      <c r="C25"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25" t="n">
        <v>6.5</v>
      </c>
      <c r="E25" t="inlineStr">
        <is>
          <t>MEDIUM</t>
        </is>
      </c>
      <c r="F25" t="n">
        <v>2</v>
      </c>
      <c r="G25" t="n">
        <v>2</v>
      </c>
      <c r="H25" t="inlineStr">
        <is>
          <t>MEDIUM</t>
        </is>
      </c>
      <c r="I25" t="n">
        <v>10.5</v>
      </c>
      <c r="J25" t="inlineStr">
        <is>
          <t>NO</t>
        </is>
      </c>
      <c r="K25" t="inlineStr">
        <is>
          <t>2026-02-27 20:47</t>
        </is>
      </c>
      <c r="L25" t="inlineStr">
        <is>
          <t>CHECK_VENDOR</t>
        </is>
      </c>
      <c r="M25" t="inlineStr">
        <is>
          <t>See CVE details</t>
        </is>
      </c>
      <c r="N25" t="inlineStr">
        <is>
          <t>P4</t>
        </is>
      </c>
      <c r="O25" t="inlineStr">
        <is>
          <t>CVE - IP enrichment n/a</t>
        </is>
      </c>
      <c r="P25" t="n">
        <v>0.0003</v>
      </c>
      <c r="Q25" t="n">
        <v>0.1019</v>
      </c>
      <c r="R25" t="inlineStr">
        <is>
          <t>T1190:Exploit Public-Facing Application</t>
        </is>
      </c>
      <c r="S25" t="n">
        <v>1</v>
      </c>
      <c r="T25" t="inlineStr">
        <is>
          <t>LOW (40%)</t>
        </is>
      </c>
      <c r="U25" t="inlineStr">
        <is>
          <t>UNLIKELY</t>
        </is>
      </c>
      <c r="V25" t="inlineStr">
        <is>
          <t>CHECK_VENDOR</t>
        </is>
      </c>
      <c r="W25" t="inlineStr">
        <is>
          <t>https://nvd.nist.gov/vuln/detail/CVE-2026-27022</t>
        </is>
      </c>
      <c r="X25" t="inlineStr">
        <is>
          <t>NONE</t>
        </is>
      </c>
      <c r="Y25" t="n">
        <v>0</v>
      </c>
      <c r="Z25" t="inlineStr"/>
      <c r="AA25" t="inlineStr">
        <is>
          <t>https://nvd.nist.gov/vuln/detail/CVE-2026-27022</t>
        </is>
      </c>
    </row>
    <row r="26">
      <c r="A26" t="inlineStr">
        <is>
          <t>CVE</t>
        </is>
      </c>
      <c r="B26" t="inlineStr">
        <is>
          <t>CVE-2026-27024</t>
        </is>
      </c>
      <c r="C26"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26" t="n">
        <v>5.5</v>
      </c>
      <c r="E26" t="inlineStr">
        <is>
          <t>MEDIUM</t>
        </is>
      </c>
      <c r="F26" t="n">
        <v>2</v>
      </c>
      <c r="G26" t="n">
        <v>2</v>
      </c>
      <c r="H26" t="inlineStr">
        <is>
          <t>MEDIUM</t>
        </is>
      </c>
      <c r="I26" t="n">
        <v>9.5</v>
      </c>
      <c r="J26" t="inlineStr">
        <is>
          <t>NO</t>
        </is>
      </c>
      <c r="K26" t="inlineStr">
        <is>
          <t>2026-02-27 20:47</t>
        </is>
      </c>
      <c r="L26" t="inlineStr">
        <is>
          <t>YES</t>
        </is>
      </c>
      <c r="M26" t="inlineStr">
        <is>
          <t>pypdf_project pypdf *</t>
        </is>
      </c>
      <c r="N26" t="inlineStr">
        <is>
          <t>P4</t>
        </is>
      </c>
      <c r="O26" t="inlineStr">
        <is>
          <t>CVE - IP enrichment n/a</t>
        </is>
      </c>
      <c r="P26" t="n">
        <v>0.0001</v>
      </c>
      <c r="Q26" t="n">
        <v>0.0169</v>
      </c>
      <c r="R26" t="inlineStr">
        <is>
          <t>T1190:Exploit Public-Facing Application</t>
        </is>
      </c>
      <c r="S26" t="n">
        <v>1</v>
      </c>
      <c r="T26" t="inlineStr">
        <is>
          <t>LOW (40%)</t>
        </is>
      </c>
      <c r="U26" t="inlineStr">
        <is>
          <t>UNLIKELY</t>
        </is>
      </c>
      <c r="V26" t="inlineStr">
        <is>
          <t>PATCH_AVAILABLE</t>
        </is>
      </c>
      <c r="W26" t="inlineStr">
        <is>
          <t>https://nvd.nist.gov/vuln/detail/CVE-2026-27024</t>
        </is>
      </c>
      <c r="X26" t="inlineStr">
        <is>
          <t>NONE</t>
        </is>
      </c>
      <c r="Y26" t="n">
        <v>0</v>
      </c>
      <c r="Z26" t="inlineStr"/>
      <c r="AA26" t="inlineStr">
        <is>
          <t>https://nvd.nist.gov/vuln/detail/CVE-2026-27024</t>
        </is>
      </c>
    </row>
    <row r="27">
      <c r="A27" t="inlineStr">
        <is>
          <t>CVE</t>
        </is>
      </c>
      <c r="B27" t="inlineStr">
        <is>
          <t>CVE-2026-27025</t>
        </is>
      </c>
      <c r="C27"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27" t="n">
        <v>5.5</v>
      </c>
      <c r="E27" t="inlineStr">
        <is>
          <t>MEDIUM</t>
        </is>
      </c>
      <c r="F27" t="n">
        <v>2</v>
      </c>
      <c r="G27" t="n">
        <v>2</v>
      </c>
      <c r="H27" t="inlineStr">
        <is>
          <t>MEDIUM</t>
        </is>
      </c>
      <c r="I27" t="n">
        <v>9.5</v>
      </c>
      <c r="J27" t="inlineStr">
        <is>
          <t>NO</t>
        </is>
      </c>
      <c r="K27" t="inlineStr">
        <is>
          <t>2026-02-27 20:47</t>
        </is>
      </c>
      <c r="L27" t="inlineStr">
        <is>
          <t>YES</t>
        </is>
      </c>
      <c r="M27" t="inlineStr">
        <is>
          <t>pypdf_project pypdf *</t>
        </is>
      </c>
      <c r="N27" t="inlineStr">
        <is>
          <t>P4</t>
        </is>
      </c>
      <c r="O27" t="inlineStr">
        <is>
          <t>CVE - IP enrichment n/a</t>
        </is>
      </c>
      <c r="P27" t="n">
        <v>0.0001</v>
      </c>
      <c r="Q27" t="n">
        <v>0.0169</v>
      </c>
      <c r="R27" t="inlineStr">
        <is>
          <t>T1190:Exploit Public-Facing Application</t>
        </is>
      </c>
      <c r="S27" t="n">
        <v>1</v>
      </c>
      <c r="T27" t="inlineStr">
        <is>
          <t>LOW (40%)</t>
        </is>
      </c>
      <c r="U27" t="inlineStr">
        <is>
          <t>UNLIKELY</t>
        </is>
      </c>
      <c r="V27" t="inlineStr">
        <is>
          <t>PATCH_AVAILABLE</t>
        </is>
      </c>
      <c r="W27" t="inlineStr">
        <is>
          <t>https://nvd.nist.gov/vuln/detail/CVE-2026-27025</t>
        </is>
      </c>
      <c r="X27" t="inlineStr">
        <is>
          <t>NONE</t>
        </is>
      </c>
      <c r="Y27" t="n">
        <v>0</v>
      </c>
      <c r="Z27" t="inlineStr"/>
      <c r="AA27" t="inlineStr">
        <is>
          <t>https://nvd.nist.gov/vuln/detail/CVE-2026-27025</t>
        </is>
      </c>
    </row>
    <row r="28">
      <c r="A28" t="inlineStr">
        <is>
          <t>CVE</t>
        </is>
      </c>
      <c r="B28" t="inlineStr">
        <is>
          <t>CVE-2026-27026</t>
        </is>
      </c>
      <c r="C28"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28" t="n">
        <v>5.5</v>
      </c>
      <c r="E28" t="inlineStr">
        <is>
          <t>MEDIUM</t>
        </is>
      </c>
      <c r="F28" t="n">
        <v>2</v>
      </c>
      <c r="G28" t="n">
        <v>2</v>
      </c>
      <c r="H28" t="inlineStr">
        <is>
          <t>MEDIUM</t>
        </is>
      </c>
      <c r="I28" t="n">
        <v>9.5</v>
      </c>
      <c r="J28" t="inlineStr">
        <is>
          <t>NO</t>
        </is>
      </c>
      <c r="K28" t="inlineStr">
        <is>
          <t>2026-02-27 20:47</t>
        </is>
      </c>
      <c r="L28" t="inlineStr">
        <is>
          <t>YES</t>
        </is>
      </c>
      <c r="M28" t="inlineStr">
        <is>
          <t>pypdf_project pypdf *</t>
        </is>
      </c>
      <c r="N28" t="inlineStr">
        <is>
          <t>P4</t>
        </is>
      </c>
      <c r="O28" t="inlineStr">
        <is>
          <t>CVE - IP enrichment n/a</t>
        </is>
      </c>
      <c r="P28" t="n">
        <v>0.0001</v>
      </c>
      <c r="Q28" t="n">
        <v>0.0169</v>
      </c>
      <c r="R28" t="inlineStr">
        <is>
          <t>T1190:Exploit Public-Facing Application</t>
        </is>
      </c>
      <c r="S28" t="n">
        <v>1</v>
      </c>
      <c r="T28" t="inlineStr">
        <is>
          <t>LOW (40%)</t>
        </is>
      </c>
      <c r="U28" t="inlineStr">
        <is>
          <t>UNLIKELY</t>
        </is>
      </c>
      <c r="V28" t="inlineStr">
        <is>
          <t>PATCH_AVAILABLE</t>
        </is>
      </c>
      <c r="W28" t="inlineStr">
        <is>
          <t>https://nvd.nist.gov/vuln/detail/CVE-2026-27026</t>
        </is>
      </c>
      <c r="X28" t="inlineStr">
        <is>
          <t>NONE</t>
        </is>
      </c>
      <c r="Y28" t="n">
        <v>0</v>
      </c>
      <c r="Z28" t="inlineStr"/>
      <c r="AA28" t="inlineStr">
        <is>
          <t>https://nvd.nist.gov/vuln/detail/CVE-2026-27026</t>
        </is>
      </c>
    </row>
    <row r="29">
      <c r="A29" t="inlineStr">
        <is>
          <t>CVE</t>
        </is>
      </c>
      <c r="B29" t="inlineStr">
        <is>
          <t>CVE-2026-27111</t>
        </is>
      </c>
      <c r="C29"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29" t="n">
        <v>5</v>
      </c>
      <c r="E29" t="inlineStr">
        <is>
          <t>MEDIUM</t>
        </is>
      </c>
      <c r="F29" t="n">
        <v>2</v>
      </c>
      <c r="G29" t="n">
        <v>2</v>
      </c>
      <c r="H29" t="inlineStr">
        <is>
          <t>MEDIUM</t>
        </is>
      </c>
      <c r="I29" t="n">
        <v>9</v>
      </c>
      <c r="J29" t="inlineStr">
        <is>
          <t>NO</t>
        </is>
      </c>
      <c r="K29" t="inlineStr">
        <is>
          <t>2026-02-27 20:47</t>
        </is>
      </c>
      <c r="L29" t="inlineStr">
        <is>
          <t>YES</t>
        </is>
      </c>
      <c r="M29" t="inlineStr">
        <is>
          <t>akuity kargo *</t>
        </is>
      </c>
      <c r="N29" t="inlineStr">
        <is>
          <t>P4</t>
        </is>
      </c>
      <c r="O29" t="inlineStr">
        <is>
          <t>CVE - IP enrichment n/a</t>
        </is>
      </c>
      <c r="P29" t="n">
        <v>0.0003</v>
      </c>
      <c r="Q29" t="n">
        <v>0.0679</v>
      </c>
      <c r="R29" t="inlineStr">
        <is>
          <t>T1190:Exploit Public-Facing Application</t>
        </is>
      </c>
      <c r="S29" t="n">
        <v>1</v>
      </c>
      <c r="T29" t="inlineStr">
        <is>
          <t>LOW (40%)</t>
        </is>
      </c>
      <c r="U29" t="inlineStr">
        <is>
          <t>UNLIKELY</t>
        </is>
      </c>
      <c r="V29" t="inlineStr">
        <is>
          <t>PATCH_AVAILABLE</t>
        </is>
      </c>
      <c r="W29" t="inlineStr">
        <is>
          <t>https://nvd.nist.gov/vuln/detail/CVE-2026-27111</t>
        </is>
      </c>
      <c r="X29" t="inlineStr">
        <is>
          <t>NONE</t>
        </is>
      </c>
      <c r="Y29" t="n">
        <v>0</v>
      </c>
      <c r="Z29" t="inlineStr"/>
      <c r="AA29" t="inlineStr">
        <is>
          <t>https://nvd.nist.gov/vuln/detail/CVE-2026-27111</t>
        </is>
      </c>
    </row>
    <row r="30">
      <c r="A30" t="inlineStr">
        <is>
          <t>CVE</t>
        </is>
      </c>
      <c r="B30" t="inlineStr">
        <is>
          <t>CVE-2026-27112</t>
        </is>
      </c>
      <c r="C30"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30" t="n">
        <v>9.9</v>
      </c>
      <c r="E30" t="inlineStr">
        <is>
          <t>CRITICAL</t>
        </is>
      </c>
      <c r="F30" t="n">
        <v>2</v>
      </c>
      <c r="G30" t="n">
        <v>3</v>
      </c>
      <c r="H30" t="inlineStr">
        <is>
          <t>HIGH</t>
        </is>
      </c>
      <c r="I30" t="n">
        <v>15.9</v>
      </c>
      <c r="J30" t="inlineStr">
        <is>
          <t>NO</t>
        </is>
      </c>
      <c r="K30" t="inlineStr">
        <is>
          <t>2026-02-27 20:47</t>
        </is>
      </c>
      <c r="L30" t="inlineStr">
        <is>
          <t>YES</t>
        </is>
      </c>
      <c r="M30" t="inlineStr">
        <is>
          <t>akuity kargo *</t>
        </is>
      </c>
      <c r="N30" t="inlineStr">
        <is>
          <t>P3</t>
        </is>
      </c>
      <c r="O30" t="inlineStr">
        <is>
          <t>CVE - IP enrichment n/a</t>
        </is>
      </c>
      <c r="P30" t="n">
        <v>0.0021</v>
      </c>
      <c r="Q30" t="n">
        <v>0.4251</v>
      </c>
      <c r="R30" t="inlineStr">
        <is>
          <t>T1190:Exploit Public-Facing Application | T1210:Exploitation of Remote Services | T1552:Unsecured Credentials</t>
        </is>
      </c>
      <c r="S30" t="n">
        <v>1</v>
      </c>
      <c r="T30" t="inlineStr">
        <is>
          <t>LOW (40%)</t>
        </is>
      </c>
      <c r="U30" t="inlineStr">
        <is>
          <t>UNLIKELY</t>
        </is>
      </c>
      <c r="V30" t="inlineStr">
        <is>
          <t>PATCH_AVAILABLE</t>
        </is>
      </c>
      <c r="W30" t="inlineStr">
        <is>
          <t>https://nvd.nist.gov/vuln/detail/CVE-2026-27112</t>
        </is>
      </c>
      <c r="X30" t="inlineStr">
        <is>
          <t>NONE</t>
        </is>
      </c>
      <c r="Y30" t="n">
        <v>0</v>
      </c>
      <c r="Z30" t="inlineStr"/>
      <c r="AA30" t="inlineStr">
        <is>
          <t>https://nvd.nist.gov/vuln/detail/CVE-2026-27112</t>
        </is>
      </c>
    </row>
    <row r="31">
      <c r="A31" t="inlineStr">
        <is>
          <t>CVE</t>
        </is>
      </c>
      <c r="B31" t="inlineStr">
        <is>
          <t>CVE-2026-27113</t>
        </is>
      </c>
      <c r="C31"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31" t="n">
        <v>6.3</v>
      </c>
      <c r="E31" t="inlineStr">
        <is>
          <t>MEDIUM</t>
        </is>
      </c>
      <c r="F31" t="n">
        <v>2</v>
      </c>
      <c r="G31" t="n">
        <v>2</v>
      </c>
      <c r="H31" t="inlineStr">
        <is>
          <t>MEDIUM</t>
        </is>
      </c>
      <c r="I31" t="n">
        <v>10.3</v>
      </c>
      <c r="J31" t="inlineStr">
        <is>
          <t>NO</t>
        </is>
      </c>
      <c r="K31" t="inlineStr">
        <is>
          <t>2026-02-27 20:47</t>
        </is>
      </c>
      <c r="L31" t="inlineStr">
        <is>
          <t>CHECK_VENDOR</t>
        </is>
      </c>
      <c r="M31" t="inlineStr">
        <is>
          <t>See CVE details</t>
        </is>
      </c>
      <c r="N31" t="inlineStr">
        <is>
          <t>P4</t>
        </is>
      </c>
      <c r="O31" t="inlineStr">
        <is>
          <t>CVE - IP enrichment n/a</t>
        </is>
      </c>
      <c r="P31" t="n">
        <v>0.0003</v>
      </c>
      <c r="Q31" t="n">
        <v>0.08069999999999999</v>
      </c>
      <c r="R31" t="inlineStr">
        <is>
          <t>T1059:Command and Scripting Interpreter</t>
        </is>
      </c>
      <c r="S31" t="n">
        <v>1</v>
      </c>
      <c r="T31" t="inlineStr">
        <is>
          <t>LOW (40%)</t>
        </is>
      </c>
      <c r="U31" t="inlineStr">
        <is>
          <t>UNLIKELY</t>
        </is>
      </c>
      <c r="V31" t="inlineStr">
        <is>
          <t>CHECK_VENDOR</t>
        </is>
      </c>
      <c r="W31" t="inlineStr">
        <is>
          <t>https://nvd.nist.gov/vuln/detail/CVE-2026-27113</t>
        </is>
      </c>
      <c r="X31" t="inlineStr">
        <is>
          <t>NONE</t>
        </is>
      </c>
      <c r="Y31" t="n">
        <v>0</v>
      </c>
      <c r="Z31" t="inlineStr"/>
      <c r="AA31" t="inlineStr">
        <is>
          <t>https://nvd.nist.gov/vuln/detail/CVE-2026-27113</t>
        </is>
      </c>
    </row>
    <row r="32">
      <c r="A32" t="inlineStr">
        <is>
          <t>CVE</t>
        </is>
      </c>
      <c r="B32" t="inlineStr">
        <is>
          <t>CVE-2026-27118</t>
        </is>
      </c>
      <c r="C32"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32" t="n">
        <v>8.5</v>
      </c>
      <c r="E32" t="inlineStr">
        <is>
          <t>HIGH</t>
        </is>
      </c>
      <c r="F32" t="n">
        <v>2</v>
      </c>
      <c r="G32" t="n">
        <v>3</v>
      </c>
      <c r="H32" t="inlineStr">
        <is>
          <t>HIGH</t>
        </is>
      </c>
      <c r="I32" t="n">
        <v>14.5</v>
      </c>
      <c r="J32" t="inlineStr">
        <is>
          <t>NO</t>
        </is>
      </c>
      <c r="K32" t="inlineStr">
        <is>
          <t>2026-02-27 20:47</t>
        </is>
      </c>
      <c r="L32" t="inlineStr">
        <is>
          <t>CHECK_VENDOR</t>
        </is>
      </c>
      <c r="M32" t="inlineStr">
        <is>
          <t>See CVE details</t>
        </is>
      </c>
      <c r="N32" t="inlineStr">
        <is>
          <t>P3</t>
        </is>
      </c>
      <c r="O32" t="inlineStr">
        <is>
          <t>CVE - IP enrichment n/a</t>
        </is>
      </c>
      <c r="P32" t="n">
        <v>0.0003</v>
      </c>
      <c r="Q32" t="n">
        <v>0.066</v>
      </c>
      <c r="R32" t="inlineStr">
        <is>
          <t>T1190:Exploit Public-Facing Application</t>
        </is>
      </c>
      <c r="S32" t="n">
        <v>1</v>
      </c>
      <c r="T32" t="inlineStr">
        <is>
          <t>LOW (40%)</t>
        </is>
      </c>
      <c r="U32" t="inlineStr">
        <is>
          <t>UNLIKELY</t>
        </is>
      </c>
      <c r="V32" t="inlineStr">
        <is>
          <t>CHECK_VENDOR</t>
        </is>
      </c>
      <c r="W32" t="inlineStr">
        <is>
          <t>https://nvd.nist.gov/vuln/detail/CVE-2026-27118</t>
        </is>
      </c>
      <c r="X32" t="inlineStr">
        <is>
          <t>NONE</t>
        </is>
      </c>
      <c r="Y32" t="n">
        <v>0</v>
      </c>
      <c r="Z32" t="inlineStr"/>
      <c r="AA32" t="inlineStr">
        <is>
          <t>https://nvd.nist.gov/vuln/detail/CVE-2026-27118</t>
        </is>
      </c>
    </row>
    <row r="33">
      <c r="A33" t="inlineStr">
        <is>
          <t>CVE</t>
        </is>
      </c>
      <c r="B33" t="inlineStr">
        <is>
          <t>CVE-2026-27120</t>
        </is>
      </c>
      <c r="C33"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33" t="n">
        <v>6.1</v>
      </c>
      <c r="E33" t="inlineStr">
        <is>
          <t>MEDIUM</t>
        </is>
      </c>
      <c r="F33" t="n">
        <v>2</v>
      </c>
      <c r="G33" t="n">
        <v>2</v>
      </c>
      <c r="H33" t="inlineStr">
        <is>
          <t>MEDIUM</t>
        </is>
      </c>
      <c r="I33" t="n">
        <v>10.1</v>
      </c>
      <c r="J33" t="inlineStr">
        <is>
          <t>NO</t>
        </is>
      </c>
      <c r="K33" t="inlineStr">
        <is>
          <t>2026-02-27 20:47</t>
        </is>
      </c>
      <c r="L33" t="inlineStr">
        <is>
          <t>CHECK_VENDOR</t>
        </is>
      </c>
      <c r="M33" t="inlineStr">
        <is>
          <t>See CVE details</t>
        </is>
      </c>
      <c r="N33" t="inlineStr">
        <is>
          <t>P4</t>
        </is>
      </c>
      <c r="O33" t="inlineStr">
        <is>
          <t>CVE - IP enrichment n/a</t>
        </is>
      </c>
      <c r="P33" t="n">
        <v>0.0003</v>
      </c>
      <c r="Q33" t="n">
        <v>0.0882</v>
      </c>
      <c r="R33" t="inlineStr">
        <is>
          <t>T1189:Drive-by Compromise</t>
        </is>
      </c>
      <c r="S33" t="n">
        <v>1</v>
      </c>
      <c r="T33" t="inlineStr">
        <is>
          <t>LOW (40%)</t>
        </is>
      </c>
      <c r="U33" t="inlineStr">
        <is>
          <t>UNLIKELY</t>
        </is>
      </c>
      <c r="V33" t="inlineStr">
        <is>
          <t>CHECK_VENDOR</t>
        </is>
      </c>
      <c r="W33" t="inlineStr">
        <is>
          <t>https://nvd.nist.gov/vuln/detail/CVE-2026-27120</t>
        </is>
      </c>
      <c r="X33" t="inlineStr">
        <is>
          <t>NONE</t>
        </is>
      </c>
      <c r="Y33" t="n">
        <v>0</v>
      </c>
      <c r="Z33" t="inlineStr"/>
      <c r="AA33" t="inlineStr">
        <is>
          <t>https://nvd.nist.gov/vuln/detail/CVE-2026-27120</t>
        </is>
      </c>
    </row>
    <row r="34">
      <c r="A34" t="inlineStr">
        <is>
          <t>CVE</t>
        </is>
      </c>
      <c r="B34" t="inlineStr">
        <is>
          <t>CVE-2026-2858</t>
        </is>
      </c>
      <c r="C34"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34" t="n">
        <v>3.3</v>
      </c>
      <c r="E34" t="inlineStr">
        <is>
          <t>LOW</t>
        </is>
      </c>
      <c r="F34" t="n">
        <v>2</v>
      </c>
      <c r="G34" t="n">
        <v>1</v>
      </c>
      <c r="H34" t="inlineStr">
        <is>
          <t>LOW</t>
        </is>
      </c>
      <c r="I34" t="n">
        <v>5.3</v>
      </c>
      <c r="J34" t="inlineStr">
        <is>
          <t>NO</t>
        </is>
      </c>
      <c r="K34" t="inlineStr">
        <is>
          <t>2026-02-27 20:47</t>
        </is>
      </c>
      <c r="L34" t="inlineStr">
        <is>
          <t>CHECK_VENDOR</t>
        </is>
      </c>
      <c r="M34" t="inlineStr">
        <is>
          <t>wren wren *</t>
        </is>
      </c>
      <c r="N34" t="inlineStr">
        <is>
          <t>P4</t>
        </is>
      </c>
      <c r="O34" t="inlineStr">
        <is>
          <t>CVE - IP enrichment n/a</t>
        </is>
      </c>
      <c r="P34" t="n">
        <v>0.0001</v>
      </c>
      <c r="Q34" t="n">
        <v>0.0199</v>
      </c>
      <c r="R34" t="inlineStr">
        <is>
          <t>T1203:Exploitation for Client Execution | T1190:Exploit Public-Facing Application</t>
        </is>
      </c>
      <c r="S34" t="n">
        <v>1</v>
      </c>
      <c r="T34" t="inlineStr">
        <is>
          <t>LOW (40%)</t>
        </is>
      </c>
      <c r="U34" t="inlineStr">
        <is>
          <t>UNLIKELY</t>
        </is>
      </c>
      <c r="V34" t="inlineStr">
        <is>
          <t>CHECK_VENDOR</t>
        </is>
      </c>
      <c r="W34" t="inlineStr">
        <is>
          <t>https://nvd.nist.gov/vuln/detail/CVE-2026-2858</t>
        </is>
      </c>
      <c r="X34" t="inlineStr">
        <is>
          <t>NONE</t>
        </is>
      </c>
      <c r="Y34" t="n">
        <v>0</v>
      </c>
      <c r="Z34" t="inlineStr"/>
      <c r="AA34" t="inlineStr">
        <is>
          <t>https://nvd.nist.gov/vuln/detail/CVE-2026-2858</t>
        </is>
      </c>
    </row>
    <row r="35">
      <c r="A35" t="inlineStr">
        <is>
          <t>CVE</t>
        </is>
      </c>
      <c r="B35" t="inlineStr">
        <is>
          <t>CVE-2018-25158</t>
        </is>
      </c>
      <c r="C35"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35" t="n">
        <v>8.800000000000001</v>
      </c>
      <c r="E35" t="inlineStr">
        <is>
          <t>HIGH</t>
        </is>
      </c>
      <c r="F35" t="n">
        <v>2</v>
      </c>
      <c r="G35" t="n">
        <v>3</v>
      </c>
      <c r="H35" t="inlineStr">
        <is>
          <t>HIGH</t>
        </is>
      </c>
      <c r="I35" t="n">
        <v>14.8</v>
      </c>
      <c r="J35" t="inlineStr">
        <is>
          <t>NO</t>
        </is>
      </c>
      <c r="K35" t="inlineStr">
        <is>
          <t>2026-02-27 20:47</t>
        </is>
      </c>
      <c r="L35" t="inlineStr">
        <is>
          <t>CHECK_VENDOR</t>
        </is>
      </c>
      <c r="M35" t="inlineStr">
        <is>
          <t>See CVE details</t>
        </is>
      </c>
      <c r="N35" t="inlineStr">
        <is>
          <t>P3</t>
        </is>
      </c>
      <c r="O35" t="inlineStr">
        <is>
          <t>CVE - IP enrichment n/a</t>
        </is>
      </c>
      <c r="P35" t="n">
        <v>0.0005999999999999999</v>
      </c>
      <c r="Q35" t="n">
        <v>0.1919</v>
      </c>
      <c r="R35" t="inlineStr">
        <is>
          <t>T1190:Exploit Public-Facing Application | T1203:Exploitation for Client Execution</t>
        </is>
      </c>
      <c r="S35" t="n">
        <v>1</v>
      </c>
      <c r="T35" t="inlineStr">
        <is>
          <t>LOW (40%)</t>
        </is>
      </c>
      <c r="U35" t="inlineStr">
        <is>
          <t>UNLIKELY</t>
        </is>
      </c>
      <c r="V35" t="inlineStr">
        <is>
          <t>CHECK_VENDOR</t>
        </is>
      </c>
      <c r="W35" t="inlineStr">
        <is>
          <t>https://nvd.nist.gov/vuln/detail/CVE-2018-25158</t>
        </is>
      </c>
      <c r="X35" t="inlineStr">
        <is>
          <t>NONE</t>
        </is>
      </c>
      <c r="Y35" t="n">
        <v>0</v>
      </c>
      <c r="Z35" t="inlineStr"/>
      <c r="AA35" t="inlineStr">
        <is>
          <t>https://nvd.nist.gov/vuln/detail/CVE-2018-25158</t>
        </is>
      </c>
    </row>
    <row r="36">
      <c r="A36" t="inlineStr">
        <is>
          <t>CVE</t>
        </is>
      </c>
      <c r="B36" t="inlineStr">
        <is>
          <t>CVE-2019-25431</t>
        </is>
      </c>
      <c r="C36"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36" t="n">
        <v>8.199999999999999</v>
      </c>
      <c r="E36" t="inlineStr">
        <is>
          <t>HIGH</t>
        </is>
      </c>
      <c r="F36" t="n">
        <v>2</v>
      </c>
      <c r="G36" t="n">
        <v>3</v>
      </c>
      <c r="H36" t="inlineStr">
        <is>
          <t>HIGH</t>
        </is>
      </c>
      <c r="I36" t="n">
        <v>14.2</v>
      </c>
      <c r="J36" t="inlineStr">
        <is>
          <t>NO</t>
        </is>
      </c>
      <c r="K36" t="inlineStr">
        <is>
          <t>2026-02-27 20:47</t>
        </is>
      </c>
      <c r="L36" t="inlineStr">
        <is>
          <t>CHECK_VENDOR</t>
        </is>
      </c>
      <c r="M36" t="inlineStr">
        <is>
          <t>See CVE details</t>
        </is>
      </c>
      <c r="N36" t="inlineStr">
        <is>
          <t>P3</t>
        </is>
      </c>
      <c r="O36" t="inlineStr">
        <is>
          <t>CVE - IP enrichment n/a</t>
        </is>
      </c>
      <c r="P36" t="n">
        <v>0.0009</v>
      </c>
      <c r="Q36" t="n">
        <v>0.2474</v>
      </c>
      <c r="R36" t="inlineStr">
        <is>
          <t>T1190:Exploit Public-Facing Application</t>
        </is>
      </c>
      <c r="S36" t="n">
        <v>1</v>
      </c>
      <c r="T36" t="inlineStr">
        <is>
          <t>LOW (40%)</t>
        </is>
      </c>
      <c r="U36" t="inlineStr">
        <is>
          <t>UNLIKELY</t>
        </is>
      </c>
      <c r="V36" t="inlineStr">
        <is>
          <t>CHECK_VENDOR</t>
        </is>
      </c>
      <c r="W36" t="inlineStr">
        <is>
          <t>https://nvd.nist.gov/vuln/detail/CVE-2019-25431</t>
        </is>
      </c>
      <c r="X36" t="inlineStr">
        <is>
          <t>NONE</t>
        </is>
      </c>
      <c r="Y36" t="n">
        <v>0</v>
      </c>
      <c r="Z36" t="inlineStr"/>
      <c r="AA36" t="inlineStr">
        <is>
          <t>https://nvd.nist.gov/vuln/detail/CVE-2019-25431</t>
        </is>
      </c>
    </row>
    <row r="37">
      <c r="A37" t="inlineStr">
        <is>
          <t>CVE</t>
        </is>
      </c>
      <c r="B37" t="inlineStr">
        <is>
          <t>CVE-2019-25432</t>
        </is>
      </c>
      <c r="C37"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37" t="n">
        <v>7.5</v>
      </c>
      <c r="E37" t="inlineStr">
        <is>
          <t>HIGH</t>
        </is>
      </c>
      <c r="F37" t="n">
        <v>2</v>
      </c>
      <c r="G37" t="n">
        <v>3</v>
      </c>
      <c r="H37" t="inlineStr">
        <is>
          <t>HIGH</t>
        </is>
      </c>
      <c r="I37" t="n">
        <v>13.5</v>
      </c>
      <c r="J37" t="inlineStr">
        <is>
          <t>NO</t>
        </is>
      </c>
      <c r="K37" t="inlineStr">
        <is>
          <t>2026-02-27 20:47</t>
        </is>
      </c>
      <c r="L37" t="inlineStr">
        <is>
          <t>CHECK_VENDOR</t>
        </is>
      </c>
      <c r="M37" t="inlineStr">
        <is>
          <t>See CVE details</t>
        </is>
      </c>
      <c r="N37" t="inlineStr">
        <is>
          <t>P3</t>
        </is>
      </c>
      <c r="O37" t="inlineStr">
        <is>
          <t>CVE - IP enrichment n/a</t>
        </is>
      </c>
      <c r="P37" t="n">
        <v>0.0019</v>
      </c>
      <c r="Q37" t="n">
        <v>0.4051</v>
      </c>
      <c r="R37" t="inlineStr">
        <is>
          <t>T1190:Exploit Public-Facing Application | T1078:Valid Accounts | T1552:Unsecured Credentials</t>
        </is>
      </c>
      <c r="S37" t="n">
        <v>1</v>
      </c>
      <c r="T37" t="inlineStr">
        <is>
          <t>LOW (40%)</t>
        </is>
      </c>
      <c r="U37" t="inlineStr">
        <is>
          <t>UNLIKELY</t>
        </is>
      </c>
      <c r="V37" t="inlineStr">
        <is>
          <t>CHECK_VENDOR</t>
        </is>
      </c>
      <c r="W37" t="inlineStr">
        <is>
          <t>https://nvd.nist.gov/vuln/detail/CVE-2019-25432</t>
        </is>
      </c>
      <c r="X37" t="inlineStr">
        <is>
          <t>NONE</t>
        </is>
      </c>
      <c r="Y37" t="n">
        <v>0</v>
      </c>
      <c r="Z37" t="inlineStr"/>
      <c r="AA37" t="inlineStr">
        <is>
          <t>https://nvd.nist.gov/vuln/detail/CVE-2019-25432</t>
        </is>
      </c>
    </row>
    <row r="38">
      <c r="A38" t="inlineStr">
        <is>
          <t>CVE</t>
        </is>
      </c>
      <c r="B38" t="inlineStr">
        <is>
          <t>CVE-2019-25434</t>
        </is>
      </c>
      <c r="C38"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38" t="n">
        <v>7.5</v>
      </c>
      <c r="E38" t="inlineStr">
        <is>
          <t>HIGH</t>
        </is>
      </c>
      <c r="F38" t="n">
        <v>2</v>
      </c>
      <c r="G38" t="n">
        <v>3</v>
      </c>
      <c r="H38" t="inlineStr">
        <is>
          <t>HIGH</t>
        </is>
      </c>
      <c r="I38" t="n">
        <v>13.5</v>
      </c>
      <c r="J38" t="inlineStr">
        <is>
          <t>NO</t>
        </is>
      </c>
      <c r="K38" t="inlineStr">
        <is>
          <t>2026-02-27 20:47</t>
        </is>
      </c>
      <c r="L38" t="inlineStr">
        <is>
          <t>CHECK_VENDOR</t>
        </is>
      </c>
      <c r="M38" t="inlineStr">
        <is>
          <t>See CVE details</t>
        </is>
      </c>
      <c r="N38" t="inlineStr">
        <is>
          <t>P3</t>
        </is>
      </c>
      <c r="O38" t="inlineStr">
        <is>
          <t>CVE - IP enrichment n/a</t>
        </is>
      </c>
      <c r="P38" t="n">
        <v>0.0005999999999999999</v>
      </c>
      <c r="Q38" t="n">
        <v>0.1719</v>
      </c>
      <c r="R38" t="inlineStr">
        <is>
          <t>T1190:Exploit Public-Facing Application | T1499:Endpoint Denial of Service</t>
        </is>
      </c>
      <c r="S38" t="n">
        <v>1</v>
      </c>
      <c r="T38" t="inlineStr">
        <is>
          <t>LOW (40%)</t>
        </is>
      </c>
      <c r="U38" t="inlineStr">
        <is>
          <t>UNLIKELY</t>
        </is>
      </c>
      <c r="V38" t="inlineStr">
        <is>
          <t>CHECK_VENDOR</t>
        </is>
      </c>
      <c r="W38" t="inlineStr">
        <is>
          <t>https://nvd.nist.gov/vuln/detail/CVE-2019-25434</t>
        </is>
      </c>
      <c r="X38" t="inlineStr">
        <is>
          <t>NONE</t>
        </is>
      </c>
      <c r="Y38" t="n">
        <v>0</v>
      </c>
      <c r="Z38" t="inlineStr"/>
      <c r="AA38" t="inlineStr">
        <is>
          <t>https://nvd.nist.gov/vuln/detail/CVE-2019-25434</t>
        </is>
      </c>
    </row>
    <row r="39">
      <c r="A39" t="inlineStr">
        <is>
          <t>CVE</t>
        </is>
      </c>
      <c r="B39" t="inlineStr">
        <is>
          <t>CVE-2019-25435</t>
        </is>
      </c>
      <c r="C39"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39" t="n">
        <v>7.8</v>
      </c>
      <c r="E39" t="inlineStr">
        <is>
          <t>HIGH</t>
        </is>
      </c>
      <c r="F39" t="n">
        <v>2</v>
      </c>
      <c r="G39" t="n">
        <v>3</v>
      </c>
      <c r="H39" t="inlineStr">
        <is>
          <t>HIGH</t>
        </is>
      </c>
      <c r="I39" t="n">
        <v>13.8</v>
      </c>
      <c r="J39" t="inlineStr">
        <is>
          <t>NO</t>
        </is>
      </c>
      <c r="K39" t="inlineStr">
        <is>
          <t>2026-02-27 20:47</t>
        </is>
      </c>
      <c r="L39" t="inlineStr">
        <is>
          <t>CHECK_VENDOR</t>
        </is>
      </c>
      <c r="M39" t="inlineStr">
        <is>
          <t>sricam deviceviewer 3.12.0.1</t>
        </is>
      </c>
      <c r="N39" t="inlineStr">
        <is>
          <t>P3</t>
        </is>
      </c>
      <c r="O39" t="inlineStr">
        <is>
          <t>CVE - IP enrichment n/a</t>
        </is>
      </c>
      <c r="P39" t="n">
        <v>0.0002</v>
      </c>
      <c r="Q39" t="n">
        <v>0.0375</v>
      </c>
      <c r="R39" t="inlineStr">
        <is>
          <t>T1190:Exploit Public-Facing Application | T1203:Exploitation for Client Execution</t>
        </is>
      </c>
      <c r="S39" t="n">
        <v>1</v>
      </c>
      <c r="T39" t="inlineStr">
        <is>
          <t>LOW (40%)</t>
        </is>
      </c>
      <c r="U39" t="inlineStr">
        <is>
          <t>UNLIKELY</t>
        </is>
      </c>
      <c r="V39" t="inlineStr">
        <is>
          <t>CHECK_VENDOR</t>
        </is>
      </c>
      <c r="W39" t="inlineStr">
        <is>
          <t>https://nvd.nist.gov/vuln/detail/CVE-2019-25435</t>
        </is>
      </c>
      <c r="X39" t="inlineStr">
        <is>
          <t>NONE</t>
        </is>
      </c>
      <c r="Y39" t="n">
        <v>0</v>
      </c>
      <c r="Z39" t="inlineStr"/>
      <c r="AA39" t="inlineStr">
        <is>
          <t>https://nvd.nist.gov/vuln/detail/CVE-2019-25435</t>
        </is>
      </c>
    </row>
    <row r="40">
      <c r="A40" t="inlineStr">
        <is>
          <t>CVE</t>
        </is>
      </c>
      <c r="B40" t="inlineStr">
        <is>
          <t>CVE-2019-25436</t>
        </is>
      </c>
      <c r="C40"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40" t="n">
        <v>6.5</v>
      </c>
      <c r="E40" t="inlineStr">
        <is>
          <t>MEDIUM</t>
        </is>
      </c>
      <c r="F40" t="n">
        <v>2</v>
      </c>
      <c r="G40" t="n">
        <v>2</v>
      </c>
      <c r="H40" t="inlineStr">
        <is>
          <t>MEDIUM</t>
        </is>
      </c>
      <c r="I40" t="n">
        <v>10.5</v>
      </c>
      <c r="J40" t="inlineStr">
        <is>
          <t>NO</t>
        </is>
      </c>
      <c r="K40" t="inlineStr">
        <is>
          <t>2026-02-27 20:47</t>
        </is>
      </c>
      <c r="L40" t="inlineStr">
        <is>
          <t>CHECK_VENDOR</t>
        </is>
      </c>
      <c r="M40" t="inlineStr">
        <is>
          <t>sricam deviceviewer 3.12.0.1</t>
        </is>
      </c>
      <c r="N40" t="inlineStr">
        <is>
          <t>P4</t>
        </is>
      </c>
      <c r="O40" t="inlineStr">
        <is>
          <t>CVE - IP enrichment n/a</t>
        </is>
      </c>
      <c r="P40" t="n">
        <v>0.0002</v>
      </c>
      <c r="Q40" t="n">
        <v>0.0509</v>
      </c>
      <c r="R40" t="inlineStr">
        <is>
          <t>T1190:Exploit Public-Facing Application</t>
        </is>
      </c>
      <c r="S40" t="n">
        <v>1</v>
      </c>
      <c r="T40" t="inlineStr">
        <is>
          <t>LOW (40%)</t>
        </is>
      </c>
      <c r="U40" t="inlineStr">
        <is>
          <t>UNLIKELY</t>
        </is>
      </c>
      <c r="V40" t="inlineStr">
        <is>
          <t>CHECK_VENDOR</t>
        </is>
      </c>
      <c r="W40" t="inlineStr">
        <is>
          <t>https://nvd.nist.gov/vuln/detail/CVE-2019-25436</t>
        </is>
      </c>
      <c r="X40" t="inlineStr">
        <is>
          <t>NONE</t>
        </is>
      </c>
      <c r="Y40" t="n">
        <v>0</v>
      </c>
      <c r="Z40" t="inlineStr"/>
      <c r="AA40" t="inlineStr">
        <is>
          <t>https://nvd.nist.gov/vuln/detail/CVE-2019-25436</t>
        </is>
      </c>
    </row>
    <row r="41">
      <c r="A41" t="inlineStr">
        <is>
          <t>CVE</t>
        </is>
      </c>
      <c r="B41" t="inlineStr">
        <is>
          <t>CVE-2019-25437</t>
        </is>
      </c>
      <c r="C41"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41" t="n">
        <v>6.2</v>
      </c>
      <c r="E41" t="inlineStr">
        <is>
          <t>MEDIUM</t>
        </is>
      </c>
      <c r="F41" t="n">
        <v>2</v>
      </c>
      <c r="G41" t="n">
        <v>2</v>
      </c>
      <c r="H41" t="inlineStr">
        <is>
          <t>MEDIUM</t>
        </is>
      </c>
      <c r="I41" t="n">
        <v>10.2</v>
      </c>
      <c r="J41" t="inlineStr">
        <is>
          <t>NO</t>
        </is>
      </c>
      <c r="K41" t="inlineStr">
        <is>
          <t>2026-02-27 20:47</t>
        </is>
      </c>
      <c r="L41" t="inlineStr">
        <is>
          <t>CHECK_VENDOR</t>
        </is>
      </c>
      <c r="M41" t="inlineStr">
        <is>
          <t>See CVE details</t>
        </is>
      </c>
      <c r="N41" t="inlineStr">
        <is>
          <t>P4</t>
        </is>
      </c>
      <c r="O41" t="inlineStr">
        <is>
          <t>CVE - IP enrichment n/a</t>
        </is>
      </c>
      <c r="P41" t="n">
        <v>0.0001</v>
      </c>
      <c r="Q41" t="n">
        <v>0.0314</v>
      </c>
      <c r="R41" t="inlineStr">
        <is>
          <t>T1190:Exploit Public-Facing Application | T1203:Exploitation for Client Execution</t>
        </is>
      </c>
      <c r="S41" t="n">
        <v>1</v>
      </c>
      <c r="T41" t="inlineStr">
        <is>
          <t>LOW (40%)</t>
        </is>
      </c>
      <c r="U41" t="inlineStr">
        <is>
          <t>UNLIKELY</t>
        </is>
      </c>
      <c r="V41" t="inlineStr">
        <is>
          <t>CHECK_VENDOR</t>
        </is>
      </c>
      <c r="W41" t="inlineStr">
        <is>
          <t>https://nvd.nist.gov/vuln/detail/CVE-2019-25437</t>
        </is>
      </c>
      <c r="X41" t="inlineStr">
        <is>
          <t>NONE</t>
        </is>
      </c>
      <c r="Y41" t="n">
        <v>0</v>
      </c>
      <c r="Z41" t="inlineStr"/>
      <c r="AA41" t="inlineStr">
        <is>
          <t>https://nvd.nist.gov/vuln/detail/CVE-2019-25437</t>
        </is>
      </c>
    </row>
    <row r="42">
      <c r="A42" t="inlineStr">
        <is>
          <t>CVE</t>
        </is>
      </c>
      <c r="B42" t="inlineStr">
        <is>
          <t>CVE-2019-25438</t>
        </is>
      </c>
      <c r="C42"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42" t="n">
        <v>8.199999999999999</v>
      </c>
      <c r="E42" t="inlineStr">
        <is>
          <t>HIGH</t>
        </is>
      </c>
      <c r="F42" t="n">
        <v>2</v>
      </c>
      <c r="G42" t="n">
        <v>3</v>
      </c>
      <c r="H42" t="inlineStr">
        <is>
          <t>HIGH</t>
        </is>
      </c>
      <c r="I42" t="n">
        <v>14.2</v>
      </c>
      <c r="J42" t="inlineStr">
        <is>
          <t>NO</t>
        </is>
      </c>
      <c r="K42" t="inlineStr">
        <is>
          <t>2026-02-27 20:47</t>
        </is>
      </c>
      <c r="L42" t="inlineStr">
        <is>
          <t>CHECK_VENDOR</t>
        </is>
      </c>
      <c r="M42" t="inlineStr">
        <is>
          <t>agilebio labcollector 5.423</t>
        </is>
      </c>
      <c r="N42" t="inlineStr">
        <is>
          <t>P3</t>
        </is>
      </c>
      <c r="O42" t="inlineStr">
        <is>
          <t>CVE - IP enrichment n/a</t>
        </is>
      </c>
      <c r="P42" t="n">
        <v>0.0034</v>
      </c>
      <c r="Q42" t="n">
        <v>0.5626</v>
      </c>
      <c r="R42" t="inlineStr">
        <is>
          <t>T1190:Exploit Public-Facing Application</t>
        </is>
      </c>
      <c r="S42" t="n">
        <v>1</v>
      </c>
      <c r="T42" t="inlineStr">
        <is>
          <t>LOW (40%)</t>
        </is>
      </c>
      <c r="U42" t="inlineStr">
        <is>
          <t>UNLIKELY</t>
        </is>
      </c>
      <c r="V42" t="inlineStr">
        <is>
          <t>CHECK_VENDOR</t>
        </is>
      </c>
      <c r="W42" t="inlineStr">
        <is>
          <t>https://nvd.nist.gov/vuln/detail/CVE-2019-25438</t>
        </is>
      </c>
      <c r="X42" t="inlineStr">
        <is>
          <t>NONE</t>
        </is>
      </c>
      <c r="Y42" t="n">
        <v>0</v>
      </c>
      <c r="Z42" t="inlineStr"/>
      <c r="AA42" t="inlineStr">
        <is>
          <t>https://nvd.nist.gov/vuln/detail/CVE-2019-25438</t>
        </is>
      </c>
    </row>
    <row r="43">
      <c r="A43" t="inlineStr">
        <is>
          <t>CVE</t>
        </is>
      </c>
      <c r="B43" t="inlineStr">
        <is>
          <t>CVE-2019-25441</t>
        </is>
      </c>
      <c r="C43"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43" t="n">
        <v>9.800000000000001</v>
      </c>
      <c r="E43" t="inlineStr">
        <is>
          <t>CRITICAL</t>
        </is>
      </c>
      <c r="F43" t="n">
        <v>2</v>
      </c>
      <c r="G43" t="n">
        <v>3</v>
      </c>
      <c r="H43" t="inlineStr">
        <is>
          <t>HIGH</t>
        </is>
      </c>
      <c r="I43" t="n">
        <v>15.8</v>
      </c>
      <c r="J43" t="inlineStr">
        <is>
          <t>NO</t>
        </is>
      </c>
      <c r="K43" t="inlineStr">
        <is>
          <t>2026-02-27 20:47</t>
        </is>
      </c>
      <c r="L43" t="inlineStr">
        <is>
          <t>CHECK_VENDOR</t>
        </is>
      </c>
      <c r="M43" t="inlineStr">
        <is>
          <t>See CVE details</t>
        </is>
      </c>
      <c r="N43" t="inlineStr">
        <is>
          <t>P2</t>
        </is>
      </c>
      <c r="O43" t="inlineStr">
        <is>
          <t>CVE - IP enrichment n/a</t>
        </is>
      </c>
      <c r="P43" t="n">
        <v>0.0336</v>
      </c>
      <c r="Q43" t="n">
        <v>0.871</v>
      </c>
      <c r="R43" t="inlineStr">
        <is>
          <t>T1059:Command and Scripting Interpreter | T1203:Exploitation for Client Execution</t>
        </is>
      </c>
      <c r="S43" t="n">
        <v>1</v>
      </c>
      <c r="T43" t="inlineStr">
        <is>
          <t>LOW (40%)</t>
        </is>
      </c>
      <c r="U43" t="inlineStr">
        <is>
          <t>UNLIKELY</t>
        </is>
      </c>
      <c r="V43" t="inlineStr">
        <is>
          <t>CHECK_VENDOR</t>
        </is>
      </c>
      <c r="W43" t="inlineStr">
        <is>
          <t>https://nvd.nist.gov/vuln/detail/CVE-2019-25441</t>
        </is>
      </c>
      <c r="X43" t="inlineStr">
        <is>
          <t>NONE</t>
        </is>
      </c>
      <c r="Y43" t="n">
        <v>0</v>
      </c>
      <c r="Z43" t="inlineStr"/>
      <c r="AA43" t="inlineStr">
        <is>
          <t>https://nvd.nist.gov/vuln/detail/CVE-2019-25441</t>
        </is>
      </c>
    </row>
    <row r="44">
      <c r="A44" t="inlineStr">
        <is>
          <t>CVE</t>
        </is>
      </c>
      <c r="B44" t="inlineStr">
        <is>
          <t>CVE-2019-25447</t>
        </is>
      </c>
      <c r="C44"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44" t="n">
        <v>4.3</v>
      </c>
      <c r="E44" t="inlineStr">
        <is>
          <t>MEDIUM</t>
        </is>
      </c>
      <c r="F44" t="n">
        <v>2</v>
      </c>
      <c r="G44" t="n">
        <v>2</v>
      </c>
      <c r="H44" t="inlineStr">
        <is>
          <t>MEDIUM</t>
        </is>
      </c>
      <c r="I44" t="n">
        <v>8.300000000000001</v>
      </c>
      <c r="J44" t="inlineStr">
        <is>
          <t>NO</t>
        </is>
      </c>
      <c r="K44" t="inlineStr">
        <is>
          <t>2026-02-27 20:47</t>
        </is>
      </c>
      <c r="L44" t="inlineStr">
        <is>
          <t>CHECK_VENDOR</t>
        </is>
      </c>
      <c r="M44" t="inlineStr">
        <is>
          <t>orientdb orientdb 3.0.17</t>
        </is>
      </c>
      <c r="N44" t="inlineStr">
        <is>
          <t>P4</t>
        </is>
      </c>
      <c r="O44" t="inlineStr">
        <is>
          <t>CVE - IP enrichment n/a</t>
        </is>
      </c>
      <c r="P44" t="n">
        <v>0.0001</v>
      </c>
      <c r="Q44" t="n">
        <v>0.022</v>
      </c>
      <c r="R44" t="inlineStr">
        <is>
          <t>T1185:Browser Session Hijacking | T1189:Drive-by Compromise</t>
        </is>
      </c>
      <c r="S44" t="n">
        <v>1</v>
      </c>
      <c r="T44" t="inlineStr">
        <is>
          <t>LOW (40%)</t>
        </is>
      </c>
      <c r="U44" t="inlineStr">
        <is>
          <t>UNLIKELY</t>
        </is>
      </c>
      <c r="V44" t="inlineStr">
        <is>
          <t>CHECK_VENDOR</t>
        </is>
      </c>
      <c r="W44" t="inlineStr">
        <is>
          <t>https://nvd.nist.gov/vuln/detail/CVE-2019-25447</t>
        </is>
      </c>
      <c r="X44" t="inlineStr">
        <is>
          <t>NONE</t>
        </is>
      </c>
      <c r="Y44" t="n">
        <v>0</v>
      </c>
      <c r="Z44" t="inlineStr"/>
      <c r="AA44" t="inlineStr">
        <is>
          <t>https://nvd.nist.gov/vuln/detail/CVE-2019-25447</t>
        </is>
      </c>
    </row>
    <row r="45">
      <c r="A45" t="inlineStr">
        <is>
          <t>CVE</t>
        </is>
      </c>
      <c r="B45" t="inlineStr">
        <is>
          <t>CVE-2019-25448</t>
        </is>
      </c>
      <c r="C45"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45" t="n">
        <v>6.4</v>
      </c>
      <c r="E45" t="inlineStr">
        <is>
          <t>MEDIUM</t>
        </is>
      </c>
      <c r="F45" t="n">
        <v>2</v>
      </c>
      <c r="G45" t="n">
        <v>2</v>
      </c>
      <c r="H45" t="inlineStr">
        <is>
          <t>MEDIUM</t>
        </is>
      </c>
      <c r="I45" t="n">
        <v>10.4</v>
      </c>
      <c r="J45" t="inlineStr">
        <is>
          <t>NO</t>
        </is>
      </c>
      <c r="K45" t="inlineStr">
        <is>
          <t>2026-02-27 20:47</t>
        </is>
      </c>
      <c r="L45" t="inlineStr">
        <is>
          <t>CHECK_VENDOR</t>
        </is>
      </c>
      <c r="M45" t="inlineStr">
        <is>
          <t>orientdb orientdb 3.0.17</t>
        </is>
      </c>
      <c r="N45" t="inlineStr">
        <is>
          <t>P4</t>
        </is>
      </c>
      <c r="O45" t="inlineStr">
        <is>
          <t>CVE - IP enrichment n/a</t>
        </is>
      </c>
      <c r="P45" t="n">
        <v>0.0003</v>
      </c>
      <c r="Q45" t="n">
        <v>0.0992</v>
      </c>
      <c r="R45" t="inlineStr">
        <is>
          <t>T1189:Drive-by Compromise</t>
        </is>
      </c>
      <c r="S45" t="n">
        <v>1</v>
      </c>
      <c r="T45" t="inlineStr">
        <is>
          <t>LOW (40%)</t>
        </is>
      </c>
      <c r="U45" t="inlineStr">
        <is>
          <t>UNLIKELY</t>
        </is>
      </c>
      <c r="V45" t="inlineStr">
        <is>
          <t>CHECK_VENDOR</t>
        </is>
      </c>
      <c r="W45" t="inlineStr">
        <is>
          <t>https://nvd.nist.gov/vuln/detail/CVE-2019-25448</t>
        </is>
      </c>
      <c r="X45" t="inlineStr">
        <is>
          <t>NONE</t>
        </is>
      </c>
      <c r="Y45" t="n">
        <v>0</v>
      </c>
      <c r="Z45" t="inlineStr"/>
      <c r="AA45" t="inlineStr">
        <is>
          <t>https://nvd.nist.gov/vuln/detail/CVE-2019-25448</t>
        </is>
      </c>
    </row>
    <row r="46">
      <c r="A46" t="inlineStr">
        <is>
          <t>CVE</t>
        </is>
      </c>
      <c r="B46" t="inlineStr">
        <is>
          <t>CVE-2019-25449</t>
        </is>
      </c>
      <c r="C46"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46" t="n">
        <v>6.1</v>
      </c>
      <c r="E46" t="inlineStr">
        <is>
          <t>MEDIUM</t>
        </is>
      </c>
      <c r="F46" t="n">
        <v>2</v>
      </c>
      <c r="G46" t="n">
        <v>2</v>
      </c>
      <c r="H46" t="inlineStr">
        <is>
          <t>MEDIUM</t>
        </is>
      </c>
      <c r="I46" t="n">
        <v>10.1</v>
      </c>
      <c r="J46" t="inlineStr">
        <is>
          <t>NO</t>
        </is>
      </c>
      <c r="K46" t="inlineStr">
        <is>
          <t>2026-02-27 20:47</t>
        </is>
      </c>
      <c r="L46" t="inlineStr">
        <is>
          <t>CHECK_VENDOR</t>
        </is>
      </c>
      <c r="M46" t="inlineStr">
        <is>
          <t>orientdb orientdb 3.0.17</t>
        </is>
      </c>
      <c r="N46" t="inlineStr">
        <is>
          <t>P4</t>
        </is>
      </c>
      <c r="O46" t="inlineStr">
        <is>
          <t>CVE - IP enrichment n/a</t>
        </is>
      </c>
      <c r="P46" t="n">
        <v>0.0003</v>
      </c>
      <c r="Q46" t="n">
        <v>0.066</v>
      </c>
      <c r="R46" t="inlineStr">
        <is>
          <t>T1189:Drive-by Compromise</t>
        </is>
      </c>
      <c r="S46" t="n">
        <v>1</v>
      </c>
      <c r="T46" t="inlineStr">
        <is>
          <t>LOW (40%)</t>
        </is>
      </c>
      <c r="U46" t="inlineStr">
        <is>
          <t>UNLIKELY</t>
        </is>
      </c>
      <c r="V46" t="inlineStr">
        <is>
          <t>CHECK_VENDOR</t>
        </is>
      </c>
      <c r="W46" t="inlineStr">
        <is>
          <t>https://nvd.nist.gov/vuln/detail/CVE-2019-25449</t>
        </is>
      </c>
      <c r="X46" t="inlineStr">
        <is>
          <t>NONE</t>
        </is>
      </c>
      <c r="Y46" t="n">
        <v>0</v>
      </c>
      <c r="Z46" t="inlineStr"/>
      <c r="AA46" t="inlineStr">
        <is>
          <t>https://nvd.nist.gov/vuln/detail/CVE-2019-25449</t>
        </is>
      </c>
    </row>
    <row r="47">
      <c r="A47" t="inlineStr">
        <is>
          <t>CVE</t>
        </is>
      </c>
      <c r="B47" t="inlineStr">
        <is>
          <t>CVE-2019-25451</t>
        </is>
      </c>
      <c r="C47"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47" t="n">
        <v>4.3</v>
      </c>
      <c r="E47" t="inlineStr">
        <is>
          <t>MEDIUM</t>
        </is>
      </c>
      <c r="F47" t="n">
        <v>2</v>
      </c>
      <c r="G47" t="n">
        <v>2</v>
      </c>
      <c r="H47" t="inlineStr">
        <is>
          <t>MEDIUM</t>
        </is>
      </c>
      <c r="I47" t="n">
        <v>8.300000000000001</v>
      </c>
      <c r="J47" t="inlineStr">
        <is>
          <t>NO</t>
        </is>
      </c>
      <c r="K47" t="inlineStr">
        <is>
          <t>2026-02-27 20:47</t>
        </is>
      </c>
      <c r="L47" t="inlineStr">
        <is>
          <t>CHECK_VENDOR</t>
        </is>
      </c>
      <c r="M47" t="inlineStr">
        <is>
          <t>phpmoadmin phpmoadmin 1.1.5</t>
        </is>
      </c>
      <c r="N47" t="inlineStr">
        <is>
          <t>P4</t>
        </is>
      </c>
      <c r="O47" t="inlineStr">
        <is>
          <t>CVE - IP enrichment n/a</t>
        </is>
      </c>
      <c r="P47" t="n">
        <v>0.0003</v>
      </c>
      <c r="Q47" t="n">
        <v>0.0978</v>
      </c>
      <c r="R47" t="inlineStr">
        <is>
          <t>T1090:Proxy</t>
        </is>
      </c>
      <c r="S47" t="n">
        <v>1</v>
      </c>
      <c r="T47" t="inlineStr">
        <is>
          <t>LOW (40%)</t>
        </is>
      </c>
      <c r="U47" t="inlineStr">
        <is>
          <t>UNLIKELY</t>
        </is>
      </c>
      <c r="V47" t="inlineStr">
        <is>
          <t>CHECK_VENDOR</t>
        </is>
      </c>
      <c r="W47" t="inlineStr">
        <is>
          <t>https://nvd.nist.gov/vuln/detail/CVE-2019-25451</t>
        </is>
      </c>
      <c r="X47" t="inlineStr">
        <is>
          <t>NONE</t>
        </is>
      </c>
      <c r="Y47" t="n">
        <v>0</v>
      </c>
      <c r="Z47" t="inlineStr"/>
      <c r="AA47" t="inlineStr">
        <is>
          <t>https://nvd.nist.gov/vuln/detail/CVE-2019-25451</t>
        </is>
      </c>
    </row>
    <row r="48">
      <c r="A48" t="inlineStr">
        <is>
          <t>CVE</t>
        </is>
      </c>
      <c r="B48" t="inlineStr">
        <is>
          <t>CVE-2019-25453</t>
        </is>
      </c>
      <c r="C48"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48" t="n">
        <v>6.1</v>
      </c>
      <c r="E48" t="inlineStr">
        <is>
          <t>MEDIUM</t>
        </is>
      </c>
      <c r="F48" t="n">
        <v>2</v>
      </c>
      <c r="G48" t="n">
        <v>2</v>
      </c>
      <c r="H48" t="inlineStr">
        <is>
          <t>MEDIUM</t>
        </is>
      </c>
      <c r="I48" t="n">
        <v>10.1</v>
      </c>
      <c r="J48" t="inlineStr">
        <is>
          <t>NO</t>
        </is>
      </c>
      <c r="K48" t="inlineStr">
        <is>
          <t>2026-02-27 20:47</t>
        </is>
      </c>
      <c r="L48" t="inlineStr">
        <is>
          <t>CHECK_VENDOR</t>
        </is>
      </c>
      <c r="M48" t="inlineStr">
        <is>
          <t>phpmoadmin phpmoadmin 1.1.5</t>
        </is>
      </c>
      <c r="N48" t="inlineStr">
        <is>
          <t>P4</t>
        </is>
      </c>
      <c r="O48" t="inlineStr">
        <is>
          <t>CVE - IP enrichment n/a</t>
        </is>
      </c>
      <c r="P48" t="n">
        <v>0.0008</v>
      </c>
      <c r="Q48" t="n">
        <v>0.2291</v>
      </c>
      <c r="R48" t="inlineStr">
        <is>
          <t>T1189:Drive-by Compromise | T1203:Exploitation for Client Execution</t>
        </is>
      </c>
      <c r="S48" t="n">
        <v>1</v>
      </c>
      <c r="T48" t="inlineStr">
        <is>
          <t>LOW (40%)</t>
        </is>
      </c>
      <c r="U48" t="inlineStr">
        <is>
          <t>UNLIKELY</t>
        </is>
      </c>
      <c r="V48" t="inlineStr">
        <is>
          <t>CHECK_VENDOR</t>
        </is>
      </c>
      <c r="W48" t="inlineStr">
        <is>
          <t>https://nvd.nist.gov/vuln/detail/CVE-2019-25453</t>
        </is>
      </c>
      <c r="X48" t="inlineStr">
        <is>
          <t>NONE</t>
        </is>
      </c>
      <c r="Y48" t="n">
        <v>0</v>
      </c>
      <c r="Z48" t="inlineStr"/>
      <c r="AA48" t="inlineStr">
        <is>
          <t>https://nvd.nist.gov/vuln/detail/CVE-2019-25453</t>
        </is>
      </c>
    </row>
    <row r="49">
      <c r="A49" t="inlineStr">
        <is>
          <t>CVE</t>
        </is>
      </c>
      <c r="B49" t="inlineStr">
        <is>
          <t>CVE-2019-25454</t>
        </is>
      </c>
      <c r="C49"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49" t="n">
        <v>7.2</v>
      </c>
      <c r="E49" t="inlineStr">
        <is>
          <t>HIGH</t>
        </is>
      </c>
      <c r="F49" t="n">
        <v>2</v>
      </c>
      <c r="G49" t="n">
        <v>3</v>
      </c>
      <c r="H49" t="inlineStr">
        <is>
          <t>HIGH</t>
        </is>
      </c>
      <c r="I49" t="n">
        <v>13.2</v>
      </c>
      <c r="J49" t="inlineStr">
        <is>
          <t>NO</t>
        </is>
      </c>
      <c r="K49" t="inlineStr">
        <is>
          <t>2026-02-27 20:47</t>
        </is>
      </c>
      <c r="L49" t="inlineStr">
        <is>
          <t>CHECK_VENDOR</t>
        </is>
      </c>
      <c r="M49" t="inlineStr">
        <is>
          <t>phpmoadmin phpmoadmin 1.1.5</t>
        </is>
      </c>
      <c r="N49" t="inlineStr">
        <is>
          <t>P3</t>
        </is>
      </c>
      <c r="O49" t="inlineStr">
        <is>
          <t>CVE - IP enrichment n/a</t>
        </is>
      </c>
      <c r="P49" t="n">
        <v>0.0007</v>
      </c>
      <c r="Q49" t="n">
        <v>0.2098</v>
      </c>
      <c r="R49" t="inlineStr">
        <is>
          <t>T1189:Drive-by Compromise</t>
        </is>
      </c>
      <c r="S49" t="n">
        <v>1</v>
      </c>
      <c r="T49" t="inlineStr">
        <is>
          <t>LOW (40%)</t>
        </is>
      </c>
      <c r="U49" t="inlineStr">
        <is>
          <t>UNLIKELY</t>
        </is>
      </c>
      <c r="V49" t="inlineStr">
        <is>
          <t>CHECK_VENDOR</t>
        </is>
      </c>
      <c r="W49" t="inlineStr">
        <is>
          <t>https://nvd.nist.gov/vuln/detail/CVE-2019-25454</t>
        </is>
      </c>
      <c r="X49" t="inlineStr">
        <is>
          <t>NONE</t>
        </is>
      </c>
      <c r="Y49" t="n">
        <v>0</v>
      </c>
      <c r="Z49" t="inlineStr"/>
      <c r="AA49" t="inlineStr">
        <is>
          <t>https://nvd.nist.gov/vuln/detail/CVE-2019-25454</t>
        </is>
      </c>
    </row>
    <row r="50">
      <c r="A50" t="inlineStr">
        <is>
          <t>CVE</t>
        </is>
      </c>
      <c r="B50" t="inlineStr">
        <is>
          <t>CVE-2026-27119</t>
        </is>
      </c>
      <c r="C50" t="inlineStr">
        <is>
          <t>svelte performance oriented web framework. From 5.39.3, element does not properly escape its content, potentially allowing HTML injection in the SSR output. Client-side rendering is not affected. This vulnerability is fixed in 5.51.5.</t>
        </is>
      </c>
      <c r="D50" t="n">
        <v>5.4</v>
      </c>
      <c r="E50" t="inlineStr">
        <is>
          <t>MEDIUM</t>
        </is>
      </c>
      <c r="F50" t="n">
        <v>2</v>
      </c>
      <c r="G50" t="n">
        <v>2</v>
      </c>
      <c r="H50" t="inlineStr">
        <is>
          <t>MEDIUM</t>
        </is>
      </c>
      <c r="I50" t="n">
        <v>9.4</v>
      </c>
      <c r="J50" t="inlineStr">
        <is>
          <t>NO</t>
        </is>
      </c>
      <c r="K50" t="inlineStr">
        <is>
          <t>2026-02-27 20:47</t>
        </is>
      </c>
      <c r="L50" t="inlineStr">
        <is>
          <t>YES</t>
        </is>
      </c>
      <c r="M50" t="inlineStr">
        <is>
          <t>svelte svelte *</t>
        </is>
      </c>
      <c r="N50" t="inlineStr">
        <is>
          <t>P4</t>
        </is>
      </c>
      <c r="O50" t="inlineStr">
        <is>
          <t>CVE - IP enrichment n/a</t>
        </is>
      </c>
      <c r="P50" t="n">
        <v>0.0003</v>
      </c>
      <c r="Q50" t="n">
        <v>0.07480000000000001</v>
      </c>
      <c r="R50" t="inlineStr">
        <is>
          <t>T1189:Drive-by Compromise</t>
        </is>
      </c>
      <c r="S50" t="n">
        <v>1</v>
      </c>
      <c r="T50" t="inlineStr">
        <is>
          <t>LOW (40%)</t>
        </is>
      </c>
      <c r="U50" t="inlineStr">
        <is>
          <t>UNLIKELY</t>
        </is>
      </c>
      <c r="V50" t="inlineStr">
        <is>
          <t>PATCH_AVAILABLE</t>
        </is>
      </c>
      <c r="W50" t="inlineStr">
        <is>
          <t>https://nvd.nist.gov/vuln/detail/CVE-2026-27119</t>
        </is>
      </c>
      <c r="X50" t="inlineStr">
        <is>
          <t>NONE</t>
        </is>
      </c>
      <c r="Y50" t="n">
        <v>0</v>
      </c>
      <c r="Z50" t="inlineStr"/>
      <c r="AA50" t="inlineStr">
        <is>
          <t>https://nvd.nist.gov/vuln/detail/CVE-2026-27119</t>
        </is>
      </c>
    </row>
    <row r="51">
      <c r="A51" t="inlineStr">
        <is>
          <t>CVE</t>
        </is>
      </c>
      <c r="B51" t="inlineStr">
        <is>
          <t>CVE-2026-27121</t>
        </is>
      </c>
      <c r="C51"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51" t="n">
        <v>5.4</v>
      </c>
      <c r="E51" t="inlineStr">
        <is>
          <t>MEDIUM</t>
        </is>
      </c>
      <c r="F51" t="n">
        <v>2</v>
      </c>
      <c r="G51" t="n">
        <v>2</v>
      </c>
      <c r="H51" t="inlineStr">
        <is>
          <t>MEDIUM</t>
        </is>
      </c>
      <c r="I51" t="n">
        <v>9.4</v>
      </c>
      <c r="J51" t="inlineStr">
        <is>
          <t>NO</t>
        </is>
      </c>
      <c r="K51" t="inlineStr">
        <is>
          <t>2026-02-27 20:47</t>
        </is>
      </c>
      <c r="L51" t="inlineStr">
        <is>
          <t>YES</t>
        </is>
      </c>
      <c r="M51" t="inlineStr">
        <is>
          <t>svelte svelte *</t>
        </is>
      </c>
      <c r="N51" t="inlineStr">
        <is>
          <t>P4</t>
        </is>
      </c>
      <c r="O51" t="inlineStr">
        <is>
          <t>CVE - IP enrichment n/a</t>
        </is>
      </c>
      <c r="P51" t="n">
        <v>0.0003</v>
      </c>
      <c r="Q51" t="n">
        <v>0.0757</v>
      </c>
      <c r="R51" t="inlineStr">
        <is>
          <t>T1189:Drive-by Compromise</t>
        </is>
      </c>
      <c r="S51" t="n">
        <v>1</v>
      </c>
      <c r="T51" t="inlineStr">
        <is>
          <t>LOW (40%)</t>
        </is>
      </c>
      <c r="U51" t="inlineStr">
        <is>
          <t>UNLIKELY</t>
        </is>
      </c>
      <c r="V51" t="inlineStr">
        <is>
          <t>PATCH_AVAILABLE</t>
        </is>
      </c>
      <c r="W51" t="inlineStr">
        <is>
          <t>https://nvd.nist.gov/vuln/detail/CVE-2026-27121</t>
        </is>
      </c>
      <c r="X51" t="inlineStr">
        <is>
          <t>NONE</t>
        </is>
      </c>
      <c r="Y51" t="n">
        <v>0</v>
      </c>
      <c r="Z51" t="inlineStr"/>
      <c r="AA51" t="inlineStr">
        <is>
          <t>https://nvd.nist.gov/vuln/detail/CVE-2026-27121</t>
        </is>
      </c>
    </row>
    <row r="52">
      <c r="A52" t="inlineStr">
        <is>
          <t>CVE</t>
        </is>
      </c>
      <c r="B52" t="inlineStr">
        <is>
          <t>CVE-2026-27122</t>
        </is>
      </c>
      <c r="C52"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52" t="n">
        <v>5.4</v>
      </c>
      <c r="E52" t="inlineStr">
        <is>
          <t>MEDIUM</t>
        </is>
      </c>
      <c r="F52" t="n">
        <v>2</v>
      </c>
      <c r="G52" t="n">
        <v>2</v>
      </c>
      <c r="H52" t="inlineStr">
        <is>
          <t>MEDIUM</t>
        </is>
      </c>
      <c r="I52" t="n">
        <v>9.4</v>
      </c>
      <c r="J52" t="inlineStr">
        <is>
          <t>NO</t>
        </is>
      </c>
      <c r="K52" t="inlineStr">
        <is>
          <t>2026-02-27 20:47</t>
        </is>
      </c>
      <c r="L52" t="inlineStr">
        <is>
          <t>YES</t>
        </is>
      </c>
      <c r="M52" t="inlineStr">
        <is>
          <t>svelte svelte *</t>
        </is>
      </c>
      <c r="N52" t="inlineStr">
        <is>
          <t>P4</t>
        </is>
      </c>
      <c r="O52" t="inlineStr">
        <is>
          <t>CVE - IP enrichment n/a</t>
        </is>
      </c>
      <c r="P52" t="n">
        <v>0.0003</v>
      </c>
      <c r="Q52" t="n">
        <v>0.07480000000000001</v>
      </c>
      <c r="R52" t="inlineStr">
        <is>
          <t>T1189:Drive-by Compromise</t>
        </is>
      </c>
      <c r="S52" t="n">
        <v>1</v>
      </c>
      <c r="T52" t="inlineStr">
        <is>
          <t>LOW (40%)</t>
        </is>
      </c>
      <c r="U52" t="inlineStr">
        <is>
          <t>UNLIKELY</t>
        </is>
      </c>
      <c r="V52" t="inlineStr">
        <is>
          <t>PATCH_AVAILABLE</t>
        </is>
      </c>
      <c r="W52" t="inlineStr">
        <is>
          <t>https://nvd.nist.gov/vuln/detail/CVE-2026-27122</t>
        </is>
      </c>
      <c r="X52" t="inlineStr">
        <is>
          <t>NONE</t>
        </is>
      </c>
      <c r="Y52" t="n">
        <v>0</v>
      </c>
      <c r="Z52" t="inlineStr"/>
      <c r="AA52" t="inlineStr">
        <is>
          <t>https://nvd.nist.gov/vuln/detail/CVE-2026-27122</t>
        </is>
      </c>
    </row>
    <row r="53">
      <c r="A53" t="inlineStr">
        <is>
          <t>CVE</t>
        </is>
      </c>
      <c r="B53" t="inlineStr">
        <is>
          <t>CVE-2026-27125</t>
        </is>
      </c>
      <c r="C53"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53" t="n">
        <v>6.8</v>
      </c>
      <c r="E53" t="inlineStr">
        <is>
          <t>MEDIUM</t>
        </is>
      </c>
      <c r="F53" t="n">
        <v>2</v>
      </c>
      <c r="G53" t="n">
        <v>2</v>
      </c>
      <c r="H53" t="inlineStr">
        <is>
          <t>MEDIUM</t>
        </is>
      </c>
      <c r="I53" t="n">
        <v>10.8</v>
      </c>
      <c r="J53" t="inlineStr">
        <is>
          <t>NO</t>
        </is>
      </c>
      <c r="K53" t="inlineStr">
        <is>
          <t>2026-02-27 20:47</t>
        </is>
      </c>
      <c r="L53" t="inlineStr">
        <is>
          <t>YES</t>
        </is>
      </c>
      <c r="M53" t="inlineStr">
        <is>
          <t>svelte svelte *</t>
        </is>
      </c>
      <c r="N53" t="inlineStr">
        <is>
          <t>P4</t>
        </is>
      </c>
      <c r="O53" t="inlineStr">
        <is>
          <t>CVE - IP enrichment n/a</t>
        </is>
      </c>
      <c r="P53" t="n">
        <v>0.0007</v>
      </c>
      <c r="Q53" t="n">
        <v>0.2176</v>
      </c>
      <c r="R53" t="inlineStr">
        <is>
          <t>T1190:Exploit Public-Facing Application</t>
        </is>
      </c>
      <c r="S53" t="n">
        <v>1</v>
      </c>
      <c r="T53" t="inlineStr">
        <is>
          <t>LOW (40%)</t>
        </is>
      </c>
      <c r="U53" t="inlineStr">
        <is>
          <t>UNLIKELY</t>
        </is>
      </c>
      <c r="V53" t="inlineStr">
        <is>
          <t>PATCH_AVAILABLE</t>
        </is>
      </c>
      <c r="W53" t="inlineStr">
        <is>
          <t>https://nvd.nist.gov/vuln/detail/CVE-2026-27125</t>
        </is>
      </c>
      <c r="X53" t="inlineStr">
        <is>
          <t>NONE</t>
        </is>
      </c>
      <c r="Y53" t="n">
        <v>0</v>
      </c>
      <c r="Z53" t="inlineStr"/>
      <c r="AA53" t="inlineStr">
        <is>
          <t>https://nvd.nist.gov/vuln/detail/CVE-2026-27125</t>
        </is>
      </c>
    </row>
    <row r="54">
      <c r="A54" t="inlineStr">
        <is>
          <t>CVE</t>
        </is>
      </c>
      <c r="B54" t="inlineStr">
        <is>
          <t>CVE-2026-27133</t>
        </is>
      </c>
      <c r="C54"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54" t="n">
        <v>5.9</v>
      </c>
      <c r="E54" t="inlineStr">
        <is>
          <t>MEDIUM</t>
        </is>
      </c>
      <c r="F54" t="n">
        <v>2</v>
      </c>
      <c r="G54" t="n">
        <v>2</v>
      </c>
      <c r="H54" t="inlineStr">
        <is>
          <t>MEDIUM</t>
        </is>
      </c>
      <c r="I54" t="n">
        <v>9.9</v>
      </c>
      <c r="J54" t="inlineStr">
        <is>
          <t>NO</t>
        </is>
      </c>
      <c r="K54" t="inlineStr">
        <is>
          <t>2026-02-27 20:47</t>
        </is>
      </c>
      <c r="L54" t="inlineStr">
        <is>
          <t>YES</t>
        </is>
      </c>
      <c r="M54" t="inlineStr">
        <is>
          <t>linuxfoundation strimzi_kafka_operator *</t>
        </is>
      </c>
      <c r="N54" t="inlineStr">
        <is>
          <t>P4</t>
        </is>
      </c>
      <c r="O54" t="inlineStr">
        <is>
          <t>CVE - IP enrichment n/a</t>
        </is>
      </c>
      <c r="P54" t="n">
        <v>0.0003</v>
      </c>
      <c r="Q54" t="n">
        <v>0.067</v>
      </c>
      <c r="R54" t="inlineStr">
        <is>
          <t>T1190:Exploit Public-Facing Application</t>
        </is>
      </c>
      <c r="S54" t="n">
        <v>1</v>
      </c>
      <c r="T54" t="inlineStr">
        <is>
          <t>LOW (40%)</t>
        </is>
      </c>
      <c r="U54" t="inlineStr">
        <is>
          <t>UNLIKELY</t>
        </is>
      </c>
      <c r="V54" t="inlineStr">
        <is>
          <t>PATCH_AVAILABLE</t>
        </is>
      </c>
      <c r="W54" t="inlineStr">
        <is>
          <t>https://nvd.nist.gov/vuln/detail/CVE-2026-27133</t>
        </is>
      </c>
      <c r="X54" t="inlineStr">
        <is>
          <t>NONE</t>
        </is>
      </c>
      <c r="Y54" t="n">
        <v>0</v>
      </c>
      <c r="Z54" t="inlineStr"/>
      <c r="AA54" t="inlineStr">
        <is>
          <t>https://nvd.nist.gov/vuln/detail/CVE-2026-27133</t>
        </is>
      </c>
    </row>
    <row r="55">
      <c r="A55" t="inlineStr">
        <is>
          <t>CVE</t>
        </is>
      </c>
      <c r="B55" t="inlineStr">
        <is>
          <t>CVE-2026-2033</t>
        </is>
      </c>
      <c r="C55"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55" t="n">
        <v>8.1</v>
      </c>
      <c r="E55" t="inlineStr">
        <is>
          <t>HIGH</t>
        </is>
      </c>
      <c r="F55" t="n">
        <v>2</v>
      </c>
      <c r="G55" t="n">
        <v>3</v>
      </c>
      <c r="H55" t="inlineStr">
        <is>
          <t>HIGH</t>
        </is>
      </c>
      <c r="I55" t="n">
        <v>14.1</v>
      </c>
      <c r="J55" t="inlineStr">
        <is>
          <t>NO</t>
        </is>
      </c>
      <c r="K55" t="inlineStr">
        <is>
          <t>2026-02-27 20:47</t>
        </is>
      </c>
      <c r="L55" t="inlineStr">
        <is>
          <t>CHECK_VENDOR</t>
        </is>
      </c>
      <c r="M55" t="inlineStr">
        <is>
          <t>See CVE details</t>
        </is>
      </c>
      <c r="N55" t="inlineStr">
        <is>
          <t>P1</t>
        </is>
      </c>
      <c r="O55" t="inlineStr">
        <is>
          <t>CVE - IP enrichment n/a</t>
        </is>
      </c>
      <c r="P55" t="n">
        <v>0.1558</v>
      </c>
      <c r="Q55" t="n">
        <v>0.9454</v>
      </c>
      <c r="R55" t="inlineStr">
        <is>
          <t>T1083:File and Directory Discovery | T1190:Exploit Public-Facing Application | T1210:Exploitation of Remote Services</t>
        </is>
      </c>
      <c r="S55" t="n">
        <v>2</v>
      </c>
      <c r="T55" t="inlineStr">
        <is>
          <t>HIGH (72%)</t>
        </is>
      </c>
      <c r="U55" t="inlineStr">
        <is>
          <t>HIGH</t>
        </is>
      </c>
      <c r="V55" t="inlineStr">
        <is>
          <t>CHECK_VENDOR</t>
        </is>
      </c>
      <c r="W55" t="inlineStr">
        <is>
          <t>https://nvd.nist.gov/vuln/detail/CVE-2026-2033</t>
        </is>
      </c>
      <c r="X55" t="inlineStr">
        <is>
          <t>http://www.zerodayinitiative.com/advisories/ZDI-26-123/</t>
        </is>
      </c>
      <c r="Y55" t="n">
        <v>0</v>
      </c>
      <c r="Z55" t="inlineStr"/>
      <c r="AA55" t="inlineStr">
        <is>
          <t>https://nvd.nist.gov/vuln/detail/CVE-2026-2033</t>
        </is>
      </c>
    </row>
    <row r="56">
      <c r="A56" t="inlineStr">
        <is>
          <t>CVE</t>
        </is>
      </c>
      <c r="B56" t="inlineStr">
        <is>
          <t>CVE-2026-2034</t>
        </is>
      </c>
      <c r="C56"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56" t="n">
        <v>7.8</v>
      </c>
      <c r="E56" t="inlineStr">
        <is>
          <t>HIGH</t>
        </is>
      </c>
      <c r="F56" t="n">
        <v>2</v>
      </c>
      <c r="G56" t="n">
        <v>3</v>
      </c>
      <c r="H56" t="inlineStr">
        <is>
          <t>HIGH</t>
        </is>
      </c>
      <c r="I56" t="n">
        <v>13.8</v>
      </c>
      <c r="J56" t="inlineStr">
        <is>
          <t>NO</t>
        </is>
      </c>
      <c r="K56" t="inlineStr">
        <is>
          <t>2026-02-27 20:47</t>
        </is>
      </c>
      <c r="L56" t="inlineStr">
        <is>
          <t>CHECK_VENDOR</t>
        </is>
      </c>
      <c r="M56" t="inlineStr">
        <is>
          <t>santesoft dicom_viewer_pro *</t>
        </is>
      </c>
      <c r="N56" t="inlineStr">
        <is>
          <t>P1</t>
        </is>
      </c>
      <c r="O56" t="inlineStr">
        <is>
          <t>CVE - IP enrichment n/a</t>
        </is>
      </c>
      <c r="P56" t="n">
        <v>0.0005</v>
      </c>
      <c r="Q56" t="n">
        <v>0.1403</v>
      </c>
      <c r="R56" t="inlineStr">
        <is>
          <t>T1203:Exploitation for Client Execution | T1190:Exploit Public-Facing Application | T1210:Exploitation of Remote Services</t>
        </is>
      </c>
      <c r="S56" t="n">
        <v>2</v>
      </c>
      <c r="T56" t="inlineStr">
        <is>
          <t>HIGH (72%)</t>
        </is>
      </c>
      <c r="U56" t="inlineStr">
        <is>
          <t>HIGH</t>
        </is>
      </c>
      <c r="V56" t="inlineStr">
        <is>
          <t>CHECK_VENDOR</t>
        </is>
      </c>
      <c r="W56" t="inlineStr">
        <is>
          <t>https://nvd.nist.gov/vuln/detail/CVE-2026-2034</t>
        </is>
      </c>
      <c r="X56" t="inlineStr">
        <is>
          <t>http://www.zerodayinitiative.com/advisories/ZDI-26-123/</t>
        </is>
      </c>
      <c r="Y56" t="n">
        <v>0</v>
      </c>
      <c r="Z56" t="inlineStr"/>
      <c r="AA56" t="inlineStr">
        <is>
          <t>https://nvd.nist.gov/vuln/detail/CVE-2026-2034</t>
        </is>
      </c>
    </row>
    <row r="57">
      <c r="A57" t="inlineStr">
        <is>
          <t>CVE</t>
        </is>
      </c>
      <c r="B57" t="inlineStr">
        <is>
          <t>CVE-2026-2035</t>
        </is>
      </c>
      <c r="C57"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57" t="n">
        <v>6.8</v>
      </c>
      <c r="E57" t="inlineStr">
        <is>
          <t>MEDIUM</t>
        </is>
      </c>
      <c r="F57" t="n">
        <v>2</v>
      </c>
      <c r="G57" t="n">
        <v>2</v>
      </c>
      <c r="H57" t="inlineStr">
        <is>
          <t>MEDIUM</t>
        </is>
      </c>
      <c r="I57" t="n">
        <v>10.8</v>
      </c>
      <c r="J57" t="inlineStr">
        <is>
          <t>NO</t>
        </is>
      </c>
      <c r="K57" t="inlineStr">
        <is>
          <t>2026-02-27 20:47</t>
        </is>
      </c>
      <c r="L57" t="inlineStr">
        <is>
          <t>CHECK_VENDOR</t>
        </is>
      </c>
      <c r="M57" t="inlineStr">
        <is>
          <t>See CVE details</t>
        </is>
      </c>
      <c r="N57" t="inlineStr">
        <is>
          <t>P1</t>
        </is>
      </c>
      <c r="O57" t="inlineStr">
        <is>
          <t>CVE - IP enrichment n/a</t>
        </is>
      </c>
      <c r="P57" t="n">
        <v>0.0021</v>
      </c>
      <c r="Q57" t="n">
        <v>0.436</v>
      </c>
      <c r="R57" t="inlineStr">
        <is>
          <t>T1059:Command and Scripting Interpreter | T1190:Exploit Public-Facing Application | T1210:Exploitation of Remote Services</t>
        </is>
      </c>
      <c r="S57" t="n">
        <v>2</v>
      </c>
      <c r="T57" t="inlineStr">
        <is>
          <t>HIGH (72%)</t>
        </is>
      </c>
      <c r="U57" t="inlineStr">
        <is>
          <t>HIGH</t>
        </is>
      </c>
      <c r="V57" t="inlineStr">
        <is>
          <t>CHECK_VENDOR</t>
        </is>
      </c>
      <c r="W57" t="inlineStr">
        <is>
          <t>https://nvd.nist.gov/vuln/detail/CVE-2026-2035</t>
        </is>
      </c>
      <c r="X57" t="inlineStr">
        <is>
          <t>http://www.zerodayinitiative.com/advisories/ZDI-26-123/</t>
        </is>
      </c>
      <c r="Y57" t="n">
        <v>0</v>
      </c>
      <c r="Z57" t="inlineStr"/>
      <c r="AA57" t="inlineStr">
        <is>
          <t>https://nvd.nist.gov/vuln/detail/CVE-2026-2035</t>
        </is>
      </c>
    </row>
    <row r="58">
      <c r="A58" t="inlineStr">
        <is>
          <t>CVE</t>
        </is>
      </c>
      <c r="B58" t="inlineStr">
        <is>
          <t>CVE-2026-2036</t>
        </is>
      </c>
      <c r="C58"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58" t="n">
        <v>8.800000000000001</v>
      </c>
      <c r="E58" t="inlineStr">
        <is>
          <t>HIGH</t>
        </is>
      </c>
      <c r="F58" t="n">
        <v>2</v>
      </c>
      <c r="G58" t="n">
        <v>3</v>
      </c>
      <c r="H58" t="inlineStr">
        <is>
          <t>HIGH</t>
        </is>
      </c>
      <c r="I58" t="n">
        <v>14.8</v>
      </c>
      <c r="J58" t="inlineStr">
        <is>
          <t>NO</t>
        </is>
      </c>
      <c r="K58" t="inlineStr">
        <is>
          <t>2026-02-27 20:47</t>
        </is>
      </c>
      <c r="L58" t="inlineStr">
        <is>
          <t>CHECK_VENDOR</t>
        </is>
      </c>
      <c r="M58" t="inlineStr">
        <is>
          <t>gfi archiver 15.10</t>
        </is>
      </c>
      <c r="N58" t="inlineStr">
        <is>
          <t>P1</t>
        </is>
      </c>
      <c r="O58" t="inlineStr">
        <is>
          <t>CVE - IP enrichment n/a</t>
        </is>
      </c>
      <c r="P58" t="n">
        <v>0.0103</v>
      </c>
      <c r="Q58" t="n">
        <v>0.7699</v>
      </c>
      <c r="R58" t="inlineStr">
        <is>
          <t>T1059:Command and Scripting Interpreter | T1190:Exploit Public-Facing Application | T1210:Exploitation of Remote Services</t>
        </is>
      </c>
      <c r="S58" t="n">
        <v>2</v>
      </c>
      <c r="T58" t="inlineStr">
        <is>
          <t>HIGH (72%)</t>
        </is>
      </c>
      <c r="U58" t="inlineStr">
        <is>
          <t>HIGH</t>
        </is>
      </c>
      <c r="V58" t="inlineStr">
        <is>
          <t>CHECK_VENDOR</t>
        </is>
      </c>
      <c r="W58" t="inlineStr">
        <is>
          <t>https://nvd.nist.gov/vuln/detail/CVE-2026-2036</t>
        </is>
      </c>
      <c r="X58" t="inlineStr">
        <is>
          <t>http://www.zerodayinitiative.com/advisories/ZDI-26-123/</t>
        </is>
      </c>
      <c r="Y58" t="n">
        <v>0</v>
      </c>
      <c r="Z58" t="inlineStr"/>
      <c r="AA58" t="inlineStr">
        <is>
          <t>https://nvd.nist.gov/vuln/detail/CVE-2026-2036</t>
        </is>
      </c>
    </row>
    <row r="59">
      <c r="A59" t="inlineStr">
        <is>
          <t>CVE</t>
        </is>
      </c>
      <c r="B59" t="inlineStr">
        <is>
          <t>CVE-2026-2037</t>
        </is>
      </c>
      <c r="C59"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59" t="n">
        <v>8.800000000000001</v>
      </c>
      <c r="E59" t="inlineStr">
        <is>
          <t>HIGH</t>
        </is>
      </c>
      <c r="F59" t="n">
        <v>2</v>
      </c>
      <c r="G59" t="n">
        <v>3</v>
      </c>
      <c r="H59" t="inlineStr">
        <is>
          <t>HIGH</t>
        </is>
      </c>
      <c r="I59" t="n">
        <v>14.8</v>
      </c>
      <c r="J59" t="inlineStr">
        <is>
          <t>NO</t>
        </is>
      </c>
      <c r="K59" t="inlineStr">
        <is>
          <t>2026-02-27 20:47</t>
        </is>
      </c>
      <c r="L59" t="inlineStr">
        <is>
          <t>CHECK_VENDOR</t>
        </is>
      </c>
      <c r="M59" t="inlineStr">
        <is>
          <t>gfi archiver 15.10</t>
        </is>
      </c>
      <c r="N59" t="inlineStr">
        <is>
          <t>P1</t>
        </is>
      </c>
      <c r="O59" t="inlineStr">
        <is>
          <t>CVE - IP enrichment n/a</t>
        </is>
      </c>
      <c r="P59" t="n">
        <v>0.0103</v>
      </c>
      <c r="Q59" t="n">
        <v>0.7699</v>
      </c>
      <c r="R59" t="inlineStr">
        <is>
          <t>T1059:Command and Scripting Interpreter | T1190:Exploit Public-Facing Application | T1210:Exploitation of Remote Services</t>
        </is>
      </c>
      <c r="S59" t="n">
        <v>2</v>
      </c>
      <c r="T59" t="inlineStr">
        <is>
          <t>HIGH (72%)</t>
        </is>
      </c>
      <c r="U59" t="inlineStr">
        <is>
          <t>HIGH</t>
        </is>
      </c>
      <c r="V59" t="inlineStr">
        <is>
          <t>CHECK_VENDOR</t>
        </is>
      </c>
      <c r="W59" t="inlineStr">
        <is>
          <t>https://nvd.nist.gov/vuln/detail/CVE-2026-2037</t>
        </is>
      </c>
      <c r="X59" t="inlineStr">
        <is>
          <t>http://www.zerodayinitiative.com/advisories/ZDI-26-123/</t>
        </is>
      </c>
      <c r="Y59" t="n">
        <v>0</v>
      </c>
      <c r="Z59" t="inlineStr"/>
      <c r="AA59" t="inlineStr">
        <is>
          <t>https://nvd.nist.gov/vuln/detail/CVE-2026-2037</t>
        </is>
      </c>
    </row>
    <row r="60">
      <c r="A60" t="inlineStr">
        <is>
          <t>CVE</t>
        </is>
      </c>
      <c r="B60" t="inlineStr">
        <is>
          <t>CVE-2026-2038</t>
        </is>
      </c>
      <c r="C60"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60" t="n">
        <v>9.800000000000001</v>
      </c>
      <c r="E60" t="inlineStr">
        <is>
          <t>CRITICAL</t>
        </is>
      </c>
      <c r="F60" t="n">
        <v>2</v>
      </c>
      <c r="G60" t="n">
        <v>3</v>
      </c>
      <c r="H60" t="inlineStr">
        <is>
          <t>HIGH</t>
        </is>
      </c>
      <c r="I60" t="n">
        <v>15.8</v>
      </c>
      <c r="J60" t="inlineStr">
        <is>
          <t>NO</t>
        </is>
      </c>
      <c r="K60" t="inlineStr">
        <is>
          <t>2026-02-27 20:47</t>
        </is>
      </c>
      <c r="L60" t="inlineStr">
        <is>
          <t>CHECK_VENDOR</t>
        </is>
      </c>
      <c r="M60" t="inlineStr">
        <is>
          <t>gfi archiver 15.10</t>
        </is>
      </c>
      <c r="N60" t="inlineStr">
        <is>
          <t>P1</t>
        </is>
      </c>
      <c r="O60" t="inlineStr">
        <is>
          <t>CVE - IP enrichment n/a</t>
        </is>
      </c>
      <c r="P60" t="n">
        <v>0.0059</v>
      </c>
      <c r="Q60" t="n">
        <v>0.6879999999999999</v>
      </c>
      <c r="R60" t="inlineStr">
        <is>
          <t>T1078:Valid Accounts</t>
        </is>
      </c>
      <c r="S60" t="n">
        <v>2</v>
      </c>
      <c r="T60" t="inlineStr">
        <is>
          <t>HIGH (72%)</t>
        </is>
      </c>
      <c r="U60" t="inlineStr">
        <is>
          <t>HIGH</t>
        </is>
      </c>
      <c r="V60" t="inlineStr">
        <is>
          <t>CHECK_VENDOR</t>
        </is>
      </c>
      <c r="W60" t="inlineStr">
        <is>
          <t>https://nvd.nist.gov/vuln/detail/CVE-2026-2038</t>
        </is>
      </c>
      <c r="X60" t="inlineStr">
        <is>
          <t>http://www.zerodayinitiative.com/advisories/ZDI-26-123/</t>
        </is>
      </c>
      <c r="Y60" t="n">
        <v>0</v>
      </c>
      <c r="Z60" t="inlineStr"/>
      <c r="AA60" t="inlineStr">
        <is>
          <t>https://nvd.nist.gov/vuln/detail/CVE-2026-2038</t>
        </is>
      </c>
    </row>
    <row r="61">
      <c r="A61" t="inlineStr">
        <is>
          <t>CVE</t>
        </is>
      </c>
      <c r="B61" t="inlineStr">
        <is>
          <t>CVE-2026-2039</t>
        </is>
      </c>
      <c r="C61"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61" t="n">
        <v>9.800000000000001</v>
      </c>
      <c r="E61" t="inlineStr">
        <is>
          <t>CRITICAL</t>
        </is>
      </c>
      <c r="F61" t="n">
        <v>2</v>
      </c>
      <c r="G61" t="n">
        <v>3</v>
      </c>
      <c r="H61" t="inlineStr">
        <is>
          <t>HIGH</t>
        </is>
      </c>
      <c r="I61" t="n">
        <v>15.8</v>
      </c>
      <c r="J61" t="inlineStr">
        <is>
          <t>NO</t>
        </is>
      </c>
      <c r="K61" t="inlineStr">
        <is>
          <t>2026-02-27 20:47</t>
        </is>
      </c>
      <c r="L61" t="inlineStr">
        <is>
          <t>CHECK_VENDOR</t>
        </is>
      </c>
      <c r="M61" t="inlineStr">
        <is>
          <t>gfi archiver 15.10</t>
        </is>
      </c>
      <c r="N61" t="inlineStr">
        <is>
          <t>P1</t>
        </is>
      </c>
      <c r="O61" t="inlineStr">
        <is>
          <t>CVE - IP enrichment n/a</t>
        </is>
      </c>
      <c r="P61" t="n">
        <v>0.0059</v>
      </c>
      <c r="Q61" t="n">
        <v>0.6879999999999999</v>
      </c>
      <c r="R61" t="inlineStr">
        <is>
          <t>T1078:Valid Accounts</t>
        </is>
      </c>
      <c r="S61" t="n">
        <v>2</v>
      </c>
      <c r="T61" t="inlineStr">
        <is>
          <t>HIGH (72%)</t>
        </is>
      </c>
      <c r="U61" t="inlineStr">
        <is>
          <t>HIGH</t>
        </is>
      </c>
      <c r="V61" t="inlineStr">
        <is>
          <t>CHECK_VENDOR</t>
        </is>
      </c>
      <c r="W61" t="inlineStr">
        <is>
          <t>https://nvd.nist.gov/vuln/detail/CVE-2026-2039</t>
        </is>
      </c>
      <c r="X61" t="inlineStr">
        <is>
          <t>http://www.zerodayinitiative.com/advisories/ZDI-26-123/</t>
        </is>
      </c>
      <c r="Y61" t="n">
        <v>0</v>
      </c>
      <c r="Z61" t="inlineStr"/>
      <c r="AA61" t="inlineStr">
        <is>
          <t>https://nvd.nist.gov/vuln/detail/CVE-2026-2039</t>
        </is>
      </c>
    </row>
    <row r="62">
      <c r="A62" t="inlineStr">
        <is>
          <t>CVE</t>
        </is>
      </c>
      <c r="B62" t="inlineStr">
        <is>
          <t>CVE-2026-2040</t>
        </is>
      </c>
      <c r="C62"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62" t="n">
        <v>7.3</v>
      </c>
      <c r="E62" t="inlineStr">
        <is>
          <t>HIGH</t>
        </is>
      </c>
      <c r="F62" t="n">
        <v>2</v>
      </c>
      <c r="G62" t="n">
        <v>3</v>
      </c>
      <c r="H62" t="inlineStr">
        <is>
          <t>HIGH</t>
        </is>
      </c>
      <c r="I62" t="n">
        <v>13.3</v>
      </c>
      <c r="J62" t="inlineStr">
        <is>
          <t>NO</t>
        </is>
      </c>
      <c r="K62" t="inlineStr">
        <is>
          <t>2026-02-27 20:47</t>
        </is>
      </c>
      <c r="L62" t="inlineStr">
        <is>
          <t>CHECK_VENDOR</t>
        </is>
      </c>
      <c r="M62" t="inlineStr">
        <is>
          <t>See CVE details</t>
        </is>
      </c>
      <c r="N62" t="inlineStr">
        <is>
          <t>P1</t>
        </is>
      </c>
      <c r="O62" t="inlineStr">
        <is>
          <t>CVE - IP enrichment n/a</t>
        </is>
      </c>
      <c r="P62" t="n">
        <v>0.0001</v>
      </c>
      <c r="Q62" t="n">
        <v>0.0257</v>
      </c>
      <c r="R62" t="inlineStr">
        <is>
          <t>T1068:Exploitation for Privilege Escalation</t>
        </is>
      </c>
      <c r="S62" t="n">
        <v>2</v>
      </c>
      <c r="T62" t="inlineStr">
        <is>
          <t>HIGH (72%)</t>
        </is>
      </c>
      <c r="U62" t="inlineStr">
        <is>
          <t>HIGH</t>
        </is>
      </c>
      <c r="V62" t="inlineStr">
        <is>
          <t>CHECK_VENDOR</t>
        </is>
      </c>
      <c r="W62" t="inlineStr">
        <is>
          <t>https://nvd.nist.gov/vuln/detail/CVE-2026-2040</t>
        </is>
      </c>
      <c r="X62" t="inlineStr">
        <is>
          <t>http://www.zerodayinitiative.com/advisories/ZDI-26-122/</t>
        </is>
      </c>
      <c r="Y62" t="n">
        <v>0</v>
      </c>
      <c r="Z62" t="inlineStr"/>
      <c r="AA62" t="inlineStr">
        <is>
          <t>https://nvd.nist.gov/vuln/detail/CVE-2026-2040</t>
        </is>
      </c>
    </row>
    <row r="63">
      <c r="A63" t="inlineStr">
        <is>
          <t>CVE</t>
        </is>
      </c>
      <c r="B63" t="inlineStr">
        <is>
          <t>CVE-2026-2041</t>
        </is>
      </c>
      <c r="C63"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63" t="n">
        <v>8.800000000000001</v>
      </c>
      <c r="E63" t="inlineStr">
        <is>
          <t>HIGH</t>
        </is>
      </c>
      <c r="F63" t="n">
        <v>2</v>
      </c>
      <c r="G63" t="n">
        <v>3</v>
      </c>
      <c r="H63" t="inlineStr">
        <is>
          <t>HIGH</t>
        </is>
      </c>
      <c r="I63" t="n">
        <v>14.8</v>
      </c>
      <c r="J63" t="inlineStr">
        <is>
          <t>NO</t>
        </is>
      </c>
      <c r="K63" t="inlineStr">
        <is>
          <t>2026-02-27 20:47</t>
        </is>
      </c>
      <c r="L63" t="inlineStr">
        <is>
          <t>CHECK_VENDOR</t>
        </is>
      </c>
      <c r="M63" t="inlineStr">
        <is>
          <t>nagios nagios_xi 2026</t>
        </is>
      </c>
      <c r="N63" t="inlineStr">
        <is>
          <t>P1</t>
        </is>
      </c>
      <c r="O63" t="inlineStr">
        <is>
          <t>CVE - IP enrichment n/a</t>
        </is>
      </c>
      <c r="P63" t="n">
        <v>0.0222</v>
      </c>
      <c r="Q63" t="n">
        <v>0.8424</v>
      </c>
      <c r="R63" t="inlineStr">
        <is>
          <t>T1059:Command and Scripting Interpreter | T1190:Exploit Public-Facing Application | T1210:Exploitation of Remote Services</t>
        </is>
      </c>
      <c r="S63" t="n">
        <v>2</v>
      </c>
      <c r="T63" t="inlineStr">
        <is>
          <t>HIGH (72%)</t>
        </is>
      </c>
      <c r="U63" t="inlineStr">
        <is>
          <t>HIGH</t>
        </is>
      </c>
      <c r="V63" t="inlineStr">
        <is>
          <t>CHECK_VENDOR</t>
        </is>
      </c>
      <c r="W63" t="inlineStr">
        <is>
          <t>https://nvd.nist.gov/vuln/detail/CVE-2026-2041</t>
        </is>
      </c>
      <c r="X63" t="inlineStr">
        <is>
          <t>http://www.zerodayinitiative.com/advisories/ZDI-26-123/</t>
        </is>
      </c>
      <c r="Y63" t="n">
        <v>0</v>
      </c>
      <c r="Z63" t="inlineStr"/>
      <c r="AA63" t="inlineStr">
        <is>
          <t>https://nvd.nist.gov/vuln/detail/CVE-2026-2041</t>
        </is>
      </c>
    </row>
    <row r="64">
      <c r="A64" t="inlineStr">
        <is>
          <t>CVE</t>
        </is>
      </c>
      <c r="B64" t="inlineStr">
        <is>
          <t>CVE-2026-2042</t>
        </is>
      </c>
      <c r="C64"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64" t="n">
        <v>8.800000000000001</v>
      </c>
      <c r="E64" t="inlineStr">
        <is>
          <t>HIGH</t>
        </is>
      </c>
      <c r="F64" t="n">
        <v>2</v>
      </c>
      <c r="G64" t="n">
        <v>3</v>
      </c>
      <c r="H64" t="inlineStr">
        <is>
          <t>HIGH</t>
        </is>
      </c>
      <c r="I64" t="n">
        <v>14.8</v>
      </c>
      <c r="J64" t="inlineStr">
        <is>
          <t>NO</t>
        </is>
      </c>
      <c r="K64" t="inlineStr">
        <is>
          <t>2026-02-27 20:47</t>
        </is>
      </c>
      <c r="L64" t="inlineStr">
        <is>
          <t>CHECK_VENDOR</t>
        </is>
      </c>
      <c r="M64" t="inlineStr">
        <is>
          <t>nagios nagios_xi 2026</t>
        </is>
      </c>
      <c r="N64" t="inlineStr">
        <is>
          <t>P1</t>
        </is>
      </c>
      <c r="O64" t="inlineStr">
        <is>
          <t>CVE - IP enrichment n/a</t>
        </is>
      </c>
      <c r="P64" t="n">
        <v>0.0222</v>
      </c>
      <c r="Q64" t="n">
        <v>0.8424</v>
      </c>
      <c r="R64" t="inlineStr">
        <is>
          <t>T1059:Command and Scripting Interpreter | T1190:Exploit Public-Facing Application | T1210:Exploitation of Remote Services</t>
        </is>
      </c>
      <c r="S64" t="n">
        <v>2</v>
      </c>
      <c r="T64" t="inlineStr">
        <is>
          <t>HIGH (72%)</t>
        </is>
      </c>
      <c r="U64" t="inlineStr">
        <is>
          <t>HIGH</t>
        </is>
      </c>
      <c r="V64" t="inlineStr">
        <is>
          <t>CHECK_VENDOR</t>
        </is>
      </c>
      <c r="W64" t="inlineStr">
        <is>
          <t>https://nvd.nist.gov/vuln/detail/CVE-2026-2042</t>
        </is>
      </c>
      <c r="X64" t="inlineStr">
        <is>
          <t>http://www.zerodayinitiative.com/advisories/ZDI-26-123/</t>
        </is>
      </c>
      <c r="Y64" t="n">
        <v>0</v>
      </c>
      <c r="Z64" t="inlineStr"/>
      <c r="AA64" t="inlineStr">
        <is>
          <t>https://nvd.nist.gov/vuln/detail/CVE-2026-2042</t>
        </is>
      </c>
    </row>
    <row r="65">
      <c r="A65" t="inlineStr">
        <is>
          <t>CVE</t>
        </is>
      </c>
      <c r="B65" t="inlineStr">
        <is>
          <t>CVE-2026-2043</t>
        </is>
      </c>
      <c r="C65"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65" t="n">
        <v>8.800000000000001</v>
      </c>
      <c r="E65" t="inlineStr">
        <is>
          <t>HIGH</t>
        </is>
      </c>
      <c r="F65" t="n">
        <v>2</v>
      </c>
      <c r="G65" t="n">
        <v>3</v>
      </c>
      <c r="H65" t="inlineStr">
        <is>
          <t>HIGH</t>
        </is>
      </c>
      <c r="I65" t="n">
        <v>14.8</v>
      </c>
      <c r="J65" t="inlineStr">
        <is>
          <t>NO</t>
        </is>
      </c>
      <c r="K65" t="inlineStr">
        <is>
          <t>2026-02-27 20:47</t>
        </is>
      </c>
      <c r="L65" t="inlineStr">
        <is>
          <t>CHECK_VENDOR</t>
        </is>
      </c>
      <c r="M65" t="inlineStr">
        <is>
          <t>nagios nagios_xi 2026</t>
        </is>
      </c>
      <c r="N65" t="inlineStr">
        <is>
          <t>P1</t>
        </is>
      </c>
      <c r="O65" t="inlineStr">
        <is>
          <t>CVE - IP enrichment n/a</t>
        </is>
      </c>
      <c r="P65" t="n">
        <v>0.0117</v>
      </c>
      <c r="Q65" t="n">
        <v>0.7843</v>
      </c>
      <c r="R65" t="inlineStr">
        <is>
          <t>T1059:Command and Scripting Interpreter | T1190:Exploit Public-Facing Application | T1210:Exploitation of Remote Services</t>
        </is>
      </c>
      <c r="S65" t="n">
        <v>2</v>
      </c>
      <c r="T65" t="inlineStr">
        <is>
          <t>HIGH (72%)</t>
        </is>
      </c>
      <c r="U65" t="inlineStr">
        <is>
          <t>HIGH</t>
        </is>
      </c>
      <c r="V65" t="inlineStr">
        <is>
          <t>CHECK_VENDOR</t>
        </is>
      </c>
      <c r="W65" t="inlineStr">
        <is>
          <t>https://nvd.nist.gov/vuln/detail/CVE-2026-2043</t>
        </is>
      </c>
      <c r="X65" t="inlineStr">
        <is>
          <t>http://www.zerodayinitiative.com/advisories/ZDI-26-123/</t>
        </is>
      </c>
      <c r="Y65" t="n">
        <v>0</v>
      </c>
      <c r="Z65" t="inlineStr"/>
      <c r="AA65" t="inlineStr">
        <is>
          <t>https://nvd.nist.gov/vuln/detail/CVE-2026-2043</t>
        </is>
      </c>
    </row>
    <row r="66">
      <c r="A66" t="inlineStr">
        <is>
          <t>CVE</t>
        </is>
      </c>
      <c r="B66" t="inlineStr">
        <is>
          <t>CVE-2026-2044</t>
        </is>
      </c>
      <c r="C66"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66" t="n">
        <v>7.8</v>
      </c>
      <c r="E66" t="inlineStr">
        <is>
          <t>HIGH</t>
        </is>
      </c>
      <c r="F66" t="n">
        <v>2</v>
      </c>
      <c r="G66" t="n">
        <v>3</v>
      </c>
      <c r="H66" t="inlineStr">
        <is>
          <t>HIGH</t>
        </is>
      </c>
      <c r="I66" t="n">
        <v>13.8</v>
      </c>
      <c r="J66" t="inlineStr">
        <is>
          <t>NO</t>
        </is>
      </c>
      <c r="K66" t="inlineStr">
        <is>
          <t>2026-02-27 20:47</t>
        </is>
      </c>
      <c r="L66" t="inlineStr">
        <is>
          <t>YES</t>
        </is>
      </c>
      <c r="M66" t="inlineStr">
        <is>
          <t>gimp gimp 3.0.6</t>
        </is>
      </c>
      <c r="N66" t="inlineStr">
        <is>
          <t>P1</t>
        </is>
      </c>
      <c r="O66" t="inlineStr">
        <is>
          <t>CVE - IP enrichment n/a</t>
        </is>
      </c>
      <c r="P66" t="n">
        <v>0.0005999999999999999</v>
      </c>
      <c r="Q66" t="n">
        <v>0.1967</v>
      </c>
      <c r="R66" t="inlineStr">
        <is>
          <t>T1190:Exploit Public-Facing Application | T1210:Exploitation of Remote Services | T1203:Exploitation for Client Execution</t>
        </is>
      </c>
      <c r="S66" t="n">
        <v>2</v>
      </c>
      <c r="T66" t="inlineStr">
        <is>
          <t>HIGH (72%)</t>
        </is>
      </c>
      <c r="U66" t="inlineStr">
        <is>
          <t>HIGH</t>
        </is>
      </c>
      <c r="V66" t="inlineStr">
        <is>
          <t>PATCH_AVAILABLE</t>
        </is>
      </c>
      <c r="W66" t="inlineStr">
        <is>
          <t>https://nvd.nist.gov/vuln/detail/CVE-2026-2044</t>
        </is>
      </c>
      <c r="X66" t="inlineStr">
        <is>
          <t>http://www.zerodayinitiative.com/advisories/ZDI-26-118/</t>
        </is>
      </c>
      <c r="Y66" t="n">
        <v>0</v>
      </c>
      <c r="Z66" t="inlineStr"/>
      <c r="AA66" t="inlineStr">
        <is>
          <t>https://nvd.nist.gov/vuln/detail/CVE-2026-2044</t>
        </is>
      </c>
    </row>
    <row r="67">
      <c r="A67" t="inlineStr">
        <is>
          <t>CVE</t>
        </is>
      </c>
      <c r="B67" t="inlineStr">
        <is>
          <t>CVE-2026-2045</t>
        </is>
      </c>
      <c r="C67"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67" t="n">
        <v>7.8</v>
      </c>
      <c r="E67" t="inlineStr">
        <is>
          <t>HIGH</t>
        </is>
      </c>
      <c r="F67" t="n">
        <v>2</v>
      </c>
      <c r="G67" t="n">
        <v>3</v>
      </c>
      <c r="H67" t="inlineStr">
        <is>
          <t>HIGH</t>
        </is>
      </c>
      <c r="I67" t="n">
        <v>13.8</v>
      </c>
      <c r="J67" t="inlineStr">
        <is>
          <t>NO</t>
        </is>
      </c>
      <c r="K67" t="inlineStr">
        <is>
          <t>2026-02-27 20:47</t>
        </is>
      </c>
      <c r="L67" t="inlineStr">
        <is>
          <t>YES</t>
        </is>
      </c>
      <c r="M67" t="inlineStr">
        <is>
          <t>gimp gimp 3.0.6</t>
        </is>
      </c>
      <c r="N67" t="inlineStr">
        <is>
          <t>P1</t>
        </is>
      </c>
      <c r="O67" t="inlineStr">
        <is>
          <t>CVE - IP enrichment n/a</t>
        </is>
      </c>
      <c r="P67" t="n">
        <v>0.0008</v>
      </c>
      <c r="Q67" t="n">
        <v>0.2351</v>
      </c>
      <c r="R67" t="inlineStr">
        <is>
          <t>T1203:Exploitation for Client Execution | T1190:Exploit Public-Facing Application | T1210:Exploitation of Remote Services</t>
        </is>
      </c>
      <c r="S67" t="n">
        <v>2</v>
      </c>
      <c r="T67" t="inlineStr">
        <is>
          <t>HIGH (72%)</t>
        </is>
      </c>
      <c r="U67" t="inlineStr">
        <is>
          <t>HIGH</t>
        </is>
      </c>
      <c r="V67" t="inlineStr">
        <is>
          <t>PATCH_AVAILABLE</t>
        </is>
      </c>
      <c r="W67" t="inlineStr">
        <is>
          <t>https://nvd.nist.gov/vuln/detail/CVE-2026-2045</t>
        </is>
      </c>
      <c r="X67" t="inlineStr">
        <is>
          <t>http://www.zerodayinitiative.com/advisories/ZDI-26-119/</t>
        </is>
      </c>
      <c r="Y67" t="n">
        <v>0</v>
      </c>
      <c r="Z67" t="inlineStr"/>
      <c r="AA67" t="inlineStr">
        <is>
          <t>https://nvd.nist.gov/vuln/detail/CVE-2026-2045</t>
        </is>
      </c>
    </row>
    <row r="68">
      <c r="A68" t="inlineStr">
        <is>
          <t>CVE</t>
        </is>
      </c>
      <c r="B68" t="inlineStr">
        <is>
          <t>CVE-2026-2047</t>
        </is>
      </c>
      <c r="C68"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68" t="n">
        <v>7.8</v>
      </c>
      <c r="E68" t="inlineStr">
        <is>
          <t>HIGH</t>
        </is>
      </c>
      <c r="F68" t="n">
        <v>2</v>
      </c>
      <c r="G68" t="n">
        <v>3</v>
      </c>
      <c r="H68" t="inlineStr">
        <is>
          <t>HIGH</t>
        </is>
      </c>
      <c r="I68" t="n">
        <v>13.8</v>
      </c>
      <c r="J68" t="inlineStr">
        <is>
          <t>NO</t>
        </is>
      </c>
      <c r="K68" t="inlineStr">
        <is>
          <t>2026-02-27 20:47</t>
        </is>
      </c>
      <c r="L68" t="inlineStr">
        <is>
          <t>YES</t>
        </is>
      </c>
      <c r="M68" t="inlineStr">
        <is>
          <t>gimp gimp 3.0.6</t>
        </is>
      </c>
      <c r="N68" t="inlineStr">
        <is>
          <t>P1</t>
        </is>
      </c>
      <c r="O68" t="inlineStr">
        <is>
          <t>CVE - IP enrichment n/a</t>
        </is>
      </c>
      <c r="P68" t="n">
        <v>0.0005999999999999999</v>
      </c>
      <c r="Q68" t="n">
        <v>0.1804</v>
      </c>
      <c r="R68" t="inlineStr">
        <is>
          <t>T1203:Exploitation for Client Execution | T1190:Exploit Public-Facing Application | T1210:Exploitation of Remote Services</t>
        </is>
      </c>
      <c r="S68" t="n">
        <v>2</v>
      </c>
      <c r="T68" t="inlineStr">
        <is>
          <t>HIGH (72%)</t>
        </is>
      </c>
      <c r="U68" t="inlineStr">
        <is>
          <t>HIGH</t>
        </is>
      </c>
      <c r="V68" t="inlineStr">
        <is>
          <t>PATCH_AVAILABLE</t>
        </is>
      </c>
      <c r="W68" t="inlineStr">
        <is>
          <t>https://nvd.nist.gov/vuln/detail/CVE-2026-2047</t>
        </is>
      </c>
      <c r="X68" t="inlineStr">
        <is>
          <t>http://www.zerodayinitiative.com/advisories/ZDI-26-120/</t>
        </is>
      </c>
      <c r="Y68" t="n">
        <v>0</v>
      </c>
      <c r="Z68" t="inlineStr"/>
      <c r="AA68" t="inlineStr">
        <is>
          <t>https://nvd.nist.gov/vuln/detail/CVE-2026-2047</t>
        </is>
      </c>
    </row>
    <row r="69">
      <c r="A69" t="inlineStr">
        <is>
          <t>CVE</t>
        </is>
      </c>
      <c r="B69" t="inlineStr">
        <is>
          <t>CVE-2026-2048</t>
        </is>
      </c>
      <c r="C6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69" t="n">
        <v>7.8</v>
      </c>
      <c r="E69" t="inlineStr">
        <is>
          <t>HIGH</t>
        </is>
      </c>
      <c r="F69" t="n">
        <v>2</v>
      </c>
      <c r="G69" t="n">
        <v>3</v>
      </c>
      <c r="H69" t="inlineStr">
        <is>
          <t>HIGH</t>
        </is>
      </c>
      <c r="I69" t="n">
        <v>13.8</v>
      </c>
      <c r="J69" t="inlineStr">
        <is>
          <t>NO</t>
        </is>
      </c>
      <c r="K69" t="inlineStr">
        <is>
          <t>2026-02-27 20:47</t>
        </is>
      </c>
      <c r="L69" t="inlineStr">
        <is>
          <t>CHECK_VENDOR</t>
        </is>
      </c>
      <c r="M69" t="inlineStr">
        <is>
          <t>gimp gimp 3.2.0</t>
        </is>
      </c>
      <c r="N69" t="inlineStr">
        <is>
          <t>P1</t>
        </is>
      </c>
      <c r="O69" t="inlineStr">
        <is>
          <t>CVE - IP enrichment n/a</t>
        </is>
      </c>
      <c r="P69" t="n">
        <v>0.0008</v>
      </c>
      <c r="Q69" t="n">
        <v>0.2351</v>
      </c>
      <c r="R69" t="inlineStr">
        <is>
          <t>T1203:Exploitation for Client Execution | T1190:Exploit Public-Facing Application | T1210:Exploitation of Remote Services</t>
        </is>
      </c>
      <c r="S69" t="n">
        <v>2</v>
      </c>
      <c r="T69" t="inlineStr">
        <is>
          <t>HIGH (72%)</t>
        </is>
      </c>
      <c r="U69" t="inlineStr">
        <is>
          <t>HIGH</t>
        </is>
      </c>
      <c r="V69" t="inlineStr">
        <is>
          <t>CHECK_VENDOR</t>
        </is>
      </c>
      <c r="W69" t="inlineStr">
        <is>
          <t>https://nvd.nist.gov/vuln/detail/CVE-2026-2048</t>
        </is>
      </c>
      <c r="X69" t="inlineStr">
        <is>
          <t>http://www.zerodayinitiative.com/advisories/ZDI-26-121/</t>
        </is>
      </c>
      <c r="Y69" t="n">
        <v>0</v>
      </c>
      <c r="Z69" t="inlineStr"/>
      <c r="AA69" t="inlineStr">
        <is>
          <t>https://nvd.nist.gov/vuln/detail/CVE-2026-2048</t>
        </is>
      </c>
    </row>
    <row r="70">
      <c r="A70" t="inlineStr">
        <is>
          <t>CVE</t>
        </is>
      </c>
      <c r="B70" t="inlineStr">
        <is>
          <t>CVE-2026-2490</t>
        </is>
      </c>
      <c r="C70"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70" t="n">
        <v>5.5</v>
      </c>
      <c r="E70" t="inlineStr">
        <is>
          <t>MEDIUM</t>
        </is>
      </c>
      <c r="F70" t="n">
        <v>2</v>
      </c>
      <c r="G70" t="n">
        <v>2</v>
      </c>
      <c r="H70" t="inlineStr">
        <is>
          <t>MEDIUM</t>
        </is>
      </c>
      <c r="I70" t="n">
        <v>9.5</v>
      </c>
      <c r="J70" t="inlineStr">
        <is>
          <t>NO</t>
        </is>
      </c>
      <c r="K70" t="inlineStr">
        <is>
          <t>2026-02-27 20:47</t>
        </is>
      </c>
      <c r="L70" t="inlineStr">
        <is>
          <t>CHECK_VENDOR</t>
        </is>
      </c>
      <c r="M70" t="inlineStr">
        <is>
          <t>See CVE details</t>
        </is>
      </c>
      <c r="N70" t="inlineStr">
        <is>
          <t>P1</t>
        </is>
      </c>
      <c r="O70" t="inlineStr">
        <is>
          <t>CVE - IP enrichment n/a</t>
        </is>
      </c>
      <c r="P70" t="n">
        <v>0.0002</v>
      </c>
      <c r="Q70" t="n">
        <v>0.0376</v>
      </c>
      <c r="R70" t="inlineStr">
        <is>
          <t>T1213:Data from Information Repositories</t>
        </is>
      </c>
      <c r="S70" t="n">
        <v>2</v>
      </c>
      <c r="T70" t="inlineStr">
        <is>
          <t>HIGH (72%)</t>
        </is>
      </c>
      <c r="U70" t="inlineStr">
        <is>
          <t>HIGH</t>
        </is>
      </c>
      <c r="V70" t="inlineStr">
        <is>
          <t>CHECK_VENDOR</t>
        </is>
      </c>
      <c r="W70" t="inlineStr">
        <is>
          <t>https://nvd.nist.gov/vuln/detail/CVE-2026-2490</t>
        </is>
      </c>
      <c r="X70" t="inlineStr">
        <is>
          <t>http://www.zerodayinitiative.com/advisories/ZDI-26-117/</t>
        </is>
      </c>
      <c r="Y70" t="n">
        <v>0</v>
      </c>
      <c r="Z70" t="inlineStr"/>
      <c r="AA70" t="inlineStr">
        <is>
          <t>https://nvd.nist.gov/vuln/detail/CVE-2026-2490</t>
        </is>
      </c>
    </row>
    <row r="71">
      <c r="A71" t="inlineStr">
        <is>
          <t>CVE</t>
        </is>
      </c>
      <c r="B71" t="inlineStr">
        <is>
          <t>CVE-2026-2492</t>
        </is>
      </c>
      <c r="C71"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71" t="n">
        <v>7</v>
      </c>
      <c r="E71" t="inlineStr">
        <is>
          <t>HIGH</t>
        </is>
      </c>
      <c r="F71" t="n">
        <v>2</v>
      </c>
      <c r="G71" t="n">
        <v>3</v>
      </c>
      <c r="H71" t="inlineStr">
        <is>
          <t>HIGH</t>
        </is>
      </c>
      <c r="I71" t="n">
        <v>13</v>
      </c>
      <c r="J71" t="inlineStr">
        <is>
          <t>NO</t>
        </is>
      </c>
      <c r="K71" t="inlineStr">
        <is>
          <t>2026-02-27 20:47</t>
        </is>
      </c>
      <c r="L71" t="inlineStr">
        <is>
          <t>CHECK_VENDOR</t>
        </is>
      </c>
      <c r="M71" t="inlineStr">
        <is>
          <t>See CVE details</t>
        </is>
      </c>
      <c r="N71" t="inlineStr">
        <is>
          <t>P1</t>
        </is>
      </c>
      <c r="O71" t="inlineStr">
        <is>
          <t>CVE - IP enrichment n/a</t>
        </is>
      </c>
      <c r="P71" t="n">
        <v>0.0002</v>
      </c>
      <c r="Q71" t="n">
        <v>0.0326</v>
      </c>
      <c r="R71" t="inlineStr">
        <is>
          <t>T1068:Exploitation for Privilege Escalation | T1203:Exploitation for Client Execution</t>
        </is>
      </c>
      <c r="S71" t="n">
        <v>2</v>
      </c>
      <c r="T71" t="inlineStr">
        <is>
          <t>HIGH (72%)</t>
        </is>
      </c>
      <c r="U71" t="inlineStr">
        <is>
          <t>HIGH</t>
        </is>
      </c>
      <c r="V71" t="inlineStr">
        <is>
          <t>CHECK_VENDOR</t>
        </is>
      </c>
      <c r="W71" t="inlineStr">
        <is>
          <t>https://nvd.nist.gov/vuln/detail/CVE-2026-2492</t>
        </is>
      </c>
      <c r="X71" t="inlineStr">
        <is>
          <t>http://www.zerodayinitiative.com/advisories/ZDI-26-116/</t>
        </is>
      </c>
      <c r="Y71" t="n">
        <v>0</v>
      </c>
      <c r="Z71" t="inlineStr"/>
      <c r="AA71" t="inlineStr">
        <is>
          <t>https://nvd.nist.gov/vuln/detail/CVE-2026-2492</t>
        </is>
      </c>
    </row>
    <row r="72">
      <c r="A72" t="inlineStr">
        <is>
          <t>CVE</t>
        </is>
      </c>
      <c r="B72" t="inlineStr">
        <is>
          <t>CVE-2026-2635</t>
        </is>
      </c>
      <c r="C72"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72" t="n">
        <v>9.800000000000001</v>
      </c>
      <c r="E72" t="inlineStr">
        <is>
          <t>CRITICAL</t>
        </is>
      </c>
      <c r="F72" t="n">
        <v>2</v>
      </c>
      <c r="G72" t="n">
        <v>3</v>
      </c>
      <c r="H72" t="inlineStr">
        <is>
          <t>HIGH</t>
        </is>
      </c>
      <c r="I72" t="n">
        <v>15.8</v>
      </c>
      <c r="J72" t="inlineStr">
        <is>
          <t>NO</t>
        </is>
      </c>
      <c r="K72" t="inlineStr">
        <is>
          <t>2026-02-27 20:47</t>
        </is>
      </c>
      <c r="L72" t="inlineStr">
        <is>
          <t>CHECK_VENDOR</t>
        </is>
      </c>
      <c r="M72" t="inlineStr">
        <is>
          <t>See CVE details</t>
        </is>
      </c>
      <c r="N72" t="inlineStr">
        <is>
          <t>P1</t>
        </is>
      </c>
      <c r="O72" t="inlineStr">
        <is>
          <t>CVE - IP enrichment n/a</t>
        </is>
      </c>
      <c r="P72" t="n">
        <v>0.0139</v>
      </c>
      <c r="Q72" t="n">
        <v>0.8011</v>
      </c>
      <c r="R72" t="inlineStr">
        <is>
          <t>T1078:Valid Accounts | T1552:Unsecured Credentials | T1203:Exploitation for Client Execution</t>
        </is>
      </c>
      <c r="S72" t="n">
        <v>2</v>
      </c>
      <c r="T72" t="inlineStr">
        <is>
          <t>HIGH (72%)</t>
        </is>
      </c>
      <c r="U72" t="inlineStr">
        <is>
          <t>HIGH</t>
        </is>
      </c>
      <c r="V72" t="inlineStr">
        <is>
          <t>CHECK_VENDOR</t>
        </is>
      </c>
      <c r="W72" t="inlineStr">
        <is>
          <t>https://nvd.nist.gov/vuln/detail/CVE-2026-2635</t>
        </is>
      </c>
      <c r="X72" t="inlineStr">
        <is>
          <t>http://www.zerodayinitiative.com/advisories/ZDI-26-111/</t>
        </is>
      </c>
      <c r="Y72" t="n">
        <v>0</v>
      </c>
      <c r="Z72" t="inlineStr"/>
      <c r="AA72" t="inlineStr">
        <is>
          <t>https://nvd.nist.gov/vuln/detail/CVE-2026-2635</t>
        </is>
      </c>
    </row>
    <row r="73">
      <c r="A73" t="inlineStr">
        <is>
          <t>CVE</t>
        </is>
      </c>
      <c r="B73" t="inlineStr">
        <is>
          <t>CVE-2026-27134</t>
        </is>
      </c>
      <c r="C73"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73" t="n">
        <v>8.1</v>
      </c>
      <c r="E73" t="inlineStr">
        <is>
          <t>HIGH</t>
        </is>
      </c>
      <c r="F73" t="n">
        <v>2</v>
      </c>
      <c r="G73" t="n">
        <v>3</v>
      </c>
      <c r="H73" t="inlineStr">
        <is>
          <t>HIGH</t>
        </is>
      </c>
      <c r="I73" t="n">
        <v>14.1</v>
      </c>
      <c r="J73" t="inlineStr">
        <is>
          <t>NO</t>
        </is>
      </c>
      <c r="K73" t="inlineStr">
        <is>
          <t>2026-02-27 20:47</t>
        </is>
      </c>
      <c r="L73" t="inlineStr">
        <is>
          <t>YES</t>
        </is>
      </c>
      <c r="M73" t="inlineStr">
        <is>
          <t>linuxfoundation strimzi_kafka_operator *</t>
        </is>
      </c>
      <c r="N73" t="inlineStr">
        <is>
          <t>P3</t>
        </is>
      </c>
      <c r="O73" t="inlineStr">
        <is>
          <t>CVE - IP enrichment n/a</t>
        </is>
      </c>
      <c r="P73" t="n">
        <v>0.0003</v>
      </c>
      <c r="Q73" t="n">
        <v>0.0939</v>
      </c>
      <c r="R73" t="inlineStr">
        <is>
          <t>T1078:Valid Accounts | T1110:Brute Force</t>
        </is>
      </c>
      <c r="S73" t="n">
        <v>1</v>
      </c>
      <c r="T73" t="inlineStr">
        <is>
          <t>LOW (40%)</t>
        </is>
      </c>
      <c r="U73" t="inlineStr">
        <is>
          <t>UNLIKELY</t>
        </is>
      </c>
      <c r="V73" t="inlineStr">
        <is>
          <t>PATCH_AVAILABLE</t>
        </is>
      </c>
      <c r="W73" t="inlineStr">
        <is>
          <t>https://nvd.nist.gov/vuln/detail/CVE-2026-27134</t>
        </is>
      </c>
      <c r="X73" t="inlineStr">
        <is>
          <t>NONE</t>
        </is>
      </c>
      <c r="Y73" t="n">
        <v>0</v>
      </c>
      <c r="Z73" t="inlineStr"/>
      <c r="AA73" t="inlineStr">
        <is>
          <t>https://nvd.nist.gov/vuln/detail/CVE-2026-27134</t>
        </is>
      </c>
    </row>
    <row r="74">
      <c r="A74" t="inlineStr">
        <is>
          <t>CVE</t>
        </is>
      </c>
      <c r="B74" t="inlineStr">
        <is>
          <t>CVE-2026-27146</t>
        </is>
      </c>
      <c r="C74"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74" t="n">
        <v>4.5</v>
      </c>
      <c r="E74" t="inlineStr">
        <is>
          <t>MEDIUM</t>
        </is>
      </c>
      <c r="F74" t="n">
        <v>2</v>
      </c>
      <c r="G74" t="n">
        <v>2</v>
      </c>
      <c r="H74" t="inlineStr">
        <is>
          <t>MEDIUM</t>
        </is>
      </c>
      <c r="I74" t="n">
        <v>8.5</v>
      </c>
      <c r="J74" t="inlineStr">
        <is>
          <t>NO</t>
        </is>
      </c>
      <c r="K74" t="inlineStr">
        <is>
          <t>2026-02-27 20:47</t>
        </is>
      </c>
      <c r="L74" t="inlineStr">
        <is>
          <t>YES</t>
        </is>
      </c>
      <c r="M74" t="inlineStr">
        <is>
          <t>getsimple-ce getsimple_cms *</t>
        </is>
      </c>
      <c r="N74" t="inlineStr">
        <is>
          <t>P4</t>
        </is>
      </c>
      <c r="O74" t="inlineStr">
        <is>
          <t>CVE - IP enrichment n/a</t>
        </is>
      </c>
      <c r="P74" t="n">
        <v>0.0001</v>
      </c>
      <c r="Q74" t="n">
        <v>0.0294</v>
      </c>
      <c r="R74" t="inlineStr">
        <is>
          <t>T1185:Browser Session Hijacking</t>
        </is>
      </c>
      <c r="S74" t="n">
        <v>1</v>
      </c>
      <c r="T74" t="inlineStr">
        <is>
          <t>LOW (40%)</t>
        </is>
      </c>
      <c r="U74" t="inlineStr">
        <is>
          <t>UNLIKELY</t>
        </is>
      </c>
      <c r="V74" t="inlineStr">
        <is>
          <t>PATCH_AVAILABLE</t>
        </is>
      </c>
      <c r="W74" t="inlineStr">
        <is>
          <t>https://nvd.nist.gov/vuln/detail/CVE-2026-27146</t>
        </is>
      </c>
      <c r="X74" t="inlineStr">
        <is>
          <t>NONE</t>
        </is>
      </c>
      <c r="Y74" t="n">
        <v>0</v>
      </c>
      <c r="Z74" t="inlineStr"/>
      <c r="AA74" t="inlineStr">
        <is>
          <t>https://nvd.nist.gov/vuln/detail/CVE-2026-27146</t>
        </is>
      </c>
    </row>
    <row r="75">
      <c r="A75" t="inlineStr">
        <is>
          <t>CVE</t>
        </is>
      </c>
      <c r="B75" t="inlineStr">
        <is>
          <t>CVE-2026-27147</t>
        </is>
      </c>
      <c r="C75"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75" t="n">
        <v>5.4</v>
      </c>
      <c r="E75" t="inlineStr">
        <is>
          <t>MEDIUM</t>
        </is>
      </c>
      <c r="F75" t="n">
        <v>2</v>
      </c>
      <c r="G75" t="n">
        <v>2</v>
      </c>
      <c r="H75" t="inlineStr">
        <is>
          <t>MEDIUM</t>
        </is>
      </c>
      <c r="I75" t="n">
        <v>9.4</v>
      </c>
      <c r="J75" t="inlineStr">
        <is>
          <t>NO</t>
        </is>
      </c>
      <c r="K75" t="inlineStr">
        <is>
          <t>2026-02-27 20:47</t>
        </is>
      </c>
      <c r="L75" t="inlineStr">
        <is>
          <t>YES</t>
        </is>
      </c>
      <c r="M75" t="inlineStr">
        <is>
          <t>getsimple-ce getsimple_cms *</t>
        </is>
      </c>
      <c r="N75" t="inlineStr">
        <is>
          <t>P4</t>
        </is>
      </c>
      <c r="O75" t="inlineStr">
        <is>
          <t>CVE - IP enrichment n/a</t>
        </is>
      </c>
      <c r="P75" t="n">
        <v>0.0003</v>
      </c>
      <c r="Q75" t="n">
        <v>0.1025</v>
      </c>
      <c r="R75" t="inlineStr">
        <is>
          <t>T1189:Drive-by Compromise</t>
        </is>
      </c>
      <c r="S75" t="n">
        <v>1</v>
      </c>
      <c r="T75" t="inlineStr">
        <is>
          <t>LOW (40%)</t>
        </is>
      </c>
      <c r="U75" t="inlineStr">
        <is>
          <t>UNLIKELY</t>
        </is>
      </c>
      <c r="V75" t="inlineStr">
        <is>
          <t>PATCH_AVAILABLE</t>
        </is>
      </c>
      <c r="W75" t="inlineStr">
        <is>
          <t>https://nvd.nist.gov/vuln/detail/CVE-2026-27147</t>
        </is>
      </c>
      <c r="X75" t="inlineStr">
        <is>
          <t>NONE</t>
        </is>
      </c>
      <c r="Y75" t="n">
        <v>0</v>
      </c>
      <c r="Z75" t="inlineStr"/>
      <c r="AA75" t="inlineStr">
        <is>
          <t>https://nvd.nist.gov/vuln/detail/CVE-2026-27147</t>
        </is>
      </c>
    </row>
    <row r="76">
      <c r="A76" t="inlineStr">
        <is>
          <t>CVE</t>
        </is>
      </c>
      <c r="B76" t="inlineStr">
        <is>
          <t>CVE-2026-27161</t>
        </is>
      </c>
      <c r="C76"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76" t="n">
        <v>7.5</v>
      </c>
      <c r="E76" t="inlineStr">
        <is>
          <t>HIGH</t>
        </is>
      </c>
      <c r="F76" t="n">
        <v>2</v>
      </c>
      <c r="G76" t="n">
        <v>3</v>
      </c>
      <c r="H76" t="inlineStr">
        <is>
          <t>HIGH</t>
        </is>
      </c>
      <c r="I76" t="n">
        <v>13.5</v>
      </c>
      <c r="J76" t="inlineStr">
        <is>
          <t>NO</t>
        </is>
      </c>
      <c r="K76" t="inlineStr">
        <is>
          <t>2026-02-27 20:47</t>
        </is>
      </c>
      <c r="L76" t="inlineStr">
        <is>
          <t>YES</t>
        </is>
      </c>
      <c r="M76" t="inlineStr">
        <is>
          <t>getsimple-ce getsimple_cms *</t>
        </is>
      </c>
      <c r="N76" t="inlineStr">
        <is>
          <t>P3</t>
        </is>
      </c>
      <c r="O76" t="inlineStr">
        <is>
          <t>CVE - IP enrichment n/a</t>
        </is>
      </c>
      <c r="P76" t="n">
        <v>0.0007</v>
      </c>
      <c r="Q76" t="n">
        <v>0.2027</v>
      </c>
      <c r="R76" t="inlineStr">
        <is>
          <t>T1213:Data from Information Repositories | T1600:Weaken Encryption</t>
        </is>
      </c>
      <c r="S76" t="n">
        <v>1</v>
      </c>
      <c r="T76" t="inlineStr">
        <is>
          <t>LOW (40%)</t>
        </is>
      </c>
      <c r="U76" t="inlineStr">
        <is>
          <t>UNLIKELY</t>
        </is>
      </c>
      <c r="V76" t="inlineStr">
        <is>
          <t>PATCH_AVAILABLE</t>
        </is>
      </c>
      <c r="W76" t="inlineStr">
        <is>
          <t>https://nvd.nist.gov/vuln/detail/CVE-2026-27161</t>
        </is>
      </c>
      <c r="X76" t="inlineStr">
        <is>
          <t>NONE</t>
        </is>
      </c>
      <c r="Y76" t="n">
        <v>0</v>
      </c>
      <c r="Z76" t="inlineStr"/>
      <c r="AA76" t="inlineStr">
        <is>
          <t>https://nvd.nist.gov/vuln/detail/CVE-2026-27161</t>
        </is>
      </c>
    </row>
    <row r="77">
      <c r="A77" t="inlineStr">
        <is>
          <t>CVE</t>
        </is>
      </c>
      <c r="B77" t="inlineStr">
        <is>
          <t>CVE-2026-27168</t>
        </is>
      </c>
      <c r="C77"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77" t="n">
        <v>8.800000000000001</v>
      </c>
      <c r="E77" t="inlineStr">
        <is>
          <t>HIGH</t>
        </is>
      </c>
      <c r="F77" t="n">
        <v>2</v>
      </c>
      <c r="G77" t="n">
        <v>3</v>
      </c>
      <c r="H77" t="inlineStr">
        <is>
          <t>HIGH</t>
        </is>
      </c>
      <c r="I77" t="n">
        <v>14.8</v>
      </c>
      <c r="J77" t="inlineStr">
        <is>
          <t>NO</t>
        </is>
      </c>
      <c r="K77" t="inlineStr">
        <is>
          <t>2026-02-27 20:47</t>
        </is>
      </c>
      <c r="L77" t="inlineStr">
        <is>
          <t>CHECK_VENDOR</t>
        </is>
      </c>
      <c r="M77" t="inlineStr">
        <is>
          <t>See CVE details</t>
        </is>
      </c>
      <c r="N77" t="inlineStr">
        <is>
          <t>P3</t>
        </is>
      </c>
      <c r="O77" t="inlineStr">
        <is>
          <t>CVE - IP enrichment n/a</t>
        </is>
      </c>
      <c r="P77" t="n">
        <v>0.0002</v>
      </c>
      <c r="Q77" t="n">
        <v>0.0496</v>
      </c>
      <c r="R77" t="inlineStr">
        <is>
          <t>T1203:Exploitation for Client Execution</t>
        </is>
      </c>
      <c r="S77" t="n">
        <v>1</v>
      </c>
      <c r="T77" t="inlineStr">
        <is>
          <t>LOW (40%)</t>
        </is>
      </c>
      <c r="U77" t="inlineStr">
        <is>
          <t>UNLIKELY</t>
        </is>
      </c>
      <c r="V77" t="inlineStr">
        <is>
          <t>CHECK_VENDOR</t>
        </is>
      </c>
      <c r="W77" t="inlineStr">
        <is>
          <t>https://nvd.nist.gov/vuln/detail/CVE-2026-27168</t>
        </is>
      </c>
      <c r="X77" t="inlineStr">
        <is>
          <t>NONE</t>
        </is>
      </c>
      <c r="Y77" t="n">
        <v>0</v>
      </c>
      <c r="Z77" t="inlineStr"/>
      <c r="AA77" t="inlineStr">
        <is>
          <t>https://nvd.nist.gov/vuln/detail/CVE-2026-27168</t>
        </is>
      </c>
    </row>
    <row r="78">
      <c r="A78" t="inlineStr">
        <is>
          <t>CVE</t>
        </is>
      </c>
      <c r="B78" t="inlineStr">
        <is>
          <t>CVE-2026-27169</t>
        </is>
      </c>
      <c r="C78"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78" t="n">
        <v>8.9</v>
      </c>
      <c r="E78" t="inlineStr">
        <is>
          <t>HIGH</t>
        </is>
      </c>
      <c r="F78" t="n">
        <v>2</v>
      </c>
      <c r="G78" t="n">
        <v>3</v>
      </c>
      <c r="H78" t="inlineStr">
        <is>
          <t>HIGH</t>
        </is>
      </c>
      <c r="I78" t="n">
        <v>14.9</v>
      </c>
      <c r="J78" t="inlineStr">
        <is>
          <t>NO</t>
        </is>
      </c>
      <c r="K78" t="inlineStr">
        <is>
          <t>2026-02-27 20:47</t>
        </is>
      </c>
      <c r="L78" t="inlineStr">
        <is>
          <t>YES</t>
        </is>
      </c>
      <c r="M78" t="inlineStr">
        <is>
          <t>opensift opensift *</t>
        </is>
      </c>
      <c r="N78" t="inlineStr">
        <is>
          <t>P3</t>
        </is>
      </c>
      <c r="O78" t="inlineStr">
        <is>
          <t>CVE - IP enrichment n/a</t>
        </is>
      </c>
      <c r="P78" t="n">
        <v>0.0005</v>
      </c>
      <c r="Q78" t="n">
        <v>0.1477</v>
      </c>
      <c r="R78" t="inlineStr">
        <is>
          <t>T1189:Drive-by Compromise</t>
        </is>
      </c>
      <c r="S78" t="n">
        <v>1</v>
      </c>
      <c r="T78" t="inlineStr">
        <is>
          <t>LOW (40%)</t>
        </is>
      </c>
      <c r="U78" t="inlineStr">
        <is>
          <t>UNLIKELY</t>
        </is>
      </c>
      <c r="V78" t="inlineStr">
        <is>
          <t>PATCH_AVAILABLE</t>
        </is>
      </c>
      <c r="W78" t="inlineStr">
        <is>
          <t>https://nvd.nist.gov/vuln/detail/CVE-2026-27169</t>
        </is>
      </c>
      <c r="X78" t="inlineStr">
        <is>
          <t>NONE</t>
        </is>
      </c>
      <c r="Y78" t="n">
        <v>0</v>
      </c>
      <c r="Z78" t="inlineStr"/>
      <c r="AA78" t="inlineStr">
        <is>
          <t>https://nvd.nist.gov/vuln/detail/CVE-2026-27169</t>
        </is>
      </c>
    </row>
    <row r="79">
      <c r="A79" t="inlineStr">
        <is>
          <t>CVE</t>
        </is>
      </c>
      <c r="B79" t="inlineStr">
        <is>
          <t>CVE-2026-27170</t>
        </is>
      </c>
      <c r="C79"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79" t="n">
        <v>7.1</v>
      </c>
      <c r="E79" t="inlineStr">
        <is>
          <t>HIGH</t>
        </is>
      </c>
      <c r="F79" t="n">
        <v>2</v>
      </c>
      <c r="G79" t="n">
        <v>3</v>
      </c>
      <c r="H79" t="inlineStr">
        <is>
          <t>HIGH</t>
        </is>
      </c>
      <c r="I79" t="n">
        <v>13.1</v>
      </c>
      <c r="J79" t="inlineStr">
        <is>
          <t>NO</t>
        </is>
      </c>
      <c r="K79" t="inlineStr">
        <is>
          <t>2026-02-27 20:47</t>
        </is>
      </c>
      <c r="L79" t="inlineStr">
        <is>
          <t>YES</t>
        </is>
      </c>
      <c r="M79" t="inlineStr">
        <is>
          <t>opensift opensift *</t>
        </is>
      </c>
      <c r="N79" t="inlineStr">
        <is>
          <t>P3</t>
        </is>
      </c>
      <c r="O79" t="inlineStr">
        <is>
          <t>CVE - IP enrichment n/a</t>
        </is>
      </c>
      <c r="P79" t="n">
        <v>0.0005</v>
      </c>
      <c r="Q79" t="n">
        <v>0.1563</v>
      </c>
      <c r="R79" t="inlineStr">
        <is>
          <t>T1190:Exploit Public-Facing Application</t>
        </is>
      </c>
      <c r="S79" t="n">
        <v>1</v>
      </c>
      <c r="T79" t="inlineStr">
        <is>
          <t>LOW (40%)</t>
        </is>
      </c>
      <c r="U79" t="inlineStr">
        <is>
          <t>UNLIKELY</t>
        </is>
      </c>
      <c r="V79" t="inlineStr">
        <is>
          <t>PATCH_AVAILABLE</t>
        </is>
      </c>
      <c r="W79" t="inlineStr">
        <is>
          <t>https://nvd.nist.gov/vuln/detail/CVE-2026-27170</t>
        </is>
      </c>
      <c r="X79" t="inlineStr">
        <is>
          <t>NONE</t>
        </is>
      </c>
      <c r="Y79" t="n">
        <v>0</v>
      </c>
      <c r="Z79" t="inlineStr"/>
      <c r="AA79" t="inlineStr">
        <is>
          <t>https://nvd.nist.gov/vuln/detail/CVE-2026-27170</t>
        </is>
      </c>
    </row>
    <row r="80">
      <c r="A80" t="inlineStr">
        <is>
          <t>CVE</t>
        </is>
      </c>
      <c r="B80" t="inlineStr">
        <is>
          <t>CVE-2026-27189</t>
        </is>
      </c>
      <c r="C80"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80" t="n">
        <v>6.6</v>
      </c>
      <c r="E80" t="inlineStr">
        <is>
          <t>MEDIUM</t>
        </is>
      </c>
      <c r="F80" t="n">
        <v>2</v>
      </c>
      <c r="G80" t="n">
        <v>2</v>
      </c>
      <c r="H80" t="inlineStr">
        <is>
          <t>MEDIUM</t>
        </is>
      </c>
      <c r="I80" t="n">
        <v>10.6</v>
      </c>
      <c r="J80" t="inlineStr">
        <is>
          <t>NO</t>
        </is>
      </c>
      <c r="K80" t="inlineStr">
        <is>
          <t>2026-02-27 20:47</t>
        </is>
      </c>
      <c r="L80" t="inlineStr">
        <is>
          <t>YES</t>
        </is>
      </c>
      <c r="M80" t="inlineStr">
        <is>
          <t>opensift opensift *</t>
        </is>
      </c>
      <c r="N80" t="inlineStr">
        <is>
          <t>P4</t>
        </is>
      </c>
      <c r="O80" t="inlineStr">
        <is>
          <t>CVE - IP enrichment n/a</t>
        </is>
      </c>
      <c r="P80" t="n">
        <v>0.0001</v>
      </c>
      <c r="Q80" t="n">
        <v>0.0194</v>
      </c>
      <c r="R80" t="inlineStr">
        <is>
          <t>T1068:Exploitation for Privilege Escalation</t>
        </is>
      </c>
      <c r="S80" t="n">
        <v>1</v>
      </c>
      <c r="T80" t="inlineStr">
        <is>
          <t>LOW (40%)</t>
        </is>
      </c>
      <c r="U80" t="inlineStr">
        <is>
          <t>UNLIKELY</t>
        </is>
      </c>
      <c r="V80" t="inlineStr">
        <is>
          <t>PATCH_AVAILABLE</t>
        </is>
      </c>
      <c r="W80" t="inlineStr">
        <is>
          <t>https://nvd.nist.gov/vuln/detail/CVE-2026-27189</t>
        </is>
      </c>
      <c r="X80" t="inlineStr">
        <is>
          <t>NONE</t>
        </is>
      </c>
      <c r="Y80" t="n">
        <v>0</v>
      </c>
      <c r="Z80" t="inlineStr"/>
      <c r="AA80" t="inlineStr">
        <is>
          <t>https://nvd.nist.gov/vuln/detail/CVE-2026-27189</t>
        </is>
      </c>
    </row>
    <row r="81">
      <c r="A81" t="inlineStr">
        <is>
          <t>CVE</t>
        </is>
      </c>
      <c r="B81" t="inlineStr">
        <is>
          <t>CVE-2026-27202</t>
        </is>
      </c>
      <c r="C81" t="inlineStr">
        <is>
          <t>GetSimple CMS is a content management system. All versions of GetSimple CMS have a flaw in the Uploaded Files feature that allows for arbitrary file reads. This issue has not been fixed at the time of publication.</t>
        </is>
      </c>
      <c r="D81" t="n">
        <v>7.5</v>
      </c>
      <c r="E81" t="inlineStr">
        <is>
          <t>HIGH</t>
        </is>
      </c>
      <c r="F81" t="n">
        <v>2</v>
      </c>
      <c r="G81" t="n">
        <v>3</v>
      </c>
      <c r="H81" t="inlineStr">
        <is>
          <t>HIGH</t>
        </is>
      </c>
      <c r="I81" t="n">
        <v>13.5</v>
      </c>
      <c r="J81" t="inlineStr">
        <is>
          <t>NO</t>
        </is>
      </c>
      <c r="K81" t="inlineStr">
        <is>
          <t>2026-02-27 20:47</t>
        </is>
      </c>
      <c r="L81" t="inlineStr">
        <is>
          <t>YES</t>
        </is>
      </c>
      <c r="M81" t="inlineStr">
        <is>
          <t>getsimple-ce getsimple_cms 3.3.22</t>
        </is>
      </c>
      <c r="N81" t="inlineStr">
        <is>
          <t>P3</t>
        </is>
      </c>
      <c r="O81" t="inlineStr">
        <is>
          <t>CVE - IP enrichment n/a</t>
        </is>
      </c>
      <c r="P81" t="n">
        <v>0.0005999999999999999</v>
      </c>
      <c r="Q81" t="n">
        <v>0.1769</v>
      </c>
      <c r="R81" t="inlineStr">
        <is>
          <t>T1083:File and Directory Discovery</t>
        </is>
      </c>
      <c r="S81" t="n">
        <v>1</v>
      </c>
      <c r="T81" t="inlineStr">
        <is>
          <t>LOW (40%)</t>
        </is>
      </c>
      <c r="U81" t="inlineStr">
        <is>
          <t>UNLIKELY</t>
        </is>
      </c>
      <c r="V81" t="inlineStr">
        <is>
          <t>PATCH_AVAILABLE</t>
        </is>
      </c>
      <c r="W81" t="inlineStr">
        <is>
          <t>https://nvd.nist.gov/vuln/detail/CVE-2026-27202</t>
        </is>
      </c>
      <c r="X81" t="inlineStr">
        <is>
          <t>NONE</t>
        </is>
      </c>
      <c r="Y81" t="n">
        <v>0</v>
      </c>
      <c r="Z81" t="inlineStr"/>
      <c r="AA81" t="inlineStr">
        <is>
          <t>https://nvd.nist.gov/vuln/detail/CVE-2026-27202</t>
        </is>
      </c>
    </row>
    <row r="82">
      <c r="A82" t="inlineStr">
        <is>
          <t>CVE</t>
        </is>
      </c>
      <c r="B82" t="inlineStr">
        <is>
          <t>CVE-2026-27203</t>
        </is>
      </c>
      <c r="C82"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82" t="n">
        <v>8.300000000000001</v>
      </c>
      <c r="E82" t="inlineStr">
        <is>
          <t>HIGH</t>
        </is>
      </c>
      <c r="F82" t="n">
        <v>2</v>
      </c>
      <c r="G82" t="n">
        <v>3</v>
      </c>
      <c r="H82" t="inlineStr">
        <is>
          <t>HIGH</t>
        </is>
      </c>
      <c r="I82" t="n">
        <v>14.3</v>
      </c>
      <c r="J82" t="inlineStr">
        <is>
          <t>NO</t>
        </is>
      </c>
      <c r="K82" t="inlineStr">
        <is>
          <t>2026-02-27 20:47</t>
        </is>
      </c>
      <c r="L82" t="inlineStr">
        <is>
          <t>CHECK_VENDOR</t>
        </is>
      </c>
      <c r="M82" t="inlineStr">
        <is>
          <t>See CVE details</t>
        </is>
      </c>
      <c r="N82" t="inlineStr">
        <is>
          <t>P3</t>
        </is>
      </c>
      <c r="O82" t="inlineStr">
        <is>
          <t>CVE - IP enrichment n/a</t>
        </is>
      </c>
      <c r="P82" t="n">
        <v>0.0005</v>
      </c>
      <c r="Q82" t="n">
        <v>0.1438</v>
      </c>
      <c r="R82" t="inlineStr">
        <is>
          <t>T1190:Exploit Public-Facing Application | T1499:Endpoint Denial of Service</t>
        </is>
      </c>
      <c r="S82" t="n">
        <v>1</v>
      </c>
      <c r="T82" t="inlineStr">
        <is>
          <t>LOW (40%)</t>
        </is>
      </c>
      <c r="U82" t="inlineStr">
        <is>
          <t>UNLIKELY</t>
        </is>
      </c>
      <c r="V82" t="inlineStr">
        <is>
          <t>CHECK_VENDOR</t>
        </is>
      </c>
      <c r="W82" t="inlineStr">
        <is>
          <t>https://nvd.nist.gov/vuln/detail/CVE-2026-27203</t>
        </is>
      </c>
      <c r="X82" t="inlineStr">
        <is>
          <t>NONE</t>
        </is>
      </c>
      <c r="Y82" t="n">
        <v>0</v>
      </c>
      <c r="Z82" t="inlineStr"/>
      <c r="AA82" t="inlineStr">
        <is>
          <t>https://nvd.nist.gov/vuln/detail/CVE-2026-27203</t>
        </is>
      </c>
    </row>
    <row r="83">
      <c r="A83" t="inlineStr">
        <is>
          <t>CVE</t>
        </is>
      </c>
      <c r="B83" t="inlineStr">
        <is>
          <t>CVE-2025-65995</t>
        </is>
      </c>
      <c r="C83"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83" t="n">
        <v>6.5</v>
      </c>
      <c r="E83" t="inlineStr">
        <is>
          <t>MEDIUM</t>
        </is>
      </c>
      <c r="F83" t="n">
        <v>2</v>
      </c>
      <c r="G83" t="n">
        <v>2</v>
      </c>
      <c r="H83" t="inlineStr">
        <is>
          <t>MEDIUM</t>
        </is>
      </c>
      <c r="I83" t="n">
        <v>10.5</v>
      </c>
      <c r="J83" t="inlineStr">
        <is>
          <t>NO</t>
        </is>
      </c>
      <c r="K83" t="inlineStr">
        <is>
          <t>2026-02-27 20:47</t>
        </is>
      </c>
      <c r="L83" t="inlineStr">
        <is>
          <t>YES</t>
        </is>
      </c>
      <c r="M83" t="inlineStr">
        <is>
          <t>apache airflow *</t>
        </is>
      </c>
      <c r="N83" t="inlineStr">
        <is>
          <t>P4</t>
        </is>
      </c>
      <c r="O83" t="inlineStr">
        <is>
          <t>CVE - IP enrichment n/a</t>
        </is>
      </c>
      <c r="P83" t="n">
        <v>0.0003</v>
      </c>
      <c r="Q83" t="n">
        <v>0.0834</v>
      </c>
      <c r="R83" t="inlineStr">
        <is>
          <t>T1190:Exploit Public-Facing Application</t>
        </is>
      </c>
      <c r="S83" t="n">
        <v>1</v>
      </c>
      <c r="T83" t="inlineStr">
        <is>
          <t>LOW (40%)</t>
        </is>
      </c>
      <c r="U83" t="inlineStr">
        <is>
          <t>UNLIKELY</t>
        </is>
      </c>
      <c r="V83" t="inlineStr">
        <is>
          <t>PATCH_AVAILABLE</t>
        </is>
      </c>
      <c r="W83" t="inlineStr">
        <is>
          <t>https://nvd.nist.gov/vuln/detail/CVE-2025-65995</t>
        </is>
      </c>
      <c r="X83" t="inlineStr">
        <is>
          <t>NONE</t>
        </is>
      </c>
      <c r="Y83" t="n">
        <v>0</v>
      </c>
      <c r="Z83" t="inlineStr"/>
      <c r="AA83" t="inlineStr">
        <is>
          <t>https://nvd.nist.gov/vuln/detail/CVE-2025-65995</t>
        </is>
      </c>
    </row>
    <row r="84">
      <c r="A84" t="inlineStr">
        <is>
          <t>CVE</t>
        </is>
      </c>
      <c r="B84" t="inlineStr">
        <is>
          <t>CVE-2026-27191</t>
        </is>
      </c>
      <c r="C84"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84" t="n">
        <v>6.1</v>
      </c>
      <c r="E84" t="inlineStr">
        <is>
          <t>MEDIUM</t>
        </is>
      </c>
      <c r="F84" t="n">
        <v>2</v>
      </c>
      <c r="G84" t="n">
        <v>2</v>
      </c>
      <c r="H84" t="inlineStr">
        <is>
          <t>MEDIUM</t>
        </is>
      </c>
      <c r="I84" t="n">
        <v>10.1</v>
      </c>
      <c r="J84" t="inlineStr">
        <is>
          <t>NO</t>
        </is>
      </c>
      <c r="K84" t="inlineStr">
        <is>
          <t>2026-02-27 20:47</t>
        </is>
      </c>
      <c r="L84" t="inlineStr">
        <is>
          <t>YES</t>
        </is>
      </c>
      <c r="M84" t="inlineStr">
        <is>
          <t>feathersjs feathers *</t>
        </is>
      </c>
      <c r="N84" t="inlineStr">
        <is>
          <t>P4</t>
        </is>
      </c>
      <c r="O84" t="inlineStr">
        <is>
          <t>CVE - IP enrichment n/a</t>
        </is>
      </c>
      <c r="P84" t="n">
        <v>0.0003</v>
      </c>
      <c r="Q84" t="n">
        <v>0.0774</v>
      </c>
      <c r="R84" t="inlineStr">
        <is>
          <t>T1189:Drive-by Compromise</t>
        </is>
      </c>
      <c r="S84" t="n">
        <v>1</v>
      </c>
      <c r="T84" t="inlineStr">
        <is>
          <t>LOW (40%)</t>
        </is>
      </c>
      <c r="U84" t="inlineStr">
        <is>
          <t>UNLIKELY</t>
        </is>
      </c>
      <c r="V84" t="inlineStr">
        <is>
          <t>PATCH_AVAILABLE</t>
        </is>
      </c>
      <c r="W84" t="inlineStr">
        <is>
          <t>https://nvd.nist.gov/vuln/detail/CVE-2026-27191</t>
        </is>
      </c>
      <c r="X84" t="inlineStr">
        <is>
          <t>NONE</t>
        </is>
      </c>
      <c r="Y84" t="n">
        <v>0</v>
      </c>
      <c r="Z84" t="inlineStr"/>
      <c r="AA84" t="inlineStr">
        <is>
          <t>https://nvd.nist.gov/vuln/detail/CVE-2026-27191</t>
        </is>
      </c>
    </row>
    <row r="85">
      <c r="A85" t="inlineStr">
        <is>
          <t>CVE</t>
        </is>
      </c>
      <c r="B85" t="inlineStr">
        <is>
          <t>CVE-2026-27192</t>
        </is>
      </c>
      <c r="C85"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85" t="n">
        <v>8.1</v>
      </c>
      <c r="E85" t="inlineStr">
        <is>
          <t>HIGH</t>
        </is>
      </c>
      <c r="F85" t="n">
        <v>2</v>
      </c>
      <c r="G85" t="n">
        <v>3</v>
      </c>
      <c r="H85" t="inlineStr">
        <is>
          <t>HIGH</t>
        </is>
      </c>
      <c r="I85" t="n">
        <v>14.1</v>
      </c>
      <c r="J85" t="inlineStr">
        <is>
          <t>NO</t>
        </is>
      </c>
      <c r="K85" t="inlineStr">
        <is>
          <t>2026-02-27 20:47</t>
        </is>
      </c>
      <c r="L85" t="inlineStr">
        <is>
          <t>YES</t>
        </is>
      </c>
      <c r="M85" t="inlineStr">
        <is>
          <t>feathersjs feathers *</t>
        </is>
      </c>
      <c r="N85" t="inlineStr">
        <is>
          <t>P3</t>
        </is>
      </c>
      <c r="O85" t="inlineStr">
        <is>
          <t>CVE - IP enrichment n/a</t>
        </is>
      </c>
      <c r="P85" t="n">
        <v>0.0002</v>
      </c>
      <c r="Q85" t="n">
        <v>0.062</v>
      </c>
      <c r="R85" t="inlineStr">
        <is>
          <t>T1190:Exploit Public-Facing Application</t>
        </is>
      </c>
      <c r="S85" t="n">
        <v>1</v>
      </c>
      <c r="T85" t="inlineStr">
        <is>
          <t>LOW (40%)</t>
        </is>
      </c>
      <c r="U85" t="inlineStr">
        <is>
          <t>UNLIKELY</t>
        </is>
      </c>
      <c r="V85" t="inlineStr">
        <is>
          <t>PATCH_AVAILABLE</t>
        </is>
      </c>
      <c r="W85" t="inlineStr">
        <is>
          <t>https://nvd.nist.gov/vuln/detail/CVE-2026-27192</t>
        </is>
      </c>
      <c r="X85" t="inlineStr">
        <is>
          <t>NONE</t>
        </is>
      </c>
      <c r="Y85" t="n">
        <v>0</v>
      </c>
      <c r="Z85" t="inlineStr"/>
      <c r="AA85" t="inlineStr">
        <is>
          <t>https://nvd.nist.gov/vuln/detail/CVE-2026-27192</t>
        </is>
      </c>
    </row>
    <row r="86">
      <c r="A86" t="inlineStr">
        <is>
          <t>CVE</t>
        </is>
      </c>
      <c r="B86" t="inlineStr">
        <is>
          <t>CVE-2026-27193</t>
        </is>
      </c>
      <c r="C86"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86" t="n">
        <v>5.3</v>
      </c>
      <c r="E86" t="inlineStr">
        <is>
          <t>MEDIUM</t>
        </is>
      </c>
      <c r="F86" t="n">
        <v>2</v>
      </c>
      <c r="G86" t="n">
        <v>2</v>
      </c>
      <c r="H86" t="inlineStr">
        <is>
          <t>MEDIUM</t>
        </is>
      </c>
      <c r="I86" t="n">
        <v>9.300000000000001</v>
      </c>
      <c r="J86" t="inlineStr">
        <is>
          <t>NO</t>
        </is>
      </c>
      <c r="K86" t="inlineStr">
        <is>
          <t>2026-02-27 20:47</t>
        </is>
      </c>
      <c r="L86" t="inlineStr">
        <is>
          <t>YES</t>
        </is>
      </c>
      <c r="M86" t="inlineStr">
        <is>
          <t>feathersjs feathers *</t>
        </is>
      </c>
      <c r="N86" t="inlineStr">
        <is>
          <t>P4</t>
        </is>
      </c>
      <c r="O86" t="inlineStr">
        <is>
          <t>CVE - IP enrichment n/a</t>
        </is>
      </c>
      <c r="P86" t="n">
        <v>0.0003</v>
      </c>
      <c r="Q86" t="n">
        <v>0.0916</v>
      </c>
      <c r="R86" t="inlineStr">
        <is>
          <t>T1213:Data from Information Repositories</t>
        </is>
      </c>
      <c r="S86" t="n">
        <v>1</v>
      </c>
      <c r="T86" t="inlineStr">
        <is>
          <t>LOW (40%)</t>
        </is>
      </c>
      <c r="U86" t="inlineStr">
        <is>
          <t>UNLIKELY</t>
        </is>
      </c>
      <c r="V86" t="inlineStr">
        <is>
          <t>PATCH_AVAILABLE</t>
        </is>
      </c>
      <c r="W86" t="inlineStr">
        <is>
          <t>https://nvd.nist.gov/vuln/detail/CVE-2026-27193</t>
        </is>
      </c>
      <c r="X86" t="inlineStr">
        <is>
          <t>NONE</t>
        </is>
      </c>
      <c r="Y86" t="n">
        <v>0</v>
      </c>
      <c r="Z86" t="inlineStr"/>
      <c r="AA86" t="inlineStr">
        <is>
          <t>https://nvd.nist.gov/vuln/detail/CVE-2026-27193</t>
        </is>
      </c>
    </row>
    <row r="87">
      <c r="A87" t="inlineStr">
        <is>
          <t>CVE</t>
        </is>
      </c>
      <c r="B87" t="inlineStr">
        <is>
          <t>CVE-2026-27194</t>
        </is>
      </c>
      <c r="C87"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87" t="n">
        <v>9.800000000000001</v>
      </c>
      <c r="E87" t="inlineStr">
        <is>
          <t>CRITICAL</t>
        </is>
      </c>
      <c r="F87" t="n">
        <v>2</v>
      </c>
      <c r="G87" t="n">
        <v>3</v>
      </c>
      <c r="H87" t="inlineStr">
        <is>
          <t>HIGH</t>
        </is>
      </c>
      <c r="I87" t="n">
        <v>15.8</v>
      </c>
      <c r="J87" t="inlineStr">
        <is>
          <t>NO</t>
        </is>
      </c>
      <c r="K87" t="inlineStr">
        <is>
          <t>2026-02-27 20:47</t>
        </is>
      </c>
      <c r="L87" t="inlineStr">
        <is>
          <t>YES</t>
        </is>
      </c>
      <c r="M87" t="inlineStr">
        <is>
          <t>man d-tale *</t>
        </is>
      </c>
      <c r="N87" t="inlineStr">
        <is>
          <t>P3</t>
        </is>
      </c>
      <c r="O87" t="inlineStr">
        <is>
          <t>CVE - IP enrichment n/a</t>
        </is>
      </c>
      <c r="P87" t="n">
        <v>0.0038</v>
      </c>
      <c r="Q87" t="n">
        <v>0.5889</v>
      </c>
      <c r="R87" t="inlineStr">
        <is>
          <t>T1190:Exploit Public-Facing Application | T1210:Exploitation of Remote Services</t>
        </is>
      </c>
      <c r="S87" t="n">
        <v>1</v>
      </c>
      <c r="T87" t="inlineStr">
        <is>
          <t>LOW (40%)</t>
        </is>
      </c>
      <c r="U87" t="inlineStr">
        <is>
          <t>UNLIKELY</t>
        </is>
      </c>
      <c r="V87" t="inlineStr">
        <is>
          <t>PATCH_AVAILABLE</t>
        </is>
      </c>
      <c r="W87" t="inlineStr">
        <is>
          <t>https://nvd.nist.gov/vuln/detail/CVE-2026-27194</t>
        </is>
      </c>
      <c r="X87" t="inlineStr">
        <is>
          <t>NONE</t>
        </is>
      </c>
      <c r="Y87" t="n">
        <v>0</v>
      </c>
      <c r="Z87" t="inlineStr"/>
      <c r="AA87" t="inlineStr">
        <is>
          <t>https://nvd.nist.gov/vuln/detail/CVE-2026-27194</t>
        </is>
      </c>
    </row>
    <row r="88">
      <c r="A88" t="inlineStr">
        <is>
          <t>CVE</t>
        </is>
      </c>
      <c r="B88" t="inlineStr">
        <is>
          <t>CVE-2026-27196</t>
        </is>
      </c>
      <c r="C88"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88" t="n">
        <v>8.1</v>
      </c>
      <c r="E88" t="inlineStr">
        <is>
          <t>HIGH</t>
        </is>
      </c>
      <c r="F88" t="n">
        <v>2</v>
      </c>
      <c r="G88" t="n">
        <v>3</v>
      </c>
      <c r="H88" t="inlineStr">
        <is>
          <t>HIGH</t>
        </is>
      </c>
      <c r="I88" t="n">
        <v>14.1</v>
      </c>
      <c r="J88" t="inlineStr">
        <is>
          <t>NO</t>
        </is>
      </c>
      <c r="K88" t="inlineStr">
        <is>
          <t>2026-02-27 20:47</t>
        </is>
      </c>
      <c r="L88" t="inlineStr">
        <is>
          <t>CHECK_VENDOR</t>
        </is>
      </c>
      <c r="M88" t="inlineStr">
        <is>
          <t>See CVE details</t>
        </is>
      </c>
      <c r="N88" t="inlineStr">
        <is>
          <t>P3</t>
        </is>
      </c>
      <c r="O88" t="inlineStr">
        <is>
          <t>CVE - IP enrichment n/a</t>
        </is>
      </c>
      <c r="P88" t="n">
        <v>0.0003</v>
      </c>
      <c r="Q88" t="n">
        <v>0.0663</v>
      </c>
      <c r="R88" t="inlineStr">
        <is>
          <t>T1189:Drive-by Compromise</t>
        </is>
      </c>
      <c r="S88" t="n">
        <v>1</v>
      </c>
      <c r="T88" t="inlineStr">
        <is>
          <t>LOW (40%)</t>
        </is>
      </c>
      <c r="U88" t="inlineStr">
        <is>
          <t>UNLIKELY</t>
        </is>
      </c>
      <c r="V88" t="inlineStr">
        <is>
          <t>CHECK_VENDOR</t>
        </is>
      </c>
      <c r="W88" t="inlineStr">
        <is>
          <t>https://nvd.nist.gov/vuln/detail/CVE-2026-27196</t>
        </is>
      </c>
      <c r="X88" t="inlineStr">
        <is>
          <t>NONE</t>
        </is>
      </c>
      <c r="Y88" t="n">
        <v>0</v>
      </c>
      <c r="Z88" t="inlineStr"/>
      <c r="AA88" t="inlineStr">
        <is>
          <t>https://nvd.nist.gov/vuln/detail/CVE-2026-27196</t>
        </is>
      </c>
    </row>
    <row r="89">
      <c r="A89" t="inlineStr">
        <is>
          <t>CVE</t>
        </is>
      </c>
      <c r="B89" t="inlineStr">
        <is>
          <t>CVE-2026-27197</t>
        </is>
      </c>
      <c r="C89"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89" t="n">
        <v>9.1</v>
      </c>
      <c r="E89" t="inlineStr">
        <is>
          <t>CRITICAL</t>
        </is>
      </c>
      <c r="F89" t="n">
        <v>2</v>
      </c>
      <c r="G89" t="n">
        <v>3</v>
      </c>
      <c r="H89" t="inlineStr">
        <is>
          <t>HIGH</t>
        </is>
      </c>
      <c r="I89" t="n">
        <v>15.1</v>
      </c>
      <c r="J89" t="inlineStr">
        <is>
          <t>NO</t>
        </is>
      </c>
      <c r="K89" t="inlineStr">
        <is>
          <t>2026-02-27 20:47</t>
        </is>
      </c>
      <c r="L89" t="inlineStr">
        <is>
          <t>YES</t>
        </is>
      </c>
      <c r="M89" t="inlineStr">
        <is>
          <t>sentry sentry *</t>
        </is>
      </c>
      <c r="N89" t="inlineStr">
        <is>
          <t>P3</t>
        </is>
      </c>
      <c r="O89" t="inlineStr">
        <is>
          <t>CVE - IP enrichment n/a</t>
        </is>
      </c>
      <c r="P89" t="n">
        <v>0.0005</v>
      </c>
      <c r="Q89" t="n">
        <v>0.1593</v>
      </c>
      <c r="R89" t="inlineStr">
        <is>
          <t>T1078:Valid Accounts | T1110:Brute Force</t>
        </is>
      </c>
      <c r="S89" t="n">
        <v>1</v>
      </c>
      <c r="T89" t="inlineStr">
        <is>
          <t>LOW (40%)</t>
        </is>
      </c>
      <c r="U89" t="inlineStr">
        <is>
          <t>UNLIKELY</t>
        </is>
      </c>
      <c r="V89" t="inlineStr">
        <is>
          <t>PATCH_AVAILABLE</t>
        </is>
      </c>
      <c r="W89" t="inlineStr">
        <is>
          <t>https://nvd.nist.gov/vuln/detail/CVE-2026-27197</t>
        </is>
      </c>
      <c r="X89" t="inlineStr">
        <is>
          <t>NONE</t>
        </is>
      </c>
      <c r="Y89" t="n">
        <v>0</v>
      </c>
      <c r="Z89" t="inlineStr"/>
      <c r="AA89" t="inlineStr">
        <is>
          <t>https://nvd.nist.gov/vuln/detail/CVE-2026-27197</t>
        </is>
      </c>
    </row>
    <row r="90">
      <c r="A90" t="inlineStr">
        <is>
          <t>CVE</t>
        </is>
      </c>
      <c r="B90" t="inlineStr">
        <is>
          <t>CVE-2026-27527</t>
        </is>
      </c>
      <c r="C90" t="inlineStr">
        <is>
          <t>Rejected reason: Not used</t>
        </is>
      </c>
      <c r="D90" t="n">
        <v>5</v>
      </c>
      <c r="E90" t="inlineStr">
        <is>
          <t>MEDIUM</t>
        </is>
      </c>
      <c r="F90" t="n">
        <v>2</v>
      </c>
      <c r="G90" t="n">
        <v>2</v>
      </c>
      <c r="H90" t="inlineStr">
        <is>
          <t>MEDIUM</t>
        </is>
      </c>
      <c r="I90" t="n">
        <v>9</v>
      </c>
      <c r="J90" t="inlineStr">
        <is>
          <t>NO</t>
        </is>
      </c>
      <c r="K90" t="inlineStr">
        <is>
          <t>2026-02-27 20:47</t>
        </is>
      </c>
      <c r="L90" t="inlineStr">
        <is>
          <t>CHECK_VENDOR</t>
        </is>
      </c>
      <c r="M90" t="inlineStr">
        <is>
          <t>See CVE details</t>
        </is>
      </c>
      <c r="N90" t="inlineStr">
        <is>
          <t>P4</t>
        </is>
      </c>
      <c r="O90" t="inlineStr">
        <is>
          <t>CVE - IP enrichment n/a</t>
        </is>
      </c>
      <c r="P90" t="n">
        <v>0</v>
      </c>
      <c r="Q90" t="n">
        <v>0</v>
      </c>
      <c r="R90" t="inlineStr">
        <is>
          <t>T1190:Exploit Public-Facing Application</t>
        </is>
      </c>
      <c r="S90" t="n">
        <v>1</v>
      </c>
      <c r="T90" t="inlineStr">
        <is>
          <t>LOW (40%)</t>
        </is>
      </c>
      <c r="U90" t="inlineStr">
        <is>
          <t>UNLIKELY</t>
        </is>
      </c>
      <c r="V90" t="inlineStr">
        <is>
          <t>CHECK_VENDOR</t>
        </is>
      </c>
      <c r="W90" t="inlineStr">
        <is>
          <t>https://nvd.nist.gov/vuln/detail/CVE-2026-27527</t>
        </is>
      </c>
      <c r="X90" t="inlineStr">
        <is>
          <t>NONE</t>
        </is>
      </c>
      <c r="Y90" t="n">
        <v>0</v>
      </c>
      <c r="Z90" t="inlineStr"/>
      <c r="AA90" t="inlineStr">
        <is>
          <t>https://nvd.nist.gov/vuln/detail/CVE-2026-27527</t>
        </is>
      </c>
    </row>
    <row r="91">
      <c r="A91" t="inlineStr">
        <is>
          <t>CVE</t>
        </is>
      </c>
      <c r="B91" t="inlineStr">
        <is>
          <t>CVE-2026-27528</t>
        </is>
      </c>
      <c r="C91" t="inlineStr">
        <is>
          <t>Rejected reason: Not used</t>
        </is>
      </c>
      <c r="D91" t="n">
        <v>5</v>
      </c>
      <c r="E91" t="inlineStr">
        <is>
          <t>MEDIUM</t>
        </is>
      </c>
      <c r="F91" t="n">
        <v>2</v>
      </c>
      <c r="G91" t="n">
        <v>2</v>
      </c>
      <c r="H91" t="inlineStr">
        <is>
          <t>MEDIUM</t>
        </is>
      </c>
      <c r="I91" t="n">
        <v>9</v>
      </c>
      <c r="J91" t="inlineStr">
        <is>
          <t>NO</t>
        </is>
      </c>
      <c r="K91" t="inlineStr">
        <is>
          <t>2026-02-27 20:47</t>
        </is>
      </c>
      <c r="L91" t="inlineStr">
        <is>
          <t>CHECK_VENDOR</t>
        </is>
      </c>
      <c r="M91" t="inlineStr">
        <is>
          <t>See CVE details</t>
        </is>
      </c>
      <c r="N91" t="inlineStr">
        <is>
          <t>P4</t>
        </is>
      </c>
      <c r="O91" t="inlineStr">
        <is>
          <t>CVE - IP enrichment n/a</t>
        </is>
      </c>
      <c r="P91" t="n">
        <v>0</v>
      </c>
      <c r="Q91" t="n">
        <v>0</v>
      </c>
      <c r="R91" t="inlineStr">
        <is>
          <t>T1190:Exploit Public-Facing Application</t>
        </is>
      </c>
      <c r="S91" t="n">
        <v>1</v>
      </c>
      <c r="T91" t="inlineStr">
        <is>
          <t>LOW (40%)</t>
        </is>
      </c>
      <c r="U91" t="inlineStr">
        <is>
          <t>UNLIKELY</t>
        </is>
      </c>
      <c r="V91" t="inlineStr">
        <is>
          <t>CHECK_VENDOR</t>
        </is>
      </c>
      <c r="W91" t="inlineStr">
        <is>
          <t>https://nvd.nist.gov/vuln/detail/CVE-2026-27528</t>
        </is>
      </c>
      <c r="X91" t="inlineStr">
        <is>
          <t>NONE</t>
        </is>
      </c>
      <c r="Y91" t="n">
        <v>0</v>
      </c>
      <c r="Z91" t="inlineStr"/>
      <c r="AA91" t="inlineStr">
        <is>
          <t>https://nvd.nist.gov/vuln/detail/CVE-2026-27528</t>
        </is>
      </c>
    </row>
    <row r="92">
      <c r="A92" t="inlineStr">
        <is>
          <t>CVE</t>
        </is>
      </c>
      <c r="B92" t="inlineStr">
        <is>
          <t>CVE-2026-27529</t>
        </is>
      </c>
      <c r="C92" t="inlineStr">
        <is>
          <t>Rejected reason: Not used</t>
        </is>
      </c>
      <c r="D92" t="n">
        <v>5</v>
      </c>
      <c r="E92" t="inlineStr">
        <is>
          <t>MEDIUM</t>
        </is>
      </c>
      <c r="F92" t="n">
        <v>2</v>
      </c>
      <c r="G92" t="n">
        <v>2</v>
      </c>
      <c r="H92" t="inlineStr">
        <is>
          <t>MEDIUM</t>
        </is>
      </c>
      <c r="I92" t="n">
        <v>9</v>
      </c>
      <c r="J92" t="inlineStr">
        <is>
          <t>NO</t>
        </is>
      </c>
      <c r="K92" t="inlineStr">
        <is>
          <t>2026-02-27 20:47</t>
        </is>
      </c>
      <c r="L92" t="inlineStr">
        <is>
          <t>CHECK_VENDOR</t>
        </is>
      </c>
      <c r="M92" t="inlineStr">
        <is>
          <t>See CVE details</t>
        </is>
      </c>
      <c r="N92" t="inlineStr">
        <is>
          <t>P4</t>
        </is>
      </c>
      <c r="O92" t="inlineStr">
        <is>
          <t>CVE - IP enrichment n/a</t>
        </is>
      </c>
      <c r="P92" t="n">
        <v>0</v>
      </c>
      <c r="Q92" t="n">
        <v>0</v>
      </c>
      <c r="R92" t="inlineStr">
        <is>
          <t>T1190:Exploit Public-Facing Application</t>
        </is>
      </c>
      <c r="S92" t="n">
        <v>1</v>
      </c>
      <c r="T92" t="inlineStr">
        <is>
          <t>LOW (40%)</t>
        </is>
      </c>
      <c r="U92" t="inlineStr">
        <is>
          <t>UNLIKELY</t>
        </is>
      </c>
      <c r="V92" t="inlineStr">
        <is>
          <t>CHECK_VENDOR</t>
        </is>
      </c>
      <c r="W92" t="inlineStr">
        <is>
          <t>https://nvd.nist.gov/vuln/detail/CVE-2026-27529</t>
        </is>
      </c>
      <c r="X92" t="inlineStr">
        <is>
          <t>NONE</t>
        </is>
      </c>
      <c r="Y92" t="n">
        <v>0</v>
      </c>
      <c r="Z92" t="inlineStr"/>
      <c r="AA92" t="inlineStr">
        <is>
          <t>https://nvd.nist.gov/vuln/detail/CVE-2026-27529</t>
        </is>
      </c>
    </row>
    <row r="93">
      <c r="A93" t="inlineStr">
        <is>
          <t>CVE</t>
        </is>
      </c>
      <c r="B93" t="inlineStr">
        <is>
          <t>CVE-2026-27530</t>
        </is>
      </c>
      <c r="C93" t="inlineStr">
        <is>
          <t>Rejected reason: Not used</t>
        </is>
      </c>
      <c r="D93" t="n">
        <v>5</v>
      </c>
      <c r="E93" t="inlineStr">
        <is>
          <t>MEDIUM</t>
        </is>
      </c>
      <c r="F93" t="n">
        <v>2</v>
      </c>
      <c r="G93" t="n">
        <v>2</v>
      </c>
      <c r="H93" t="inlineStr">
        <is>
          <t>MEDIUM</t>
        </is>
      </c>
      <c r="I93" t="n">
        <v>9</v>
      </c>
      <c r="J93" t="inlineStr">
        <is>
          <t>NO</t>
        </is>
      </c>
      <c r="K93" t="inlineStr">
        <is>
          <t>2026-02-27 20:47</t>
        </is>
      </c>
      <c r="L93" t="inlineStr">
        <is>
          <t>CHECK_VENDOR</t>
        </is>
      </c>
      <c r="M93" t="inlineStr">
        <is>
          <t>See CVE details</t>
        </is>
      </c>
      <c r="N93" t="inlineStr">
        <is>
          <t>P4</t>
        </is>
      </c>
      <c r="O93" t="inlineStr">
        <is>
          <t>CVE - IP enrichment n/a</t>
        </is>
      </c>
      <c r="P93" t="n">
        <v>0</v>
      </c>
      <c r="Q93" t="n">
        <v>0</v>
      </c>
      <c r="R93" t="inlineStr">
        <is>
          <t>T1190:Exploit Public-Facing Application</t>
        </is>
      </c>
      <c r="S93" t="n">
        <v>1</v>
      </c>
      <c r="T93" t="inlineStr">
        <is>
          <t>LOW (40%)</t>
        </is>
      </c>
      <c r="U93" t="inlineStr">
        <is>
          <t>UNLIKELY</t>
        </is>
      </c>
      <c r="V93" t="inlineStr">
        <is>
          <t>CHECK_VENDOR</t>
        </is>
      </c>
      <c r="W93" t="inlineStr">
        <is>
          <t>https://nvd.nist.gov/vuln/detail/CVE-2026-27530</t>
        </is>
      </c>
      <c r="X93" t="inlineStr">
        <is>
          <t>NONE</t>
        </is>
      </c>
      <c r="Y93" t="n">
        <v>0</v>
      </c>
      <c r="Z93" t="inlineStr"/>
      <c r="AA93" t="inlineStr">
        <is>
          <t>https://nvd.nist.gov/vuln/detail/CVE-2026-27530</t>
        </is>
      </c>
    </row>
    <row r="94">
      <c r="A94" t="inlineStr">
        <is>
          <t>CVE</t>
        </is>
      </c>
      <c r="B94" t="inlineStr">
        <is>
          <t>CVE-2026-27531</t>
        </is>
      </c>
      <c r="C94" t="inlineStr">
        <is>
          <t>Rejected reason: Not used</t>
        </is>
      </c>
      <c r="D94" t="n">
        <v>5</v>
      </c>
      <c r="E94" t="inlineStr">
        <is>
          <t>MEDIUM</t>
        </is>
      </c>
      <c r="F94" t="n">
        <v>2</v>
      </c>
      <c r="G94" t="n">
        <v>2</v>
      </c>
      <c r="H94" t="inlineStr">
        <is>
          <t>MEDIUM</t>
        </is>
      </c>
      <c r="I94" t="n">
        <v>9</v>
      </c>
      <c r="J94" t="inlineStr">
        <is>
          <t>NO</t>
        </is>
      </c>
      <c r="K94" t="inlineStr">
        <is>
          <t>2026-02-27 20:47</t>
        </is>
      </c>
      <c r="L94" t="inlineStr">
        <is>
          <t>CHECK_VENDOR</t>
        </is>
      </c>
      <c r="M94" t="inlineStr">
        <is>
          <t>See CVE details</t>
        </is>
      </c>
      <c r="N94" t="inlineStr">
        <is>
          <t>P4</t>
        </is>
      </c>
      <c r="O94" t="inlineStr">
        <is>
          <t>CVE - IP enrichment n/a</t>
        </is>
      </c>
      <c r="P94" t="n">
        <v>0</v>
      </c>
      <c r="Q94" t="n">
        <v>0</v>
      </c>
      <c r="R94" t="inlineStr">
        <is>
          <t>T1190:Exploit Public-Facing Application</t>
        </is>
      </c>
      <c r="S94" t="n">
        <v>1</v>
      </c>
      <c r="T94" t="inlineStr">
        <is>
          <t>LOW (40%)</t>
        </is>
      </c>
      <c r="U94" t="inlineStr">
        <is>
          <t>UNLIKELY</t>
        </is>
      </c>
      <c r="V94" t="inlineStr">
        <is>
          <t>CHECK_VENDOR</t>
        </is>
      </c>
      <c r="W94" t="inlineStr">
        <is>
          <t>https://nvd.nist.gov/vuln/detail/CVE-2026-27531</t>
        </is>
      </c>
      <c r="X94" t="inlineStr">
        <is>
          <t>NONE</t>
        </is>
      </c>
      <c r="Y94" t="n">
        <v>0</v>
      </c>
      <c r="Z94" t="inlineStr"/>
      <c r="AA94" t="inlineStr">
        <is>
          <t>https://nvd.nist.gov/vuln/detail/CVE-2026-27531</t>
        </is>
      </c>
    </row>
    <row r="95">
      <c r="A95" t="inlineStr">
        <is>
          <t>CVE</t>
        </is>
      </c>
      <c r="B95" t="inlineStr">
        <is>
          <t>CVE-2026-27532</t>
        </is>
      </c>
      <c r="C95" t="inlineStr">
        <is>
          <t>Rejected reason: Not used</t>
        </is>
      </c>
      <c r="D95" t="n">
        <v>5</v>
      </c>
      <c r="E95" t="inlineStr">
        <is>
          <t>MEDIUM</t>
        </is>
      </c>
      <c r="F95" t="n">
        <v>2</v>
      </c>
      <c r="G95" t="n">
        <v>2</v>
      </c>
      <c r="H95" t="inlineStr">
        <is>
          <t>MEDIUM</t>
        </is>
      </c>
      <c r="I95" t="n">
        <v>9</v>
      </c>
      <c r="J95" t="inlineStr">
        <is>
          <t>NO</t>
        </is>
      </c>
      <c r="K95" t="inlineStr">
        <is>
          <t>2026-02-27 20:47</t>
        </is>
      </c>
      <c r="L95" t="inlineStr">
        <is>
          <t>CHECK_VENDOR</t>
        </is>
      </c>
      <c r="M95" t="inlineStr">
        <is>
          <t>See CVE details</t>
        </is>
      </c>
      <c r="N95" t="inlineStr">
        <is>
          <t>P4</t>
        </is>
      </c>
      <c r="O95" t="inlineStr">
        <is>
          <t>CVE - IP enrichment n/a</t>
        </is>
      </c>
      <c r="P95" t="n">
        <v>0</v>
      </c>
      <c r="Q95" t="n">
        <v>0</v>
      </c>
      <c r="R95" t="inlineStr">
        <is>
          <t>T1190:Exploit Public-Facing Application</t>
        </is>
      </c>
      <c r="S95" t="n">
        <v>1</v>
      </c>
      <c r="T95" t="inlineStr">
        <is>
          <t>LOW (40%)</t>
        </is>
      </c>
      <c r="U95" t="inlineStr">
        <is>
          <t>UNLIKELY</t>
        </is>
      </c>
      <c r="V95" t="inlineStr">
        <is>
          <t>CHECK_VENDOR</t>
        </is>
      </c>
      <c r="W95" t="inlineStr">
        <is>
          <t>https://nvd.nist.gov/vuln/detail/CVE-2026-27532</t>
        </is>
      </c>
      <c r="X95" t="inlineStr">
        <is>
          <t>NONE</t>
        </is>
      </c>
      <c r="Y95" t="n">
        <v>0</v>
      </c>
      <c r="Z95" t="inlineStr"/>
      <c r="AA95" t="inlineStr">
        <is>
          <t>https://nvd.nist.gov/vuln/detail/CVE-2026-27532</t>
        </is>
      </c>
    </row>
    <row r="96">
      <c r="A96" t="inlineStr">
        <is>
          <t>CVE</t>
        </is>
      </c>
      <c r="B96" t="inlineStr">
        <is>
          <t>CVE-2026-27533</t>
        </is>
      </c>
      <c r="C96" t="inlineStr">
        <is>
          <t>Rejected reason: Not used</t>
        </is>
      </c>
      <c r="D96" t="n">
        <v>5</v>
      </c>
      <c r="E96" t="inlineStr">
        <is>
          <t>MEDIUM</t>
        </is>
      </c>
      <c r="F96" t="n">
        <v>2</v>
      </c>
      <c r="G96" t="n">
        <v>2</v>
      </c>
      <c r="H96" t="inlineStr">
        <is>
          <t>MEDIUM</t>
        </is>
      </c>
      <c r="I96" t="n">
        <v>9</v>
      </c>
      <c r="J96" t="inlineStr">
        <is>
          <t>NO</t>
        </is>
      </c>
      <c r="K96" t="inlineStr">
        <is>
          <t>2026-02-27 20:47</t>
        </is>
      </c>
      <c r="L96" t="inlineStr">
        <is>
          <t>CHECK_VENDOR</t>
        </is>
      </c>
      <c r="M96" t="inlineStr">
        <is>
          <t>See CVE details</t>
        </is>
      </c>
      <c r="N96" t="inlineStr">
        <is>
          <t>P4</t>
        </is>
      </c>
      <c r="O96" t="inlineStr">
        <is>
          <t>CVE - IP enrichment n/a</t>
        </is>
      </c>
      <c r="P96" t="n">
        <v>0</v>
      </c>
      <c r="Q96" t="n">
        <v>0</v>
      </c>
      <c r="R96" t="inlineStr">
        <is>
          <t>T1190:Exploit Public-Facing Application</t>
        </is>
      </c>
      <c r="S96" t="n">
        <v>1</v>
      </c>
      <c r="T96" t="inlineStr">
        <is>
          <t>LOW (40%)</t>
        </is>
      </c>
      <c r="U96" t="inlineStr">
        <is>
          <t>UNLIKELY</t>
        </is>
      </c>
      <c r="V96" t="inlineStr">
        <is>
          <t>CHECK_VENDOR</t>
        </is>
      </c>
      <c r="W96" t="inlineStr">
        <is>
          <t>https://nvd.nist.gov/vuln/detail/CVE-2026-27533</t>
        </is>
      </c>
      <c r="X96" t="inlineStr">
        <is>
          <t>NONE</t>
        </is>
      </c>
      <c r="Y96" t="n">
        <v>0</v>
      </c>
      <c r="Z96" t="inlineStr"/>
      <c r="AA96" t="inlineStr">
        <is>
          <t>https://nvd.nist.gov/vuln/detail/CVE-2026-27533</t>
        </is>
      </c>
    </row>
    <row r="97">
      <c r="A97" t="inlineStr">
        <is>
          <t>CVE</t>
        </is>
      </c>
      <c r="B97" t="inlineStr">
        <is>
          <t>CVE-2026-27534</t>
        </is>
      </c>
      <c r="C97" t="inlineStr">
        <is>
          <t>Rejected reason: Not used</t>
        </is>
      </c>
      <c r="D97" t="n">
        <v>5</v>
      </c>
      <c r="E97" t="inlineStr">
        <is>
          <t>MEDIUM</t>
        </is>
      </c>
      <c r="F97" t="n">
        <v>2</v>
      </c>
      <c r="G97" t="n">
        <v>2</v>
      </c>
      <c r="H97" t="inlineStr">
        <is>
          <t>MEDIUM</t>
        </is>
      </c>
      <c r="I97" t="n">
        <v>9</v>
      </c>
      <c r="J97" t="inlineStr">
        <is>
          <t>NO</t>
        </is>
      </c>
      <c r="K97" t="inlineStr">
        <is>
          <t>2026-02-27 20:47</t>
        </is>
      </c>
      <c r="L97" t="inlineStr">
        <is>
          <t>CHECK_VENDOR</t>
        </is>
      </c>
      <c r="M97" t="inlineStr">
        <is>
          <t>See CVE details</t>
        </is>
      </c>
      <c r="N97" t="inlineStr">
        <is>
          <t>P4</t>
        </is>
      </c>
      <c r="O97" t="inlineStr">
        <is>
          <t>CVE - IP enrichment n/a</t>
        </is>
      </c>
      <c r="P97" t="n">
        <v>0</v>
      </c>
      <c r="Q97" t="n">
        <v>0</v>
      </c>
      <c r="R97" t="inlineStr">
        <is>
          <t>T1190:Exploit Public-Facing Application</t>
        </is>
      </c>
      <c r="S97" t="n">
        <v>1</v>
      </c>
      <c r="T97" t="inlineStr">
        <is>
          <t>LOW (40%)</t>
        </is>
      </c>
      <c r="U97" t="inlineStr">
        <is>
          <t>UNLIKELY</t>
        </is>
      </c>
      <c r="V97" t="inlineStr">
        <is>
          <t>CHECK_VENDOR</t>
        </is>
      </c>
      <c r="W97" t="inlineStr">
        <is>
          <t>https://nvd.nist.gov/vuln/detail/CVE-2026-27534</t>
        </is>
      </c>
      <c r="X97" t="inlineStr">
        <is>
          <t>NONE</t>
        </is>
      </c>
      <c r="Y97" t="n">
        <v>0</v>
      </c>
      <c r="Z97" t="inlineStr"/>
      <c r="AA97" t="inlineStr">
        <is>
          <t>https://nvd.nist.gov/vuln/detail/CVE-2026-27534</t>
        </is>
      </c>
    </row>
    <row r="98">
      <c r="A98" t="inlineStr">
        <is>
          <t>CVE</t>
        </is>
      </c>
      <c r="B98" t="inlineStr">
        <is>
          <t>CVE-2026-2860</t>
        </is>
      </c>
      <c r="C98"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98" t="n">
        <v>6.3</v>
      </c>
      <c r="E98" t="inlineStr">
        <is>
          <t>MEDIUM</t>
        </is>
      </c>
      <c r="F98" t="n">
        <v>2</v>
      </c>
      <c r="G98" t="n">
        <v>2</v>
      </c>
      <c r="H98" t="inlineStr">
        <is>
          <t>MEDIUM</t>
        </is>
      </c>
      <c r="I98" t="n">
        <v>10.3</v>
      </c>
      <c r="J98" t="inlineStr">
        <is>
          <t>NO</t>
        </is>
      </c>
      <c r="K98" t="inlineStr">
        <is>
          <t>2026-02-27 20:47</t>
        </is>
      </c>
      <c r="L98" t="inlineStr">
        <is>
          <t>CHECK_VENDOR</t>
        </is>
      </c>
      <c r="M98" t="inlineStr">
        <is>
          <t>See CVE details</t>
        </is>
      </c>
      <c r="N98" t="inlineStr">
        <is>
          <t>P4</t>
        </is>
      </c>
      <c r="O98" t="inlineStr">
        <is>
          <t>CVE - IP enrichment n/a</t>
        </is>
      </c>
      <c r="P98" t="n">
        <v>0.0004</v>
      </c>
      <c r="Q98" t="n">
        <v>0.1212</v>
      </c>
      <c r="R98" t="inlineStr">
        <is>
          <t>T1190:Exploit Public-Facing Application</t>
        </is>
      </c>
      <c r="S98" t="n">
        <v>1</v>
      </c>
      <c r="T98" t="inlineStr">
        <is>
          <t>LOW (40%)</t>
        </is>
      </c>
      <c r="U98" t="inlineStr">
        <is>
          <t>UNLIKELY</t>
        </is>
      </c>
      <c r="V98" t="inlineStr">
        <is>
          <t>CHECK_VENDOR</t>
        </is>
      </c>
      <c r="W98" t="inlineStr">
        <is>
          <t>https://nvd.nist.gov/vuln/detail/CVE-2026-2860</t>
        </is>
      </c>
      <c r="X98" t="inlineStr">
        <is>
          <t>NONE</t>
        </is>
      </c>
      <c r="Y98" t="n">
        <v>0</v>
      </c>
      <c r="Z98" t="inlineStr"/>
      <c r="AA98" t="inlineStr">
        <is>
          <t>https://nvd.nist.gov/vuln/detail/CVE-2026-2860</t>
        </is>
      </c>
    </row>
    <row r="99">
      <c r="A99" t="inlineStr">
        <is>
          <t>CVE</t>
        </is>
      </c>
      <c r="B99" t="inlineStr">
        <is>
          <t>CVE-2026-26045</t>
        </is>
      </c>
      <c r="C99"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99" t="n">
        <v>7.2</v>
      </c>
      <c r="E99" t="inlineStr">
        <is>
          <t>HIGH</t>
        </is>
      </c>
      <c r="F99" t="n">
        <v>2</v>
      </c>
      <c r="G99" t="n">
        <v>3</v>
      </c>
      <c r="H99" t="inlineStr">
        <is>
          <t>HIGH</t>
        </is>
      </c>
      <c r="I99" t="n">
        <v>13.2</v>
      </c>
      <c r="J99" t="inlineStr">
        <is>
          <t>NO</t>
        </is>
      </c>
      <c r="K99" t="inlineStr">
        <is>
          <t>2026-02-27 20:47</t>
        </is>
      </c>
      <c r="L99" t="inlineStr">
        <is>
          <t>CHECK_VENDOR</t>
        </is>
      </c>
      <c r="M99" t="inlineStr">
        <is>
          <t>moodle moodle *</t>
        </is>
      </c>
      <c r="N99" t="inlineStr">
        <is>
          <t>P3</t>
        </is>
      </c>
      <c r="O99" t="inlineStr">
        <is>
          <t>CVE - IP enrichment n/a</t>
        </is>
      </c>
      <c r="P99" t="n">
        <v>0.0009</v>
      </c>
      <c r="Q99" t="n">
        <v>0.2616</v>
      </c>
      <c r="R99" t="inlineStr">
        <is>
          <t>T1059:Command and Scripting Interpreter</t>
        </is>
      </c>
      <c r="S99" t="n">
        <v>1</v>
      </c>
      <c r="T99" t="inlineStr">
        <is>
          <t>LOW (40%)</t>
        </is>
      </c>
      <c r="U99" t="inlineStr">
        <is>
          <t>UNLIKELY</t>
        </is>
      </c>
      <c r="V99" t="inlineStr">
        <is>
          <t>CHECK_VENDOR</t>
        </is>
      </c>
      <c r="W99" t="inlineStr">
        <is>
          <t>https://nvd.nist.gov/vuln/detail/CVE-2026-26045</t>
        </is>
      </c>
      <c r="X99" t="inlineStr">
        <is>
          <t>NONE</t>
        </is>
      </c>
      <c r="Y99" t="n">
        <v>0</v>
      </c>
      <c r="Z99" t="inlineStr"/>
      <c r="AA99" t="inlineStr">
        <is>
          <t>https://nvd.nist.gov/vuln/detail/CVE-2026-26045</t>
        </is>
      </c>
    </row>
    <row r="100">
      <c r="A100" t="inlineStr">
        <is>
          <t>CVE</t>
        </is>
      </c>
      <c r="B100" t="inlineStr">
        <is>
          <t>CVE-2026-26046</t>
        </is>
      </c>
      <c r="C100"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00" t="n">
        <v>7.2</v>
      </c>
      <c r="E100" t="inlineStr">
        <is>
          <t>HIGH</t>
        </is>
      </c>
      <c r="F100" t="n">
        <v>2</v>
      </c>
      <c r="G100" t="n">
        <v>3</v>
      </c>
      <c r="H100" t="inlineStr">
        <is>
          <t>HIGH</t>
        </is>
      </c>
      <c r="I100" t="n">
        <v>13.2</v>
      </c>
      <c r="J100" t="inlineStr">
        <is>
          <t>NO</t>
        </is>
      </c>
      <c r="K100" t="inlineStr">
        <is>
          <t>2026-02-27 20:47</t>
        </is>
      </c>
      <c r="L100" t="inlineStr">
        <is>
          <t>CHECK_VENDOR</t>
        </is>
      </c>
      <c r="M100" t="inlineStr">
        <is>
          <t>moodle moodle *</t>
        </is>
      </c>
      <c r="N100" t="inlineStr">
        <is>
          <t>P3</t>
        </is>
      </c>
      <c r="O100" t="inlineStr">
        <is>
          <t>CVE - IP enrichment n/a</t>
        </is>
      </c>
      <c r="P100" t="n">
        <v>0.0018</v>
      </c>
      <c r="Q100" t="n">
        <v>0.3892</v>
      </c>
      <c r="R100" t="inlineStr">
        <is>
          <t>T1059:Command and Scripting Interpreter</t>
        </is>
      </c>
      <c r="S100" t="n">
        <v>1</v>
      </c>
      <c r="T100" t="inlineStr">
        <is>
          <t>LOW (40%)</t>
        </is>
      </c>
      <c r="U100" t="inlineStr">
        <is>
          <t>UNLIKELY</t>
        </is>
      </c>
      <c r="V100" t="inlineStr">
        <is>
          <t>CHECK_VENDOR</t>
        </is>
      </c>
      <c r="W100" t="inlineStr">
        <is>
          <t>https://nvd.nist.gov/vuln/detail/CVE-2026-26046</t>
        </is>
      </c>
      <c r="X100" t="inlineStr">
        <is>
          <t>NONE</t>
        </is>
      </c>
      <c r="Y100" t="n">
        <v>0</v>
      </c>
      <c r="Z100" t="inlineStr"/>
      <c r="AA100" t="inlineStr">
        <is>
          <t>https://nvd.nist.gov/vuln/detail/CVE-2026-26046</t>
        </is>
      </c>
    </row>
    <row r="101">
      <c r="A101" t="inlineStr">
        <is>
          <t>CVE</t>
        </is>
      </c>
      <c r="B101" t="inlineStr">
        <is>
          <t>CVE-2026-26047</t>
        </is>
      </c>
      <c r="C101"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01" t="n">
        <v>6.5</v>
      </c>
      <c r="E101" t="inlineStr">
        <is>
          <t>MEDIUM</t>
        </is>
      </c>
      <c r="F101" t="n">
        <v>2</v>
      </c>
      <c r="G101" t="n">
        <v>2</v>
      </c>
      <c r="H101" t="inlineStr">
        <is>
          <t>MEDIUM</t>
        </is>
      </c>
      <c r="I101" t="n">
        <v>10.5</v>
      </c>
      <c r="J101" t="inlineStr">
        <is>
          <t>NO</t>
        </is>
      </c>
      <c r="K101" t="inlineStr">
        <is>
          <t>2026-02-27 20:47</t>
        </is>
      </c>
      <c r="L101" t="inlineStr">
        <is>
          <t>CHECK_VENDOR</t>
        </is>
      </c>
      <c r="M101" t="inlineStr">
        <is>
          <t>moodle moodle *</t>
        </is>
      </c>
      <c r="N101" t="inlineStr">
        <is>
          <t>P4</t>
        </is>
      </c>
      <c r="O101" t="inlineStr">
        <is>
          <t>CVE - IP enrichment n/a</t>
        </is>
      </c>
      <c r="P101" t="n">
        <v>0.0007</v>
      </c>
      <c r="Q101" t="n">
        <v>0.2031</v>
      </c>
      <c r="R101" t="inlineStr">
        <is>
          <t>T1190:Exploit Public-Facing Application</t>
        </is>
      </c>
      <c r="S101" t="n">
        <v>1</v>
      </c>
      <c r="T101" t="inlineStr">
        <is>
          <t>LOW (40%)</t>
        </is>
      </c>
      <c r="U101" t="inlineStr">
        <is>
          <t>UNLIKELY</t>
        </is>
      </c>
      <c r="V101" t="inlineStr">
        <is>
          <t>CHECK_VENDOR</t>
        </is>
      </c>
      <c r="W101" t="inlineStr">
        <is>
          <t>https://nvd.nist.gov/vuln/detail/CVE-2026-26047</t>
        </is>
      </c>
      <c r="X101" t="inlineStr">
        <is>
          <t>NONE</t>
        </is>
      </c>
      <c r="Y101" t="n">
        <v>0</v>
      </c>
      <c r="Z101" t="inlineStr"/>
      <c r="AA101" t="inlineStr">
        <is>
          <t>https://nvd.nist.gov/vuln/detail/CVE-2026-26047</t>
        </is>
      </c>
    </row>
    <row r="102">
      <c r="A102" t="inlineStr">
        <is>
          <t>CVE</t>
        </is>
      </c>
      <c r="B102" t="inlineStr">
        <is>
          <t>CVE-2026-27198</t>
        </is>
      </c>
      <c r="C102"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02" t="n">
        <v>8.800000000000001</v>
      </c>
      <c r="E102" t="inlineStr">
        <is>
          <t>HIGH</t>
        </is>
      </c>
      <c r="F102" t="n">
        <v>2</v>
      </c>
      <c r="G102" t="n">
        <v>3</v>
      </c>
      <c r="H102" t="inlineStr">
        <is>
          <t>HIGH</t>
        </is>
      </c>
      <c r="I102" t="n">
        <v>14.8</v>
      </c>
      <c r="J102" t="inlineStr">
        <is>
          <t>NO</t>
        </is>
      </c>
      <c r="K102" t="inlineStr">
        <is>
          <t>2026-02-27 20:47</t>
        </is>
      </c>
      <c r="L102" t="inlineStr">
        <is>
          <t>CHECK_VENDOR</t>
        </is>
      </c>
      <c r="M102" t="inlineStr">
        <is>
          <t>See CVE details</t>
        </is>
      </c>
      <c r="N102" t="inlineStr">
        <is>
          <t>P3</t>
        </is>
      </c>
      <c r="O102" t="inlineStr">
        <is>
          <t>CVE - IP enrichment n/a</t>
        </is>
      </c>
      <c r="P102" t="n">
        <v>0.0004</v>
      </c>
      <c r="Q102" t="n">
        <v>0.1239</v>
      </c>
      <c r="R102" t="inlineStr">
        <is>
          <t>T1190:Exploit Public-Facing Application</t>
        </is>
      </c>
      <c r="S102" t="n">
        <v>1</v>
      </c>
      <c r="T102" t="inlineStr">
        <is>
          <t>LOW (40%)</t>
        </is>
      </c>
      <c r="U102" t="inlineStr">
        <is>
          <t>UNLIKELY</t>
        </is>
      </c>
      <c r="V102" t="inlineStr">
        <is>
          <t>CHECK_VENDOR</t>
        </is>
      </c>
      <c r="W102" t="inlineStr">
        <is>
          <t>https://nvd.nist.gov/vuln/detail/CVE-2026-27198</t>
        </is>
      </c>
      <c r="X102" t="inlineStr">
        <is>
          <t>NONE</t>
        </is>
      </c>
      <c r="Y102" t="n">
        <v>0</v>
      </c>
      <c r="Z102" t="inlineStr"/>
      <c r="AA102" t="inlineStr">
        <is>
          <t>https://nvd.nist.gov/vuln/detail/CVE-2026-27198</t>
        </is>
      </c>
    </row>
    <row r="103">
      <c r="A103" t="inlineStr">
        <is>
          <t>CVE</t>
        </is>
      </c>
      <c r="B103" t="inlineStr">
        <is>
          <t>CVE-2026-27199</t>
        </is>
      </c>
      <c r="C103"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03" t="n">
        <v>5</v>
      </c>
      <c r="E103" t="inlineStr">
        <is>
          <t>MEDIUM</t>
        </is>
      </c>
      <c r="F103" t="n">
        <v>2</v>
      </c>
      <c r="G103" t="n">
        <v>2</v>
      </c>
      <c r="H103" t="inlineStr">
        <is>
          <t>MEDIUM</t>
        </is>
      </c>
      <c r="I103" t="n">
        <v>9</v>
      </c>
      <c r="J103" t="inlineStr">
        <is>
          <t>NO</t>
        </is>
      </c>
      <c r="K103" t="inlineStr">
        <is>
          <t>2026-02-27 20:47</t>
        </is>
      </c>
      <c r="L103" t="inlineStr">
        <is>
          <t>CHECK_VENDOR</t>
        </is>
      </c>
      <c r="M103" t="inlineStr">
        <is>
          <t>See CVE details</t>
        </is>
      </c>
      <c r="N103" t="inlineStr">
        <is>
          <t>P4</t>
        </is>
      </c>
      <c r="O103" t="inlineStr">
        <is>
          <t>CVE - IP enrichment n/a</t>
        </is>
      </c>
      <c r="P103" t="n">
        <v>0.0008</v>
      </c>
      <c r="Q103" t="n">
        <v>0.2311</v>
      </c>
      <c r="R103" t="inlineStr">
        <is>
          <t>T1190:Exploit Public-Facing Application</t>
        </is>
      </c>
      <c r="S103" t="n">
        <v>1</v>
      </c>
      <c r="T103" t="inlineStr">
        <is>
          <t>LOW (40%)</t>
        </is>
      </c>
      <c r="U103" t="inlineStr">
        <is>
          <t>UNLIKELY</t>
        </is>
      </c>
      <c r="V103" t="inlineStr">
        <is>
          <t>CHECK_VENDOR</t>
        </is>
      </c>
      <c r="W103" t="inlineStr">
        <is>
          <t>https://nvd.nist.gov/vuln/detail/CVE-2026-27199</t>
        </is>
      </c>
      <c r="X103" t="inlineStr">
        <is>
          <t>NONE</t>
        </is>
      </c>
      <c r="Y103" t="n">
        <v>0</v>
      </c>
      <c r="Z103" t="inlineStr"/>
      <c r="AA103" t="inlineStr">
        <is>
          <t>https://nvd.nist.gov/vuln/detail/CVE-2026-27199</t>
        </is>
      </c>
    </row>
    <row r="104">
      <c r="A104" t="inlineStr">
        <is>
          <t>CVE</t>
        </is>
      </c>
      <c r="B104" t="inlineStr">
        <is>
          <t>CVE-2026-27205</t>
        </is>
      </c>
      <c r="C104"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04" t="n">
        <v>4.3</v>
      </c>
      <c r="E104" t="inlineStr">
        <is>
          <t>MEDIUM</t>
        </is>
      </c>
      <c r="F104" t="n">
        <v>2</v>
      </c>
      <c r="G104" t="n">
        <v>2</v>
      </c>
      <c r="H104" t="inlineStr">
        <is>
          <t>MEDIUM</t>
        </is>
      </c>
      <c r="I104" t="n">
        <v>8.300000000000001</v>
      </c>
      <c r="J104" t="inlineStr">
        <is>
          <t>NO</t>
        </is>
      </c>
      <c r="K104" t="inlineStr">
        <is>
          <t>2026-02-27 20:47</t>
        </is>
      </c>
      <c r="L104" t="inlineStr">
        <is>
          <t>YES</t>
        </is>
      </c>
      <c r="M104" t="inlineStr">
        <is>
          <t>palletsprojects flask *</t>
        </is>
      </c>
      <c r="N104" t="inlineStr">
        <is>
          <t>P4</t>
        </is>
      </c>
      <c r="O104" t="inlineStr">
        <is>
          <t>CVE - IP enrichment n/a</t>
        </is>
      </c>
      <c r="P104" t="n">
        <v>0.0003</v>
      </c>
      <c r="Q104" t="n">
        <v>0.0873</v>
      </c>
      <c r="R104" t="inlineStr">
        <is>
          <t>T1190:Exploit Public-Facing Application</t>
        </is>
      </c>
      <c r="S104" t="n">
        <v>1</v>
      </c>
      <c r="T104" t="inlineStr">
        <is>
          <t>LOW (40%)</t>
        </is>
      </c>
      <c r="U104" t="inlineStr">
        <is>
          <t>UNLIKELY</t>
        </is>
      </c>
      <c r="V104" t="inlineStr">
        <is>
          <t>PATCH_AVAILABLE</t>
        </is>
      </c>
      <c r="W104" t="inlineStr">
        <is>
          <t>https://nvd.nist.gov/vuln/detail/CVE-2026-27205</t>
        </is>
      </c>
      <c r="X104" t="inlineStr">
        <is>
          <t>NONE</t>
        </is>
      </c>
      <c r="Y104" t="n">
        <v>0</v>
      </c>
      <c r="Z104" t="inlineStr"/>
      <c r="AA104" t="inlineStr">
        <is>
          <t>https://nvd.nist.gov/vuln/detail/CVE-2026-27205</t>
        </is>
      </c>
    </row>
    <row r="105">
      <c r="A105" t="inlineStr">
        <is>
          <t>CVE</t>
        </is>
      </c>
      <c r="B105" t="inlineStr">
        <is>
          <t>CVE-2026-27210</t>
        </is>
      </c>
      <c r="C105"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05" t="n">
        <v>8.5</v>
      </c>
      <c r="E105" t="inlineStr">
        <is>
          <t>HIGH</t>
        </is>
      </c>
      <c r="F105" t="n">
        <v>2</v>
      </c>
      <c r="G105" t="n">
        <v>3</v>
      </c>
      <c r="H105" t="inlineStr">
        <is>
          <t>HIGH</t>
        </is>
      </c>
      <c r="I105" t="n">
        <v>14.5</v>
      </c>
      <c r="J105" t="inlineStr">
        <is>
          <t>NO</t>
        </is>
      </c>
      <c r="K105" t="inlineStr">
        <is>
          <t>2026-02-27 20:47</t>
        </is>
      </c>
      <c r="L105" t="inlineStr">
        <is>
          <t>CHECK_VENDOR</t>
        </is>
      </c>
      <c r="M105" t="inlineStr">
        <is>
          <t>See CVE details</t>
        </is>
      </c>
      <c r="N105" t="inlineStr">
        <is>
          <t>P3</t>
        </is>
      </c>
      <c r="O105" t="inlineStr">
        <is>
          <t>CVE - IP enrichment n/a</t>
        </is>
      </c>
      <c r="P105" t="n">
        <v>0.0011</v>
      </c>
      <c r="Q105" t="n">
        <v>0.3032</v>
      </c>
      <c r="R105" t="inlineStr">
        <is>
          <t>T1189:Drive-by Compromise | T1190:Exploit Public-Facing Application</t>
        </is>
      </c>
      <c r="S105" t="n">
        <v>1</v>
      </c>
      <c r="T105" t="inlineStr">
        <is>
          <t>LOW (40%)</t>
        </is>
      </c>
      <c r="U105" t="inlineStr">
        <is>
          <t>UNLIKELY</t>
        </is>
      </c>
      <c r="V105" t="inlineStr">
        <is>
          <t>CHECK_VENDOR</t>
        </is>
      </c>
      <c r="W105" t="inlineStr">
        <is>
          <t>https://nvd.nist.gov/vuln/detail/CVE-2026-27210</t>
        </is>
      </c>
      <c r="X105" t="inlineStr">
        <is>
          <t>NONE</t>
        </is>
      </c>
      <c r="Y105" t="n">
        <v>0</v>
      </c>
      <c r="Z105" t="inlineStr"/>
      <c r="AA105" t="inlineStr">
        <is>
          <t>https://nvd.nist.gov/vuln/detail/CVE-2026-27210</t>
        </is>
      </c>
    </row>
    <row r="106">
      <c r="A106" t="inlineStr">
        <is>
          <t>CVE</t>
        </is>
      </c>
      <c r="B106" t="inlineStr">
        <is>
          <t>CVE-2026-27211</t>
        </is>
      </c>
      <c r="C106"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06" t="n">
        <v>10</v>
      </c>
      <c r="E106" t="inlineStr">
        <is>
          <t>CRITICAL</t>
        </is>
      </c>
      <c r="F106" t="n">
        <v>2</v>
      </c>
      <c r="G106" t="n">
        <v>3</v>
      </c>
      <c r="H106" t="inlineStr">
        <is>
          <t>HIGH</t>
        </is>
      </c>
      <c r="I106" t="n">
        <v>16</v>
      </c>
      <c r="J106" t="inlineStr">
        <is>
          <t>NO</t>
        </is>
      </c>
      <c r="K106" t="inlineStr">
        <is>
          <t>2026-02-27 20:47</t>
        </is>
      </c>
      <c r="L106" t="inlineStr">
        <is>
          <t>YES</t>
        </is>
      </c>
      <c r="M106" t="inlineStr">
        <is>
          <t>cloudhypervisor cloud_hypervisor *</t>
        </is>
      </c>
      <c r="N106" t="inlineStr">
        <is>
          <t>P3</t>
        </is>
      </c>
      <c r="O106" t="inlineStr">
        <is>
          <t>CVE - IP enrichment n/a</t>
        </is>
      </c>
      <c r="P106" t="n">
        <v>0.0005</v>
      </c>
      <c r="Q106" t="n">
        <v>0.1481</v>
      </c>
      <c r="R106" t="inlineStr">
        <is>
          <t>T1190:Exploit Public-Facing Application</t>
        </is>
      </c>
      <c r="S106" t="n">
        <v>1</v>
      </c>
      <c r="T106" t="inlineStr">
        <is>
          <t>LOW (40%)</t>
        </is>
      </c>
      <c r="U106" t="inlineStr">
        <is>
          <t>UNLIKELY</t>
        </is>
      </c>
      <c r="V106" t="inlineStr">
        <is>
          <t>PATCH_AVAILABLE</t>
        </is>
      </c>
      <c r="W106" t="inlineStr">
        <is>
          <t>https://nvd.nist.gov/vuln/detail/CVE-2026-27211</t>
        </is>
      </c>
      <c r="X106" t="inlineStr">
        <is>
          <t>NONE</t>
        </is>
      </c>
      <c r="Y106" t="n">
        <v>0</v>
      </c>
      <c r="Z106" t="inlineStr"/>
      <c r="AA106" t="inlineStr">
        <is>
          <t>https://nvd.nist.gov/vuln/detail/CVE-2026-27211</t>
        </is>
      </c>
    </row>
    <row r="107">
      <c r="A107" t="inlineStr">
        <is>
          <t>CVE</t>
        </is>
      </c>
      <c r="B107" t="inlineStr">
        <is>
          <t>CVE-2026-27212</t>
        </is>
      </c>
      <c r="C107"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07" t="n">
        <v>7.8</v>
      </c>
      <c r="E107" t="inlineStr">
        <is>
          <t>HIGH</t>
        </is>
      </c>
      <c r="F107" t="n">
        <v>2</v>
      </c>
      <c r="G107" t="n">
        <v>3</v>
      </c>
      <c r="H107" t="inlineStr">
        <is>
          <t>HIGH</t>
        </is>
      </c>
      <c r="I107" t="n">
        <v>13.8</v>
      </c>
      <c r="J107" t="inlineStr">
        <is>
          <t>NO</t>
        </is>
      </c>
      <c r="K107" t="inlineStr">
        <is>
          <t>2026-02-27 20:47</t>
        </is>
      </c>
      <c r="L107" t="inlineStr">
        <is>
          <t>YES</t>
        </is>
      </c>
      <c r="M107" t="inlineStr">
        <is>
          <t>swiperjs swiper *</t>
        </is>
      </c>
      <c r="N107" t="inlineStr">
        <is>
          <t>P3</t>
        </is>
      </c>
      <c r="O107" t="inlineStr">
        <is>
          <t>CVE - IP enrichment n/a</t>
        </is>
      </c>
      <c r="P107" t="n">
        <v>0.0005999999999999999</v>
      </c>
      <c r="Q107" t="n">
        <v>0.182</v>
      </c>
      <c r="R107" t="inlineStr">
        <is>
          <t>T1190:Exploit Public-Facing Application | T1078:Valid Accounts | T1499:Endpoint Denial of Service</t>
        </is>
      </c>
      <c r="S107" t="n">
        <v>1</v>
      </c>
      <c r="T107" t="inlineStr">
        <is>
          <t>LOW (40%)</t>
        </is>
      </c>
      <c r="U107" t="inlineStr">
        <is>
          <t>UNLIKELY</t>
        </is>
      </c>
      <c r="V107" t="inlineStr">
        <is>
          <t>PATCH_AVAILABLE</t>
        </is>
      </c>
      <c r="W107" t="inlineStr">
        <is>
          <t>https://nvd.nist.gov/vuln/detail/CVE-2026-27212</t>
        </is>
      </c>
      <c r="X107" t="inlineStr">
        <is>
          <t>NONE</t>
        </is>
      </c>
      <c r="Y107" t="n">
        <v>0</v>
      </c>
      <c r="Z107" t="inlineStr"/>
      <c r="AA107" t="inlineStr">
        <is>
          <t>https://nvd.nist.gov/vuln/detail/CVE-2026-27212</t>
        </is>
      </c>
    </row>
    <row r="108">
      <c r="A108" t="inlineStr">
        <is>
          <t>CVE</t>
        </is>
      </c>
      <c r="B108" t="inlineStr">
        <is>
          <t>CVE-2026-2861</t>
        </is>
      </c>
      <c r="C108"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08" t="n">
        <v>5.3</v>
      </c>
      <c r="E108" t="inlineStr">
        <is>
          <t>MEDIUM</t>
        </is>
      </c>
      <c r="F108" t="n">
        <v>2</v>
      </c>
      <c r="G108" t="n">
        <v>2</v>
      </c>
      <c r="H108" t="inlineStr">
        <is>
          <t>MEDIUM</t>
        </is>
      </c>
      <c r="I108" t="n">
        <v>9.300000000000001</v>
      </c>
      <c r="J108" t="inlineStr">
        <is>
          <t>NO</t>
        </is>
      </c>
      <c r="K108" t="inlineStr">
        <is>
          <t>2026-02-27 20:47</t>
        </is>
      </c>
      <c r="L108" t="inlineStr">
        <is>
          <t>YES</t>
        </is>
      </c>
      <c r="M108" t="inlineStr">
        <is>
          <t>foswiki foswiki *</t>
        </is>
      </c>
      <c r="N108" t="inlineStr">
        <is>
          <t>P4</t>
        </is>
      </c>
      <c r="O108" t="inlineStr">
        <is>
          <t>CVE - IP enrichment n/a</t>
        </is>
      </c>
      <c r="P108" t="n">
        <v>0.0005999999999999999</v>
      </c>
      <c r="Q108" t="n">
        <v>0.1923</v>
      </c>
      <c r="R108" t="inlineStr">
        <is>
          <t>T1213:Data from Information Repositories</t>
        </is>
      </c>
      <c r="S108" t="n">
        <v>1</v>
      </c>
      <c r="T108" t="inlineStr">
        <is>
          <t>LOW (40%)</t>
        </is>
      </c>
      <c r="U108" t="inlineStr">
        <is>
          <t>UNLIKELY</t>
        </is>
      </c>
      <c r="V108" t="inlineStr">
        <is>
          <t>PATCH_AVAILABLE</t>
        </is>
      </c>
      <c r="W108" t="inlineStr">
        <is>
          <t>https://nvd.nist.gov/vuln/detail/CVE-2026-2861</t>
        </is>
      </c>
      <c r="X108" t="inlineStr">
        <is>
          <t>NONE</t>
        </is>
      </c>
      <c r="Y108" t="n">
        <v>0</v>
      </c>
      <c r="Z108" t="inlineStr"/>
      <c r="AA108" t="inlineStr">
        <is>
          <t>https://nvd.nist.gov/vuln/detail/CVE-2026-2861</t>
        </is>
      </c>
    </row>
    <row r="109">
      <c r="A109" t="inlineStr">
        <is>
          <t>CVE</t>
        </is>
      </c>
      <c r="B109" t="inlineStr">
        <is>
          <t>CVE-2026-2863</t>
        </is>
      </c>
      <c r="C109"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09" t="n">
        <v>5.4</v>
      </c>
      <c r="E109" t="inlineStr">
        <is>
          <t>MEDIUM</t>
        </is>
      </c>
      <c r="F109" t="n">
        <v>2</v>
      </c>
      <c r="G109" t="n">
        <v>2</v>
      </c>
      <c r="H109" t="inlineStr">
        <is>
          <t>MEDIUM</t>
        </is>
      </c>
      <c r="I109" t="n">
        <v>9.4</v>
      </c>
      <c r="J109" t="inlineStr">
        <is>
          <t>NO</t>
        </is>
      </c>
      <c r="K109" t="inlineStr">
        <is>
          <t>2026-02-27 20:47</t>
        </is>
      </c>
      <c r="L109" t="inlineStr">
        <is>
          <t>CHECK_VENDOR</t>
        </is>
      </c>
      <c r="M109" t="inlineStr">
        <is>
          <t>See CVE details</t>
        </is>
      </c>
      <c r="N109" t="inlineStr">
        <is>
          <t>P4</t>
        </is>
      </c>
      <c r="O109" t="inlineStr">
        <is>
          <t>CVE - IP enrichment n/a</t>
        </is>
      </c>
      <c r="P109" t="n">
        <v>0.0005999999999999999</v>
      </c>
      <c r="Q109" t="n">
        <v>0.2016</v>
      </c>
      <c r="R109" t="inlineStr">
        <is>
          <t>T1083:File and Directory Discovery</t>
        </is>
      </c>
      <c r="S109" t="n">
        <v>1</v>
      </c>
      <c r="T109" t="inlineStr">
        <is>
          <t>LOW (40%)</t>
        </is>
      </c>
      <c r="U109" t="inlineStr">
        <is>
          <t>UNLIKELY</t>
        </is>
      </c>
      <c r="V109" t="inlineStr">
        <is>
          <t>CHECK_VENDOR</t>
        </is>
      </c>
      <c r="W109" t="inlineStr">
        <is>
          <t>https://nvd.nist.gov/vuln/detail/CVE-2026-2863</t>
        </is>
      </c>
      <c r="X109" t="inlineStr">
        <is>
          <t>NONE</t>
        </is>
      </c>
      <c r="Y109" t="n">
        <v>0</v>
      </c>
      <c r="Z109" t="inlineStr"/>
      <c r="AA109" t="inlineStr">
        <is>
          <t>https://nvd.nist.gov/vuln/detail/CVE-2026-2863</t>
        </is>
      </c>
    </row>
    <row r="110">
      <c r="A110" t="inlineStr">
        <is>
          <t>CVE</t>
        </is>
      </c>
      <c r="B110" t="inlineStr">
        <is>
          <t>CVE-2026-27206</t>
        </is>
      </c>
      <c r="C110"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0" t="n">
        <v>8.1</v>
      </c>
      <c r="E110" t="inlineStr">
        <is>
          <t>HIGH</t>
        </is>
      </c>
      <c r="F110" t="n">
        <v>2</v>
      </c>
      <c r="G110" t="n">
        <v>3</v>
      </c>
      <c r="H110" t="inlineStr">
        <is>
          <t>HIGH</t>
        </is>
      </c>
      <c r="I110" t="n">
        <v>14.1</v>
      </c>
      <c r="J110" t="inlineStr">
        <is>
          <t>NO</t>
        </is>
      </c>
      <c r="K110" t="inlineStr">
        <is>
          <t>2026-02-27 20:47</t>
        </is>
      </c>
      <c r="L110" t="inlineStr">
        <is>
          <t>CHECK_VENDOR</t>
        </is>
      </c>
      <c r="M110" t="inlineStr">
        <is>
          <t>See CVE details</t>
        </is>
      </c>
      <c r="N110" t="inlineStr">
        <is>
          <t>P3</t>
        </is>
      </c>
      <c r="O110" t="inlineStr">
        <is>
          <t>CVE - IP enrichment n/a</t>
        </is>
      </c>
      <c r="P110" t="n">
        <v>0.0039</v>
      </c>
      <c r="Q110" t="n">
        <v>0.5944</v>
      </c>
      <c r="R110" t="inlineStr">
        <is>
          <t>T1059:Command and Scripting Interpreter | T1190:Exploit Public-Facing Application | T1210:Exploitation of Remote Services</t>
        </is>
      </c>
      <c r="S110" t="n">
        <v>1</v>
      </c>
      <c r="T110" t="inlineStr">
        <is>
          <t>LOW (40%)</t>
        </is>
      </c>
      <c r="U110" t="inlineStr">
        <is>
          <t>UNLIKELY</t>
        </is>
      </c>
      <c r="V110" t="inlineStr">
        <is>
          <t>CHECK_VENDOR</t>
        </is>
      </c>
      <c r="W110" t="inlineStr">
        <is>
          <t>https://nvd.nist.gov/vuln/detail/CVE-2026-27206</t>
        </is>
      </c>
      <c r="X110" t="inlineStr">
        <is>
          <t>NONE</t>
        </is>
      </c>
      <c r="Y110" t="n">
        <v>0</v>
      </c>
      <c r="Z110" t="inlineStr"/>
      <c r="AA110" t="inlineStr">
        <is>
          <t>https://nvd.nist.gov/vuln/detail/CVE-2026-27206</t>
        </is>
      </c>
    </row>
    <row r="111">
      <c r="A111" t="inlineStr">
        <is>
          <t>CVE</t>
        </is>
      </c>
      <c r="B111" t="inlineStr">
        <is>
          <t>CVE-2026-27452</t>
        </is>
      </c>
      <c r="C111"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1" t="n">
        <v>5</v>
      </c>
      <c r="E111" t="inlineStr">
        <is>
          <t>MEDIUM</t>
        </is>
      </c>
      <c r="F111" t="n">
        <v>2</v>
      </c>
      <c r="G111" t="n">
        <v>2</v>
      </c>
      <c r="H111" t="inlineStr">
        <is>
          <t>MEDIUM</t>
        </is>
      </c>
      <c r="I111" t="n">
        <v>9</v>
      </c>
      <c r="J111" t="inlineStr">
        <is>
          <t>NO</t>
        </is>
      </c>
      <c r="K111" t="inlineStr">
        <is>
          <t>2026-02-27 20:47</t>
        </is>
      </c>
      <c r="L111" t="inlineStr">
        <is>
          <t>CHECK_VENDOR</t>
        </is>
      </c>
      <c r="M111" t="inlineStr">
        <is>
          <t>See CVE details</t>
        </is>
      </c>
      <c r="N111" t="inlineStr">
        <is>
          <t>P4</t>
        </is>
      </c>
      <c r="O111" t="inlineStr">
        <is>
          <t>CVE - IP enrichment n/a</t>
        </is>
      </c>
      <c r="P111" t="n">
        <v>0.0005999999999999999</v>
      </c>
      <c r="Q111" t="n">
        <v>0.1727</v>
      </c>
      <c r="R111" t="inlineStr">
        <is>
          <t>T1213:Data from Information Repositories</t>
        </is>
      </c>
      <c r="S111" t="n">
        <v>1</v>
      </c>
      <c r="T111" t="inlineStr">
        <is>
          <t>LOW (40%)</t>
        </is>
      </c>
      <c r="U111" t="inlineStr">
        <is>
          <t>UNLIKELY</t>
        </is>
      </c>
      <c r="V111" t="inlineStr">
        <is>
          <t>CHECK_VENDOR</t>
        </is>
      </c>
      <c r="W111" t="inlineStr">
        <is>
          <t>https://nvd.nist.gov/vuln/detail/CVE-2026-27452</t>
        </is>
      </c>
      <c r="X111" t="inlineStr">
        <is>
          <t>NONE</t>
        </is>
      </c>
      <c r="Y111" t="n">
        <v>0</v>
      </c>
      <c r="Z111" t="inlineStr"/>
      <c r="AA111" t="inlineStr">
        <is>
          <t>https://nvd.nist.gov/vuln/detail/CVE-2026-27452</t>
        </is>
      </c>
    </row>
    <row r="112">
      <c r="A112" t="inlineStr">
        <is>
          <t>CVE</t>
        </is>
      </c>
      <c r="B112" t="inlineStr">
        <is>
          <t>CVE-2026-27458</t>
        </is>
      </c>
      <c r="C112"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2" t="n">
        <v>5.4</v>
      </c>
      <c r="E112" t="inlineStr">
        <is>
          <t>MEDIUM</t>
        </is>
      </c>
      <c r="F112" t="n">
        <v>2</v>
      </c>
      <c r="G112" t="n">
        <v>2</v>
      </c>
      <c r="H112" t="inlineStr">
        <is>
          <t>MEDIUM</t>
        </is>
      </c>
      <c r="I112" t="n">
        <v>9.4</v>
      </c>
      <c r="J112" t="inlineStr">
        <is>
          <t>NO</t>
        </is>
      </c>
      <c r="K112" t="inlineStr">
        <is>
          <t>2026-02-27 20:47</t>
        </is>
      </c>
      <c r="L112" t="inlineStr">
        <is>
          <t>YES</t>
        </is>
      </c>
      <c r="M112" t="inlineStr">
        <is>
          <t>linkace linkace *</t>
        </is>
      </c>
      <c r="N112" t="inlineStr">
        <is>
          <t>P4</t>
        </is>
      </c>
      <c r="O112" t="inlineStr">
        <is>
          <t>CVE - IP enrichment n/a</t>
        </is>
      </c>
      <c r="P112" t="n">
        <v>0.0003</v>
      </c>
      <c r="Q112" t="n">
        <v>0.1025</v>
      </c>
      <c r="R112" t="inlineStr">
        <is>
          <t>T1189:Drive-by Compromise</t>
        </is>
      </c>
      <c r="S112" t="n">
        <v>1</v>
      </c>
      <c r="T112" t="inlineStr">
        <is>
          <t>LOW (40%)</t>
        </is>
      </c>
      <c r="U112" t="inlineStr">
        <is>
          <t>UNLIKELY</t>
        </is>
      </c>
      <c r="V112" t="inlineStr">
        <is>
          <t>PATCH_AVAILABLE</t>
        </is>
      </c>
      <c r="W112" t="inlineStr">
        <is>
          <t>https://nvd.nist.gov/vuln/detail/CVE-2026-27458</t>
        </is>
      </c>
      <c r="X112" t="inlineStr">
        <is>
          <t>NONE</t>
        </is>
      </c>
      <c r="Y112" t="n">
        <v>0</v>
      </c>
      <c r="Z112" t="inlineStr"/>
      <c r="AA112" t="inlineStr">
        <is>
          <t>https://nvd.nist.gov/vuln/detail/CVE-2026-27458</t>
        </is>
      </c>
    </row>
    <row r="113">
      <c r="A113" t="inlineStr">
        <is>
          <t>CVE</t>
        </is>
      </c>
      <c r="B113" t="inlineStr">
        <is>
          <t>CVE-2026-27471</t>
        </is>
      </c>
      <c r="C113"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3" t="n">
        <v>9.1</v>
      </c>
      <c r="E113" t="inlineStr">
        <is>
          <t>CRITICAL</t>
        </is>
      </c>
      <c r="F113" t="n">
        <v>2</v>
      </c>
      <c r="G113" t="n">
        <v>3</v>
      </c>
      <c r="H113" t="inlineStr">
        <is>
          <t>HIGH</t>
        </is>
      </c>
      <c r="I113" t="n">
        <v>15.1</v>
      </c>
      <c r="J113" t="inlineStr">
        <is>
          <t>NO</t>
        </is>
      </c>
      <c r="K113" t="inlineStr">
        <is>
          <t>2026-02-27 20:47</t>
        </is>
      </c>
      <c r="L113" t="inlineStr">
        <is>
          <t>YES</t>
        </is>
      </c>
      <c r="M113" t="inlineStr">
        <is>
          <t>frappe erpnext * | frappe erpnext 16.0.0</t>
        </is>
      </c>
      <c r="N113" t="inlineStr">
        <is>
          <t>P3</t>
        </is>
      </c>
      <c r="O113" t="inlineStr">
        <is>
          <t>CVE - IP enrichment n/a</t>
        </is>
      </c>
      <c r="P113" t="n">
        <v>0.0004</v>
      </c>
      <c r="Q113" t="n">
        <v>0.1246</v>
      </c>
      <c r="R113" t="inlineStr">
        <is>
          <t>T1190:Exploit Public-Facing Application</t>
        </is>
      </c>
      <c r="S113" t="n">
        <v>1</v>
      </c>
      <c r="T113" t="inlineStr">
        <is>
          <t>LOW (40%)</t>
        </is>
      </c>
      <c r="U113" t="inlineStr">
        <is>
          <t>UNLIKELY</t>
        </is>
      </c>
      <c r="V113" t="inlineStr">
        <is>
          <t>PATCH_AVAILABLE</t>
        </is>
      </c>
      <c r="W113" t="inlineStr">
        <is>
          <t>https://nvd.nist.gov/vuln/detail/CVE-2026-27471</t>
        </is>
      </c>
      <c r="X113" t="inlineStr">
        <is>
          <t>NONE</t>
        </is>
      </c>
      <c r="Y113" t="n">
        <v>0</v>
      </c>
      <c r="Z113" t="inlineStr"/>
      <c r="AA113" t="inlineStr">
        <is>
          <t>https://nvd.nist.gov/vuln/detail/CVE-2026-27471</t>
        </is>
      </c>
    </row>
    <row r="114">
      <c r="A114" t="inlineStr">
        <is>
          <t>CVE</t>
        </is>
      </c>
      <c r="B114" t="inlineStr">
        <is>
          <t>CVE-2026-27464</t>
        </is>
      </c>
      <c r="C114"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4" t="n">
        <v>7.7</v>
      </c>
      <c r="E114" t="inlineStr">
        <is>
          <t>HIGH</t>
        </is>
      </c>
      <c r="F114" t="n">
        <v>2</v>
      </c>
      <c r="G114" t="n">
        <v>3</v>
      </c>
      <c r="H114" t="inlineStr">
        <is>
          <t>HIGH</t>
        </is>
      </c>
      <c r="I114" t="n">
        <v>13.7</v>
      </c>
      <c r="J114" t="inlineStr">
        <is>
          <t>NO</t>
        </is>
      </c>
      <c r="K114" t="inlineStr">
        <is>
          <t>2026-02-27 20:47</t>
        </is>
      </c>
      <c r="L114" t="inlineStr">
        <is>
          <t>CHECK_VENDOR</t>
        </is>
      </c>
      <c r="M114" t="inlineStr">
        <is>
          <t>See CVE details</t>
        </is>
      </c>
      <c r="N114" t="inlineStr">
        <is>
          <t>P3</t>
        </is>
      </c>
      <c r="O114" t="inlineStr">
        <is>
          <t>CVE - IP enrichment n/a</t>
        </is>
      </c>
      <c r="P114" t="n">
        <v>0.0003</v>
      </c>
      <c r="Q114" t="n">
        <v>0.09760000000000001</v>
      </c>
      <c r="R114" t="inlineStr">
        <is>
          <t>T1059:Command and Scripting Interpreter | T1190:Exploit Public-Facing Application | T1552:Unsecured Credentials</t>
        </is>
      </c>
      <c r="S114" t="n">
        <v>1</v>
      </c>
      <c r="T114" t="inlineStr">
        <is>
          <t>LOW (40%)</t>
        </is>
      </c>
      <c r="U114" t="inlineStr">
        <is>
          <t>UNLIKELY</t>
        </is>
      </c>
      <c r="V114" t="inlineStr">
        <is>
          <t>CHECK_VENDOR</t>
        </is>
      </c>
      <c r="W114" t="inlineStr">
        <is>
          <t>https://nvd.nist.gov/vuln/detail/CVE-2026-27464</t>
        </is>
      </c>
      <c r="X114" t="inlineStr">
        <is>
          <t>NONE</t>
        </is>
      </c>
      <c r="Y114" t="n">
        <v>0</v>
      </c>
      <c r="Z114" t="inlineStr"/>
      <c r="AA114" t="inlineStr">
        <is>
          <t>https://nvd.nist.gov/vuln/detail/CVE-2026-27464</t>
        </is>
      </c>
    </row>
    <row r="115">
      <c r="A115" t="inlineStr">
        <is>
          <t>CVE</t>
        </is>
      </c>
      <c r="B115" t="inlineStr">
        <is>
          <t>CVE-2026-27466</t>
        </is>
      </c>
      <c r="C115"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5" t="n">
        <v>7.2</v>
      </c>
      <c r="E115" t="inlineStr">
        <is>
          <t>HIGH</t>
        </is>
      </c>
      <c r="F115" t="n">
        <v>2</v>
      </c>
      <c r="G115" t="n">
        <v>3</v>
      </c>
      <c r="H115" t="inlineStr">
        <is>
          <t>HIGH</t>
        </is>
      </c>
      <c r="I115" t="n">
        <v>13.2</v>
      </c>
      <c r="J115" t="inlineStr">
        <is>
          <t>NO</t>
        </is>
      </c>
      <c r="K115" t="inlineStr">
        <is>
          <t>2026-02-27 20:47</t>
        </is>
      </c>
      <c r="L115" t="inlineStr">
        <is>
          <t>YES</t>
        </is>
      </c>
      <c r="M115" t="inlineStr">
        <is>
          <t>bigbluebutton bigbluebutton *</t>
        </is>
      </c>
      <c r="N115" t="inlineStr">
        <is>
          <t>P3</t>
        </is>
      </c>
      <c r="O115" t="inlineStr">
        <is>
          <t>CVE - IP enrichment n/a</t>
        </is>
      </c>
      <c r="P115" t="n">
        <v>0.0011</v>
      </c>
      <c r="Q115" t="n">
        <v>0.294</v>
      </c>
      <c r="R115" t="inlineStr">
        <is>
          <t>T1190:Exploit Public-Facing Application | T1499:Endpoint Denial of Service | T1562:Impair Defenses</t>
        </is>
      </c>
      <c r="S115" t="n">
        <v>1</v>
      </c>
      <c r="T115" t="inlineStr">
        <is>
          <t>LOW (40%)</t>
        </is>
      </c>
      <c r="U115" t="inlineStr">
        <is>
          <t>UNLIKELY</t>
        </is>
      </c>
      <c r="V115" t="inlineStr">
        <is>
          <t>PATCH_AVAILABLE</t>
        </is>
      </c>
      <c r="W115" t="inlineStr">
        <is>
          <t>https://nvd.nist.gov/vuln/detail/CVE-2026-27466</t>
        </is>
      </c>
      <c r="X115" t="inlineStr">
        <is>
          <t>NONE</t>
        </is>
      </c>
      <c r="Y115" t="n">
        <v>0</v>
      </c>
      <c r="Z115" t="inlineStr"/>
      <c r="AA115" t="inlineStr">
        <is>
          <t>https://nvd.nist.gov/vuln/detail/CVE-2026-27466</t>
        </is>
      </c>
    </row>
    <row r="116">
      <c r="A116" t="inlineStr">
        <is>
          <t>CVE</t>
        </is>
      </c>
      <c r="B116" t="inlineStr">
        <is>
          <t>CVE-2026-27467</t>
        </is>
      </c>
      <c r="C116"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6" t="n">
        <v>2</v>
      </c>
      <c r="E116" t="inlineStr">
        <is>
          <t>LOW</t>
        </is>
      </c>
      <c r="F116" t="n">
        <v>2</v>
      </c>
      <c r="G116" t="n">
        <v>1</v>
      </c>
      <c r="H116" t="inlineStr">
        <is>
          <t>LOW</t>
        </is>
      </c>
      <c r="I116" t="n">
        <v>4</v>
      </c>
      <c r="J116" t="inlineStr">
        <is>
          <t>NO</t>
        </is>
      </c>
      <c r="K116" t="inlineStr">
        <is>
          <t>2026-02-27 20:47</t>
        </is>
      </c>
      <c r="L116" t="inlineStr">
        <is>
          <t>YES</t>
        </is>
      </c>
      <c r="M116" t="inlineStr">
        <is>
          <t>bigbluebutton bigbluebutton *</t>
        </is>
      </c>
      <c r="N116" t="inlineStr">
        <is>
          <t>P4</t>
        </is>
      </c>
      <c r="O116" t="inlineStr">
        <is>
          <t>CVE - IP enrichment n/a</t>
        </is>
      </c>
      <c r="P116" t="n">
        <v>0.0003</v>
      </c>
      <c r="Q116" t="n">
        <v>0.0789</v>
      </c>
      <c r="R116" t="inlineStr">
        <is>
          <t>T1213:Data from Information Repositories | T1190:Exploit Public-Facing Application</t>
        </is>
      </c>
      <c r="S116" t="n">
        <v>1</v>
      </c>
      <c r="T116" t="inlineStr">
        <is>
          <t>LOW (40%)</t>
        </is>
      </c>
      <c r="U116" t="inlineStr">
        <is>
          <t>UNLIKELY</t>
        </is>
      </c>
      <c r="V116" t="inlineStr">
        <is>
          <t>PATCH_AVAILABLE</t>
        </is>
      </c>
      <c r="W116" t="inlineStr">
        <is>
          <t>https://nvd.nist.gov/vuln/detail/CVE-2026-27467</t>
        </is>
      </c>
      <c r="X116" t="inlineStr">
        <is>
          <t>NONE</t>
        </is>
      </c>
      <c r="Y116" t="n">
        <v>0</v>
      </c>
      <c r="Z116" t="inlineStr"/>
      <c r="AA116" t="inlineStr">
        <is>
          <t>https://nvd.nist.gov/vuln/detail/CVE-2026-27467</t>
        </is>
      </c>
    </row>
    <row r="117">
      <c r="A117" t="inlineStr">
        <is>
          <t>CVE</t>
        </is>
      </c>
      <c r="B117" t="inlineStr">
        <is>
          <t>CVE-2026-27469</t>
        </is>
      </c>
      <c r="C117"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 t="n">
        <v>6.1</v>
      </c>
      <c r="E117" t="inlineStr">
        <is>
          <t>MEDIUM</t>
        </is>
      </c>
      <c r="F117" t="n">
        <v>2</v>
      </c>
      <c r="G117" t="n">
        <v>2</v>
      </c>
      <c r="H117" t="inlineStr">
        <is>
          <t>MEDIUM</t>
        </is>
      </c>
      <c r="I117" t="n">
        <v>10.1</v>
      </c>
      <c r="J117" t="inlineStr">
        <is>
          <t>NO</t>
        </is>
      </c>
      <c r="K117" t="inlineStr">
        <is>
          <t>2026-02-27 20:47</t>
        </is>
      </c>
      <c r="L117" t="inlineStr">
        <is>
          <t>CHECK_VENDOR</t>
        </is>
      </c>
      <c r="M117" t="inlineStr">
        <is>
          <t>See CVE details</t>
        </is>
      </c>
      <c r="N117" t="inlineStr">
        <is>
          <t>P4</t>
        </is>
      </c>
      <c r="O117" t="inlineStr">
        <is>
          <t>CVE - IP enrichment n/a</t>
        </is>
      </c>
      <c r="P117" t="n">
        <v>0.0005999999999999999</v>
      </c>
      <c r="Q117" t="n">
        <v>0.2002</v>
      </c>
      <c r="R117" t="inlineStr">
        <is>
          <t>T1189:Drive-by Compromise</t>
        </is>
      </c>
      <c r="S117" t="n">
        <v>1</v>
      </c>
      <c r="T117" t="inlineStr">
        <is>
          <t>LOW (40%)</t>
        </is>
      </c>
      <c r="U117" t="inlineStr">
        <is>
          <t>UNLIKELY</t>
        </is>
      </c>
      <c r="V117" t="inlineStr">
        <is>
          <t>CHECK_VENDOR</t>
        </is>
      </c>
      <c r="W117" t="inlineStr">
        <is>
          <t>https://nvd.nist.gov/vuln/detail/CVE-2026-27469</t>
        </is>
      </c>
      <c r="X117" t="inlineStr">
        <is>
          <t>NONE</t>
        </is>
      </c>
      <c r="Y117" t="n">
        <v>0</v>
      </c>
      <c r="Z117" t="inlineStr"/>
      <c r="AA117" t="inlineStr">
        <is>
          <t>https://nvd.nist.gov/vuln/detail/CVE-2026-27469</t>
        </is>
      </c>
    </row>
    <row r="118">
      <c r="A118" t="inlineStr">
        <is>
          <t>CVE</t>
        </is>
      </c>
      <c r="B118" t="inlineStr">
        <is>
          <t>CVE-2026-27470</t>
        </is>
      </c>
      <c r="C118"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8" t="n">
        <v>8.800000000000001</v>
      </c>
      <c r="E118" t="inlineStr">
        <is>
          <t>HIGH</t>
        </is>
      </c>
      <c r="F118" t="n">
        <v>2</v>
      </c>
      <c r="G118" t="n">
        <v>3</v>
      </c>
      <c r="H118" t="inlineStr">
        <is>
          <t>HIGH</t>
        </is>
      </c>
      <c r="I118" t="n">
        <v>14.8</v>
      </c>
      <c r="J118" t="inlineStr">
        <is>
          <t>NO</t>
        </is>
      </c>
      <c r="K118" t="inlineStr">
        <is>
          <t>2026-02-27 20:47</t>
        </is>
      </c>
      <c r="L118" t="inlineStr">
        <is>
          <t>YES</t>
        </is>
      </c>
      <c r="M118" t="inlineStr">
        <is>
          <t>zoneminder zoneminder *</t>
        </is>
      </c>
      <c r="N118" t="inlineStr">
        <is>
          <t>P3</t>
        </is>
      </c>
      <c r="O118" t="inlineStr">
        <is>
          <t>CVE - IP enrichment n/a</t>
        </is>
      </c>
      <c r="P118" t="n">
        <v>0.0003</v>
      </c>
      <c r="Q118" t="n">
        <v>0.0733</v>
      </c>
      <c r="R118" t="inlineStr">
        <is>
          <t>T1190:Exploit Public-Facing Application</t>
        </is>
      </c>
      <c r="S118" t="n">
        <v>1</v>
      </c>
      <c r="T118" t="inlineStr">
        <is>
          <t>LOW (40%)</t>
        </is>
      </c>
      <c r="U118" t="inlineStr">
        <is>
          <t>UNLIKELY</t>
        </is>
      </c>
      <c r="V118" t="inlineStr">
        <is>
          <t>PATCH_AVAILABLE</t>
        </is>
      </c>
      <c r="W118" t="inlineStr">
        <is>
          <t>https://nvd.nist.gov/vuln/detail/CVE-2026-27470</t>
        </is>
      </c>
      <c r="X118" t="inlineStr">
        <is>
          <t>NONE</t>
        </is>
      </c>
      <c r="Y118" t="n">
        <v>0</v>
      </c>
      <c r="Z118" t="inlineStr"/>
      <c r="AA118" t="inlineStr">
        <is>
          <t>https://nvd.nist.gov/vuln/detail/CVE-2026-27470</t>
        </is>
      </c>
    </row>
    <row r="119">
      <c r="A119" t="inlineStr">
        <is>
          <t>CVE</t>
        </is>
      </c>
      <c r="B119" t="inlineStr">
        <is>
          <t>CVE-2026-2864</t>
        </is>
      </c>
      <c r="C119"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9" t="n">
        <v>5.4</v>
      </c>
      <c r="E119" t="inlineStr">
        <is>
          <t>MEDIUM</t>
        </is>
      </c>
      <c r="F119" t="n">
        <v>2</v>
      </c>
      <c r="G119" t="n">
        <v>2</v>
      </c>
      <c r="H119" t="inlineStr">
        <is>
          <t>MEDIUM</t>
        </is>
      </c>
      <c r="I119" t="n">
        <v>9.4</v>
      </c>
      <c r="J119" t="inlineStr">
        <is>
          <t>NO</t>
        </is>
      </c>
      <c r="K119" t="inlineStr">
        <is>
          <t>2026-02-27 20:47</t>
        </is>
      </c>
      <c r="L119" t="inlineStr">
        <is>
          <t>CHECK_VENDOR</t>
        </is>
      </c>
      <c r="M119" t="inlineStr">
        <is>
          <t>See CVE details</t>
        </is>
      </c>
      <c r="N119" t="inlineStr">
        <is>
          <t>P4</t>
        </is>
      </c>
      <c r="O119" t="inlineStr">
        <is>
          <t>CVE - IP enrichment n/a</t>
        </is>
      </c>
      <c r="P119" t="n">
        <v>0.0005</v>
      </c>
      <c r="Q119" t="n">
        <v>0.1486</v>
      </c>
      <c r="R119" t="inlineStr">
        <is>
          <t>T1083:File and Directory Discovery</t>
        </is>
      </c>
      <c r="S119" t="n">
        <v>1</v>
      </c>
      <c r="T119" t="inlineStr">
        <is>
          <t>LOW (40%)</t>
        </is>
      </c>
      <c r="U119" t="inlineStr">
        <is>
          <t>UNLIKELY</t>
        </is>
      </c>
      <c r="V119" t="inlineStr">
        <is>
          <t>CHECK_VENDOR</t>
        </is>
      </c>
      <c r="W119" t="inlineStr">
        <is>
          <t>https://nvd.nist.gov/vuln/detail/CVE-2026-2864</t>
        </is>
      </c>
      <c r="X119" t="inlineStr">
        <is>
          <t>NONE</t>
        </is>
      </c>
      <c r="Y119" t="n">
        <v>0</v>
      </c>
      <c r="Z119" t="inlineStr"/>
      <c r="AA119" t="inlineStr">
        <is>
          <t>https://nvd.nist.gov/vuln/detail/CVE-2026-2864</t>
        </is>
      </c>
    </row>
    <row r="120">
      <c r="A120" t="inlineStr">
        <is>
          <t>CVE</t>
        </is>
      </c>
      <c r="B120" t="inlineStr">
        <is>
          <t>CVE-2026-2865</t>
        </is>
      </c>
      <c r="C120"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20" t="n">
        <v>7.3</v>
      </c>
      <c r="E120" t="inlineStr">
        <is>
          <t>HIGH</t>
        </is>
      </c>
      <c r="F120" t="n">
        <v>2</v>
      </c>
      <c r="G120" t="n">
        <v>3</v>
      </c>
      <c r="H120" t="inlineStr">
        <is>
          <t>HIGH</t>
        </is>
      </c>
      <c r="I120" t="n">
        <v>13.3</v>
      </c>
      <c r="J120" t="inlineStr">
        <is>
          <t>NO</t>
        </is>
      </c>
      <c r="K120" t="inlineStr">
        <is>
          <t>2026-02-27 20:47</t>
        </is>
      </c>
      <c r="L120" t="inlineStr">
        <is>
          <t>YES</t>
        </is>
      </c>
      <c r="M120" t="inlineStr">
        <is>
          <t>adonesevangelista agri-trading_online_shopping_system 1.0</t>
        </is>
      </c>
      <c r="N120" t="inlineStr">
        <is>
          <t>P3</t>
        </is>
      </c>
      <c r="O120" t="inlineStr">
        <is>
          <t>CVE - IP enrichment n/a</t>
        </is>
      </c>
      <c r="P120" t="n">
        <v>0.0003</v>
      </c>
      <c r="Q120" t="n">
        <v>0.0997</v>
      </c>
      <c r="R120" t="inlineStr">
        <is>
          <t>T1190:Exploit Public-Facing Application</t>
        </is>
      </c>
      <c r="S120" t="n">
        <v>1</v>
      </c>
      <c r="T120" t="inlineStr">
        <is>
          <t>LOW (40%)</t>
        </is>
      </c>
      <c r="U120" t="inlineStr">
        <is>
          <t>UNLIKELY</t>
        </is>
      </c>
      <c r="V120" t="inlineStr">
        <is>
          <t>PATCH_AVAILABLE</t>
        </is>
      </c>
      <c r="W120" t="inlineStr">
        <is>
          <t>https://nvd.nist.gov/vuln/detail/CVE-2026-2865</t>
        </is>
      </c>
      <c r="X120" t="inlineStr">
        <is>
          <t>NONE</t>
        </is>
      </c>
      <c r="Y120" t="n">
        <v>0</v>
      </c>
      <c r="Z120" t="inlineStr"/>
      <c r="AA120" t="inlineStr">
        <is>
          <t>https://nvd.nist.gov/vuln/detail/CVE-2026-2865</t>
        </is>
      </c>
    </row>
    <row r="121">
      <c r="A121" t="inlineStr">
        <is>
          <t>CVE</t>
        </is>
      </c>
      <c r="B121" t="inlineStr">
        <is>
          <t>CVE-2026-27479</t>
        </is>
      </c>
      <c r="C121"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21" t="n">
        <v>7.7</v>
      </c>
      <c r="E121" t="inlineStr">
        <is>
          <t>HIGH</t>
        </is>
      </c>
      <c r="F121" t="n">
        <v>2</v>
      </c>
      <c r="G121" t="n">
        <v>3</v>
      </c>
      <c r="H121" t="inlineStr">
        <is>
          <t>HIGH</t>
        </is>
      </c>
      <c r="I121" t="n">
        <v>13.7</v>
      </c>
      <c r="J121" t="inlineStr">
        <is>
          <t>NO</t>
        </is>
      </c>
      <c r="K121" t="inlineStr">
        <is>
          <t>2026-02-27 20:47</t>
        </is>
      </c>
      <c r="L121" t="inlineStr">
        <is>
          <t>YES</t>
        </is>
      </c>
      <c r="M121" t="inlineStr">
        <is>
          <t>wallosapp wallos *</t>
        </is>
      </c>
      <c r="N121" t="inlineStr">
        <is>
          <t>P3</t>
        </is>
      </c>
      <c r="O121" t="inlineStr">
        <is>
          <t>CVE - IP enrichment n/a</t>
        </is>
      </c>
      <c r="P121" t="n">
        <v>0.0003</v>
      </c>
      <c r="Q121" t="n">
        <v>0.09429999999999999</v>
      </c>
      <c r="R121" t="inlineStr">
        <is>
          <t>T1090:Proxy | T1190:Exploit Public-Facing Application</t>
        </is>
      </c>
      <c r="S121" t="n">
        <v>1</v>
      </c>
      <c r="T121" t="inlineStr">
        <is>
          <t>LOW (40%)</t>
        </is>
      </c>
      <c r="U121" t="inlineStr">
        <is>
          <t>UNLIKELY</t>
        </is>
      </c>
      <c r="V121" t="inlineStr">
        <is>
          <t>PATCH_AVAILABLE</t>
        </is>
      </c>
      <c r="W121" t="inlineStr">
        <is>
          <t>https://nvd.nist.gov/vuln/detail/CVE-2026-27479</t>
        </is>
      </c>
      <c r="X121" t="inlineStr">
        <is>
          <t>NONE</t>
        </is>
      </c>
      <c r="Y121" t="n">
        <v>0</v>
      </c>
      <c r="Z121" t="inlineStr"/>
      <c r="AA121" t="inlineStr">
        <is>
          <t>https://nvd.nist.gov/vuln/detail/CVE-2026-27479</t>
        </is>
      </c>
    </row>
    <row r="122">
      <c r="A122" t="inlineStr">
        <is>
          <t>CVE</t>
        </is>
      </c>
      <c r="B122" t="inlineStr">
        <is>
          <t>CVE-2025-14339</t>
        </is>
      </c>
      <c r="C122"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22" t="n">
        <v>6.5</v>
      </c>
      <c r="E122" t="inlineStr">
        <is>
          <t>MEDIUM</t>
        </is>
      </c>
      <c r="F122" t="n">
        <v>2</v>
      </c>
      <c r="G122" t="n">
        <v>2</v>
      </c>
      <c r="H122" t="inlineStr">
        <is>
          <t>MEDIUM</t>
        </is>
      </c>
      <c r="I122" t="n">
        <v>10.5</v>
      </c>
      <c r="J122" t="inlineStr">
        <is>
          <t>NO</t>
        </is>
      </c>
      <c r="K122" t="inlineStr">
        <is>
          <t>2026-02-27 20:47</t>
        </is>
      </c>
      <c r="L122" t="inlineStr">
        <is>
          <t>CHECK_VENDOR</t>
        </is>
      </c>
      <c r="M122" t="inlineStr">
        <is>
          <t>See CVE details</t>
        </is>
      </c>
      <c r="N122" t="inlineStr">
        <is>
          <t>P4</t>
        </is>
      </c>
      <c r="O122" t="inlineStr">
        <is>
          <t>CVE - IP enrichment n/a</t>
        </is>
      </c>
      <c r="P122" t="n">
        <v>0.0005999999999999999</v>
      </c>
      <c r="Q122" t="n">
        <v>0.191</v>
      </c>
      <c r="R122" t="inlineStr">
        <is>
          <t>T1190:Exploit Public-Facing Application</t>
        </is>
      </c>
      <c r="S122" t="n">
        <v>1</v>
      </c>
      <c r="T122" t="inlineStr">
        <is>
          <t>LOW (40%)</t>
        </is>
      </c>
      <c r="U122" t="inlineStr">
        <is>
          <t>UNLIKELY</t>
        </is>
      </c>
      <c r="V122" t="inlineStr">
        <is>
          <t>CHECK_VENDOR</t>
        </is>
      </c>
      <c r="W122" t="inlineStr">
        <is>
          <t>https://nvd.nist.gov/vuln/detail/CVE-2025-14339</t>
        </is>
      </c>
      <c r="X122" t="inlineStr">
        <is>
          <t>NONE</t>
        </is>
      </c>
      <c r="Y122" t="n">
        <v>0</v>
      </c>
      <c r="Z122" t="inlineStr"/>
      <c r="AA122" t="inlineStr">
        <is>
          <t>https://nvd.nist.gov/vuln/detail/CVE-2025-14339</t>
        </is>
      </c>
    </row>
    <row r="123">
      <c r="A123" t="inlineStr">
        <is>
          <t>CVE</t>
        </is>
      </c>
      <c r="B123" t="inlineStr">
        <is>
          <t>CVE-2026-27480</t>
        </is>
      </c>
      <c r="C123"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23" t="n">
        <v>5.3</v>
      </c>
      <c r="E123" t="inlineStr">
        <is>
          <t>MEDIUM</t>
        </is>
      </c>
      <c r="F123" t="n">
        <v>2</v>
      </c>
      <c r="G123" t="n">
        <v>2</v>
      </c>
      <c r="H123" t="inlineStr">
        <is>
          <t>MEDIUM</t>
        </is>
      </c>
      <c r="I123" t="n">
        <v>9.300000000000001</v>
      </c>
      <c r="J123" t="inlineStr">
        <is>
          <t>NO</t>
        </is>
      </c>
      <c r="K123" t="inlineStr">
        <is>
          <t>2026-02-27 20:47</t>
        </is>
      </c>
      <c r="L123" t="inlineStr">
        <is>
          <t>YES</t>
        </is>
      </c>
      <c r="M123" t="inlineStr">
        <is>
          <t>static-web-server static_web_server *</t>
        </is>
      </c>
      <c r="N123" t="inlineStr">
        <is>
          <t>P4</t>
        </is>
      </c>
      <c r="O123" t="inlineStr">
        <is>
          <t>CVE - IP enrichment n/a</t>
        </is>
      </c>
      <c r="P123" t="n">
        <v>0.0002</v>
      </c>
      <c r="Q123" t="n">
        <v>0.0375</v>
      </c>
      <c r="R123" t="inlineStr">
        <is>
          <t>T1190:Exploit Public-Facing Application | T1552:Unsecured Credentials</t>
        </is>
      </c>
      <c r="S123" t="n">
        <v>1</v>
      </c>
      <c r="T123" t="inlineStr">
        <is>
          <t>LOW (40%)</t>
        </is>
      </c>
      <c r="U123" t="inlineStr">
        <is>
          <t>UNLIKELY</t>
        </is>
      </c>
      <c r="V123" t="inlineStr">
        <is>
          <t>PATCH_AVAILABLE</t>
        </is>
      </c>
      <c r="W123" t="inlineStr">
        <is>
          <t>https://nvd.nist.gov/vuln/detail/CVE-2026-27480</t>
        </is>
      </c>
      <c r="X123" t="inlineStr">
        <is>
          <t>NONE</t>
        </is>
      </c>
      <c r="Y123" t="n">
        <v>0</v>
      </c>
      <c r="Z123" t="inlineStr"/>
      <c r="AA123" t="inlineStr">
        <is>
          <t>https://nvd.nist.gov/vuln/detail/CVE-2026-27480</t>
        </is>
      </c>
    </row>
    <row r="124">
      <c r="A124" t="inlineStr">
        <is>
          <t>CVE</t>
        </is>
      </c>
      <c r="B124" t="inlineStr">
        <is>
          <t>CVE-2026-27482</t>
        </is>
      </c>
      <c r="C124"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24" t="n">
        <v>5.9</v>
      </c>
      <c r="E124" t="inlineStr">
        <is>
          <t>MEDIUM</t>
        </is>
      </c>
      <c r="F124" t="n">
        <v>2</v>
      </c>
      <c r="G124" t="n">
        <v>2</v>
      </c>
      <c r="H124" t="inlineStr">
        <is>
          <t>MEDIUM</t>
        </is>
      </c>
      <c r="I124" t="n">
        <v>9.9</v>
      </c>
      <c r="J124" t="inlineStr">
        <is>
          <t>NO</t>
        </is>
      </c>
      <c r="K124" t="inlineStr">
        <is>
          <t>2026-02-27 20:47</t>
        </is>
      </c>
      <c r="L124" t="inlineStr">
        <is>
          <t>YES</t>
        </is>
      </c>
      <c r="M124" t="inlineStr">
        <is>
          <t>anyscale ray *</t>
        </is>
      </c>
      <c r="N124" t="inlineStr">
        <is>
          <t>P4</t>
        </is>
      </c>
      <c r="O124" t="inlineStr">
        <is>
          <t>CVE - IP enrichment n/a</t>
        </is>
      </c>
      <c r="P124" t="n">
        <v>0.0004</v>
      </c>
      <c r="Q124" t="n">
        <v>0.1033</v>
      </c>
      <c r="R124" t="inlineStr">
        <is>
          <t>T1190:Exploit Public-Facing Application</t>
        </is>
      </c>
      <c r="S124" t="n">
        <v>1</v>
      </c>
      <c r="T124" t="inlineStr">
        <is>
          <t>LOW (40%)</t>
        </is>
      </c>
      <c r="U124" t="inlineStr">
        <is>
          <t>UNLIKELY</t>
        </is>
      </c>
      <c r="V124" t="inlineStr">
        <is>
          <t>PATCH_AVAILABLE</t>
        </is>
      </c>
      <c r="W124" t="inlineStr">
        <is>
          <t>https://nvd.nist.gov/vuln/detail/CVE-2026-27482</t>
        </is>
      </c>
      <c r="X124" t="inlineStr">
        <is>
          <t>NONE</t>
        </is>
      </c>
      <c r="Y124" t="n">
        <v>0</v>
      </c>
      <c r="Z124" t="inlineStr"/>
      <c r="AA124" t="inlineStr">
        <is>
          <t>https://nvd.nist.gov/vuln/detail/CVE-2026-27482</t>
        </is>
      </c>
    </row>
    <row r="125">
      <c r="A125" t="inlineStr">
        <is>
          <t>CVE</t>
        </is>
      </c>
      <c r="B125" t="inlineStr">
        <is>
          <t>CVE-2026-27484</t>
        </is>
      </c>
      <c r="C125"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25" t="n">
        <v>4.3</v>
      </c>
      <c r="E125" t="inlineStr">
        <is>
          <t>MEDIUM</t>
        </is>
      </c>
      <c r="F125" t="n">
        <v>2</v>
      </c>
      <c r="G125" t="n">
        <v>2</v>
      </c>
      <c r="H125" t="inlineStr">
        <is>
          <t>MEDIUM</t>
        </is>
      </c>
      <c r="I125" t="n">
        <v>8.300000000000001</v>
      </c>
      <c r="J125" t="inlineStr">
        <is>
          <t>NO</t>
        </is>
      </c>
      <c r="K125" t="inlineStr">
        <is>
          <t>2026-02-27 20:47</t>
        </is>
      </c>
      <c r="L125" t="inlineStr">
        <is>
          <t>YES</t>
        </is>
      </c>
      <c r="M125" t="inlineStr">
        <is>
          <t>openclaw openclaw *</t>
        </is>
      </c>
      <c r="N125" t="inlineStr">
        <is>
          <t>P4</t>
        </is>
      </c>
      <c r="O125" t="inlineStr">
        <is>
          <t>CVE - IP enrichment n/a</t>
        </is>
      </c>
      <c r="P125" t="n">
        <v>0.0002</v>
      </c>
      <c r="Q125" t="n">
        <v>0.0625</v>
      </c>
      <c r="R125" t="inlineStr">
        <is>
          <t>T1190:Exploit Public-Facing Application</t>
        </is>
      </c>
      <c r="S125" t="n">
        <v>1</v>
      </c>
      <c r="T125" t="inlineStr">
        <is>
          <t>LOW (40%)</t>
        </is>
      </c>
      <c r="U125" t="inlineStr">
        <is>
          <t>UNLIKELY</t>
        </is>
      </c>
      <c r="V125" t="inlineStr">
        <is>
          <t>PATCH_AVAILABLE</t>
        </is>
      </c>
      <c r="W125" t="inlineStr">
        <is>
          <t>https://nvd.nist.gov/vuln/detail/CVE-2026-27484</t>
        </is>
      </c>
      <c r="X125" t="inlineStr">
        <is>
          <t>NONE</t>
        </is>
      </c>
      <c r="Y125" t="n">
        <v>0</v>
      </c>
      <c r="Z125" t="inlineStr"/>
      <c r="AA125" t="inlineStr">
        <is>
          <t>https://nvd.nist.gov/vuln/detail/CVE-2026-27484</t>
        </is>
      </c>
    </row>
    <row r="126">
      <c r="A126" t="inlineStr">
        <is>
          <t>CVE</t>
        </is>
      </c>
      <c r="B126" t="inlineStr">
        <is>
          <t>CVE-2026-27485</t>
        </is>
      </c>
      <c r="C126"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26" t="n">
        <v>4.4</v>
      </c>
      <c r="E126" t="inlineStr">
        <is>
          <t>MEDIUM</t>
        </is>
      </c>
      <c r="F126" t="n">
        <v>2</v>
      </c>
      <c r="G126" t="n">
        <v>2</v>
      </c>
      <c r="H126" t="inlineStr">
        <is>
          <t>MEDIUM</t>
        </is>
      </c>
      <c r="I126" t="n">
        <v>8.4</v>
      </c>
      <c r="J126" t="inlineStr">
        <is>
          <t>NO</t>
        </is>
      </c>
      <c r="K126" t="inlineStr">
        <is>
          <t>2026-02-27 20:47</t>
        </is>
      </c>
      <c r="L126" t="inlineStr">
        <is>
          <t>YES</t>
        </is>
      </c>
      <c r="M126" t="inlineStr">
        <is>
          <t>openclaw openclaw *</t>
        </is>
      </c>
      <c r="N126" t="inlineStr">
        <is>
          <t>P4</t>
        </is>
      </c>
      <c r="O126" t="inlineStr">
        <is>
          <t>CVE - IP enrichment n/a</t>
        </is>
      </c>
      <c r="P126" t="n">
        <v>0.0001</v>
      </c>
      <c r="Q126" t="n">
        <v>0.0025</v>
      </c>
      <c r="R126" t="inlineStr">
        <is>
          <t>T1190:Exploit Public-Facing Application</t>
        </is>
      </c>
      <c r="S126" t="n">
        <v>1</v>
      </c>
      <c r="T126" t="inlineStr">
        <is>
          <t>LOW (40%)</t>
        </is>
      </c>
      <c r="U126" t="inlineStr">
        <is>
          <t>UNLIKELY</t>
        </is>
      </c>
      <c r="V126" t="inlineStr">
        <is>
          <t>PATCH_AVAILABLE</t>
        </is>
      </c>
      <c r="W126" t="inlineStr">
        <is>
          <t>https://nvd.nist.gov/vuln/detail/CVE-2026-27485</t>
        </is>
      </c>
      <c r="X126" t="inlineStr">
        <is>
          <t>NONE</t>
        </is>
      </c>
      <c r="Y126" t="n">
        <v>0</v>
      </c>
      <c r="Z126" t="inlineStr"/>
      <c r="AA126" t="inlineStr">
        <is>
          <t>https://nvd.nist.gov/vuln/detail/CVE-2026-27485</t>
        </is>
      </c>
    </row>
    <row r="127">
      <c r="A127" t="inlineStr">
        <is>
          <t>CVE</t>
        </is>
      </c>
      <c r="B127" t="inlineStr">
        <is>
          <t>CVE-2026-27486</t>
        </is>
      </c>
      <c r="C127"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27" t="n">
        <v>5.3</v>
      </c>
      <c r="E127" t="inlineStr">
        <is>
          <t>MEDIUM</t>
        </is>
      </c>
      <c r="F127" t="n">
        <v>2</v>
      </c>
      <c r="G127" t="n">
        <v>2</v>
      </c>
      <c r="H127" t="inlineStr">
        <is>
          <t>MEDIUM</t>
        </is>
      </c>
      <c r="I127" t="n">
        <v>9.300000000000001</v>
      </c>
      <c r="J127" t="inlineStr">
        <is>
          <t>NO</t>
        </is>
      </c>
      <c r="K127" t="inlineStr">
        <is>
          <t>2026-02-27 20:47</t>
        </is>
      </c>
      <c r="L127" t="inlineStr">
        <is>
          <t>YES</t>
        </is>
      </c>
      <c r="M127" t="inlineStr">
        <is>
          <t>openclaw openclaw *</t>
        </is>
      </c>
      <c r="N127" t="inlineStr">
        <is>
          <t>P4</t>
        </is>
      </c>
      <c r="O127" t="inlineStr">
        <is>
          <t>CVE - IP enrichment n/a</t>
        </is>
      </c>
      <c r="P127" t="n">
        <v>0.0003</v>
      </c>
      <c r="Q127" t="n">
        <v>0.0935</v>
      </c>
      <c r="R127" t="inlineStr">
        <is>
          <t>T1190:Exploit Public-Facing Application</t>
        </is>
      </c>
      <c r="S127" t="n">
        <v>1</v>
      </c>
      <c r="T127" t="inlineStr">
        <is>
          <t>LOW (40%)</t>
        </is>
      </c>
      <c r="U127" t="inlineStr">
        <is>
          <t>UNLIKELY</t>
        </is>
      </c>
      <c r="V127" t="inlineStr">
        <is>
          <t>PATCH_AVAILABLE</t>
        </is>
      </c>
      <c r="W127" t="inlineStr">
        <is>
          <t>https://nvd.nist.gov/vuln/detail/CVE-2026-27486</t>
        </is>
      </c>
      <c r="X127" t="inlineStr">
        <is>
          <t>NONE</t>
        </is>
      </c>
      <c r="Y127" t="n">
        <v>0</v>
      </c>
      <c r="Z127" t="inlineStr"/>
      <c r="AA127" t="inlineStr">
        <is>
          <t>https://nvd.nist.gov/vuln/detail/CVE-2026-27486</t>
        </is>
      </c>
    </row>
    <row r="128">
      <c r="A128" t="inlineStr">
        <is>
          <t>CVE</t>
        </is>
      </c>
      <c r="B128" t="inlineStr">
        <is>
          <t>CVE-2026-27487</t>
        </is>
      </c>
      <c r="C128"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28" t="n">
        <v>7.6</v>
      </c>
      <c r="E128" t="inlineStr">
        <is>
          <t>HIGH</t>
        </is>
      </c>
      <c r="F128" t="n">
        <v>2</v>
      </c>
      <c r="G128" t="n">
        <v>3</v>
      </c>
      <c r="H128" t="inlineStr">
        <is>
          <t>HIGH</t>
        </is>
      </c>
      <c r="I128" t="n">
        <v>13.6</v>
      </c>
      <c r="J128" t="inlineStr">
        <is>
          <t>NO</t>
        </is>
      </c>
      <c r="K128" t="inlineStr">
        <is>
          <t>2026-02-27 20:47</t>
        </is>
      </c>
      <c r="L128" t="inlineStr">
        <is>
          <t>YES</t>
        </is>
      </c>
      <c r="M128" t="inlineStr">
        <is>
          <t>openclaw openclaw * | apple macos -</t>
        </is>
      </c>
      <c r="N128" t="inlineStr">
        <is>
          <t>P3</t>
        </is>
      </c>
      <c r="O128" t="inlineStr">
        <is>
          <t>CVE - IP enrichment n/a</t>
        </is>
      </c>
      <c r="P128" t="n">
        <v>0.0005999999999999999</v>
      </c>
      <c r="Q128" t="n">
        <v>0.1925</v>
      </c>
      <c r="R128" t="inlineStr">
        <is>
          <t>T1059:Command and Scripting Interpreter | T1552:Unsecured Credentials</t>
        </is>
      </c>
      <c r="S128" t="n">
        <v>1</v>
      </c>
      <c r="T128" t="inlineStr">
        <is>
          <t>LOW (40%)</t>
        </is>
      </c>
      <c r="U128" t="inlineStr">
        <is>
          <t>UNLIKELY</t>
        </is>
      </c>
      <c r="V128" t="inlineStr">
        <is>
          <t>PATCH_AVAILABLE</t>
        </is>
      </c>
      <c r="W128" t="inlineStr">
        <is>
          <t>https://nvd.nist.gov/vuln/detail/CVE-2026-27487</t>
        </is>
      </c>
      <c r="X128" t="inlineStr">
        <is>
          <t>NONE</t>
        </is>
      </c>
      <c r="Y128" t="n">
        <v>0</v>
      </c>
      <c r="Z128" t="inlineStr"/>
      <c r="AA128" t="inlineStr">
        <is>
          <t>https://nvd.nist.gov/vuln/detail/CVE-2026-27487</t>
        </is>
      </c>
    </row>
    <row r="129">
      <c r="A129" t="inlineStr">
        <is>
          <t>CVE</t>
        </is>
      </c>
      <c r="B129" t="inlineStr">
        <is>
          <t>CVE-2026-27488</t>
        </is>
      </c>
      <c r="C129"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29" t="n">
        <v>7.3</v>
      </c>
      <c r="E129" t="inlineStr">
        <is>
          <t>HIGH</t>
        </is>
      </c>
      <c r="F129" t="n">
        <v>2</v>
      </c>
      <c r="G129" t="n">
        <v>3</v>
      </c>
      <c r="H129" t="inlineStr">
        <is>
          <t>HIGH</t>
        </is>
      </c>
      <c r="I129" t="n">
        <v>13.3</v>
      </c>
      <c r="J129" t="inlineStr">
        <is>
          <t>NO</t>
        </is>
      </c>
      <c r="K129" t="inlineStr">
        <is>
          <t>2026-02-27 20:47</t>
        </is>
      </c>
      <c r="L129" t="inlineStr">
        <is>
          <t>YES</t>
        </is>
      </c>
      <c r="M129" t="inlineStr">
        <is>
          <t>openclaw openclaw *</t>
        </is>
      </c>
      <c r="N129" t="inlineStr">
        <is>
          <t>P3</t>
        </is>
      </c>
      <c r="O129" t="inlineStr">
        <is>
          <t>CVE - IP enrichment n/a</t>
        </is>
      </c>
      <c r="P129" t="n">
        <v>0.0002</v>
      </c>
      <c r="Q129" t="n">
        <v>0.0341</v>
      </c>
      <c r="R129" t="inlineStr">
        <is>
          <t>T1090:Proxy</t>
        </is>
      </c>
      <c r="S129" t="n">
        <v>1</v>
      </c>
      <c r="T129" t="inlineStr">
        <is>
          <t>LOW (40%)</t>
        </is>
      </c>
      <c r="U129" t="inlineStr">
        <is>
          <t>UNLIKELY</t>
        </is>
      </c>
      <c r="V129" t="inlineStr">
        <is>
          <t>PATCH_AVAILABLE</t>
        </is>
      </c>
      <c r="W129" t="inlineStr">
        <is>
          <t>https://nvd.nist.gov/vuln/detail/CVE-2026-27488</t>
        </is>
      </c>
      <c r="X129" t="inlineStr">
        <is>
          <t>NONE</t>
        </is>
      </c>
      <c r="Y129" t="n">
        <v>0</v>
      </c>
      <c r="Z129" t="inlineStr"/>
      <c r="AA129" t="inlineStr">
        <is>
          <t>https://nvd.nist.gov/vuln/detail/CVE-2026-27488</t>
        </is>
      </c>
    </row>
    <row r="130">
      <c r="A130" t="inlineStr">
        <is>
          <t>CVE</t>
        </is>
      </c>
      <c r="B130" t="inlineStr">
        <is>
          <t>CVE-2026-27576</t>
        </is>
      </c>
      <c r="C130"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30" t="n">
        <v>4</v>
      </c>
      <c r="E130" t="inlineStr">
        <is>
          <t>MEDIUM</t>
        </is>
      </c>
      <c r="F130" t="n">
        <v>2</v>
      </c>
      <c r="G130" t="n">
        <v>2</v>
      </c>
      <c r="H130" t="inlineStr">
        <is>
          <t>MEDIUM</t>
        </is>
      </c>
      <c r="I130" t="n">
        <v>8</v>
      </c>
      <c r="J130" t="inlineStr">
        <is>
          <t>NO</t>
        </is>
      </c>
      <c r="K130" t="inlineStr">
        <is>
          <t>2026-02-27 20:47</t>
        </is>
      </c>
      <c r="L130" t="inlineStr">
        <is>
          <t>YES</t>
        </is>
      </c>
      <c r="M130" t="inlineStr">
        <is>
          <t>openclaw openclaw *</t>
        </is>
      </c>
      <c r="N130" t="inlineStr">
        <is>
          <t>P4</t>
        </is>
      </c>
      <c r="O130" t="inlineStr">
        <is>
          <t>CVE - IP enrichment n/a</t>
        </is>
      </c>
      <c r="P130" t="n">
        <v>0.0001</v>
      </c>
      <c r="Q130" t="n">
        <v>0.0023</v>
      </c>
      <c r="R130" t="inlineStr">
        <is>
          <t>T1190:Exploit Public-Facing Application</t>
        </is>
      </c>
      <c r="S130" t="n">
        <v>1</v>
      </c>
      <c r="T130" t="inlineStr">
        <is>
          <t>LOW (40%)</t>
        </is>
      </c>
      <c r="U130" t="inlineStr">
        <is>
          <t>UNLIKELY</t>
        </is>
      </c>
      <c r="V130" t="inlineStr">
        <is>
          <t>PATCH_AVAILABLE</t>
        </is>
      </c>
      <c r="W130" t="inlineStr">
        <is>
          <t>https://nvd.nist.gov/vuln/detail/CVE-2026-27576</t>
        </is>
      </c>
      <c r="X130" t="inlineStr">
        <is>
          <t>NONE</t>
        </is>
      </c>
      <c r="Y130" t="n">
        <v>0</v>
      </c>
      <c r="Z130" t="inlineStr"/>
      <c r="AA130" t="inlineStr">
        <is>
          <t>https://nvd.nist.gov/vuln/detail/CVE-2026-27576</t>
        </is>
      </c>
    </row>
    <row r="131">
      <c r="A131" t="inlineStr">
        <is>
          <t>CVE</t>
        </is>
      </c>
      <c r="B131" t="inlineStr">
        <is>
          <t>CVE-2026-1787</t>
        </is>
      </c>
      <c r="C131"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31" t="n">
        <v>4.8</v>
      </c>
      <c r="E131" t="inlineStr">
        <is>
          <t>MEDIUM</t>
        </is>
      </c>
      <c r="F131" t="n">
        <v>2</v>
      </c>
      <c r="G131" t="n">
        <v>2</v>
      </c>
      <c r="H131" t="inlineStr">
        <is>
          <t>MEDIUM</t>
        </is>
      </c>
      <c r="I131" t="n">
        <v>8.800000000000001</v>
      </c>
      <c r="J131" t="inlineStr">
        <is>
          <t>NO</t>
        </is>
      </c>
      <c r="K131" t="inlineStr">
        <is>
          <t>2026-02-27 20:47</t>
        </is>
      </c>
      <c r="L131" t="inlineStr">
        <is>
          <t>CHECK_VENDOR</t>
        </is>
      </c>
      <c r="M131" t="inlineStr">
        <is>
          <t>See CVE details</t>
        </is>
      </c>
      <c r="N131" t="inlineStr">
        <is>
          <t>P4</t>
        </is>
      </c>
      <c r="O131" t="inlineStr">
        <is>
          <t>CVE - IP enrichment n/a</t>
        </is>
      </c>
      <c r="P131" t="n">
        <v>0.0005</v>
      </c>
      <c r="Q131" t="n">
        <v>0.1671</v>
      </c>
      <c r="R131" t="inlineStr">
        <is>
          <t>T1190:Exploit Public-Facing Application</t>
        </is>
      </c>
      <c r="S131" t="n">
        <v>1</v>
      </c>
      <c r="T131" t="inlineStr">
        <is>
          <t>LOW (40%)</t>
        </is>
      </c>
      <c r="U131" t="inlineStr">
        <is>
          <t>UNLIKELY</t>
        </is>
      </c>
      <c r="V131" t="inlineStr">
        <is>
          <t>CHECK_VENDOR</t>
        </is>
      </c>
      <c r="W131" t="inlineStr">
        <is>
          <t>https://nvd.nist.gov/vuln/detail/CVE-2026-1787</t>
        </is>
      </c>
      <c r="X131" t="inlineStr">
        <is>
          <t>NONE</t>
        </is>
      </c>
      <c r="Y131" t="n">
        <v>0</v>
      </c>
      <c r="Z131" t="inlineStr"/>
      <c r="AA131" t="inlineStr">
        <is>
          <t>https://nvd.nist.gov/vuln/detail/CVE-2026-1787</t>
        </is>
      </c>
    </row>
    <row r="132">
      <c r="A132" t="inlineStr">
        <is>
          <t>CVE</t>
        </is>
      </c>
      <c r="B132" t="inlineStr">
        <is>
          <t>CVE-2026-27492</t>
        </is>
      </c>
      <c r="C132"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32" t="n">
        <v>4.7</v>
      </c>
      <c r="E132" t="inlineStr">
        <is>
          <t>MEDIUM</t>
        </is>
      </c>
      <c r="F132" t="n">
        <v>2</v>
      </c>
      <c r="G132" t="n">
        <v>2</v>
      </c>
      <c r="H132" t="inlineStr">
        <is>
          <t>MEDIUM</t>
        </is>
      </c>
      <c r="I132" t="n">
        <v>8.699999999999999</v>
      </c>
      <c r="J132" t="inlineStr">
        <is>
          <t>NO</t>
        </is>
      </c>
      <c r="K132" t="inlineStr">
        <is>
          <t>2026-02-27 20:47</t>
        </is>
      </c>
      <c r="L132" t="inlineStr">
        <is>
          <t>YES</t>
        </is>
      </c>
      <c r="M132" t="inlineStr">
        <is>
          <t>lettermint lettermint *</t>
        </is>
      </c>
      <c r="N132" t="inlineStr">
        <is>
          <t>P4</t>
        </is>
      </c>
      <c r="O132" t="inlineStr">
        <is>
          <t>CVE - IP enrichment n/a</t>
        </is>
      </c>
      <c r="P132" t="n">
        <v>0.0001</v>
      </c>
      <c r="Q132" t="n">
        <v>0.019</v>
      </c>
      <c r="R132" t="inlineStr">
        <is>
          <t>T1190:Exploit Public-Facing Application</t>
        </is>
      </c>
      <c r="S132" t="n">
        <v>1</v>
      </c>
      <c r="T132" t="inlineStr">
        <is>
          <t>LOW (40%)</t>
        </is>
      </c>
      <c r="U132" t="inlineStr">
        <is>
          <t>UNLIKELY</t>
        </is>
      </c>
      <c r="V132" t="inlineStr">
        <is>
          <t>PATCH_AVAILABLE</t>
        </is>
      </c>
      <c r="W132" t="inlineStr">
        <is>
          <t>https://nvd.nist.gov/vuln/detail/CVE-2026-27492</t>
        </is>
      </c>
      <c r="X132" t="inlineStr">
        <is>
          <t>NONE</t>
        </is>
      </c>
      <c r="Y132" t="n">
        <v>0</v>
      </c>
      <c r="Z132" t="inlineStr"/>
      <c r="AA132" t="inlineStr">
        <is>
          <t>https://nvd.nist.gov/vuln/detail/CVE-2026-27492</t>
        </is>
      </c>
    </row>
    <row r="133">
      <c r="A133" t="inlineStr">
        <is>
          <t>CVE</t>
        </is>
      </c>
      <c r="B133" t="inlineStr">
        <is>
          <t>CVE-2026-27574</t>
        </is>
      </c>
      <c r="C133"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33" t="n">
        <v>9.9</v>
      </c>
      <c r="E133" t="inlineStr">
        <is>
          <t>CRITICAL</t>
        </is>
      </c>
      <c r="F133" t="n">
        <v>2</v>
      </c>
      <c r="G133" t="n">
        <v>3</v>
      </c>
      <c r="H133" t="inlineStr">
        <is>
          <t>HIGH</t>
        </is>
      </c>
      <c r="I133" t="n">
        <v>15.9</v>
      </c>
      <c r="J133" t="inlineStr">
        <is>
          <t>NO</t>
        </is>
      </c>
      <c r="K133" t="inlineStr">
        <is>
          <t>2026-02-27 20:47</t>
        </is>
      </c>
      <c r="L133" t="inlineStr">
        <is>
          <t>YES</t>
        </is>
      </c>
      <c r="M133" t="inlineStr">
        <is>
          <t>hackerbay oneuptime *</t>
        </is>
      </c>
      <c r="N133" t="inlineStr">
        <is>
          <t>P3</t>
        </is>
      </c>
      <c r="O133" t="inlineStr">
        <is>
          <t>CVE - IP enrichment n/a</t>
        </is>
      </c>
      <c r="P133" t="n">
        <v>0.0005999999999999999</v>
      </c>
      <c r="Q133" t="n">
        <v>0.1708</v>
      </c>
      <c r="R133" t="inlineStr">
        <is>
          <t>T1059:Command and Scripting Interpreter | T1552:Unsecured Credentials</t>
        </is>
      </c>
      <c r="S133" t="n">
        <v>1</v>
      </c>
      <c r="T133" t="inlineStr">
        <is>
          <t>LOW (40%)</t>
        </is>
      </c>
      <c r="U133" t="inlineStr">
        <is>
          <t>UNLIKELY</t>
        </is>
      </c>
      <c r="V133" t="inlineStr">
        <is>
          <t>PATCH_AVAILABLE</t>
        </is>
      </c>
      <c r="W133" t="inlineStr">
        <is>
          <t>https://nvd.nist.gov/vuln/detail/CVE-2026-27574</t>
        </is>
      </c>
      <c r="X133" t="inlineStr">
        <is>
          <t>NONE</t>
        </is>
      </c>
      <c r="Y133" t="n">
        <v>0</v>
      </c>
      <c r="Z133" t="inlineStr"/>
      <c r="AA133" t="inlineStr">
        <is>
          <t>https://nvd.nist.gov/vuln/detail/CVE-2026-27574</t>
        </is>
      </c>
    </row>
    <row r="134">
      <c r="A134" t="inlineStr">
        <is>
          <t>CVE</t>
        </is>
      </c>
      <c r="B134" t="inlineStr">
        <is>
          <t>CVE-2026-27579</t>
        </is>
      </c>
      <c r="C134"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34" t="n">
        <v>7.4</v>
      </c>
      <c r="E134" t="inlineStr">
        <is>
          <t>HIGH</t>
        </is>
      </c>
      <c r="F134" t="n">
        <v>2</v>
      </c>
      <c r="G134" t="n">
        <v>3</v>
      </c>
      <c r="H134" t="inlineStr">
        <is>
          <t>HIGH</t>
        </is>
      </c>
      <c r="I134" t="n">
        <v>13.4</v>
      </c>
      <c r="J134" t="inlineStr">
        <is>
          <t>NO</t>
        </is>
      </c>
      <c r="K134" t="inlineStr">
        <is>
          <t>2026-02-27 20:47</t>
        </is>
      </c>
      <c r="L134" t="inlineStr">
        <is>
          <t>CHECK_VENDOR</t>
        </is>
      </c>
      <c r="M134" t="inlineStr">
        <is>
          <t>See CVE details</t>
        </is>
      </c>
      <c r="N134" t="inlineStr">
        <is>
          <t>P3</t>
        </is>
      </c>
      <c r="O134" t="inlineStr">
        <is>
          <t>CVE - IP enrichment n/a</t>
        </is>
      </c>
      <c r="P134" t="n">
        <v>0.0002</v>
      </c>
      <c r="Q134" t="n">
        <v>0.0371</v>
      </c>
      <c r="R134" t="inlineStr">
        <is>
          <t>T1552:Unsecured Credentials</t>
        </is>
      </c>
      <c r="S134" t="n">
        <v>1</v>
      </c>
      <c r="T134" t="inlineStr">
        <is>
          <t>LOW (40%)</t>
        </is>
      </c>
      <c r="U134" t="inlineStr">
        <is>
          <t>UNLIKELY</t>
        </is>
      </c>
      <c r="V134" t="inlineStr">
        <is>
          <t>CHECK_VENDOR</t>
        </is>
      </c>
      <c r="W134" t="inlineStr">
        <is>
          <t>https://nvd.nist.gov/vuln/detail/CVE-2026-27579</t>
        </is>
      </c>
      <c r="X134" t="inlineStr">
        <is>
          <t>NONE</t>
        </is>
      </c>
      <c r="Y134" t="n">
        <v>0</v>
      </c>
      <c r="Z134" t="inlineStr"/>
      <c r="AA134" t="inlineStr">
        <is>
          <t>https://nvd.nist.gov/vuln/detail/CVE-2026-27579</t>
        </is>
      </c>
    </row>
    <row r="135">
      <c r="A135" t="inlineStr">
        <is>
          <t>CVE</t>
        </is>
      </c>
      <c r="B135" t="inlineStr">
        <is>
          <t>CVE-2026-2867</t>
        </is>
      </c>
      <c r="C135"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35" t="n">
        <v>7.3</v>
      </c>
      <c r="E135" t="inlineStr">
        <is>
          <t>HIGH</t>
        </is>
      </c>
      <c r="F135" t="n">
        <v>2</v>
      </c>
      <c r="G135" t="n">
        <v>3</v>
      </c>
      <c r="H135" t="inlineStr">
        <is>
          <t>HIGH</t>
        </is>
      </c>
      <c r="I135" t="n">
        <v>13.3</v>
      </c>
      <c r="J135" t="inlineStr">
        <is>
          <t>NO</t>
        </is>
      </c>
      <c r="K135" t="inlineStr">
        <is>
          <t>2026-02-27 20:47</t>
        </is>
      </c>
      <c r="L135" t="inlineStr">
        <is>
          <t>CHECK_VENDOR</t>
        </is>
      </c>
      <c r="M135" t="inlineStr">
        <is>
          <t>admerc vehicle_management_system 1.0</t>
        </is>
      </c>
      <c r="N135" t="inlineStr">
        <is>
          <t>P3</t>
        </is>
      </c>
      <c r="O135" t="inlineStr">
        <is>
          <t>CVE - IP enrichment n/a</t>
        </is>
      </c>
      <c r="P135" t="n">
        <v>0.0003</v>
      </c>
      <c r="Q135" t="n">
        <v>0.08450000000000001</v>
      </c>
      <c r="R135" t="inlineStr">
        <is>
          <t>T1190:Exploit Public-Facing Application</t>
        </is>
      </c>
      <c r="S135" t="n">
        <v>1</v>
      </c>
      <c r="T135" t="inlineStr">
        <is>
          <t>LOW (40%)</t>
        </is>
      </c>
      <c r="U135" t="inlineStr">
        <is>
          <t>UNLIKELY</t>
        </is>
      </c>
      <c r="V135" t="inlineStr">
        <is>
          <t>CHECK_VENDOR</t>
        </is>
      </c>
      <c r="W135" t="inlineStr">
        <is>
          <t>https://nvd.nist.gov/vuln/detail/CVE-2026-2867</t>
        </is>
      </c>
      <c r="X135" t="inlineStr">
        <is>
          <t>NONE</t>
        </is>
      </c>
      <c r="Y135" t="n">
        <v>0</v>
      </c>
      <c r="Z135" t="inlineStr"/>
      <c r="AA135" t="inlineStr">
        <is>
          <t>https://nvd.nist.gov/vuln/detail/CVE-2026-2867</t>
        </is>
      </c>
    </row>
    <row r="136">
      <c r="A136" t="inlineStr">
        <is>
          <t>CVE</t>
        </is>
      </c>
      <c r="B136" t="inlineStr">
        <is>
          <t>CVE-2026-2869</t>
        </is>
      </c>
      <c r="C136"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36" t="n">
        <v>3.3</v>
      </c>
      <c r="E136" t="inlineStr">
        <is>
          <t>LOW</t>
        </is>
      </c>
      <c r="F136" t="n">
        <v>2</v>
      </c>
      <c r="G136" t="n">
        <v>1</v>
      </c>
      <c r="H136" t="inlineStr">
        <is>
          <t>LOW</t>
        </is>
      </c>
      <c r="I136" t="n">
        <v>5.3</v>
      </c>
      <c r="J136" t="inlineStr">
        <is>
          <t>NO</t>
        </is>
      </c>
      <c r="K136" t="inlineStr">
        <is>
          <t>2026-02-27 20:47</t>
        </is>
      </c>
      <c r="L136" t="inlineStr">
        <is>
          <t>YES</t>
        </is>
      </c>
      <c r="M136" t="inlineStr">
        <is>
          <t>janet-lang janet *</t>
        </is>
      </c>
      <c r="N136" t="inlineStr">
        <is>
          <t>P4</t>
        </is>
      </c>
      <c r="O136" t="inlineStr">
        <is>
          <t>CVE - IP enrichment n/a</t>
        </is>
      </c>
      <c r="P136" t="n">
        <v>0.0002</v>
      </c>
      <c r="Q136" t="n">
        <v>0.0493</v>
      </c>
      <c r="R136" t="inlineStr">
        <is>
          <t>T1203:Exploitation for Client Execution</t>
        </is>
      </c>
      <c r="S136" t="n">
        <v>1</v>
      </c>
      <c r="T136" t="inlineStr">
        <is>
          <t>LOW (40%)</t>
        </is>
      </c>
      <c r="U136" t="inlineStr">
        <is>
          <t>UNLIKELY</t>
        </is>
      </c>
      <c r="V136" t="inlineStr">
        <is>
          <t>PATCH_AVAILABLE</t>
        </is>
      </c>
      <c r="W136" t="inlineStr">
        <is>
          <t>https://nvd.nist.gov/vuln/detail/CVE-2026-2869</t>
        </is>
      </c>
      <c r="X136" t="inlineStr">
        <is>
          <t>NONE</t>
        </is>
      </c>
      <c r="Y136" t="n">
        <v>0</v>
      </c>
      <c r="Z136" t="inlineStr"/>
      <c r="AA136" t="inlineStr">
        <is>
          <t>https://nvd.nist.gov/vuln/detail/CVE-2026-2869</t>
        </is>
      </c>
    </row>
    <row r="137">
      <c r="A137" t="inlineStr">
        <is>
          <t>CVE</t>
        </is>
      </c>
      <c r="B137" t="inlineStr">
        <is>
          <t>CVE-2026-2870</t>
        </is>
      </c>
      <c r="C137"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37" t="n">
        <v>8.800000000000001</v>
      </c>
      <c r="E137" t="inlineStr">
        <is>
          <t>HIGH</t>
        </is>
      </c>
      <c r="F137" t="n">
        <v>2</v>
      </c>
      <c r="G137" t="n">
        <v>3</v>
      </c>
      <c r="H137" t="inlineStr">
        <is>
          <t>HIGH</t>
        </is>
      </c>
      <c r="I137" t="n">
        <v>14.8</v>
      </c>
      <c r="J137" t="inlineStr">
        <is>
          <t>NO</t>
        </is>
      </c>
      <c r="K137" t="inlineStr">
        <is>
          <t>2026-02-27 20:47</t>
        </is>
      </c>
      <c r="L137" t="inlineStr">
        <is>
          <t>YES</t>
        </is>
      </c>
      <c r="M137" t="inlineStr">
        <is>
          <t>tenda a21_firmware 1.0.0.0 | tenda a21 -</t>
        </is>
      </c>
      <c r="N137" t="inlineStr">
        <is>
          <t>P3</t>
        </is>
      </c>
      <c r="O137" t="inlineStr">
        <is>
          <t>CVE - IP enrichment n/a</t>
        </is>
      </c>
      <c r="P137" t="n">
        <v>0.0008</v>
      </c>
      <c r="Q137" t="n">
        <v>0.2439</v>
      </c>
      <c r="R137" t="inlineStr">
        <is>
          <t>T1203:Exploitation for Client Execution</t>
        </is>
      </c>
      <c r="S137" t="n">
        <v>1</v>
      </c>
      <c r="T137" t="inlineStr">
        <is>
          <t>LOW (40%)</t>
        </is>
      </c>
      <c r="U137" t="inlineStr">
        <is>
          <t>UNLIKELY</t>
        </is>
      </c>
      <c r="V137" t="inlineStr">
        <is>
          <t>PATCH_AVAILABLE</t>
        </is>
      </c>
      <c r="W137" t="inlineStr">
        <is>
          <t>https://nvd.nist.gov/vuln/detail/CVE-2026-2870</t>
        </is>
      </c>
      <c r="X137" t="inlineStr">
        <is>
          <t>NONE</t>
        </is>
      </c>
      <c r="Y137" t="n">
        <v>0</v>
      </c>
      <c r="Z137" t="inlineStr"/>
      <c r="AA137" t="inlineStr">
        <is>
          <t>https://nvd.nist.gov/vuln/detail/CVE-2026-2870</t>
        </is>
      </c>
    </row>
    <row r="138">
      <c r="A138" t="inlineStr">
        <is>
          <t>CVE</t>
        </is>
      </c>
      <c r="B138" t="inlineStr">
        <is>
          <t>CVE-2026-2871</t>
        </is>
      </c>
      <c r="C138"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38" t="n">
        <v>8.800000000000001</v>
      </c>
      <c r="E138" t="inlineStr">
        <is>
          <t>HIGH</t>
        </is>
      </c>
      <c r="F138" t="n">
        <v>2</v>
      </c>
      <c r="G138" t="n">
        <v>3</v>
      </c>
      <c r="H138" t="inlineStr">
        <is>
          <t>HIGH</t>
        </is>
      </c>
      <c r="I138" t="n">
        <v>14.8</v>
      </c>
      <c r="J138" t="inlineStr">
        <is>
          <t>NO</t>
        </is>
      </c>
      <c r="K138" t="inlineStr">
        <is>
          <t>2026-02-27 20:47</t>
        </is>
      </c>
      <c r="L138" t="inlineStr">
        <is>
          <t>YES</t>
        </is>
      </c>
      <c r="M138" t="inlineStr">
        <is>
          <t>tenda a21_firmware 1.0.0.0 | tenda a21 -</t>
        </is>
      </c>
      <c r="N138" t="inlineStr">
        <is>
          <t>P3</t>
        </is>
      </c>
      <c r="O138" t="inlineStr">
        <is>
          <t>CVE - IP enrichment n/a</t>
        </is>
      </c>
      <c r="P138" t="n">
        <v>0.0003</v>
      </c>
      <c r="Q138" t="n">
        <v>0.089</v>
      </c>
      <c r="R138" t="inlineStr">
        <is>
          <t>T1203:Exploitation for Client Execution</t>
        </is>
      </c>
      <c r="S138" t="n">
        <v>1</v>
      </c>
      <c r="T138" t="inlineStr">
        <is>
          <t>LOW (40%)</t>
        </is>
      </c>
      <c r="U138" t="inlineStr">
        <is>
          <t>UNLIKELY</t>
        </is>
      </c>
      <c r="V138" t="inlineStr">
        <is>
          <t>PATCH_AVAILABLE</t>
        </is>
      </c>
      <c r="W138" t="inlineStr">
        <is>
          <t>https://nvd.nist.gov/vuln/detail/CVE-2026-2871</t>
        </is>
      </c>
      <c r="X138" t="inlineStr">
        <is>
          <t>NONE</t>
        </is>
      </c>
      <c r="Y138" t="n">
        <v>0</v>
      </c>
      <c r="Z138" t="inlineStr"/>
      <c r="AA138" t="inlineStr">
        <is>
          <t>https://nvd.nist.gov/vuln/detail/CVE-2026-2871</t>
        </is>
      </c>
    </row>
    <row r="139">
      <c r="A139" t="inlineStr">
        <is>
          <t>CVE</t>
        </is>
      </c>
      <c r="B139" t="inlineStr">
        <is>
          <t>CVE-2026-2872</t>
        </is>
      </c>
      <c r="C139"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39" t="n">
        <v>8.800000000000001</v>
      </c>
      <c r="E139" t="inlineStr">
        <is>
          <t>HIGH</t>
        </is>
      </c>
      <c r="F139" t="n">
        <v>2</v>
      </c>
      <c r="G139" t="n">
        <v>3</v>
      </c>
      <c r="H139" t="inlineStr">
        <is>
          <t>HIGH</t>
        </is>
      </c>
      <c r="I139" t="n">
        <v>14.8</v>
      </c>
      <c r="J139" t="inlineStr">
        <is>
          <t>NO</t>
        </is>
      </c>
      <c r="K139" t="inlineStr">
        <is>
          <t>2026-02-27 20:47</t>
        </is>
      </c>
      <c r="L139" t="inlineStr">
        <is>
          <t>YES</t>
        </is>
      </c>
      <c r="M139" t="inlineStr">
        <is>
          <t>tenda a21_firmware 1.0.0.0 | tenda a21 -</t>
        </is>
      </c>
      <c r="N139" t="inlineStr">
        <is>
          <t>P3</t>
        </is>
      </c>
      <c r="O139" t="inlineStr">
        <is>
          <t>CVE - IP enrichment n/a</t>
        </is>
      </c>
      <c r="P139" t="n">
        <v>0.0008</v>
      </c>
      <c r="Q139" t="n">
        <v>0.2439</v>
      </c>
      <c r="R139" t="inlineStr">
        <is>
          <t>T1203:Exploitation for Client Execution</t>
        </is>
      </c>
      <c r="S139" t="n">
        <v>1</v>
      </c>
      <c r="T139" t="inlineStr">
        <is>
          <t>LOW (40%)</t>
        </is>
      </c>
      <c r="U139" t="inlineStr">
        <is>
          <t>UNLIKELY</t>
        </is>
      </c>
      <c r="V139" t="inlineStr">
        <is>
          <t>PATCH_AVAILABLE</t>
        </is>
      </c>
      <c r="W139" t="inlineStr">
        <is>
          <t>https://nvd.nist.gov/vuln/detail/CVE-2026-2872</t>
        </is>
      </c>
      <c r="X139" t="inlineStr">
        <is>
          <t>NONE</t>
        </is>
      </c>
      <c r="Y139" t="n">
        <v>0</v>
      </c>
      <c r="Z139" t="inlineStr"/>
      <c r="AA139" t="inlineStr">
        <is>
          <t>https://nvd.nist.gov/vuln/detail/CVE-2026-2872</t>
        </is>
      </c>
    </row>
    <row r="140">
      <c r="A140" t="inlineStr">
        <is>
          <t>CVE</t>
        </is>
      </c>
      <c r="B140" t="inlineStr">
        <is>
          <t>CVE-2026-2873</t>
        </is>
      </c>
      <c r="C140"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40" t="n">
        <v>8.800000000000001</v>
      </c>
      <c r="E140" t="inlineStr">
        <is>
          <t>HIGH</t>
        </is>
      </c>
      <c r="F140" t="n">
        <v>2</v>
      </c>
      <c r="G140" t="n">
        <v>3</v>
      </c>
      <c r="H140" t="inlineStr">
        <is>
          <t>HIGH</t>
        </is>
      </c>
      <c r="I140" t="n">
        <v>14.8</v>
      </c>
      <c r="J140" t="inlineStr">
        <is>
          <t>NO</t>
        </is>
      </c>
      <c r="K140" t="inlineStr">
        <is>
          <t>2026-02-27 20:47</t>
        </is>
      </c>
      <c r="L140" t="inlineStr">
        <is>
          <t>YES</t>
        </is>
      </c>
      <c r="M140" t="inlineStr">
        <is>
          <t>tenda a21_firmware 1.0.0.0 | tenda a21 -</t>
        </is>
      </c>
      <c r="N140" t="inlineStr">
        <is>
          <t>P3</t>
        </is>
      </c>
      <c r="O140" t="inlineStr">
        <is>
          <t>CVE - IP enrichment n/a</t>
        </is>
      </c>
      <c r="P140" t="n">
        <v>0.0008</v>
      </c>
      <c r="Q140" t="n">
        <v>0.2439</v>
      </c>
      <c r="R140" t="inlineStr">
        <is>
          <t>T1203:Exploitation for Client Execution</t>
        </is>
      </c>
      <c r="S140" t="n">
        <v>1</v>
      </c>
      <c r="T140" t="inlineStr">
        <is>
          <t>LOW (40%)</t>
        </is>
      </c>
      <c r="U140" t="inlineStr">
        <is>
          <t>UNLIKELY</t>
        </is>
      </c>
      <c r="V140" t="inlineStr">
        <is>
          <t>PATCH_AVAILABLE</t>
        </is>
      </c>
      <c r="W140" t="inlineStr">
        <is>
          <t>https://nvd.nist.gov/vuln/detail/CVE-2026-2873</t>
        </is>
      </c>
      <c r="X140" t="inlineStr">
        <is>
          <t>NONE</t>
        </is>
      </c>
      <c r="Y140" t="n">
        <v>0</v>
      </c>
      <c r="Z140" t="inlineStr"/>
      <c r="AA140" t="inlineStr">
        <is>
          <t>https://nvd.nist.gov/vuln/detail/CVE-2026-2873</t>
        </is>
      </c>
    </row>
    <row r="141">
      <c r="A141" t="inlineStr">
        <is>
          <t>CVE</t>
        </is>
      </c>
      <c r="B141" t="inlineStr">
        <is>
          <t>CVE-2026-2874</t>
        </is>
      </c>
      <c r="C141"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41" t="n">
        <v>8.800000000000001</v>
      </c>
      <c r="E141" t="inlineStr">
        <is>
          <t>HIGH</t>
        </is>
      </c>
      <c r="F141" t="n">
        <v>2</v>
      </c>
      <c r="G141" t="n">
        <v>3</v>
      </c>
      <c r="H141" t="inlineStr">
        <is>
          <t>HIGH</t>
        </is>
      </c>
      <c r="I141" t="n">
        <v>14.8</v>
      </c>
      <c r="J141" t="inlineStr">
        <is>
          <t>NO</t>
        </is>
      </c>
      <c r="K141" t="inlineStr">
        <is>
          <t>2026-02-27 20:47</t>
        </is>
      </c>
      <c r="L141" t="inlineStr">
        <is>
          <t>YES</t>
        </is>
      </c>
      <c r="M141" t="inlineStr">
        <is>
          <t>tenda a21_firmware 1.0.0.0 | tenda a21 -</t>
        </is>
      </c>
      <c r="N141" t="inlineStr">
        <is>
          <t>P3</t>
        </is>
      </c>
      <c r="O141" t="inlineStr">
        <is>
          <t>CVE - IP enrichment n/a</t>
        </is>
      </c>
      <c r="P141" t="n">
        <v>0.0008</v>
      </c>
      <c r="Q141" t="n">
        <v>0.2439</v>
      </c>
      <c r="R141" t="inlineStr">
        <is>
          <t>T1203:Exploitation for Client Execution</t>
        </is>
      </c>
      <c r="S141" t="n">
        <v>1</v>
      </c>
      <c r="T141" t="inlineStr">
        <is>
          <t>LOW (40%)</t>
        </is>
      </c>
      <c r="U141" t="inlineStr">
        <is>
          <t>UNLIKELY</t>
        </is>
      </c>
      <c r="V141" t="inlineStr">
        <is>
          <t>PATCH_AVAILABLE</t>
        </is>
      </c>
      <c r="W141" t="inlineStr">
        <is>
          <t>https://nvd.nist.gov/vuln/detail/CVE-2026-2874</t>
        </is>
      </c>
      <c r="X141" t="inlineStr">
        <is>
          <t>NONE</t>
        </is>
      </c>
      <c r="Y141" t="n">
        <v>0</v>
      </c>
      <c r="Z141" t="inlineStr"/>
      <c r="AA141" t="inlineStr">
        <is>
          <t>https://nvd.nist.gov/vuln/detail/CVE-2026-2874</t>
        </is>
      </c>
    </row>
    <row r="142">
      <c r="A142" t="inlineStr">
        <is>
          <t>CVE</t>
        </is>
      </c>
      <c r="B142" t="inlineStr">
        <is>
          <t>CVE-2026-2876</t>
        </is>
      </c>
      <c r="C142"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42" t="n">
        <v>8.800000000000001</v>
      </c>
      <c r="E142" t="inlineStr">
        <is>
          <t>HIGH</t>
        </is>
      </c>
      <c r="F142" t="n">
        <v>2</v>
      </c>
      <c r="G142" t="n">
        <v>3</v>
      </c>
      <c r="H142" t="inlineStr">
        <is>
          <t>HIGH</t>
        </is>
      </c>
      <c r="I142" t="n">
        <v>14.8</v>
      </c>
      <c r="J142" t="inlineStr">
        <is>
          <t>NO</t>
        </is>
      </c>
      <c r="K142" t="inlineStr">
        <is>
          <t>2026-02-27 20:47</t>
        </is>
      </c>
      <c r="L142" t="inlineStr">
        <is>
          <t>CHECK_VENDOR</t>
        </is>
      </c>
      <c r="M142" t="inlineStr">
        <is>
          <t>tenda a18_firmware 15.13.07.13 | tenda a18 -</t>
        </is>
      </c>
      <c r="N142" t="inlineStr">
        <is>
          <t>P3</t>
        </is>
      </c>
      <c r="O142" t="inlineStr">
        <is>
          <t>CVE - IP enrichment n/a</t>
        </is>
      </c>
      <c r="P142" t="n">
        <v>0.0008</v>
      </c>
      <c r="Q142" t="n">
        <v>0.2262</v>
      </c>
      <c r="R142" t="inlineStr">
        <is>
          <t>T1203:Exploitation for Client Execution</t>
        </is>
      </c>
      <c r="S142" t="n">
        <v>1</v>
      </c>
      <c r="T142" t="inlineStr">
        <is>
          <t>LOW (40%)</t>
        </is>
      </c>
      <c r="U142" t="inlineStr">
        <is>
          <t>UNLIKELY</t>
        </is>
      </c>
      <c r="V142" t="inlineStr">
        <is>
          <t>CHECK_VENDOR</t>
        </is>
      </c>
      <c r="W142" t="inlineStr">
        <is>
          <t>https://nvd.nist.gov/vuln/detail/CVE-2026-2876</t>
        </is>
      </c>
      <c r="X142" t="inlineStr">
        <is>
          <t>NONE</t>
        </is>
      </c>
      <c r="Y142" t="n">
        <v>0</v>
      </c>
      <c r="Z142" t="inlineStr"/>
      <c r="AA142" t="inlineStr">
        <is>
          <t>https://nvd.nist.gov/vuln/detail/CVE-2026-2876</t>
        </is>
      </c>
    </row>
    <row r="143">
      <c r="A143" t="inlineStr">
        <is>
          <t>CVE</t>
        </is>
      </c>
      <c r="B143" t="inlineStr">
        <is>
          <t>CVE-2026-2877</t>
        </is>
      </c>
      <c r="C143"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43" t="n">
        <v>8.800000000000001</v>
      </c>
      <c r="E143" t="inlineStr">
        <is>
          <t>HIGH</t>
        </is>
      </c>
      <c r="F143" t="n">
        <v>2</v>
      </c>
      <c r="G143" t="n">
        <v>3</v>
      </c>
      <c r="H143" t="inlineStr">
        <is>
          <t>HIGH</t>
        </is>
      </c>
      <c r="I143" t="n">
        <v>14.8</v>
      </c>
      <c r="J143" t="inlineStr">
        <is>
          <t>NO</t>
        </is>
      </c>
      <c r="K143" t="inlineStr">
        <is>
          <t>2026-02-27 20:47</t>
        </is>
      </c>
      <c r="L143" t="inlineStr">
        <is>
          <t>CHECK_VENDOR</t>
        </is>
      </c>
      <c r="M143" t="inlineStr">
        <is>
          <t>tenda a18_firmware 15.13.07.13 | tenda a18 -</t>
        </is>
      </c>
      <c r="N143" t="inlineStr">
        <is>
          <t>P3</t>
        </is>
      </c>
      <c r="O143" t="inlineStr">
        <is>
          <t>CVE - IP enrichment n/a</t>
        </is>
      </c>
      <c r="P143" t="n">
        <v>0.0008</v>
      </c>
      <c r="Q143" t="n">
        <v>0.2262</v>
      </c>
      <c r="R143" t="inlineStr">
        <is>
          <t>T1203:Exploitation for Client Execution</t>
        </is>
      </c>
      <c r="S143" t="n">
        <v>1</v>
      </c>
      <c r="T143" t="inlineStr">
        <is>
          <t>LOW (40%)</t>
        </is>
      </c>
      <c r="U143" t="inlineStr">
        <is>
          <t>UNLIKELY</t>
        </is>
      </c>
      <c r="V143" t="inlineStr">
        <is>
          <t>CHECK_VENDOR</t>
        </is>
      </c>
      <c r="W143" t="inlineStr">
        <is>
          <t>https://nvd.nist.gov/vuln/detail/CVE-2026-2877</t>
        </is>
      </c>
      <c r="X143" t="inlineStr">
        <is>
          <t>NONE</t>
        </is>
      </c>
      <c r="Y143" t="n">
        <v>0</v>
      </c>
      <c r="Z143" t="inlineStr"/>
      <c r="AA143" t="inlineStr">
        <is>
          <t>https://nvd.nist.gov/vuln/detail/CVE-2026-2877</t>
        </is>
      </c>
    </row>
    <row r="144">
      <c r="A144" t="inlineStr">
        <is>
          <t>CVE</t>
        </is>
      </c>
      <c r="B144" t="inlineStr">
        <is>
          <t>CVE-2026-2881</t>
        </is>
      </c>
      <c r="C144"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44" t="n">
        <v>8.800000000000001</v>
      </c>
      <c r="E144" t="inlineStr">
        <is>
          <t>HIGH</t>
        </is>
      </c>
      <c r="F144" t="n">
        <v>2</v>
      </c>
      <c r="G144" t="n">
        <v>3</v>
      </c>
      <c r="H144" t="inlineStr">
        <is>
          <t>HIGH</t>
        </is>
      </c>
      <c r="I144" t="n">
        <v>14.8</v>
      </c>
      <c r="J144" t="inlineStr">
        <is>
          <t>NO</t>
        </is>
      </c>
      <c r="K144" t="inlineStr">
        <is>
          <t>2026-02-27 20:47</t>
        </is>
      </c>
      <c r="L144" t="inlineStr">
        <is>
          <t>CHECK_VENDOR</t>
        </is>
      </c>
      <c r="M144" t="inlineStr">
        <is>
          <t>dlink dwr-m960_firmware 1.01.07 | dlink dwr-m960 b1</t>
        </is>
      </c>
      <c r="N144" t="inlineStr">
        <is>
          <t>P3</t>
        </is>
      </c>
      <c r="O144" t="inlineStr">
        <is>
          <t>CVE - IP enrichment n/a</t>
        </is>
      </c>
      <c r="P144" t="n">
        <v>0.0003</v>
      </c>
      <c r="Q144" t="n">
        <v>0.09379999999999999</v>
      </c>
      <c r="R144" t="inlineStr">
        <is>
          <t>T1203:Exploitation for Client Execution | T1562:Impair Defenses</t>
        </is>
      </c>
      <c r="S144" t="n">
        <v>1</v>
      </c>
      <c r="T144" t="inlineStr">
        <is>
          <t>LOW (40%)</t>
        </is>
      </c>
      <c r="U144" t="inlineStr">
        <is>
          <t>UNLIKELY</t>
        </is>
      </c>
      <c r="V144" t="inlineStr">
        <is>
          <t>CHECK_VENDOR</t>
        </is>
      </c>
      <c r="W144" t="inlineStr">
        <is>
          <t>https://nvd.nist.gov/vuln/detail/CVE-2026-2881</t>
        </is>
      </c>
      <c r="X144" t="inlineStr">
        <is>
          <t>NONE</t>
        </is>
      </c>
      <c r="Y144" t="n">
        <v>0</v>
      </c>
      <c r="Z144" t="inlineStr"/>
      <c r="AA144" t="inlineStr">
        <is>
          <t>https://nvd.nist.gov/vuln/detail/CVE-2026-2881</t>
        </is>
      </c>
    </row>
    <row r="145">
      <c r="A145" t="inlineStr">
        <is>
          <t>CVE</t>
        </is>
      </c>
      <c r="B145" t="inlineStr">
        <is>
          <t>CVE-2026-2882</t>
        </is>
      </c>
      <c r="C145"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45" t="n">
        <v>8.800000000000001</v>
      </c>
      <c r="E145" t="inlineStr">
        <is>
          <t>HIGH</t>
        </is>
      </c>
      <c r="F145" t="n">
        <v>2</v>
      </c>
      <c r="G145" t="n">
        <v>3</v>
      </c>
      <c r="H145" t="inlineStr">
        <is>
          <t>HIGH</t>
        </is>
      </c>
      <c r="I145" t="n">
        <v>14.8</v>
      </c>
      <c r="J145" t="inlineStr">
        <is>
          <t>NO</t>
        </is>
      </c>
      <c r="K145" t="inlineStr">
        <is>
          <t>2026-02-27 20:47</t>
        </is>
      </c>
      <c r="L145" t="inlineStr">
        <is>
          <t>CHECK_VENDOR</t>
        </is>
      </c>
      <c r="M145" t="inlineStr">
        <is>
          <t>dlink dwr-m960_firmware 1.01.07 | dlink dwr-m960 b1</t>
        </is>
      </c>
      <c r="N145" t="inlineStr">
        <is>
          <t>P3</t>
        </is>
      </c>
      <c r="O145" t="inlineStr">
        <is>
          <t>CVE - IP enrichment n/a</t>
        </is>
      </c>
      <c r="P145" t="n">
        <v>0.0003</v>
      </c>
      <c r="Q145" t="n">
        <v>0.09379999999999999</v>
      </c>
      <c r="R145" t="inlineStr">
        <is>
          <t>T1203:Exploitation for Client Execution</t>
        </is>
      </c>
      <c r="S145" t="n">
        <v>1</v>
      </c>
      <c r="T145" t="inlineStr">
        <is>
          <t>LOW (40%)</t>
        </is>
      </c>
      <c r="U145" t="inlineStr">
        <is>
          <t>UNLIKELY</t>
        </is>
      </c>
      <c r="V145" t="inlineStr">
        <is>
          <t>CHECK_VENDOR</t>
        </is>
      </c>
      <c r="W145" t="inlineStr">
        <is>
          <t>https://nvd.nist.gov/vuln/detail/CVE-2026-2882</t>
        </is>
      </c>
      <c r="X145" t="inlineStr">
        <is>
          <t>NONE</t>
        </is>
      </c>
      <c r="Y145" t="n">
        <v>0</v>
      </c>
      <c r="Z145" t="inlineStr"/>
      <c r="AA145" t="inlineStr">
        <is>
          <t>https://nvd.nist.gov/vuln/detail/CVE-2026-2882</t>
        </is>
      </c>
    </row>
    <row r="146">
      <c r="A146" t="inlineStr">
        <is>
          <t>CVE</t>
        </is>
      </c>
      <c r="B146" t="inlineStr">
        <is>
          <t>CVE-2026-2883</t>
        </is>
      </c>
      <c r="C146"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46" t="n">
        <v>8.800000000000001</v>
      </c>
      <c r="E146" t="inlineStr">
        <is>
          <t>HIGH</t>
        </is>
      </c>
      <c r="F146" t="n">
        <v>2</v>
      </c>
      <c r="G146" t="n">
        <v>3</v>
      </c>
      <c r="H146" t="inlineStr">
        <is>
          <t>HIGH</t>
        </is>
      </c>
      <c r="I146" t="n">
        <v>14.8</v>
      </c>
      <c r="J146" t="inlineStr">
        <is>
          <t>NO</t>
        </is>
      </c>
      <c r="K146" t="inlineStr">
        <is>
          <t>2026-02-27 20:47</t>
        </is>
      </c>
      <c r="L146" t="inlineStr">
        <is>
          <t>CHECK_VENDOR</t>
        </is>
      </c>
      <c r="M146" t="inlineStr">
        <is>
          <t>dlink dwr-m960_firmware 1.01.07 | dlink dwr-m960 b1</t>
        </is>
      </c>
      <c r="N146" t="inlineStr">
        <is>
          <t>P3</t>
        </is>
      </c>
      <c r="O146" t="inlineStr">
        <is>
          <t>CVE - IP enrichment n/a</t>
        </is>
      </c>
      <c r="P146" t="n">
        <v>0.0001</v>
      </c>
      <c r="Q146" t="n">
        <v>0.0201</v>
      </c>
      <c r="R146" t="inlineStr">
        <is>
          <t>T1203:Exploitation for Client Execution</t>
        </is>
      </c>
      <c r="S146" t="n">
        <v>1</v>
      </c>
      <c r="T146" t="inlineStr">
        <is>
          <t>LOW (40%)</t>
        </is>
      </c>
      <c r="U146" t="inlineStr">
        <is>
          <t>UNLIKELY</t>
        </is>
      </c>
      <c r="V146" t="inlineStr">
        <is>
          <t>CHECK_VENDOR</t>
        </is>
      </c>
      <c r="W146" t="inlineStr">
        <is>
          <t>https://nvd.nist.gov/vuln/detail/CVE-2026-2883</t>
        </is>
      </c>
      <c r="X146" t="inlineStr">
        <is>
          <t>NONE</t>
        </is>
      </c>
      <c r="Y146" t="n">
        <v>0</v>
      </c>
      <c r="Z146" t="inlineStr"/>
      <c r="AA146" t="inlineStr">
        <is>
          <t>https://nvd.nist.gov/vuln/detail/CVE-2026-2883</t>
        </is>
      </c>
    </row>
    <row r="147">
      <c r="A147" t="inlineStr">
        <is>
          <t>CVE</t>
        </is>
      </c>
      <c r="B147" t="inlineStr">
        <is>
          <t>CVE-2026-2884</t>
        </is>
      </c>
      <c r="C147"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47" t="n">
        <v>8.800000000000001</v>
      </c>
      <c r="E147" t="inlineStr">
        <is>
          <t>HIGH</t>
        </is>
      </c>
      <c r="F147" t="n">
        <v>2</v>
      </c>
      <c r="G147" t="n">
        <v>3</v>
      </c>
      <c r="H147" t="inlineStr">
        <is>
          <t>HIGH</t>
        </is>
      </c>
      <c r="I147" t="n">
        <v>14.8</v>
      </c>
      <c r="J147" t="inlineStr">
        <is>
          <t>NO</t>
        </is>
      </c>
      <c r="K147" t="inlineStr">
        <is>
          <t>2026-02-27 20:47</t>
        </is>
      </c>
      <c r="L147" t="inlineStr">
        <is>
          <t>CHECK_VENDOR</t>
        </is>
      </c>
      <c r="M147" t="inlineStr">
        <is>
          <t>dlink dwr-m960_firmware 1.01.07 | dlink dwr-m960 b1</t>
        </is>
      </c>
      <c r="N147" t="inlineStr">
        <is>
          <t>P3</t>
        </is>
      </c>
      <c r="O147" t="inlineStr">
        <is>
          <t>CVE - IP enrichment n/a</t>
        </is>
      </c>
      <c r="P147" t="n">
        <v>0.0003</v>
      </c>
      <c r="Q147" t="n">
        <v>0.09379999999999999</v>
      </c>
      <c r="R147" t="inlineStr">
        <is>
          <t>T1203:Exploitation for Client Execution</t>
        </is>
      </c>
      <c r="S147" t="n">
        <v>1</v>
      </c>
      <c r="T147" t="inlineStr">
        <is>
          <t>LOW (40%)</t>
        </is>
      </c>
      <c r="U147" t="inlineStr">
        <is>
          <t>UNLIKELY</t>
        </is>
      </c>
      <c r="V147" t="inlineStr">
        <is>
          <t>CHECK_VENDOR</t>
        </is>
      </c>
      <c r="W147" t="inlineStr">
        <is>
          <t>https://nvd.nist.gov/vuln/detail/CVE-2026-2884</t>
        </is>
      </c>
      <c r="X147" t="inlineStr">
        <is>
          <t>NONE</t>
        </is>
      </c>
      <c r="Y147" t="n">
        <v>0</v>
      </c>
      <c r="Z147" t="inlineStr"/>
      <c r="AA147" t="inlineStr">
        <is>
          <t>https://nvd.nist.gov/vuln/detail/CVE-2026-2884</t>
        </is>
      </c>
    </row>
    <row r="148">
      <c r="A148" t="inlineStr">
        <is>
          <t>CVE</t>
        </is>
      </c>
      <c r="B148" t="inlineStr">
        <is>
          <t>CVE-2026-2885</t>
        </is>
      </c>
      <c r="C148"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48" t="n">
        <v>8.800000000000001</v>
      </c>
      <c r="E148" t="inlineStr">
        <is>
          <t>HIGH</t>
        </is>
      </c>
      <c r="F148" t="n">
        <v>2</v>
      </c>
      <c r="G148" t="n">
        <v>3</v>
      </c>
      <c r="H148" t="inlineStr">
        <is>
          <t>HIGH</t>
        </is>
      </c>
      <c r="I148" t="n">
        <v>14.8</v>
      </c>
      <c r="J148" t="inlineStr">
        <is>
          <t>NO</t>
        </is>
      </c>
      <c r="K148" t="inlineStr">
        <is>
          <t>2026-02-27 20:47</t>
        </is>
      </c>
      <c r="L148" t="inlineStr">
        <is>
          <t>CHECK_VENDOR</t>
        </is>
      </c>
      <c r="M148" t="inlineStr">
        <is>
          <t>dlink dwr-m960_firmware 1.01.07 | dlink dwr-m960 b1</t>
        </is>
      </c>
      <c r="N148" t="inlineStr">
        <is>
          <t>P3</t>
        </is>
      </c>
      <c r="O148" t="inlineStr">
        <is>
          <t>CVE - IP enrichment n/a</t>
        </is>
      </c>
      <c r="P148" t="n">
        <v>0.0003</v>
      </c>
      <c r="Q148" t="n">
        <v>0.09379999999999999</v>
      </c>
      <c r="R148" t="inlineStr">
        <is>
          <t>T1203:Exploitation for Client Execution</t>
        </is>
      </c>
      <c r="S148" t="n">
        <v>1</v>
      </c>
      <c r="T148" t="inlineStr">
        <is>
          <t>LOW (40%)</t>
        </is>
      </c>
      <c r="U148" t="inlineStr">
        <is>
          <t>UNLIKELY</t>
        </is>
      </c>
      <c r="V148" t="inlineStr">
        <is>
          <t>CHECK_VENDOR</t>
        </is>
      </c>
      <c r="W148" t="inlineStr">
        <is>
          <t>https://nvd.nist.gov/vuln/detail/CVE-2026-2885</t>
        </is>
      </c>
      <c r="X148" t="inlineStr">
        <is>
          <t>NONE</t>
        </is>
      </c>
      <c r="Y148" t="n">
        <v>0</v>
      </c>
      <c r="Z148" t="inlineStr"/>
      <c r="AA148" t="inlineStr">
        <is>
          <t>https://nvd.nist.gov/vuln/detail/CVE-2026-2885</t>
        </is>
      </c>
    </row>
    <row r="149">
      <c r="A149" t="inlineStr">
        <is>
          <t>CVE</t>
        </is>
      </c>
      <c r="B149" t="inlineStr">
        <is>
          <t>CVE-2026-2886</t>
        </is>
      </c>
      <c r="C149"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49" t="n">
        <v>8.800000000000001</v>
      </c>
      <c r="E149" t="inlineStr">
        <is>
          <t>HIGH</t>
        </is>
      </c>
      <c r="F149" t="n">
        <v>2</v>
      </c>
      <c r="G149" t="n">
        <v>3</v>
      </c>
      <c r="H149" t="inlineStr">
        <is>
          <t>HIGH</t>
        </is>
      </c>
      <c r="I149" t="n">
        <v>14.8</v>
      </c>
      <c r="J149" t="inlineStr">
        <is>
          <t>NO</t>
        </is>
      </c>
      <c r="K149" t="inlineStr">
        <is>
          <t>2026-02-27 20:47</t>
        </is>
      </c>
      <c r="L149" t="inlineStr">
        <is>
          <t>YES</t>
        </is>
      </c>
      <c r="M149" t="inlineStr">
        <is>
          <t>tenda a21_firmware 1.0.0.0 | tenda a21 -</t>
        </is>
      </c>
      <c r="N149" t="inlineStr">
        <is>
          <t>P3</t>
        </is>
      </c>
      <c r="O149" t="inlineStr">
        <is>
          <t>CVE - IP enrichment n/a</t>
        </is>
      </c>
      <c r="P149" t="n">
        <v>0.0008</v>
      </c>
      <c r="Q149" t="n">
        <v>0.2439</v>
      </c>
      <c r="R149" t="inlineStr">
        <is>
          <t>T1203:Exploitation for Client Execution</t>
        </is>
      </c>
      <c r="S149" t="n">
        <v>1</v>
      </c>
      <c r="T149" t="inlineStr">
        <is>
          <t>LOW (40%)</t>
        </is>
      </c>
      <c r="U149" t="inlineStr">
        <is>
          <t>UNLIKELY</t>
        </is>
      </c>
      <c r="V149" t="inlineStr">
        <is>
          <t>PATCH_AVAILABLE</t>
        </is>
      </c>
      <c r="W149" t="inlineStr">
        <is>
          <t>https://nvd.nist.gov/vuln/detail/CVE-2026-2886</t>
        </is>
      </c>
      <c r="X149" t="inlineStr">
        <is>
          <t>NONE</t>
        </is>
      </c>
      <c r="Y149" t="n">
        <v>0</v>
      </c>
      <c r="Z149" t="inlineStr"/>
      <c r="AA149" t="inlineStr">
        <is>
          <t>https://nvd.nist.gov/vuln/detail/CVE-2026-2886</t>
        </is>
      </c>
    </row>
    <row r="150">
      <c r="A150" t="inlineStr">
        <is>
          <t>CVE</t>
        </is>
      </c>
      <c r="B150" t="inlineStr">
        <is>
          <t>CVE-2026-2887</t>
        </is>
      </c>
      <c r="C150"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50" t="n">
        <v>3.3</v>
      </c>
      <c r="E150" t="inlineStr">
        <is>
          <t>LOW</t>
        </is>
      </c>
      <c r="F150" t="n">
        <v>2</v>
      </c>
      <c r="G150" t="n">
        <v>1</v>
      </c>
      <c r="H150" t="inlineStr">
        <is>
          <t>LOW</t>
        </is>
      </c>
      <c r="I150" t="n">
        <v>5.3</v>
      </c>
      <c r="J150" t="inlineStr">
        <is>
          <t>NO</t>
        </is>
      </c>
      <c r="K150" t="inlineStr">
        <is>
          <t>2026-02-27 20:47</t>
        </is>
      </c>
      <c r="L150" t="inlineStr">
        <is>
          <t>YES</t>
        </is>
      </c>
      <c r="M150" t="inlineStr">
        <is>
          <t>strlen lobster *</t>
        </is>
      </c>
      <c r="N150" t="inlineStr">
        <is>
          <t>P4</t>
        </is>
      </c>
      <c r="O150" t="inlineStr">
        <is>
          <t>CVE - IP enrichment n/a</t>
        </is>
      </c>
      <c r="P150" t="n">
        <v>0.0002</v>
      </c>
      <c r="Q150" t="n">
        <v>0.044</v>
      </c>
      <c r="R150" t="inlineStr">
        <is>
          <t>T1190:Exploit Public-Facing Application</t>
        </is>
      </c>
      <c r="S150" t="n">
        <v>1</v>
      </c>
      <c r="T150" t="inlineStr">
        <is>
          <t>LOW (40%)</t>
        </is>
      </c>
      <c r="U150" t="inlineStr">
        <is>
          <t>UNLIKELY</t>
        </is>
      </c>
      <c r="V150" t="inlineStr">
        <is>
          <t>PATCH_AVAILABLE</t>
        </is>
      </c>
      <c r="W150" t="inlineStr">
        <is>
          <t>https://nvd.nist.gov/vuln/detail/CVE-2026-2887</t>
        </is>
      </c>
      <c r="X150" t="inlineStr">
        <is>
          <t>NONE</t>
        </is>
      </c>
      <c r="Y150" t="n">
        <v>0</v>
      </c>
      <c r="Z150" t="inlineStr"/>
      <c r="AA150" t="inlineStr">
        <is>
          <t>https://nvd.nist.gov/vuln/detail/CVE-2026-2887</t>
        </is>
      </c>
    </row>
    <row r="151">
      <c r="A151" t="inlineStr">
        <is>
          <t>CVE</t>
        </is>
      </c>
      <c r="B151" t="inlineStr">
        <is>
          <t>CVE-2026-2889</t>
        </is>
      </c>
      <c r="C151"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51" t="n">
        <v>3.3</v>
      </c>
      <c r="E151" t="inlineStr">
        <is>
          <t>LOW</t>
        </is>
      </c>
      <c r="F151" t="n">
        <v>2</v>
      </c>
      <c r="G151" t="n">
        <v>1</v>
      </c>
      <c r="H151" t="inlineStr">
        <is>
          <t>LOW</t>
        </is>
      </c>
      <c r="I151" t="n">
        <v>5.3</v>
      </c>
      <c r="J151" t="inlineStr">
        <is>
          <t>NO</t>
        </is>
      </c>
      <c r="K151" t="inlineStr">
        <is>
          <t>2026-02-27 20:47</t>
        </is>
      </c>
      <c r="L151" t="inlineStr">
        <is>
          <t>CHECK_VENDOR</t>
        </is>
      </c>
      <c r="M151" t="inlineStr">
        <is>
          <t>See CVE details</t>
        </is>
      </c>
      <c r="N151" t="inlineStr">
        <is>
          <t>P4</t>
        </is>
      </c>
      <c r="O151" t="inlineStr">
        <is>
          <t>CVE - IP enrichment n/a</t>
        </is>
      </c>
      <c r="P151" t="n">
        <v>0.0001</v>
      </c>
      <c r="Q151" t="n">
        <v>0.0229</v>
      </c>
      <c r="R151" t="inlineStr">
        <is>
          <t>T1203:Exploitation for Client Execution</t>
        </is>
      </c>
      <c r="S151" t="n">
        <v>1</v>
      </c>
      <c r="T151" t="inlineStr">
        <is>
          <t>LOW (40%)</t>
        </is>
      </c>
      <c r="U151" t="inlineStr">
        <is>
          <t>UNLIKELY</t>
        </is>
      </c>
      <c r="V151" t="inlineStr">
        <is>
          <t>CHECK_VENDOR</t>
        </is>
      </c>
      <c r="W151" t="inlineStr">
        <is>
          <t>https://nvd.nist.gov/vuln/detail/CVE-2026-2889</t>
        </is>
      </c>
      <c r="X151" t="inlineStr">
        <is>
          <t>NONE</t>
        </is>
      </c>
      <c r="Y151" t="n">
        <v>0</v>
      </c>
      <c r="Z151" t="inlineStr"/>
      <c r="AA151" t="inlineStr">
        <is>
          <t>https://nvd.nist.gov/vuln/detail/CVE-2026-2889</t>
        </is>
      </c>
    </row>
    <row r="152">
      <c r="A152" t="inlineStr">
        <is>
          <t>CVE</t>
        </is>
      </c>
      <c r="B152" t="inlineStr">
        <is>
          <t>CVE-2026-2894</t>
        </is>
      </c>
      <c r="C152"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52" t="n">
        <v>5.3</v>
      </c>
      <c r="E152" t="inlineStr">
        <is>
          <t>MEDIUM</t>
        </is>
      </c>
      <c r="F152" t="n">
        <v>2</v>
      </c>
      <c r="G152" t="n">
        <v>2</v>
      </c>
      <c r="H152" t="inlineStr">
        <is>
          <t>MEDIUM</t>
        </is>
      </c>
      <c r="I152" t="n">
        <v>9.300000000000001</v>
      </c>
      <c r="J152" t="inlineStr">
        <is>
          <t>NO</t>
        </is>
      </c>
      <c r="K152" t="inlineStr">
        <is>
          <t>2026-02-27 20:47</t>
        </is>
      </c>
      <c r="L152" t="inlineStr">
        <is>
          <t>CHECK_VENDOR</t>
        </is>
      </c>
      <c r="M152" t="inlineStr">
        <is>
          <t>funadmin funadmin * | funadmin funadmin 7.1.0</t>
        </is>
      </c>
      <c r="N152" t="inlineStr">
        <is>
          <t>P4</t>
        </is>
      </c>
      <c r="O152" t="inlineStr">
        <is>
          <t>CVE - IP enrichment n/a</t>
        </is>
      </c>
      <c r="P152" t="n">
        <v>0.0003</v>
      </c>
      <c r="Q152" t="n">
        <v>0.09329999999999999</v>
      </c>
      <c r="R152" t="inlineStr">
        <is>
          <t>T1213:Data from Information Repositories</t>
        </is>
      </c>
      <c r="S152" t="n">
        <v>1</v>
      </c>
      <c r="T152" t="inlineStr">
        <is>
          <t>LOW (40%)</t>
        </is>
      </c>
      <c r="U152" t="inlineStr">
        <is>
          <t>UNLIKELY</t>
        </is>
      </c>
      <c r="V152" t="inlineStr">
        <is>
          <t>CHECK_VENDOR</t>
        </is>
      </c>
      <c r="W152" t="inlineStr">
        <is>
          <t>https://nvd.nist.gov/vuln/detail/CVE-2026-2894</t>
        </is>
      </c>
      <c r="X152" t="inlineStr">
        <is>
          <t>NONE</t>
        </is>
      </c>
      <c r="Y152" t="n">
        <v>0</v>
      </c>
      <c r="Z152" t="inlineStr"/>
      <c r="AA152" t="inlineStr">
        <is>
          <t>https://nvd.nist.gov/vuln/detail/CVE-2026-2894</t>
        </is>
      </c>
    </row>
    <row r="153">
      <c r="A153" t="inlineStr">
        <is>
          <t>CVE</t>
        </is>
      </c>
      <c r="B153" t="inlineStr">
        <is>
          <t>CVE-2026-2895</t>
        </is>
      </c>
      <c r="C153"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53" t="n">
        <v>3.7</v>
      </c>
      <c r="E153" t="inlineStr">
        <is>
          <t>LOW</t>
        </is>
      </c>
      <c r="F153" t="n">
        <v>2</v>
      </c>
      <c r="G153" t="n">
        <v>1</v>
      </c>
      <c r="H153" t="inlineStr">
        <is>
          <t>LOW</t>
        </is>
      </c>
      <c r="I153" t="n">
        <v>5.7</v>
      </c>
      <c r="J153" t="inlineStr">
        <is>
          <t>NO</t>
        </is>
      </c>
      <c r="K153" t="inlineStr">
        <is>
          <t>2026-02-27 20:47</t>
        </is>
      </c>
      <c r="L153" t="inlineStr">
        <is>
          <t>CHECK_VENDOR</t>
        </is>
      </c>
      <c r="M153" t="inlineStr">
        <is>
          <t>funadmin funadmin * | funadmin funadmin 7.1.0</t>
        </is>
      </c>
      <c r="N153" t="inlineStr">
        <is>
          <t>P4</t>
        </is>
      </c>
      <c r="O153" t="inlineStr">
        <is>
          <t>CVE - IP enrichment n/a</t>
        </is>
      </c>
      <c r="P153" t="n">
        <v>0.0008</v>
      </c>
      <c r="Q153" t="n">
        <v>0.2414</v>
      </c>
      <c r="R153" t="inlineStr">
        <is>
          <t>T1190:Exploit Public-Facing Application</t>
        </is>
      </c>
      <c r="S153" t="n">
        <v>1</v>
      </c>
      <c r="T153" t="inlineStr">
        <is>
          <t>LOW (40%)</t>
        </is>
      </c>
      <c r="U153" t="inlineStr">
        <is>
          <t>UNLIKELY</t>
        </is>
      </c>
      <c r="V153" t="inlineStr">
        <is>
          <t>CHECK_VENDOR</t>
        </is>
      </c>
      <c r="W153" t="inlineStr">
        <is>
          <t>https://nvd.nist.gov/vuln/detail/CVE-2026-2895</t>
        </is>
      </c>
      <c r="X153" t="inlineStr">
        <is>
          <t>NONE</t>
        </is>
      </c>
      <c r="Y153" t="n">
        <v>0</v>
      </c>
      <c r="Z153" t="inlineStr"/>
      <c r="AA153" t="inlineStr">
        <is>
          <t>https://nvd.nist.gov/vuln/detail/CVE-2026-2895</t>
        </is>
      </c>
    </row>
    <row r="154">
      <c r="A154" t="inlineStr">
        <is>
          <t>CVE</t>
        </is>
      </c>
      <c r="B154" t="inlineStr">
        <is>
          <t>CVE-2026-2896</t>
        </is>
      </c>
      <c r="C154"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54" t="n">
        <v>7.3</v>
      </c>
      <c r="E154" t="inlineStr">
        <is>
          <t>HIGH</t>
        </is>
      </c>
      <c r="F154" t="n">
        <v>2</v>
      </c>
      <c r="G154" t="n">
        <v>3</v>
      </c>
      <c r="H154" t="inlineStr">
        <is>
          <t>HIGH</t>
        </is>
      </c>
      <c r="I154" t="n">
        <v>13.3</v>
      </c>
      <c r="J154" t="inlineStr">
        <is>
          <t>NO</t>
        </is>
      </c>
      <c r="K154" t="inlineStr">
        <is>
          <t>2026-02-27 20:47</t>
        </is>
      </c>
      <c r="L154" t="inlineStr">
        <is>
          <t>CHECK_VENDOR</t>
        </is>
      </c>
      <c r="M154" t="inlineStr">
        <is>
          <t>funadmin funadmin * | funadmin funadmin 7.1.0</t>
        </is>
      </c>
      <c r="N154" t="inlineStr">
        <is>
          <t>P3</t>
        </is>
      </c>
      <c r="O154" t="inlineStr">
        <is>
          <t>CVE - IP enrichment n/a</t>
        </is>
      </c>
      <c r="P154" t="n">
        <v>0.0003</v>
      </c>
      <c r="Q154" t="n">
        <v>0.07820000000000001</v>
      </c>
      <c r="R154" t="inlineStr">
        <is>
          <t>T1190:Exploit Public-Facing Application</t>
        </is>
      </c>
      <c r="S154" t="n">
        <v>1</v>
      </c>
      <c r="T154" t="inlineStr">
        <is>
          <t>LOW (40%)</t>
        </is>
      </c>
      <c r="U154" t="inlineStr">
        <is>
          <t>UNLIKELY</t>
        </is>
      </c>
      <c r="V154" t="inlineStr">
        <is>
          <t>CHECK_VENDOR</t>
        </is>
      </c>
      <c r="W154" t="inlineStr">
        <is>
          <t>https://nvd.nist.gov/vuln/detail/CVE-2026-2896</t>
        </is>
      </c>
      <c r="X154" t="inlineStr">
        <is>
          <t>NONE</t>
        </is>
      </c>
      <c r="Y154" t="n">
        <v>0</v>
      </c>
      <c r="Z154" t="inlineStr"/>
      <c r="AA154" t="inlineStr">
        <is>
          <t>https://nvd.nist.gov/vuln/detail/CVE-2026-2896</t>
        </is>
      </c>
    </row>
    <row r="155">
      <c r="A155" t="inlineStr">
        <is>
          <t>CVE</t>
        </is>
      </c>
      <c r="B155" t="inlineStr">
        <is>
          <t>CVE-2026-2897</t>
        </is>
      </c>
      <c r="C155"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55" t="n">
        <v>2.4</v>
      </c>
      <c r="E155" t="inlineStr">
        <is>
          <t>LOW</t>
        </is>
      </c>
      <c r="F155" t="n">
        <v>2</v>
      </c>
      <c r="G155" t="n">
        <v>1</v>
      </c>
      <c r="H155" t="inlineStr">
        <is>
          <t>LOW</t>
        </is>
      </c>
      <c r="I155" t="n">
        <v>4.4</v>
      </c>
      <c r="J155" t="inlineStr">
        <is>
          <t>NO</t>
        </is>
      </c>
      <c r="K155" t="inlineStr">
        <is>
          <t>2026-02-27 20:47</t>
        </is>
      </c>
      <c r="L155" t="inlineStr">
        <is>
          <t>CHECK_VENDOR</t>
        </is>
      </c>
      <c r="M155" t="inlineStr">
        <is>
          <t>funadmin funadmin * | funadmin funadmin 7.1.0</t>
        </is>
      </c>
      <c r="N155" t="inlineStr">
        <is>
          <t>P4</t>
        </is>
      </c>
      <c r="O155" t="inlineStr">
        <is>
          <t>CVE - IP enrichment n/a</t>
        </is>
      </c>
      <c r="P155" t="n">
        <v>0.0003</v>
      </c>
      <c r="Q155" t="n">
        <v>0.0683</v>
      </c>
      <c r="R155" t="inlineStr">
        <is>
          <t>T1189:Drive-by Compromise</t>
        </is>
      </c>
      <c r="S155" t="n">
        <v>1</v>
      </c>
      <c r="T155" t="inlineStr">
        <is>
          <t>LOW (40%)</t>
        </is>
      </c>
      <c r="U155" t="inlineStr">
        <is>
          <t>UNLIKELY</t>
        </is>
      </c>
      <c r="V155" t="inlineStr">
        <is>
          <t>CHECK_VENDOR</t>
        </is>
      </c>
      <c r="W155" t="inlineStr">
        <is>
          <t>https://nvd.nist.gov/vuln/detail/CVE-2026-2897</t>
        </is>
      </c>
      <c r="X155" t="inlineStr">
        <is>
          <t>NONE</t>
        </is>
      </c>
      <c r="Y155" t="n">
        <v>0</v>
      </c>
      <c r="Z155" t="inlineStr"/>
      <c r="AA155" t="inlineStr">
        <is>
          <t>https://nvd.nist.gov/vuln/detail/CVE-2026-2897</t>
        </is>
      </c>
    </row>
    <row r="156">
      <c r="A156" t="inlineStr">
        <is>
          <t>CVE</t>
        </is>
      </c>
      <c r="B156" t="inlineStr">
        <is>
          <t>CVE-2026-2898</t>
        </is>
      </c>
      <c r="C156"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56" t="n">
        <v>5.5</v>
      </c>
      <c r="E156" t="inlineStr">
        <is>
          <t>MEDIUM</t>
        </is>
      </c>
      <c r="F156" t="n">
        <v>2</v>
      </c>
      <c r="G156" t="n">
        <v>2</v>
      </c>
      <c r="H156" t="inlineStr">
        <is>
          <t>MEDIUM</t>
        </is>
      </c>
      <c r="I156" t="n">
        <v>9.5</v>
      </c>
      <c r="J156" t="inlineStr">
        <is>
          <t>NO</t>
        </is>
      </c>
      <c r="K156" t="inlineStr">
        <is>
          <t>2026-02-27 20:47</t>
        </is>
      </c>
      <c r="L156" t="inlineStr">
        <is>
          <t>CHECK_VENDOR</t>
        </is>
      </c>
      <c r="M156" t="inlineStr">
        <is>
          <t>funadmin funadmin * | funadmin funadmin 7.1.0</t>
        </is>
      </c>
      <c r="N156" t="inlineStr">
        <is>
          <t>P4</t>
        </is>
      </c>
      <c r="O156" t="inlineStr">
        <is>
          <t>CVE - IP enrichment n/a</t>
        </is>
      </c>
      <c r="P156" t="n">
        <v>0.0003</v>
      </c>
      <c r="Q156" t="n">
        <v>0.0858</v>
      </c>
      <c r="R156" t="inlineStr">
        <is>
          <t>T1059:Command and Scripting Interpreter</t>
        </is>
      </c>
      <c r="S156" t="n">
        <v>1</v>
      </c>
      <c r="T156" t="inlineStr">
        <is>
          <t>LOW (40%)</t>
        </is>
      </c>
      <c r="U156" t="inlineStr">
        <is>
          <t>UNLIKELY</t>
        </is>
      </c>
      <c r="V156" t="inlineStr">
        <is>
          <t>CHECK_VENDOR</t>
        </is>
      </c>
      <c r="W156" t="inlineStr">
        <is>
          <t>https://nvd.nist.gov/vuln/detail/CVE-2026-2898</t>
        </is>
      </c>
      <c r="X156" t="inlineStr">
        <is>
          <t>NONE</t>
        </is>
      </c>
      <c r="Y156" t="n">
        <v>0</v>
      </c>
      <c r="Z156" t="inlineStr"/>
      <c r="AA156" t="inlineStr">
        <is>
          <t>https://nvd.nist.gov/vuln/detail/CVE-2026-2898</t>
        </is>
      </c>
    </row>
    <row r="157">
      <c r="A157" t="inlineStr">
        <is>
          <t>CVE</t>
        </is>
      </c>
      <c r="B157" t="inlineStr">
        <is>
          <t>CVE-2026-2903</t>
        </is>
      </c>
      <c r="C157"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57" t="n">
        <v>3.3</v>
      </c>
      <c r="E157" t="inlineStr">
        <is>
          <t>LOW</t>
        </is>
      </c>
      <c r="F157" t="n">
        <v>2</v>
      </c>
      <c r="G157" t="n">
        <v>1</v>
      </c>
      <c r="H157" t="inlineStr">
        <is>
          <t>LOW</t>
        </is>
      </c>
      <c r="I157" t="n">
        <v>5.3</v>
      </c>
      <c r="J157" t="inlineStr">
        <is>
          <t>NO</t>
        </is>
      </c>
      <c r="K157" t="inlineStr">
        <is>
          <t>2026-02-27 20:47</t>
        </is>
      </c>
      <c r="L157" t="inlineStr">
        <is>
          <t>CHECK_VENDOR</t>
        </is>
      </c>
      <c r="M157" t="inlineStr">
        <is>
          <t>See CVE details</t>
        </is>
      </c>
      <c r="N157" t="inlineStr">
        <is>
          <t>P4</t>
        </is>
      </c>
      <c r="O157" t="inlineStr">
        <is>
          <t>CVE - IP enrichment n/a</t>
        </is>
      </c>
      <c r="P157" t="n">
        <v>0.0001</v>
      </c>
      <c r="Q157" t="n">
        <v>0.0197</v>
      </c>
      <c r="R157" t="inlineStr">
        <is>
          <t>T1190:Exploit Public-Facing Application</t>
        </is>
      </c>
      <c r="S157" t="n">
        <v>1</v>
      </c>
      <c r="T157" t="inlineStr">
        <is>
          <t>LOW (40%)</t>
        </is>
      </c>
      <c r="U157" t="inlineStr">
        <is>
          <t>UNLIKELY</t>
        </is>
      </c>
      <c r="V157" t="inlineStr">
        <is>
          <t>CHECK_VENDOR</t>
        </is>
      </c>
      <c r="W157" t="inlineStr">
        <is>
          <t>https://nvd.nist.gov/vuln/detail/CVE-2026-2903</t>
        </is>
      </c>
      <c r="X157" t="inlineStr">
        <is>
          <t>NONE</t>
        </is>
      </c>
      <c r="Y157" t="n">
        <v>0</v>
      </c>
      <c r="Z157" t="inlineStr"/>
      <c r="AA157" t="inlineStr">
        <is>
          <t>https://nvd.nist.gov/vuln/detail/CVE-2026-2903</t>
        </is>
      </c>
    </row>
    <row r="158">
      <c r="A158" t="inlineStr">
        <is>
          <t>CVE</t>
        </is>
      </c>
      <c r="B158" t="inlineStr">
        <is>
          <t>CVE-2026-2904</t>
        </is>
      </c>
      <c r="C158"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58" t="n">
        <v>8.800000000000001</v>
      </c>
      <c r="E158" t="inlineStr">
        <is>
          <t>HIGH</t>
        </is>
      </c>
      <c r="F158" t="n">
        <v>2</v>
      </c>
      <c r="G158" t="n">
        <v>3</v>
      </c>
      <c r="H158" t="inlineStr">
        <is>
          <t>HIGH</t>
        </is>
      </c>
      <c r="I158" t="n">
        <v>14.8</v>
      </c>
      <c r="J158" t="inlineStr">
        <is>
          <t>NO</t>
        </is>
      </c>
      <c r="K158" t="inlineStr">
        <is>
          <t>2026-02-27 20:47</t>
        </is>
      </c>
      <c r="L158" t="inlineStr">
        <is>
          <t>CHECK_VENDOR</t>
        </is>
      </c>
      <c r="M158" t="inlineStr">
        <is>
          <t>utt 810g 3.0 | utt 810g_firmware *</t>
        </is>
      </c>
      <c r="N158" t="inlineStr">
        <is>
          <t>P3</t>
        </is>
      </c>
      <c r="O158" t="inlineStr">
        <is>
          <t>CVE - IP enrichment n/a</t>
        </is>
      </c>
      <c r="P158" t="n">
        <v>0.0007</v>
      </c>
      <c r="Q158" t="n">
        <v>0.2164</v>
      </c>
      <c r="R158" t="inlineStr">
        <is>
          <t>T1203:Exploitation for Client Execution</t>
        </is>
      </c>
      <c r="S158" t="n">
        <v>1</v>
      </c>
      <c r="T158" t="inlineStr">
        <is>
          <t>LOW (40%)</t>
        </is>
      </c>
      <c r="U158" t="inlineStr">
        <is>
          <t>UNLIKELY</t>
        </is>
      </c>
      <c r="V158" t="inlineStr">
        <is>
          <t>CHECK_VENDOR</t>
        </is>
      </c>
      <c r="W158" t="inlineStr">
        <is>
          <t>https://nvd.nist.gov/vuln/detail/CVE-2026-2904</t>
        </is>
      </c>
      <c r="X158" t="inlineStr">
        <is>
          <t>NONE</t>
        </is>
      </c>
      <c r="Y158" t="n">
        <v>0</v>
      </c>
      <c r="Z158" t="inlineStr"/>
      <c r="AA158" t="inlineStr">
        <is>
          <t>https://nvd.nist.gov/vuln/detail/CVE-2026-2904</t>
        </is>
      </c>
    </row>
    <row r="159">
      <c r="A159" t="inlineStr">
        <is>
          <t>CVE</t>
        </is>
      </c>
      <c r="B159" t="inlineStr">
        <is>
          <t>CVE-2026-2905</t>
        </is>
      </c>
      <c r="C159"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59" t="n">
        <v>8.800000000000001</v>
      </c>
      <c r="E159" t="inlineStr">
        <is>
          <t>HIGH</t>
        </is>
      </c>
      <c r="F159" t="n">
        <v>2</v>
      </c>
      <c r="G159" t="n">
        <v>3</v>
      </c>
      <c r="H159" t="inlineStr">
        <is>
          <t>HIGH</t>
        </is>
      </c>
      <c r="I159" t="n">
        <v>14.8</v>
      </c>
      <c r="J159" t="inlineStr">
        <is>
          <t>NO</t>
        </is>
      </c>
      <c r="K159" t="inlineStr">
        <is>
          <t>2026-02-27 20:47</t>
        </is>
      </c>
      <c r="L159" t="inlineStr">
        <is>
          <t>YES</t>
        </is>
      </c>
      <c r="M159" t="inlineStr">
        <is>
          <t>tenda hg9_firmware 300001138 | tenda hg9 -</t>
        </is>
      </c>
      <c r="N159" t="inlineStr">
        <is>
          <t>P3</t>
        </is>
      </c>
      <c r="O159" t="inlineStr">
        <is>
          <t>CVE - IP enrichment n/a</t>
        </is>
      </c>
      <c r="P159" t="n">
        <v>0.0008</v>
      </c>
      <c r="Q159" t="n">
        <v>0.2371</v>
      </c>
      <c r="R159" t="inlineStr">
        <is>
          <t>T1203:Exploitation for Client Execution</t>
        </is>
      </c>
      <c r="S159" t="n">
        <v>1</v>
      </c>
      <c r="T159" t="inlineStr">
        <is>
          <t>LOW (40%)</t>
        </is>
      </c>
      <c r="U159" t="inlineStr">
        <is>
          <t>UNLIKELY</t>
        </is>
      </c>
      <c r="V159" t="inlineStr">
        <is>
          <t>PATCH_AVAILABLE</t>
        </is>
      </c>
      <c r="W159" t="inlineStr">
        <is>
          <t>https://nvd.nist.gov/vuln/detail/CVE-2026-2905</t>
        </is>
      </c>
      <c r="X159" t="inlineStr">
        <is>
          <t>NONE</t>
        </is>
      </c>
      <c r="Y159" t="n">
        <v>0</v>
      </c>
      <c r="Z159" t="inlineStr"/>
      <c r="AA159" t="inlineStr">
        <is>
          <t>https://nvd.nist.gov/vuln/detail/CVE-2026-2905</t>
        </is>
      </c>
    </row>
    <row r="160">
      <c r="A160" t="inlineStr">
        <is>
          <t>CVE</t>
        </is>
      </c>
      <c r="B160" t="inlineStr">
        <is>
          <t>CVE-2026-2906</t>
        </is>
      </c>
      <c r="C160"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60" t="n">
        <v>8.800000000000001</v>
      </c>
      <c r="E160" t="inlineStr">
        <is>
          <t>HIGH</t>
        </is>
      </c>
      <c r="F160" t="n">
        <v>2</v>
      </c>
      <c r="G160" t="n">
        <v>3</v>
      </c>
      <c r="H160" t="inlineStr">
        <is>
          <t>HIGH</t>
        </is>
      </c>
      <c r="I160" t="n">
        <v>14.8</v>
      </c>
      <c r="J160" t="inlineStr">
        <is>
          <t>NO</t>
        </is>
      </c>
      <c r="K160" t="inlineStr">
        <is>
          <t>2026-02-27 20:47</t>
        </is>
      </c>
      <c r="L160" t="inlineStr">
        <is>
          <t>YES</t>
        </is>
      </c>
      <c r="M160" t="inlineStr">
        <is>
          <t>tenda hg9_firmware 300001138 | tenda hg9 -</t>
        </is>
      </c>
      <c r="N160" t="inlineStr">
        <is>
          <t>P3</t>
        </is>
      </c>
      <c r="O160" t="inlineStr">
        <is>
          <t>CVE - IP enrichment n/a</t>
        </is>
      </c>
      <c r="P160" t="n">
        <v>0.0008</v>
      </c>
      <c r="Q160" t="n">
        <v>0.2371</v>
      </c>
      <c r="R160" t="inlineStr">
        <is>
          <t>T1203:Exploitation for Client Execution</t>
        </is>
      </c>
      <c r="S160" t="n">
        <v>1</v>
      </c>
      <c r="T160" t="inlineStr">
        <is>
          <t>LOW (40%)</t>
        </is>
      </c>
      <c r="U160" t="inlineStr">
        <is>
          <t>UNLIKELY</t>
        </is>
      </c>
      <c r="V160" t="inlineStr">
        <is>
          <t>PATCH_AVAILABLE</t>
        </is>
      </c>
      <c r="W160" t="inlineStr">
        <is>
          <t>https://nvd.nist.gov/vuln/detail/CVE-2026-2906</t>
        </is>
      </c>
      <c r="X160" t="inlineStr">
        <is>
          <t>NONE</t>
        </is>
      </c>
      <c r="Y160" t="n">
        <v>0</v>
      </c>
      <c r="Z160" t="inlineStr"/>
      <c r="AA160" t="inlineStr">
        <is>
          <t>https://nvd.nist.gov/vuln/detail/CVE-2026-2906</t>
        </is>
      </c>
    </row>
    <row r="161">
      <c r="A161" t="inlineStr">
        <is>
          <t>CVE</t>
        </is>
      </c>
      <c r="B161" t="inlineStr">
        <is>
          <t>CVE-2026-2907</t>
        </is>
      </c>
      <c r="C161"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61" t="n">
        <v>8.800000000000001</v>
      </c>
      <c r="E161" t="inlineStr">
        <is>
          <t>HIGH</t>
        </is>
      </c>
      <c r="F161" t="n">
        <v>2</v>
      </c>
      <c r="G161" t="n">
        <v>3</v>
      </c>
      <c r="H161" t="inlineStr">
        <is>
          <t>HIGH</t>
        </is>
      </c>
      <c r="I161" t="n">
        <v>14.8</v>
      </c>
      <c r="J161" t="inlineStr">
        <is>
          <t>NO</t>
        </is>
      </c>
      <c r="K161" t="inlineStr">
        <is>
          <t>2026-02-27 20:47</t>
        </is>
      </c>
      <c r="L161" t="inlineStr">
        <is>
          <t>YES</t>
        </is>
      </c>
      <c r="M161" t="inlineStr">
        <is>
          <t>tenda hg9_firmware 300001138 | tenda hg9 -</t>
        </is>
      </c>
      <c r="N161" t="inlineStr">
        <is>
          <t>P3</t>
        </is>
      </c>
      <c r="O161" t="inlineStr">
        <is>
          <t>CVE - IP enrichment n/a</t>
        </is>
      </c>
      <c r="P161" t="n">
        <v>0.0008</v>
      </c>
      <c r="Q161" t="n">
        <v>0.2371</v>
      </c>
      <c r="R161" t="inlineStr">
        <is>
          <t>T1203:Exploitation for Client Execution</t>
        </is>
      </c>
      <c r="S161" t="n">
        <v>1</v>
      </c>
      <c r="T161" t="inlineStr">
        <is>
          <t>LOW (40%)</t>
        </is>
      </c>
      <c r="U161" t="inlineStr">
        <is>
          <t>UNLIKELY</t>
        </is>
      </c>
      <c r="V161" t="inlineStr">
        <is>
          <t>PATCH_AVAILABLE</t>
        </is>
      </c>
      <c r="W161" t="inlineStr">
        <is>
          <t>https://nvd.nist.gov/vuln/detail/CVE-2026-2907</t>
        </is>
      </c>
      <c r="X161" t="inlineStr">
        <is>
          <t>NONE</t>
        </is>
      </c>
      <c r="Y161" t="n">
        <v>0</v>
      </c>
      <c r="Z161" t="inlineStr"/>
      <c r="AA161" t="inlineStr">
        <is>
          <t>https://nvd.nist.gov/vuln/detail/CVE-2026-2907</t>
        </is>
      </c>
    </row>
    <row r="162">
      <c r="A162" t="inlineStr">
        <is>
          <t>CVE</t>
        </is>
      </c>
      <c r="B162" t="inlineStr">
        <is>
          <t>CVE-2026-2908</t>
        </is>
      </c>
      <c r="C162"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62" t="n">
        <v>8.800000000000001</v>
      </c>
      <c r="E162" t="inlineStr">
        <is>
          <t>HIGH</t>
        </is>
      </c>
      <c r="F162" t="n">
        <v>2</v>
      </c>
      <c r="G162" t="n">
        <v>3</v>
      </c>
      <c r="H162" t="inlineStr">
        <is>
          <t>HIGH</t>
        </is>
      </c>
      <c r="I162" t="n">
        <v>14.8</v>
      </c>
      <c r="J162" t="inlineStr">
        <is>
          <t>NO</t>
        </is>
      </c>
      <c r="K162" t="inlineStr">
        <is>
          <t>2026-02-27 20:47</t>
        </is>
      </c>
      <c r="L162" t="inlineStr">
        <is>
          <t>YES</t>
        </is>
      </c>
      <c r="M162" t="inlineStr">
        <is>
          <t>tenda hg9_firmware 300001138 | tenda hg9 -</t>
        </is>
      </c>
      <c r="N162" t="inlineStr">
        <is>
          <t>P3</t>
        </is>
      </c>
      <c r="O162" t="inlineStr">
        <is>
          <t>CVE - IP enrichment n/a</t>
        </is>
      </c>
      <c r="P162" t="n">
        <v>0.0008</v>
      </c>
      <c r="Q162" t="n">
        <v>0.2371</v>
      </c>
      <c r="R162" t="inlineStr">
        <is>
          <t>T1203:Exploitation for Client Execution</t>
        </is>
      </c>
      <c r="S162" t="n">
        <v>1</v>
      </c>
      <c r="T162" t="inlineStr">
        <is>
          <t>LOW (40%)</t>
        </is>
      </c>
      <c r="U162" t="inlineStr">
        <is>
          <t>UNLIKELY</t>
        </is>
      </c>
      <c r="V162" t="inlineStr">
        <is>
          <t>PATCH_AVAILABLE</t>
        </is>
      </c>
      <c r="W162" t="inlineStr">
        <is>
          <t>https://nvd.nist.gov/vuln/detail/CVE-2026-2908</t>
        </is>
      </c>
      <c r="X162" t="inlineStr">
        <is>
          <t>NONE</t>
        </is>
      </c>
      <c r="Y162" t="n">
        <v>0</v>
      </c>
      <c r="Z162" t="inlineStr"/>
      <c r="AA162" t="inlineStr">
        <is>
          <t>https://nvd.nist.gov/vuln/detail/CVE-2026-2908</t>
        </is>
      </c>
    </row>
    <row r="163">
      <c r="A163" t="inlineStr">
        <is>
          <t>CVE</t>
        </is>
      </c>
      <c r="B163" t="inlineStr">
        <is>
          <t>CVE-2026-2909</t>
        </is>
      </c>
      <c r="C163"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63" t="n">
        <v>8.800000000000001</v>
      </c>
      <c r="E163" t="inlineStr">
        <is>
          <t>HIGH</t>
        </is>
      </c>
      <c r="F163" t="n">
        <v>2</v>
      </c>
      <c r="G163" t="n">
        <v>3</v>
      </c>
      <c r="H163" t="inlineStr">
        <is>
          <t>HIGH</t>
        </is>
      </c>
      <c r="I163" t="n">
        <v>14.8</v>
      </c>
      <c r="J163" t="inlineStr">
        <is>
          <t>NO</t>
        </is>
      </c>
      <c r="K163" t="inlineStr">
        <is>
          <t>2026-02-27 20:47</t>
        </is>
      </c>
      <c r="L163" t="inlineStr">
        <is>
          <t>YES</t>
        </is>
      </c>
      <c r="M163" t="inlineStr">
        <is>
          <t>tenda hg9_firmware 300001138 | tenda hg9 -</t>
        </is>
      </c>
      <c r="N163" t="inlineStr">
        <is>
          <t>P3</t>
        </is>
      </c>
      <c r="O163" t="inlineStr">
        <is>
          <t>CVE - IP enrichment n/a</t>
        </is>
      </c>
      <c r="P163" t="n">
        <v>0.0008</v>
      </c>
      <c r="Q163" t="n">
        <v>0.2371</v>
      </c>
      <c r="R163" t="inlineStr">
        <is>
          <t>T1203:Exploitation for Client Execution</t>
        </is>
      </c>
      <c r="S163" t="n">
        <v>1</v>
      </c>
      <c r="T163" t="inlineStr">
        <is>
          <t>LOW (40%)</t>
        </is>
      </c>
      <c r="U163" t="inlineStr">
        <is>
          <t>UNLIKELY</t>
        </is>
      </c>
      <c r="V163" t="inlineStr">
        <is>
          <t>PATCH_AVAILABLE</t>
        </is>
      </c>
      <c r="W163" t="inlineStr">
        <is>
          <t>https://nvd.nist.gov/vuln/detail/CVE-2026-2909</t>
        </is>
      </c>
      <c r="X163" t="inlineStr">
        <is>
          <t>NONE</t>
        </is>
      </c>
      <c r="Y163" t="n">
        <v>0</v>
      </c>
      <c r="Z163" t="inlineStr"/>
      <c r="AA163" t="inlineStr">
        <is>
          <t>https://nvd.nist.gov/vuln/detail/CVE-2026-2909</t>
        </is>
      </c>
    </row>
    <row r="164">
      <c r="A164" t="inlineStr">
        <is>
          <t>CVE</t>
        </is>
      </c>
      <c r="B164" t="inlineStr">
        <is>
          <t>CVE-2026-2910</t>
        </is>
      </c>
      <c r="C164"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64" t="n">
        <v>8.800000000000001</v>
      </c>
      <c r="E164" t="inlineStr">
        <is>
          <t>HIGH</t>
        </is>
      </c>
      <c r="F164" t="n">
        <v>2</v>
      </c>
      <c r="G164" t="n">
        <v>3</v>
      </c>
      <c r="H164" t="inlineStr">
        <is>
          <t>HIGH</t>
        </is>
      </c>
      <c r="I164" t="n">
        <v>14.8</v>
      </c>
      <c r="J164" t="inlineStr">
        <is>
          <t>NO</t>
        </is>
      </c>
      <c r="K164" t="inlineStr">
        <is>
          <t>2026-02-27 20:47</t>
        </is>
      </c>
      <c r="L164" t="inlineStr">
        <is>
          <t>YES</t>
        </is>
      </c>
      <c r="M164" t="inlineStr">
        <is>
          <t>tenda hg9_firmware 300001138 | tenda hg9 -</t>
        </is>
      </c>
      <c r="N164" t="inlineStr">
        <is>
          <t>P3</t>
        </is>
      </c>
      <c r="O164" t="inlineStr">
        <is>
          <t>CVE - IP enrichment n/a</t>
        </is>
      </c>
      <c r="P164" t="n">
        <v>0.0008</v>
      </c>
      <c r="Q164" t="n">
        <v>0.2371</v>
      </c>
      <c r="R164" t="inlineStr">
        <is>
          <t>T1203:Exploitation for Client Execution</t>
        </is>
      </c>
      <c r="S164" t="n">
        <v>1</v>
      </c>
      <c r="T164" t="inlineStr">
        <is>
          <t>LOW (40%)</t>
        </is>
      </c>
      <c r="U164" t="inlineStr">
        <is>
          <t>UNLIKELY</t>
        </is>
      </c>
      <c r="V164" t="inlineStr">
        <is>
          <t>PATCH_AVAILABLE</t>
        </is>
      </c>
      <c r="W164" t="inlineStr">
        <is>
          <t>https://nvd.nist.gov/vuln/detail/CVE-2026-2910</t>
        </is>
      </c>
      <c r="X164" t="inlineStr">
        <is>
          <t>NONE</t>
        </is>
      </c>
      <c r="Y164" t="n">
        <v>0</v>
      </c>
      <c r="Z164" t="inlineStr"/>
      <c r="AA164" t="inlineStr">
        <is>
          <t>https://nvd.nist.gov/vuln/detail/CVE-2026-2910</t>
        </is>
      </c>
    </row>
    <row r="165">
      <c r="A165" t="inlineStr">
        <is>
          <t>CVE</t>
        </is>
      </c>
      <c r="B165" t="inlineStr">
        <is>
          <t>CVE-2026-2911</t>
        </is>
      </c>
      <c r="C165"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65" t="n">
        <v>8.800000000000001</v>
      </c>
      <c r="E165" t="inlineStr">
        <is>
          <t>HIGH</t>
        </is>
      </c>
      <c r="F165" t="n">
        <v>2</v>
      </c>
      <c r="G165" t="n">
        <v>3</v>
      </c>
      <c r="H165" t="inlineStr">
        <is>
          <t>HIGH</t>
        </is>
      </c>
      <c r="I165" t="n">
        <v>14.8</v>
      </c>
      <c r="J165" t="inlineStr">
        <is>
          <t>NO</t>
        </is>
      </c>
      <c r="K165" t="inlineStr">
        <is>
          <t>2026-02-27 20:47</t>
        </is>
      </c>
      <c r="L165" t="inlineStr">
        <is>
          <t>CHECK_VENDOR</t>
        </is>
      </c>
      <c r="M165" t="inlineStr">
        <is>
          <t>tenda fh451 - | tenda fh451_firmware 1.0.0.9</t>
        </is>
      </c>
      <c r="N165" t="inlineStr">
        <is>
          <t>P3</t>
        </is>
      </c>
      <c r="O165" t="inlineStr">
        <is>
          <t>CVE - IP enrichment n/a</t>
        </is>
      </c>
      <c r="P165" t="n">
        <v>0.0008</v>
      </c>
      <c r="Q165" t="n">
        <v>0.2274</v>
      </c>
      <c r="R165" t="inlineStr">
        <is>
          <t>T1203:Exploitation for Client Execution</t>
        </is>
      </c>
      <c r="S165" t="n">
        <v>1</v>
      </c>
      <c r="T165" t="inlineStr">
        <is>
          <t>LOW (40%)</t>
        </is>
      </c>
      <c r="U165" t="inlineStr">
        <is>
          <t>UNLIKELY</t>
        </is>
      </c>
      <c r="V165" t="inlineStr">
        <is>
          <t>CHECK_VENDOR</t>
        </is>
      </c>
      <c r="W165" t="inlineStr">
        <is>
          <t>https://nvd.nist.gov/vuln/detail/CVE-2026-2911</t>
        </is>
      </c>
      <c r="X165" t="inlineStr">
        <is>
          <t>NONE</t>
        </is>
      </c>
      <c r="Y165" t="n">
        <v>0</v>
      </c>
      <c r="Z165" t="inlineStr"/>
      <c r="AA165" t="inlineStr">
        <is>
          <t>https://nvd.nist.gov/vuln/detail/CVE-2026-2911</t>
        </is>
      </c>
    </row>
    <row r="166">
      <c r="A166" t="inlineStr">
        <is>
          <t>CVE</t>
        </is>
      </c>
      <c r="B166" t="inlineStr">
        <is>
          <t>CVE-2026-2912</t>
        </is>
      </c>
      <c r="C166"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66" t="n">
        <v>7.3</v>
      </c>
      <c r="E166" t="inlineStr">
        <is>
          <t>HIGH</t>
        </is>
      </c>
      <c r="F166" t="n">
        <v>2</v>
      </c>
      <c r="G166" t="n">
        <v>3</v>
      </c>
      <c r="H166" t="inlineStr">
        <is>
          <t>HIGH</t>
        </is>
      </c>
      <c r="I166" t="n">
        <v>13.3</v>
      </c>
      <c r="J166" t="inlineStr">
        <is>
          <t>NO</t>
        </is>
      </c>
      <c r="K166" t="inlineStr">
        <is>
          <t>2026-02-27 20:47</t>
        </is>
      </c>
      <c r="L166" t="inlineStr">
        <is>
          <t>CHECK_VENDOR</t>
        </is>
      </c>
      <c r="M166" t="inlineStr">
        <is>
          <t>fabian online_reviewer_system 1.0</t>
        </is>
      </c>
      <c r="N166" t="inlineStr">
        <is>
          <t>P3</t>
        </is>
      </c>
      <c r="O166" t="inlineStr">
        <is>
          <t>CVE - IP enrichment n/a</t>
        </is>
      </c>
      <c r="P166" t="n">
        <v>0.0002</v>
      </c>
      <c r="Q166" t="n">
        <v>0.0553</v>
      </c>
      <c r="R166" t="inlineStr">
        <is>
          <t>T1190:Exploit Public-Facing Application</t>
        </is>
      </c>
      <c r="S166" t="n">
        <v>1</v>
      </c>
      <c r="T166" t="inlineStr">
        <is>
          <t>LOW (40%)</t>
        </is>
      </c>
      <c r="U166" t="inlineStr">
        <is>
          <t>UNLIKELY</t>
        </is>
      </c>
      <c r="V166" t="inlineStr">
        <is>
          <t>CHECK_VENDOR</t>
        </is>
      </c>
      <c r="W166" t="inlineStr">
        <is>
          <t>https://nvd.nist.gov/vuln/detail/CVE-2026-2912</t>
        </is>
      </c>
      <c r="X166" t="inlineStr">
        <is>
          <t>NONE</t>
        </is>
      </c>
      <c r="Y166" t="n">
        <v>0</v>
      </c>
      <c r="Z166" t="inlineStr"/>
      <c r="AA166" t="inlineStr">
        <is>
          <t>https://nvd.nist.gov/vuln/detail/CVE-2026-2912</t>
        </is>
      </c>
    </row>
    <row r="167">
      <c r="A167" t="inlineStr">
        <is>
          <t>CVE</t>
        </is>
      </c>
      <c r="B167" t="inlineStr">
        <is>
          <t>CVE-2026-2913</t>
        </is>
      </c>
      <c r="C167"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67" t="n">
        <v>2.5</v>
      </c>
      <c r="E167" t="inlineStr">
        <is>
          <t>LOW</t>
        </is>
      </c>
      <c r="F167" t="n">
        <v>2</v>
      </c>
      <c r="G167" t="n">
        <v>1</v>
      </c>
      <c r="H167" t="inlineStr">
        <is>
          <t>LOW</t>
        </is>
      </c>
      <c r="I167" t="n">
        <v>4.5</v>
      </c>
      <c r="J167" t="inlineStr">
        <is>
          <t>NO</t>
        </is>
      </c>
      <c r="K167" t="inlineStr">
        <is>
          <t>2026-02-27 20:47</t>
        </is>
      </c>
      <c r="L167" t="inlineStr">
        <is>
          <t>YES</t>
        </is>
      </c>
      <c r="M167" t="inlineStr">
        <is>
          <t>libvips libvips *</t>
        </is>
      </c>
      <c r="N167" t="inlineStr">
        <is>
          <t>P1</t>
        </is>
      </c>
      <c r="O167" t="inlineStr">
        <is>
          <t>CVE - IP enrichment n/a</t>
        </is>
      </c>
      <c r="P167" t="n">
        <v>0.0002</v>
      </c>
      <c r="Q167" t="n">
        <v>0.0526</v>
      </c>
      <c r="R167" t="inlineStr">
        <is>
          <t>T1203:Exploitation for Client Execution | T1190:Exploit Public-Facing Application</t>
        </is>
      </c>
      <c r="S167" t="n">
        <v>2</v>
      </c>
      <c r="T167" t="inlineStr">
        <is>
          <t>HIGH (72%)</t>
        </is>
      </c>
      <c r="U167" t="inlineStr">
        <is>
          <t>HIGH</t>
        </is>
      </c>
      <c r="V167" t="inlineStr">
        <is>
          <t>PATCH_AVAILABLE</t>
        </is>
      </c>
      <c r="W167" t="inlineStr">
        <is>
          <t>https://nvd.nist.gov/vuln/detail/CVE-2026-2913</t>
        </is>
      </c>
      <c r="X167" t="inlineStr">
        <is>
          <t>http://www.zerodayinitiative.com/advisories/ZDI-26-123/</t>
        </is>
      </c>
      <c r="Y167" t="n">
        <v>0</v>
      </c>
      <c r="Z167" t="inlineStr"/>
      <c r="AA167" t="inlineStr">
        <is>
          <t>https://nvd.nist.gov/vuln/detail/CVE-2026-2913</t>
        </is>
      </c>
    </row>
    <row r="168">
      <c r="A168" t="inlineStr">
        <is>
          <t>CVE</t>
        </is>
      </c>
      <c r="B168" t="inlineStr">
        <is>
          <t>CVE-2026-2925</t>
        </is>
      </c>
      <c r="C168"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68" t="n">
        <v>8.800000000000001</v>
      </c>
      <c r="E168" t="inlineStr">
        <is>
          <t>HIGH</t>
        </is>
      </c>
      <c r="F168" t="n">
        <v>2</v>
      </c>
      <c r="G168" t="n">
        <v>3</v>
      </c>
      <c r="H168" t="inlineStr">
        <is>
          <t>HIGH</t>
        </is>
      </c>
      <c r="I168" t="n">
        <v>14.8</v>
      </c>
      <c r="J168" t="inlineStr">
        <is>
          <t>NO</t>
        </is>
      </c>
      <c r="K168" t="inlineStr">
        <is>
          <t>2026-02-27 20:47</t>
        </is>
      </c>
      <c r="L168" t="inlineStr">
        <is>
          <t>CHECK_VENDOR</t>
        </is>
      </c>
      <c r="M168" t="inlineStr">
        <is>
          <t>dlink dwr-m960_firmware 1.01.07 | dlink dwr-m960 b1</t>
        </is>
      </c>
      <c r="N168" t="inlineStr">
        <is>
          <t>P3</t>
        </is>
      </c>
      <c r="O168" t="inlineStr">
        <is>
          <t>CVE - IP enrichment n/a</t>
        </is>
      </c>
      <c r="P168" t="n">
        <v>0.0003</v>
      </c>
      <c r="Q168" t="n">
        <v>0.0819</v>
      </c>
      <c r="R168" t="inlineStr">
        <is>
          <t>T1203:Exploitation for Client Execution</t>
        </is>
      </c>
      <c r="S168" t="n">
        <v>1</v>
      </c>
      <c r="T168" t="inlineStr">
        <is>
          <t>LOW (40%)</t>
        </is>
      </c>
      <c r="U168" t="inlineStr">
        <is>
          <t>UNLIKELY</t>
        </is>
      </c>
      <c r="V168" t="inlineStr">
        <is>
          <t>CHECK_VENDOR</t>
        </is>
      </c>
      <c r="W168" t="inlineStr">
        <is>
          <t>https://nvd.nist.gov/vuln/detail/CVE-2026-2925</t>
        </is>
      </c>
      <c r="X168" t="inlineStr">
        <is>
          <t>NONE</t>
        </is>
      </c>
      <c r="Y168" t="n">
        <v>0</v>
      </c>
      <c r="Z168" t="inlineStr"/>
      <c r="AA168" t="inlineStr">
        <is>
          <t>https://nvd.nist.gov/vuln/detail/CVE-2026-2925</t>
        </is>
      </c>
    </row>
    <row r="169">
      <c r="A169" t="inlineStr">
        <is>
          <t>CVE</t>
        </is>
      </c>
      <c r="B169" t="inlineStr">
        <is>
          <t>CVE-2026-2926</t>
        </is>
      </c>
      <c r="C169"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69" t="n">
        <v>8.800000000000001</v>
      </c>
      <c r="E169" t="inlineStr">
        <is>
          <t>HIGH</t>
        </is>
      </c>
      <c r="F169" t="n">
        <v>2</v>
      </c>
      <c r="G169" t="n">
        <v>3</v>
      </c>
      <c r="H169" t="inlineStr">
        <is>
          <t>HIGH</t>
        </is>
      </c>
      <c r="I169" t="n">
        <v>14.8</v>
      </c>
      <c r="J169" t="inlineStr">
        <is>
          <t>NO</t>
        </is>
      </c>
      <c r="K169" t="inlineStr">
        <is>
          <t>2026-02-27 20:47</t>
        </is>
      </c>
      <c r="L169" t="inlineStr">
        <is>
          <t>CHECK_VENDOR</t>
        </is>
      </c>
      <c r="M169" t="inlineStr">
        <is>
          <t>dlink dwr-m960_firmware 1.01.07 | dlink dwr-m960 b1</t>
        </is>
      </c>
      <c r="N169" t="inlineStr">
        <is>
          <t>P3</t>
        </is>
      </c>
      <c r="O169" t="inlineStr">
        <is>
          <t>CVE - IP enrichment n/a</t>
        </is>
      </c>
      <c r="P169" t="n">
        <v>0.0003</v>
      </c>
      <c r="Q169" t="n">
        <v>0.0819</v>
      </c>
      <c r="R169" t="inlineStr">
        <is>
          <t>T1203:Exploitation for Client Execution</t>
        </is>
      </c>
      <c r="S169" t="n">
        <v>1</v>
      </c>
      <c r="T169" t="inlineStr">
        <is>
          <t>LOW (40%)</t>
        </is>
      </c>
      <c r="U169" t="inlineStr">
        <is>
          <t>UNLIKELY</t>
        </is>
      </c>
      <c r="V169" t="inlineStr">
        <is>
          <t>CHECK_VENDOR</t>
        </is>
      </c>
      <c r="W169" t="inlineStr">
        <is>
          <t>https://nvd.nist.gov/vuln/detail/CVE-2026-2926</t>
        </is>
      </c>
      <c r="X169" t="inlineStr">
        <is>
          <t>NONE</t>
        </is>
      </c>
      <c r="Y169" t="n">
        <v>0</v>
      </c>
      <c r="Z169" t="inlineStr"/>
      <c r="AA169" t="inlineStr">
        <is>
          <t>https://nvd.nist.gov/vuln/detail/CVE-2026-2926</t>
        </is>
      </c>
    </row>
    <row r="170">
      <c r="A170" t="inlineStr">
        <is>
          <t>CVE</t>
        </is>
      </c>
      <c r="B170" t="inlineStr">
        <is>
          <t>CVE-2026-2927</t>
        </is>
      </c>
      <c r="C170"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70" t="n">
        <v>8.800000000000001</v>
      </c>
      <c r="E170" t="inlineStr">
        <is>
          <t>HIGH</t>
        </is>
      </c>
      <c r="F170" t="n">
        <v>2</v>
      </c>
      <c r="G170" t="n">
        <v>3</v>
      </c>
      <c r="H170" t="inlineStr">
        <is>
          <t>HIGH</t>
        </is>
      </c>
      <c r="I170" t="n">
        <v>14.8</v>
      </c>
      <c r="J170" t="inlineStr">
        <is>
          <t>NO</t>
        </is>
      </c>
      <c r="K170" t="inlineStr">
        <is>
          <t>2026-02-27 20:47</t>
        </is>
      </c>
      <c r="L170" t="inlineStr">
        <is>
          <t>CHECK_VENDOR</t>
        </is>
      </c>
      <c r="M170" t="inlineStr">
        <is>
          <t>dlink dwr-m960_firmware 1.01.07 | dlink dwr-m960 b1</t>
        </is>
      </c>
      <c r="N170" t="inlineStr">
        <is>
          <t>P3</t>
        </is>
      </c>
      <c r="O170" t="inlineStr">
        <is>
          <t>CVE - IP enrichment n/a</t>
        </is>
      </c>
      <c r="P170" t="n">
        <v>0.0003</v>
      </c>
      <c r="Q170" t="n">
        <v>0.0819</v>
      </c>
      <c r="R170" t="inlineStr">
        <is>
          <t>T1203:Exploitation for Client Execution</t>
        </is>
      </c>
      <c r="S170" t="n">
        <v>1</v>
      </c>
      <c r="T170" t="inlineStr">
        <is>
          <t>LOW (40%)</t>
        </is>
      </c>
      <c r="U170" t="inlineStr">
        <is>
          <t>UNLIKELY</t>
        </is>
      </c>
      <c r="V170" t="inlineStr">
        <is>
          <t>CHECK_VENDOR</t>
        </is>
      </c>
      <c r="W170" t="inlineStr">
        <is>
          <t>https://nvd.nist.gov/vuln/detail/CVE-2026-2927</t>
        </is>
      </c>
      <c r="X170" t="inlineStr">
        <is>
          <t>NONE</t>
        </is>
      </c>
      <c r="Y170" t="n">
        <v>0</v>
      </c>
      <c r="Z170" t="inlineStr"/>
      <c r="AA170" t="inlineStr">
        <is>
          <t>https://nvd.nist.gov/vuln/detail/CVE-2026-2927</t>
        </is>
      </c>
    </row>
    <row r="171">
      <c r="A171" t="inlineStr">
        <is>
          <t>CVE</t>
        </is>
      </c>
      <c r="B171" t="inlineStr">
        <is>
          <t>CVE-2026-2928</t>
        </is>
      </c>
      <c r="C171"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71" t="n">
        <v>8.800000000000001</v>
      </c>
      <c r="E171" t="inlineStr">
        <is>
          <t>HIGH</t>
        </is>
      </c>
      <c r="F171" t="n">
        <v>2</v>
      </c>
      <c r="G171" t="n">
        <v>3</v>
      </c>
      <c r="H171" t="inlineStr">
        <is>
          <t>HIGH</t>
        </is>
      </c>
      <c r="I171" t="n">
        <v>14.8</v>
      </c>
      <c r="J171" t="inlineStr">
        <is>
          <t>NO</t>
        </is>
      </c>
      <c r="K171" t="inlineStr">
        <is>
          <t>2026-02-27 20:47</t>
        </is>
      </c>
      <c r="L171" t="inlineStr">
        <is>
          <t>CHECK_VENDOR</t>
        </is>
      </c>
      <c r="M171" t="inlineStr">
        <is>
          <t>dlink dwr-m960_firmware 1.01.07 | dlink dwr-m960 b1</t>
        </is>
      </c>
      <c r="N171" t="inlineStr">
        <is>
          <t>P3</t>
        </is>
      </c>
      <c r="O171" t="inlineStr">
        <is>
          <t>CVE - IP enrichment n/a</t>
        </is>
      </c>
      <c r="P171" t="n">
        <v>0.0002</v>
      </c>
      <c r="Q171" t="n">
        <v>0.0507</v>
      </c>
      <c r="R171" t="inlineStr">
        <is>
          <t>T1203:Exploitation for Client Execution</t>
        </is>
      </c>
      <c r="S171" t="n">
        <v>1</v>
      </c>
      <c r="T171" t="inlineStr">
        <is>
          <t>LOW (40%)</t>
        </is>
      </c>
      <c r="U171" t="inlineStr">
        <is>
          <t>UNLIKELY</t>
        </is>
      </c>
      <c r="V171" t="inlineStr">
        <is>
          <t>CHECK_VENDOR</t>
        </is>
      </c>
      <c r="W171" t="inlineStr">
        <is>
          <t>https://nvd.nist.gov/vuln/detail/CVE-2026-2928</t>
        </is>
      </c>
      <c r="X171" t="inlineStr">
        <is>
          <t>NONE</t>
        </is>
      </c>
      <c r="Y171" t="n">
        <v>0</v>
      </c>
      <c r="Z171" t="inlineStr"/>
      <c r="AA171" t="inlineStr">
        <is>
          <t>https://nvd.nist.gov/vuln/detail/CVE-2026-2928</t>
        </is>
      </c>
    </row>
    <row r="172">
      <c r="A172" t="inlineStr">
        <is>
          <t>CVE</t>
        </is>
      </c>
      <c r="B172" t="inlineStr">
        <is>
          <t>CVE-2026-1369</t>
        </is>
      </c>
      <c r="C172" t="inlineStr">
        <is>
          <t>The Conditional CAPTCHA WordPress plugin through 4.0.0 does not validate a parameter before redirecting the user to its value, leading to an Open Redirect issue</t>
        </is>
      </c>
      <c r="D172" t="n">
        <v>4.3</v>
      </c>
      <c r="E172" t="inlineStr">
        <is>
          <t>MEDIUM</t>
        </is>
      </c>
      <c r="F172" t="n">
        <v>2</v>
      </c>
      <c r="G172" t="n">
        <v>2</v>
      </c>
      <c r="H172" t="inlineStr">
        <is>
          <t>MEDIUM</t>
        </is>
      </c>
      <c r="I172" t="n">
        <v>8.300000000000001</v>
      </c>
      <c r="J172" t="inlineStr">
        <is>
          <t>NO</t>
        </is>
      </c>
      <c r="K172" t="inlineStr">
        <is>
          <t>2026-02-27 20:47</t>
        </is>
      </c>
      <c r="L172" t="inlineStr">
        <is>
          <t>CHECK_VENDOR</t>
        </is>
      </c>
      <c r="M172" t="inlineStr">
        <is>
          <t>See CVE details</t>
        </is>
      </c>
      <c r="N172" t="inlineStr">
        <is>
          <t>P4</t>
        </is>
      </c>
      <c r="O172" t="inlineStr">
        <is>
          <t>CVE - IP enrichment n/a</t>
        </is>
      </c>
      <c r="P172" t="n">
        <v>0.0003</v>
      </c>
      <c r="Q172" t="n">
        <v>0.0762</v>
      </c>
      <c r="R172" t="inlineStr">
        <is>
          <t>T1189:Drive-by Compromise</t>
        </is>
      </c>
      <c r="S172" t="n">
        <v>1</v>
      </c>
      <c r="T172" t="inlineStr">
        <is>
          <t>LOW (40%)</t>
        </is>
      </c>
      <c r="U172" t="inlineStr">
        <is>
          <t>UNLIKELY</t>
        </is>
      </c>
      <c r="V172" t="inlineStr">
        <is>
          <t>CHECK_VENDOR</t>
        </is>
      </c>
      <c r="W172" t="inlineStr">
        <is>
          <t>https://nvd.nist.gov/vuln/detail/CVE-2026-1369</t>
        </is>
      </c>
      <c r="X172" t="inlineStr">
        <is>
          <t>NONE</t>
        </is>
      </c>
      <c r="Y172" t="n">
        <v>0</v>
      </c>
      <c r="Z172" t="inlineStr"/>
      <c r="AA172" t="inlineStr">
        <is>
          <t>https://nvd.nist.gov/vuln/detail/CVE-2026-1369</t>
        </is>
      </c>
    </row>
    <row r="173">
      <c r="A173" t="inlineStr">
        <is>
          <t>CVE</t>
        </is>
      </c>
      <c r="B173" t="inlineStr">
        <is>
          <t>CVE-2026-2929</t>
        </is>
      </c>
      <c r="C173"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73" t="n">
        <v>8.800000000000001</v>
      </c>
      <c r="E173" t="inlineStr">
        <is>
          <t>HIGH</t>
        </is>
      </c>
      <c r="F173" t="n">
        <v>2</v>
      </c>
      <c r="G173" t="n">
        <v>3</v>
      </c>
      <c r="H173" t="inlineStr">
        <is>
          <t>HIGH</t>
        </is>
      </c>
      <c r="I173" t="n">
        <v>14.8</v>
      </c>
      <c r="J173" t="inlineStr">
        <is>
          <t>NO</t>
        </is>
      </c>
      <c r="K173" t="inlineStr">
        <is>
          <t>2026-02-27 20:47</t>
        </is>
      </c>
      <c r="L173" t="inlineStr">
        <is>
          <t>CHECK_VENDOR</t>
        </is>
      </c>
      <c r="M173" t="inlineStr">
        <is>
          <t>dlink dwr-m960_firmware 1.01.07 | dlink dwr-m960 b1</t>
        </is>
      </c>
      <c r="N173" t="inlineStr">
        <is>
          <t>P3</t>
        </is>
      </c>
      <c r="O173" t="inlineStr">
        <is>
          <t>CVE - IP enrichment n/a</t>
        </is>
      </c>
      <c r="P173" t="n">
        <v>0.0003</v>
      </c>
      <c r="Q173" t="n">
        <v>0.0819</v>
      </c>
      <c r="R173" t="inlineStr">
        <is>
          <t>T1203:Exploitation for Client Execution</t>
        </is>
      </c>
      <c r="S173" t="n">
        <v>1</v>
      </c>
      <c r="T173" t="inlineStr">
        <is>
          <t>LOW (40%)</t>
        </is>
      </c>
      <c r="U173" t="inlineStr">
        <is>
          <t>UNLIKELY</t>
        </is>
      </c>
      <c r="V173" t="inlineStr">
        <is>
          <t>CHECK_VENDOR</t>
        </is>
      </c>
      <c r="W173" t="inlineStr">
        <is>
          <t>https://nvd.nist.gov/vuln/detail/CVE-2026-2929</t>
        </is>
      </c>
      <c r="X173" t="inlineStr">
        <is>
          <t>NONE</t>
        </is>
      </c>
      <c r="Y173" t="n">
        <v>0</v>
      </c>
      <c r="Z173" t="inlineStr"/>
      <c r="AA173" t="inlineStr">
        <is>
          <t>https://nvd.nist.gov/vuln/detail/CVE-2026-2929</t>
        </is>
      </c>
    </row>
    <row r="174">
      <c r="A174" t="inlineStr">
        <is>
          <t>CVE</t>
        </is>
      </c>
      <c r="B174" t="inlineStr">
        <is>
          <t>CVE-2026-2930</t>
        </is>
      </c>
      <c r="C174"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74" t="n">
        <v>6.3</v>
      </c>
      <c r="E174" t="inlineStr">
        <is>
          <t>MEDIUM</t>
        </is>
      </c>
      <c r="F174" t="n">
        <v>2</v>
      </c>
      <c r="G174" t="n">
        <v>2</v>
      </c>
      <c r="H174" t="inlineStr">
        <is>
          <t>MEDIUM</t>
        </is>
      </c>
      <c r="I174" t="n">
        <v>10.3</v>
      </c>
      <c r="J174" t="inlineStr">
        <is>
          <t>NO</t>
        </is>
      </c>
      <c r="K174" t="inlineStr">
        <is>
          <t>2026-02-27 20:47</t>
        </is>
      </c>
      <c r="L174" t="inlineStr">
        <is>
          <t>CHECK_VENDOR</t>
        </is>
      </c>
      <c r="M174" t="inlineStr">
        <is>
          <t>tenda a18_firmware 15.13.07.13 | tenda a18 -</t>
        </is>
      </c>
      <c r="N174" t="inlineStr">
        <is>
          <t>P4</t>
        </is>
      </c>
      <c r="O174" t="inlineStr">
        <is>
          <t>CVE - IP enrichment n/a</t>
        </is>
      </c>
      <c r="P174" t="n">
        <v>0.0005</v>
      </c>
      <c r="Q174" t="n">
        <v>0.1507</v>
      </c>
      <c r="R174" t="inlineStr">
        <is>
          <t>T1203:Exploitation for Client Execution</t>
        </is>
      </c>
      <c r="S174" t="n">
        <v>1</v>
      </c>
      <c r="T174" t="inlineStr">
        <is>
          <t>LOW (40%)</t>
        </is>
      </c>
      <c r="U174" t="inlineStr">
        <is>
          <t>UNLIKELY</t>
        </is>
      </c>
      <c r="V174" t="inlineStr">
        <is>
          <t>CHECK_VENDOR</t>
        </is>
      </c>
      <c r="W174" t="inlineStr">
        <is>
          <t>https://nvd.nist.gov/vuln/detail/CVE-2026-2930</t>
        </is>
      </c>
      <c r="X174" t="inlineStr">
        <is>
          <t>NONE</t>
        </is>
      </c>
      <c r="Y174" t="n">
        <v>0</v>
      </c>
      <c r="Z174" t="inlineStr"/>
      <c r="AA174" t="inlineStr">
        <is>
          <t>https://nvd.nist.gov/vuln/detail/CVE-2026-2930</t>
        </is>
      </c>
    </row>
    <row r="175">
      <c r="A175" t="inlineStr">
        <is>
          <t>CVE</t>
        </is>
      </c>
      <c r="B175" t="inlineStr">
        <is>
          <t>CVE-2026-2932</t>
        </is>
      </c>
      <c r="C175"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75" t="n">
        <v>2.4</v>
      </c>
      <c r="E175" t="inlineStr">
        <is>
          <t>LOW</t>
        </is>
      </c>
      <c r="F175" t="n">
        <v>2</v>
      </c>
      <c r="G175" t="n">
        <v>1</v>
      </c>
      <c r="H175" t="inlineStr">
        <is>
          <t>LOW</t>
        </is>
      </c>
      <c r="I175" t="n">
        <v>4.4</v>
      </c>
      <c r="J175" t="inlineStr">
        <is>
          <t>NO</t>
        </is>
      </c>
      <c r="K175" t="inlineStr">
        <is>
          <t>2026-02-27 20:47</t>
        </is>
      </c>
      <c r="L175" t="inlineStr">
        <is>
          <t>CHECK_VENDOR</t>
        </is>
      </c>
      <c r="M175" t="inlineStr">
        <is>
          <t>yifangcms yifang *</t>
        </is>
      </c>
      <c r="N175" t="inlineStr">
        <is>
          <t>P4</t>
        </is>
      </c>
      <c r="O175" t="inlineStr">
        <is>
          <t>CVE - IP enrichment n/a</t>
        </is>
      </c>
      <c r="P175" t="n">
        <v>0.0003</v>
      </c>
      <c r="Q175" t="n">
        <v>0.099</v>
      </c>
      <c r="R175" t="inlineStr">
        <is>
          <t>T1189:Drive-by Compromise</t>
        </is>
      </c>
      <c r="S175" t="n">
        <v>1</v>
      </c>
      <c r="T175" t="inlineStr">
        <is>
          <t>LOW (40%)</t>
        </is>
      </c>
      <c r="U175" t="inlineStr">
        <is>
          <t>UNLIKELY</t>
        </is>
      </c>
      <c r="V175" t="inlineStr">
        <is>
          <t>CHECK_VENDOR</t>
        </is>
      </c>
      <c r="W175" t="inlineStr">
        <is>
          <t>https://nvd.nist.gov/vuln/detail/CVE-2026-2932</t>
        </is>
      </c>
      <c r="X175" t="inlineStr">
        <is>
          <t>NONE</t>
        </is>
      </c>
      <c r="Y175" t="n">
        <v>0</v>
      </c>
      <c r="Z175" t="inlineStr"/>
      <c r="AA175" t="inlineStr">
        <is>
          <t>https://nvd.nist.gov/vuln/detail/CVE-2026-2932</t>
        </is>
      </c>
    </row>
    <row r="176">
      <c r="A176" t="inlineStr">
        <is>
          <t>CVE</t>
        </is>
      </c>
      <c r="B176" t="inlineStr">
        <is>
          <t>CVE-2026-2933</t>
        </is>
      </c>
      <c r="C176"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76" t="n">
        <v>2.4</v>
      </c>
      <c r="E176" t="inlineStr">
        <is>
          <t>LOW</t>
        </is>
      </c>
      <c r="F176" t="n">
        <v>2</v>
      </c>
      <c r="G176" t="n">
        <v>1</v>
      </c>
      <c r="H176" t="inlineStr">
        <is>
          <t>LOW</t>
        </is>
      </c>
      <c r="I176" t="n">
        <v>4.4</v>
      </c>
      <c r="J176" t="inlineStr">
        <is>
          <t>NO</t>
        </is>
      </c>
      <c r="K176" t="inlineStr">
        <is>
          <t>2026-02-27 20:47</t>
        </is>
      </c>
      <c r="L176" t="inlineStr">
        <is>
          <t>CHECK_VENDOR</t>
        </is>
      </c>
      <c r="M176" t="inlineStr">
        <is>
          <t>yifangcms yifang *</t>
        </is>
      </c>
      <c r="N176" t="inlineStr">
        <is>
          <t>P4</t>
        </is>
      </c>
      <c r="O176" t="inlineStr">
        <is>
          <t>CVE - IP enrichment n/a</t>
        </is>
      </c>
      <c r="P176" t="n">
        <v>0.0002</v>
      </c>
      <c r="Q176" t="n">
        <v>0.0602</v>
      </c>
      <c r="R176" t="inlineStr">
        <is>
          <t>T1189:Drive-by Compromise</t>
        </is>
      </c>
      <c r="S176" t="n">
        <v>1</v>
      </c>
      <c r="T176" t="inlineStr">
        <is>
          <t>LOW (40%)</t>
        </is>
      </c>
      <c r="U176" t="inlineStr">
        <is>
          <t>UNLIKELY</t>
        </is>
      </c>
      <c r="V176" t="inlineStr">
        <is>
          <t>CHECK_VENDOR</t>
        </is>
      </c>
      <c r="W176" t="inlineStr">
        <is>
          <t>https://nvd.nist.gov/vuln/detail/CVE-2026-2933</t>
        </is>
      </c>
      <c r="X176" t="inlineStr">
        <is>
          <t>NONE</t>
        </is>
      </c>
      <c r="Y176" t="n">
        <v>0</v>
      </c>
      <c r="Z176" t="inlineStr"/>
      <c r="AA176" t="inlineStr">
        <is>
          <t>https://nvd.nist.gov/vuln/detail/CVE-2026-2933</t>
        </is>
      </c>
    </row>
    <row r="177">
      <c r="A177" t="inlineStr">
        <is>
          <t>CVE</t>
        </is>
      </c>
      <c r="B177" t="inlineStr">
        <is>
          <t>CVE-2026-2385</t>
        </is>
      </c>
      <c r="C177"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77" t="n">
        <v>5.3</v>
      </c>
      <c r="E177" t="inlineStr">
        <is>
          <t>MEDIUM</t>
        </is>
      </c>
      <c r="F177" t="n">
        <v>2</v>
      </c>
      <c r="G177" t="n">
        <v>2</v>
      </c>
      <c r="H177" t="inlineStr">
        <is>
          <t>MEDIUM</t>
        </is>
      </c>
      <c r="I177" t="n">
        <v>9.300000000000001</v>
      </c>
      <c r="J177" t="inlineStr">
        <is>
          <t>NO</t>
        </is>
      </c>
      <c r="K177" t="inlineStr">
        <is>
          <t>2026-02-27 20:47</t>
        </is>
      </c>
      <c r="L177" t="inlineStr">
        <is>
          <t>CHECK_VENDOR</t>
        </is>
      </c>
      <c r="M177" t="inlineStr">
        <is>
          <t>See CVE details</t>
        </is>
      </c>
      <c r="N177" t="inlineStr">
        <is>
          <t>P4</t>
        </is>
      </c>
      <c r="O177" t="inlineStr">
        <is>
          <t>CVE - IP enrichment n/a</t>
        </is>
      </c>
      <c r="P177" t="n">
        <v>0.0002</v>
      </c>
      <c r="Q177" t="n">
        <v>0.0602</v>
      </c>
      <c r="R177" t="inlineStr">
        <is>
          <t>T1190:Exploit Public-Facing Application | T1600:Weaken Encryption</t>
        </is>
      </c>
      <c r="S177" t="n">
        <v>1</v>
      </c>
      <c r="T177" t="inlineStr">
        <is>
          <t>LOW (40%)</t>
        </is>
      </c>
      <c r="U177" t="inlineStr">
        <is>
          <t>UNLIKELY</t>
        </is>
      </c>
      <c r="V177" t="inlineStr">
        <is>
          <t>CHECK_VENDOR</t>
        </is>
      </c>
      <c r="W177" t="inlineStr">
        <is>
          <t>https://nvd.nist.gov/vuln/detail/CVE-2026-2385</t>
        </is>
      </c>
      <c r="X177" t="inlineStr">
        <is>
          <t>NONE</t>
        </is>
      </c>
      <c r="Y177" t="n">
        <v>0</v>
      </c>
      <c r="Z177" t="inlineStr"/>
      <c r="AA177" t="inlineStr">
        <is>
          <t>https://nvd.nist.gov/vuln/detail/CVE-2026-2385</t>
        </is>
      </c>
    </row>
    <row r="178">
      <c r="A178" t="inlineStr">
        <is>
          <t>CVE</t>
        </is>
      </c>
      <c r="B178" t="inlineStr">
        <is>
          <t>CVE-2026-2934</t>
        </is>
      </c>
      <c r="C178"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78" t="n">
        <v>2.4</v>
      </c>
      <c r="E178" t="inlineStr">
        <is>
          <t>LOW</t>
        </is>
      </c>
      <c r="F178" t="n">
        <v>2</v>
      </c>
      <c r="G178" t="n">
        <v>1</v>
      </c>
      <c r="H178" t="inlineStr">
        <is>
          <t>LOW</t>
        </is>
      </c>
      <c r="I178" t="n">
        <v>4.4</v>
      </c>
      <c r="J178" t="inlineStr">
        <is>
          <t>NO</t>
        </is>
      </c>
      <c r="K178" t="inlineStr">
        <is>
          <t>2026-02-27 20:47</t>
        </is>
      </c>
      <c r="L178" t="inlineStr">
        <is>
          <t>CHECK_VENDOR</t>
        </is>
      </c>
      <c r="M178" t="inlineStr">
        <is>
          <t>yifangcms yifang *</t>
        </is>
      </c>
      <c r="N178" t="inlineStr">
        <is>
          <t>P4</t>
        </is>
      </c>
      <c r="O178" t="inlineStr">
        <is>
          <t>CVE - IP enrichment n/a</t>
        </is>
      </c>
      <c r="P178" t="n">
        <v>0.0002</v>
      </c>
      <c r="Q178" t="n">
        <v>0.0602</v>
      </c>
      <c r="R178" t="inlineStr">
        <is>
          <t>T1189:Drive-by Compromise</t>
        </is>
      </c>
      <c r="S178" t="n">
        <v>1</v>
      </c>
      <c r="T178" t="inlineStr">
        <is>
          <t>LOW (40%)</t>
        </is>
      </c>
      <c r="U178" t="inlineStr">
        <is>
          <t>UNLIKELY</t>
        </is>
      </c>
      <c r="V178" t="inlineStr">
        <is>
          <t>CHECK_VENDOR</t>
        </is>
      </c>
      <c r="W178" t="inlineStr">
        <is>
          <t>https://nvd.nist.gov/vuln/detail/CVE-2026-2934</t>
        </is>
      </c>
      <c r="X178" t="inlineStr">
        <is>
          <t>NONE</t>
        </is>
      </c>
      <c r="Y178" t="n">
        <v>0</v>
      </c>
      <c r="Z178" t="inlineStr"/>
      <c r="AA178" t="inlineStr">
        <is>
          <t>https://nvd.nist.gov/vuln/detail/CVE-2026-2934</t>
        </is>
      </c>
    </row>
    <row r="179">
      <c r="A179" t="inlineStr">
        <is>
          <t>CVE</t>
        </is>
      </c>
      <c r="B179" t="inlineStr">
        <is>
          <t>CVE-2026-2935</t>
        </is>
      </c>
      <c r="C179"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79" t="n">
        <v>7.2</v>
      </c>
      <c r="E179" t="inlineStr">
        <is>
          <t>HIGH</t>
        </is>
      </c>
      <c r="F179" t="n">
        <v>2</v>
      </c>
      <c r="G179" t="n">
        <v>3</v>
      </c>
      <c r="H179" t="inlineStr">
        <is>
          <t>HIGH</t>
        </is>
      </c>
      <c r="I179" t="n">
        <v>13.2</v>
      </c>
      <c r="J179" t="inlineStr">
        <is>
          <t>NO</t>
        </is>
      </c>
      <c r="K179" t="inlineStr">
        <is>
          <t>2026-02-27 20:47</t>
        </is>
      </c>
      <c r="L179" t="inlineStr">
        <is>
          <t>YES</t>
        </is>
      </c>
      <c r="M179" t="inlineStr">
        <is>
          <t>utt 810g 3.0 | utt 810g_firmware *</t>
        </is>
      </c>
      <c r="N179" t="inlineStr">
        <is>
          <t>P3</t>
        </is>
      </c>
      <c r="O179" t="inlineStr">
        <is>
          <t>CVE - IP enrichment n/a</t>
        </is>
      </c>
      <c r="P179" t="n">
        <v>0.0008</v>
      </c>
      <c r="Q179" t="n">
        <v>0.2256</v>
      </c>
      <c r="R179" t="inlineStr">
        <is>
          <t>T1203:Exploitation for Client Execution</t>
        </is>
      </c>
      <c r="S179" t="n">
        <v>1</v>
      </c>
      <c r="T179" t="inlineStr">
        <is>
          <t>LOW (40%)</t>
        </is>
      </c>
      <c r="U179" t="inlineStr">
        <is>
          <t>UNLIKELY</t>
        </is>
      </c>
      <c r="V179" t="inlineStr">
        <is>
          <t>PATCH_AVAILABLE</t>
        </is>
      </c>
      <c r="W179" t="inlineStr">
        <is>
          <t>https://nvd.nist.gov/vuln/detail/CVE-2026-2935</t>
        </is>
      </c>
      <c r="X179" t="inlineStr">
        <is>
          <t>NONE</t>
        </is>
      </c>
      <c r="Y179" t="n">
        <v>0</v>
      </c>
      <c r="Z179" t="inlineStr"/>
      <c r="AA179" t="inlineStr">
        <is>
          <t>https://nvd.nist.gov/vuln/detail/CVE-2026-2935</t>
        </is>
      </c>
    </row>
    <row r="180">
      <c r="A180" t="inlineStr">
        <is>
          <t>CVE</t>
        </is>
      </c>
      <c r="B180" t="inlineStr">
        <is>
          <t>CVE-2026-2938</t>
        </is>
      </c>
      <c r="C180"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80" t="n">
        <v>7.3</v>
      </c>
      <c r="E180" t="inlineStr">
        <is>
          <t>HIGH</t>
        </is>
      </c>
      <c r="F180" t="n">
        <v>2</v>
      </c>
      <c r="G180" t="n">
        <v>3</v>
      </c>
      <c r="H180" t="inlineStr">
        <is>
          <t>HIGH</t>
        </is>
      </c>
      <c r="I180" t="n">
        <v>13.3</v>
      </c>
      <c r="J180" t="inlineStr">
        <is>
          <t>NO</t>
        </is>
      </c>
      <c r="K180" t="inlineStr">
        <is>
          <t>2026-02-27 20:47</t>
        </is>
      </c>
      <c r="L180" t="inlineStr">
        <is>
          <t>CHECK_VENDOR</t>
        </is>
      </c>
      <c r="M180" t="inlineStr">
        <is>
          <t>munyweki student_result_management_system 1.0</t>
        </is>
      </c>
      <c r="N180" t="inlineStr">
        <is>
          <t>P3</t>
        </is>
      </c>
      <c r="O180" t="inlineStr">
        <is>
          <t>CVE - IP enrichment n/a</t>
        </is>
      </c>
      <c r="P180" t="n">
        <v>0.0003</v>
      </c>
      <c r="Q180" t="n">
        <v>0.0905</v>
      </c>
      <c r="R180" t="inlineStr">
        <is>
          <t>T1190:Exploit Public-Facing Application</t>
        </is>
      </c>
      <c r="S180" t="n">
        <v>1</v>
      </c>
      <c r="T180" t="inlineStr">
        <is>
          <t>LOW (40%)</t>
        </is>
      </c>
      <c r="U180" t="inlineStr">
        <is>
          <t>UNLIKELY</t>
        </is>
      </c>
      <c r="V180" t="inlineStr">
        <is>
          <t>CHECK_VENDOR</t>
        </is>
      </c>
      <c r="W180" t="inlineStr">
        <is>
          <t>https://nvd.nist.gov/vuln/detail/CVE-2026-2938</t>
        </is>
      </c>
      <c r="X180" t="inlineStr">
        <is>
          <t>NONE</t>
        </is>
      </c>
      <c r="Y180" t="n">
        <v>0</v>
      </c>
      <c r="Z180" t="inlineStr"/>
      <c r="AA180" t="inlineStr">
        <is>
          <t>https://nvd.nist.gov/vuln/detail/CVE-2026-2938</t>
        </is>
      </c>
    </row>
    <row r="181">
      <c r="A181" t="inlineStr">
        <is>
          <t>CVE</t>
        </is>
      </c>
      <c r="B181" t="inlineStr">
        <is>
          <t>CVE-2026-2939</t>
        </is>
      </c>
      <c r="C181"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81" t="n">
        <v>2.4</v>
      </c>
      <c r="E181" t="inlineStr">
        <is>
          <t>LOW</t>
        </is>
      </c>
      <c r="F181" t="n">
        <v>2</v>
      </c>
      <c r="G181" t="n">
        <v>1</v>
      </c>
      <c r="H181" t="inlineStr">
        <is>
          <t>LOW</t>
        </is>
      </c>
      <c r="I181" t="n">
        <v>4.4</v>
      </c>
      <c r="J181" t="inlineStr">
        <is>
          <t>NO</t>
        </is>
      </c>
      <c r="K181" t="inlineStr">
        <is>
          <t>2026-02-27 20:47</t>
        </is>
      </c>
      <c r="L181" t="inlineStr">
        <is>
          <t>CHECK_VENDOR</t>
        </is>
      </c>
      <c r="M181" t="inlineStr">
        <is>
          <t>itsourcecode student_management_system 1.0</t>
        </is>
      </c>
      <c r="N181" t="inlineStr">
        <is>
          <t>P4</t>
        </is>
      </c>
      <c r="O181" t="inlineStr">
        <is>
          <t>CVE - IP enrichment n/a</t>
        </is>
      </c>
      <c r="P181" t="n">
        <v>0.0004</v>
      </c>
      <c r="Q181" t="n">
        <v>0.1114</v>
      </c>
      <c r="R181" t="inlineStr">
        <is>
          <t>T1189:Drive-by Compromise | T1190:Exploit Public-Facing Application</t>
        </is>
      </c>
      <c r="S181" t="n">
        <v>1</v>
      </c>
      <c r="T181" t="inlineStr">
        <is>
          <t>LOW (40%)</t>
        </is>
      </c>
      <c r="U181" t="inlineStr">
        <is>
          <t>UNLIKELY</t>
        </is>
      </c>
      <c r="V181" t="inlineStr">
        <is>
          <t>CHECK_VENDOR</t>
        </is>
      </c>
      <c r="W181" t="inlineStr">
        <is>
          <t>https://nvd.nist.gov/vuln/detail/CVE-2026-2939</t>
        </is>
      </c>
      <c r="X181" t="inlineStr">
        <is>
          <t>NONE</t>
        </is>
      </c>
      <c r="Y181" t="n">
        <v>0</v>
      </c>
      <c r="Z181" t="inlineStr"/>
      <c r="AA181" t="inlineStr">
        <is>
          <t>https://nvd.nist.gov/vuln/detail/CVE-2026-2939</t>
        </is>
      </c>
    </row>
    <row r="182">
      <c r="A182" t="inlineStr">
        <is>
          <t>CVE</t>
        </is>
      </c>
      <c r="B182" t="inlineStr">
        <is>
          <t>CVE-2026-2940</t>
        </is>
      </c>
      <c r="C182"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82" t="n">
        <v>7.3</v>
      </c>
      <c r="E182" t="inlineStr">
        <is>
          <t>HIGH</t>
        </is>
      </c>
      <c r="F182" t="n">
        <v>2</v>
      </c>
      <c r="G182" t="n">
        <v>3</v>
      </c>
      <c r="H182" t="inlineStr">
        <is>
          <t>HIGH</t>
        </is>
      </c>
      <c r="I182" t="n">
        <v>13.3</v>
      </c>
      <c r="J182" t="inlineStr">
        <is>
          <t>NO</t>
        </is>
      </c>
      <c r="K182" t="inlineStr">
        <is>
          <t>2026-02-27 20:47</t>
        </is>
      </c>
      <c r="L182" t="inlineStr">
        <is>
          <t>CHECK_VENDOR</t>
        </is>
      </c>
      <c r="M182" t="inlineStr">
        <is>
          <t>See CVE details</t>
        </is>
      </c>
      <c r="N182" t="inlineStr">
        <is>
          <t>P3</t>
        </is>
      </c>
      <c r="O182" t="inlineStr">
        <is>
          <t>CVE - IP enrichment n/a</t>
        </is>
      </c>
      <c r="P182" t="n">
        <v>0.0005</v>
      </c>
      <c r="Q182" t="n">
        <v>0.1425</v>
      </c>
      <c r="R182" t="inlineStr">
        <is>
          <t>T1203:Exploitation for Client Execution</t>
        </is>
      </c>
      <c r="S182" t="n">
        <v>1</v>
      </c>
      <c r="T182" t="inlineStr">
        <is>
          <t>LOW (40%)</t>
        </is>
      </c>
      <c r="U182" t="inlineStr">
        <is>
          <t>UNLIKELY</t>
        </is>
      </c>
      <c r="V182" t="inlineStr">
        <is>
          <t>CHECK_VENDOR</t>
        </is>
      </c>
      <c r="W182" t="inlineStr">
        <is>
          <t>https://nvd.nist.gov/vuln/detail/CVE-2026-2940</t>
        </is>
      </c>
      <c r="X182" t="inlineStr">
        <is>
          <t>NONE</t>
        </is>
      </c>
      <c r="Y182" t="n">
        <v>0</v>
      </c>
      <c r="Z182" t="inlineStr"/>
      <c r="AA182" t="inlineStr">
        <is>
          <t>https://nvd.nist.gov/vuln/detail/CVE-2026-2940</t>
        </is>
      </c>
    </row>
    <row r="183">
      <c r="A183" t="inlineStr">
        <is>
          <t>CVE</t>
        </is>
      </c>
      <c r="B183" t="inlineStr">
        <is>
          <t>CVE-2026-2943</t>
        </is>
      </c>
      <c r="C183"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83" t="n">
        <v>4.3</v>
      </c>
      <c r="E183" t="inlineStr">
        <is>
          <t>MEDIUM</t>
        </is>
      </c>
      <c r="F183" t="n">
        <v>2</v>
      </c>
      <c r="G183" t="n">
        <v>2</v>
      </c>
      <c r="H183" t="inlineStr">
        <is>
          <t>MEDIUM</t>
        </is>
      </c>
      <c r="I183" t="n">
        <v>8.300000000000001</v>
      </c>
      <c r="J183" t="inlineStr">
        <is>
          <t>NO</t>
        </is>
      </c>
      <c r="K183" t="inlineStr">
        <is>
          <t>2026-02-27 20:47</t>
        </is>
      </c>
      <c r="L183" t="inlineStr">
        <is>
          <t>CHECK_VENDOR</t>
        </is>
      </c>
      <c r="M183" t="inlineStr">
        <is>
          <t>See CVE details</t>
        </is>
      </c>
      <c r="N183" t="inlineStr">
        <is>
          <t>P4</t>
        </is>
      </c>
      <c r="O183" t="inlineStr">
        <is>
          <t>CVE - IP enrichment n/a</t>
        </is>
      </c>
      <c r="P183" t="n">
        <v>0.0003</v>
      </c>
      <c r="Q183" t="n">
        <v>0.0853</v>
      </c>
      <c r="R183" t="inlineStr">
        <is>
          <t>T1189:Drive-by Compromise</t>
        </is>
      </c>
      <c r="S183" t="n">
        <v>1</v>
      </c>
      <c r="T183" t="inlineStr">
        <is>
          <t>LOW (40%)</t>
        </is>
      </c>
      <c r="U183" t="inlineStr">
        <is>
          <t>UNLIKELY</t>
        </is>
      </c>
      <c r="V183" t="inlineStr">
        <is>
          <t>CHECK_VENDOR</t>
        </is>
      </c>
      <c r="W183" t="inlineStr">
        <is>
          <t>https://nvd.nist.gov/vuln/detail/CVE-2026-2943</t>
        </is>
      </c>
      <c r="X183" t="inlineStr">
        <is>
          <t>NONE</t>
        </is>
      </c>
      <c r="Y183" t="n">
        <v>0</v>
      </c>
      <c r="Z183" t="inlineStr"/>
      <c r="AA183" t="inlineStr">
        <is>
          <t>https://nvd.nist.gov/vuln/detail/CVE-2026-2943</t>
        </is>
      </c>
    </row>
    <row r="184">
      <c r="A184" t="inlineStr">
        <is>
          <t>CVE</t>
        </is>
      </c>
      <c r="B184" t="inlineStr">
        <is>
          <t>CVE-2026-2944</t>
        </is>
      </c>
      <c r="C184"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84" t="n">
        <v>7.3</v>
      </c>
      <c r="E184" t="inlineStr">
        <is>
          <t>HIGH</t>
        </is>
      </c>
      <c r="F184" t="n">
        <v>2</v>
      </c>
      <c r="G184" t="n">
        <v>3</v>
      </c>
      <c r="H184" t="inlineStr">
        <is>
          <t>HIGH</t>
        </is>
      </c>
      <c r="I184" t="n">
        <v>13.3</v>
      </c>
      <c r="J184" t="inlineStr">
        <is>
          <t>NO</t>
        </is>
      </c>
      <c r="K184" t="inlineStr">
        <is>
          <t>2026-02-27 20:47</t>
        </is>
      </c>
      <c r="L184" t="inlineStr">
        <is>
          <t>CHECK_VENDOR</t>
        </is>
      </c>
      <c r="M184" t="inlineStr">
        <is>
          <t>tosei-corporation online_store_management_system 1.01</t>
        </is>
      </c>
      <c r="N184" t="inlineStr">
        <is>
          <t>P3</t>
        </is>
      </c>
      <c r="O184" t="inlineStr">
        <is>
          <t>CVE - IP enrichment n/a</t>
        </is>
      </c>
      <c r="P184" t="n">
        <v>0.002</v>
      </c>
      <c r="Q184" t="n">
        <v>0.4213</v>
      </c>
      <c r="R184" t="inlineStr">
        <is>
          <t>T1059:Command and Scripting Interpreter</t>
        </is>
      </c>
      <c r="S184" t="n">
        <v>1</v>
      </c>
      <c r="T184" t="inlineStr">
        <is>
          <t>LOW (40%)</t>
        </is>
      </c>
      <c r="U184" t="inlineStr">
        <is>
          <t>UNLIKELY</t>
        </is>
      </c>
      <c r="V184" t="inlineStr">
        <is>
          <t>CHECK_VENDOR</t>
        </is>
      </c>
      <c r="W184" t="inlineStr">
        <is>
          <t>https://nvd.nist.gov/vuln/detail/CVE-2026-2944</t>
        </is>
      </c>
      <c r="X184" t="inlineStr">
        <is>
          <t>NONE</t>
        </is>
      </c>
      <c r="Y184" t="n">
        <v>0</v>
      </c>
      <c r="Z184" t="inlineStr"/>
      <c r="AA184" t="inlineStr">
        <is>
          <t>https://nvd.nist.gov/vuln/detail/CVE-2026-2944</t>
        </is>
      </c>
    </row>
    <row r="185">
      <c r="A185" t="inlineStr">
        <is>
          <t>CVE</t>
        </is>
      </c>
      <c r="B185" t="inlineStr">
        <is>
          <t>CVE-2026-2945</t>
        </is>
      </c>
      <c r="C185"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85" t="n">
        <v>6.3</v>
      </c>
      <c r="E185" t="inlineStr">
        <is>
          <t>MEDIUM</t>
        </is>
      </c>
      <c r="F185" t="n">
        <v>2</v>
      </c>
      <c r="G185" t="n">
        <v>2</v>
      </c>
      <c r="H185" t="inlineStr">
        <is>
          <t>MEDIUM</t>
        </is>
      </c>
      <c r="I185" t="n">
        <v>10.3</v>
      </c>
      <c r="J185" t="inlineStr">
        <is>
          <t>NO</t>
        </is>
      </c>
      <c r="K185" t="inlineStr">
        <is>
          <t>2026-02-27 20:47</t>
        </is>
      </c>
      <c r="L185" t="inlineStr">
        <is>
          <t>CHECK_VENDOR</t>
        </is>
      </c>
      <c r="M185" t="inlineStr">
        <is>
          <t>See CVE details</t>
        </is>
      </c>
      <c r="N185" t="inlineStr">
        <is>
          <t>P4</t>
        </is>
      </c>
      <c r="O185" t="inlineStr">
        <is>
          <t>CVE - IP enrichment n/a</t>
        </is>
      </c>
      <c r="P185" t="n">
        <v>0.0003</v>
      </c>
      <c r="Q185" t="n">
        <v>0.0959</v>
      </c>
      <c r="R185" t="inlineStr">
        <is>
          <t>T1090:Proxy</t>
        </is>
      </c>
      <c r="S185" t="n">
        <v>1</v>
      </c>
      <c r="T185" t="inlineStr">
        <is>
          <t>LOW (40%)</t>
        </is>
      </c>
      <c r="U185" t="inlineStr">
        <is>
          <t>UNLIKELY</t>
        </is>
      </c>
      <c r="V185" t="inlineStr">
        <is>
          <t>CHECK_VENDOR</t>
        </is>
      </c>
      <c r="W185" t="inlineStr">
        <is>
          <t>https://nvd.nist.gov/vuln/detail/CVE-2026-2945</t>
        </is>
      </c>
      <c r="X185" t="inlineStr">
        <is>
          <t>NONE</t>
        </is>
      </c>
      <c r="Y185" t="n">
        <v>0</v>
      </c>
      <c r="Z185" t="inlineStr"/>
      <c r="AA185" t="inlineStr">
        <is>
          <t>https://nvd.nist.gov/vuln/detail/CVE-2026-2945</t>
        </is>
      </c>
    </row>
    <row r="186">
      <c r="A186" t="inlineStr">
        <is>
          <t>CVE</t>
        </is>
      </c>
      <c r="B186" t="inlineStr">
        <is>
          <t>CVE-2026-2946</t>
        </is>
      </c>
      <c r="C186"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86" t="n">
        <v>3.5</v>
      </c>
      <c r="E186" t="inlineStr">
        <is>
          <t>LOW</t>
        </is>
      </c>
      <c r="F186" t="n">
        <v>2</v>
      </c>
      <c r="G186" t="n">
        <v>1</v>
      </c>
      <c r="H186" t="inlineStr">
        <is>
          <t>LOW</t>
        </is>
      </c>
      <c r="I186" t="n">
        <v>5.5</v>
      </c>
      <c r="J186" t="inlineStr">
        <is>
          <t>NO</t>
        </is>
      </c>
      <c r="K186" t="inlineStr">
        <is>
          <t>2026-02-27 20:47</t>
        </is>
      </c>
      <c r="L186" t="inlineStr">
        <is>
          <t>CHECK_VENDOR</t>
        </is>
      </c>
      <c r="M186" t="inlineStr">
        <is>
          <t>rymcu forest *</t>
        </is>
      </c>
      <c r="N186" t="inlineStr">
        <is>
          <t>P4</t>
        </is>
      </c>
      <c r="O186" t="inlineStr">
        <is>
          <t>CVE - IP enrichment n/a</t>
        </is>
      </c>
      <c r="P186" t="n">
        <v>0.0003</v>
      </c>
      <c r="Q186" t="n">
        <v>0.07140000000000001</v>
      </c>
      <c r="R186" t="inlineStr">
        <is>
          <t>T1189:Drive-by Compromise</t>
        </is>
      </c>
      <c r="S186" t="n">
        <v>1</v>
      </c>
      <c r="T186" t="inlineStr">
        <is>
          <t>LOW (40%)</t>
        </is>
      </c>
      <c r="U186" t="inlineStr">
        <is>
          <t>UNLIKELY</t>
        </is>
      </c>
      <c r="V186" t="inlineStr">
        <is>
          <t>CHECK_VENDOR</t>
        </is>
      </c>
      <c r="W186" t="inlineStr">
        <is>
          <t>https://nvd.nist.gov/vuln/detail/CVE-2026-2946</t>
        </is>
      </c>
      <c r="X186" t="inlineStr">
        <is>
          <t>NONE</t>
        </is>
      </c>
      <c r="Y186" t="n">
        <v>0</v>
      </c>
      <c r="Z186" t="inlineStr"/>
      <c r="AA186" t="inlineStr">
        <is>
          <t>https://nvd.nist.gov/vuln/detail/CVE-2026-2946</t>
        </is>
      </c>
    </row>
    <row r="187">
      <c r="A187" t="inlineStr">
        <is>
          <t>CVE</t>
        </is>
      </c>
      <c r="B187" t="inlineStr">
        <is>
          <t>CVE-2019-25366</t>
        </is>
      </c>
      <c r="C187"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87" t="n">
        <v>8.199999999999999</v>
      </c>
      <c r="E187" t="inlineStr">
        <is>
          <t>HIGH</t>
        </is>
      </c>
      <c r="F187" t="n">
        <v>2</v>
      </c>
      <c r="G187" t="n">
        <v>3</v>
      </c>
      <c r="H187" t="inlineStr">
        <is>
          <t>HIGH</t>
        </is>
      </c>
      <c r="I187" t="n">
        <v>14.2</v>
      </c>
      <c r="J187" t="inlineStr">
        <is>
          <t>NO</t>
        </is>
      </c>
      <c r="K187" t="inlineStr">
        <is>
          <t>2026-02-27 20:47</t>
        </is>
      </c>
      <c r="L187" t="inlineStr">
        <is>
          <t>CHECK_VENDOR</t>
        </is>
      </c>
      <c r="M187" t="inlineStr">
        <is>
          <t>See CVE details</t>
        </is>
      </c>
      <c r="N187" t="inlineStr">
        <is>
          <t>P3</t>
        </is>
      </c>
      <c r="O187" t="inlineStr">
        <is>
          <t>CVE - IP enrichment n/a</t>
        </is>
      </c>
      <c r="P187" t="n">
        <v>0.0002</v>
      </c>
      <c r="Q187" t="n">
        <v>0.0605</v>
      </c>
      <c r="R187" t="inlineStr">
        <is>
          <t>T1190:Exploit Public-Facing Application</t>
        </is>
      </c>
      <c r="S187" t="n">
        <v>1</v>
      </c>
      <c r="T187" t="inlineStr">
        <is>
          <t>LOW (40%)</t>
        </is>
      </c>
      <c r="U187" t="inlineStr">
        <is>
          <t>UNLIKELY</t>
        </is>
      </c>
      <c r="V187" t="inlineStr">
        <is>
          <t>CHECK_VENDOR</t>
        </is>
      </c>
      <c r="W187" t="inlineStr">
        <is>
          <t>https://nvd.nist.gov/vuln/detail/CVE-2019-25366</t>
        </is>
      </c>
      <c r="X187" t="inlineStr">
        <is>
          <t>NONE</t>
        </is>
      </c>
      <c r="Y187" t="n">
        <v>0</v>
      </c>
      <c r="Z187" t="inlineStr"/>
      <c r="AA187" t="inlineStr">
        <is>
          <t>https://nvd.nist.gov/vuln/detail/CVE-2019-25366</t>
        </is>
      </c>
    </row>
    <row r="188">
      <c r="A188" t="inlineStr">
        <is>
          <t>CVE</t>
        </is>
      </c>
      <c r="B188" t="inlineStr">
        <is>
          <t>CVE-2019-25391</t>
        </is>
      </c>
      <c r="C188"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88" t="n">
        <v>8.199999999999999</v>
      </c>
      <c r="E188" t="inlineStr">
        <is>
          <t>HIGH</t>
        </is>
      </c>
      <c r="F188" t="n">
        <v>2</v>
      </c>
      <c r="G188" t="n">
        <v>3</v>
      </c>
      <c r="H188" t="inlineStr">
        <is>
          <t>HIGH</t>
        </is>
      </c>
      <c r="I188" t="n">
        <v>14.2</v>
      </c>
      <c r="J188" t="inlineStr">
        <is>
          <t>NO</t>
        </is>
      </c>
      <c r="K188" t="inlineStr">
        <is>
          <t>2026-02-27 20:47</t>
        </is>
      </c>
      <c r="L188" t="inlineStr">
        <is>
          <t>CHECK_VENDOR</t>
        </is>
      </c>
      <c r="M188" t="inlineStr">
        <is>
          <t>See CVE details</t>
        </is>
      </c>
      <c r="N188" t="inlineStr">
        <is>
          <t>P3</t>
        </is>
      </c>
      <c r="O188" t="inlineStr">
        <is>
          <t>CVE - IP enrichment n/a</t>
        </is>
      </c>
      <c r="P188" t="n">
        <v>0.0003</v>
      </c>
      <c r="Q188" t="n">
        <v>0.1019</v>
      </c>
      <c r="R188" t="inlineStr">
        <is>
          <t>T1190:Exploit Public-Facing Application</t>
        </is>
      </c>
      <c r="S188" t="n">
        <v>1</v>
      </c>
      <c r="T188" t="inlineStr">
        <is>
          <t>LOW (40%)</t>
        </is>
      </c>
      <c r="U188" t="inlineStr">
        <is>
          <t>UNLIKELY</t>
        </is>
      </c>
      <c r="V188" t="inlineStr">
        <is>
          <t>CHECK_VENDOR</t>
        </is>
      </c>
      <c r="W188" t="inlineStr">
        <is>
          <t>https://nvd.nist.gov/vuln/detail/CVE-2019-25391</t>
        </is>
      </c>
      <c r="X188" t="inlineStr">
        <is>
          <t>NONE</t>
        </is>
      </c>
      <c r="Y188" t="n">
        <v>0</v>
      </c>
      <c r="Z188" t="inlineStr"/>
      <c r="AA188" t="inlineStr">
        <is>
          <t>https://nvd.nist.gov/vuln/detail/CVE-2019-25391</t>
        </is>
      </c>
    </row>
    <row r="189">
      <c r="A189" t="inlineStr">
        <is>
          <t>CVE</t>
        </is>
      </c>
      <c r="B189" t="inlineStr">
        <is>
          <t>CVE-2019-25433</t>
        </is>
      </c>
      <c r="C189"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89" t="n">
        <v>8.199999999999999</v>
      </c>
      <c r="E189" t="inlineStr">
        <is>
          <t>HIGH</t>
        </is>
      </c>
      <c r="F189" t="n">
        <v>2</v>
      </c>
      <c r="G189" t="n">
        <v>3</v>
      </c>
      <c r="H189" t="inlineStr">
        <is>
          <t>HIGH</t>
        </is>
      </c>
      <c r="I189" t="n">
        <v>14.2</v>
      </c>
      <c r="J189" t="inlineStr">
        <is>
          <t>NO</t>
        </is>
      </c>
      <c r="K189" t="inlineStr">
        <is>
          <t>2026-02-27 20:47</t>
        </is>
      </c>
      <c r="L189" t="inlineStr">
        <is>
          <t>CHECK_VENDOR</t>
        </is>
      </c>
      <c r="M189" t="inlineStr">
        <is>
          <t>See CVE details</t>
        </is>
      </c>
      <c r="N189" t="inlineStr">
        <is>
          <t>P3</t>
        </is>
      </c>
      <c r="O189" t="inlineStr">
        <is>
          <t>CVE - IP enrichment n/a</t>
        </is>
      </c>
      <c r="P189" t="n">
        <v>0.0005999999999999999</v>
      </c>
      <c r="Q189" t="n">
        <v>0.2015</v>
      </c>
      <c r="R189" t="inlineStr">
        <is>
          <t>T1190:Exploit Public-Facing Application</t>
        </is>
      </c>
      <c r="S189" t="n">
        <v>1</v>
      </c>
      <c r="T189" t="inlineStr">
        <is>
          <t>LOW (40%)</t>
        </is>
      </c>
      <c r="U189" t="inlineStr">
        <is>
          <t>UNLIKELY</t>
        </is>
      </c>
      <c r="V189" t="inlineStr">
        <is>
          <t>CHECK_VENDOR</t>
        </is>
      </c>
      <c r="W189" t="inlineStr">
        <is>
          <t>https://nvd.nist.gov/vuln/detail/CVE-2019-25433</t>
        </is>
      </c>
      <c r="X189" t="inlineStr">
        <is>
          <t>NONE</t>
        </is>
      </c>
      <c r="Y189" t="n">
        <v>0</v>
      </c>
      <c r="Z189" t="inlineStr"/>
      <c r="AA189" t="inlineStr">
        <is>
          <t>https://nvd.nist.gov/vuln/detail/CVE-2019-25433</t>
        </is>
      </c>
    </row>
    <row r="190">
      <c r="A190" t="inlineStr">
        <is>
          <t>CVE</t>
        </is>
      </c>
      <c r="B190" t="inlineStr">
        <is>
          <t>CVE-2019-25439</t>
        </is>
      </c>
      <c r="C190"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90" t="n">
        <v>8.199999999999999</v>
      </c>
      <c r="E190" t="inlineStr">
        <is>
          <t>HIGH</t>
        </is>
      </c>
      <c r="F190" t="n">
        <v>2</v>
      </c>
      <c r="G190" t="n">
        <v>3</v>
      </c>
      <c r="H190" t="inlineStr">
        <is>
          <t>HIGH</t>
        </is>
      </c>
      <c r="I190" t="n">
        <v>14.2</v>
      </c>
      <c r="J190" t="inlineStr">
        <is>
          <t>NO</t>
        </is>
      </c>
      <c r="K190" t="inlineStr">
        <is>
          <t>2026-02-27 20:47</t>
        </is>
      </c>
      <c r="L190" t="inlineStr">
        <is>
          <t>CHECK_VENDOR</t>
        </is>
      </c>
      <c r="M190" t="inlineStr">
        <is>
          <t>See CVE details</t>
        </is>
      </c>
      <c r="N190" t="inlineStr">
        <is>
          <t>P3</t>
        </is>
      </c>
      <c r="O190" t="inlineStr">
        <is>
          <t>CVE - IP enrichment n/a</t>
        </is>
      </c>
      <c r="P190" t="n">
        <v>0.0004</v>
      </c>
      <c r="Q190" t="n">
        <v>0.1371</v>
      </c>
      <c r="R190" t="inlineStr">
        <is>
          <t>T1190:Exploit Public-Facing Application | T1499:Endpoint Denial of Service</t>
        </is>
      </c>
      <c r="S190" t="n">
        <v>1</v>
      </c>
      <c r="T190" t="inlineStr">
        <is>
          <t>LOW (40%)</t>
        </is>
      </c>
      <c r="U190" t="inlineStr">
        <is>
          <t>UNLIKELY</t>
        </is>
      </c>
      <c r="V190" t="inlineStr">
        <is>
          <t>CHECK_VENDOR</t>
        </is>
      </c>
      <c r="W190" t="inlineStr">
        <is>
          <t>https://nvd.nist.gov/vuln/detail/CVE-2019-25439</t>
        </is>
      </c>
      <c r="X190" t="inlineStr">
        <is>
          <t>NONE</t>
        </is>
      </c>
      <c r="Y190" t="n">
        <v>0</v>
      </c>
      <c r="Z190" t="inlineStr"/>
      <c r="AA190" t="inlineStr">
        <is>
          <t>https://nvd.nist.gov/vuln/detail/CVE-2019-25439</t>
        </is>
      </c>
    </row>
    <row r="191">
      <c r="A191" t="inlineStr">
        <is>
          <t>CVE</t>
        </is>
      </c>
      <c r="B191" t="inlineStr">
        <is>
          <t>CVE-2019-25440</t>
        </is>
      </c>
      <c r="C191"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91" t="n">
        <v>8.199999999999999</v>
      </c>
      <c r="E191" t="inlineStr">
        <is>
          <t>HIGH</t>
        </is>
      </c>
      <c r="F191" t="n">
        <v>2</v>
      </c>
      <c r="G191" t="n">
        <v>3</v>
      </c>
      <c r="H191" t="inlineStr">
        <is>
          <t>HIGH</t>
        </is>
      </c>
      <c r="I191" t="n">
        <v>14.2</v>
      </c>
      <c r="J191" t="inlineStr">
        <is>
          <t>NO</t>
        </is>
      </c>
      <c r="K191" t="inlineStr">
        <is>
          <t>2026-02-27 20:47</t>
        </is>
      </c>
      <c r="L191" t="inlineStr">
        <is>
          <t>CHECK_VENDOR</t>
        </is>
      </c>
      <c r="M191" t="inlineStr">
        <is>
          <t>See CVE details</t>
        </is>
      </c>
      <c r="N191" t="inlineStr">
        <is>
          <t>P3</t>
        </is>
      </c>
      <c r="O191" t="inlineStr">
        <is>
          <t>CVE - IP enrichment n/a</t>
        </is>
      </c>
      <c r="P191" t="n">
        <v>0.0007</v>
      </c>
      <c r="Q191" t="n">
        <v>0.205</v>
      </c>
      <c r="R191" t="inlineStr">
        <is>
          <t>T1190:Exploit Public-Facing Application</t>
        </is>
      </c>
      <c r="S191" t="n">
        <v>1</v>
      </c>
      <c r="T191" t="inlineStr">
        <is>
          <t>LOW (40%)</t>
        </is>
      </c>
      <c r="U191" t="inlineStr">
        <is>
          <t>UNLIKELY</t>
        </is>
      </c>
      <c r="V191" t="inlineStr">
        <is>
          <t>CHECK_VENDOR</t>
        </is>
      </c>
      <c r="W191" t="inlineStr">
        <is>
          <t>https://nvd.nist.gov/vuln/detail/CVE-2019-25440</t>
        </is>
      </c>
      <c r="X191" t="inlineStr">
        <is>
          <t>NONE</t>
        </is>
      </c>
      <c r="Y191" t="n">
        <v>0</v>
      </c>
      <c r="Z191" t="inlineStr"/>
      <c r="AA191" t="inlineStr">
        <is>
          <t>https://nvd.nist.gov/vuln/detail/CVE-2019-25440</t>
        </is>
      </c>
    </row>
    <row r="192">
      <c r="A192" t="inlineStr">
        <is>
          <t>CVE</t>
        </is>
      </c>
      <c r="B192" t="inlineStr">
        <is>
          <t>CVE-2019-25442</t>
        </is>
      </c>
      <c r="C192"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92" t="n">
        <v>8.199999999999999</v>
      </c>
      <c r="E192" t="inlineStr">
        <is>
          <t>HIGH</t>
        </is>
      </c>
      <c r="F192" t="n">
        <v>2</v>
      </c>
      <c r="G192" t="n">
        <v>3</v>
      </c>
      <c r="H192" t="inlineStr">
        <is>
          <t>HIGH</t>
        </is>
      </c>
      <c r="I192" t="n">
        <v>14.2</v>
      </c>
      <c r="J192" t="inlineStr">
        <is>
          <t>NO</t>
        </is>
      </c>
      <c r="K192" t="inlineStr">
        <is>
          <t>2026-02-27 20:47</t>
        </is>
      </c>
      <c r="L192" t="inlineStr">
        <is>
          <t>CHECK_VENDOR</t>
        </is>
      </c>
      <c r="M192" t="inlineStr">
        <is>
          <t>webwiz web_wiz_forums 12.01</t>
        </is>
      </c>
      <c r="N192" t="inlineStr">
        <is>
          <t>P3</t>
        </is>
      </c>
      <c r="O192" t="inlineStr">
        <is>
          <t>CVE - IP enrichment n/a</t>
        </is>
      </c>
      <c r="P192" t="n">
        <v>0.0005999999999999999</v>
      </c>
      <c r="Q192" t="n">
        <v>0.1832</v>
      </c>
      <c r="R192" t="inlineStr">
        <is>
          <t>T1190:Exploit Public-Facing Application</t>
        </is>
      </c>
      <c r="S192" t="n">
        <v>1</v>
      </c>
      <c r="T192" t="inlineStr">
        <is>
          <t>LOW (40%)</t>
        </is>
      </c>
      <c r="U192" t="inlineStr">
        <is>
          <t>UNLIKELY</t>
        </is>
      </c>
      <c r="V192" t="inlineStr">
        <is>
          <t>CHECK_VENDOR</t>
        </is>
      </c>
      <c r="W192" t="inlineStr">
        <is>
          <t>https://nvd.nist.gov/vuln/detail/CVE-2019-25442</t>
        </is>
      </c>
      <c r="X192" t="inlineStr">
        <is>
          <t>NONE</t>
        </is>
      </c>
      <c r="Y192" t="n">
        <v>0</v>
      </c>
      <c r="Z192" t="inlineStr"/>
      <c r="AA192" t="inlineStr">
        <is>
          <t>https://nvd.nist.gov/vuln/detail/CVE-2019-25442</t>
        </is>
      </c>
    </row>
    <row r="193">
      <c r="A193" t="inlineStr">
        <is>
          <t>CVE</t>
        </is>
      </c>
      <c r="B193" t="inlineStr">
        <is>
          <t>CVE-2019-25443</t>
        </is>
      </c>
      <c r="C193"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93" t="n">
        <v>8.199999999999999</v>
      </c>
      <c r="E193" t="inlineStr">
        <is>
          <t>HIGH</t>
        </is>
      </c>
      <c r="F193" t="n">
        <v>2</v>
      </c>
      <c r="G193" t="n">
        <v>3</v>
      </c>
      <c r="H193" t="inlineStr">
        <is>
          <t>HIGH</t>
        </is>
      </c>
      <c r="I193" t="n">
        <v>14.2</v>
      </c>
      <c r="J193" t="inlineStr">
        <is>
          <t>NO</t>
        </is>
      </c>
      <c r="K193" t="inlineStr">
        <is>
          <t>2026-02-27 20:47</t>
        </is>
      </c>
      <c r="L193" t="inlineStr">
        <is>
          <t>CHECK_VENDOR</t>
        </is>
      </c>
      <c r="M193" t="inlineStr">
        <is>
          <t>See CVE details</t>
        </is>
      </c>
      <c r="N193" t="inlineStr">
        <is>
          <t>P3</t>
        </is>
      </c>
      <c r="O193" t="inlineStr">
        <is>
          <t>CVE - IP enrichment n/a</t>
        </is>
      </c>
      <c r="P193" t="n">
        <v>0.0007</v>
      </c>
      <c r="Q193" t="n">
        <v>0.205</v>
      </c>
      <c r="R193" t="inlineStr">
        <is>
          <t>T1190:Exploit Public-Facing Application</t>
        </is>
      </c>
      <c r="S193" t="n">
        <v>1</v>
      </c>
      <c r="T193" t="inlineStr">
        <is>
          <t>LOW (40%)</t>
        </is>
      </c>
      <c r="U193" t="inlineStr">
        <is>
          <t>UNLIKELY</t>
        </is>
      </c>
      <c r="V193" t="inlineStr">
        <is>
          <t>CHECK_VENDOR</t>
        </is>
      </c>
      <c r="W193" t="inlineStr">
        <is>
          <t>https://nvd.nist.gov/vuln/detail/CVE-2019-25443</t>
        </is>
      </c>
      <c r="X193" t="inlineStr">
        <is>
          <t>NONE</t>
        </is>
      </c>
      <c r="Y193" t="n">
        <v>0</v>
      </c>
      <c r="Z193" t="inlineStr"/>
      <c r="AA193" t="inlineStr">
        <is>
          <t>https://nvd.nist.gov/vuln/detail/CVE-2019-25443</t>
        </is>
      </c>
    </row>
    <row r="194">
      <c r="A194" t="inlineStr">
        <is>
          <t>CVE</t>
        </is>
      </c>
      <c r="B194" t="inlineStr">
        <is>
          <t>CVE-2019-25446</t>
        </is>
      </c>
      <c r="C194"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94" t="n">
        <v>8.199999999999999</v>
      </c>
      <c r="E194" t="inlineStr">
        <is>
          <t>HIGH</t>
        </is>
      </c>
      <c r="F194" t="n">
        <v>2</v>
      </c>
      <c r="G194" t="n">
        <v>3</v>
      </c>
      <c r="H194" t="inlineStr">
        <is>
          <t>HIGH</t>
        </is>
      </c>
      <c r="I194" t="n">
        <v>14.2</v>
      </c>
      <c r="J194" t="inlineStr">
        <is>
          <t>NO</t>
        </is>
      </c>
      <c r="K194" t="inlineStr">
        <is>
          <t>2026-02-27 20:47</t>
        </is>
      </c>
      <c r="L194" t="inlineStr">
        <is>
          <t>CHECK_VENDOR</t>
        </is>
      </c>
      <c r="M194" t="inlineStr">
        <is>
          <t>See CVE details</t>
        </is>
      </c>
      <c r="N194" t="inlineStr">
        <is>
          <t>P3</t>
        </is>
      </c>
      <c r="O194" t="inlineStr">
        <is>
          <t>CVE - IP enrichment n/a</t>
        </is>
      </c>
      <c r="P194" t="n">
        <v>0.0005999999999999999</v>
      </c>
      <c r="Q194" t="n">
        <v>0.192</v>
      </c>
      <c r="R194" t="inlineStr">
        <is>
          <t>T1190:Exploit Public-Facing Application</t>
        </is>
      </c>
      <c r="S194" t="n">
        <v>1</v>
      </c>
      <c r="T194" t="inlineStr">
        <is>
          <t>LOW (40%)</t>
        </is>
      </c>
      <c r="U194" t="inlineStr">
        <is>
          <t>UNLIKELY</t>
        </is>
      </c>
      <c r="V194" t="inlineStr">
        <is>
          <t>CHECK_VENDOR</t>
        </is>
      </c>
      <c r="W194" t="inlineStr">
        <is>
          <t>https://nvd.nist.gov/vuln/detail/CVE-2019-25446</t>
        </is>
      </c>
      <c r="X194" t="inlineStr">
        <is>
          <t>NONE</t>
        </is>
      </c>
      <c r="Y194" t="n">
        <v>0</v>
      </c>
      <c r="Z194" t="inlineStr"/>
      <c r="AA194" t="inlineStr">
        <is>
          <t>https://nvd.nist.gov/vuln/detail/CVE-2019-25446</t>
        </is>
      </c>
    </row>
    <row r="195">
      <c r="A195" t="inlineStr">
        <is>
          <t>CVE</t>
        </is>
      </c>
      <c r="B195" t="inlineStr">
        <is>
          <t>CVE-2019-25450</t>
        </is>
      </c>
      <c r="C195"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95" t="n">
        <v>7.1</v>
      </c>
      <c r="E195" t="inlineStr">
        <is>
          <t>HIGH</t>
        </is>
      </c>
      <c r="F195" t="n">
        <v>2</v>
      </c>
      <c r="G195" t="n">
        <v>3</v>
      </c>
      <c r="H195" t="inlineStr">
        <is>
          <t>HIGH</t>
        </is>
      </c>
      <c r="I195" t="n">
        <v>13.1</v>
      </c>
      <c r="J195" t="inlineStr">
        <is>
          <t>NO</t>
        </is>
      </c>
      <c r="K195" t="inlineStr">
        <is>
          <t>2026-02-27 20:47</t>
        </is>
      </c>
      <c r="L195" t="inlineStr">
        <is>
          <t>CHECK_VENDOR</t>
        </is>
      </c>
      <c r="M195" t="inlineStr">
        <is>
          <t>dolibarr dolibarr_erp\/crm 10.0.1</t>
        </is>
      </c>
      <c r="N195" t="inlineStr">
        <is>
          <t>P3</t>
        </is>
      </c>
      <c r="O195" t="inlineStr">
        <is>
          <t>CVE - IP enrichment n/a</t>
        </is>
      </c>
      <c r="P195" t="n">
        <v>0.0004</v>
      </c>
      <c r="Q195" t="n">
        <v>0.1048</v>
      </c>
      <c r="R195" t="inlineStr">
        <is>
          <t>T1190:Exploit Public-Facing Application</t>
        </is>
      </c>
      <c r="S195" t="n">
        <v>1</v>
      </c>
      <c r="T195" t="inlineStr">
        <is>
          <t>LOW (40%)</t>
        </is>
      </c>
      <c r="U195" t="inlineStr">
        <is>
          <t>UNLIKELY</t>
        </is>
      </c>
      <c r="V195" t="inlineStr">
        <is>
          <t>CHECK_VENDOR</t>
        </is>
      </c>
      <c r="W195" t="inlineStr">
        <is>
          <t>https://nvd.nist.gov/vuln/detail/CVE-2019-25450</t>
        </is>
      </c>
      <c r="X195" t="inlineStr">
        <is>
          <t>NONE</t>
        </is>
      </c>
      <c r="Y195" t="n">
        <v>0</v>
      </c>
      <c r="Z195" t="inlineStr"/>
      <c r="AA195" t="inlineStr">
        <is>
          <t>https://nvd.nist.gov/vuln/detail/CVE-2019-25450</t>
        </is>
      </c>
    </row>
    <row r="196">
      <c r="A196" t="inlineStr">
        <is>
          <t>CVE</t>
        </is>
      </c>
      <c r="B196" t="inlineStr">
        <is>
          <t>CVE-2019-25452</t>
        </is>
      </c>
      <c r="C196"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96" t="n">
        <v>8.199999999999999</v>
      </c>
      <c r="E196" t="inlineStr">
        <is>
          <t>HIGH</t>
        </is>
      </c>
      <c r="F196" t="n">
        <v>2</v>
      </c>
      <c r="G196" t="n">
        <v>3</v>
      </c>
      <c r="H196" t="inlineStr">
        <is>
          <t>HIGH</t>
        </is>
      </c>
      <c r="I196" t="n">
        <v>14.2</v>
      </c>
      <c r="J196" t="inlineStr">
        <is>
          <t>NO</t>
        </is>
      </c>
      <c r="K196" t="inlineStr">
        <is>
          <t>2026-02-27 20:47</t>
        </is>
      </c>
      <c r="L196" t="inlineStr">
        <is>
          <t>CHECK_VENDOR</t>
        </is>
      </c>
      <c r="M196" t="inlineStr">
        <is>
          <t>dolibarr dolibarr_erp\/crm 10.0.1</t>
        </is>
      </c>
      <c r="N196" t="inlineStr">
        <is>
          <t>P3</t>
        </is>
      </c>
      <c r="O196" t="inlineStr">
        <is>
          <t>CVE - IP enrichment n/a</t>
        </is>
      </c>
      <c r="P196" t="n">
        <v>0.0008</v>
      </c>
      <c r="Q196" t="n">
        <v>0.2277</v>
      </c>
      <c r="R196" t="inlineStr">
        <is>
          <t>T1190:Exploit Public-Facing Application</t>
        </is>
      </c>
      <c r="S196" t="n">
        <v>1</v>
      </c>
      <c r="T196" t="inlineStr">
        <is>
          <t>LOW (40%)</t>
        </is>
      </c>
      <c r="U196" t="inlineStr">
        <is>
          <t>UNLIKELY</t>
        </is>
      </c>
      <c r="V196" t="inlineStr">
        <is>
          <t>CHECK_VENDOR</t>
        </is>
      </c>
      <c r="W196" t="inlineStr">
        <is>
          <t>https://nvd.nist.gov/vuln/detail/CVE-2019-25452</t>
        </is>
      </c>
      <c r="X196" t="inlineStr">
        <is>
          <t>NONE</t>
        </is>
      </c>
      <c r="Y196" t="n">
        <v>0</v>
      </c>
      <c r="Z196" t="inlineStr"/>
      <c r="AA196" t="inlineStr">
        <is>
          <t>https://nvd.nist.gov/vuln/detail/CVE-2019-25452</t>
        </is>
      </c>
    </row>
    <row r="197">
      <c r="A197" t="inlineStr">
        <is>
          <t>CVE</t>
        </is>
      </c>
      <c r="B197" t="inlineStr">
        <is>
          <t>CVE-2026-2947</t>
        </is>
      </c>
      <c r="C197"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97" t="n">
        <v>3.5</v>
      </c>
      <c r="E197" t="inlineStr">
        <is>
          <t>LOW</t>
        </is>
      </c>
      <c r="F197" t="n">
        <v>2</v>
      </c>
      <c r="G197" t="n">
        <v>1</v>
      </c>
      <c r="H197" t="inlineStr">
        <is>
          <t>LOW</t>
        </is>
      </c>
      <c r="I197" t="n">
        <v>5.5</v>
      </c>
      <c r="J197" t="inlineStr">
        <is>
          <t>NO</t>
        </is>
      </c>
      <c r="K197" t="inlineStr">
        <is>
          <t>2026-02-27 20:47</t>
        </is>
      </c>
      <c r="L197" t="inlineStr">
        <is>
          <t>CHECK_VENDOR</t>
        </is>
      </c>
      <c r="M197" t="inlineStr">
        <is>
          <t>rymcu forest *</t>
        </is>
      </c>
      <c r="N197" t="inlineStr">
        <is>
          <t>P4</t>
        </is>
      </c>
      <c r="O197" t="inlineStr">
        <is>
          <t>CVE - IP enrichment n/a</t>
        </is>
      </c>
      <c r="P197" t="n">
        <v>0.0003</v>
      </c>
      <c r="Q197" t="n">
        <v>0.0873</v>
      </c>
      <c r="R197" t="inlineStr">
        <is>
          <t>T1189:Drive-by Compromise</t>
        </is>
      </c>
      <c r="S197" t="n">
        <v>1</v>
      </c>
      <c r="T197" t="inlineStr">
        <is>
          <t>LOW (40%)</t>
        </is>
      </c>
      <c r="U197" t="inlineStr">
        <is>
          <t>UNLIKELY</t>
        </is>
      </c>
      <c r="V197" t="inlineStr">
        <is>
          <t>CHECK_VENDOR</t>
        </is>
      </c>
      <c r="W197" t="inlineStr">
        <is>
          <t>https://nvd.nist.gov/vuln/detail/CVE-2026-2947</t>
        </is>
      </c>
      <c r="X197" t="inlineStr">
        <is>
          <t>NONE</t>
        </is>
      </c>
      <c r="Y197" t="n">
        <v>0</v>
      </c>
      <c r="Z197" t="inlineStr"/>
      <c r="AA197" t="inlineStr">
        <is>
          <t>https://nvd.nist.gov/vuln/detail/CVE-2026-2947</t>
        </is>
      </c>
    </row>
    <row r="198">
      <c r="A198" t="inlineStr">
        <is>
          <t>CVE</t>
        </is>
      </c>
      <c r="B198" t="inlineStr">
        <is>
          <t>CVE-2026-2952</t>
        </is>
      </c>
      <c r="C198"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98" t="n">
        <v>7.3</v>
      </c>
      <c r="E198" t="inlineStr">
        <is>
          <t>HIGH</t>
        </is>
      </c>
      <c r="F198" t="n">
        <v>2</v>
      </c>
      <c r="G198" t="n">
        <v>3</v>
      </c>
      <c r="H198" t="inlineStr">
        <is>
          <t>HIGH</t>
        </is>
      </c>
      <c r="I198" t="n">
        <v>13.3</v>
      </c>
      <c r="J198" t="inlineStr">
        <is>
          <t>NO</t>
        </is>
      </c>
      <c r="K198" t="inlineStr">
        <is>
          <t>2026-02-27 20:47</t>
        </is>
      </c>
      <c r="L198" t="inlineStr">
        <is>
          <t>CHECK_VENDOR</t>
        </is>
      </c>
      <c r="M198" t="inlineStr">
        <is>
          <t>vaelsys vaelsys 4.1.0</t>
        </is>
      </c>
      <c r="N198" t="inlineStr">
        <is>
          <t>P3</t>
        </is>
      </c>
      <c r="O198" t="inlineStr">
        <is>
          <t>CVE - IP enrichment n/a</t>
        </is>
      </c>
      <c r="P198" t="n">
        <v>0.002</v>
      </c>
      <c r="Q198" t="n">
        <v>0.4213</v>
      </c>
      <c r="R198" t="inlineStr">
        <is>
          <t>T1059:Command and Scripting Interpreter</t>
        </is>
      </c>
      <c r="S198" t="n">
        <v>1</v>
      </c>
      <c r="T198" t="inlineStr">
        <is>
          <t>LOW (40%)</t>
        </is>
      </c>
      <c r="U198" t="inlineStr">
        <is>
          <t>UNLIKELY</t>
        </is>
      </c>
      <c r="V198" t="inlineStr">
        <is>
          <t>CHECK_VENDOR</t>
        </is>
      </c>
      <c r="W198" t="inlineStr">
        <is>
          <t>https://nvd.nist.gov/vuln/detail/CVE-2026-2952</t>
        </is>
      </c>
      <c r="X198" t="inlineStr">
        <is>
          <t>NONE</t>
        </is>
      </c>
      <c r="Y198" t="n">
        <v>0</v>
      </c>
      <c r="Z198" t="inlineStr"/>
      <c r="AA198" t="inlineStr">
        <is>
          <t>https://nvd.nist.gov/vuln/detail/CVE-2026-2952</t>
        </is>
      </c>
    </row>
    <row r="199">
      <c r="A199" t="inlineStr">
        <is>
          <t>CVE</t>
        </is>
      </c>
      <c r="B199" t="inlineStr">
        <is>
          <t>CVE-2026-2953</t>
        </is>
      </c>
      <c r="C199"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99" t="n">
        <v>5.4</v>
      </c>
      <c r="E199" t="inlineStr">
        <is>
          <t>MEDIUM</t>
        </is>
      </c>
      <c r="F199" t="n">
        <v>2</v>
      </c>
      <c r="G199" t="n">
        <v>2</v>
      </c>
      <c r="H199" t="inlineStr">
        <is>
          <t>MEDIUM</t>
        </is>
      </c>
      <c r="I199" t="n">
        <v>9.4</v>
      </c>
      <c r="J199" t="inlineStr">
        <is>
          <t>NO</t>
        </is>
      </c>
      <c r="K199" t="inlineStr">
        <is>
          <t>2026-02-27 20:47</t>
        </is>
      </c>
      <c r="L199" t="inlineStr">
        <is>
          <t>CHECK_VENDOR</t>
        </is>
      </c>
      <c r="M199" t="inlineStr">
        <is>
          <t>ujcms ujcms 10.1.2</t>
        </is>
      </c>
      <c r="N199" t="inlineStr">
        <is>
          <t>P4</t>
        </is>
      </c>
      <c r="O199" t="inlineStr">
        <is>
          <t>CVE - IP enrichment n/a</t>
        </is>
      </c>
      <c r="P199" t="n">
        <v>0.0014</v>
      </c>
      <c r="Q199" t="n">
        <v>0.3418</v>
      </c>
      <c r="R199" t="inlineStr">
        <is>
          <t>T1083:File and Directory Discovery</t>
        </is>
      </c>
      <c r="S199" t="n">
        <v>1</v>
      </c>
      <c r="T199" t="inlineStr">
        <is>
          <t>LOW (40%)</t>
        </is>
      </c>
      <c r="U199" t="inlineStr">
        <is>
          <t>UNLIKELY</t>
        </is>
      </c>
      <c r="V199" t="inlineStr">
        <is>
          <t>CHECK_VENDOR</t>
        </is>
      </c>
      <c r="W199" t="inlineStr">
        <is>
          <t>https://nvd.nist.gov/vuln/detail/CVE-2026-2953</t>
        </is>
      </c>
      <c r="X199" t="inlineStr">
        <is>
          <t>NONE</t>
        </is>
      </c>
      <c r="Y199" t="n">
        <v>0</v>
      </c>
      <c r="Z199" t="inlineStr"/>
      <c r="AA199" t="inlineStr">
        <is>
          <t>https://nvd.nist.gov/vuln/detail/CVE-2026-2953</t>
        </is>
      </c>
    </row>
    <row r="200">
      <c r="A200" t="inlineStr">
        <is>
          <t>CVE</t>
        </is>
      </c>
      <c r="B200" t="inlineStr">
        <is>
          <t>CVE-2019-25455</t>
        </is>
      </c>
      <c r="C200"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200" t="n">
        <v>8.199999999999999</v>
      </c>
      <c r="E200" t="inlineStr">
        <is>
          <t>HIGH</t>
        </is>
      </c>
      <c r="F200" t="n">
        <v>2</v>
      </c>
      <c r="G200" t="n">
        <v>3</v>
      </c>
      <c r="H200" t="inlineStr">
        <is>
          <t>HIGH</t>
        </is>
      </c>
      <c r="I200" t="n">
        <v>14.2</v>
      </c>
      <c r="J200" t="inlineStr">
        <is>
          <t>NO</t>
        </is>
      </c>
      <c r="K200" t="inlineStr">
        <is>
          <t>2026-02-27 20:47</t>
        </is>
      </c>
      <c r="L200" t="inlineStr">
        <is>
          <t>CHECK_VENDOR</t>
        </is>
      </c>
      <c r="M200" t="inlineStr">
        <is>
          <t>web-ofisi e-ticaret 3.0.0</t>
        </is>
      </c>
      <c r="N200" t="inlineStr">
        <is>
          <t>P3</t>
        </is>
      </c>
      <c r="O200" t="inlineStr">
        <is>
          <t>CVE - IP enrichment n/a</t>
        </is>
      </c>
      <c r="P200" t="n">
        <v>0.0009</v>
      </c>
      <c r="Q200" t="n">
        <v>0.2489</v>
      </c>
      <c r="R200" t="inlineStr">
        <is>
          <t>T1190:Exploit Public-Facing Application</t>
        </is>
      </c>
      <c r="S200" t="n">
        <v>1</v>
      </c>
      <c r="T200" t="inlineStr">
        <is>
          <t>LOW (40%)</t>
        </is>
      </c>
      <c r="U200" t="inlineStr">
        <is>
          <t>UNLIKELY</t>
        </is>
      </c>
      <c r="V200" t="inlineStr">
        <is>
          <t>CHECK_VENDOR</t>
        </is>
      </c>
      <c r="W200" t="inlineStr">
        <is>
          <t>https://nvd.nist.gov/vuln/detail/CVE-2019-25455</t>
        </is>
      </c>
      <c r="X200" t="inlineStr">
        <is>
          <t>NONE</t>
        </is>
      </c>
      <c r="Y200" t="n">
        <v>0</v>
      </c>
      <c r="Z200" t="inlineStr"/>
      <c r="AA200" t="inlineStr">
        <is>
          <t>https://nvd.nist.gov/vuln/detail/CVE-2019-25455</t>
        </is>
      </c>
    </row>
    <row r="201">
      <c r="A201" t="inlineStr">
        <is>
          <t>CVE</t>
        </is>
      </c>
      <c r="B201" t="inlineStr">
        <is>
          <t>CVE-2019-25456</t>
        </is>
      </c>
      <c r="C201"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201" t="n">
        <v>8.199999999999999</v>
      </c>
      <c r="E201" t="inlineStr">
        <is>
          <t>HIGH</t>
        </is>
      </c>
      <c r="F201" t="n">
        <v>2</v>
      </c>
      <c r="G201" t="n">
        <v>3</v>
      </c>
      <c r="H201" t="inlineStr">
        <is>
          <t>HIGH</t>
        </is>
      </c>
      <c r="I201" t="n">
        <v>14.2</v>
      </c>
      <c r="J201" t="inlineStr">
        <is>
          <t>NO</t>
        </is>
      </c>
      <c r="K201" t="inlineStr">
        <is>
          <t>2026-02-27 20:47</t>
        </is>
      </c>
      <c r="L201" t="inlineStr">
        <is>
          <t>CHECK_VENDOR</t>
        </is>
      </c>
      <c r="M201" t="inlineStr">
        <is>
          <t>web-ofisi emlak 2.0.0</t>
        </is>
      </c>
      <c r="N201" t="inlineStr">
        <is>
          <t>P3</t>
        </is>
      </c>
      <c r="O201" t="inlineStr">
        <is>
          <t>CVE - IP enrichment n/a</t>
        </is>
      </c>
      <c r="P201" t="n">
        <v>0.0011</v>
      </c>
      <c r="Q201" t="n">
        <v>0.2934</v>
      </c>
      <c r="R201" t="inlineStr">
        <is>
          <t>T1190:Exploit Public-Facing Application | T1499:Endpoint Denial of Service</t>
        </is>
      </c>
      <c r="S201" t="n">
        <v>1</v>
      </c>
      <c r="T201" t="inlineStr">
        <is>
          <t>LOW (40%)</t>
        </is>
      </c>
      <c r="U201" t="inlineStr">
        <is>
          <t>UNLIKELY</t>
        </is>
      </c>
      <c r="V201" t="inlineStr">
        <is>
          <t>CHECK_VENDOR</t>
        </is>
      </c>
      <c r="W201" t="inlineStr">
        <is>
          <t>https://nvd.nist.gov/vuln/detail/CVE-2019-25456</t>
        </is>
      </c>
      <c r="X201" t="inlineStr">
        <is>
          <t>NONE</t>
        </is>
      </c>
      <c r="Y201" t="n">
        <v>0</v>
      </c>
      <c r="Z201" t="inlineStr"/>
      <c r="AA201" t="inlineStr">
        <is>
          <t>https://nvd.nist.gov/vuln/detail/CVE-2019-25456</t>
        </is>
      </c>
    </row>
    <row r="202">
      <c r="A202" t="inlineStr">
        <is>
          <t>CVE</t>
        </is>
      </c>
      <c r="B202" t="inlineStr">
        <is>
          <t>CVE-2019-25457</t>
        </is>
      </c>
      <c r="C202"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202" t="n">
        <v>8.199999999999999</v>
      </c>
      <c r="E202" t="inlineStr">
        <is>
          <t>HIGH</t>
        </is>
      </c>
      <c r="F202" t="n">
        <v>2</v>
      </c>
      <c r="G202" t="n">
        <v>3</v>
      </c>
      <c r="H202" t="inlineStr">
        <is>
          <t>HIGH</t>
        </is>
      </c>
      <c r="I202" t="n">
        <v>14.2</v>
      </c>
      <c r="J202" t="inlineStr">
        <is>
          <t>NO</t>
        </is>
      </c>
      <c r="K202" t="inlineStr">
        <is>
          <t>2026-02-27 20:47</t>
        </is>
      </c>
      <c r="L202" t="inlineStr">
        <is>
          <t>CHECK_VENDOR</t>
        </is>
      </c>
      <c r="M202" t="inlineStr">
        <is>
          <t>web-ofisi firma 13.0.0</t>
        </is>
      </c>
      <c r="N202" t="inlineStr">
        <is>
          <t>P3</t>
        </is>
      </c>
      <c r="O202" t="inlineStr">
        <is>
          <t>CVE - IP enrichment n/a</t>
        </is>
      </c>
      <c r="P202" t="n">
        <v>0.0009</v>
      </c>
      <c r="Q202" t="n">
        <v>0.2489</v>
      </c>
      <c r="R202" t="inlineStr">
        <is>
          <t>T1190:Exploit Public-Facing Application</t>
        </is>
      </c>
      <c r="S202" t="n">
        <v>1</v>
      </c>
      <c r="T202" t="inlineStr">
        <is>
          <t>LOW (40%)</t>
        </is>
      </c>
      <c r="U202" t="inlineStr">
        <is>
          <t>UNLIKELY</t>
        </is>
      </c>
      <c r="V202" t="inlineStr">
        <is>
          <t>CHECK_VENDOR</t>
        </is>
      </c>
      <c r="W202" t="inlineStr">
        <is>
          <t>https://nvd.nist.gov/vuln/detail/CVE-2019-25457</t>
        </is>
      </c>
      <c r="X202" t="inlineStr">
        <is>
          <t>NONE</t>
        </is>
      </c>
      <c r="Y202" t="n">
        <v>0</v>
      </c>
      <c r="Z202" t="inlineStr"/>
      <c r="AA202" t="inlineStr">
        <is>
          <t>https://nvd.nist.gov/vuln/detail/CVE-2019-25457</t>
        </is>
      </c>
    </row>
    <row r="203">
      <c r="A203" t="inlineStr">
        <is>
          <t>CVE</t>
        </is>
      </c>
      <c r="B203" t="inlineStr">
        <is>
          <t>CVE-2019-25458</t>
        </is>
      </c>
      <c r="C203"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203" t="n">
        <v>8.199999999999999</v>
      </c>
      <c r="E203" t="inlineStr">
        <is>
          <t>HIGH</t>
        </is>
      </c>
      <c r="F203" t="n">
        <v>2</v>
      </c>
      <c r="G203" t="n">
        <v>3</v>
      </c>
      <c r="H203" t="inlineStr">
        <is>
          <t>HIGH</t>
        </is>
      </c>
      <c r="I203" t="n">
        <v>14.2</v>
      </c>
      <c r="J203" t="inlineStr">
        <is>
          <t>NO</t>
        </is>
      </c>
      <c r="K203" t="inlineStr">
        <is>
          <t>2026-02-27 20:47</t>
        </is>
      </c>
      <c r="L203" t="inlineStr">
        <is>
          <t>CHECK_VENDOR</t>
        </is>
      </c>
      <c r="M203" t="inlineStr">
        <is>
          <t>web-ofisi firma_rehberi 1.0.0</t>
        </is>
      </c>
      <c r="N203" t="inlineStr">
        <is>
          <t>P3</t>
        </is>
      </c>
      <c r="O203" t="inlineStr">
        <is>
          <t>CVE - IP enrichment n/a</t>
        </is>
      </c>
      <c r="P203" t="n">
        <v>0.0012</v>
      </c>
      <c r="Q203" t="n">
        <v>0.306</v>
      </c>
      <c r="R203" t="inlineStr">
        <is>
          <t>T1190:Exploit Public-Facing Application</t>
        </is>
      </c>
      <c r="S203" t="n">
        <v>1</v>
      </c>
      <c r="T203" t="inlineStr">
        <is>
          <t>LOW (40%)</t>
        </is>
      </c>
      <c r="U203" t="inlineStr">
        <is>
          <t>UNLIKELY</t>
        </is>
      </c>
      <c r="V203" t="inlineStr">
        <is>
          <t>CHECK_VENDOR</t>
        </is>
      </c>
      <c r="W203" t="inlineStr">
        <is>
          <t>https://nvd.nist.gov/vuln/detail/CVE-2019-25458</t>
        </is>
      </c>
      <c r="X203" t="inlineStr">
        <is>
          <t>NONE</t>
        </is>
      </c>
      <c r="Y203" t="n">
        <v>0</v>
      </c>
      <c r="Z203" t="inlineStr"/>
      <c r="AA203" t="inlineStr">
        <is>
          <t>https://nvd.nist.gov/vuln/detail/CVE-2019-25458</t>
        </is>
      </c>
    </row>
    <row r="204">
      <c r="A204" t="inlineStr">
        <is>
          <t>CVE</t>
        </is>
      </c>
      <c r="B204" t="inlineStr">
        <is>
          <t>CVE-2019-25459</t>
        </is>
      </c>
      <c r="C204"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204" t="n">
        <v>8.199999999999999</v>
      </c>
      <c r="E204" t="inlineStr">
        <is>
          <t>HIGH</t>
        </is>
      </c>
      <c r="F204" t="n">
        <v>2</v>
      </c>
      <c r="G204" t="n">
        <v>3</v>
      </c>
      <c r="H204" t="inlineStr">
        <is>
          <t>HIGH</t>
        </is>
      </c>
      <c r="I204" t="n">
        <v>14.2</v>
      </c>
      <c r="J204" t="inlineStr">
        <is>
          <t>NO</t>
        </is>
      </c>
      <c r="K204" t="inlineStr">
        <is>
          <t>2026-02-27 20:47</t>
        </is>
      </c>
      <c r="L204" t="inlineStr">
        <is>
          <t>CHECK_VENDOR</t>
        </is>
      </c>
      <c r="M204" t="inlineStr">
        <is>
          <t>web-ofisi emlak 2.0.0</t>
        </is>
      </c>
      <c r="N204" t="inlineStr">
        <is>
          <t>P3</t>
        </is>
      </c>
      <c r="O204" t="inlineStr">
        <is>
          <t>CVE - IP enrichment n/a</t>
        </is>
      </c>
      <c r="P204" t="n">
        <v>0.001</v>
      </c>
      <c r="Q204" t="n">
        <v>0.2786</v>
      </c>
      <c r="R204" t="inlineStr">
        <is>
          <t>T1190:Exploit Public-Facing Application</t>
        </is>
      </c>
      <c r="S204" t="n">
        <v>1</v>
      </c>
      <c r="T204" t="inlineStr">
        <is>
          <t>LOW (40%)</t>
        </is>
      </c>
      <c r="U204" t="inlineStr">
        <is>
          <t>UNLIKELY</t>
        </is>
      </c>
      <c r="V204" t="inlineStr">
        <is>
          <t>CHECK_VENDOR</t>
        </is>
      </c>
      <c r="W204" t="inlineStr">
        <is>
          <t>https://nvd.nist.gov/vuln/detail/CVE-2019-25459</t>
        </is>
      </c>
      <c r="X204" t="inlineStr">
        <is>
          <t>NONE</t>
        </is>
      </c>
      <c r="Y204" t="n">
        <v>0</v>
      </c>
      <c r="Z204" t="inlineStr"/>
      <c r="AA204" t="inlineStr">
        <is>
          <t>https://nvd.nist.gov/vuln/detail/CVE-2019-25459</t>
        </is>
      </c>
    </row>
    <row r="205">
      <c r="A205" t="inlineStr">
        <is>
          <t>CVE</t>
        </is>
      </c>
      <c r="B205" t="inlineStr">
        <is>
          <t>CVE-2019-25460</t>
        </is>
      </c>
      <c r="C205"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205" t="n">
        <v>8.199999999999999</v>
      </c>
      <c r="E205" t="inlineStr">
        <is>
          <t>HIGH</t>
        </is>
      </c>
      <c r="F205" t="n">
        <v>2</v>
      </c>
      <c r="G205" t="n">
        <v>3</v>
      </c>
      <c r="H205" t="inlineStr">
        <is>
          <t>HIGH</t>
        </is>
      </c>
      <c r="I205" t="n">
        <v>14.2</v>
      </c>
      <c r="J205" t="inlineStr">
        <is>
          <t>NO</t>
        </is>
      </c>
      <c r="K205" t="inlineStr">
        <is>
          <t>2026-02-27 20:47</t>
        </is>
      </c>
      <c r="L205" t="inlineStr">
        <is>
          <t>CHECK_VENDOR</t>
        </is>
      </c>
      <c r="M205" t="inlineStr">
        <is>
          <t>web-ofisi platinum_e-ticaret 5.0.0</t>
        </is>
      </c>
      <c r="N205" t="inlineStr">
        <is>
          <t>P3</t>
        </is>
      </c>
      <c r="O205" t="inlineStr">
        <is>
          <t>CVE - IP enrichment n/a</t>
        </is>
      </c>
      <c r="P205" t="n">
        <v>0.0005999999999999999</v>
      </c>
      <c r="Q205" t="n">
        <v>0.1928</v>
      </c>
      <c r="R205" t="inlineStr">
        <is>
          <t>T1190:Exploit Public-Facing Application</t>
        </is>
      </c>
      <c r="S205" t="n">
        <v>1</v>
      </c>
      <c r="T205" t="inlineStr">
        <is>
          <t>LOW (40%)</t>
        </is>
      </c>
      <c r="U205" t="inlineStr">
        <is>
          <t>UNLIKELY</t>
        </is>
      </c>
      <c r="V205" t="inlineStr">
        <is>
          <t>CHECK_VENDOR</t>
        </is>
      </c>
      <c r="W205" t="inlineStr">
        <is>
          <t>https://nvd.nist.gov/vuln/detail/CVE-2019-25460</t>
        </is>
      </c>
      <c r="X205" t="inlineStr">
        <is>
          <t>NONE</t>
        </is>
      </c>
      <c r="Y205" t="n">
        <v>0</v>
      </c>
      <c r="Z205" t="inlineStr"/>
      <c r="AA205" t="inlineStr">
        <is>
          <t>https://nvd.nist.gov/vuln/detail/CVE-2019-25460</t>
        </is>
      </c>
    </row>
    <row r="206">
      <c r="A206" t="inlineStr">
        <is>
          <t>CVE</t>
        </is>
      </c>
      <c r="B206" t="inlineStr">
        <is>
          <t>CVE-2019-25461</t>
        </is>
      </c>
      <c r="C206"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206" t="n">
        <v>8.199999999999999</v>
      </c>
      <c r="E206" t="inlineStr">
        <is>
          <t>HIGH</t>
        </is>
      </c>
      <c r="F206" t="n">
        <v>2</v>
      </c>
      <c r="G206" t="n">
        <v>3</v>
      </c>
      <c r="H206" t="inlineStr">
        <is>
          <t>HIGH</t>
        </is>
      </c>
      <c r="I206" t="n">
        <v>14.2</v>
      </c>
      <c r="J206" t="inlineStr">
        <is>
          <t>NO</t>
        </is>
      </c>
      <c r="K206" t="inlineStr">
        <is>
          <t>2026-02-27 20:47</t>
        </is>
      </c>
      <c r="L206" t="inlineStr">
        <is>
          <t>CHECK_VENDOR</t>
        </is>
      </c>
      <c r="M206" t="inlineStr">
        <is>
          <t>web-ofisi ticaret 5.0.0</t>
        </is>
      </c>
      <c r="N206" t="inlineStr">
        <is>
          <t>P3</t>
        </is>
      </c>
      <c r="O206" t="inlineStr">
        <is>
          <t>CVE - IP enrichment n/a</t>
        </is>
      </c>
      <c r="P206" t="n">
        <v>0.0005999999999999999</v>
      </c>
      <c r="Q206" t="n">
        <v>0.1928</v>
      </c>
      <c r="R206" t="inlineStr">
        <is>
          <t>T1190:Exploit Public-Facing Application</t>
        </is>
      </c>
      <c r="S206" t="n">
        <v>1</v>
      </c>
      <c r="T206" t="inlineStr">
        <is>
          <t>LOW (40%)</t>
        </is>
      </c>
      <c r="U206" t="inlineStr">
        <is>
          <t>UNLIKELY</t>
        </is>
      </c>
      <c r="V206" t="inlineStr">
        <is>
          <t>CHECK_VENDOR</t>
        </is>
      </c>
      <c r="W206" t="inlineStr">
        <is>
          <t>https://nvd.nist.gov/vuln/detail/CVE-2019-25461</t>
        </is>
      </c>
      <c r="X206" t="inlineStr">
        <is>
          <t>NONE</t>
        </is>
      </c>
      <c r="Y206" t="n">
        <v>0</v>
      </c>
      <c r="Z206" t="inlineStr"/>
      <c r="AA206" t="inlineStr">
        <is>
          <t>https://nvd.nist.gov/vuln/detail/CVE-2019-25461</t>
        </is>
      </c>
    </row>
    <row r="207">
      <c r="A207" t="inlineStr">
        <is>
          <t>CVE</t>
        </is>
      </c>
      <c r="B207" t="inlineStr">
        <is>
          <t>CVE-2019-25462</t>
        </is>
      </c>
      <c r="C207"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207" t="n">
        <v>8.199999999999999</v>
      </c>
      <c r="E207" t="inlineStr">
        <is>
          <t>HIGH</t>
        </is>
      </c>
      <c r="F207" t="n">
        <v>2</v>
      </c>
      <c r="G207" t="n">
        <v>3</v>
      </c>
      <c r="H207" t="inlineStr">
        <is>
          <t>HIGH</t>
        </is>
      </c>
      <c r="I207" t="n">
        <v>14.2</v>
      </c>
      <c r="J207" t="inlineStr">
        <is>
          <t>NO</t>
        </is>
      </c>
      <c r="K207" t="inlineStr">
        <is>
          <t>2026-02-27 20:47</t>
        </is>
      </c>
      <c r="L207" t="inlineStr">
        <is>
          <t>CHECK_VENDOR</t>
        </is>
      </c>
      <c r="M207" t="inlineStr">
        <is>
          <t>See CVE details</t>
        </is>
      </c>
      <c r="N207" t="inlineStr">
        <is>
          <t>P3</t>
        </is>
      </c>
      <c r="O207" t="inlineStr">
        <is>
          <t>CVE - IP enrichment n/a</t>
        </is>
      </c>
      <c r="P207" t="n">
        <v>0.0005999999999999999</v>
      </c>
      <c r="Q207" t="n">
        <v>0.2021</v>
      </c>
      <c r="R207" t="inlineStr">
        <is>
          <t>T1190:Exploit Public-Facing Application | T1499:Endpoint Denial of Service</t>
        </is>
      </c>
      <c r="S207" t="n">
        <v>1</v>
      </c>
      <c r="T207" t="inlineStr">
        <is>
          <t>LOW (40%)</t>
        </is>
      </c>
      <c r="U207" t="inlineStr">
        <is>
          <t>UNLIKELY</t>
        </is>
      </c>
      <c r="V207" t="inlineStr">
        <is>
          <t>CHECK_VENDOR</t>
        </is>
      </c>
      <c r="W207" t="inlineStr">
        <is>
          <t>https://nvd.nist.gov/vuln/detail/CVE-2019-25462</t>
        </is>
      </c>
      <c r="X207" t="inlineStr">
        <is>
          <t>NONE</t>
        </is>
      </c>
      <c r="Y207" t="n">
        <v>0</v>
      </c>
      <c r="Z207" t="inlineStr"/>
      <c r="AA207" t="inlineStr">
        <is>
          <t>https://nvd.nist.gov/vuln/detail/CVE-2019-25462</t>
        </is>
      </c>
    </row>
    <row r="208">
      <c r="A208" t="inlineStr">
        <is>
          <t>CVE</t>
        </is>
      </c>
      <c r="B208" t="inlineStr">
        <is>
          <t>CVE-2026-2954</t>
        </is>
      </c>
      <c r="C208"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208" t="n">
        <v>6.3</v>
      </c>
      <c r="E208" t="inlineStr">
        <is>
          <t>MEDIUM</t>
        </is>
      </c>
      <c r="F208" t="n">
        <v>2</v>
      </c>
      <c r="G208" t="n">
        <v>2</v>
      </c>
      <c r="H208" t="inlineStr">
        <is>
          <t>MEDIUM</t>
        </is>
      </c>
      <c r="I208" t="n">
        <v>10.3</v>
      </c>
      <c r="J208" t="inlineStr">
        <is>
          <t>NO</t>
        </is>
      </c>
      <c r="K208" t="inlineStr">
        <is>
          <t>2026-02-27 20:47</t>
        </is>
      </c>
      <c r="L208" t="inlineStr">
        <is>
          <t>CHECK_VENDOR</t>
        </is>
      </c>
      <c r="M208" t="inlineStr">
        <is>
          <t>ujcms ujcms 10.0.2</t>
        </is>
      </c>
      <c r="N208" t="inlineStr">
        <is>
          <t>P4</t>
        </is>
      </c>
      <c r="O208" t="inlineStr">
        <is>
          <t>CVE - IP enrichment n/a</t>
        </is>
      </c>
      <c r="P208" t="n">
        <v>0.0004</v>
      </c>
      <c r="Q208" t="n">
        <v>0.1208</v>
      </c>
      <c r="R208" t="inlineStr">
        <is>
          <t>T1190:Exploit Public-Facing Application</t>
        </is>
      </c>
      <c r="S208" t="n">
        <v>1</v>
      </c>
      <c r="T208" t="inlineStr">
        <is>
          <t>LOW (40%)</t>
        </is>
      </c>
      <c r="U208" t="inlineStr">
        <is>
          <t>UNLIKELY</t>
        </is>
      </c>
      <c r="V208" t="inlineStr">
        <is>
          <t>CHECK_VENDOR</t>
        </is>
      </c>
      <c r="W208" t="inlineStr">
        <is>
          <t>https://nvd.nist.gov/vuln/detail/CVE-2026-2954</t>
        </is>
      </c>
      <c r="X208" t="inlineStr">
        <is>
          <t>NONE</t>
        </is>
      </c>
      <c r="Y208" t="n">
        <v>0</v>
      </c>
      <c r="Z208" t="inlineStr"/>
      <c r="AA208" t="inlineStr">
        <is>
          <t>https://nvd.nist.gov/vuln/detail/CVE-2026-2954</t>
        </is>
      </c>
    </row>
    <row r="209">
      <c r="A209" t="inlineStr">
        <is>
          <t>CVE</t>
        </is>
      </c>
      <c r="B209" t="inlineStr">
        <is>
          <t>CVE-2026-2956</t>
        </is>
      </c>
      <c r="C209"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209" t="n">
        <v>6.3</v>
      </c>
      <c r="E209" t="inlineStr">
        <is>
          <t>MEDIUM</t>
        </is>
      </c>
      <c r="F209" t="n">
        <v>2</v>
      </c>
      <c r="G209" t="n">
        <v>2</v>
      </c>
      <c r="H209" t="inlineStr">
        <is>
          <t>MEDIUM</t>
        </is>
      </c>
      <c r="I209" t="n">
        <v>10.3</v>
      </c>
      <c r="J209" t="inlineStr">
        <is>
          <t>NO</t>
        </is>
      </c>
      <c r="K209" t="inlineStr">
        <is>
          <t>2026-02-27 20:47</t>
        </is>
      </c>
      <c r="L209" t="inlineStr">
        <is>
          <t>CHECK_VENDOR</t>
        </is>
      </c>
      <c r="M209" t="inlineStr">
        <is>
          <t>dst-admin_project dst-admin *</t>
        </is>
      </c>
      <c r="N209" t="inlineStr">
        <is>
          <t>P4</t>
        </is>
      </c>
      <c r="O209" t="inlineStr">
        <is>
          <t>CVE - IP enrichment n/a</t>
        </is>
      </c>
      <c r="P209" t="n">
        <v>0.0026</v>
      </c>
      <c r="Q209" t="n">
        <v>0.4933</v>
      </c>
      <c r="R209" t="inlineStr">
        <is>
          <t>T1059:Command and Scripting Interpreter</t>
        </is>
      </c>
      <c r="S209" t="n">
        <v>1</v>
      </c>
      <c r="T209" t="inlineStr">
        <is>
          <t>LOW (40%)</t>
        </is>
      </c>
      <c r="U209" t="inlineStr">
        <is>
          <t>UNLIKELY</t>
        </is>
      </c>
      <c r="V209" t="inlineStr">
        <is>
          <t>CHECK_VENDOR</t>
        </is>
      </c>
      <c r="W209" t="inlineStr">
        <is>
          <t>https://nvd.nist.gov/vuln/detail/CVE-2026-2956</t>
        </is>
      </c>
      <c r="X209" t="inlineStr">
        <is>
          <t>NONE</t>
        </is>
      </c>
      <c r="Y209" t="n">
        <v>0</v>
      </c>
      <c r="Z209" t="inlineStr"/>
      <c r="AA209" t="inlineStr">
        <is>
          <t>https://nvd.nist.gov/vuln/detail/CVE-2026-2956</t>
        </is>
      </c>
    </row>
    <row r="210">
      <c r="A210" t="inlineStr">
        <is>
          <t>CVE</t>
        </is>
      </c>
      <c r="B210" t="inlineStr">
        <is>
          <t>CVE-2026-2957</t>
        </is>
      </c>
      <c r="C210"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210" t="n">
        <v>5.4</v>
      </c>
      <c r="E210" t="inlineStr">
        <is>
          <t>MEDIUM</t>
        </is>
      </c>
      <c r="F210" t="n">
        <v>2</v>
      </c>
      <c r="G210" t="n">
        <v>2</v>
      </c>
      <c r="H210" t="inlineStr">
        <is>
          <t>MEDIUM</t>
        </is>
      </c>
      <c r="I210" t="n">
        <v>9.4</v>
      </c>
      <c r="J210" t="inlineStr">
        <is>
          <t>NO</t>
        </is>
      </c>
      <c r="K210" t="inlineStr">
        <is>
          <t>2026-02-27 20:47</t>
        </is>
      </c>
      <c r="L210" t="inlineStr">
        <is>
          <t>CHECK_VENDOR</t>
        </is>
      </c>
      <c r="M210" t="inlineStr">
        <is>
          <t>dst-admin_project dst-admin *</t>
        </is>
      </c>
      <c r="N210" t="inlineStr">
        <is>
          <t>P4</t>
        </is>
      </c>
      <c r="O210" t="inlineStr">
        <is>
          <t>CVE - IP enrichment n/a</t>
        </is>
      </c>
      <c r="P210" t="n">
        <v>0.0004</v>
      </c>
      <c r="Q210" t="n">
        <v>0.1329</v>
      </c>
      <c r="R210" t="inlineStr">
        <is>
          <t>T1499:Endpoint Denial of Service</t>
        </is>
      </c>
      <c r="S210" t="n">
        <v>1</v>
      </c>
      <c r="T210" t="inlineStr">
        <is>
          <t>LOW (40%)</t>
        </is>
      </c>
      <c r="U210" t="inlineStr">
        <is>
          <t>UNLIKELY</t>
        </is>
      </c>
      <c r="V210" t="inlineStr">
        <is>
          <t>CHECK_VENDOR</t>
        </is>
      </c>
      <c r="W210" t="inlineStr">
        <is>
          <t>https://nvd.nist.gov/vuln/detail/CVE-2026-2957</t>
        </is>
      </c>
      <c r="X210" t="inlineStr">
        <is>
          <t>NONE</t>
        </is>
      </c>
      <c r="Y210" t="n">
        <v>0</v>
      </c>
      <c r="Z210" t="inlineStr"/>
      <c r="AA210" t="inlineStr">
        <is>
          <t>https://nvd.nist.gov/vuln/detail/CVE-2026-2957</t>
        </is>
      </c>
    </row>
    <row r="211">
      <c r="A211" t="inlineStr">
        <is>
          <t>CVE</t>
        </is>
      </c>
      <c r="B211" t="inlineStr">
        <is>
          <t>CVE-2026-2588</t>
        </is>
      </c>
      <c r="C211"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211" t="n">
        <v>9.1</v>
      </c>
      <c r="E211" t="inlineStr">
        <is>
          <t>CRITICAL</t>
        </is>
      </c>
      <c r="F211" t="n">
        <v>2</v>
      </c>
      <c r="G211" t="n">
        <v>3</v>
      </c>
      <c r="H211" t="inlineStr">
        <is>
          <t>HIGH</t>
        </is>
      </c>
      <c r="I211" t="n">
        <v>15.1</v>
      </c>
      <c r="J211" t="inlineStr">
        <is>
          <t>NO</t>
        </is>
      </c>
      <c r="K211" t="inlineStr">
        <is>
          <t>2026-02-27 20:47</t>
        </is>
      </c>
      <c r="L211" t="inlineStr">
        <is>
          <t>CHECK_VENDOR</t>
        </is>
      </c>
      <c r="M211" t="inlineStr">
        <is>
          <t>See CVE details</t>
        </is>
      </c>
      <c r="N211" t="inlineStr">
        <is>
          <t>P3</t>
        </is>
      </c>
      <c r="O211" t="inlineStr">
        <is>
          <t>CVE - IP enrichment n/a</t>
        </is>
      </c>
      <c r="P211" t="n">
        <v>0.0004</v>
      </c>
      <c r="Q211" t="n">
        <v>0.1115</v>
      </c>
      <c r="R211" t="inlineStr">
        <is>
          <t>T1190:Exploit Public-Facing Application | T1203:Exploitation for Client Execution</t>
        </is>
      </c>
      <c r="S211" t="n">
        <v>1</v>
      </c>
      <c r="T211" t="inlineStr">
        <is>
          <t>LOW (40%)</t>
        </is>
      </c>
      <c r="U211" t="inlineStr">
        <is>
          <t>UNLIKELY</t>
        </is>
      </c>
      <c r="V211" t="inlineStr">
        <is>
          <t>CHECK_VENDOR</t>
        </is>
      </c>
      <c r="W211" t="inlineStr">
        <is>
          <t>https://nvd.nist.gov/vuln/detail/CVE-2026-2588</t>
        </is>
      </c>
      <c r="X211" t="inlineStr">
        <is>
          <t>NONE</t>
        </is>
      </c>
      <c r="Y211" t="n">
        <v>0</v>
      </c>
      <c r="Z211" t="inlineStr"/>
      <c r="AA211" t="inlineStr">
        <is>
          <t>https://nvd.nist.gov/vuln/detail/CVE-2026-2588</t>
        </is>
      </c>
    </row>
    <row r="212">
      <c r="A212" t="inlineStr">
        <is>
          <t>CVE</t>
        </is>
      </c>
      <c r="B212" t="inlineStr">
        <is>
          <t>CVE-2026-2958</t>
        </is>
      </c>
      <c r="C212"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212" t="n">
        <v>8.800000000000001</v>
      </c>
      <c r="E212" t="inlineStr">
        <is>
          <t>HIGH</t>
        </is>
      </c>
      <c r="F212" t="n">
        <v>2</v>
      </c>
      <c r="G212" t="n">
        <v>3</v>
      </c>
      <c r="H212" t="inlineStr">
        <is>
          <t>HIGH</t>
        </is>
      </c>
      <c r="I212" t="n">
        <v>14.8</v>
      </c>
      <c r="J212" t="inlineStr">
        <is>
          <t>NO</t>
        </is>
      </c>
      <c r="K212" t="inlineStr">
        <is>
          <t>2026-02-27 20:47</t>
        </is>
      </c>
      <c r="L212" t="inlineStr">
        <is>
          <t>CHECK_VENDOR</t>
        </is>
      </c>
      <c r="M212" t="inlineStr">
        <is>
          <t>dlink dwr-m960_firmware 1.01.07 | dlink dwr-m960 b1</t>
        </is>
      </c>
      <c r="N212" t="inlineStr">
        <is>
          <t>P3</t>
        </is>
      </c>
      <c r="O212" t="inlineStr">
        <is>
          <t>CVE - IP enrichment n/a</t>
        </is>
      </c>
      <c r="P212" t="n">
        <v>0.0003</v>
      </c>
      <c r="Q212" t="n">
        <v>0.0819</v>
      </c>
      <c r="R212" t="inlineStr">
        <is>
          <t>T1203:Exploitation for Client Execution</t>
        </is>
      </c>
      <c r="S212" t="n">
        <v>1</v>
      </c>
      <c r="T212" t="inlineStr">
        <is>
          <t>LOW (40%)</t>
        </is>
      </c>
      <c r="U212" t="inlineStr">
        <is>
          <t>UNLIKELY</t>
        </is>
      </c>
      <c r="V212" t="inlineStr">
        <is>
          <t>CHECK_VENDOR</t>
        </is>
      </c>
      <c r="W212" t="inlineStr">
        <is>
          <t>https://nvd.nist.gov/vuln/detail/CVE-2026-2958</t>
        </is>
      </c>
      <c r="X212" t="inlineStr">
        <is>
          <t>NONE</t>
        </is>
      </c>
      <c r="Y212" t="n">
        <v>0</v>
      </c>
      <c r="Z212" t="inlineStr"/>
      <c r="AA212" t="inlineStr">
        <is>
          <t>https://nvd.nist.gov/vuln/detail/CVE-2026-2958</t>
        </is>
      </c>
    </row>
    <row r="213">
      <c r="A213" t="inlineStr">
        <is>
          <t>CVE</t>
        </is>
      </c>
      <c r="B213" t="inlineStr">
        <is>
          <t>CVE-2026-2959</t>
        </is>
      </c>
      <c r="C213"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213" t="n">
        <v>8.800000000000001</v>
      </c>
      <c r="E213" t="inlineStr">
        <is>
          <t>HIGH</t>
        </is>
      </c>
      <c r="F213" t="n">
        <v>2</v>
      </c>
      <c r="G213" t="n">
        <v>3</v>
      </c>
      <c r="H213" t="inlineStr">
        <is>
          <t>HIGH</t>
        </is>
      </c>
      <c r="I213" t="n">
        <v>14.8</v>
      </c>
      <c r="J213" t="inlineStr">
        <is>
          <t>NO</t>
        </is>
      </c>
      <c r="K213" t="inlineStr">
        <is>
          <t>2026-02-27 20:47</t>
        </is>
      </c>
      <c r="L213" t="inlineStr">
        <is>
          <t>CHECK_VENDOR</t>
        </is>
      </c>
      <c r="M213" t="inlineStr">
        <is>
          <t>dlink dwr-m960_firmware 1.01.07 | dlink dwr-m960 b1</t>
        </is>
      </c>
      <c r="N213" t="inlineStr">
        <is>
          <t>P3</t>
        </is>
      </c>
      <c r="O213" t="inlineStr">
        <is>
          <t>CVE - IP enrichment n/a</t>
        </is>
      </c>
      <c r="P213" t="n">
        <v>0.0003</v>
      </c>
      <c r="Q213" t="n">
        <v>0.0819</v>
      </c>
      <c r="R213" t="inlineStr">
        <is>
          <t>T1203:Exploitation for Client Execution</t>
        </is>
      </c>
      <c r="S213" t="n">
        <v>1</v>
      </c>
      <c r="T213" t="inlineStr">
        <is>
          <t>LOW (40%)</t>
        </is>
      </c>
      <c r="U213" t="inlineStr">
        <is>
          <t>UNLIKELY</t>
        </is>
      </c>
      <c r="V213" t="inlineStr">
        <is>
          <t>CHECK_VENDOR</t>
        </is>
      </c>
      <c r="W213" t="inlineStr">
        <is>
          <t>https://nvd.nist.gov/vuln/detail/CVE-2026-2959</t>
        </is>
      </c>
      <c r="X213" t="inlineStr">
        <is>
          <t>NONE</t>
        </is>
      </c>
      <c r="Y213" t="n">
        <v>0</v>
      </c>
      <c r="Z213" t="inlineStr"/>
      <c r="AA213" t="inlineStr">
        <is>
          <t>https://nvd.nist.gov/vuln/detail/CVE-2026-2959</t>
        </is>
      </c>
    </row>
    <row r="214">
      <c r="A214" t="inlineStr">
        <is>
          <t>CVE</t>
        </is>
      </c>
      <c r="B214" t="inlineStr">
        <is>
          <t>CVE-2026-2960</t>
        </is>
      </c>
      <c r="C214"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214" t="n">
        <v>8.800000000000001</v>
      </c>
      <c r="E214" t="inlineStr">
        <is>
          <t>HIGH</t>
        </is>
      </c>
      <c r="F214" t="n">
        <v>2</v>
      </c>
      <c r="G214" t="n">
        <v>3</v>
      </c>
      <c r="H214" t="inlineStr">
        <is>
          <t>HIGH</t>
        </is>
      </c>
      <c r="I214" t="n">
        <v>14.8</v>
      </c>
      <c r="J214" t="inlineStr">
        <is>
          <t>NO</t>
        </is>
      </c>
      <c r="K214" t="inlineStr">
        <is>
          <t>2026-02-27 20:47</t>
        </is>
      </c>
      <c r="L214" t="inlineStr">
        <is>
          <t>CHECK_VENDOR</t>
        </is>
      </c>
      <c r="M214" t="inlineStr">
        <is>
          <t>dlink dwr-m960_firmware 1.01.07 | dlink dwr-m960 b1</t>
        </is>
      </c>
      <c r="N214" t="inlineStr">
        <is>
          <t>P3</t>
        </is>
      </c>
      <c r="O214" t="inlineStr">
        <is>
          <t>CVE - IP enrichment n/a</t>
        </is>
      </c>
      <c r="P214" t="n">
        <v>0.0003</v>
      </c>
      <c r="Q214" t="n">
        <v>0.0819</v>
      </c>
      <c r="R214" t="inlineStr">
        <is>
          <t>T1203:Exploitation for Client Execution</t>
        </is>
      </c>
      <c r="S214" t="n">
        <v>1</v>
      </c>
      <c r="T214" t="inlineStr">
        <is>
          <t>LOW (40%)</t>
        </is>
      </c>
      <c r="U214" t="inlineStr">
        <is>
          <t>UNLIKELY</t>
        </is>
      </c>
      <c r="V214" t="inlineStr">
        <is>
          <t>CHECK_VENDOR</t>
        </is>
      </c>
      <c r="W214" t="inlineStr">
        <is>
          <t>https://nvd.nist.gov/vuln/detail/CVE-2026-2960</t>
        </is>
      </c>
      <c r="X214" t="inlineStr">
        <is>
          <t>NONE</t>
        </is>
      </c>
      <c r="Y214" t="n">
        <v>0</v>
      </c>
      <c r="Z214" t="inlineStr"/>
      <c r="AA214" t="inlineStr">
        <is>
          <t>https://nvd.nist.gov/vuln/detail/CVE-2026-2960</t>
        </is>
      </c>
    </row>
    <row r="215">
      <c r="A215" t="inlineStr">
        <is>
          <t>CVE</t>
        </is>
      </c>
      <c r="B215" t="inlineStr">
        <is>
          <t>CVE-2026-2961</t>
        </is>
      </c>
      <c r="C215"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215" t="n">
        <v>8.800000000000001</v>
      </c>
      <c r="E215" t="inlineStr">
        <is>
          <t>HIGH</t>
        </is>
      </c>
      <c r="F215" t="n">
        <v>2</v>
      </c>
      <c r="G215" t="n">
        <v>3</v>
      </c>
      <c r="H215" t="inlineStr">
        <is>
          <t>HIGH</t>
        </is>
      </c>
      <c r="I215" t="n">
        <v>14.8</v>
      </c>
      <c r="J215" t="inlineStr">
        <is>
          <t>NO</t>
        </is>
      </c>
      <c r="K215" t="inlineStr">
        <is>
          <t>2026-02-27 20:47</t>
        </is>
      </c>
      <c r="L215" t="inlineStr">
        <is>
          <t>CHECK_VENDOR</t>
        </is>
      </c>
      <c r="M215" t="inlineStr">
        <is>
          <t>dlink dwr-m960_firmware 1.01.07 | dlink dwr-m960 b1</t>
        </is>
      </c>
      <c r="N215" t="inlineStr">
        <is>
          <t>P3</t>
        </is>
      </c>
      <c r="O215" t="inlineStr">
        <is>
          <t>CVE - IP enrichment n/a</t>
        </is>
      </c>
      <c r="P215" t="n">
        <v>0.0003</v>
      </c>
      <c r="Q215" t="n">
        <v>0.0819</v>
      </c>
      <c r="R215" t="inlineStr">
        <is>
          <t>T1203:Exploitation for Client Execution | T1133:External Remote Services</t>
        </is>
      </c>
      <c r="S215" t="n">
        <v>1</v>
      </c>
      <c r="T215" t="inlineStr">
        <is>
          <t>LOW (40%)</t>
        </is>
      </c>
      <c r="U215" t="inlineStr">
        <is>
          <t>UNLIKELY</t>
        </is>
      </c>
      <c r="V215" t="inlineStr">
        <is>
          <t>CHECK_VENDOR</t>
        </is>
      </c>
      <c r="W215" t="inlineStr">
        <is>
          <t>https://nvd.nist.gov/vuln/detail/CVE-2026-2961</t>
        </is>
      </c>
      <c r="X215" t="inlineStr">
        <is>
          <t>NONE</t>
        </is>
      </c>
      <c r="Y215" t="n">
        <v>0</v>
      </c>
      <c r="Z215" t="inlineStr"/>
      <c r="AA215" t="inlineStr">
        <is>
          <t>https://nvd.nist.gov/vuln/detail/CVE-2026-2961</t>
        </is>
      </c>
    </row>
    <row r="216">
      <c r="A216" t="inlineStr">
        <is>
          <t>CVE</t>
        </is>
      </c>
      <c r="B216" t="inlineStr">
        <is>
          <t>CVE-2026-2962</t>
        </is>
      </c>
      <c r="C216"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216" t="n">
        <v>8.800000000000001</v>
      </c>
      <c r="E216" t="inlineStr">
        <is>
          <t>HIGH</t>
        </is>
      </c>
      <c r="F216" t="n">
        <v>2</v>
      </c>
      <c r="G216" t="n">
        <v>3</v>
      </c>
      <c r="H216" t="inlineStr">
        <is>
          <t>HIGH</t>
        </is>
      </c>
      <c r="I216" t="n">
        <v>14.8</v>
      </c>
      <c r="J216" t="inlineStr">
        <is>
          <t>NO</t>
        </is>
      </c>
      <c r="K216" t="inlineStr">
        <is>
          <t>2026-02-27 20:47</t>
        </is>
      </c>
      <c r="L216" t="inlineStr">
        <is>
          <t>CHECK_VENDOR</t>
        </is>
      </c>
      <c r="M216" t="inlineStr">
        <is>
          <t>dlink dwr-m960_firmware 1.01.07 | dlink dwr-m960 b1</t>
        </is>
      </c>
      <c r="N216" t="inlineStr">
        <is>
          <t>P3</t>
        </is>
      </c>
      <c r="O216" t="inlineStr">
        <is>
          <t>CVE - IP enrichment n/a</t>
        </is>
      </c>
      <c r="P216" t="n">
        <v>0.0003</v>
      </c>
      <c r="Q216" t="n">
        <v>0.0819</v>
      </c>
      <c r="R216" t="inlineStr">
        <is>
          <t>T1203:Exploitation for Client Execution</t>
        </is>
      </c>
      <c r="S216" t="n">
        <v>1</v>
      </c>
      <c r="T216" t="inlineStr">
        <is>
          <t>LOW (40%)</t>
        </is>
      </c>
      <c r="U216" t="inlineStr">
        <is>
          <t>UNLIKELY</t>
        </is>
      </c>
      <c r="V216" t="inlineStr">
        <is>
          <t>CHECK_VENDOR</t>
        </is>
      </c>
      <c r="W216" t="inlineStr">
        <is>
          <t>https://nvd.nist.gov/vuln/detail/CVE-2026-2962</t>
        </is>
      </c>
      <c r="X216" t="inlineStr">
        <is>
          <t>NONE</t>
        </is>
      </c>
      <c r="Y216" t="n">
        <v>0</v>
      </c>
      <c r="Z216" t="inlineStr"/>
      <c r="AA216" t="inlineStr">
        <is>
          <t>https://nvd.nist.gov/vuln/detail/CVE-2026-2962</t>
        </is>
      </c>
    </row>
    <row r="217">
      <c r="A217" t="inlineStr">
        <is>
          <t>CVE</t>
        </is>
      </c>
      <c r="B217" t="inlineStr">
        <is>
          <t>CVE-2026-2963</t>
        </is>
      </c>
      <c r="C217"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217" t="n">
        <v>6.3</v>
      </c>
      <c r="E217" t="inlineStr">
        <is>
          <t>MEDIUM</t>
        </is>
      </c>
      <c r="F217" t="n">
        <v>2</v>
      </c>
      <c r="G217" t="n">
        <v>2</v>
      </c>
      <c r="H217" t="inlineStr">
        <is>
          <t>MEDIUM</t>
        </is>
      </c>
      <c r="I217" t="n">
        <v>10.3</v>
      </c>
      <c r="J217" t="inlineStr">
        <is>
          <t>NO</t>
        </is>
      </c>
      <c r="K217" t="inlineStr">
        <is>
          <t>2026-02-27 20:47</t>
        </is>
      </c>
      <c r="L217" t="inlineStr">
        <is>
          <t>CHECK_VENDOR</t>
        </is>
      </c>
      <c r="M217" t="inlineStr">
        <is>
          <t>See CVE details</t>
        </is>
      </c>
      <c r="N217" t="inlineStr">
        <is>
          <t>P4</t>
        </is>
      </c>
      <c r="O217" t="inlineStr">
        <is>
          <t>CVE - IP enrichment n/a</t>
        </is>
      </c>
      <c r="P217" t="n">
        <v>0.0003</v>
      </c>
      <c r="Q217" t="n">
        <v>0.0701</v>
      </c>
      <c r="R217" t="inlineStr">
        <is>
          <t>T1190:Exploit Public-Facing Application</t>
        </is>
      </c>
      <c r="S217" t="n">
        <v>1</v>
      </c>
      <c r="T217" t="inlineStr">
        <is>
          <t>LOW (40%)</t>
        </is>
      </c>
      <c r="U217" t="inlineStr">
        <is>
          <t>UNLIKELY</t>
        </is>
      </c>
      <c r="V217" t="inlineStr">
        <is>
          <t>CHECK_VENDOR</t>
        </is>
      </c>
      <c r="W217" t="inlineStr">
        <is>
          <t>https://nvd.nist.gov/vuln/detail/CVE-2026-2963</t>
        </is>
      </c>
      <c r="X217" t="inlineStr">
        <is>
          <t>NONE</t>
        </is>
      </c>
      <c r="Y217" t="n">
        <v>0</v>
      </c>
      <c r="Z217" t="inlineStr"/>
      <c r="AA217" t="inlineStr">
        <is>
          <t>https://nvd.nist.gov/vuln/detail/CVE-2026-2963</t>
        </is>
      </c>
    </row>
    <row r="218">
      <c r="A218" t="inlineStr">
        <is>
          <t>CVE</t>
        </is>
      </c>
      <c r="B218" t="inlineStr">
        <is>
          <t>CVE-2026-24494</t>
        </is>
      </c>
      <c r="C218" t="inlineStr">
        <is>
          <t>SQL Injection vulnerability in the /api/integrations/getintegrations endpoint of Order Up Online Ordering System 1.0 allows an unauthenticated attacker to access sensitive backend database data via a crafted store_id parameter in a POST request.</t>
        </is>
      </c>
      <c r="D218" t="n">
        <v>9.800000000000001</v>
      </c>
      <c r="E218" t="inlineStr">
        <is>
          <t>CRITICAL</t>
        </is>
      </c>
      <c r="F218" t="n">
        <v>2</v>
      </c>
      <c r="G218" t="n">
        <v>3</v>
      </c>
      <c r="H218" t="inlineStr">
        <is>
          <t>HIGH</t>
        </is>
      </c>
      <c r="I218" t="n">
        <v>15.8</v>
      </c>
      <c r="J218" t="inlineStr">
        <is>
          <t>NO</t>
        </is>
      </c>
      <c r="K218" t="inlineStr">
        <is>
          <t>2026-02-27 20:47</t>
        </is>
      </c>
      <c r="L218" t="inlineStr">
        <is>
          <t>CHECK_VENDOR</t>
        </is>
      </c>
      <c r="M218" t="inlineStr">
        <is>
          <t>See CVE details</t>
        </is>
      </c>
      <c r="N218" t="inlineStr">
        <is>
          <t>P3</t>
        </is>
      </c>
      <c r="O218" t="inlineStr">
        <is>
          <t>CVE - IP enrichment n/a</t>
        </is>
      </c>
      <c r="P218" t="n">
        <v>0.0005</v>
      </c>
      <c r="Q218" t="n">
        <v>0.1616</v>
      </c>
      <c r="R218" t="inlineStr">
        <is>
          <t>T1190:Exploit Public-Facing Application</t>
        </is>
      </c>
      <c r="S218" t="n">
        <v>1</v>
      </c>
      <c r="T218" t="inlineStr">
        <is>
          <t>LOW (40%)</t>
        </is>
      </c>
      <c r="U218" t="inlineStr">
        <is>
          <t>UNLIKELY</t>
        </is>
      </c>
      <c r="V218" t="inlineStr">
        <is>
          <t>CHECK_VENDOR</t>
        </is>
      </c>
      <c r="W218" t="inlineStr">
        <is>
          <t>https://nvd.nist.gov/vuln/detail/CVE-2026-24494</t>
        </is>
      </c>
      <c r="X218" t="inlineStr">
        <is>
          <t>NONE</t>
        </is>
      </c>
      <c r="Y218" t="n">
        <v>0</v>
      </c>
      <c r="Z218" t="inlineStr"/>
      <c r="AA218" t="inlineStr">
        <is>
          <t>https://nvd.nist.gov/vuln/detail/CVE-2026-24494</t>
        </is>
      </c>
    </row>
    <row r="219">
      <c r="A219" t="inlineStr">
        <is>
          <t>CVE</t>
        </is>
      </c>
      <c r="B219" t="inlineStr">
        <is>
          <t>CVE-2026-2964</t>
        </is>
      </c>
      <c r="C219"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219" t="n">
        <v>5</v>
      </c>
      <c r="E219" t="inlineStr">
        <is>
          <t>MEDIUM</t>
        </is>
      </c>
      <c r="F219" t="n">
        <v>2</v>
      </c>
      <c r="G219" t="n">
        <v>2</v>
      </c>
      <c r="H219" t="inlineStr">
        <is>
          <t>MEDIUM</t>
        </is>
      </c>
      <c r="I219" t="n">
        <v>9</v>
      </c>
      <c r="J219" t="inlineStr">
        <is>
          <t>NO</t>
        </is>
      </c>
      <c r="K219" t="inlineStr">
        <is>
          <t>2026-02-27 20:47</t>
        </is>
      </c>
      <c r="L219" t="inlineStr">
        <is>
          <t>CHECK_VENDOR</t>
        </is>
      </c>
      <c r="M219" t="inlineStr">
        <is>
          <t>higuma webaudiorecorder.js 0.1 | higuma webaudiorecorder.js 0.1.1</t>
        </is>
      </c>
      <c r="N219" t="inlineStr">
        <is>
          <t>P4</t>
        </is>
      </c>
      <c r="O219" t="inlineStr">
        <is>
          <t>CVE - IP enrichment n/a</t>
        </is>
      </c>
      <c r="P219" t="n">
        <v>0.0004</v>
      </c>
      <c r="Q219" t="n">
        <v>0.1307</v>
      </c>
      <c r="R219" t="inlineStr">
        <is>
          <t>T1059:Command and Scripting Interpreter</t>
        </is>
      </c>
      <c r="S219" t="n">
        <v>1</v>
      </c>
      <c r="T219" t="inlineStr">
        <is>
          <t>LOW (40%)</t>
        </is>
      </c>
      <c r="U219" t="inlineStr">
        <is>
          <t>UNLIKELY</t>
        </is>
      </c>
      <c r="V219" t="inlineStr">
        <is>
          <t>CHECK_VENDOR</t>
        </is>
      </c>
      <c r="W219" t="inlineStr">
        <is>
          <t>https://nvd.nist.gov/vuln/detail/CVE-2026-2964</t>
        </is>
      </c>
      <c r="X219" t="inlineStr">
        <is>
          <t>NONE</t>
        </is>
      </c>
      <c r="Y219" t="n">
        <v>0</v>
      </c>
      <c r="Z219" t="inlineStr"/>
      <c r="AA219" t="inlineStr">
        <is>
          <t>https://nvd.nist.gov/vuln/detail/CVE-2026-2964</t>
        </is>
      </c>
    </row>
    <row r="220">
      <c r="A220" t="inlineStr">
        <is>
          <t>CVE</t>
        </is>
      </c>
      <c r="B220" t="inlineStr">
        <is>
          <t>CVE-2026-2965</t>
        </is>
      </c>
      <c r="C220"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220" t="n">
        <v>2.4</v>
      </c>
      <c r="E220" t="inlineStr">
        <is>
          <t>LOW</t>
        </is>
      </c>
      <c r="F220" t="n">
        <v>2</v>
      </c>
      <c r="G220" t="n">
        <v>1</v>
      </c>
      <c r="H220" t="inlineStr">
        <is>
          <t>LOW</t>
        </is>
      </c>
      <c r="I220" t="n">
        <v>4.4</v>
      </c>
      <c r="J220" t="inlineStr">
        <is>
          <t>NO</t>
        </is>
      </c>
      <c r="K220" t="inlineStr">
        <is>
          <t>2026-02-27 20:47</t>
        </is>
      </c>
      <c r="L220" t="inlineStr">
        <is>
          <t>CHECK_VENDOR</t>
        </is>
      </c>
      <c r="M220" t="inlineStr">
        <is>
          <t>See CVE details</t>
        </is>
      </c>
      <c r="N220" t="inlineStr">
        <is>
          <t>P4</t>
        </is>
      </c>
      <c r="O220" t="inlineStr">
        <is>
          <t>CVE - IP enrichment n/a</t>
        </is>
      </c>
      <c r="P220" t="n">
        <v>0.0003</v>
      </c>
      <c r="Q220" t="n">
        <v>0.07630000000000001</v>
      </c>
      <c r="R220" t="inlineStr">
        <is>
          <t>T1189:Drive-by Compromise</t>
        </is>
      </c>
      <c r="S220" t="n">
        <v>1</v>
      </c>
      <c r="T220" t="inlineStr">
        <is>
          <t>LOW (40%)</t>
        </is>
      </c>
      <c r="U220" t="inlineStr">
        <is>
          <t>UNLIKELY</t>
        </is>
      </c>
      <c r="V220" t="inlineStr">
        <is>
          <t>CHECK_VENDOR</t>
        </is>
      </c>
      <c r="W220" t="inlineStr">
        <is>
          <t>https://nvd.nist.gov/vuln/detail/CVE-2026-2965</t>
        </is>
      </c>
      <c r="X220" t="inlineStr">
        <is>
          <t>NONE</t>
        </is>
      </c>
      <c r="Y220" t="n">
        <v>0</v>
      </c>
      <c r="Z220" t="inlineStr"/>
      <c r="AA220" t="inlineStr">
        <is>
          <t>https://nvd.nist.gov/vuln/detail/CVE-2026-2965</t>
        </is>
      </c>
    </row>
    <row r="221">
      <c r="A221" t="inlineStr">
        <is>
          <t>CVE</t>
        </is>
      </c>
      <c r="B221" t="inlineStr">
        <is>
          <t>CVE-2026-2966</t>
        </is>
      </c>
      <c r="C221"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221" t="n">
        <v>3.7</v>
      </c>
      <c r="E221" t="inlineStr">
        <is>
          <t>LOW</t>
        </is>
      </c>
      <c r="F221" t="n">
        <v>2</v>
      </c>
      <c r="G221" t="n">
        <v>1</v>
      </c>
      <c r="H221" t="inlineStr">
        <is>
          <t>LOW</t>
        </is>
      </c>
      <c r="I221" t="n">
        <v>5.7</v>
      </c>
      <c r="J221" t="inlineStr">
        <is>
          <t>NO</t>
        </is>
      </c>
      <c r="K221" t="inlineStr">
        <is>
          <t>2026-02-27 20:47</t>
        </is>
      </c>
      <c r="L221" t="inlineStr">
        <is>
          <t>CHECK_VENDOR</t>
        </is>
      </c>
      <c r="M221" t="inlineStr">
        <is>
          <t>cesanta mongoose *</t>
        </is>
      </c>
      <c r="N221" t="inlineStr">
        <is>
          <t>P4</t>
        </is>
      </c>
      <c r="O221" t="inlineStr">
        <is>
          <t>CVE - IP enrichment n/a</t>
        </is>
      </c>
      <c r="P221" t="n">
        <v>0.0009</v>
      </c>
      <c r="Q221" t="n">
        <v>0.2638</v>
      </c>
      <c r="R221" t="inlineStr">
        <is>
          <t>T1190:Exploit Public-Facing Application</t>
        </is>
      </c>
      <c r="S221" t="n">
        <v>1</v>
      </c>
      <c r="T221" t="inlineStr">
        <is>
          <t>LOW (40%)</t>
        </is>
      </c>
      <c r="U221" t="inlineStr">
        <is>
          <t>UNLIKELY</t>
        </is>
      </c>
      <c r="V221" t="inlineStr">
        <is>
          <t>CHECK_VENDOR</t>
        </is>
      </c>
      <c r="W221" t="inlineStr">
        <is>
          <t>https://nvd.nist.gov/vuln/detail/CVE-2026-2966</t>
        </is>
      </c>
      <c r="X221" t="inlineStr">
        <is>
          <t>NONE</t>
        </is>
      </c>
      <c r="Y221" t="n">
        <v>0</v>
      </c>
      <c r="Z221" t="inlineStr"/>
      <c r="AA221" t="inlineStr">
        <is>
          <t>https://nvd.nist.gov/vuln/detail/CVE-2026-2966</t>
        </is>
      </c>
    </row>
    <row r="222">
      <c r="A222" t="inlineStr">
        <is>
          <t>CVE</t>
        </is>
      </c>
      <c r="B222" t="inlineStr">
        <is>
          <t>CVE-2026-2997</t>
        </is>
      </c>
      <c r="C222" t="inlineStr">
        <is>
          <t>Tronclass developed by WisdomGarden has a Insecure Direct Object Reference vulnerability. After obtaining a course ID, authenticated remote attackers to modify a specific parameter to obtain a course invitation code, thereby joining any course.</t>
        </is>
      </c>
      <c r="D222" t="n">
        <v>5.4</v>
      </c>
      <c r="E222" t="inlineStr">
        <is>
          <t>MEDIUM</t>
        </is>
      </c>
      <c r="F222" t="n">
        <v>2</v>
      </c>
      <c r="G222" t="n">
        <v>2</v>
      </c>
      <c r="H222" t="inlineStr">
        <is>
          <t>MEDIUM</t>
        </is>
      </c>
      <c r="I222" t="n">
        <v>9.4</v>
      </c>
      <c r="J222" t="inlineStr">
        <is>
          <t>NO</t>
        </is>
      </c>
      <c r="K222" t="inlineStr">
        <is>
          <t>2026-02-27 20:47</t>
        </is>
      </c>
      <c r="L222" t="inlineStr">
        <is>
          <t>CHECK_VENDOR</t>
        </is>
      </c>
      <c r="M222" t="inlineStr">
        <is>
          <t>See CVE details</t>
        </is>
      </c>
      <c r="N222" t="inlineStr">
        <is>
          <t>P4</t>
        </is>
      </c>
      <c r="O222" t="inlineStr">
        <is>
          <t>CVE - IP enrichment n/a</t>
        </is>
      </c>
      <c r="P222" t="n">
        <v>0.0003</v>
      </c>
      <c r="Q222" t="n">
        <v>0.0977</v>
      </c>
      <c r="R222" t="inlineStr">
        <is>
          <t>T1190:Exploit Public-Facing Application</t>
        </is>
      </c>
      <c r="S222" t="n">
        <v>1</v>
      </c>
      <c r="T222" t="inlineStr">
        <is>
          <t>LOW (40%)</t>
        </is>
      </c>
      <c r="U222" t="inlineStr">
        <is>
          <t>UNLIKELY</t>
        </is>
      </c>
      <c r="V222" t="inlineStr">
        <is>
          <t>CHECK_VENDOR</t>
        </is>
      </c>
      <c r="W222" t="inlineStr">
        <is>
          <t>https://nvd.nist.gov/vuln/detail/CVE-2026-2997</t>
        </is>
      </c>
      <c r="X222" t="inlineStr">
        <is>
          <t>NONE</t>
        </is>
      </c>
      <c r="Y222" t="n">
        <v>0</v>
      </c>
      <c r="Z222" t="inlineStr"/>
      <c r="AA222" t="inlineStr">
        <is>
          <t>https://nvd.nist.gov/vuln/detail/CVE-2026-2997</t>
        </is>
      </c>
    </row>
    <row r="223">
      <c r="A223" t="inlineStr">
        <is>
          <t>CVE</t>
        </is>
      </c>
      <c r="B223" t="inlineStr">
        <is>
          <t>CVE-2026-2967</t>
        </is>
      </c>
      <c r="C223"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223" t="n">
        <v>3.7</v>
      </c>
      <c r="E223" t="inlineStr">
        <is>
          <t>LOW</t>
        </is>
      </c>
      <c r="F223" t="n">
        <v>2</v>
      </c>
      <c r="G223" t="n">
        <v>1</v>
      </c>
      <c r="H223" t="inlineStr">
        <is>
          <t>LOW</t>
        </is>
      </c>
      <c r="I223" t="n">
        <v>5.7</v>
      </c>
      <c r="J223" t="inlineStr">
        <is>
          <t>NO</t>
        </is>
      </c>
      <c r="K223" t="inlineStr">
        <is>
          <t>2026-02-27 20:47</t>
        </is>
      </c>
      <c r="L223" t="inlineStr">
        <is>
          <t>CHECK_VENDOR</t>
        </is>
      </c>
      <c r="M223" t="inlineStr">
        <is>
          <t>cesanta mongoose *</t>
        </is>
      </c>
      <c r="N223" t="inlineStr">
        <is>
          <t>P4</t>
        </is>
      </c>
      <c r="O223" t="inlineStr">
        <is>
          <t>CVE - IP enrichment n/a</t>
        </is>
      </c>
      <c r="P223" t="n">
        <v>0.0013</v>
      </c>
      <c r="Q223" t="n">
        <v>0.3261</v>
      </c>
      <c r="R223" t="inlineStr">
        <is>
          <t>T1190:Exploit Public-Facing Application</t>
        </is>
      </c>
      <c r="S223" t="n">
        <v>1</v>
      </c>
      <c r="T223" t="inlineStr">
        <is>
          <t>LOW (40%)</t>
        </is>
      </c>
      <c r="U223" t="inlineStr">
        <is>
          <t>UNLIKELY</t>
        </is>
      </c>
      <c r="V223" t="inlineStr">
        <is>
          <t>CHECK_VENDOR</t>
        </is>
      </c>
      <c r="W223" t="inlineStr">
        <is>
          <t>https://nvd.nist.gov/vuln/detail/CVE-2026-2967</t>
        </is>
      </c>
      <c r="X223" t="inlineStr">
        <is>
          <t>NONE</t>
        </is>
      </c>
      <c r="Y223" t="n">
        <v>0</v>
      </c>
      <c r="Z223" t="inlineStr"/>
      <c r="AA223" t="inlineStr">
        <is>
          <t>https://nvd.nist.gov/vuln/detail/CVE-2026-2967</t>
        </is>
      </c>
    </row>
    <row r="224">
      <c r="A224" t="inlineStr">
        <is>
          <t>CVE</t>
        </is>
      </c>
      <c r="B224" t="inlineStr">
        <is>
          <t>CVE-2026-2968</t>
        </is>
      </c>
      <c r="C224"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224" t="n">
        <v>3.7</v>
      </c>
      <c r="E224" t="inlineStr">
        <is>
          <t>LOW</t>
        </is>
      </c>
      <c r="F224" t="n">
        <v>2</v>
      </c>
      <c r="G224" t="n">
        <v>1</v>
      </c>
      <c r="H224" t="inlineStr">
        <is>
          <t>LOW</t>
        </is>
      </c>
      <c r="I224" t="n">
        <v>5.7</v>
      </c>
      <c r="J224" t="inlineStr">
        <is>
          <t>NO</t>
        </is>
      </c>
      <c r="K224" t="inlineStr">
        <is>
          <t>2026-02-27 20:47</t>
        </is>
      </c>
      <c r="L224" t="inlineStr">
        <is>
          <t>CHECK_VENDOR</t>
        </is>
      </c>
      <c r="M224" t="inlineStr">
        <is>
          <t>cesanta mongoose *</t>
        </is>
      </c>
      <c r="N224" t="inlineStr">
        <is>
          <t>P4</t>
        </is>
      </c>
      <c r="O224" t="inlineStr">
        <is>
          <t>CVE - IP enrichment n/a</t>
        </is>
      </c>
      <c r="P224" t="n">
        <v>0.0001</v>
      </c>
      <c r="Q224" t="n">
        <v>0.0053</v>
      </c>
      <c r="R224" t="inlineStr">
        <is>
          <t>T1600:Weaken Encryption</t>
        </is>
      </c>
      <c r="S224" t="n">
        <v>1</v>
      </c>
      <c r="T224" t="inlineStr">
        <is>
          <t>LOW (40%)</t>
        </is>
      </c>
      <c r="U224" t="inlineStr">
        <is>
          <t>UNLIKELY</t>
        </is>
      </c>
      <c r="V224" t="inlineStr">
        <is>
          <t>CHECK_VENDOR</t>
        </is>
      </c>
      <c r="W224" t="inlineStr">
        <is>
          <t>https://nvd.nist.gov/vuln/detail/CVE-2026-2968</t>
        </is>
      </c>
      <c r="X224" t="inlineStr">
        <is>
          <t>NONE</t>
        </is>
      </c>
      <c r="Y224" t="n">
        <v>0</v>
      </c>
      <c r="Z224" t="inlineStr"/>
      <c r="AA224" t="inlineStr">
        <is>
          <t>https://nvd.nist.gov/vuln/detail/CVE-2026-2968</t>
        </is>
      </c>
    </row>
    <row r="225">
      <c r="A225" t="inlineStr">
        <is>
          <t>CVE</t>
        </is>
      </c>
      <c r="B225" t="inlineStr">
        <is>
          <t>CVE-2026-2998</t>
        </is>
      </c>
      <c r="C225" t="inlineStr">
        <is>
          <t>ERP developed by eAI Technologies has a DLL Hijacking vulnerability, allowing authenticated local attackers to place a crafted DLL file in the same directory as the program, thereby executing arbitrary code.</t>
        </is>
      </c>
      <c r="D225" t="n">
        <v>7.8</v>
      </c>
      <c r="E225" t="inlineStr">
        <is>
          <t>HIGH</t>
        </is>
      </c>
      <c r="F225" t="n">
        <v>2</v>
      </c>
      <c r="G225" t="n">
        <v>3</v>
      </c>
      <c r="H225" t="inlineStr">
        <is>
          <t>HIGH</t>
        </is>
      </c>
      <c r="I225" t="n">
        <v>13.8</v>
      </c>
      <c r="J225" t="inlineStr">
        <is>
          <t>NO</t>
        </is>
      </c>
      <c r="K225" t="inlineStr">
        <is>
          <t>2026-02-27 20:47</t>
        </is>
      </c>
      <c r="L225" t="inlineStr">
        <is>
          <t>CHECK_VENDOR</t>
        </is>
      </c>
      <c r="M225" t="inlineStr">
        <is>
          <t>See CVE details</t>
        </is>
      </c>
      <c r="N225" t="inlineStr">
        <is>
          <t>P3</t>
        </is>
      </c>
      <c r="O225" t="inlineStr">
        <is>
          <t>CVE - IP enrichment n/a</t>
        </is>
      </c>
      <c r="P225" t="n">
        <v>0.0001</v>
      </c>
      <c r="Q225" t="n">
        <v>0.0198</v>
      </c>
      <c r="R225" t="inlineStr">
        <is>
          <t>T1203:Exploitation for Client Execution</t>
        </is>
      </c>
      <c r="S225" t="n">
        <v>1</v>
      </c>
      <c r="T225" t="inlineStr">
        <is>
          <t>LOW (40%)</t>
        </is>
      </c>
      <c r="U225" t="inlineStr">
        <is>
          <t>UNLIKELY</t>
        </is>
      </c>
      <c r="V225" t="inlineStr">
        <is>
          <t>CHECK_VENDOR</t>
        </is>
      </c>
      <c r="W225" t="inlineStr">
        <is>
          <t>https://nvd.nist.gov/vuln/detail/CVE-2026-2998</t>
        </is>
      </c>
      <c r="X225" t="inlineStr">
        <is>
          <t>NONE</t>
        </is>
      </c>
      <c r="Y225" t="n">
        <v>0</v>
      </c>
      <c r="Z225" t="inlineStr"/>
      <c r="AA225" t="inlineStr">
        <is>
          <t>https://nvd.nist.gov/vuln/detail/CVE-2026-2998</t>
        </is>
      </c>
    </row>
    <row r="226">
      <c r="A226" t="inlineStr">
        <is>
          <t>CVE</t>
        </is>
      </c>
      <c r="B226" t="inlineStr">
        <is>
          <t>CVE-2026-2969</t>
        </is>
      </c>
      <c r="C226"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226" t="n">
        <v>4.7</v>
      </c>
      <c r="E226" t="inlineStr">
        <is>
          <t>MEDIUM</t>
        </is>
      </c>
      <c r="F226" t="n">
        <v>2</v>
      </c>
      <c r="G226" t="n">
        <v>2</v>
      </c>
      <c r="H226" t="inlineStr">
        <is>
          <t>MEDIUM</t>
        </is>
      </c>
      <c r="I226" t="n">
        <v>8.699999999999999</v>
      </c>
      <c r="J226" t="inlineStr">
        <is>
          <t>NO</t>
        </is>
      </c>
      <c r="K226" t="inlineStr">
        <is>
          <t>2026-02-27 20:47</t>
        </is>
      </c>
      <c r="L226" t="inlineStr">
        <is>
          <t>CHECK_VENDOR</t>
        </is>
      </c>
      <c r="M226" t="inlineStr">
        <is>
          <t>datapizza datapizza_ai 0.0.2</t>
        </is>
      </c>
      <c r="N226" t="inlineStr">
        <is>
          <t>P4</t>
        </is>
      </c>
      <c r="O226" t="inlineStr">
        <is>
          <t>CVE - IP enrichment n/a</t>
        </is>
      </c>
      <c r="P226" t="n">
        <v>0.0005</v>
      </c>
      <c r="Q226" t="n">
        <v>0.1667</v>
      </c>
      <c r="R226" t="inlineStr">
        <is>
          <t>T1190:Exploit Public-Facing Application</t>
        </is>
      </c>
      <c r="S226" t="n">
        <v>1</v>
      </c>
      <c r="T226" t="inlineStr">
        <is>
          <t>LOW (40%)</t>
        </is>
      </c>
      <c r="U226" t="inlineStr">
        <is>
          <t>UNLIKELY</t>
        </is>
      </c>
      <c r="V226" t="inlineStr">
        <is>
          <t>CHECK_VENDOR</t>
        </is>
      </c>
      <c r="W226" t="inlineStr">
        <is>
          <t>https://nvd.nist.gov/vuln/detail/CVE-2026-2969</t>
        </is>
      </c>
      <c r="X226" t="inlineStr">
        <is>
          <t>NONE</t>
        </is>
      </c>
      <c r="Y226" t="n">
        <v>0</v>
      </c>
      <c r="Z226" t="inlineStr"/>
      <c r="AA226" t="inlineStr">
        <is>
          <t>https://nvd.nist.gov/vuln/detail/CVE-2026-2969</t>
        </is>
      </c>
    </row>
    <row r="227">
      <c r="A227" t="inlineStr">
        <is>
          <t>CVE</t>
        </is>
      </c>
      <c r="B227" t="inlineStr">
        <is>
          <t>CVE-2026-2970</t>
        </is>
      </c>
      <c r="C227"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227" t="n">
        <v>4.6</v>
      </c>
      <c r="E227" t="inlineStr">
        <is>
          <t>MEDIUM</t>
        </is>
      </c>
      <c r="F227" t="n">
        <v>2</v>
      </c>
      <c r="G227" t="n">
        <v>2</v>
      </c>
      <c r="H227" t="inlineStr">
        <is>
          <t>MEDIUM</t>
        </is>
      </c>
      <c r="I227" t="n">
        <v>8.6</v>
      </c>
      <c r="J227" t="inlineStr">
        <is>
          <t>NO</t>
        </is>
      </c>
      <c r="K227" t="inlineStr">
        <is>
          <t>2026-02-27 20:47</t>
        </is>
      </c>
      <c r="L227" t="inlineStr">
        <is>
          <t>CHECK_VENDOR</t>
        </is>
      </c>
      <c r="M227" t="inlineStr">
        <is>
          <t>datapizza datapizza-ai 0.0.2</t>
        </is>
      </c>
      <c r="N227" t="inlineStr">
        <is>
          <t>P4</t>
        </is>
      </c>
      <c r="O227" t="inlineStr">
        <is>
          <t>CVE - IP enrichment n/a</t>
        </is>
      </c>
      <c r="P227" t="n">
        <v>0.0003</v>
      </c>
      <c r="Q227" t="n">
        <v>0.1019</v>
      </c>
      <c r="R227" t="inlineStr">
        <is>
          <t>T1059:Command and Scripting Interpreter</t>
        </is>
      </c>
      <c r="S227" t="n">
        <v>1</v>
      </c>
      <c r="T227" t="inlineStr">
        <is>
          <t>LOW (40%)</t>
        </is>
      </c>
      <c r="U227" t="inlineStr">
        <is>
          <t>UNLIKELY</t>
        </is>
      </c>
      <c r="V227" t="inlineStr">
        <is>
          <t>CHECK_VENDOR</t>
        </is>
      </c>
      <c r="W227" t="inlineStr">
        <is>
          <t>https://nvd.nist.gov/vuln/detail/CVE-2026-2970</t>
        </is>
      </c>
      <c r="X227" t="inlineStr">
        <is>
          <t>NONE</t>
        </is>
      </c>
      <c r="Y227" t="n">
        <v>0</v>
      </c>
      <c r="Z227" t="inlineStr"/>
      <c r="AA227" t="inlineStr">
        <is>
          <t>https://nvd.nist.gov/vuln/detail/CVE-2026-2970</t>
        </is>
      </c>
    </row>
    <row r="228">
      <c r="A228" t="inlineStr">
        <is>
          <t>CVE</t>
        </is>
      </c>
      <c r="B228" t="inlineStr">
        <is>
          <t>CVE-2026-2971</t>
        </is>
      </c>
      <c r="C228"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228" t="n">
        <v>4.3</v>
      </c>
      <c r="E228" t="inlineStr">
        <is>
          <t>MEDIUM</t>
        </is>
      </c>
      <c r="F228" t="n">
        <v>2</v>
      </c>
      <c r="G228" t="n">
        <v>2</v>
      </c>
      <c r="H228" t="inlineStr">
        <is>
          <t>MEDIUM</t>
        </is>
      </c>
      <c r="I228" t="n">
        <v>8.300000000000001</v>
      </c>
      <c r="J228" t="inlineStr">
        <is>
          <t>NO</t>
        </is>
      </c>
      <c r="K228" t="inlineStr">
        <is>
          <t>2026-02-27 20:47</t>
        </is>
      </c>
      <c r="L228" t="inlineStr">
        <is>
          <t>CHECK_VENDOR</t>
        </is>
      </c>
      <c r="M228" t="inlineStr">
        <is>
          <t>a466350665 smart-sso *</t>
        </is>
      </c>
      <c r="N228" t="inlineStr">
        <is>
          <t>P4</t>
        </is>
      </c>
      <c r="O228" t="inlineStr">
        <is>
          <t>CVE - IP enrichment n/a</t>
        </is>
      </c>
      <c r="P228" t="n">
        <v>0.0003</v>
      </c>
      <c r="Q228" t="n">
        <v>0.068</v>
      </c>
      <c r="R228" t="inlineStr">
        <is>
          <t>T1189:Drive-by Compromise | T1190:Exploit Public-Facing Application</t>
        </is>
      </c>
      <c r="S228" t="n">
        <v>1</v>
      </c>
      <c r="T228" t="inlineStr">
        <is>
          <t>LOW (40%)</t>
        </is>
      </c>
      <c r="U228" t="inlineStr">
        <is>
          <t>UNLIKELY</t>
        </is>
      </c>
      <c r="V228" t="inlineStr">
        <is>
          <t>CHECK_VENDOR</t>
        </is>
      </c>
      <c r="W228" t="inlineStr">
        <is>
          <t>https://nvd.nist.gov/vuln/detail/CVE-2026-2971</t>
        </is>
      </c>
      <c r="X228" t="inlineStr">
        <is>
          <t>NONE</t>
        </is>
      </c>
      <c r="Y228" t="n">
        <v>0</v>
      </c>
      <c r="Z228" t="inlineStr"/>
      <c r="AA228" t="inlineStr">
        <is>
          <t>https://nvd.nist.gov/vuln/detail/CVE-2026-2971</t>
        </is>
      </c>
    </row>
    <row r="229">
      <c r="A229" t="inlineStr">
        <is>
          <t>CVE</t>
        </is>
      </c>
      <c r="B229" t="inlineStr">
        <is>
          <t>CVE-2026-2972</t>
        </is>
      </c>
      <c r="C229"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229" t="n">
        <v>2.4</v>
      </c>
      <c r="E229" t="inlineStr">
        <is>
          <t>LOW</t>
        </is>
      </c>
      <c r="F229" t="n">
        <v>2</v>
      </c>
      <c r="G229" t="n">
        <v>1</v>
      </c>
      <c r="H229" t="inlineStr">
        <is>
          <t>LOW</t>
        </is>
      </c>
      <c r="I229" t="n">
        <v>4.4</v>
      </c>
      <c r="J229" t="inlineStr">
        <is>
          <t>NO</t>
        </is>
      </c>
      <c r="K229" t="inlineStr">
        <is>
          <t>2026-02-27 20:47</t>
        </is>
      </c>
      <c r="L229" t="inlineStr">
        <is>
          <t>CHECK_VENDOR</t>
        </is>
      </c>
      <c r="M229" t="inlineStr">
        <is>
          <t>a466350665 smart-sso *</t>
        </is>
      </c>
      <c r="N229" t="inlineStr">
        <is>
          <t>P4</t>
        </is>
      </c>
      <c r="O229" t="inlineStr">
        <is>
          <t>CVE - IP enrichment n/a</t>
        </is>
      </c>
      <c r="P229" t="n">
        <v>0.0003</v>
      </c>
      <c r="Q229" t="n">
        <v>0.0689</v>
      </c>
      <c r="R229" t="inlineStr">
        <is>
          <t>T1189:Drive-by Compromise</t>
        </is>
      </c>
      <c r="S229" t="n">
        <v>1</v>
      </c>
      <c r="T229" t="inlineStr">
        <is>
          <t>LOW (40%)</t>
        </is>
      </c>
      <c r="U229" t="inlineStr">
        <is>
          <t>UNLIKELY</t>
        </is>
      </c>
      <c r="V229" t="inlineStr">
        <is>
          <t>CHECK_VENDOR</t>
        </is>
      </c>
      <c r="W229" t="inlineStr">
        <is>
          <t>https://nvd.nist.gov/vuln/detail/CVE-2026-2972</t>
        </is>
      </c>
      <c r="X229" t="inlineStr">
        <is>
          <t>NONE</t>
        </is>
      </c>
      <c r="Y229" t="n">
        <v>0</v>
      </c>
      <c r="Z229" t="inlineStr"/>
      <c r="AA229" t="inlineStr">
        <is>
          <t>https://nvd.nist.gov/vuln/detail/CVE-2026-2972</t>
        </is>
      </c>
    </row>
    <row r="230">
      <c r="A230" t="inlineStr">
        <is>
          <t>CVE</t>
        </is>
      </c>
      <c r="B230" t="inlineStr">
        <is>
          <t>CVE-2026-2974</t>
        </is>
      </c>
      <c r="C230"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230" t="n">
        <v>2.5</v>
      </c>
      <c r="E230" t="inlineStr">
        <is>
          <t>LOW</t>
        </is>
      </c>
      <c r="F230" t="n">
        <v>2</v>
      </c>
      <c r="G230" t="n">
        <v>1</v>
      </c>
      <c r="H230" t="inlineStr">
        <is>
          <t>LOW</t>
        </is>
      </c>
      <c r="I230" t="n">
        <v>4.5</v>
      </c>
      <c r="J230" t="inlineStr">
        <is>
          <t>NO</t>
        </is>
      </c>
      <c r="K230" t="inlineStr">
        <is>
          <t>2026-02-27 20:47</t>
        </is>
      </c>
      <c r="L230" t="inlineStr">
        <is>
          <t>CHECK_VENDOR</t>
        </is>
      </c>
      <c r="M230" t="inlineStr">
        <is>
          <t>See CVE details</t>
        </is>
      </c>
      <c r="N230" t="inlineStr">
        <is>
          <t>P4</t>
        </is>
      </c>
      <c r="O230" t="inlineStr">
        <is>
          <t>CVE - IP enrichment n/a</t>
        </is>
      </c>
      <c r="P230" t="n">
        <v>0.0001</v>
      </c>
      <c r="Q230" t="n">
        <v>0.0056</v>
      </c>
      <c r="R230" t="inlineStr">
        <is>
          <t>T1190:Exploit Public-Facing Application</t>
        </is>
      </c>
      <c r="S230" t="n">
        <v>1</v>
      </c>
      <c r="T230" t="inlineStr">
        <is>
          <t>LOW (40%)</t>
        </is>
      </c>
      <c r="U230" t="inlineStr">
        <is>
          <t>UNLIKELY</t>
        </is>
      </c>
      <c r="V230" t="inlineStr">
        <is>
          <t>CHECK_VENDOR</t>
        </is>
      </c>
      <c r="W230" t="inlineStr">
        <is>
          <t>https://nvd.nist.gov/vuln/detail/CVE-2026-2974</t>
        </is>
      </c>
      <c r="X230" t="inlineStr">
        <is>
          <t>NONE</t>
        </is>
      </c>
      <c r="Y230" t="n">
        <v>0</v>
      </c>
      <c r="Z230" t="inlineStr"/>
      <c r="AA230" t="inlineStr">
        <is>
          <t>https://nvd.nist.gov/vuln/detail/CVE-2026-2974</t>
        </is>
      </c>
    </row>
    <row r="231">
      <c r="A231" t="inlineStr">
        <is>
          <t>CVE</t>
        </is>
      </c>
      <c r="B231" t="inlineStr">
        <is>
          <t>CVE-2026-2975</t>
        </is>
      </c>
      <c r="C231"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231" t="n">
        <v>5.3</v>
      </c>
      <c r="E231" t="inlineStr">
        <is>
          <t>MEDIUM</t>
        </is>
      </c>
      <c r="F231" t="n">
        <v>2</v>
      </c>
      <c r="G231" t="n">
        <v>2</v>
      </c>
      <c r="H231" t="inlineStr">
        <is>
          <t>MEDIUM</t>
        </is>
      </c>
      <c r="I231" t="n">
        <v>9.300000000000001</v>
      </c>
      <c r="J231" t="inlineStr">
        <is>
          <t>NO</t>
        </is>
      </c>
      <c r="K231" t="inlineStr">
        <is>
          <t>2026-02-27 20:47</t>
        </is>
      </c>
      <c r="L231" t="inlineStr">
        <is>
          <t>CHECK_VENDOR</t>
        </is>
      </c>
      <c r="M231" t="inlineStr">
        <is>
          <t>fastapiadmin fastapi-admin 2.2.0 | fastapiadmin fastapi-admin 2.1 | fastapiadmin fastapi-admin 2.0</t>
        </is>
      </c>
      <c r="N231" t="inlineStr">
        <is>
          <t>P4</t>
        </is>
      </c>
      <c r="O231" t="inlineStr">
        <is>
          <t>CVE - IP enrichment n/a</t>
        </is>
      </c>
      <c r="P231" t="n">
        <v>0.0003</v>
      </c>
      <c r="Q231" t="n">
        <v>0.0649</v>
      </c>
      <c r="R231" t="inlineStr">
        <is>
          <t>T1213:Data from Information Repositories</t>
        </is>
      </c>
      <c r="S231" t="n">
        <v>1</v>
      </c>
      <c r="T231" t="inlineStr">
        <is>
          <t>LOW (40%)</t>
        </is>
      </c>
      <c r="U231" t="inlineStr">
        <is>
          <t>UNLIKELY</t>
        </is>
      </c>
      <c r="V231" t="inlineStr">
        <is>
          <t>CHECK_VENDOR</t>
        </is>
      </c>
      <c r="W231" t="inlineStr">
        <is>
          <t>https://nvd.nist.gov/vuln/detail/CVE-2026-2975</t>
        </is>
      </c>
      <c r="X231" t="inlineStr">
        <is>
          <t>NONE</t>
        </is>
      </c>
      <c r="Y231" t="n">
        <v>0</v>
      </c>
      <c r="Z231" t="inlineStr"/>
      <c r="AA231" t="inlineStr">
        <is>
          <t>https://nvd.nist.gov/vuln/detail/CVE-2026-2975</t>
        </is>
      </c>
    </row>
    <row r="232">
      <c r="A232" t="inlineStr">
        <is>
          <t>CVE</t>
        </is>
      </c>
      <c r="B232" t="inlineStr">
        <is>
          <t>CVE-2026-2976</t>
        </is>
      </c>
      <c r="C232"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232" t="n">
        <v>4.3</v>
      </c>
      <c r="E232" t="inlineStr">
        <is>
          <t>MEDIUM</t>
        </is>
      </c>
      <c r="F232" t="n">
        <v>2</v>
      </c>
      <c r="G232" t="n">
        <v>2</v>
      </c>
      <c r="H232" t="inlineStr">
        <is>
          <t>MEDIUM</t>
        </is>
      </c>
      <c r="I232" t="n">
        <v>8.300000000000001</v>
      </c>
      <c r="J232" t="inlineStr">
        <is>
          <t>NO</t>
        </is>
      </c>
      <c r="K232" t="inlineStr">
        <is>
          <t>2026-02-27 20:47</t>
        </is>
      </c>
      <c r="L232" t="inlineStr">
        <is>
          <t>CHECK_VENDOR</t>
        </is>
      </c>
      <c r="M232" t="inlineStr">
        <is>
          <t>fastapiadmin fastapi-admin 2.2.0 | fastapiadmin fastapi-admin 2.1 | fastapiadmin fastapi-admin 2.0</t>
        </is>
      </c>
      <c r="N232" t="inlineStr">
        <is>
          <t>P4</t>
        </is>
      </c>
      <c r="O232" t="inlineStr">
        <is>
          <t>CVE - IP enrichment n/a</t>
        </is>
      </c>
      <c r="P232" t="n">
        <v>0.0003</v>
      </c>
      <c r="Q232" t="n">
        <v>0.0693</v>
      </c>
      <c r="R232" t="inlineStr">
        <is>
          <t>T1213:Data from Information Repositories | T1190:Exploit Public-Facing Application</t>
        </is>
      </c>
      <c r="S232" t="n">
        <v>1</v>
      </c>
      <c r="T232" t="inlineStr">
        <is>
          <t>LOW (40%)</t>
        </is>
      </c>
      <c r="U232" t="inlineStr">
        <is>
          <t>UNLIKELY</t>
        </is>
      </c>
      <c r="V232" t="inlineStr">
        <is>
          <t>CHECK_VENDOR</t>
        </is>
      </c>
      <c r="W232" t="inlineStr">
        <is>
          <t>https://nvd.nist.gov/vuln/detail/CVE-2026-2976</t>
        </is>
      </c>
      <c r="X232" t="inlineStr">
        <is>
          <t>NONE</t>
        </is>
      </c>
      <c r="Y232" t="n">
        <v>0</v>
      </c>
      <c r="Z232" t="inlineStr"/>
      <c r="AA232" t="inlineStr">
        <is>
          <t>https://nvd.nist.gov/vuln/detail/CVE-2026-2976</t>
        </is>
      </c>
    </row>
    <row r="233">
      <c r="A233" t="inlineStr">
        <is>
          <t>CVE</t>
        </is>
      </c>
      <c r="B233" t="inlineStr">
        <is>
          <t>CVE-2026-1367</t>
        </is>
      </c>
      <c r="C233" t="inlineStr">
        <is>
          <t>Zohocorp ManageEngine ADSelfService Plus versions 6522 and below are vulnerable to authenticated SQL Injection in the search report option.</t>
        </is>
      </c>
      <c r="D233" t="n">
        <v>8.300000000000001</v>
      </c>
      <c r="E233" t="inlineStr">
        <is>
          <t>HIGH</t>
        </is>
      </c>
      <c r="F233" t="n">
        <v>2</v>
      </c>
      <c r="G233" t="n">
        <v>3</v>
      </c>
      <c r="H233" t="inlineStr">
        <is>
          <t>HIGH</t>
        </is>
      </c>
      <c r="I233" t="n">
        <v>14.3</v>
      </c>
      <c r="J233" t="inlineStr">
        <is>
          <t>NO</t>
        </is>
      </c>
      <c r="K233" t="inlineStr">
        <is>
          <t>2026-02-27 20:47</t>
        </is>
      </c>
      <c r="L233" t="inlineStr">
        <is>
          <t>CHECK_VENDOR</t>
        </is>
      </c>
      <c r="M233" t="inlineStr">
        <is>
          <t>See CVE details</t>
        </is>
      </c>
      <c r="N233" t="inlineStr">
        <is>
          <t>P3</t>
        </is>
      </c>
      <c r="O233" t="inlineStr">
        <is>
          <t>CVE - IP enrichment n/a</t>
        </is>
      </c>
      <c r="P233" t="n">
        <v>0.0018</v>
      </c>
      <c r="Q233" t="n">
        <v>0.3931</v>
      </c>
      <c r="R233" t="inlineStr">
        <is>
          <t>T1190:Exploit Public-Facing Application</t>
        </is>
      </c>
      <c r="S233" t="n">
        <v>1</v>
      </c>
      <c r="T233" t="inlineStr">
        <is>
          <t>LOW (40%)</t>
        </is>
      </c>
      <c r="U233" t="inlineStr">
        <is>
          <t>UNLIKELY</t>
        </is>
      </c>
      <c r="V233" t="inlineStr">
        <is>
          <t>CHECK_VENDOR</t>
        </is>
      </c>
      <c r="W233" t="inlineStr">
        <is>
          <t>https://nvd.nist.gov/vuln/detail/CVE-2026-1367</t>
        </is>
      </c>
      <c r="X233" t="inlineStr">
        <is>
          <t>NONE</t>
        </is>
      </c>
      <c r="Y233" t="n">
        <v>0</v>
      </c>
      <c r="Z233" t="inlineStr"/>
      <c r="AA233" t="inlineStr">
        <is>
          <t>https://nvd.nist.gov/vuln/detail/CVE-2026-1367</t>
        </is>
      </c>
    </row>
    <row r="234">
      <c r="A234" t="inlineStr">
        <is>
          <t>CVE</t>
        </is>
      </c>
      <c r="B234" t="inlineStr">
        <is>
          <t>CVE-2026-2977</t>
        </is>
      </c>
      <c r="C234"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234" t="n">
        <v>6.3</v>
      </c>
      <c r="E234" t="inlineStr">
        <is>
          <t>MEDIUM</t>
        </is>
      </c>
      <c r="F234" t="n">
        <v>2</v>
      </c>
      <c r="G234" t="n">
        <v>2</v>
      </c>
      <c r="H234" t="inlineStr">
        <is>
          <t>MEDIUM</t>
        </is>
      </c>
      <c r="I234" t="n">
        <v>10.3</v>
      </c>
      <c r="J234" t="inlineStr">
        <is>
          <t>NO</t>
        </is>
      </c>
      <c r="K234" t="inlineStr">
        <is>
          <t>2026-02-27 20:47</t>
        </is>
      </c>
      <c r="L234" t="inlineStr">
        <is>
          <t>CHECK_VENDOR</t>
        </is>
      </c>
      <c r="M234" t="inlineStr">
        <is>
          <t>fastapiadmin fastapi-admin 2.2.0 | fastapiadmin fastapi-admin 2.1 | fastapiadmin fastapi-admin 2.0</t>
        </is>
      </c>
      <c r="N234" t="inlineStr">
        <is>
          <t>P4</t>
        </is>
      </c>
      <c r="O234" t="inlineStr">
        <is>
          <t>CVE - IP enrichment n/a</t>
        </is>
      </c>
      <c r="P234" t="n">
        <v>0.0003</v>
      </c>
      <c r="Q234" t="n">
        <v>0.091</v>
      </c>
      <c r="R234" t="inlineStr">
        <is>
          <t>T1190:Exploit Public-Facing Application</t>
        </is>
      </c>
      <c r="S234" t="n">
        <v>1</v>
      </c>
      <c r="T234" t="inlineStr">
        <is>
          <t>LOW (40%)</t>
        </is>
      </c>
      <c r="U234" t="inlineStr">
        <is>
          <t>UNLIKELY</t>
        </is>
      </c>
      <c r="V234" t="inlineStr">
        <is>
          <t>CHECK_VENDOR</t>
        </is>
      </c>
      <c r="W234" t="inlineStr">
        <is>
          <t>https://nvd.nist.gov/vuln/detail/CVE-2026-2977</t>
        </is>
      </c>
      <c r="X234" t="inlineStr">
        <is>
          <t>NONE</t>
        </is>
      </c>
      <c r="Y234" t="n">
        <v>0</v>
      </c>
      <c r="Z234" t="inlineStr"/>
      <c r="AA234" t="inlineStr">
        <is>
          <t>https://nvd.nist.gov/vuln/detail/CVE-2026-2977</t>
        </is>
      </c>
    </row>
    <row r="235">
      <c r="A235" t="inlineStr">
        <is>
          <t>CVE</t>
        </is>
      </c>
      <c r="B235" t="inlineStr">
        <is>
          <t>CVE-2026-2978</t>
        </is>
      </c>
      <c r="C235"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235" t="n">
        <v>6.3</v>
      </c>
      <c r="E235" t="inlineStr">
        <is>
          <t>MEDIUM</t>
        </is>
      </c>
      <c r="F235" t="n">
        <v>2</v>
      </c>
      <c r="G235" t="n">
        <v>2</v>
      </c>
      <c r="H235" t="inlineStr">
        <is>
          <t>MEDIUM</t>
        </is>
      </c>
      <c r="I235" t="n">
        <v>10.3</v>
      </c>
      <c r="J235" t="inlineStr">
        <is>
          <t>NO</t>
        </is>
      </c>
      <c r="K235" t="inlineStr">
        <is>
          <t>2026-02-27 20:47</t>
        </is>
      </c>
      <c r="L235" t="inlineStr">
        <is>
          <t>CHECK_VENDOR</t>
        </is>
      </c>
      <c r="M235" t="inlineStr">
        <is>
          <t>fastapiadmin fastapi-admin 2.2.0 | fastapiadmin fastapi-admin 2.1 | fastapiadmin fastapi-admin 2.0</t>
        </is>
      </c>
      <c r="N235" t="inlineStr">
        <is>
          <t>P4</t>
        </is>
      </c>
      <c r="O235" t="inlineStr">
        <is>
          <t>CVE - IP enrichment n/a</t>
        </is>
      </c>
      <c r="P235" t="n">
        <v>0.0003</v>
      </c>
      <c r="Q235" t="n">
        <v>0.091</v>
      </c>
      <c r="R235" t="inlineStr">
        <is>
          <t>T1190:Exploit Public-Facing Application</t>
        </is>
      </c>
      <c r="S235" t="n">
        <v>1</v>
      </c>
      <c r="T235" t="inlineStr">
        <is>
          <t>LOW (40%)</t>
        </is>
      </c>
      <c r="U235" t="inlineStr">
        <is>
          <t>UNLIKELY</t>
        </is>
      </c>
      <c r="V235" t="inlineStr">
        <is>
          <t>CHECK_VENDOR</t>
        </is>
      </c>
      <c r="W235" t="inlineStr">
        <is>
          <t>https://nvd.nist.gov/vuln/detail/CVE-2026-2978</t>
        </is>
      </c>
      <c r="X235" t="inlineStr">
        <is>
          <t>NONE</t>
        </is>
      </c>
      <c r="Y235" t="n">
        <v>0</v>
      </c>
      <c r="Z235" t="inlineStr"/>
      <c r="AA235" t="inlineStr">
        <is>
          <t>https://nvd.nist.gov/vuln/detail/CVE-2026-2978</t>
        </is>
      </c>
    </row>
    <row r="236">
      <c r="A236" t="inlineStr">
        <is>
          <t>CVE</t>
        </is>
      </c>
      <c r="B236" t="inlineStr">
        <is>
          <t>CVE-2026-23552</t>
        </is>
      </c>
      <c r="C236"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236" t="n">
        <v>9.1</v>
      </c>
      <c r="E236" t="inlineStr">
        <is>
          <t>CRITICAL</t>
        </is>
      </c>
      <c r="F236" t="n">
        <v>2</v>
      </c>
      <c r="G236" t="n">
        <v>3</v>
      </c>
      <c r="H236" t="inlineStr">
        <is>
          <t>HIGH</t>
        </is>
      </c>
      <c r="I236" t="n">
        <v>15.1</v>
      </c>
      <c r="J236" t="inlineStr">
        <is>
          <t>NO</t>
        </is>
      </c>
      <c r="K236" t="inlineStr">
        <is>
          <t>2026-02-27 20:47</t>
        </is>
      </c>
      <c r="L236" t="inlineStr">
        <is>
          <t>YES</t>
        </is>
      </c>
      <c r="M236" t="inlineStr">
        <is>
          <t>apache camel *</t>
        </is>
      </c>
      <c r="N236" t="inlineStr">
        <is>
          <t>P3</t>
        </is>
      </c>
      <c r="O236" t="inlineStr">
        <is>
          <t>CVE - IP enrichment n/a</t>
        </is>
      </c>
      <c r="P236" t="n">
        <v>0.0003</v>
      </c>
      <c r="Q236" t="n">
        <v>0.0859</v>
      </c>
      <c r="R236" t="inlineStr">
        <is>
          <t>T1190:Exploit Public-Facing Application</t>
        </is>
      </c>
      <c r="S236" t="n">
        <v>1</v>
      </c>
      <c r="T236" t="inlineStr">
        <is>
          <t>LOW (40%)</t>
        </is>
      </c>
      <c r="U236" t="inlineStr">
        <is>
          <t>UNLIKELY</t>
        </is>
      </c>
      <c r="V236" t="inlineStr">
        <is>
          <t>PATCH_AVAILABLE</t>
        </is>
      </c>
      <c r="W236" t="inlineStr">
        <is>
          <t>https://nvd.nist.gov/vuln/detail/CVE-2026-23552</t>
        </is>
      </c>
      <c r="X236" t="inlineStr">
        <is>
          <t>NONE</t>
        </is>
      </c>
      <c r="Y236" t="n">
        <v>0</v>
      </c>
      <c r="Z236" t="inlineStr"/>
      <c r="AA236" t="inlineStr">
        <is>
          <t>https://nvd.nist.gov/vuln/detail/CVE-2026-23552</t>
        </is>
      </c>
    </row>
    <row r="237">
      <c r="A237" t="inlineStr">
        <is>
          <t>CVE</t>
        </is>
      </c>
      <c r="B237" t="inlineStr">
        <is>
          <t>CVE-2026-25747</t>
        </is>
      </c>
      <c r="C237"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237" t="n">
        <v>8.800000000000001</v>
      </c>
      <c r="E237" t="inlineStr">
        <is>
          <t>HIGH</t>
        </is>
      </c>
      <c r="F237" t="n">
        <v>2</v>
      </c>
      <c r="G237" t="n">
        <v>3</v>
      </c>
      <c r="H237" t="inlineStr">
        <is>
          <t>HIGH</t>
        </is>
      </c>
      <c r="I237" t="n">
        <v>14.8</v>
      </c>
      <c r="J237" t="inlineStr">
        <is>
          <t>NO</t>
        </is>
      </c>
      <c r="K237" t="inlineStr">
        <is>
          <t>2026-02-27 20:47</t>
        </is>
      </c>
      <c r="L237" t="inlineStr">
        <is>
          <t>YES</t>
        </is>
      </c>
      <c r="M237" t="inlineStr">
        <is>
          <t>apache camel *</t>
        </is>
      </c>
      <c r="N237" t="inlineStr">
        <is>
          <t>P3</t>
        </is>
      </c>
      <c r="O237" t="inlineStr">
        <is>
          <t>CVE - IP enrichment n/a</t>
        </is>
      </c>
      <c r="P237" t="n">
        <v>0.0011</v>
      </c>
      <c r="Q237" t="n">
        <v>0.29</v>
      </c>
      <c r="R237" t="inlineStr">
        <is>
          <t>T1059:Command and Scripting Interpreter | T1203:Exploitation for Client Execution</t>
        </is>
      </c>
      <c r="S237" t="n">
        <v>1</v>
      </c>
      <c r="T237" t="inlineStr">
        <is>
          <t>LOW (40%)</t>
        </is>
      </c>
      <c r="U237" t="inlineStr">
        <is>
          <t>UNLIKELY</t>
        </is>
      </c>
      <c r="V237" t="inlineStr">
        <is>
          <t>PATCH_AVAILABLE</t>
        </is>
      </c>
      <c r="W237" t="inlineStr">
        <is>
          <t>https://nvd.nist.gov/vuln/detail/CVE-2026-25747</t>
        </is>
      </c>
      <c r="X237" t="inlineStr">
        <is>
          <t>NONE</t>
        </is>
      </c>
      <c r="Y237" t="n">
        <v>0</v>
      </c>
      <c r="Z237" t="inlineStr"/>
      <c r="AA237" t="inlineStr">
        <is>
          <t>https://nvd.nist.gov/vuln/detail/CVE-2026-25747</t>
        </is>
      </c>
    </row>
    <row r="238">
      <c r="A238" t="inlineStr">
        <is>
          <t>CVE</t>
        </is>
      </c>
      <c r="B238" t="inlineStr">
        <is>
          <t>CVE-2026-26365</t>
        </is>
      </c>
      <c r="C238"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238" t="n">
        <v>4</v>
      </c>
      <c r="E238" t="inlineStr">
        <is>
          <t>MEDIUM</t>
        </is>
      </c>
      <c r="F238" t="n">
        <v>2</v>
      </c>
      <c r="G238" t="n">
        <v>2</v>
      </c>
      <c r="H238" t="inlineStr">
        <is>
          <t>MEDIUM</t>
        </is>
      </c>
      <c r="I238" t="n">
        <v>8</v>
      </c>
      <c r="J238" t="inlineStr">
        <is>
          <t>NO</t>
        </is>
      </c>
      <c r="K238" t="inlineStr">
        <is>
          <t>2026-02-27 20:47</t>
        </is>
      </c>
      <c r="L238" t="inlineStr">
        <is>
          <t>CHECK_VENDOR</t>
        </is>
      </c>
      <c r="M238" t="inlineStr">
        <is>
          <t>See CVE details</t>
        </is>
      </c>
      <c r="N238" t="inlineStr">
        <is>
          <t>P4</t>
        </is>
      </c>
      <c r="O238" t="inlineStr">
        <is>
          <t>CVE - IP enrichment n/a</t>
        </is>
      </c>
      <c r="P238" t="n">
        <v>0.0003</v>
      </c>
      <c r="Q238" t="n">
        <v>0.079</v>
      </c>
      <c r="R238" t="inlineStr">
        <is>
          <t>T1190:Exploit Public-Facing Application</t>
        </is>
      </c>
      <c r="S238" t="n">
        <v>1</v>
      </c>
      <c r="T238" t="inlineStr">
        <is>
          <t>LOW (40%)</t>
        </is>
      </c>
      <c r="U238" t="inlineStr">
        <is>
          <t>UNLIKELY</t>
        </is>
      </c>
      <c r="V238" t="inlineStr">
        <is>
          <t>CHECK_VENDOR</t>
        </is>
      </c>
      <c r="W238" t="inlineStr">
        <is>
          <t>https://nvd.nist.gov/vuln/detail/CVE-2026-26365</t>
        </is>
      </c>
      <c r="X238" t="inlineStr">
        <is>
          <t>NONE</t>
        </is>
      </c>
      <c r="Y238" t="n">
        <v>0</v>
      </c>
      <c r="Z238" t="inlineStr"/>
      <c r="AA238" t="inlineStr">
        <is>
          <t>https://nvd.nist.gov/vuln/detail/CVE-2026-26365</t>
        </is>
      </c>
    </row>
    <row r="239">
      <c r="A239" t="inlineStr">
        <is>
          <t>CVE</t>
        </is>
      </c>
      <c r="B239" t="inlineStr">
        <is>
          <t>CVE-2026-2979</t>
        </is>
      </c>
      <c r="C239"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239" t="n">
        <v>6.3</v>
      </c>
      <c r="E239" t="inlineStr">
        <is>
          <t>MEDIUM</t>
        </is>
      </c>
      <c r="F239" t="n">
        <v>2</v>
      </c>
      <c r="G239" t="n">
        <v>2</v>
      </c>
      <c r="H239" t="inlineStr">
        <is>
          <t>MEDIUM</t>
        </is>
      </c>
      <c r="I239" t="n">
        <v>10.3</v>
      </c>
      <c r="J239" t="inlineStr">
        <is>
          <t>NO</t>
        </is>
      </c>
      <c r="K239" t="inlineStr">
        <is>
          <t>2026-02-27 20:47</t>
        </is>
      </c>
      <c r="L239" t="inlineStr">
        <is>
          <t>CHECK_VENDOR</t>
        </is>
      </c>
      <c r="M239" t="inlineStr">
        <is>
          <t>fastapiadmin fastapi-admin 2.2.0 | fastapiadmin fastapi-admin 2.1 | fastapiadmin fastapi-admin 2.0</t>
        </is>
      </c>
      <c r="N239" t="inlineStr">
        <is>
          <t>P4</t>
        </is>
      </c>
      <c r="O239" t="inlineStr">
        <is>
          <t>CVE - IP enrichment n/a</t>
        </is>
      </c>
      <c r="P239" t="n">
        <v>0.0004</v>
      </c>
      <c r="Q239" t="n">
        <v>0.122</v>
      </c>
      <c r="R239" t="inlineStr">
        <is>
          <t>T1190:Exploit Public-Facing Application</t>
        </is>
      </c>
      <c r="S239" t="n">
        <v>1</v>
      </c>
      <c r="T239" t="inlineStr">
        <is>
          <t>LOW (40%)</t>
        </is>
      </c>
      <c r="U239" t="inlineStr">
        <is>
          <t>UNLIKELY</t>
        </is>
      </c>
      <c r="V239" t="inlineStr">
        <is>
          <t>CHECK_VENDOR</t>
        </is>
      </c>
      <c r="W239" t="inlineStr">
        <is>
          <t>https://nvd.nist.gov/vuln/detail/CVE-2026-2979</t>
        </is>
      </c>
      <c r="X239" t="inlineStr">
        <is>
          <t>NONE</t>
        </is>
      </c>
      <c r="Y239" t="n">
        <v>0</v>
      </c>
      <c r="Z239" t="inlineStr"/>
      <c r="AA239" t="inlineStr">
        <is>
          <t>https://nvd.nist.gov/vuln/detail/CVE-2026-2979</t>
        </is>
      </c>
    </row>
    <row r="240">
      <c r="A240" t="inlineStr">
        <is>
          <t>CVE</t>
        </is>
      </c>
      <c r="B240" t="inlineStr">
        <is>
          <t>CVE-2026-2980</t>
        </is>
      </c>
      <c r="C240"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240" t="n">
        <v>7.2</v>
      </c>
      <c r="E240" t="inlineStr">
        <is>
          <t>HIGH</t>
        </is>
      </c>
      <c r="F240" t="n">
        <v>2</v>
      </c>
      <c r="G240" t="n">
        <v>3</v>
      </c>
      <c r="H240" t="inlineStr">
        <is>
          <t>HIGH</t>
        </is>
      </c>
      <c r="I240" t="n">
        <v>13.2</v>
      </c>
      <c r="J240" t="inlineStr">
        <is>
          <t>NO</t>
        </is>
      </c>
      <c r="K240" t="inlineStr">
        <is>
          <t>2026-02-27 20:47</t>
        </is>
      </c>
      <c r="L240" t="inlineStr">
        <is>
          <t>CHECK_VENDOR</t>
        </is>
      </c>
      <c r="M240" t="inlineStr">
        <is>
          <t>utt 810g 3.0 | utt 810g_firmware *</t>
        </is>
      </c>
      <c r="N240" t="inlineStr">
        <is>
          <t>P3</t>
        </is>
      </c>
      <c r="O240" t="inlineStr">
        <is>
          <t>CVE - IP enrichment n/a</t>
        </is>
      </c>
      <c r="P240" t="n">
        <v>0.0008</v>
      </c>
      <c r="Q240" t="n">
        <v>0.2455</v>
      </c>
      <c r="R240" t="inlineStr">
        <is>
          <t>T1203:Exploitation for Client Execution</t>
        </is>
      </c>
      <c r="S240" t="n">
        <v>1</v>
      </c>
      <c r="T240" t="inlineStr">
        <is>
          <t>LOW (40%)</t>
        </is>
      </c>
      <c r="U240" t="inlineStr">
        <is>
          <t>UNLIKELY</t>
        </is>
      </c>
      <c r="V240" t="inlineStr">
        <is>
          <t>CHECK_VENDOR</t>
        </is>
      </c>
      <c r="W240" t="inlineStr">
        <is>
          <t>https://nvd.nist.gov/vuln/detail/CVE-2026-2980</t>
        </is>
      </c>
      <c r="X240" t="inlineStr">
        <is>
          <t>NONE</t>
        </is>
      </c>
      <c r="Y240" t="n">
        <v>0</v>
      </c>
      <c r="Z240" t="inlineStr"/>
      <c r="AA240" t="inlineStr">
        <is>
          <t>https://nvd.nist.gov/vuln/detail/CVE-2026-2980</t>
        </is>
      </c>
    </row>
    <row r="241">
      <c r="A241" t="inlineStr">
        <is>
          <t>CVE</t>
        </is>
      </c>
      <c r="B241" t="inlineStr">
        <is>
          <t>CVE-2026-2981</t>
        </is>
      </c>
      <c r="C241"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241" t="n">
        <v>8.800000000000001</v>
      </c>
      <c r="E241" t="inlineStr">
        <is>
          <t>HIGH</t>
        </is>
      </c>
      <c r="F241" t="n">
        <v>2</v>
      </c>
      <c r="G241" t="n">
        <v>3</v>
      </c>
      <c r="H241" t="inlineStr">
        <is>
          <t>HIGH</t>
        </is>
      </c>
      <c r="I241" t="n">
        <v>14.8</v>
      </c>
      <c r="J241" t="inlineStr">
        <is>
          <t>NO</t>
        </is>
      </c>
      <c r="K241" t="inlineStr">
        <is>
          <t>2026-02-27 20:47</t>
        </is>
      </c>
      <c r="L241" t="inlineStr">
        <is>
          <t>CHECK_VENDOR</t>
        </is>
      </c>
      <c r="M241" t="inlineStr">
        <is>
          <t>utt 810g 3.0 | utt 810g_firmware *</t>
        </is>
      </c>
      <c r="N241" t="inlineStr">
        <is>
          <t>P3</t>
        </is>
      </c>
      <c r="O241" t="inlineStr">
        <is>
          <t>CVE - IP enrichment n/a</t>
        </is>
      </c>
      <c r="P241" t="n">
        <v>0.0008</v>
      </c>
      <c r="Q241" t="n">
        <v>0.2442</v>
      </c>
      <c r="R241" t="inlineStr">
        <is>
          <t>T1203:Exploitation for Client Execution</t>
        </is>
      </c>
      <c r="S241" t="n">
        <v>1</v>
      </c>
      <c r="T241" t="inlineStr">
        <is>
          <t>LOW (40%)</t>
        </is>
      </c>
      <c r="U241" t="inlineStr">
        <is>
          <t>UNLIKELY</t>
        </is>
      </c>
      <c r="V241" t="inlineStr">
        <is>
          <t>CHECK_VENDOR</t>
        </is>
      </c>
      <c r="W241" t="inlineStr">
        <is>
          <t>https://nvd.nist.gov/vuln/detail/CVE-2026-2981</t>
        </is>
      </c>
      <c r="X241" t="inlineStr">
        <is>
          <t>NONE</t>
        </is>
      </c>
      <c r="Y241" t="n">
        <v>0</v>
      </c>
      <c r="Z241" t="inlineStr"/>
      <c r="AA241" t="inlineStr">
        <is>
          <t>https://nvd.nist.gov/vuln/detail/CVE-2026-2981</t>
        </is>
      </c>
    </row>
    <row r="242">
      <c r="A242" t="inlineStr">
        <is>
          <t>CVE</t>
        </is>
      </c>
      <c r="B242" t="inlineStr">
        <is>
          <t>CVE-2025-41002</t>
        </is>
      </c>
      <c r="C242" t="inlineStr">
        <is>
          <t>SQL injection vulnerability in Infoticketing. This vulnerability allows
 an unauthenticated attacker to retrieve, create, update, and delete the
 database by sending a POST request using the 'code' parameter in '/components/cart/cartApplyDiscount.php'.</t>
        </is>
      </c>
      <c r="D242" t="n">
        <v>8.5</v>
      </c>
      <c r="E242" t="inlineStr">
        <is>
          <t>HIGH</t>
        </is>
      </c>
      <c r="F242" t="n">
        <v>2</v>
      </c>
      <c r="G242" t="n">
        <v>3</v>
      </c>
      <c r="H242" t="inlineStr">
        <is>
          <t>HIGH</t>
        </is>
      </c>
      <c r="I242" t="n">
        <v>14.5</v>
      </c>
      <c r="J242" t="inlineStr">
        <is>
          <t>NO</t>
        </is>
      </c>
      <c r="K242" t="inlineStr">
        <is>
          <t>2026-02-27 20:47</t>
        </is>
      </c>
      <c r="L242" t="inlineStr">
        <is>
          <t>CHECK_VENDOR</t>
        </is>
      </c>
      <c r="M242" t="inlineStr">
        <is>
          <t>See CVE details</t>
        </is>
      </c>
      <c r="N242" t="inlineStr">
        <is>
          <t>P3</t>
        </is>
      </c>
      <c r="O242" t="inlineStr">
        <is>
          <t>CVE - IP enrichment n/a</t>
        </is>
      </c>
      <c r="P242" t="n">
        <v>0.0005999999999999999</v>
      </c>
      <c r="Q242" t="n">
        <v>0.1876</v>
      </c>
      <c r="R242" t="inlineStr">
        <is>
          <t>T1190:Exploit Public-Facing Application</t>
        </is>
      </c>
      <c r="S242" t="n">
        <v>1</v>
      </c>
      <c r="T242" t="inlineStr">
        <is>
          <t>LOW (40%)</t>
        </is>
      </c>
      <c r="U242" t="inlineStr">
        <is>
          <t>UNLIKELY</t>
        </is>
      </c>
      <c r="V242" t="inlineStr">
        <is>
          <t>CHECK_VENDOR</t>
        </is>
      </c>
      <c r="W242" t="inlineStr">
        <is>
          <t>https://nvd.nist.gov/vuln/detail/CVE-2025-41002</t>
        </is>
      </c>
      <c r="X242" t="inlineStr">
        <is>
          <t>NONE</t>
        </is>
      </c>
      <c r="Y242" t="n">
        <v>0</v>
      </c>
      <c r="Z242" t="inlineStr"/>
      <c r="AA242" t="inlineStr">
        <is>
          <t>https://nvd.nist.gov/vuln/detail/CVE-2025-41002</t>
        </is>
      </c>
    </row>
    <row r="243">
      <c r="A243" t="inlineStr">
        <is>
          <t>CVE</t>
        </is>
      </c>
      <c r="B243" t="inlineStr">
        <is>
          <t>CVE-2026-2983</t>
        </is>
      </c>
      <c r="C243"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243" t="n">
        <v>7.3</v>
      </c>
      <c r="E243" t="inlineStr">
        <is>
          <t>HIGH</t>
        </is>
      </c>
      <c r="F243" t="n">
        <v>2</v>
      </c>
      <c r="G243" t="n">
        <v>3</v>
      </c>
      <c r="H243" t="inlineStr">
        <is>
          <t>HIGH</t>
        </is>
      </c>
      <c r="I243" t="n">
        <v>13.3</v>
      </c>
      <c r="J243" t="inlineStr">
        <is>
          <t>NO</t>
        </is>
      </c>
      <c r="K243" t="inlineStr">
        <is>
          <t>2026-02-27 20:47</t>
        </is>
      </c>
      <c r="L243" t="inlineStr">
        <is>
          <t>YES</t>
        </is>
      </c>
      <c r="M243" t="inlineStr">
        <is>
          <t>munyweki student_result_management_system 1.0</t>
        </is>
      </c>
      <c r="N243" t="inlineStr">
        <is>
          <t>P3</t>
        </is>
      </c>
      <c r="O243" t="inlineStr">
        <is>
          <t>CVE - IP enrichment n/a</t>
        </is>
      </c>
      <c r="P243" t="n">
        <v>0.0004</v>
      </c>
      <c r="Q243" t="n">
        <v>0.1039</v>
      </c>
      <c r="R243" t="inlineStr">
        <is>
          <t>T1190:Exploit Public-Facing Application</t>
        </is>
      </c>
      <c r="S243" t="n">
        <v>1</v>
      </c>
      <c r="T243" t="inlineStr">
        <is>
          <t>LOW (40%)</t>
        </is>
      </c>
      <c r="U243" t="inlineStr">
        <is>
          <t>UNLIKELY</t>
        </is>
      </c>
      <c r="V243" t="inlineStr">
        <is>
          <t>PATCH_AVAILABLE</t>
        </is>
      </c>
      <c r="W243" t="inlineStr">
        <is>
          <t>https://nvd.nist.gov/vuln/detail/CVE-2026-2983</t>
        </is>
      </c>
      <c r="X243" t="inlineStr">
        <is>
          <t>NONE</t>
        </is>
      </c>
      <c r="Y243" t="n">
        <v>0</v>
      </c>
      <c r="Z243" t="inlineStr"/>
      <c r="AA243" t="inlineStr">
        <is>
          <t>https://nvd.nist.gov/vuln/detail/CVE-2026-2983</t>
        </is>
      </c>
    </row>
    <row r="244">
      <c r="A244" t="inlineStr">
        <is>
          <t>CVE</t>
        </is>
      </c>
      <c r="B244" t="inlineStr">
        <is>
          <t>CVE-2025-40701</t>
        </is>
      </c>
      <c r="C244"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244" t="n">
        <v>5</v>
      </c>
      <c r="E244" t="inlineStr">
        <is>
          <t>MEDIUM</t>
        </is>
      </c>
      <c r="F244" t="n">
        <v>2</v>
      </c>
      <c r="G244" t="n">
        <v>2</v>
      </c>
      <c r="H244" t="inlineStr">
        <is>
          <t>MEDIUM</t>
        </is>
      </c>
      <c r="I244" t="n">
        <v>9</v>
      </c>
      <c r="J244" t="inlineStr">
        <is>
          <t>NO</t>
        </is>
      </c>
      <c r="K244" t="inlineStr">
        <is>
          <t>2026-02-27 20:47</t>
        </is>
      </c>
      <c r="L244" t="inlineStr">
        <is>
          <t>CHECK_VENDOR</t>
        </is>
      </c>
      <c r="M244" t="inlineStr">
        <is>
          <t>See CVE details</t>
        </is>
      </c>
      <c r="N244" t="inlineStr">
        <is>
          <t>P4</t>
        </is>
      </c>
      <c r="O244" t="inlineStr">
        <is>
          <t>CVE - IP enrichment n/a</t>
        </is>
      </c>
      <c r="P244" t="n">
        <v>0.0001</v>
      </c>
      <c r="Q244" t="n">
        <v>0.0306</v>
      </c>
      <c r="R244" t="inlineStr">
        <is>
          <t>T1189:Drive-by Compromise</t>
        </is>
      </c>
      <c r="S244" t="n">
        <v>1</v>
      </c>
      <c r="T244" t="inlineStr">
        <is>
          <t>LOW (40%)</t>
        </is>
      </c>
      <c r="U244" t="inlineStr">
        <is>
          <t>UNLIKELY</t>
        </is>
      </c>
      <c r="V244" t="inlineStr">
        <is>
          <t>CHECK_VENDOR</t>
        </is>
      </c>
      <c r="W244" t="inlineStr">
        <is>
          <t>https://nvd.nist.gov/vuln/detail/CVE-2025-40701</t>
        </is>
      </c>
      <c r="X244" t="inlineStr">
        <is>
          <t>NONE</t>
        </is>
      </c>
      <c r="Y244" t="n">
        <v>0</v>
      </c>
      <c r="Z244" t="inlineStr"/>
      <c r="AA244" t="inlineStr">
        <is>
          <t>https://nvd.nist.gov/vuln/detail/CVE-2025-40701</t>
        </is>
      </c>
    </row>
    <row r="245">
      <c r="A245" t="inlineStr">
        <is>
          <t>CVE</t>
        </is>
      </c>
      <c r="B245" t="inlineStr">
        <is>
          <t>CVE-2025-40986</t>
        </is>
      </c>
      <c r="C245"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245" t="n">
        <v>5</v>
      </c>
      <c r="E245" t="inlineStr">
        <is>
          <t>MEDIUM</t>
        </is>
      </c>
      <c r="F245" t="n">
        <v>2</v>
      </c>
      <c r="G245" t="n">
        <v>2</v>
      </c>
      <c r="H245" t="inlineStr">
        <is>
          <t>MEDIUM</t>
        </is>
      </c>
      <c r="I245" t="n">
        <v>9</v>
      </c>
      <c r="J245" t="inlineStr">
        <is>
          <t>NO</t>
        </is>
      </c>
      <c r="K245" t="inlineStr">
        <is>
          <t>2026-02-27 20:47</t>
        </is>
      </c>
      <c r="L245" t="inlineStr">
        <is>
          <t>CHECK_VENDOR</t>
        </is>
      </c>
      <c r="M245" t="inlineStr">
        <is>
          <t>See CVE details</t>
        </is>
      </c>
      <c r="N245" t="inlineStr">
        <is>
          <t>P4</t>
        </is>
      </c>
      <c r="O245" t="inlineStr">
        <is>
          <t>CVE - IP enrichment n/a</t>
        </is>
      </c>
      <c r="P245" t="n">
        <v>0.0001</v>
      </c>
      <c r="Q245" t="n">
        <v>0.0306</v>
      </c>
      <c r="R245" t="inlineStr">
        <is>
          <t>T1189:Drive-by Compromise</t>
        </is>
      </c>
      <c r="S245" t="n">
        <v>1</v>
      </c>
      <c r="T245" t="inlineStr">
        <is>
          <t>LOW (40%)</t>
        </is>
      </c>
      <c r="U245" t="inlineStr">
        <is>
          <t>UNLIKELY</t>
        </is>
      </c>
      <c r="V245" t="inlineStr">
        <is>
          <t>CHECK_VENDOR</t>
        </is>
      </c>
      <c r="W245" t="inlineStr">
        <is>
          <t>https://nvd.nist.gov/vuln/detail/CVE-2025-40986</t>
        </is>
      </c>
      <c r="X245" t="inlineStr">
        <is>
          <t>NONE</t>
        </is>
      </c>
      <c r="Y245" t="n">
        <v>0</v>
      </c>
      <c r="Z245" t="inlineStr"/>
      <c r="AA245" t="inlineStr">
        <is>
          <t>https://nvd.nist.gov/vuln/detail/CVE-2025-40986</t>
        </is>
      </c>
    </row>
    <row r="246">
      <c r="A246" t="inlineStr">
        <is>
          <t>CVE</t>
        </is>
      </c>
      <c r="B246" t="inlineStr">
        <is>
          <t>CVE-2025-59873</t>
        </is>
      </c>
      <c r="C246"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246" t="n">
        <v>5.9</v>
      </c>
      <c r="E246" t="inlineStr">
        <is>
          <t>MEDIUM</t>
        </is>
      </c>
      <c r="F246" t="n">
        <v>2</v>
      </c>
      <c r="G246" t="n">
        <v>2</v>
      </c>
      <c r="H246" t="inlineStr">
        <is>
          <t>MEDIUM</t>
        </is>
      </c>
      <c r="I246" t="n">
        <v>9.9</v>
      </c>
      <c r="J246" t="inlineStr">
        <is>
          <t>NO</t>
        </is>
      </c>
      <c r="K246" t="inlineStr">
        <is>
          <t>2026-02-27 20:47</t>
        </is>
      </c>
      <c r="L246" t="inlineStr">
        <is>
          <t>CHECK_VENDOR</t>
        </is>
      </c>
      <c r="M246" t="inlineStr">
        <is>
          <t>See CVE details</t>
        </is>
      </c>
      <c r="N246" t="inlineStr">
        <is>
          <t>P4</t>
        </is>
      </c>
      <c r="O246" t="inlineStr">
        <is>
          <t>CVE - IP enrichment n/a</t>
        </is>
      </c>
      <c r="P246" t="n">
        <v>0.0001</v>
      </c>
      <c r="Q246" t="n">
        <v>0.0142</v>
      </c>
      <c r="R246" t="inlineStr">
        <is>
          <t>T1190:Exploit Public-Facing Application</t>
        </is>
      </c>
      <c r="S246" t="n">
        <v>1</v>
      </c>
      <c r="T246" t="inlineStr">
        <is>
          <t>LOW (40%)</t>
        </is>
      </c>
      <c r="U246" t="inlineStr">
        <is>
          <t>UNLIKELY</t>
        </is>
      </c>
      <c r="V246" t="inlineStr">
        <is>
          <t>CHECK_VENDOR</t>
        </is>
      </c>
      <c r="W246" t="inlineStr">
        <is>
          <t>https://nvd.nist.gov/vuln/detail/CVE-2025-59873</t>
        </is>
      </c>
      <c r="X246" t="inlineStr">
        <is>
          <t>NONE</t>
        </is>
      </c>
      <c r="Y246" t="n">
        <v>0</v>
      </c>
      <c r="Z246" t="inlineStr"/>
      <c r="AA246" t="inlineStr">
        <is>
          <t>https://nvd.nist.gov/vuln/detail/CVE-2025-59873</t>
        </is>
      </c>
    </row>
    <row r="247">
      <c r="A247" t="inlineStr">
        <is>
          <t>CVE</t>
        </is>
      </c>
      <c r="B247" t="inlineStr">
        <is>
          <t>CVE-2026-2984</t>
        </is>
      </c>
      <c r="C247"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247" t="n">
        <v>6.5</v>
      </c>
      <c r="E247" t="inlineStr">
        <is>
          <t>MEDIUM</t>
        </is>
      </c>
      <c r="F247" t="n">
        <v>2</v>
      </c>
      <c r="G247" t="n">
        <v>2</v>
      </c>
      <c r="H247" t="inlineStr">
        <is>
          <t>MEDIUM</t>
        </is>
      </c>
      <c r="I247" t="n">
        <v>10.5</v>
      </c>
      <c r="J247" t="inlineStr">
        <is>
          <t>NO</t>
        </is>
      </c>
      <c r="K247" t="inlineStr">
        <is>
          <t>2026-02-27 20:47</t>
        </is>
      </c>
      <c r="L247" t="inlineStr">
        <is>
          <t>YES</t>
        </is>
      </c>
      <c r="M247" t="inlineStr">
        <is>
          <t>munyweki student_result_management_system 1.0</t>
        </is>
      </c>
      <c r="N247" t="inlineStr">
        <is>
          <t>P4</t>
        </is>
      </c>
      <c r="O247" t="inlineStr">
        <is>
          <t>CVE - IP enrichment n/a</t>
        </is>
      </c>
      <c r="P247" t="n">
        <v>0.0008</v>
      </c>
      <c r="Q247" t="n">
        <v>0.2264</v>
      </c>
      <c r="R247" t="inlineStr">
        <is>
          <t>T1190:Exploit Public-Facing Application | T1499:Endpoint Denial of Service</t>
        </is>
      </c>
      <c r="S247" t="n">
        <v>1</v>
      </c>
      <c r="T247" t="inlineStr">
        <is>
          <t>LOW (40%)</t>
        </is>
      </c>
      <c r="U247" t="inlineStr">
        <is>
          <t>UNLIKELY</t>
        </is>
      </c>
      <c r="V247" t="inlineStr">
        <is>
          <t>PATCH_AVAILABLE</t>
        </is>
      </c>
      <c r="W247" t="inlineStr">
        <is>
          <t>https://nvd.nist.gov/vuln/detail/CVE-2026-2984</t>
        </is>
      </c>
      <c r="X247" t="inlineStr">
        <is>
          <t>NONE</t>
        </is>
      </c>
      <c r="Y247" t="n">
        <v>0</v>
      </c>
      <c r="Z247" t="inlineStr"/>
      <c r="AA247" t="inlineStr">
        <is>
          <t>https://nvd.nist.gov/vuln/detail/CVE-2026-2984</t>
        </is>
      </c>
    </row>
    <row r="248">
      <c r="A248" t="inlineStr">
        <is>
          <t>CVE</t>
        </is>
      </c>
      <c r="B248" t="inlineStr">
        <is>
          <t>CVE-2026-2985</t>
        </is>
      </c>
      <c r="C248"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248" t="n">
        <v>6.3</v>
      </c>
      <c r="E248" t="inlineStr">
        <is>
          <t>MEDIUM</t>
        </is>
      </c>
      <c r="F248" t="n">
        <v>2</v>
      </c>
      <c r="G248" t="n">
        <v>2</v>
      </c>
      <c r="H248" t="inlineStr">
        <is>
          <t>MEDIUM</t>
        </is>
      </c>
      <c r="I248" t="n">
        <v>10.3</v>
      </c>
      <c r="J248" t="inlineStr">
        <is>
          <t>NO</t>
        </is>
      </c>
      <c r="K248" t="inlineStr">
        <is>
          <t>2026-02-27 20:47</t>
        </is>
      </c>
      <c r="L248" t="inlineStr">
        <is>
          <t>CHECK_VENDOR</t>
        </is>
      </c>
      <c r="M248" t="inlineStr">
        <is>
          <t>See CVE details</t>
        </is>
      </c>
      <c r="N248" t="inlineStr">
        <is>
          <t>P4</t>
        </is>
      </c>
      <c r="O248" t="inlineStr">
        <is>
          <t>CVE - IP enrichment n/a</t>
        </is>
      </c>
      <c r="P248" t="n">
        <v>0.0001</v>
      </c>
      <c r="Q248" t="n">
        <v>0.0137</v>
      </c>
      <c r="R248" t="inlineStr">
        <is>
          <t>T1090:Proxy</t>
        </is>
      </c>
      <c r="S248" t="n">
        <v>1</v>
      </c>
      <c r="T248" t="inlineStr">
        <is>
          <t>LOW (40%)</t>
        </is>
      </c>
      <c r="U248" t="inlineStr">
        <is>
          <t>UNLIKELY</t>
        </is>
      </c>
      <c r="V248" t="inlineStr">
        <is>
          <t>CHECK_VENDOR</t>
        </is>
      </c>
      <c r="W248" t="inlineStr">
        <is>
          <t>https://nvd.nist.gov/vuln/detail/CVE-2026-2985</t>
        </is>
      </c>
      <c r="X248" t="inlineStr">
        <is>
          <t>NONE</t>
        </is>
      </c>
      <c r="Y248" t="n">
        <v>0</v>
      </c>
      <c r="Z248" t="inlineStr"/>
      <c r="AA248" t="inlineStr">
        <is>
          <t>https://nvd.nist.gov/vuln/detail/CVE-2026-2985</t>
        </is>
      </c>
    </row>
    <row r="249">
      <c r="A249" t="inlineStr">
        <is>
          <t>CVE</t>
        </is>
      </c>
      <c r="B249" t="inlineStr">
        <is>
          <t>CVE-2025-69700</t>
        </is>
      </c>
      <c r="C249" t="inlineStr">
        <is>
          <t>Tenda FH1203 V2.0.1.6 contains a stack-based buffer overflow vulnerability in the modify_add_client_prio function, which is reachable via the formSetClientPrio CGI handler.</t>
        </is>
      </c>
      <c r="D249" t="n">
        <v>7.5</v>
      </c>
      <c r="E249" t="inlineStr">
        <is>
          <t>HIGH</t>
        </is>
      </c>
      <c r="F249" t="n">
        <v>2</v>
      </c>
      <c r="G249" t="n">
        <v>3</v>
      </c>
      <c r="H249" t="inlineStr">
        <is>
          <t>HIGH</t>
        </is>
      </c>
      <c r="I249" t="n">
        <v>13.5</v>
      </c>
      <c r="J249" t="inlineStr">
        <is>
          <t>NO</t>
        </is>
      </c>
      <c r="K249" t="inlineStr">
        <is>
          <t>2026-02-27 20:47</t>
        </is>
      </c>
      <c r="L249" t="inlineStr">
        <is>
          <t>CHECK_VENDOR</t>
        </is>
      </c>
      <c r="M249" t="inlineStr">
        <is>
          <t>tenda fh1203 - | tenda fh1203_firmware 2.0.1.6</t>
        </is>
      </c>
      <c r="N249" t="inlineStr">
        <is>
          <t>P3</t>
        </is>
      </c>
      <c r="O249" t="inlineStr">
        <is>
          <t>CVE - IP enrichment n/a</t>
        </is>
      </c>
      <c r="P249" t="n">
        <v>0.0004</v>
      </c>
      <c r="Q249" t="n">
        <v>0.1216</v>
      </c>
      <c r="R249" t="inlineStr">
        <is>
          <t>T1190:Exploit Public-Facing Application | T1203:Exploitation for Client Execution</t>
        </is>
      </c>
      <c r="S249" t="n">
        <v>1</v>
      </c>
      <c r="T249" t="inlineStr">
        <is>
          <t>LOW (40%)</t>
        </is>
      </c>
      <c r="U249" t="inlineStr">
        <is>
          <t>UNLIKELY</t>
        </is>
      </c>
      <c r="V249" t="inlineStr">
        <is>
          <t>CHECK_VENDOR</t>
        </is>
      </c>
      <c r="W249" t="inlineStr">
        <is>
          <t>https://nvd.nist.gov/vuln/detail/CVE-2025-69700</t>
        </is>
      </c>
      <c r="X249" t="inlineStr">
        <is>
          <t>NONE</t>
        </is>
      </c>
      <c r="Y249" t="n">
        <v>0</v>
      </c>
      <c r="Z249" t="inlineStr"/>
      <c r="AA249" t="inlineStr">
        <is>
          <t>https://nvd.nist.gov/vuln/detail/CVE-2025-69700</t>
        </is>
      </c>
    </row>
    <row r="250">
      <c r="A250" t="inlineStr">
        <is>
          <t>CVE</t>
        </is>
      </c>
      <c r="B250" t="inlineStr">
        <is>
          <t>CVE-2026-21420</t>
        </is>
      </c>
      <c r="C250"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250" t="n">
        <v>7.3</v>
      </c>
      <c r="E250" t="inlineStr">
        <is>
          <t>HIGH</t>
        </is>
      </c>
      <c r="F250" t="n">
        <v>2</v>
      </c>
      <c r="G250" t="n">
        <v>3</v>
      </c>
      <c r="H250" t="inlineStr">
        <is>
          <t>HIGH</t>
        </is>
      </c>
      <c r="I250" t="n">
        <v>13.3</v>
      </c>
      <c r="J250" t="inlineStr">
        <is>
          <t>NO</t>
        </is>
      </c>
      <c r="K250" t="inlineStr">
        <is>
          <t>2026-02-27 20:47</t>
        </is>
      </c>
      <c r="L250" t="inlineStr">
        <is>
          <t>YES</t>
        </is>
      </c>
      <c r="M250" t="inlineStr">
        <is>
          <t>dell repository_manager *</t>
        </is>
      </c>
      <c r="N250" t="inlineStr">
        <is>
          <t>P3</t>
        </is>
      </c>
      <c r="O250" t="inlineStr">
        <is>
          <t>CVE - IP enrichment n/a</t>
        </is>
      </c>
      <c r="P250" t="n">
        <v>0.0001</v>
      </c>
      <c r="Q250" t="n">
        <v>0.02</v>
      </c>
      <c r="R250" t="inlineStr">
        <is>
          <t>T1203:Exploitation for Client Execution</t>
        </is>
      </c>
      <c r="S250" t="n">
        <v>1</v>
      </c>
      <c r="T250" t="inlineStr">
        <is>
          <t>LOW (40%)</t>
        </is>
      </c>
      <c r="U250" t="inlineStr">
        <is>
          <t>UNLIKELY</t>
        </is>
      </c>
      <c r="V250" t="inlineStr">
        <is>
          <t>PATCH_AVAILABLE</t>
        </is>
      </c>
      <c r="W250" t="inlineStr">
        <is>
          <t>https://nvd.nist.gov/vuln/detail/CVE-2026-21420</t>
        </is>
      </c>
      <c r="X250" t="inlineStr">
        <is>
          <t>NONE</t>
        </is>
      </c>
      <c r="Y250" t="n">
        <v>0</v>
      </c>
      <c r="Z250" t="inlineStr"/>
      <c r="AA250" t="inlineStr">
        <is>
          <t>https://nvd.nist.gov/vuln/detail/CVE-2026-21420</t>
        </is>
      </c>
    </row>
    <row r="251">
      <c r="A251" t="inlineStr">
        <is>
          <t>CVE</t>
        </is>
      </c>
      <c r="B251" t="inlineStr">
        <is>
          <t>CVE-2025-14905</t>
        </is>
      </c>
      <c r="C251"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251" t="n">
        <v>7.2</v>
      </c>
      <c r="E251" t="inlineStr">
        <is>
          <t>HIGH</t>
        </is>
      </c>
      <c r="F251" t="n">
        <v>2</v>
      </c>
      <c r="G251" t="n">
        <v>3</v>
      </c>
      <c r="H251" t="inlineStr">
        <is>
          <t>HIGH</t>
        </is>
      </c>
      <c r="I251" t="n">
        <v>13.2</v>
      </c>
      <c r="J251" t="inlineStr">
        <is>
          <t>NO</t>
        </is>
      </c>
      <c r="K251" t="inlineStr">
        <is>
          <t>2026-02-27 20:47</t>
        </is>
      </c>
      <c r="L251" t="inlineStr">
        <is>
          <t>CHECK_VENDOR</t>
        </is>
      </c>
      <c r="M251" t="inlineStr">
        <is>
          <t>See CVE details</t>
        </is>
      </c>
      <c r="N251" t="inlineStr">
        <is>
          <t>P3</t>
        </is>
      </c>
      <c r="O251" t="inlineStr">
        <is>
          <t>CVE - IP enrichment n/a</t>
        </is>
      </c>
      <c r="P251" t="n">
        <v>0.0016</v>
      </c>
      <c r="Q251" t="n">
        <v>0.3755</v>
      </c>
      <c r="R251" t="inlineStr">
        <is>
          <t>T1190:Exploit Public-Facing Application | T1210:Exploitation of Remote Services | T1203:Exploitation for Client Execution</t>
        </is>
      </c>
      <c r="S251" t="n">
        <v>1</v>
      </c>
      <c r="T251" t="inlineStr">
        <is>
          <t>LOW (40%)</t>
        </is>
      </c>
      <c r="U251" t="inlineStr">
        <is>
          <t>UNLIKELY</t>
        </is>
      </c>
      <c r="V251" t="inlineStr">
        <is>
          <t>CHECK_VENDOR</t>
        </is>
      </c>
      <c r="W251" t="inlineStr">
        <is>
          <t>https://nvd.nist.gov/vuln/detail/CVE-2025-14905</t>
        </is>
      </c>
      <c r="X251" t="inlineStr">
        <is>
          <t>NONE</t>
        </is>
      </c>
      <c r="Y251" t="n">
        <v>0</v>
      </c>
      <c r="Z251" t="inlineStr"/>
      <c r="AA251" t="inlineStr">
        <is>
          <t>https://nvd.nist.gov/vuln/detail/CVE-2025-14905</t>
        </is>
      </c>
    </row>
    <row r="252">
      <c r="A252" t="inlineStr">
        <is>
          <t>CVE</t>
        </is>
      </c>
      <c r="B252" t="inlineStr">
        <is>
          <t>CVE-2025-70043</t>
        </is>
      </c>
      <c r="C252" t="inlineStr">
        <is>
          <t>An issue pertaining to CWE-295: Improper Certificate Validation was discovered in Ayms node-To master. The application disables TLS/SSL certificate validation by setting 'rejectUnauthorized': false in TLS socket options</t>
        </is>
      </c>
      <c r="D252" t="n">
        <v>9.1</v>
      </c>
      <c r="E252" t="inlineStr">
        <is>
          <t>CRITICAL</t>
        </is>
      </c>
      <c r="F252" t="n">
        <v>2</v>
      </c>
      <c r="G252" t="n">
        <v>3</v>
      </c>
      <c r="H252" t="inlineStr">
        <is>
          <t>HIGH</t>
        </is>
      </c>
      <c r="I252" t="n">
        <v>15.1</v>
      </c>
      <c r="J252" t="inlineStr">
        <is>
          <t>NO</t>
        </is>
      </c>
      <c r="K252" t="inlineStr">
        <is>
          <t>2026-02-27 20:47</t>
        </is>
      </c>
      <c r="L252" t="inlineStr">
        <is>
          <t>CHECK_VENDOR</t>
        </is>
      </c>
      <c r="M252" t="inlineStr">
        <is>
          <t>See CVE details</t>
        </is>
      </c>
      <c r="N252" t="inlineStr">
        <is>
          <t>P3</t>
        </is>
      </c>
      <c r="O252" t="inlineStr">
        <is>
          <t>CVE - IP enrichment n/a</t>
        </is>
      </c>
      <c r="P252" t="n">
        <v>0.0002</v>
      </c>
      <c r="Q252" t="n">
        <v>0.0346</v>
      </c>
      <c r="R252" t="inlineStr">
        <is>
          <t>T1190:Exploit Public-Facing Application</t>
        </is>
      </c>
      <c r="S252" t="n">
        <v>1</v>
      </c>
      <c r="T252" t="inlineStr">
        <is>
          <t>LOW (40%)</t>
        </is>
      </c>
      <c r="U252" t="inlineStr">
        <is>
          <t>UNLIKELY</t>
        </is>
      </c>
      <c r="V252" t="inlineStr">
        <is>
          <t>CHECK_VENDOR</t>
        </is>
      </c>
      <c r="W252" t="inlineStr">
        <is>
          <t>https://nvd.nist.gov/vuln/detail/CVE-2025-70043</t>
        </is>
      </c>
      <c r="X252" t="inlineStr">
        <is>
          <t>NONE</t>
        </is>
      </c>
      <c r="Y252" t="n">
        <v>0</v>
      </c>
      <c r="Z252" t="inlineStr"/>
      <c r="AA252" t="inlineStr">
        <is>
          <t>https://nvd.nist.gov/vuln/detail/CVE-2025-70043</t>
        </is>
      </c>
    </row>
    <row r="253">
      <c r="A253" t="inlineStr">
        <is>
          <t>CVE</t>
        </is>
      </c>
      <c r="B253" t="inlineStr">
        <is>
          <t>CVE-2025-70044</t>
        </is>
      </c>
      <c r="C253" t="inlineStr">
        <is>
          <t>An issue pertaining to CWE-295: Improper Certificate Validation was discovered in fofolee uTools-quickcommand 5.0.3.</t>
        </is>
      </c>
      <c r="D253" t="n">
        <v>6.5</v>
      </c>
      <c r="E253" t="inlineStr">
        <is>
          <t>MEDIUM</t>
        </is>
      </c>
      <c r="F253" t="n">
        <v>2</v>
      </c>
      <c r="G253" t="n">
        <v>2</v>
      </c>
      <c r="H253" t="inlineStr">
        <is>
          <t>MEDIUM</t>
        </is>
      </c>
      <c r="I253" t="n">
        <v>10.5</v>
      </c>
      <c r="J253" t="inlineStr">
        <is>
          <t>NO</t>
        </is>
      </c>
      <c r="K253" t="inlineStr">
        <is>
          <t>2026-02-27 20:47</t>
        </is>
      </c>
      <c r="L253" t="inlineStr">
        <is>
          <t>CHECK_VENDOR</t>
        </is>
      </c>
      <c r="M253" t="inlineStr">
        <is>
          <t>fofolee utools-quickcommand 5.0.3</t>
        </is>
      </c>
      <c r="N253" t="inlineStr">
        <is>
          <t>P4</t>
        </is>
      </c>
      <c r="O253" t="inlineStr">
        <is>
          <t>CVE - IP enrichment n/a</t>
        </is>
      </c>
      <c r="P253" t="n">
        <v>0.0002</v>
      </c>
      <c r="Q253" t="n">
        <v>0.0324</v>
      </c>
      <c r="R253" t="inlineStr">
        <is>
          <t>T1190:Exploit Public-Facing Application</t>
        </is>
      </c>
      <c r="S253" t="n">
        <v>1</v>
      </c>
      <c r="T253" t="inlineStr">
        <is>
          <t>LOW (40%)</t>
        </is>
      </c>
      <c r="U253" t="inlineStr">
        <is>
          <t>UNLIKELY</t>
        </is>
      </c>
      <c r="V253" t="inlineStr">
        <is>
          <t>CHECK_VENDOR</t>
        </is>
      </c>
      <c r="W253" t="inlineStr">
        <is>
          <t>https://nvd.nist.gov/vuln/detail/CVE-2025-70044</t>
        </is>
      </c>
      <c r="X253" t="inlineStr">
        <is>
          <t>NONE</t>
        </is>
      </c>
      <c r="Y253" t="n">
        <v>0</v>
      </c>
      <c r="Z253" t="inlineStr"/>
      <c r="AA253" t="inlineStr">
        <is>
          <t>https://nvd.nist.gov/vuln/detail/CVE-2025-70044</t>
        </is>
      </c>
    </row>
    <row r="254">
      <c r="A254" t="inlineStr">
        <is>
          <t>CVE</t>
        </is>
      </c>
      <c r="B254" t="inlineStr">
        <is>
          <t>CVE-2025-70045</t>
        </is>
      </c>
      <c r="C254" t="inlineStr">
        <is>
          <t>An issue pertaining to CWE-295: Improper Certificate Validation was discovered in jxcore jxm master. The application disables TLS/SSL certificate validation by setting 'rejectUnauthorized': false in HTTPS request options when 'jx_obj.IsSecure' is true</t>
        </is>
      </c>
      <c r="D254" t="n">
        <v>7.4</v>
      </c>
      <c r="E254" t="inlineStr">
        <is>
          <t>HIGH</t>
        </is>
      </c>
      <c r="F254" t="n">
        <v>2</v>
      </c>
      <c r="G254" t="n">
        <v>3</v>
      </c>
      <c r="H254" t="inlineStr">
        <is>
          <t>HIGH</t>
        </is>
      </c>
      <c r="I254" t="n">
        <v>13.4</v>
      </c>
      <c r="J254" t="inlineStr">
        <is>
          <t>NO</t>
        </is>
      </c>
      <c r="K254" t="inlineStr">
        <is>
          <t>2026-02-27 20:47</t>
        </is>
      </c>
      <c r="L254" t="inlineStr">
        <is>
          <t>CHECK_VENDOR</t>
        </is>
      </c>
      <c r="M254" t="inlineStr">
        <is>
          <t>jxcore jxm -</t>
        </is>
      </c>
      <c r="N254" t="inlineStr">
        <is>
          <t>P3</t>
        </is>
      </c>
      <c r="O254" t="inlineStr">
        <is>
          <t>CVE - IP enrichment n/a</t>
        </is>
      </c>
      <c r="P254" t="n">
        <v>0.0002</v>
      </c>
      <c r="Q254" t="n">
        <v>0.0372</v>
      </c>
      <c r="R254" t="inlineStr">
        <is>
          <t>T1190:Exploit Public-Facing Application</t>
        </is>
      </c>
      <c r="S254" t="n">
        <v>1</v>
      </c>
      <c r="T254" t="inlineStr">
        <is>
          <t>LOW (40%)</t>
        </is>
      </c>
      <c r="U254" t="inlineStr">
        <is>
          <t>UNLIKELY</t>
        </is>
      </c>
      <c r="V254" t="inlineStr">
        <is>
          <t>CHECK_VENDOR</t>
        </is>
      </c>
      <c r="W254" t="inlineStr">
        <is>
          <t>https://nvd.nist.gov/vuln/detail/CVE-2025-70045</t>
        </is>
      </c>
      <c r="X254" t="inlineStr">
        <is>
          <t>NONE</t>
        </is>
      </c>
      <c r="Y254" t="n">
        <v>0</v>
      </c>
      <c r="Z254" t="inlineStr"/>
      <c r="AA254" t="inlineStr">
        <is>
          <t>https://nvd.nist.gov/vuln/detail/CVE-2025-70045</t>
        </is>
      </c>
    </row>
    <row r="255">
      <c r="A255" t="inlineStr">
        <is>
          <t>CVE</t>
        </is>
      </c>
      <c r="B255" t="inlineStr">
        <is>
          <t>CVE-2025-70058</t>
        </is>
      </c>
      <c r="C255" t="inlineStr">
        <is>
          <t>An issue pertaining to CWE-295: Improper Certificate Validation was discovered in YMFE yapi v1.12.0. The application disables TLS/SSL certificate validation by setting 'rejectUnauthorized': false in the HTTPS agent configuration for Axios requests</t>
        </is>
      </c>
      <c r="D255" t="n">
        <v>7.4</v>
      </c>
      <c r="E255" t="inlineStr">
        <is>
          <t>HIGH</t>
        </is>
      </c>
      <c r="F255" t="n">
        <v>2</v>
      </c>
      <c r="G255" t="n">
        <v>3</v>
      </c>
      <c r="H255" t="inlineStr">
        <is>
          <t>HIGH</t>
        </is>
      </c>
      <c r="I255" t="n">
        <v>13.4</v>
      </c>
      <c r="J255" t="inlineStr">
        <is>
          <t>NO</t>
        </is>
      </c>
      <c r="K255" t="inlineStr">
        <is>
          <t>2026-02-27 20:47</t>
        </is>
      </c>
      <c r="L255" t="inlineStr">
        <is>
          <t>CHECK_VENDOR</t>
        </is>
      </c>
      <c r="M255" t="inlineStr">
        <is>
          <t>ymfe yapi 1.12.0</t>
        </is>
      </c>
      <c r="N255" t="inlineStr">
        <is>
          <t>P3</t>
        </is>
      </c>
      <c r="O255" t="inlineStr">
        <is>
          <t>CVE - IP enrichment n/a</t>
        </is>
      </c>
      <c r="P255" t="n">
        <v>0.0002</v>
      </c>
      <c r="Q255" t="n">
        <v>0.0372</v>
      </c>
      <c r="R255" t="inlineStr">
        <is>
          <t>T1190:Exploit Public-Facing Application</t>
        </is>
      </c>
      <c r="S255" t="n">
        <v>1</v>
      </c>
      <c r="T255" t="inlineStr">
        <is>
          <t>LOW (40%)</t>
        </is>
      </c>
      <c r="U255" t="inlineStr">
        <is>
          <t>UNLIKELY</t>
        </is>
      </c>
      <c r="V255" t="inlineStr">
        <is>
          <t>CHECK_VENDOR</t>
        </is>
      </c>
      <c r="W255" t="inlineStr">
        <is>
          <t>https://nvd.nist.gov/vuln/detail/CVE-2025-70058</t>
        </is>
      </c>
      <c r="X255" t="inlineStr">
        <is>
          <t>NONE</t>
        </is>
      </c>
      <c r="Y255" t="n">
        <v>0</v>
      </c>
      <c r="Z255" t="inlineStr"/>
      <c r="AA255" t="inlineStr">
        <is>
          <t>https://nvd.nist.gov/vuln/detail/CVE-2025-70058</t>
        </is>
      </c>
    </row>
    <row r="256">
      <c r="A256" t="inlineStr">
        <is>
          <t>CVE</t>
        </is>
      </c>
      <c r="B256" t="inlineStr">
        <is>
          <t>CVE-2026-2697</t>
        </is>
      </c>
      <c r="C256" t="inlineStr">
        <is>
          <t>An Indirect Object Reference (IDOR) in Security Center allows an authenticated remote attacker to escalate privileges via the 'owner' parameter.</t>
        </is>
      </c>
      <c r="D256" t="n">
        <v>6.3</v>
      </c>
      <c r="E256" t="inlineStr">
        <is>
          <t>MEDIUM</t>
        </is>
      </c>
      <c r="F256" t="n">
        <v>2</v>
      </c>
      <c r="G256" t="n">
        <v>2</v>
      </c>
      <c r="H256" t="inlineStr">
        <is>
          <t>MEDIUM</t>
        </is>
      </c>
      <c r="I256" t="n">
        <v>10.3</v>
      </c>
      <c r="J256" t="inlineStr">
        <is>
          <t>NO</t>
        </is>
      </c>
      <c r="K256" t="inlineStr">
        <is>
          <t>2026-02-27 20:47</t>
        </is>
      </c>
      <c r="L256" t="inlineStr">
        <is>
          <t>YES</t>
        </is>
      </c>
      <c r="M256" t="inlineStr">
        <is>
          <t>tenable security_center *</t>
        </is>
      </c>
      <c r="N256" t="inlineStr">
        <is>
          <t>P4</t>
        </is>
      </c>
      <c r="O256" t="inlineStr">
        <is>
          <t>CVE - IP enrichment n/a</t>
        </is>
      </c>
      <c r="P256" t="n">
        <v>0.001</v>
      </c>
      <c r="Q256" t="n">
        <v>0.2713</v>
      </c>
      <c r="R256" t="inlineStr">
        <is>
          <t>T1190:Exploit Public-Facing Application</t>
        </is>
      </c>
      <c r="S256" t="n">
        <v>1</v>
      </c>
      <c r="T256" t="inlineStr">
        <is>
          <t>LOW (40%)</t>
        </is>
      </c>
      <c r="U256" t="inlineStr">
        <is>
          <t>UNLIKELY</t>
        </is>
      </c>
      <c r="V256" t="inlineStr">
        <is>
          <t>PATCH_AVAILABLE</t>
        </is>
      </c>
      <c r="W256" t="inlineStr">
        <is>
          <t>https://nvd.nist.gov/vuln/detail/CVE-2026-2697</t>
        </is>
      </c>
      <c r="X256" t="inlineStr">
        <is>
          <t>NONE</t>
        </is>
      </c>
      <c r="Y256" t="n">
        <v>0</v>
      </c>
      <c r="Z256" t="inlineStr"/>
      <c r="AA256" t="inlineStr">
        <is>
          <t>https://nvd.nist.gov/vuln/detail/CVE-2026-2697</t>
        </is>
      </c>
    </row>
    <row r="257">
      <c r="A257" t="inlineStr">
        <is>
          <t>CVE</t>
        </is>
      </c>
      <c r="B257" t="inlineStr">
        <is>
          <t>CVE-2026-3015</t>
        </is>
      </c>
      <c r="C257"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257" t="n">
        <v>8.800000000000001</v>
      </c>
      <c r="E257" t="inlineStr">
        <is>
          <t>HIGH</t>
        </is>
      </c>
      <c r="F257" t="n">
        <v>2</v>
      </c>
      <c r="G257" t="n">
        <v>3</v>
      </c>
      <c r="H257" t="inlineStr">
        <is>
          <t>HIGH</t>
        </is>
      </c>
      <c r="I257" t="n">
        <v>14.8</v>
      </c>
      <c r="J257" t="inlineStr">
        <is>
          <t>NO</t>
        </is>
      </c>
      <c r="K257" t="inlineStr">
        <is>
          <t>2026-02-27 20:47</t>
        </is>
      </c>
      <c r="L257" t="inlineStr">
        <is>
          <t>CHECK_VENDOR</t>
        </is>
      </c>
      <c r="M257" t="inlineStr">
        <is>
          <t>utt 810g 3.0 | utt 810g_firmware *</t>
        </is>
      </c>
      <c r="N257" t="inlineStr">
        <is>
          <t>P3</t>
        </is>
      </c>
      <c r="O257" t="inlineStr">
        <is>
          <t>CVE - IP enrichment n/a</t>
        </is>
      </c>
      <c r="P257" t="n">
        <v>0.0008</v>
      </c>
      <c r="Q257" t="n">
        <v>0.2442</v>
      </c>
      <c r="R257" t="inlineStr">
        <is>
          <t>T1203:Exploitation for Client Execution</t>
        </is>
      </c>
      <c r="S257" t="n">
        <v>1</v>
      </c>
      <c r="T257" t="inlineStr">
        <is>
          <t>LOW (40%)</t>
        </is>
      </c>
      <c r="U257" t="inlineStr">
        <is>
          <t>UNLIKELY</t>
        </is>
      </c>
      <c r="V257" t="inlineStr">
        <is>
          <t>CHECK_VENDOR</t>
        </is>
      </c>
      <c r="W257" t="inlineStr">
        <is>
          <t>https://nvd.nist.gov/vuln/detail/CVE-2026-3015</t>
        </is>
      </c>
      <c r="X257" t="inlineStr">
        <is>
          <t>NONE</t>
        </is>
      </c>
      <c r="Y257" t="n">
        <v>0</v>
      </c>
      <c r="Z257" t="inlineStr"/>
      <c r="AA257" t="inlineStr">
        <is>
          <t>https://nvd.nist.gov/vuln/detail/CVE-2026-3015</t>
        </is>
      </c>
    </row>
    <row r="258">
      <c r="A258" t="inlineStr">
        <is>
          <t>CVE</t>
        </is>
      </c>
      <c r="B258" t="inlineStr">
        <is>
          <t>CVE-2026-3016</t>
        </is>
      </c>
      <c r="C258"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258" t="n">
        <v>8.800000000000001</v>
      </c>
      <c r="E258" t="inlineStr">
        <is>
          <t>HIGH</t>
        </is>
      </c>
      <c r="F258" t="n">
        <v>2</v>
      </c>
      <c r="G258" t="n">
        <v>3</v>
      </c>
      <c r="H258" t="inlineStr">
        <is>
          <t>HIGH</t>
        </is>
      </c>
      <c r="I258" t="n">
        <v>14.8</v>
      </c>
      <c r="J258" t="inlineStr">
        <is>
          <t>NO</t>
        </is>
      </c>
      <c r="K258" t="inlineStr">
        <is>
          <t>2026-02-27 20:47</t>
        </is>
      </c>
      <c r="L258" t="inlineStr">
        <is>
          <t>CHECK_VENDOR</t>
        </is>
      </c>
      <c r="M258" t="inlineStr">
        <is>
          <t>utt 810g 3.0 | utt 810g_firmware *</t>
        </is>
      </c>
      <c r="N258" t="inlineStr">
        <is>
          <t>P3</t>
        </is>
      </c>
      <c r="O258" t="inlineStr">
        <is>
          <t>CVE - IP enrichment n/a</t>
        </is>
      </c>
      <c r="P258" t="n">
        <v>0.0008</v>
      </c>
      <c r="Q258" t="n">
        <v>0.2442</v>
      </c>
      <c r="R258" t="inlineStr">
        <is>
          <t>T1203:Exploitation for Client Execution</t>
        </is>
      </c>
      <c r="S258" t="n">
        <v>1</v>
      </c>
      <c r="T258" t="inlineStr">
        <is>
          <t>LOW (40%)</t>
        </is>
      </c>
      <c r="U258" t="inlineStr">
        <is>
          <t>UNLIKELY</t>
        </is>
      </c>
      <c r="V258" t="inlineStr">
        <is>
          <t>CHECK_VENDOR</t>
        </is>
      </c>
      <c r="W258" t="inlineStr">
        <is>
          <t>https://nvd.nist.gov/vuln/detail/CVE-2026-3016</t>
        </is>
      </c>
      <c r="X258" t="inlineStr">
        <is>
          <t>NONE</t>
        </is>
      </c>
      <c r="Y258" t="n">
        <v>0</v>
      </c>
      <c r="Z258" t="inlineStr"/>
      <c r="AA258" t="inlineStr">
        <is>
          <t>https://nvd.nist.gov/vuln/detail/CVE-2026-3016</t>
        </is>
      </c>
    </row>
    <row r="259">
      <c r="A259" t="inlineStr">
        <is>
          <t>CVE</t>
        </is>
      </c>
      <c r="B259" t="inlineStr">
        <is>
          <t>CVE-2026-22567</t>
        </is>
      </c>
      <c r="C259" t="inlineStr">
        <is>
          <t>Improper validation of user-supplied input in the ZIA Admin UI could allow an authenticated administrator to initiate backend functions through specific input fields in limited scenarios.</t>
        </is>
      </c>
      <c r="D259" t="n">
        <v>7.6</v>
      </c>
      <c r="E259" t="inlineStr">
        <is>
          <t>HIGH</t>
        </is>
      </c>
      <c r="F259" t="n">
        <v>2</v>
      </c>
      <c r="G259" t="n">
        <v>3</v>
      </c>
      <c r="H259" t="inlineStr">
        <is>
          <t>HIGH</t>
        </is>
      </c>
      <c r="I259" t="n">
        <v>13.6</v>
      </c>
      <c r="J259" t="inlineStr">
        <is>
          <t>NO</t>
        </is>
      </c>
      <c r="K259" t="inlineStr">
        <is>
          <t>2026-02-27 20:47</t>
        </is>
      </c>
      <c r="L259" t="inlineStr">
        <is>
          <t>YES</t>
        </is>
      </c>
      <c r="M259" t="inlineStr">
        <is>
          <t>zscaler zscaler_internet_access_admin_portal *</t>
        </is>
      </c>
      <c r="N259" t="inlineStr">
        <is>
          <t>P3</t>
        </is>
      </c>
      <c r="O259" t="inlineStr">
        <is>
          <t>CVE - IP enrichment n/a</t>
        </is>
      </c>
      <c r="P259" t="n">
        <v>0.0005999999999999999</v>
      </c>
      <c r="Q259" t="n">
        <v>0.1732</v>
      </c>
      <c r="R259" t="inlineStr">
        <is>
          <t>T1190:Exploit Public-Facing Application</t>
        </is>
      </c>
      <c r="S259" t="n">
        <v>1</v>
      </c>
      <c r="T259" t="inlineStr">
        <is>
          <t>LOW (40%)</t>
        </is>
      </c>
      <c r="U259" t="inlineStr">
        <is>
          <t>UNLIKELY</t>
        </is>
      </c>
      <c r="V259" t="inlineStr">
        <is>
          <t>PATCH_AVAILABLE</t>
        </is>
      </c>
      <c r="W259" t="inlineStr">
        <is>
          <t>https://nvd.nist.gov/vuln/detail/CVE-2026-22567</t>
        </is>
      </c>
      <c r="X259" t="inlineStr">
        <is>
          <t>NONE</t>
        </is>
      </c>
      <c r="Y259" t="n">
        <v>0</v>
      </c>
      <c r="Z259" t="inlineStr"/>
      <c r="AA259" t="inlineStr">
        <is>
          <t>https://nvd.nist.gov/vuln/detail/CVE-2026-22567</t>
        </is>
      </c>
    </row>
    <row r="260">
      <c r="A260" t="inlineStr">
        <is>
          <t>CVE</t>
        </is>
      </c>
      <c r="B260" t="inlineStr">
        <is>
          <t>CVE-2026-22568</t>
        </is>
      </c>
      <c r="C260" t="inlineStr">
        <is>
          <t>Improper neutralization of special elements in user-supplied input within the ZIA Admin UI could allow an authenticated administrator to access or retrieve unauthorized internal information in rare conditions.</t>
        </is>
      </c>
      <c r="D260" t="n">
        <v>5.5</v>
      </c>
      <c r="E260" t="inlineStr">
        <is>
          <t>MEDIUM</t>
        </is>
      </c>
      <c r="F260" t="n">
        <v>2</v>
      </c>
      <c r="G260" t="n">
        <v>2</v>
      </c>
      <c r="H260" t="inlineStr">
        <is>
          <t>MEDIUM</t>
        </is>
      </c>
      <c r="I260" t="n">
        <v>9.5</v>
      </c>
      <c r="J260" t="inlineStr">
        <is>
          <t>NO</t>
        </is>
      </c>
      <c r="K260" t="inlineStr">
        <is>
          <t>2026-02-27 20:47</t>
        </is>
      </c>
      <c r="L260" t="inlineStr">
        <is>
          <t>YES</t>
        </is>
      </c>
      <c r="M260" t="inlineStr">
        <is>
          <t>zscaler zscaler_internet_access_admin_portal *</t>
        </is>
      </c>
      <c r="N260" t="inlineStr">
        <is>
          <t>P4</t>
        </is>
      </c>
      <c r="O260" t="inlineStr">
        <is>
          <t>CVE - IP enrichment n/a</t>
        </is>
      </c>
      <c r="P260" t="n">
        <v>0.0005</v>
      </c>
      <c r="Q260" t="n">
        <v>0.1529</v>
      </c>
      <c r="R260" t="inlineStr">
        <is>
          <t>T1190:Exploit Public-Facing Application</t>
        </is>
      </c>
      <c r="S260" t="n">
        <v>1</v>
      </c>
      <c r="T260" t="inlineStr">
        <is>
          <t>LOW (40%)</t>
        </is>
      </c>
      <c r="U260" t="inlineStr">
        <is>
          <t>UNLIKELY</t>
        </is>
      </c>
      <c r="V260" t="inlineStr">
        <is>
          <t>PATCH_AVAILABLE</t>
        </is>
      </c>
      <c r="W260" t="inlineStr">
        <is>
          <t>https://nvd.nist.gov/vuln/detail/CVE-2026-22568</t>
        </is>
      </c>
      <c r="X260" t="inlineStr">
        <is>
          <t>NONE</t>
        </is>
      </c>
      <c r="Y260" t="n">
        <v>0</v>
      </c>
      <c r="Z260" t="inlineStr"/>
      <c r="AA260" t="inlineStr">
        <is>
          <t>https://nvd.nist.gov/vuln/detail/CVE-2026-22568</t>
        </is>
      </c>
    </row>
    <row r="261">
      <c r="A261" t="inlineStr">
        <is>
          <t>CVE</t>
        </is>
      </c>
      <c r="B261" t="inlineStr">
        <is>
          <t>CVE-2026-27511</t>
        </is>
      </c>
      <c r="C261"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261" t="n">
        <v>4.3</v>
      </c>
      <c r="E261" t="inlineStr">
        <is>
          <t>MEDIUM</t>
        </is>
      </c>
      <c r="F261" t="n">
        <v>2</v>
      </c>
      <c r="G261" t="n">
        <v>2</v>
      </c>
      <c r="H261" t="inlineStr">
        <is>
          <t>MEDIUM</t>
        </is>
      </c>
      <c r="I261" t="n">
        <v>8.300000000000001</v>
      </c>
      <c r="J261" t="inlineStr">
        <is>
          <t>NO</t>
        </is>
      </c>
      <c r="K261" t="inlineStr">
        <is>
          <t>2026-02-27 20:47</t>
        </is>
      </c>
      <c r="L261" t="inlineStr">
        <is>
          <t>CHECK_VENDOR</t>
        </is>
      </c>
      <c r="M261" t="inlineStr">
        <is>
          <t>tenda f3_firmware * | tenda f3 -</t>
        </is>
      </c>
      <c r="N261" t="inlineStr">
        <is>
          <t>P4</t>
        </is>
      </c>
      <c r="O261" t="inlineStr">
        <is>
          <t>CVE - IP enrichment n/a</t>
        </is>
      </c>
      <c r="P261" t="n">
        <v>0.0004</v>
      </c>
      <c r="Q261" t="n">
        <v>0.1041</v>
      </c>
      <c r="R261" t="inlineStr">
        <is>
          <t>T1190:Exploit Public-Facing Application</t>
        </is>
      </c>
      <c r="S261" t="n">
        <v>1</v>
      </c>
      <c r="T261" t="inlineStr">
        <is>
          <t>LOW (40%)</t>
        </is>
      </c>
      <c r="U261" t="inlineStr">
        <is>
          <t>UNLIKELY</t>
        </is>
      </c>
      <c r="V261" t="inlineStr">
        <is>
          <t>CHECK_VENDOR</t>
        </is>
      </c>
      <c r="W261" t="inlineStr">
        <is>
          <t>https://nvd.nist.gov/vuln/detail/CVE-2026-27511</t>
        </is>
      </c>
      <c r="X261" t="inlineStr">
        <is>
          <t>NONE</t>
        </is>
      </c>
      <c r="Y261" t="n">
        <v>0</v>
      </c>
      <c r="Z261" t="inlineStr"/>
      <c r="AA261" t="inlineStr">
        <is>
          <t>https://nvd.nist.gov/vuln/detail/CVE-2026-27511</t>
        </is>
      </c>
    </row>
    <row r="262">
      <c r="A262" t="inlineStr">
        <is>
          <t>CVE</t>
        </is>
      </c>
      <c r="B262" t="inlineStr">
        <is>
          <t>CVE-2026-27512</t>
        </is>
      </c>
      <c r="C262"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262" t="n">
        <v>6.1</v>
      </c>
      <c r="E262" t="inlineStr">
        <is>
          <t>MEDIUM</t>
        </is>
      </c>
      <c r="F262" t="n">
        <v>2</v>
      </c>
      <c r="G262" t="n">
        <v>2</v>
      </c>
      <c r="H262" t="inlineStr">
        <is>
          <t>MEDIUM</t>
        </is>
      </c>
      <c r="I262" t="n">
        <v>10.1</v>
      </c>
      <c r="J262" t="inlineStr">
        <is>
          <t>NO</t>
        </is>
      </c>
      <c r="K262" t="inlineStr">
        <is>
          <t>2026-02-27 20:47</t>
        </is>
      </c>
      <c r="L262" t="inlineStr">
        <is>
          <t>CHECK_VENDOR</t>
        </is>
      </c>
      <c r="M262" t="inlineStr">
        <is>
          <t>tenda f3_firmware * | tenda f3 -</t>
        </is>
      </c>
      <c r="N262" t="inlineStr">
        <is>
          <t>P4</t>
        </is>
      </c>
      <c r="O262" t="inlineStr">
        <is>
          <t>CVE - IP enrichment n/a</t>
        </is>
      </c>
      <c r="P262" t="n">
        <v>0.0005</v>
      </c>
      <c r="Q262" t="n">
        <v>0.1517</v>
      </c>
      <c r="R262" t="inlineStr">
        <is>
          <t>T1189:Drive-by Compromise</t>
        </is>
      </c>
      <c r="S262" t="n">
        <v>1</v>
      </c>
      <c r="T262" t="inlineStr">
        <is>
          <t>LOW (40%)</t>
        </is>
      </c>
      <c r="U262" t="inlineStr">
        <is>
          <t>UNLIKELY</t>
        </is>
      </c>
      <c r="V262" t="inlineStr">
        <is>
          <t>CHECK_VENDOR</t>
        </is>
      </c>
      <c r="W262" t="inlineStr">
        <is>
          <t>https://nvd.nist.gov/vuln/detail/CVE-2026-27512</t>
        </is>
      </c>
      <c r="X262" t="inlineStr">
        <is>
          <t>NONE</t>
        </is>
      </c>
      <c r="Y262" t="n">
        <v>0</v>
      </c>
      <c r="Z262" t="inlineStr"/>
      <c r="AA262" t="inlineStr">
        <is>
          <t>https://nvd.nist.gov/vuln/detail/CVE-2026-27512</t>
        </is>
      </c>
    </row>
    <row r="263">
      <c r="A263" t="inlineStr">
        <is>
          <t>CVE</t>
        </is>
      </c>
      <c r="B263" t="inlineStr">
        <is>
          <t>CVE-2026-27513</t>
        </is>
      </c>
      <c r="C263"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263" t="n">
        <v>4.3</v>
      </c>
      <c r="E263" t="inlineStr">
        <is>
          <t>MEDIUM</t>
        </is>
      </c>
      <c r="F263" t="n">
        <v>2</v>
      </c>
      <c r="G263" t="n">
        <v>2</v>
      </c>
      <c r="H263" t="inlineStr">
        <is>
          <t>MEDIUM</t>
        </is>
      </c>
      <c r="I263" t="n">
        <v>8.300000000000001</v>
      </c>
      <c r="J263" t="inlineStr">
        <is>
          <t>NO</t>
        </is>
      </c>
      <c r="K263" t="inlineStr">
        <is>
          <t>2026-02-27 20:47</t>
        </is>
      </c>
      <c r="L263" t="inlineStr">
        <is>
          <t>CHECK_VENDOR</t>
        </is>
      </c>
      <c r="M263" t="inlineStr">
        <is>
          <t>tenda f3_firmware * | tenda f3 -</t>
        </is>
      </c>
      <c r="N263" t="inlineStr">
        <is>
          <t>P4</t>
        </is>
      </c>
      <c r="O263" t="inlineStr">
        <is>
          <t>CVE - IP enrichment n/a</t>
        </is>
      </c>
      <c r="P263" t="n">
        <v>0.0002</v>
      </c>
      <c r="Q263" t="n">
        <v>0.0488</v>
      </c>
      <c r="R263" t="inlineStr">
        <is>
          <t>T1185:Browser Session Hijacking</t>
        </is>
      </c>
      <c r="S263" t="n">
        <v>1</v>
      </c>
      <c r="T263" t="inlineStr">
        <is>
          <t>LOW (40%)</t>
        </is>
      </c>
      <c r="U263" t="inlineStr">
        <is>
          <t>UNLIKELY</t>
        </is>
      </c>
      <c r="V263" t="inlineStr">
        <is>
          <t>CHECK_VENDOR</t>
        </is>
      </c>
      <c r="W263" t="inlineStr">
        <is>
          <t>https://nvd.nist.gov/vuln/detail/CVE-2026-27513</t>
        </is>
      </c>
      <c r="X263" t="inlineStr">
        <is>
          <t>NONE</t>
        </is>
      </c>
      <c r="Y263" t="n">
        <v>0</v>
      </c>
      <c r="Z263" t="inlineStr"/>
      <c r="AA263" t="inlineStr">
        <is>
          <t>https://nvd.nist.gov/vuln/detail/CVE-2026-27513</t>
        </is>
      </c>
    </row>
    <row r="264">
      <c r="A264" t="inlineStr">
        <is>
          <t>CVE</t>
        </is>
      </c>
      <c r="B264" t="inlineStr">
        <is>
          <t>CVE-2026-27514</t>
        </is>
      </c>
      <c r="C264"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264" t="n">
        <v>6.5</v>
      </c>
      <c r="E264" t="inlineStr">
        <is>
          <t>MEDIUM</t>
        </is>
      </c>
      <c r="F264" t="n">
        <v>2</v>
      </c>
      <c r="G264" t="n">
        <v>2</v>
      </c>
      <c r="H264" t="inlineStr">
        <is>
          <t>MEDIUM</t>
        </is>
      </c>
      <c r="I264" t="n">
        <v>10.5</v>
      </c>
      <c r="J264" t="inlineStr">
        <is>
          <t>NO</t>
        </is>
      </c>
      <c r="K264" t="inlineStr">
        <is>
          <t>2026-02-27 20:47</t>
        </is>
      </c>
      <c r="L264" t="inlineStr">
        <is>
          <t>CHECK_VENDOR</t>
        </is>
      </c>
      <c r="M264" t="inlineStr">
        <is>
          <t>tenda f3_firmware * | tenda f3 -</t>
        </is>
      </c>
      <c r="N264" t="inlineStr">
        <is>
          <t>P4</t>
        </is>
      </c>
      <c r="O264" t="inlineStr">
        <is>
          <t>CVE - IP enrichment n/a</t>
        </is>
      </c>
      <c r="P264" t="n">
        <v>0.0004</v>
      </c>
      <c r="Q264" t="n">
        <v>0.1245</v>
      </c>
      <c r="R264" t="inlineStr">
        <is>
          <t>T1190:Exploit Public-Facing Application</t>
        </is>
      </c>
      <c r="S264" t="n">
        <v>1</v>
      </c>
      <c r="T264" t="inlineStr">
        <is>
          <t>LOW (40%)</t>
        </is>
      </c>
      <c r="U264" t="inlineStr">
        <is>
          <t>UNLIKELY</t>
        </is>
      </c>
      <c r="V264" t="inlineStr">
        <is>
          <t>CHECK_VENDOR</t>
        </is>
      </c>
      <c r="W264" t="inlineStr">
        <is>
          <t>https://nvd.nist.gov/vuln/detail/CVE-2026-27514</t>
        </is>
      </c>
      <c r="X264" t="inlineStr">
        <is>
          <t>NONE</t>
        </is>
      </c>
      <c r="Y264" t="n">
        <v>0</v>
      </c>
      <c r="Z264" t="inlineStr"/>
      <c r="AA264" t="inlineStr">
        <is>
          <t>https://nvd.nist.gov/vuln/detail/CVE-2026-27514</t>
        </is>
      </c>
    </row>
    <row r="265">
      <c r="A265" t="inlineStr">
        <is>
          <t>CVE</t>
        </is>
      </c>
      <c r="B265" t="inlineStr">
        <is>
          <t>CVE-2026-2698</t>
        </is>
      </c>
      <c r="C265" t="inlineStr">
        <is>
          <t>An improper access control vulnerability exists where an authenticated user could access areas outside of their authorized scope.</t>
        </is>
      </c>
      <c r="D265" t="n">
        <v>6.5</v>
      </c>
      <c r="E265" t="inlineStr">
        <is>
          <t>MEDIUM</t>
        </is>
      </c>
      <c r="F265" t="n">
        <v>2</v>
      </c>
      <c r="G265" t="n">
        <v>2</v>
      </c>
      <c r="H265" t="inlineStr">
        <is>
          <t>MEDIUM</t>
        </is>
      </c>
      <c r="I265" t="n">
        <v>10.5</v>
      </c>
      <c r="J265" t="inlineStr">
        <is>
          <t>NO</t>
        </is>
      </c>
      <c r="K265" t="inlineStr">
        <is>
          <t>2026-02-27 20:47</t>
        </is>
      </c>
      <c r="L265" t="inlineStr">
        <is>
          <t>CHECK_VENDOR</t>
        </is>
      </c>
      <c r="M265" t="inlineStr">
        <is>
          <t>tenable security_center *</t>
        </is>
      </c>
      <c r="N265" t="inlineStr">
        <is>
          <t>P4</t>
        </is>
      </c>
      <c r="O265" t="inlineStr">
        <is>
          <t>CVE - IP enrichment n/a</t>
        </is>
      </c>
      <c r="P265" t="n">
        <v>0.0003</v>
      </c>
      <c r="Q265" t="n">
        <v>0.0772</v>
      </c>
      <c r="R265" t="inlineStr">
        <is>
          <t>T1190:Exploit Public-Facing Application</t>
        </is>
      </c>
      <c r="S265" t="n">
        <v>1</v>
      </c>
      <c r="T265" t="inlineStr">
        <is>
          <t>LOW (40%)</t>
        </is>
      </c>
      <c r="U265" t="inlineStr">
        <is>
          <t>UNLIKELY</t>
        </is>
      </c>
      <c r="V265" t="inlineStr">
        <is>
          <t>CHECK_VENDOR</t>
        </is>
      </c>
      <c r="W265" t="inlineStr">
        <is>
          <t>https://nvd.nist.gov/vuln/detail/CVE-2026-2698</t>
        </is>
      </c>
      <c r="X265" t="inlineStr">
        <is>
          <t>NONE</t>
        </is>
      </c>
      <c r="Y265" t="n">
        <v>0</v>
      </c>
      <c r="Z265" t="inlineStr"/>
      <c r="AA265" t="inlineStr">
        <is>
          <t>https://nvd.nist.gov/vuln/detail/CVE-2026-2698</t>
        </is>
      </c>
    </row>
    <row r="266">
      <c r="A266" t="inlineStr">
        <is>
          <t>CVE</t>
        </is>
      </c>
      <c r="B266" t="inlineStr">
        <is>
          <t>CVE-2026-26464</t>
        </is>
      </c>
      <c r="C266"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266" t="n">
        <v>6.1</v>
      </c>
      <c r="E266" t="inlineStr">
        <is>
          <t>MEDIUM</t>
        </is>
      </c>
      <c r="F266" t="n">
        <v>2</v>
      </c>
      <c r="G266" t="n">
        <v>2</v>
      </c>
      <c r="H266" t="inlineStr">
        <is>
          <t>MEDIUM</t>
        </is>
      </c>
      <c r="I266" t="n">
        <v>10.1</v>
      </c>
      <c r="J266" t="inlineStr">
        <is>
          <t>NO</t>
        </is>
      </c>
      <c r="K266" t="inlineStr">
        <is>
          <t>2026-02-27 20:47</t>
        </is>
      </c>
      <c r="L266" t="inlineStr">
        <is>
          <t>CHECK_VENDOR</t>
        </is>
      </c>
      <c r="M266" t="inlineStr">
        <is>
          <t>kashipara society_management_system_portal 1.0</t>
        </is>
      </c>
      <c r="N266" t="inlineStr">
        <is>
          <t>P4</t>
        </is>
      </c>
      <c r="O266" t="inlineStr">
        <is>
          <t>CVE - IP enrichment n/a</t>
        </is>
      </c>
      <c r="P266" t="n">
        <v>0.0005</v>
      </c>
      <c r="Q266" t="n">
        <v>0.146</v>
      </c>
      <c r="R266" t="inlineStr">
        <is>
          <t>T1189:Drive-by Compromise</t>
        </is>
      </c>
      <c r="S266" t="n">
        <v>1</v>
      </c>
      <c r="T266" t="inlineStr">
        <is>
          <t>LOW (40%)</t>
        </is>
      </c>
      <c r="U266" t="inlineStr">
        <is>
          <t>UNLIKELY</t>
        </is>
      </c>
      <c r="V266" t="inlineStr">
        <is>
          <t>CHECK_VENDOR</t>
        </is>
      </c>
      <c r="W266" t="inlineStr">
        <is>
          <t>https://nvd.nist.gov/vuln/detail/CVE-2026-26464</t>
        </is>
      </c>
      <c r="X266" t="inlineStr">
        <is>
          <t>NONE</t>
        </is>
      </c>
      <c r="Y266" t="n">
        <v>0</v>
      </c>
      <c r="Z266" t="inlineStr"/>
      <c r="AA266" t="inlineStr">
        <is>
          <t>https://nvd.nist.gov/vuln/detail/CVE-2026-26464</t>
        </is>
      </c>
    </row>
    <row r="267">
      <c r="A267" t="inlineStr">
        <is>
          <t>CVE</t>
        </is>
      </c>
      <c r="B267" t="inlineStr">
        <is>
          <t>CVE-2025-61143</t>
        </is>
      </c>
      <c r="C267" t="inlineStr">
        <is>
          <t>libtiff up to v4.7.1 was discovered to contain a NULL pointer dereference via the component libtiff/tif_open.c.</t>
        </is>
      </c>
      <c r="D267" t="n">
        <v>5.5</v>
      </c>
      <c r="E267" t="inlineStr">
        <is>
          <t>MEDIUM</t>
        </is>
      </c>
      <c r="F267" t="n">
        <v>2</v>
      </c>
      <c r="G267" t="n">
        <v>2</v>
      </c>
      <c r="H267" t="inlineStr">
        <is>
          <t>MEDIUM</t>
        </is>
      </c>
      <c r="I267" t="n">
        <v>9.5</v>
      </c>
      <c r="J267" t="inlineStr">
        <is>
          <t>NO</t>
        </is>
      </c>
      <c r="K267" t="inlineStr">
        <is>
          <t>2026-02-27 20:47</t>
        </is>
      </c>
      <c r="L267" t="inlineStr">
        <is>
          <t>CHECK_VENDOR</t>
        </is>
      </c>
      <c r="M267" t="inlineStr">
        <is>
          <t>libtiff libtiff *</t>
        </is>
      </c>
      <c r="N267" t="inlineStr">
        <is>
          <t>P4</t>
        </is>
      </c>
      <c r="O267" t="inlineStr">
        <is>
          <t>CVE - IP enrichment n/a</t>
        </is>
      </c>
      <c r="P267" t="n">
        <v>0.0001</v>
      </c>
      <c r="Q267" t="n">
        <v>0.0129</v>
      </c>
      <c r="R267" t="inlineStr">
        <is>
          <t>T1499:Endpoint Denial of Service</t>
        </is>
      </c>
      <c r="S267" t="n">
        <v>1</v>
      </c>
      <c r="T267" t="inlineStr">
        <is>
          <t>LOW (40%)</t>
        </is>
      </c>
      <c r="U267" t="inlineStr">
        <is>
          <t>UNLIKELY</t>
        </is>
      </c>
      <c r="V267" t="inlineStr">
        <is>
          <t>CHECK_VENDOR</t>
        </is>
      </c>
      <c r="W267" t="inlineStr">
        <is>
          <t>https://nvd.nist.gov/vuln/detail/CVE-2025-61143</t>
        </is>
      </c>
      <c r="X267" t="inlineStr">
        <is>
          <t>NONE</t>
        </is>
      </c>
      <c r="Y267" t="n">
        <v>0</v>
      </c>
      <c r="Z267" t="inlineStr"/>
      <c r="AA267" t="inlineStr">
        <is>
          <t>https://nvd.nist.gov/vuln/detail/CVE-2025-61143</t>
        </is>
      </c>
    </row>
    <row r="268">
      <c r="A268" t="inlineStr">
        <is>
          <t>CVE</t>
        </is>
      </c>
      <c r="B268" t="inlineStr">
        <is>
          <t>CVE-2025-61144</t>
        </is>
      </c>
      <c r="C268" t="inlineStr">
        <is>
          <t>libtiff up to v4.7.1 was discovered to contain a stack overflow via the readSeparateStripsIntoBuffer function.</t>
        </is>
      </c>
      <c r="D268" t="n">
        <v>7.3</v>
      </c>
      <c r="E268" t="inlineStr">
        <is>
          <t>HIGH</t>
        </is>
      </c>
      <c r="F268" t="n">
        <v>2</v>
      </c>
      <c r="G268" t="n">
        <v>3</v>
      </c>
      <c r="H268" t="inlineStr">
        <is>
          <t>HIGH</t>
        </is>
      </c>
      <c r="I268" t="n">
        <v>13.3</v>
      </c>
      <c r="J268" t="inlineStr">
        <is>
          <t>NO</t>
        </is>
      </c>
      <c r="K268" t="inlineStr">
        <is>
          <t>2026-02-27 20:47</t>
        </is>
      </c>
      <c r="L268" t="inlineStr">
        <is>
          <t>YES</t>
        </is>
      </c>
      <c r="M268" t="inlineStr">
        <is>
          <t>libtiff libtiff *</t>
        </is>
      </c>
      <c r="N268" t="inlineStr">
        <is>
          <t>P3</t>
        </is>
      </c>
      <c r="O268" t="inlineStr">
        <is>
          <t>CVE - IP enrichment n/a</t>
        </is>
      </c>
      <c r="P268" t="n">
        <v>0.0003</v>
      </c>
      <c r="Q268" t="n">
        <v>0.0684</v>
      </c>
      <c r="R268" t="inlineStr">
        <is>
          <t>T1203:Exploitation for Client Execution</t>
        </is>
      </c>
      <c r="S268" t="n">
        <v>1</v>
      </c>
      <c r="T268" t="inlineStr">
        <is>
          <t>LOW (40%)</t>
        </is>
      </c>
      <c r="U268" t="inlineStr">
        <is>
          <t>UNLIKELY</t>
        </is>
      </c>
      <c r="V268" t="inlineStr">
        <is>
          <t>PATCH_AVAILABLE</t>
        </is>
      </c>
      <c r="W268" t="inlineStr">
        <is>
          <t>https://nvd.nist.gov/vuln/detail/CVE-2025-61144</t>
        </is>
      </c>
      <c r="X268" t="inlineStr">
        <is>
          <t>NONE</t>
        </is>
      </c>
      <c r="Y268" t="n">
        <v>0</v>
      </c>
      <c r="Z268" t="inlineStr"/>
      <c r="AA268" t="inlineStr">
        <is>
          <t>https://nvd.nist.gov/vuln/detail/CVE-2025-61144</t>
        </is>
      </c>
    </row>
    <row r="269">
      <c r="A269" t="inlineStr">
        <is>
          <t>CVE</t>
        </is>
      </c>
      <c r="B269" t="inlineStr">
        <is>
          <t>CVE-2025-61145</t>
        </is>
      </c>
      <c r="C269" t="inlineStr">
        <is>
          <t>libtiff up to v4.7.1 was discovered to contain a double free via the component tools/tiffcrop.c.</t>
        </is>
      </c>
      <c r="D269" t="n">
        <v>5</v>
      </c>
      <c r="E269" t="inlineStr">
        <is>
          <t>MEDIUM</t>
        </is>
      </c>
      <c r="F269" t="n">
        <v>2</v>
      </c>
      <c r="G269" t="n">
        <v>2</v>
      </c>
      <c r="H269" t="inlineStr">
        <is>
          <t>MEDIUM</t>
        </is>
      </c>
      <c r="I269" t="n">
        <v>9</v>
      </c>
      <c r="J269" t="inlineStr">
        <is>
          <t>NO</t>
        </is>
      </c>
      <c r="K269" t="inlineStr">
        <is>
          <t>2026-02-27 20:47</t>
        </is>
      </c>
      <c r="L269" t="inlineStr">
        <is>
          <t>CHECK_VENDOR</t>
        </is>
      </c>
      <c r="M269" t="inlineStr">
        <is>
          <t>libtiff libtiff *</t>
        </is>
      </c>
      <c r="N269" t="inlineStr">
        <is>
          <t>P4</t>
        </is>
      </c>
      <c r="O269" t="inlineStr">
        <is>
          <t>CVE - IP enrichment n/a</t>
        </is>
      </c>
      <c r="P269" t="n">
        <v>0.0001</v>
      </c>
      <c r="Q269" t="n">
        <v>0.0126</v>
      </c>
      <c r="R269" t="inlineStr">
        <is>
          <t>T1190:Exploit Public-Facing Application</t>
        </is>
      </c>
      <c r="S269" t="n">
        <v>1</v>
      </c>
      <c r="T269" t="inlineStr">
        <is>
          <t>LOW (40%)</t>
        </is>
      </c>
      <c r="U269" t="inlineStr">
        <is>
          <t>UNLIKELY</t>
        </is>
      </c>
      <c r="V269" t="inlineStr">
        <is>
          <t>CHECK_VENDOR</t>
        </is>
      </c>
      <c r="W269" t="inlineStr">
        <is>
          <t>https://nvd.nist.gov/vuln/detail/CVE-2025-61145</t>
        </is>
      </c>
      <c r="X269" t="inlineStr">
        <is>
          <t>NONE</t>
        </is>
      </c>
      <c r="Y269" t="n">
        <v>0</v>
      </c>
      <c r="Z269" t="inlineStr"/>
      <c r="AA269" t="inlineStr">
        <is>
          <t>https://nvd.nist.gov/vuln/detail/CVE-2025-61145</t>
        </is>
      </c>
    </row>
    <row r="270">
      <c r="A270" t="inlineStr">
        <is>
          <t>CVE</t>
        </is>
      </c>
      <c r="B270" t="inlineStr">
        <is>
          <t>CVE-2025-61146</t>
        </is>
      </c>
      <c r="C270" t="inlineStr">
        <is>
          <t>saitoha libsixel until v1.8.7 was discovered to contain a memory leak via the component malloc_stub.c.</t>
        </is>
      </c>
      <c r="D270" t="n">
        <v>4</v>
      </c>
      <c r="E270" t="inlineStr">
        <is>
          <t>MEDIUM</t>
        </is>
      </c>
      <c r="F270" t="n">
        <v>2</v>
      </c>
      <c r="G270" t="n">
        <v>2</v>
      </c>
      <c r="H270" t="inlineStr">
        <is>
          <t>MEDIUM</t>
        </is>
      </c>
      <c r="I270" t="n">
        <v>8</v>
      </c>
      <c r="J270" t="inlineStr">
        <is>
          <t>NO</t>
        </is>
      </c>
      <c r="K270" t="inlineStr">
        <is>
          <t>2026-02-27 20:47</t>
        </is>
      </c>
      <c r="L270" t="inlineStr">
        <is>
          <t>YES</t>
        </is>
      </c>
      <c r="M270" t="inlineStr">
        <is>
          <t>libsixel_project libsixel *</t>
        </is>
      </c>
      <c r="N270" t="inlineStr">
        <is>
          <t>P4</t>
        </is>
      </c>
      <c r="O270" t="inlineStr">
        <is>
          <t>CVE - IP enrichment n/a</t>
        </is>
      </c>
      <c r="P270" t="n">
        <v>0.0001</v>
      </c>
      <c r="Q270" t="n">
        <v>0.0135</v>
      </c>
      <c r="R270" t="inlineStr">
        <is>
          <t>T1190:Exploit Public-Facing Application</t>
        </is>
      </c>
      <c r="S270" t="n">
        <v>1</v>
      </c>
      <c r="T270" t="inlineStr">
        <is>
          <t>LOW (40%)</t>
        </is>
      </c>
      <c r="U270" t="inlineStr">
        <is>
          <t>UNLIKELY</t>
        </is>
      </c>
      <c r="V270" t="inlineStr">
        <is>
          <t>PATCH_AVAILABLE</t>
        </is>
      </c>
      <c r="W270" t="inlineStr">
        <is>
          <t>https://nvd.nist.gov/vuln/detail/CVE-2025-61146</t>
        </is>
      </c>
      <c r="X270" t="inlineStr">
        <is>
          <t>NONE</t>
        </is>
      </c>
      <c r="Y270" t="n">
        <v>0</v>
      </c>
      <c r="Z270" t="inlineStr"/>
      <c r="AA270" t="inlineStr">
        <is>
          <t>https://nvd.nist.gov/vuln/detail/CVE-2025-61146</t>
        </is>
      </c>
    </row>
    <row r="271">
      <c r="A271" t="inlineStr">
        <is>
          <t>CVE</t>
        </is>
      </c>
      <c r="B271" t="inlineStr">
        <is>
          <t>CVE-2025-61147</t>
        </is>
      </c>
      <c r="C271" t="inlineStr">
        <is>
          <t>strukturag libde265 commit d9fea9d wa discovered to contain a segmentation fault via the component decoder_context::compute_framedrop_table().</t>
        </is>
      </c>
      <c r="D271" t="n">
        <v>6.2</v>
      </c>
      <c r="E271" t="inlineStr">
        <is>
          <t>MEDIUM</t>
        </is>
      </c>
      <c r="F271" t="n">
        <v>2</v>
      </c>
      <c r="G271" t="n">
        <v>2</v>
      </c>
      <c r="H271" t="inlineStr">
        <is>
          <t>MEDIUM</t>
        </is>
      </c>
      <c r="I271" t="n">
        <v>10.2</v>
      </c>
      <c r="J271" t="inlineStr">
        <is>
          <t>NO</t>
        </is>
      </c>
      <c r="K271" t="inlineStr">
        <is>
          <t>2026-02-27 20:47</t>
        </is>
      </c>
      <c r="L271" t="inlineStr">
        <is>
          <t>CHECK_VENDOR</t>
        </is>
      </c>
      <c r="M271" t="inlineStr">
        <is>
          <t>See CVE details</t>
        </is>
      </c>
      <c r="N271" t="inlineStr">
        <is>
          <t>P4</t>
        </is>
      </c>
      <c r="O271" t="inlineStr">
        <is>
          <t>CVE - IP enrichment n/a</t>
        </is>
      </c>
      <c r="P271" t="n">
        <v>0.0001</v>
      </c>
      <c r="Q271" t="n">
        <v>0.0157</v>
      </c>
      <c r="R271" t="inlineStr">
        <is>
          <t>T1203:Exploitation for Client Execution</t>
        </is>
      </c>
      <c r="S271" t="n">
        <v>1</v>
      </c>
      <c r="T271" t="inlineStr">
        <is>
          <t>LOW (40%)</t>
        </is>
      </c>
      <c r="U271" t="inlineStr">
        <is>
          <t>UNLIKELY</t>
        </is>
      </c>
      <c r="V271" t="inlineStr">
        <is>
          <t>CHECK_VENDOR</t>
        </is>
      </c>
      <c r="W271" t="inlineStr">
        <is>
          <t>https://nvd.nist.gov/vuln/detail/CVE-2025-61147</t>
        </is>
      </c>
      <c r="X271" t="inlineStr">
        <is>
          <t>NONE</t>
        </is>
      </c>
      <c r="Y271" t="n">
        <v>0</v>
      </c>
      <c r="Z271" t="inlineStr"/>
      <c r="AA271" t="inlineStr">
        <is>
          <t>https://nvd.nist.gov/vuln/detail/CVE-2025-61147</t>
        </is>
      </c>
    </row>
    <row r="272">
      <c r="A272" t="inlineStr">
        <is>
          <t>CVE</t>
        </is>
      </c>
      <c r="B272" t="inlineStr">
        <is>
          <t>CVE-2025-63945</t>
        </is>
      </c>
      <c r="C272"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272" t="n">
        <v>7.4</v>
      </c>
      <c r="E272" t="inlineStr">
        <is>
          <t>HIGH</t>
        </is>
      </c>
      <c r="F272" t="n">
        <v>2</v>
      </c>
      <c r="G272" t="n">
        <v>3</v>
      </c>
      <c r="H272" t="inlineStr">
        <is>
          <t>HIGH</t>
        </is>
      </c>
      <c r="I272" t="n">
        <v>13.4</v>
      </c>
      <c r="J272" t="inlineStr">
        <is>
          <t>NO</t>
        </is>
      </c>
      <c r="K272" t="inlineStr">
        <is>
          <t>2026-02-27 20:47</t>
        </is>
      </c>
      <c r="L272" t="inlineStr">
        <is>
          <t>CHECK_VENDOR</t>
        </is>
      </c>
      <c r="M272" t="inlineStr">
        <is>
          <t>tencent ioa *</t>
        </is>
      </c>
      <c r="N272" t="inlineStr">
        <is>
          <t>P3</t>
        </is>
      </c>
      <c r="O272" t="inlineStr">
        <is>
          <t>CVE - IP enrichment n/a</t>
        </is>
      </c>
      <c r="P272" t="n">
        <v>0.0002</v>
      </c>
      <c r="Q272" t="n">
        <v>0.042</v>
      </c>
      <c r="R272" t="inlineStr">
        <is>
          <t>T1068:Exploitation for Privilege Escalation</t>
        </is>
      </c>
      <c r="S272" t="n">
        <v>1</v>
      </c>
      <c r="T272" t="inlineStr">
        <is>
          <t>LOW (40%)</t>
        </is>
      </c>
      <c r="U272" t="inlineStr">
        <is>
          <t>UNLIKELY</t>
        </is>
      </c>
      <c r="V272" t="inlineStr">
        <is>
          <t>CHECK_VENDOR</t>
        </is>
      </c>
      <c r="W272" t="inlineStr">
        <is>
          <t>https://nvd.nist.gov/vuln/detail/CVE-2025-63945</t>
        </is>
      </c>
      <c r="X272" t="inlineStr">
        <is>
          <t>NONE</t>
        </is>
      </c>
      <c r="Y272" t="n">
        <v>0</v>
      </c>
      <c r="Z272" t="inlineStr"/>
      <c r="AA272" t="inlineStr">
        <is>
          <t>https://nvd.nist.gov/vuln/detail/CVE-2025-63945</t>
        </is>
      </c>
    </row>
    <row r="273">
      <c r="A273" t="inlineStr">
        <is>
          <t>CVE</t>
        </is>
      </c>
      <c r="B273" t="inlineStr">
        <is>
          <t>CVE-2025-63946</t>
        </is>
      </c>
      <c r="C273"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273" t="n">
        <v>7.4</v>
      </c>
      <c r="E273" t="inlineStr">
        <is>
          <t>HIGH</t>
        </is>
      </c>
      <c r="F273" t="n">
        <v>2</v>
      </c>
      <c r="G273" t="n">
        <v>3</v>
      </c>
      <c r="H273" t="inlineStr">
        <is>
          <t>HIGH</t>
        </is>
      </c>
      <c r="I273" t="n">
        <v>13.4</v>
      </c>
      <c r="J273" t="inlineStr">
        <is>
          <t>NO</t>
        </is>
      </c>
      <c r="K273" t="inlineStr">
        <is>
          <t>2026-02-27 20:47</t>
        </is>
      </c>
      <c r="L273" t="inlineStr">
        <is>
          <t>CHECK_VENDOR</t>
        </is>
      </c>
      <c r="M273" t="inlineStr">
        <is>
          <t>tencent pcmanager *</t>
        </is>
      </c>
      <c r="N273" t="inlineStr">
        <is>
          <t>P3</t>
        </is>
      </c>
      <c r="O273" t="inlineStr">
        <is>
          <t>CVE - IP enrichment n/a</t>
        </is>
      </c>
      <c r="P273" t="n">
        <v>0.0002</v>
      </c>
      <c r="Q273" t="n">
        <v>0.042</v>
      </c>
      <c r="R273" t="inlineStr">
        <is>
          <t>T1068:Exploitation for Privilege Escalation</t>
        </is>
      </c>
      <c r="S273" t="n">
        <v>1</v>
      </c>
      <c r="T273" t="inlineStr">
        <is>
          <t>LOW (40%)</t>
        </is>
      </c>
      <c r="U273" t="inlineStr">
        <is>
          <t>UNLIKELY</t>
        </is>
      </c>
      <c r="V273" t="inlineStr">
        <is>
          <t>CHECK_VENDOR</t>
        </is>
      </c>
      <c r="W273" t="inlineStr">
        <is>
          <t>https://nvd.nist.gov/vuln/detail/CVE-2025-63946</t>
        </is>
      </c>
      <c r="X273" t="inlineStr">
        <is>
          <t>NONE</t>
        </is>
      </c>
      <c r="Y273" t="n">
        <v>0</v>
      </c>
      <c r="Z273" t="inlineStr"/>
      <c r="AA273" t="inlineStr">
        <is>
          <t>https://nvd.nist.gov/vuln/detail/CVE-2025-63946</t>
        </is>
      </c>
    </row>
    <row r="274">
      <c r="A274" t="inlineStr">
        <is>
          <t>CVE</t>
        </is>
      </c>
      <c r="B274" t="inlineStr">
        <is>
          <t>CVE-2025-67733</t>
        </is>
      </c>
      <c r="C274"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274" t="n">
        <v>8.5</v>
      </c>
      <c r="E274" t="inlineStr">
        <is>
          <t>HIGH</t>
        </is>
      </c>
      <c r="F274" t="n">
        <v>2</v>
      </c>
      <c r="G274" t="n">
        <v>3</v>
      </c>
      <c r="H274" t="inlineStr">
        <is>
          <t>HIGH</t>
        </is>
      </c>
      <c r="I274" t="n">
        <v>14.5</v>
      </c>
      <c r="J274" t="inlineStr">
        <is>
          <t>NO</t>
        </is>
      </c>
      <c r="K274" t="inlineStr">
        <is>
          <t>2026-02-27 20:47</t>
        </is>
      </c>
      <c r="L274" t="inlineStr">
        <is>
          <t>YES</t>
        </is>
      </c>
      <c r="M274" t="inlineStr">
        <is>
          <t>lfprojects valkey *</t>
        </is>
      </c>
      <c r="N274" t="inlineStr">
        <is>
          <t>P3</t>
        </is>
      </c>
      <c r="O274" t="inlineStr">
        <is>
          <t>CVE - IP enrichment n/a</t>
        </is>
      </c>
      <c r="P274" t="n">
        <v>0.0001</v>
      </c>
      <c r="Q274" t="n">
        <v>0.03</v>
      </c>
      <c r="R274" t="inlineStr">
        <is>
          <t>T1190:Exploit Public-Facing Application</t>
        </is>
      </c>
      <c r="S274" t="n">
        <v>1</v>
      </c>
      <c r="T274" t="inlineStr">
        <is>
          <t>LOW (40%)</t>
        </is>
      </c>
      <c r="U274" t="inlineStr">
        <is>
          <t>UNLIKELY</t>
        </is>
      </c>
      <c r="V274" t="inlineStr">
        <is>
          <t>PATCH_AVAILABLE</t>
        </is>
      </c>
      <c r="W274" t="inlineStr">
        <is>
          <t>https://nvd.nist.gov/vuln/detail/CVE-2025-67733</t>
        </is>
      </c>
      <c r="X274" t="inlineStr">
        <is>
          <t>NONE</t>
        </is>
      </c>
      <c r="Y274" t="n">
        <v>0</v>
      </c>
      <c r="Z274" t="inlineStr"/>
      <c r="AA274" t="inlineStr">
        <is>
          <t>https://nvd.nist.gov/vuln/detail/CVE-2025-67733</t>
        </is>
      </c>
    </row>
    <row r="275">
      <c r="A275" t="inlineStr">
        <is>
          <t>CVE</t>
        </is>
      </c>
      <c r="B275" t="inlineStr">
        <is>
          <t>CVE-2025-70329</t>
        </is>
      </c>
      <c r="C275"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275" t="n">
        <v>8</v>
      </c>
      <c r="E275" t="inlineStr">
        <is>
          <t>HIGH</t>
        </is>
      </c>
      <c r="F275" t="n">
        <v>2</v>
      </c>
      <c r="G275" t="n">
        <v>3</v>
      </c>
      <c r="H275" t="inlineStr">
        <is>
          <t>HIGH</t>
        </is>
      </c>
      <c r="I275" t="n">
        <v>14</v>
      </c>
      <c r="J275" t="inlineStr">
        <is>
          <t>NO</t>
        </is>
      </c>
      <c r="K275" t="inlineStr">
        <is>
          <t>2026-02-27 20:47</t>
        </is>
      </c>
      <c r="L275" t="inlineStr">
        <is>
          <t>CHECK_VENDOR</t>
        </is>
      </c>
      <c r="M275" t="inlineStr">
        <is>
          <t>totolink x5000r - | totolink x5000r_firmware 9.1.0cu.2415_b20250515</t>
        </is>
      </c>
      <c r="N275" t="inlineStr">
        <is>
          <t>P3</t>
        </is>
      </c>
      <c r="O275" t="inlineStr">
        <is>
          <t>CVE - IP enrichment n/a</t>
        </is>
      </c>
      <c r="P275" t="n">
        <v>0.0049</v>
      </c>
      <c r="Q275" t="n">
        <v>0.6495</v>
      </c>
      <c r="R275" t="inlineStr">
        <is>
          <t>T1059:Command and Scripting Interpreter</t>
        </is>
      </c>
      <c r="S275" t="n">
        <v>1</v>
      </c>
      <c r="T275" t="inlineStr">
        <is>
          <t>LOW (40%)</t>
        </is>
      </c>
      <c r="U275" t="inlineStr">
        <is>
          <t>UNLIKELY</t>
        </is>
      </c>
      <c r="V275" t="inlineStr">
        <is>
          <t>CHECK_VENDOR</t>
        </is>
      </c>
      <c r="W275" t="inlineStr">
        <is>
          <t>https://nvd.nist.gov/vuln/detail/CVE-2025-70329</t>
        </is>
      </c>
      <c r="X275" t="inlineStr">
        <is>
          <t>NONE</t>
        </is>
      </c>
      <c r="Y275" t="n">
        <v>0</v>
      </c>
      <c r="Z275" t="inlineStr"/>
      <c r="AA275" t="inlineStr">
        <is>
          <t>https://nvd.nist.gov/vuln/detail/CVE-2025-70329</t>
        </is>
      </c>
    </row>
    <row r="276">
      <c r="A276" t="inlineStr">
        <is>
          <t>CVE</t>
        </is>
      </c>
      <c r="B276" t="inlineStr">
        <is>
          <t>CVE-2026-21863</t>
        </is>
      </c>
      <c r="C276"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276" t="n">
        <v>7.5</v>
      </c>
      <c r="E276" t="inlineStr">
        <is>
          <t>HIGH</t>
        </is>
      </c>
      <c r="F276" t="n">
        <v>2</v>
      </c>
      <c r="G276" t="n">
        <v>3</v>
      </c>
      <c r="H276" t="inlineStr">
        <is>
          <t>HIGH</t>
        </is>
      </c>
      <c r="I276" t="n">
        <v>13.5</v>
      </c>
      <c r="J276" t="inlineStr">
        <is>
          <t>NO</t>
        </is>
      </c>
      <c r="K276" t="inlineStr">
        <is>
          <t>2026-02-27 20:47</t>
        </is>
      </c>
      <c r="L276" t="inlineStr">
        <is>
          <t>YES</t>
        </is>
      </c>
      <c r="M276" t="inlineStr">
        <is>
          <t>lfprojects valkey *</t>
        </is>
      </c>
      <c r="N276" t="inlineStr">
        <is>
          <t>P3</t>
        </is>
      </c>
      <c r="O276" t="inlineStr">
        <is>
          <t>CVE - IP enrichment n/a</t>
        </is>
      </c>
      <c r="P276" t="n">
        <v>0.0001</v>
      </c>
      <c r="Q276" t="n">
        <v>0.0224</v>
      </c>
      <c r="R276" t="inlineStr">
        <is>
          <t>T1203:Exploitation for Client Execution</t>
        </is>
      </c>
      <c r="S276" t="n">
        <v>1</v>
      </c>
      <c r="T276" t="inlineStr">
        <is>
          <t>LOW (40%)</t>
        </is>
      </c>
      <c r="U276" t="inlineStr">
        <is>
          <t>UNLIKELY</t>
        </is>
      </c>
      <c r="V276" t="inlineStr">
        <is>
          <t>PATCH_AVAILABLE</t>
        </is>
      </c>
      <c r="W276" t="inlineStr">
        <is>
          <t>https://nvd.nist.gov/vuln/detail/CVE-2026-21863</t>
        </is>
      </c>
      <c r="X276" t="inlineStr">
        <is>
          <t>NONE</t>
        </is>
      </c>
      <c r="Y276" t="n">
        <v>0</v>
      </c>
      <c r="Z276" t="inlineStr"/>
      <c r="AA276" t="inlineStr">
        <is>
          <t>https://nvd.nist.gov/vuln/detail/CVE-2026-21863</t>
        </is>
      </c>
    </row>
    <row r="277">
      <c r="A277" t="inlineStr">
        <is>
          <t>CVE</t>
        </is>
      </c>
      <c r="B277" t="inlineStr">
        <is>
          <t>CVE-2026-27623</t>
        </is>
      </c>
      <c r="C277"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277" t="n">
        <v>7.5</v>
      </c>
      <c r="E277" t="inlineStr">
        <is>
          <t>HIGH</t>
        </is>
      </c>
      <c r="F277" t="n">
        <v>2</v>
      </c>
      <c r="G277" t="n">
        <v>3</v>
      </c>
      <c r="H277" t="inlineStr">
        <is>
          <t>HIGH</t>
        </is>
      </c>
      <c r="I277" t="n">
        <v>13.5</v>
      </c>
      <c r="J277" t="inlineStr">
        <is>
          <t>NO</t>
        </is>
      </c>
      <c r="K277" t="inlineStr">
        <is>
          <t>2026-02-27 20:47</t>
        </is>
      </c>
      <c r="L277" t="inlineStr">
        <is>
          <t>YES</t>
        </is>
      </c>
      <c r="M277" t="inlineStr">
        <is>
          <t>lfprojects valkey *</t>
        </is>
      </c>
      <c r="N277" t="inlineStr">
        <is>
          <t>P3</t>
        </is>
      </c>
      <c r="O277" t="inlineStr">
        <is>
          <t>CVE - IP enrichment n/a</t>
        </is>
      </c>
      <c r="P277" t="n">
        <v>0.0008</v>
      </c>
      <c r="Q277" t="n">
        <v>0.246</v>
      </c>
      <c r="R277" t="inlineStr">
        <is>
          <t>T1190:Exploit Public-Facing Application</t>
        </is>
      </c>
      <c r="S277" t="n">
        <v>1</v>
      </c>
      <c r="T277" t="inlineStr">
        <is>
          <t>LOW (40%)</t>
        </is>
      </c>
      <c r="U277" t="inlineStr">
        <is>
          <t>UNLIKELY</t>
        </is>
      </c>
      <c r="V277" t="inlineStr">
        <is>
          <t>PATCH_AVAILABLE</t>
        </is>
      </c>
      <c r="W277" t="inlineStr">
        <is>
          <t>https://nvd.nist.gov/vuln/detail/CVE-2026-27623</t>
        </is>
      </c>
      <c r="X277" t="inlineStr">
        <is>
          <t>NONE</t>
        </is>
      </c>
      <c r="Y277" t="n">
        <v>0</v>
      </c>
      <c r="Z277" t="inlineStr"/>
      <c r="AA277" t="inlineStr">
        <is>
          <t>https://nvd.nist.gov/vuln/detail/CVE-2026-27623</t>
        </is>
      </c>
    </row>
    <row r="278">
      <c r="A278" t="inlineStr">
        <is>
          <t>CVE</t>
        </is>
      </c>
      <c r="B278" t="inlineStr">
        <is>
          <t>CVE-2025-68930</t>
        </is>
      </c>
      <c r="C278"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278" t="n">
        <v>7.1</v>
      </c>
      <c r="E278" t="inlineStr">
        <is>
          <t>HIGH</t>
        </is>
      </c>
      <c r="F278" t="n">
        <v>2</v>
      </c>
      <c r="G278" t="n">
        <v>3</v>
      </c>
      <c r="H278" t="inlineStr">
        <is>
          <t>HIGH</t>
        </is>
      </c>
      <c r="I278" t="n">
        <v>13.1</v>
      </c>
      <c r="J278" t="inlineStr">
        <is>
          <t>NO</t>
        </is>
      </c>
      <c r="K278" t="inlineStr">
        <is>
          <t>2026-02-27 20:47</t>
        </is>
      </c>
      <c r="L278" t="inlineStr">
        <is>
          <t>YES</t>
        </is>
      </c>
      <c r="M278" t="inlineStr">
        <is>
          <t>traccar traccar *</t>
        </is>
      </c>
      <c r="N278" t="inlineStr">
        <is>
          <t>P3</t>
        </is>
      </c>
      <c r="O278" t="inlineStr">
        <is>
          <t>CVE - IP enrichment n/a</t>
        </is>
      </c>
      <c r="P278" t="n">
        <v>0.0002</v>
      </c>
      <c r="Q278" t="n">
        <v>0.0621</v>
      </c>
      <c r="R278" t="inlineStr">
        <is>
          <t>T1190:Exploit Public-Facing Application | T1552:Unsecured Credentials</t>
        </is>
      </c>
      <c r="S278" t="n">
        <v>1</v>
      </c>
      <c r="T278" t="inlineStr">
        <is>
          <t>LOW (40%)</t>
        </is>
      </c>
      <c r="U278" t="inlineStr">
        <is>
          <t>UNLIKELY</t>
        </is>
      </c>
      <c r="V278" t="inlineStr">
        <is>
          <t>PATCH_AVAILABLE</t>
        </is>
      </c>
      <c r="W278" t="inlineStr">
        <is>
          <t>https://nvd.nist.gov/vuln/detail/CVE-2025-68930</t>
        </is>
      </c>
      <c r="X278" t="inlineStr">
        <is>
          <t>NONE</t>
        </is>
      </c>
      <c r="Y278" t="n">
        <v>0</v>
      </c>
      <c r="Z278" t="inlineStr"/>
      <c r="AA278" t="inlineStr">
        <is>
          <t>https://nvd.nist.gov/vuln/detail/CVE-2025-68930</t>
        </is>
      </c>
    </row>
    <row r="279">
      <c r="A279" t="inlineStr">
        <is>
          <t>CVE</t>
        </is>
      </c>
      <c r="B279" t="inlineStr">
        <is>
          <t>CVE-2025-70327</t>
        </is>
      </c>
      <c r="C279"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279" t="n">
        <v>9.800000000000001</v>
      </c>
      <c r="E279" t="inlineStr">
        <is>
          <t>CRITICAL</t>
        </is>
      </c>
      <c r="F279" t="n">
        <v>2</v>
      </c>
      <c r="G279" t="n">
        <v>3</v>
      </c>
      <c r="H279" t="inlineStr">
        <is>
          <t>HIGH</t>
        </is>
      </c>
      <c r="I279" t="n">
        <v>15.8</v>
      </c>
      <c r="J279" t="inlineStr">
        <is>
          <t>NO</t>
        </is>
      </c>
      <c r="K279" t="inlineStr">
        <is>
          <t>2026-02-27 20:47</t>
        </is>
      </c>
      <c r="L279" t="inlineStr">
        <is>
          <t>CHECK_VENDOR</t>
        </is>
      </c>
      <c r="M279" t="inlineStr">
        <is>
          <t>totolink x5000r - | totolink x5000r_firmware 9.1.0cu.2415_b20250515</t>
        </is>
      </c>
      <c r="N279" t="inlineStr">
        <is>
          <t>P2</t>
        </is>
      </c>
      <c r="O279" t="inlineStr">
        <is>
          <t>CVE - IP enrichment n/a</t>
        </is>
      </c>
      <c r="P279" t="n">
        <v>0.0185</v>
      </c>
      <c r="Q279" t="n">
        <v>0.8273</v>
      </c>
      <c r="R279" t="inlineStr">
        <is>
          <t>T1190:Exploit Public-Facing Application | T1499:Endpoint Denial of Service</t>
        </is>
      </c>
      <c r="S279" t="n">
        <v>1</v>
      </c>
      <c r="T279" t="inlineStr">
        <is>
          <t>LOW (40%)</t>
        </is>
      </c>
      <c r="U279" t="inlineStr">
        <is>
          <t>UNLIKELY</t>
        </is>
      </c>
      <c r="V279" t="inlineStr">
        <is>
          <t>CHECK_VENDOR</t>
        </is>
      </c>
      <c r="W279" t="inlineStr">
        <is>
          <t>https://nvd.nist.gov/vuln/detail/CVE-2025-70327</t>
        </is>
      </c>
      <c r="X279" t="inlineStr">
        <is>
          <t>NONE</t>
        </is>
      </c>
      <c r="Y279" t="n">
        <v>0</v>
      </c>
      <c r="Z279" t="inlineStr"/>
      <c r="AA279" t="inlineStr">
        <is>
          <t>https://nvd.nist.gov/vuln/detail/CVE-2025-70327</t>
        </is>
      </c>
    </row>
    <row r="280">
      <c r="A280" t="inlineStr">
        <is>
          <t>CVE</t>
        </is>
      </c>
      <c r="B280" t="inlineStr">
        <is>
          <t>CVE-2025-70328</t>
        </is>
      </c>
      <c r="C280"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280" t="n">
        <v>8.800000000000001</v>
      </c>
      <c r="E280" t="inlineStr">
        <is>
          <t>HIGH</t>
        </is>
      </c>
      <c r="F280" t="n">
        <v>2</v>
      </c>
      <c r="G280" t="n">
        <v>3</v>
      </c>
      <c r="H280" t="inlineStr">
        <is>
          <t>HIGH</t>
        </is>
      </c>
      <c r="I280" t="n">
        <v>14.8</v>
      </c>
      <c r="J280" t="inlineStr">
        <is>
          <t>NO</t>
        </is>
      </c>
      <c r="K280" t="inlineStr">
        <is>
          <t>2026-02-27 20:47</t>
        </is>
      </c>
      <c r="L280" t="inlineStr">
        <is>
          <t>CHECK_VENDOR</t>
        </is>
      </c>
      <c r="M280" t="inlineStr">
        <is>
          <t>totolink x6000r_firmware 9.4.0cu.1498_b20250826 | totolink x6000r -</t>
        </is>
      </c>
      <c r="N280" t="inlineStr">
        <is>
          <t>P2</t>
        </is>
      </c>
      <c r="O280" t="inlineStr">
        <is>
          <t>CVE - IP enrichment n/a</t>
        </is>
      </c>
      <c r="P280" t="n">
        <v>0.0251</v>
      </c>
      <c r="Q280" t="n">
        <v>0.8511</v>
      </c>
      <c r="R280" t="inlineStr">
        <is>
          <t>T1059:Command and Scripting Interpreter</t>
        </is>
      </c>
      <c r="S280" t="n">
        <v>1</v>
      </c>
      <c r="T280" t="inlineStr">
        <is>
          <t>LOW (40%)</t>
        </is>
      </c>
      <c r="U280" t="inlineStr">
        <is>
          <t>UNLIKELY</t>
        </is>
      </c>
      <c r="V280" t="inlineStr">
        <is>
          <t>CHECK_VENDOR</t>
        </is>
      </c>
      <c r="W280" t="inlineStr">
        <is>
          <t>https://nvd.nist.gov/vuln/detail/CVE-2025-70328</t>
        </is>
      </c>
      <c r="X280" t="inlineStr">
        <is>
          <t>NONE</t>
        </is>
      </c>
      <c r="Y280" t="n">
        <v>0</v>
      </c>
      <c r="Z280" t="inlineStr"/>
      <c r="AA280" t="inlineStr">
        <is>
          <t>https://nvd.nist.gov/vuln/detail/CVE-2025-70328</t>
        </is>
      </c>
    </row>
    <row r="281">
      <c r="A281" t="inlineStr">
        <is>
          <t>CVE</t>
        </is>
      </c>
      <c r="B281" t="inlineStr">
        <is>
          <t>CVE-2025-71056</t>
        </is>
      </c>
      <c r="C281" t="inlineStr">
        <is>
          <t>Improper session management in GCOM EPON 1GE ONU version C00R371V00B01 allows attackers to execute a session hijacking attack via spoofing the IP address of an authenticated user.</t>
        </is>
      </c>
      <c r="D281" t="n">
        <v>8.1</v>
      </c>
      <c r="E281" t="inlineStr">
        <is>
          <t>HIGH</t>
        </is>
      </c>
      <c r="F281" t="n">
        <v>2</v>
      </c>
      <c r="G281" t="n">
        <v>3</v>
      </c>
      <c r="H281" t="inlineStr">
        <is>
          <t>HIGH</t>
        </is>
      </c>
      <c r="I281" t="n">
        <v>14.1</v>
      </c>
      <c r="J281" t="inlineStr">
        <is>
          <t>NO</t>
        </is>
      </c>
      <c r="K281" t="inlineStr">
        <is>
          <t>2026-02-27 20:47</t>
        </is>
      </c>
      <c r="L281" t="inlineStr">
        <is>
          <t>CHECK_VENDOR</t>
        </is>
      </c>
      <c r="M281" t="inlineStr">
        <is>
          <t>See CVE details</t>
        </is>
      </c>
      <c r="N281" t="inlineStr">
        <is>
          <t>P3</t>
        </is>
      </c>
      <c r="O281" t="inlineStr">
        <is>
          <t>CVE - IP enrichment n/a</t>
        </is>
      </c>
      <c r="P281" t="n">
        <v>0.0003</v>
      </c>
      <c r="Q281" t="n">
        <v>0.0775</v>
      </c>
      <c r="R281" t="inlineStr">
        <is>
          <t>T1190:Exploit Public-Facing Application</t>
        </is>
      </c>
      <c r="S281" t="n">
        <v>1</v>
      </c>
      <c r="T281" t="inlineStr">
        <is>
          <t>LOW (40%)</t>
        </is>
      </c>
      <c r="U281" t="inlineStr">
        <is>
          <t>UNLIKELY</t>
        </is>
      </c>
      <c r="V281" t="inlineStr">
        <is>
          <t>CHECK_VENDOR</t>
        </is>
      </c>
      <c r="W281" t="inlineStr">
        <is>
          <t>https://nvd.nist.gov/vuln/detail/CVE-2025-71056</t>
        </is>
      </c>
      <c r="X281" t="inlineStr">
        <is>
          <t>NONE</t>
        </is>
      </c>
      <c r="Y281" t="n">
        <v>0</v>
      </c>
      <c r="Z281" t="inlineStr"/>
      <c r="AA281" t="inlineStr">
        <is>
          <t>https://nvd.nist.gov/vuln/detail/CVE-2025-71056</t>
        </is>
      </c>
    </row>
    <row r="282">
      <c r="A282" t="inlineStr">
        <is>
          <t>CVE</t>
        </is>
      </c>
      <c r="B282" t="inlineStr">
        <is>
          <t>CVE-2026-23521</t>
        </is>
      </c>
      <c r="C282"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282" t="n">
        <v>6.5</v>
      </c>
      <c r="E282" t="inlineStr">
        <is>
          <t>MEDIUM</t>
        </is>
      </c>
      <c r="F282" t="n">
        <v>2</v>
      </c>
      <c r="G282" t="n">
        <v>2</v>
      </c>
      <c r="H282" t="inlineStr">
        <is>
          <t>MEDIUM</t>
        </is>
      </c>
      <c r="I282" t="n">
        <v>10.5</v>
      </c>
      <c r="J282" t="inlineStr">
        <is>
          <t>NO</t>
        </is>
      </c>
      <c r="K282" t="inlineStr">
        <is>
          <t>2026-02-27 20:47</t>
        </is>
      </c>
      <c r="L282" t="inlineStr">
        <is>
          <t>YES</t>
        </is>
      </c>
      <c r="M282" t="inlineStr">
        <is>
          <t>traccar traccar *</t>
        </is>
      </c>
      <c r="N282" t="inlineStr">
        <is>
          <t>P4</t>
        </is>
      </c>
      <c r="O282" t="inlineStr">
        <is>
          <t>CVE - IP enrichment n/a</t>
        </is>
      </c>
      <c r="P282" t="n">
        <v>0.0004</v>
      </c>
      <c r="Q282" t="n">
        <v>0.1345</v>
      </c>
      <c r="R282" t="inlineStr">
        <is>
          <t>T1083:File and Directory Discovery | T1190:Exploit Public-Facing Application</t>
        </is>
      </c>
      <c r="S282" t="n">
        <v>1</v>
      </c>
      <c r="T282" t="inlineStr">
        <is>
          <t>LOW (40%)</t>
        </is>
      </c>
      <c r="U282" t="inlineStr">
        <is>
          <t>UNLIKELY</t>
        </is>
      </c>
      <c r="V282" t="inlineStr">
        <is>
          <t>PATCH_AVAILABLE</t>
        </is>
      </c>
      <c r="W282" t="inlineStr">
        <is>
          <t>https://nvd.nist.gov/vuln/detail/CVE-2026-23521</t>
        </is>
      </c>
      <c r="X282" t="inlineStr">
        <is>
          <t>NONE</t>
        </is>
      </c>
      <c r="Y282" t="n">
        <v>0</v>
      </c>
      <c r="Z282" t="inlineStr"/>
      <c r="AA282" t="inlineStr">
        <is>
          <t>https://nvd.nist.gov/vuln/detail/CVE-2026-23521</t>
        </is>
      </c>
    </row>
    <row r="283">
      <c r="A283" t="inlineStr">
        <is>
          <t>CVE</t>
        </is>
      </c>
      <c r="B283" t="inlineStr">
        <is>
          <t>CVE-2026-23693</t>
        </is>
      </c>
      <c r="C283"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283" t="n">
        <v>10</v>
      </c>
      <c r="E283" t="inlineStr">
        <is>
          <t>CRITICAL</t>
        </is>
      </c>
      <c r="F283" t="n">
        <v>2</v>
      </c>
      <c r="G283" t="n">
        <v>3</v>
      </c>
      <c r="H283" t="inlineStr">
        <is>
          <t>HIGH</t>
        </is>
      </c>
      <c r="I283" t="n">
        <v>16</v>
      </c>
      <c r="J283" t="inlineStr">
        <is>
          <t>NO</t>
        </is>
      </c>
      <c r="K283" t="inlineStr">
        <is>
          <t>2026-02-27 20:47</t>
        </is>
      </c>
      <c r="L283" t="inlineStr">
        <is>
          <t>CHECK_VENDOR</t>
        </is>
      </c>
      <c r="M283" t="inlineStr">
        <is>
          <t>See CVE details</t>
        </is>
      </c>
      <c r="N283" t="inlineStr">
        <is>
          <t>P3</t>
        </is>
      </c>
      <c r="O283" t="inlineStr">
        <is>
          <t>CVE - IP enrichment n/a</t>
        </is>
      </c>
      <c r="P283" t="n">
        <v>0.0015</v>
      </c>
      <c r="Q283" t="n">
        <v>0.3542</v>
      </c>
      <c r="R283" t="inlineStr">
        <is>
          <t>T1078:Valid Accounts | T1190:Exploit Public-Facing Application | T1552:Unsecured Credentials</t>
        </is>
      </c>
      <c r="S283" t="n">
        <v>1</v>
      </c>
      <c r="T283" t="inlineStr">
        <is>
          <t>LOW (40%)</t>
        </is>
      </c>
      <c r="U283" t="inlineStr">
        <is>
          <t>UNLIKELY</t>
        </is>
      </c>
      <c r="V283" t="inlineStr">
        <is>
          <t>CHECK_VENDOR</t>
        </is>
      </c>
      <c r="W283" t="inlineStr">
        <is>
          <t>https://nvd.nist.gov/vuln/detail/CVE-2026-23693</t>
        </is>
      </c>
      <c r="X283" t="inlineStr">
        <is>
          <t>NONE</t>
        </is>
      </c>
      <c r="Y283" t="n">
        <v>0</v>
      </c>
      <c r="Z283" t="inlineStr"/>
      <c r="AA283" t="inlineStr">
        <is>
          <t>https://nvd.nist.gov/vuln/detail/CVE-2026-23693</t>
        </is>
      </c>
    </row>
    <row r="284">
      <c r="A284" t="inlineStr">
        <is>
          <t>CVE</t>
        </is>
      </c>
      <c r="B284" t="inlineStr">
        <is>
          <t>CVE-2026-23694</t>
        </is>
      </c>
      <c r="C284"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284" t="n">
        <v>5</v>
      </c>
      <c r="E284" t="inlineStr">
        <is>
          <t>MEDIUM</t>
        </is>
      </c>
      <c r="F284" t="n">
        <v>2</v>
      </c>
      <c r="G284" t="n">
        <v>2</v>
      </c>
      <c r="H284" t="inlineStr">
        <is>
          <t>MEDIUM</t>
        </is>
      </c>
      <c r="I284" t="n">
        <v>9</v>
      </c>
      <c r="J284" t="inlineStr">
        <is>
          <t>NO</t>
        </is>
      </c>
      <c r="K284" t="inlineStr">
        <is>
          <t>2026-02-27 20:47</t>
        </is>
      </c>
      <c r="L284" t="inlineStr">
        <is>
          <t>CHECK_VENDOR</t>
        </is>
      </c>
      <c r="M284" t="inlineStr">
        <is>
          <t>See CVE details</t>
        </is>
      </c>
      <c r="N284" t="inlineStr">
        <is>
          <t>P4</t>
        </is>
      </c>
      <c r="O284" t="inlineStr">
        <is>
          <t>CVE - IP enrichment n/a</t>
        </is>
      </c>
      <c r="P284" t="n">
        <v>0.0003</v>
      </c>
      <c r="Q284" t="n">
        <v>0.0868</v>
      </c>
      <c r="R284" t="inlineStr">
        <is>
          <t>T1185:Browser Session Hijacking</t>
        </is>
      </c>
      <c r="S284" t="n">
        <v>1</v>
      </c>
      <c r="T284" t="inlineStr">
        <is>
          <t>LOW (40%)</t>
        </is>
      </c>
      <c r="U284" t="inlineStr">
        <is>
          <t>UNLIKELY</t>
        </is>
      </c>
      <c r="V284" t="inlineStr">
        <is>
          <t>CHECK_VENDOR</t>
        </is>
      </c>
      <c r="W284" t="inlineStr">
        <is>
          <t>https://nvd.nist.gov/vuln/detail/CVE-2026-23694</t>
        </is>
      </c>
      <c r="X284" t="inlineStr">
        <is>
          <t>NONE</t>
        </is>
      </c>
      <c r="Y284" t="n">
        <v>0</v>
      </c>
      <c r="Z284" t="inlineStr"/>
      <c r="AA284" t="inlineStr">
        <is>
          <t>https://nvd.nist.gov/vuln/detail/CVE-2026-23694</t>
        </is>
      </c>
    </row>
    <row r="285">
      <c r="A285" t="inlineStr">
        <is>
          <t>CVE</t>
        </is>
      </c>
      <c r="B285" t="inlineStr">
        <is>
          <t>CVE-2026-25648</t>
        </is>
      </c>
      <c r="C285"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285" t="n">
        <v>8.699999999999999</v>
      </c>
      <c r="E285" t="inlineStr">
        <is>
          <t>HIGH</t>
        </is>
      </c>
      <c r="F285" t="n">
        <v>2</v>
      </c>
      <c r="G285" t="n">
        <v>3</v>
      </c>
      <c r="H285" t="inlineStr">
        <is>
          <t>HIGH</t>
        </is>
      </c>
      <c r="I285" t="n">
        <v>14.7</v>
      </c>
      <c r="J285" t="inlineStr">
        <is>
          <t>NO</t>
        </is>
      </c>
      <c r="K285" t="inlineStr">
        <is>
          <t>2026-02-27 20:47</t>
        </is>
      </c>
      <c r="L285" t="inlineStr">
        <is>
          <t>YES</t>
        </is>
      </c>
      <c r="M285" t="inlineStr">
        <is>
          <t>traccar traccar *</t>
        </is>
      </c>
      <c r="N285" t="inlineStr">
        <is>
          <t>P3</t>
        </is>
      </c>
      <c r="O285" t="inlineStr">
        <is>
          <t>CVE - IP enrichment n/a</t>
        </is>
      </c>
      <c r="P285" t="n">
        <v>0.0003</v>
      </c>
      <c r="Q285" t="n">
        <v>0.1023</v>
      </c>
      <c r="R285" t="inlineStr">
        <is>
          <t>T1189:Drive-by Compromise | T1190:Exploit Public-Facing Application</t>
        </is>
      </c>
      <c r="S285" t="n">
        <v>1</v>
      </c>
      <c r="T285" t="inlineStr">
        <is>
          <t>LOW (40%)</t>
        </is>
      </c>
      <c r="U285" t="inlineStr">
        <is>
          <t>UNLIKELY</t>
        </is>
      </c>
      <c r="V285" t="inlineStr">
        <is>
          <t>PATCH_AVAILABLE</t>
        </is>
      </c>
      <c r="W285" t="inlineStr">
        <is>
          <t>https://nvd.nist.gov/vuln/detail/CVE-2026-25648</t>
        </is>
      </c>
      <c r="X285" t="inlineStr">
        <is>
          <t>NONE</t>
        </is>
      </c>
      <c r="Y285" t="n">
        <v>0</v>
      </c>
      <c r="Z285" t="inlineStr"/>
      <c r="AA285" t="inlineStr">
        <is>
          <t>https://nvd.nist.gov/vuln/detail/CVE-2026-25648</t>
        </is>
      </c>
    </row>
    <row r="286">
      <c r="A286" t="inlineStr">
        <is>
          <t>CVE</t>
        </is>
      </c>
      <c r="B286" t="inlineStr">
        <is>
          <t>CVE-2026-3025</t>
        </is>
      </c>
      <c r="C286"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286" t="n">
        <v>7.3</v>
      </c>
      <c r="E286" t="inlineStr">
        <is>
          <t>HIGH</t>
        </is>
      </c>
      <c r="F286" t="n">
        <v>2</v>
      </c>
      <c r="G286" t="n">
        <v>3</v>
      </c>
      <c r="H286" t="inlineStr">
        <is>
          <t>HIGH</t>
        </is>
      </c>
      <c r="I286" t="n">
        <v>13.3</v>
      </c>
      <c r="J286" t="inlineStr">
        <is>
          <t>NO</t>
        </is>
      </c>
      <c r="K286" t="inlineStr">
        <is>
          <t>2026-02-27 20:47</t>
        </is>
      </c>
      <c r="L286" t="inlineStr">
        <is>
          <t>CHECK_VENDOR</t>
        </is>
      </c>
      <c r="M286" t="inlineStr">
        <is>
          <t>See CVE details</t>
        </is>
      </c>
      <c r="N286" t="inlineStr">
        <is>
          <t>P3</t>
        </is>
      </c>
      <c r="O286" t="inlineStr">
        <is>
          <t>CVE - IP enrichment n/a</t>
        </is>
      </c>
      <c r="P286" t="n">
        <v>0.0004</v>
      </c>
      <c r="Q286" t="n">
        <v>0.1036</v>
      </c>
      <c r="R286" t="inlineStr">
        <is>
          <t>T1190:Exploit Public-Facing Application</t>
        </is>
      </c>
      <c r="S286" t="n">
        <v>1</v>
      </c>
      <c r="T286" t="inlineStr">
        <is>
          <t>LOW (40%)</t>
        </is>
      </c>
      <c r="U286" t="inlineStr">
        <is>
          <t>UNLIKELY</t>
        </is>
      </c>
      <c r="V286" t="inlineStr">
        <is>
          <t>CHECK_VENDOR</t>
        </is>
      </c>
      <c r="W286" t="inlineStr">
        <is>
          <t>https://nvd.nist.gov/vuln/detail/CVE-2026-3025</t>
        </is>
      </c>
      <c r="X286" t="inlineStr">
        <is>
          <t>NONE</t>
        </is>
      </c>
      <c r="Y286" t="n">
        <v>0</v>
      </c>
      <c r="Z286" t="inlineStr"/>
      <c r="AA286" t="inlineStr">
        <is>
          <t>https://nvd.nist.gov/vuln/detail/CVE-2026-3025</t>
        </is>
      </c>
    </row>
    <row r="287">
      <c r="A287" t="inlineStr">
        <is>
          <t>CVE</t>
        </is>
      </c>
      <c r="B287" t="inlineStr">
        <is>
          <t>CVE-2026-3026</t>
        </is>
      </c>
      <c r="C287"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287" t="n">
        <v>7.3</v>
      </c>
      <c r="E287" t="inlineStr">
        <is>
          <t>HIGH</t>
        </is>
      </c>
      <c r="F287" t="n">
        <v>2</v>
      </c>
      <c r="G287" t="n">
        <v>3</v>
      </c>
      <c r="H287" t="inlineStr">
        <is>
          <t>HIGH</t>
        </is>
      </c>
      <c r="I287" t="n">
        <v>13.3</v>
      </c>
      <c r="J287" t="inlineStr">
        <is>
          <t>NO</t>
        </is>
      </c>
      <c r="K287" t="inlineStr">
        <is>
          <t>2026-02-27 20:47</t>
        </is>
      </c>
      <c r="L287" t="inlineStr">
        <is>
          <t>CHECK_VENDOR</t>
        </is>
      </c>
      <c r="M287" t="inlineStr">
        <is>
          <t>jeewms jeewms *</t>
        </is>
      </c>
      <c r="N287" t="inlineStr">
        <is>
          <t>P3</t>
        </is>
      </c>
      <c r="O287" t="inlineStr">
        <is>
          <t>CVE - IP enrichment n/a</t>
        </is>
      </c>
      <c r="P287" t="n">
        <v>0.0004</v>
      </c>
      <c r="Q287" t="n">
        <v>0.1069</v>
      </c>
      <c r="R287" t="inlineStr">
        <is>
          <t>T1090:Proxy</t>
        </is>
      </c>
      <c r="S287" t="n">
        <v>1</v>
      </c>
      <c r="T287" t="inlineStr">
        <is>
          <t>LOW (40%)</t>
        </is>
      </c>
      <c r="U287" t="inlineStr">
        <is>
          <t>UNLIKELY</t>
        </is>
      </c>
      <c r="V287" t="inlineStr">
        <is>
          <t>CHECK_VENDOR</t>
        </is>
      </c>
      <c r="W287" t="inlineStr">
        <is>
          <t>https://nvd.nist.gov/vuln/detail/CVE-2026-3026</t>
        </is>
      </c>
      <c r="X287" t="inlineStr">
        <is>
          <t>NONE</t>
        </is>
      </c>
      <c r="Y287" t="n">
        <v>0</v>
      </c>
      <c r="Z287" t="inlineStr"/>
      <c r="AA287" t="inlineStr">
        <is>
          <t>https://nvd.nist.gov/vuln/detail/CVE-2026-3026</t>
        </is>
      </c>
    </row>
    <row r="288">
      <c r="A288" t="inlineStr">
        <is>
          <t>CVE</t>
        </is>
      </c>
      <c r="B288" t="inlineStr">
        <is>
          <t>CVE-2026-3027</t>
        </is>
      </c>
      <c r="C288"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288" t="n">
        <v>4.3</v>
      </c>
      <c r="E288" t="inlineStr">
        <is>
          <t>MEDIUM</t>
        </is>
      </c>
      <c r="F288" t="n">
        <v>2</v>
      </c>
      <c r="G288" t="n">
        <v>2</v>
      </c>
      <c r="H288" t="inlineStr">
        <is>
          <t>MEDIUM</t>
        </is>
      </c>
      <c r="I288" t="n">
        <v>8.300000000000001</v>
      </c>
      <c r="J288" t="inlineStr">
        <is>
          <t>NO</t>
        </is>
      </c>
      <c r="K288" t="inlineStr">
        <is>
          <t>2026-02-27 20:47</t>
        </is>
      </c>
      <c r="L288" t="inlineStr">
        <is>
          <t>CHECK_VENDOR</t>
        </is>
      </c>
      <c r="M288" t="inlineStr">
        <is>
          <t>jeewms jeewms *</t>
        </is>
      </c>
      <c r="N288" t="inlineStr">
        <is>
          <t>P4</t>
        </is>
      </c>
      <c r="O288" t="inlineStr">
        <is>
          <t>CVE - IP enrichment n/a</t>
        </is>
      </c>
      <c r="P288" t="n">
        <v>0.0003</v>
      </c>
      <c r="Q288" t="n">
        <v>0.099</v>
      </c>
      <c r="R288" t="inlineStr">
        <is>
          <t>T1189:Drive-by Compromise</t>
        </is>
      </c>
      <c r="S288" t="n">
        <v>1</v>
      </c>
      <c r="T288" t="inlineStr">
        <is>
          <t>LOW (40%)</t>
        </is>
      </c>
      <c r="U288" t="inlineStr">
        <is>
          <t>UNLIKELY</t>
        </is>
      </c>
      <c r="V288" t="inlineStr">
        <is>
          <t>CHECK_VENDOR</t>
        </is>
      </c>
      <c r="W288" t="inlineStr">
        <is>
          <t>https://nvd.nist.gov/vuln/detail/CVE-2026-3027</t>
        </is>
      </c>
      <c r="X288" t="inlineStr">
        <is>
          <t>NONE</t>
        </is>
      </c>
      <c r="Y288" t="n">
        <v>0</v>
      </c>
      <c r="Z288" t="inlineStr"/>
      <c r="AA288" t="inlineStr">
        <is>
          <t>https://nvd.nist.gov/vuln/detail/CVE-2026-3027</t>
        </is>
      </c>
    </row>
    <row r="289">
      <c r="A289" t="inlineStr">
        <is>
          <t>CVE</t>
        </is>
      </c>
      <c r="B289" t="inlineStr">
        <is>
          <t>CVE-2026-3075</t>
        </is>
      </c>
      <c r="C289" t="inlineStr">
        <is>
          <t>Exposure of Sensitive System Information to an Unauthorized Control Sphere vulnerability in Jeff Starr Simple Ajax Chat simple-ajax-chat allows Retrieve Embedded Sensitive Data.This issue affects Simple Ajax Chat: from n/a through &lt;= 20251121.</t>
        </is>
      </c>
      <c r="D289" t="n">
        <v>5.3</v>
      </c>
      <c r="E289" t="inlineStr">
        <is>
          <t>MEDIUM</t>
        </is>
      </c>
      <c r="F289" t="n">
        <v>2</v>
      </c>
      <c r="G289" t="n">
        <v>2</v>
      </c>
      <c r="H289" t="inlineStr">
        <is>
          <t>MEDIUM</t>
        </is>
      </c>
      <c r="I289" t="n">
        <v>9.300000000000001</v>
      </c>
      <c r="J289" t="inlineStr">
        <is>
          <t>NO</t>
        </is>
      </c>
      <c r="K289" t="inlineStr">
        <is>
          <t>2026-02-27 20:47</t>
        </is>
      </c>
      <c r="L289" t="inlineStr">
        <is>
          <t>CHECK_VENDOR</t>
        </is>
      </c>
      <c r="M289" t="inlineStr">
        <is>
          <t>See CVE details</t>
        </is>
      </c>
      <c r="N289" t="inlineStr">
        <is>
          <t>P4</t>
        </is>
      </c>
      <c r="O289" t="inlineStr">
        <is>
          <t>CVE - IP enrichment n/a</t>
        </is>
      </c>
      <c r="P289" t="n">
        <v>0.0002</v>
      </c>
      <c r="Q289" t="n">
        <v>0.0449</v>
      </c>
      <c r="R289" t="inlineStr">
        <is>
          <t>T1190:Exploit Public-Facing Application</t>
        </is>
      </c>
      <c r="S289" t="n">
        <v>1</v>
      </c>
      <c r="T289" t="inlineStr">
        <is>
          <t>LOW (40%)</t>
        </is>
      </c>
      <c r="U289" t="inlineStr">
        <is>
          <t>UNLIKELY</t>
        </is>
      </c>
      <c r="V289" t="inlineStr">
        <is>
          <t>CHECK_VENDOR</t>
        </is>
      </c>
      <c r="W289" t="inlineStr">
        <is>
          <t>https://nvd.nist.gov/vuln/detail/CVE-2026-3075</t>
        </is>
      </c>
      <c r="X289" t="inlineStr">
        <is>
          <t>NONE</t>
        </is>
      </c>
      <c r="Y289" t="n">
        <v>0</v>
      </c>
      <c r="Z289" t="inlineStr"/>
      <c r="AA289" t="inlineStr">
        <is>
          <t>https://nvd.nist.gov/vuln/detail/CVE-2026-3075</t>
        </is>
      </c>
    </row>
    <row r="290">
      <c r="A290" t="inlineStr">
        <is>
          <t>CVE</t>
        </is>
      </c>
      <c r="B290" t="inlineStr">
        <is>
          <t>CVE-2025-69208</t>
        </is>
      </c>
      <c r="C290"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290" t="n">
        <v>5.3</v>
      </c>
      <c r="E290" t="inlineStr">
        <is>
          <t>MEDIUM</t>
        </is>
      </c>
      <c r="F290" t="n">
        <v>2</v>
      </c>
      <c r="G290" t="n">
        <v>2</v>
      </c>
      <c r="H290" t="inlineStr">
        <is>
          <t>MEDIUM</t>
        </is>
      </c>
      <c r="I290" t="n">
        <v>9.300000000000001</v>
      </c>
      <c r="J290" t="inlineStr">
        <is>
          <t>NO</t>
        </is>
      </c>
      <c r="K290" t="inlineStr">
        <is>
          <t>2026-02-27 20:47</t>
        </is>
      </c>
      <c r="L290" t="inlineStr">
        <is>
          <t>YES</t>
        </is>
      </c>
      <c r="M290" t="inlineStr">
        <is>
          <t>free5gc udr *</t>
        </is>
      </c>
      <c r="N290" t="inlineStr">
        <is>
          <t>P4</t>
        </is>
      </c>
      <c r="O290" t="inlineStr">
        <is>
          <t>CVE - IP enrichment n/a</t>
        </is>
      </c>
      <c r="P290" t="n">
        <v>0.0002</v>
      </c>
      <c r="Q290" t="n">
        <v>0.06270000000000001</v>
      </c>
      <c r="R290" t="inlineStr">
        <is>
          <t>T1190:Exploit Public-Facing Application</t>
        </is>
      </c>
      <c r="S290" t="n">
        <v>1</v>
      </c>
      <c r="T290" t="inlineStr">
        <is>
          <t>LOW (40%)</t>
        </is>
      </c>
      <c r="U290" t="inlineStr">
        <is>
          <t>UNLIKELY</t>
        </is>
      </c>
      <c r="V290" t="inlineStr">
        <is>
          <t>PATCH_AVAILABLE</t>
        </is>
      </c>
      <c r="W290" t="inlineStr">
        <is>
          <t>https://nvd.nist.gov/vuln/detail/CVE-2025-69208</t>
        </is>
      </c>
      <c r="X290" t="inlineStr">
        <is>
          <t>NONE</t>
        </is>
      </c>
      <c r="Y290" t="n">
        <v>0</v>
      </c>
      <c r="Z290" t="inlineStr"/>
      <c r="AA290" t="inlineStr">
        <is>
          <t>https://nvd.nist.gov/vuln/detail/CVE-2025-69208</t>
        </is>
      </c>
    </row>
    <row r="291">
      <c r="A291" t="inlineStr">
        <is>
          <t>CVE</t>
        </is>
      </c>
      <c r="B291" t="inlineStr">
        <is>
          <t>CVE-2025-69232</t>
        </is>
      </c>
      <c r="C291"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291" t="n">
        <v>7.5</v>
      </c>
      <c r="E291" t="inlineStr">
        <is>
          <t>HIGH</t>
        </is>
      </c>
      <c r="F291" t="n">
        <v>2</v>
      </c>
      <c r="G291" t="n">
        <v>3</v>
      </c>
      <c r="H291" t="inlineStr">
        <is>
          <t>HIGH</t>
        </is>
      </c>
      <c r="I291" t="n">
        <v>13.5</v>
      </c>
      <c r="J291" t="inlineStr">
        <is>
          <t>NO</t>
        </is>
      </c>
      <c r="K291" t="inlineStr">
        <is>
          <t>2026-02-27 20:47</t>
        </is>
      </c>
      <c r="L291" t="inlineStr">
        <is>
          <t>YES</t>
        </is>
      </c>
      <c r="M291" t="inlineStr">
        <is>
          <t>free5gc smf * | free5gc go-upf *</t>
        </is>
      </c>
      <c r="N291" t="inlineStr">
        <is>
          <t>P3</t>
        </is>
      </c>
      <c r="O291" t="inlineStr">
        <is>
          <t>CVE - IP enrichment n/a</t>
        </is>
      </c>
      <c r="P291" t="n">
        <v>0.0012</v>
      </c>
      <c r="Q291" t="n">
        <v>0.3169</v>
      </c>
      <c r="R291" t="inlineStr">
        <is>
          <t>T1190:Exploit Public-Facing Application | T1499:Endpoint Denial of Service</t>
        </is>
      </c>
      <c r="S291" t="n">
        <v>1</v>
      </c>
      <c r="T291" t="inlineStr">
        <is>
          <t>LOW (40%)</t>
        </is>
      </c>
      <c r="U291" t="inlineStr">
        <is>
          <t>UNLIKELY</t>
        </is>
      </c>
      <c r="V291" t="inlineStr">
        <is>
          <t>PATCH_AVAILABLE</t>
        </is>
      </c>
      <c r="W291" t="inlineStr">
        <is>
          <t>https://nvd.nist.gov/vuln/detail/CVE-2025-69232</t>
        </is>
      </c>
      <c r="X291" t="inlineStr">
        <is>
          <t>NONE</t>
        </is>
      </c>
      <c r="Y291" t="n">
        <v>0</v>
      </c>
      <c r="Z291" t="inlineStr"/>
      <c r="AA291" t="inlineStr">
        <is>
          <t>https://nvd.nist.gov/vuln/detail/CVE-2025-69232</t>
        </is>
      </c>
    </row>
    <row r="292">
      <c r="A292" t="inlineStr">
        <is>
          <t>CVE</t>
        </is>
      </c>
      <c r="B292" t="inlineStr">
        <is>
          <t>CVE-2025-69247</t>
        </is>
      </c>
      <c r="C292"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292" t="n">
        <v>7.5</v>
      </c>
      <c r="E292" t="inlineStr">
        <is>
          <t>HIGH</t>
        </is>
      </c>
      <c r="F292" t="n">
        <v>2</v>
      </c>
      <c r="G292" t="n">
        <v>3</v>
      </c>
      <c r="H292" t="inlineStr">
        <is>
          <t>HIGH</t>
        </is>
      </c>
      <c r="I292" t="n">
        <v>13.5</v>
      </c>
      <c r="J292" t="inlineStr">
        <is>
          <t>NO</t>
        </is>
      </c>
      <c r="K292" t="inlineStr">
        <is>
          <t>2026-02-27 20:47</t>
        </is>
      </c>
      <c r="L292" t="inlineStr">
        <is>
          <t>YES</t>
        </is>
      </c>
      <c r="M292" t="inlineStr">
        <is>
          <t>free5gc go-upf *</t>
        </is>
      </c>
      <c r="N292" t="inlineStr">
        <is>
          <t>P3</t>
        </is>
      </c>
      <c r="O292" t="inlineStr">
        <is>
          <t>CVE - IP enrichment n/a</t>
        </is>
      </c>
      <c r="P292" t="n">
        <v>0.0012</v>
      </c>
      <c r="Q292" t="n">
        <v>0.311</v>
      </c>
      <c r="R292" t="inlineStr">
        <is>
          <t>T1203:Exploitation for Client Execution | T1499:Endpoint Denial of Service</t>
        </is>
      </c>
      <c r="S292" t="n">
        <v>1</v>
      </c>
      <c r="T292" t="inlineStr">
        <is>
          <t>LOW (40%)</t>
        </is>
      </c>
      <c r="U292" t="inlineStr">
        <is>
          <t>UNLIKELY</t>
        </is>
      </c>
      <c r="V292" t="inlineStr">
        <is>
          <t>PATCH_AVAILABLE</t>
        </is>
      </c>
      <c r="W292" t="inlineStr">
        <is>
          <t>https://nvd.nist.gov/vuln/detail/CVE-2025-69247</t>
        </is>
      </c>
      <c r="X292" t="inlineStr">
        <is>
          <t>NONE</t>
        </is>
      </c>
      <c r="Y292" t="n">
        <v>0</v>
      </c>
      <c r="Z292" t="inlineStr"/>
      <c r="AA292" t="inlineStr">
        <is>
          <t>https://nvd.nist.gov/vuln/detail/CVE-2025-69247</t>
        </is>
      </c>
    </row>
    <row r="293">
      <c r="A293" t="inlineStr">
        <is>
          <t>CVE</t>
        </is>
      </c>
      <c r="B293" t="inlineStr">
        <is>
          <t>CVE-2025-69248</t>
        </is>
      </c>
      <c r="C293"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293" t="n">
        <v>7.5</v>
      </c>
      <c r="E293" t="inlineStr">
        <is>
          <t>HIGH</t>
        </is>
      </c>
      <c r="F293" t="n">
        <v>2</v>
      </c>
      <c r="G293" t="n">
        <v>3</v>
      </c>
      <c r="H293" t="inlineStr">
        <is>
          <t>HIGH</t>
        </is>
      </c>
      <c r="I293" t="n">
        <v>13.5</v>
      </c>
      <c r="J293" t="inlineStr">
        <is>
          <t>NO</t>
        </is>
      </c>
      <c r="K293" t="inlineStr">
        <is>
          <t>2026-02-27 20:47</t>
        </is>
      </c>
      <c r="L293" t="inlineStr">
        <is>
          <t>YES</t>
        </is>
      </c>
      <c r="M293" t="inlineStr">
        <is>
          <t>free5gc amf *</t>
        </is>
      </c>
      <c r="N293" t="inlineStr">
        <is>
          <t>P3</t>
        </is>
      </c>
      <c r="O293" t="inlineStr">
        <is>
          <t>CVE - IP enrichment n/a</t>
        </is>
      </c>
      <c r="P293" t="n">
        <v>0.0024</v>
      </c>
      <c r="Q293" t="n">
        <v>0.4607</v>
      </c>
      <c r="R293" t="inlineStr">
        <is>
          <t>T1190:Exploit Public-Facing Application | T1203:Exploitation for Client Execution | T1499:Endpoint Denial of Service</t>
        </is>
      </c>
      <c r="S293" t="n">
        <v>1</v>
      </c>
      <c r="T293" t="inlineStr">
        <is>
          <t>LOW (40%)</t>
        </is>
      </c>
      <c r="U293" t="inlineStr">
        <is>
          <t>UNLIKELY</t>
        </is>
      </c>
      <c r="V293" t="inlineStr">
        <is>
          <t>PATCH_AVAILABLE</t>
        </is>
      </c>
      <c r="W293" t="inlineStr">
        <is>
          <t>https://nvd.nist.gov/vuln/detail/CVE-2025-69248</t>
        </is>
      </c>
      <c r="X293" t="inlineStr">
        <is>
          <t>NONE</t>
        </is>
      </c>
      <c r="Y293" t="n">
        <v>0</v>
      </c>
      <c r="Z293" t="inlineStr"/>
      <c r="AA293" t="inlineStr">
        <is>
          <t>https://nvd.nist.gov/vuln/detail/CVE-2025-69248</t>
        </is>
      </c>
    </row>
    <row r="294">
      <c r="A294" t="inlineStr">
        <is>
          <t>CVE</t>
        </is>
      </c>
      <c r="B294" t="inlineStr">
        <is>
          <t>CVE-2026-25649</t>
        </is>
      </c>
      <c r="C294"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294" t="n">
        <v>7.3</v>
      </c>
      <c r="E294" t="inlineStr">
        <is>
          <t>HIGH</t>
        </is>
      </c>
      <c r="F294" t="n">
        <v>2</v>
      </c>
      <c r="G294" t="n">
        <v>3</v>
      </c>
      <c r="H294" t="inlineStr">
        <is>
          <t>HIGH</t>
        </is>
      </c>
      <c r="I294" t="n">
        <v>13.3</v>
      </c>
      <c r="J294" t="inlineStr">
        <is>
          <t>NO</t>
        </is>
      </c>
      <c r="K294" t="inlineStr">
        <is>
          <t>2026-02-27 20:47</t>
        </is>
      </c>
      <c r="L294" t="inlineStr">
        <is>
          <t>YES</t>
        </is>
      </c>
      <c r="M294" t="inlineStr">
        <is>
          <t>traccar traccar *</t>
        </is>
      </c>
      <c r="N294" t="inlineStr">
        <is>
          <t>P3</t>
        </is>
      </c>
      <c r="O294" t="inlineStr">
        <is>
          <t>CVE - IP enrichment n/a</t>
        </is>
      </c>
      <c r="P294" t="n">
        <v>0.0002</v>
      </c>
      <c r="Q294" t="n">
        <v>0.0386</v>
      </c>
      <c r="R294" t="inlineStr">
        <is>
          <t>T1185:Browser Session Hijacking | T1189:Drive-by Compromise | T1190:Exploit Public-Facing Application</t>
        </is>
      </c>
      <c r="S294" t="n">
        <v>1</v>
      </c>
      <c r="T294" t="inlineStr">
        <is>
          <t>LOW (40%)</t>
        </is>
      </c>
      <c r="U294" t="inlineStr">
        <is>
          <t>UNLIKELY</t>
        </is>
      </c>
      <c r="V294" t="inlineStr">
        <is>
          <t>PATCH_AVAILABLE</t>
        </is>
      </c>
      <c r="W294" t="inlineStr">
        <is>
          <t>https://nvd.nist.gov/vuln/detail/CVE-2026-25649</t>
        </is>
      </c>
      <c r="X294" t="inlineStr">
        <is>
          <t>NONE</t>
        </is>
      </c>
      <c r="Y294" t="n">
        <v>0</v>
      </c>
      <c r="Z294" t="inlineStr"/>
      <c r="AA294" t="inlineStr">
        <is>
          <t>https://nvd.nist.gov/vuln/detail/CVE-2026-25649</t>
        </is>
      </c>
    </row>
    <row r="295">
      <c r="A295" t="inlineStr">
        <is>
          <t>CVE</t>
        </is>
      </c>
      <c r="B295" t="inlineStr">
        <is>
          <t>CVE-2026-25984</t>
        </is>
      </c>
      <c r="C295" t="inlineStr">
        <is>
          <t>Rejected reason: This CVE was assigned in error.</t>
        </is>
      </c>
      <c r="D295" t="n">
        <v>5</v>
      </c>
      <c r="E295" t="inlineStr">
        <is>
          <t>MEDIUM</t>
        </is>
      </c>
      <c r="F295" t="n">
        <v>2</v>
      </c>
      <c r="G295" t="n">
        <v>2</v>
      </c>
      <c r="H295" t="inlineStr">
        <is>
          <t>MEDIUM</t>
        </is>
      </c>
      <c r="I295" t="n">
        <v>9</v>
      </c>
      <c r="J295" t="inlineStr">
        <is>
          <t>NO</t>
        </is>
      </c>
      <c r="K295" t="inlineStr">
        <is>
          <t>2026-02-27 20:47</t>
        </is>
      </c>
      <c r="L295" t="inlineStr">
        <is>
          <t>CHECK_VENDOR</t>
        </is>
      </c>
      <c r="M295" t="inlineStr">
        <is>
          <t>See CVE details</t>
        </is>
      </c>
      <c r="N295" t="inlineStr">
        <is>
          <t>P4</t>
        </is>
      </c>
      <c r="O295" t="inlineStr">
        <is>
          <t>CVE - IP enrichment n/a</t>
        </is>
      </c>
      <c r="P295" t="n">
        <v>0</v>
      </c>
      <c r="Q295" t="n">
        <v>0</v>
      </c>
      <c r="R295" t="inlineStr">
        <is>
          <t>T1190:Exploit Public-Facing Application</t>
        </is>
      </c>
      <c r="S295" t="n">
        <v>1</v>
      </c>
      <c r="T295" t="inlineStr">
        <is>
          <t>LOW (40%)</t>
        </is>
      </c>
      <c r="U295" t="inlineStr">
        <is>
          <t>UNLIKELY</t>
        </is>
      </c>
      <c r="V295" t="inlineStr">
        <is>
          <t>CHECK_VENDOR</t>
        </is>
      </c>
      <c r="W295" t="inlineStr">
        <is>
          <t>https://nvd.nist.gov/vuln/detail/CVE-2026-25984</t>
        </is>
      </c>
      <c r="X295" t="inlineStr">
        <is>
          <t>NONE</t>
        </is>
      </c>
      <c r="Y295" t="n">
        <v>0</v>
      </c>
      <c r="Z295" t="inlineStr"/>
      <c r="AA295" t="inlineStr">
        <is>
          <t>https://nvd.nist.gov/vuln/detail/CVE-2026-25984</t>
        </is>
      </c>
    </row>
    <row r="296">
      <c r="A296" t="inlineStr">
        <is>
          <t>CVE</t>
        </is>
      </c>
      <c r="B296" t="inlineStr">
        <is>
          <t>CVE-2026-27163</t>
        </is>
      </c>
      <c r="C296" t="inlineStr">
        <is>
          <t>Rejected reason: This CVE was assigned in error.</t>
        </is>
      </c>
      <c r="D296" t="n">
        <v>5</v>
      </c>
      <c r="E296" t="inlineStr">
        <is>
          <t>MEDIUM</t>
        </is>
      </c>
      <c r="F296" t="n">
        <v>2</v>
      </c>
      <c r="G296" t="n">
        <v>2</v>
      </c>
      <c r="H296" t="inlineStr">
        <is>
          <t>MEDIUM</t>
        </is>
      </c>
      <c r="I296" t="n">
        <v>9</v>
      </c>
      <c r="J296" t="inlineStr">
        <is>
          <t>NO</t>
        </is>
      </c>
      <c r="K296" t="inlineStr">
        <is>
          <t>2026-02-27 20:47</t>
        </is>
      </c>
      <c r="L296" t="inlineStr">
        <is>
          <t>CHECK_VENDOR</t>
        </is>
      </c>
      <c r="M296" t="inlineStr">
        <is>
          <t>See CVE details</t>
        </is>
      </c>
      <c r="N296" t="inlineStr">
        <is>
          <t>P4</t>
        </is>
      </c>
      <c r="O296" t="inlineStr">
        <is>
          <t>CVE - IP enrichment n/a</t>
        </is>
      </c>
      <c r="P296" t="n">
        <v>0</v>
      </c>
      <c r="Q296" t="n">
        <v>0</v>
      </c>
      <c r="R296" t="inlineStr">
        <is>
          <t>T1190:Exploit Public-Facing Application</t>
        </is>
      </c>
      <c r="S296" t="n">
        <v>1</v>
      </c>
      <c r="T296" t="inlineStr">
        <is>
          <t>LOW (40%)</t>
        </is>
      </c>
      <c r="U296" t="inlineStr">
        <is>
          <t>UNLIKELY</t>
        </is>
      </c>
      <c r="V296" t="inlineStr">
        <is>
          <t>CHECK_VENDOR</t>
        </is>
      </c>
      <c r="W296" t="inlineStr">
        <is>
          <t>https://nvd.nist.gov/vuln/detail/CVE-2026-27163</t>
        </is>
      </c>
      <c r="X296" t="inlineStr">
        <is>
          <t>NONE</t>
        </is>
      </c>
      <c r="Y296" t="n">
        <v>0</v>
      </c>
      <c r="Z296" t="inlineStr"/>
      <c r="AA296" t="inlineStr">
        <is>
          <t>https://nvd.nist.gov/vuln/detail/CVE-2026-27163</t>
        </is>
      </c>
    </row>
    <row r="297">
      <c r="A297" t="inlineStr">
        <is>
          <t>CVE</t>
        </is>
      </c>
      <c r="B297" t="inlineStr">
        <is>
          <t>CVE-2026-27741</t>
        </is>
      </c>
      <c r="C297"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297" t="n">
        <v>4.3</v>
      </c>
      <c r="E297" t="inlineStr">
        <is>
          <t>MEDIUM</t>
        </is>
      </c>
      <c r="F297" t="n">
        <v>2</v>
      </c>
      <c r="G297" t="n">
        <v>2</v>
      </c>
      <c r="H297" t="inlineStr">
        <is>
          <t>MEDIUM</t>
        </is>
      </c>
      <c r="I297" t="n">
        <v>8.300000000000001</v>
      </c>
      <c r="J297" t="inlineStr">
        <is>
          <t>NO</t>
        </is>
      </c>
      <c r="K297" t="inlineStr">
        <is>
          <t>2026-02-27 20:47</t>
        </is>
      </c>
      <c r="L297" t="inlineStr">
        <is>
          <t>CHECK_VENDOR</t>
        </is>
      </c>
      <c r="M297" t="inlineStr">
        <is>
          <t>bludit bludit 3.16.1</t>
        </is>
      </c>
      <c r="N297" t="inlineStr">
        <is>
          <t>P4</t>
        </is>
      </c>
      <c r="O297" t="inlineStr">
        <is>
          <t>CVE - IP enrichment n/a</t>
        </is>
      </c>
      <c r="P297" t="n">
        <v>0.0002</v>
      </c>
      <c r="Q297" t="n">
        <v>0.0433</v>
      </c>
      <c r="R297" t="inlineStr">
        <is>
          <t>T1185:Browser Session Hijacking</t>
        </is>
      </c>
      <c r="S297" t="n">
        <v>1</v>
      </c>
      <c r="T297" t="inlineStr">
        <is>
          <t>LOW (40%)</t>
        </is>
      </c>
      <c r="U297" t="inlineStr">
        <is>
          <t>UNLIKELY</t>
        </is>
      </c>
      <c r="V297" t="inlineStr">
        <is>
          <t>CHECK_VENDOR</t>
        </is>
      </c>
      <c r="W297" t="inlineStr">
        <is>
          <t>https://nvd.nist.gov/vuln/detail/CVE-2026-27741</t>
        </is>
      </c>
      <c r="X297" t="inlineStr">
        <is>
          <t>NONE</t>
        </is>
      </c>
      <c r="Y297" t="n">
        <v>0</v>
      </c>
      <c r="Z297" t="inlineStr"/>
      <c r="AA297" t="inlineStr">
        <is>
          <t>https://nvd.nist.gov/vuln/detail/CVE-2026-27741</t>
        </is>
      </c>
    </row>
    <row r="298">
      <c r="A298" t="inlineStr">
        <is>
          <t>CVE</t>
        </is>
      </c>
      <c r="B298" t="inlineStr">
        <is>
          <t>CVE-2026-27742</t>
        </is>
      </c>
      <c r="C298"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298" t="n">
        <v>5.4</v>
      </c>
      <c r="E298" t="inlineStr">
        <is>
          <t>MEDIUM</t>
        </is>
      </c>
      <c r="F298" t="n">
        <v>2</v>
      </c>
      <c r="G298" t="n">
        <v>2</v>
      </c>
      <c r="H298" t="inlineStr">
        <is>
          <t>MEDIUM</t>
        </is>
      </c>
      <c r="I298" t="n">
        <v>9.4</v>
      </c>
      <c r="J298" t="inlineStr">
        <is>
          <t>NO</t>
        </is>
      </c>
      <c r="K298" t="inlineStr">
        <is>
          <t>2026-02-27 20:47</t>
        </is>
      </c>
      <c r="L298" t="inlineStr">
        <is>
          <t>CHECK_VENDOR</t>
        </is>
      </c>
      <c r="M298" t="inlineStr">
        <is>
          <t>bludit bludit *</t>
        </is>
      </c>
      <c r="N298" t="inlineStr">
        <is>
          <t>P4</t>
        </is>
      </c>
      <c r="O298" t="inlineStr">
        <is>
          <t>CVE - IP enrichment n/a</t>
        </is>
      </c>
      <c r="P298" t="n">
        <v>0.0003</v>
      </c>
      <c r="Q298" t="n">
        <v>0.0721</v>
      </c>
      <c r="R298" t="inlineStr">
        <is>
          <t>T1189:Drive-by Compromise | T1190:Exploit Public-Facing Application | T1552:Unsecured Credentials</t>
        </is>
      </c>
      <c r="S298" t="n">
        <v>1</v>
      </c>
      <c r="T298" t="inlineStr">
        <is>
          <t>LOW (40%)</t>
        </is>
      </c>
      <c r="U298" t="inlineStr">
        <is>
          <t>UNLIKELY</t>
        </is>
      </c>
      <c r="V298" t="inlineStr">
        <is>
          <t>CHECK_VENDOR</t>
        </is>
      </c>
      <c r="W298" t="inlineStr">
        <is>
          <t>https://nvd.nist.gov/vuln/detail/CVE-2026-27742</t>
        </is>
      </c>
      <c r="X298" t="inlineStr">
        <is>
          <t>NONE</t>
        </is>
      </c>
      <c r="Y298" t="n">
        <v>0</v>
      </c>
      <c r="Z298" t="inlineStr"/>
      <c r="AA298" t="inlineStr">
        <is>
          <t>https://nvd.nist.gov/vuln/detail/CVE-2026-27742</t>
        </is>
      </c>
    </row>
    <row r="299">
      <c r="A299" t="inlineStr">
        <is>
          <t>CVE</t>
        </is>
      </c>
      <c r="B299" t="inlineStr">
        <is>
          <t>CVE-2026-3028</t>
        </is>
      </c>
      <c r="C299"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299" t="n">
        <v>4.3</v>
      </c>
      <c r="E299" t="inlineStr">
        <is>
          <t>MEDIUM</t>
        </is>
      </c>
      <c r="F299" t="n">
        <v>2</v>
      </c>
      <c r="G299" t="n">
        <v>2</v>
      </c>
      <c r="H299" t="inlineStr">
        <is>
          <t>MEDIUM</t>
        </is>
      </c>
      <c r="I299" t="n">
        <v>8.300000000000001</v>
      </c>
      <c r="J299" t="inlineStr">
        <is>
          <t>NO</t>
        </is>
      </c>
      <c r="K299" t="inlineStr">
        <is>
          <t>2026-02-27 20:47</t>
        </is>
      </c>
      <c r="L299" t="inlineStr">
        <is>
          <t>CHECK_VENDOR</t>
        </is>
      </c>
      <c r="M299" t="inlineStr">
        <is>
          <t>huayi-tec jeewms *</t>
        </is>
      </c>
      <c r="N299" t="inlineStr">
        <is>
          <t>P4</t>
        </is>
      </c>
      <c r="O299" t="inlineStr">
        <is>
          <t>CVE - IP enrichment n/a</t>
        </is>
      </c>
      <c r="P299" t="n">
        <v>0.0003</v>
      </c>
      <c r="Q299" t="n">
        <v>0.068</v>
      </c>
      <c r="R299" t="inlineStr">
        <is>
          <t>T1189:Drive-by Compromise</t>
        </is>
      </c>
      <c r="S299" t="n">
        <v>1</v>
      </c>
      <c r="T299" t="inlineStr">
        <is>
          <t>LOW (40%)</t>
        </is>
      </c>
      <c r="U299" t="inlineStr">
        <is>
          <t>UNLIKELY</t>
        </is>
      </c>
      <c r="V299" t="inlineStr">
        <is>
          <t>CHECK_VENDOR</t>
        </is>
      </c>
      <c r="W299" t="inlineStr">
        <is>
          <t>https://nvd.nist.gov/vuln/detail/CVE-2026-3028</t>
        </is>
      </c>
      <c r="X299" t="inlineStr">
        <is>
          <t>NONE</t>
        </is>
      </c>
      <c r="Y299" t="n">
        <v>0</v>
      </c>
      <c r="Z299" t="inlineStr"/>
      <c r="AA299" t="inlineStr">
        <is>
          <t>https://nvd.nist.gov/vuln/detail/CVE-2026-3028</t>
        </is>
      </c>
    </row>
    <row r="300">
      <c r="A300" t="inlineStr">
        <is>
          <t>CVE</t>
        </is>
      </c>
      <c r="B300" t="inlineStr">
        <is>
          <t>CVE-2026-3040</t>
        </is>
      </c>
      <c r="C300"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300" t="n">
        <v>4.7</v>
      </c>
      <c r="E300" t="inlineStr">
        <is>
          <t>MEDIUM</t>
        </is>
      </c>
      <c r="F300" t="n">
        <v>2</v>
      </c>
      <c r="G300" t="n">
        <v>2</v>
      </c>
      <c r="H300" t="inlineStr">
        <is>
          <t>MEDIUM</t>
        </is>
      </c>
      <c r="I300" t="n">
        <v>8.699999999999999</v>
      </c>
      <c r="J300" t="inlineStr">
        <is>
          <t>NO</t>
        </is>
      </c>
      <c r="K300" t="inlineStr">
        <is>
          <t>2026-02-27 20:47</t>
        </is>
      </c>
      <c r="L300" t="inlineStr">
        <is>
          <t>CHECK_VENDOR</t>
        </is>
      </c>
      <c r="M300" t="inlineStr">
        <is>
          <t>draytek vigor300b - | draytek vigor300b_firmware *</t>
        </is>
      </c>
      <c r="N300" t="inlineStr">
        <is>
          <t>P4</t>
        </is>
      </c>
      <c r="O300" t="inlineStr">
        <is>
          <t>CVE - IP enrichment n/a</t>
        </is>
      </c>
      <c r="P300" t="n">
        <v>0.002</v>
      </c>
      <c r="Q300" t="n">
        <v>0.4195</v>
      </c>
      <c r="R300" t="inlineStr">
        <is>
          <t>T1059:Command and Scripting Interpreter</t>
        </is>
      </c>
      <c r="S300" t="n">
        <v>1</v>
      </c>
      <c r="T300" t="inlineStr">
        <is>
          <t>LOW (40%)</t>
        </is>
      </c>
      <c r="U300" t="inlineStr">
        <is>
          <t>UNLIKELY</t>
        </is>
      </c>
      <c r="V300" t="inlineStr">
        <is>
          <t>CHECK_VENDOR</t>
        </is>
      </c>
      <c r="W300" t="inlineStr">
        <is>
          <t>https://nvd.nist.gov/vuln/detail/CVE-2026-3040</t>
        </is>
      </c>
      <c r="X300" t="inlineStr">
        <is>
          <t>NONE</t>
        </is>
      </c>
      <c r="Y300" t="n">
        <v>0</v>
      </c>
      <c r="Z300" t="inlineStr"/>
      <c r="AA300" t="inlineStr">
        <is>
          <t>https://nvd.nist.gov/vuln/detail/CVE-2026-3040</t>
        </is>
      </c>
    </row>
    <row r="301">
      <c r="A301" t="inlineStr">
        <is>
          <t>CVE</t>
        </is>
      </c>
      <c r="B301" t="inlineStr">
        <is>
          <t>CVE-2026-3041</t>
        </is>
      </c>
      <c r="C301"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301" t="n">
        <v>2.4</v>
      </c>
      <c r="E301" t="inlineStr">
        <is>
          <t>LOW</t>
        </is>
      </c>
      <c r="F301" t="n">
        <v>2</v>
      </c>
      <c r="G301" t="n">
        <v>1</v>
      </c>
      <c r="H301" t="inlineStr">
        <is>
          <t>LOW</t>
        </is>
      </c>
      <c r="I301" t="n">
        <v>4.4</v>
      </c>
      <c r="J301" t="inlineStr">
        <is>
          <t>NO</t>
        </is>
      </c>
      <c r="K301" t="inlineStr">
        <is>
          <t>2026-02-27 20:47</t>
        </is>
      </c>
      <c r="L301" t="inlineStr">
        <is>
          <t>CHECK_VENDOR</t>
        </is>
      </c>
      <c r="M301" t="inlineStr">
        <is>
          <t>See CVE details</t>
        </is>
      </c>
      <c r="N301" t="inlineStr">
        <is>
          <t>P4</t>
        </is>
      </c>
      <c r="O301" t="inlineStr">
        <is>
          <t>CVE - IP enrichment n/a</t>
        </is>
      </c>
      <c r="P301" t="n">
        <v>0.0001</v>
      </c>
      <c r="Q301" t="n">
        <v>0.0123</v>
      </c>
      <c r="R301" t="inlineStr">
        <is>
          <t>T1189:Drive-by Compromise</t>
        </is>
      </c>
      <c r="S301" t="n">
        <v>1</v>
      </c>
      <c r="T301" t="inlineStr">
        <is>
          <t>LOW (40%)</t>
        </is>
      </c>
      <c r="U301" t="inlineStr">
        <is>
          <t>UNLIKELY</t>
        </is>
      </c>
      <c r="V301" t="inlineStr">
        <is>
          <t>CHECK_VENDOR</t>
        </is>
      </c>
      <c r="W301" t="inlineStr">
        <is>
          <t>https://nvd.nist.gov/vuln/detail/CVE-2026-3041</t>
        </is>
      </c>
      <c r="X301" t="inlineStr">
        <is>
          <t>NONE</t>
        </is>
      </c>
      <c r="Y301" t="n">
        <v>0</v>
      </c>
      <c r="Z301" t="inlineStr"/>
      <c r="AA301" t="inlineStr">
        <is>
          <t>https://nvd.nist.gov/vuln/detail/CVE-2026-3041</t>
        </is>
      </c>
    </row>
    <row r="302">
      <c r="A302" t="inlineStr">
        <is>
          <t>CVE</t>
        </is>
      </c>
      <c r="B302" t="inlineStr">
        <is>
          <t>CVE-2026-21665</t>
        </is>
      </c>
      <c r="C302"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302" t="n">
        <v>8.5</v>
      </c>
      <c r="E302" t="inlineStr">
        <is>
          <t>HIGH</t>
        </is>
      </c>
      <c r="F302" t="n">
        <v>2</v>
      </c>
      <c r="G302" t="n">
        <v>3</v>
      </c>
      <c r="H302" t="inlineStr">
        <is>
          <t>HIGH</t>
        </is>
      </c>
      <c r="I302" t="n">
        <v>14.5</v>
      </c>
      <c r="J302" t="inlineStr">
        <is>
          <t>NO</t>
        </is>
      </c>
      <c r="K302" t="inlineStr">
        <is>
          <t>2026-02-27 20:47</t>
        </is>
      </c>
      <c r="L302" t="inlineStr">
        <is>
          <t>CHECK_VENDOR</t>
        </is>
      </c>
      <c r="M302" t="inlineStr">
        <is>
          <t>See CVE details</t>
        </is>
      </c>
      <c r="N302" t="inlineStr">
        <is>
          <t>P3</t>
        </is>
      </c>
      <c r="O302" t="inlineStr">
        <is>
          <t>CVE - IP enrichment n/a</t>
        </is>
      </c>
      <c r="P302" t="n">
        <v>0.0032</v>
      </c>
      <c r="Q302" t="n">
        <v>0.5426</v>
      </c>
      <c r="R302" t="inlineStr">
        <is>
          <t>T1059:Command and Scripting Interpreter | T1190:Exploit Public-Facing Application | T1210:Exploitation of Remote Services</t>
        </is>
      </c>
      <c r="S302" t="n">
        <v>1</v>
      </c>
      <c r="T302" t="inlineStr">
        <is>
          <t>LOW (40%)</t>
        </is>
      </c>
      <c r="U302" t="inlineStr">
        <is>
          <t>UNLIKELY</t>
        </is>
      </c>
      <c r="V302" t="inlineStr">
        <is>
          <t>CHECK_VENDOR</t>
        </is>
      </c>
      <c r="W302" t="inlineStr">
        <is>
          <t>https://nvd.nist.gov/vuln/detail/CVE-2026-21665</t>
        </is>
      </c>
      <c r="X302" t="inlineStr">
        <is>
          <t>NONE</t>
        </is>
      </c>
      <c r="Y302" t="n">
        <v>0</v>
      </c>
      <c r="Z302" t="inlineStr"/>
      <c r="AA302" t="inlineStr">
        <is>
          <t>https://nvd.nist.gov/vuln/detail/CVE-2026-21665</t>
        </is>
      </c>
    </row>
    <row r="303">
      <c r="A303" t="inlineStr">
        <is>
          <t>CVE</t>
        </is>
      </c>
      <c r="B303" t="inlineStr">
        <is>
          <t>CVE-2026-3061</t>
        </is>
      </c>
      <c r="C303" t="inlineStr">
        <is>
          <t>Out of bounds read in Media in Google Chrome prior to 145.0.7632.116 allowed a remote attacker to perform an out of bounds memory read via a crafted HTML page. (Chromium security severity: High)</t>
        </is>
      </c>
      <c r="D303" t="n">
        <v>9.1</v>
      </c>
      <c r="E303" t="inlineStr">
        <is>
          <t>CRITICAL</t>
        </is>
      </c>
      <c r="F303" t="n">
        <v>2</v>
      </c>
      <c r="G303" t="n">
        <v>3</v>
      </c>
      <c r="H303" t="inlineStr">
        <is>
          <t>HIGH</t>
        </is>
      </c>
      <c r="I303" t="n">
        <v>15.1</v>
      </c>
      <c r="J303" t="inlineStr">
        <is>
          <t>NO</t>
        </is>
      </c>
      <c r="K303" t="inlineStr">
        <is>
          <t>2026-02-27 20:47</t>
        </is>
      </c>
      <c r="L303" t="inlineStr">
        <is>
          <t>CHECK_VENDOR</t>
        </is>
      </c>
      <c r="M303" t="inlineStr">
        <is>
          <t>linux linux_kernel - | microsoft windows - | apple macos -</t>
        </is>
      </c>
      <c r="N303" t="inlineStr">
        <is>
          <t>P3</t>
        </is>
      </c>
      <c r="O303" t="inlineStr">
        <is>
          <t>CVE - IP enrichment n/a</t>
        </is>
      </c>
      <c r="P303" t="n">
        <v>0.0003</v>
      </c>
      <c r="Q303" t="n">
        <v>0.0683</v>
      </c>
      <c r="R303" t="inlineStr">
        <is>
          <t>T1203:Exploitation for Client Execution</t>
        </is>
      </c>
      <c r="S303" t="n">
        <v>1</v>
      </c>
      <c r="T303" t="inlineStr">
        <is>
          <t>LOW (40%)</t>
        </is>
      </c>
      <c r="U303" t="inlineStr">
        <is>
          <t>UNLIKELY</t>
        </is>
      </c>
      <c r="V303" t="inlineStr">
        <is>
          <t>CHECK_VENDOR</t>
        </is>
      </c>
      <c r="W303" t="inlineStr">
        <is>
          <t>https://nvd.nist.gov/vuln/detail/CVE-2026-3061</t>
        </is>
      </c>
      <c r="X303" t="inlineStr">
        <is>
          <t>NONE</t>
        </is>
      </c>
      <c r="Y303" t="n">
        <v>0</v>
      </c>
      <c r="Z303" t="inlineStr"/>
      <c r="AA303" t="inlineStr">
        <is>
          <t>https://nvd.nist.gov/vuln/detail/CVE-2026-3061</t>
        </is>
      </c>
    </row>
    <row r="304">
      <c r="A304" t="inlineStr">
        <is>
          <t>CVE</t>
        </is>
      </c>
      <c r="B304" t="inlineStr">
        <is>
          <t>CVE-2026-3062</t>
        </is>
      </c>
      <c r="C304" t="inlineStr">
        <is>
          <t>Out of bounds read and write in Tint in Google Chrome on Mac prior to 145.0.7632.116 allowed a remote attacker to perform out of bounds memory access via a crafted HTML page. (Chromium security severity: High)</t>
        </is>
      </c>
      <c r="D304" t="n">
        <v>9.800000000000001</v>
      </c>
      <c r="E304" t="inlineStr">
        <is>
          <t>CRITICAL</t>
        </is>
      </c>
      <c r="F304" t="n">
        <v>2</v>
      </c>
      <c r="G304" t="n">
        <v>3</v>
      </c>
      <c r="H304" t="inlineStr">
        <is>
          <t>HIGH</t>
        </is>
      </c>
      <c r="I304" t="n">
        <v>15.8</v>
      </c>
      <c r="J304" t="inlineStr">
        <is>
          <t>NO</t>
        </is>
      </c>
      <c r="K304" t="inlineStr">
        <is>
          <t>2026-02-27 20:47</t>
        </is>
      </c>
      <c r="L304" t="inlineStr">
        <is>
          <t>CHECK_VENDOR</t>
        </is>
      </c>
      <c r="M304" t="inlineStr">
        <is>
          <t>linux linux_kernel - | microsoft windows - | apple macos -</t>
        </is>
      </c>
      <c r="N304" t="inlineStr">
        <is>
          <t>P3</t>
        </is>
      </c>
      <c r="O304" t="inlineStr">
        <is>
          <t>CVE - IP enrichment n/a</t>
        </is>
      </c>
      <c r="P304" t="n">
        <v>0.0003</v>
      </c>
      <c r="Q304" t="n">
        <v>0.0683</v>
      </c>
      <c r="R304" t="inlineStr">
        <is>
          <t>T1203:Exploitation for Client Execution</t>
        </is>
      </c>
      <c r="S304" t="n">
        <v>1</v>
      </c>
      <c r="T304" t="inlineStr">
        <is>
          <t>LOW (40%)</t>
        </is>
      </c>
      <c r="U304" t="inlineStr">
        <is>
          <t>UNLIKELY</t>
        </is>
      </c>
      <c r="V304" t="inlineStr">
        <is>
          <t>CHECK_VENDOR</t>
        </is>
      </c>
      <c r="W304" t="inlineStr">
        <is>
          <t>https://nvd.nist.gov/vuln/detail/CVE-2026-3062</t>
        </is>
      </c>
      <c r="X304" t="inlineStr">
        <is>
          <t>NONE</t>
        </is>
      </c>
      <c r="Y304" t="n">
        <v>0</v>
      </c>
      <c r="Z304" t="inlineStr"/>
      <c r="AA304" t="inlineStr">
        <is>
          <t>https://nvd.nist.gov/vuln/detail/CVE-2026-3062</t>
        </is>
      </c>
    </row>
    <row r="305">
      <c r="A305" t="inlineStr">
        <is>
          <t>CVE</t>
        </is>
      </c>
      <c r="B305" t="inlineStr">
        <is>
          <t>CVE-2026-3063</t>
        </is>
      </c>
      <c r="C305" t="inlineStr">
        <is>
          <t>Inappropriate implementation in DevTools in Google Chrome prior to 145.0.7632.116 allowed an attacker who convinced a user to install a malicious extension to inject scripts or HTML into a privileged page via DevTools. (Chromium security severity: High)</t>
        </is>
      </c>
      <c r="D305" t="n">
        <v>5.4</v>
      </c>
      <c r="E305" t="inlineStr">
        <is>
          <t>MEDIUM</t>
        </is>
      </c>
      <c r="F305" t="n">
        <v>2</v>
      </c>
      <c r="G305" t="n">
        <v>2</v>
      </c>
      <c r="H305" t="inlineStr">
        <is>
          <t>MEDIUM</t>
        </is>
      </c>
      <c r="I305" t="n">
        <v>9.4</v>
      </c>
      <c r="J305" t="inlineStr">
        <is>
          <t>NO</t>
        </is>
      </c>
      <c r="K305" t="inlineStr">
        <is>
          <t>2026-02-27 20:47</t>
        </is>
      </c>
      <c r="L305" t="inlineStr">
        <is>
          <t>CHECK_VENDOR</t>
        </is>
      </c>
      <c r="M305" t="inlineStr">
        <is>
          <t>linux linux_kernel - | microsoft windows - | apple macos -</t>
        </is>
      </c>
      <c r="N305" t="inlineStr">
        <is>
          <t>P4</t>
        </is>
      </c>
      <c r="O305" t="inlineStr">
        <is>
          <t>CVE - IP enrichment n/a</t>
        </is>
      </c>
      <c r="P305" t="n">
        <v>0.0001</v>
      </c>
      <c r="Q305" t="n">
        <v>0.0026</v>
      </c>
      <c r="R305" t="inlineStr">
        <is>
          <t>T1190:Exploit Public-Facing Application</t>
        </is>
      </c>
      <c r="S305" t="n">
        <v>1</v>
      </c>
      <c r="T305" t="inlineStr">
        <is>
          <t>LOW (40%)</t>
        </is>
      </c>
      <c r="U305" t="inlineStr">
        <is>
          <t>UNLIKELY</t>
        </is>
      </c>
      <c r="V305" t="inlineStr">
        <is>
          <t>CHECK_VENDOR</t>
        </is>
      </c>
      <c r="W305" t="inlineStr">
        <is>
          <t>https://nvd.nist.gov/vuln/detail/CVE-2026-3063</t>
        </is>
      </c>
      <c r="X305" t="inlineStr">
        <is>
          <t>NONE</t>
        </is>
      </c>
      <c r="Y305" t="n">
        <v>0</v>
      </c>
      <c r="Z305" t="inlineStr"/>
      <c r="AA305" t="inlineStr">
        <is>
          <t>https://nvd.nist.gov/vuln/detail/CVE-2026-3063</t>
        </is>
      </c>
    </row>
    <row r="306">
      <c r="A306" t="inlineStr">
        <is>
          <t>CVE</t>
        </is>
      </c>
      <c r="B306" t="inlineStr">
        <is>
          <t>CVE-2024-58041</t>
        </is>
      </c>
      <c r="C306"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306" t="n">
        <v>9.1</v>
      </c>
      <c r="E306" t="inlineStr">
        <is>
          <t>CRITICAL</t>
        </is>
      </c>
      <c r="F306" t="n">
        <v>2</v>
      </c>
      <c r="G306" t="n">
        <v>3</v>
      </c>
      <c r="H306" t="inlineStr">
        <is>
          <t>HIGH</t>
        </is>
      </c>
      <c r="I306" t="n">
        <v>15.1</v>
      </c>
      <c r="J306" t="inlineStr">
        <is>
          <t>NO</t>
        </is>
      </c>
      <c r="K306" t="inlineStr">
        <is>
          <t>2026-02-27 20:47</t>
        </is>
      </c>
      <c r="L306" t="inlineStr">
        <is>
          <t>CHECK_VENDOR</t>
        </is>
      </c>
      <c r="M306" t="inlineStr">
        <is>
          <t>See CVE details</t>
        </is>
      </c>
      <c r="N306" t="inlineStr">
        <is>
          <t>P3</t>
        </is>
      </c>
      <c r="O306" t="inlineStr">
        <is>
          <t>CVE - IP enrichment n/a</t>
        </is>
      </c>
      <c r="P306" t="n">
        <v>0.0003</v>
      </c>
      <c r="Q306" t="n">
        <v>0.0901</v>
      </c>
      <c r="R306" t="inlineStr">
        <is>
          <t>T1190:Exploit Public-Facing Application | T1600:Weaken Encryption</t>
        </is>
      </c>
      <c r="S306" t="n">
        <v>1</v>
      </c>
      <c r="T306" t="inlineStr">
        <is>
          <t>LOW (40%)</t>
        </is>
      </c>
      <c r="U306" t="inlineStr">
        <is>
          <t>UNLIKELY</t>
        </is>
      </c>
      <c r="V306" t="inlineStr">
        <is>
          <t>CHECK_VENDOR</t>
        </is>
      </c>
      <c r="W306" t="inlineStr">
        <is>
          <t>https://nvd.nist.gov/vuln/detail/CVE-2024-58041</t>
        </is>
      </c>
      <c r="X306" t="inlineStr">
        <is>
          <t>NONE</t>
        </is>
      </c>
      <c r="Y306" t="n">
        <v>0</v>
      </c>
      <c r="Z306" t="inlineStr"/>
      <c r="AA306" t="inlineStr">
        <is>
          <t>https://nvd.nist.gov/vuln/detail/CVE-2024-58041</t>
        </is>
      </c>
    </row>
    <row r="307">
      <c r="A307" t="inlineStr">
        <is>
          <t>CVE</t>
        </is>
      </c>
      <c r="B307" t="inlineStr">
        <is>
          <t>CVE-2025-69250</t>
        </is>
      </c>
      <c r="C307"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307" t="n">
        <v>7.5</v>
      </c>
      <c r="E307" t="inlineStr">
        <is>
          <t>HIGH</t>
        </is>
      </c>
      <c r="F307" t="n">
        <v>2</v>
      </c>
      <c r="G307" t="n">
        <v>3</v>
      </c>
      <c r="H307" t="inlineStr">
        <is>
          <t>HIGH</t>
        </is>
      </c>
      <c r="I307" t="n">
        <v>13.5</v>
      </c>
      <c r="J307" t="inlineStr">
        <is>
          <t>NO</t>
        </is>
      </c>
      <c r="K307" t="inlineStr">
        <is>
          <t>2026-02-27 20:47</t>
        </is>
      </c>
      <c r="L307" t="inlineStr">
        <is>
          <t>YES</t>
        </is>
      </c>
      <c r="M307" t="inlineStr">
        <is>
          <t>free5gc udm *</t>
        </is>
      </c>
      <c r="N307" t="inlineStr">
        <is>
          <t>P3</t>
        </is>
      </c>
      <c r="O307" t="inlineStr">
        <is>
          <t>CVE - IP enrichment n/a</t>
        </is>
      </c>
      <c r="P307" t="n">
        <v>0.0007</v>
      </c>
      <c r="Q307" t="n">
        <v>0.2116</v>
      </c>
      <c r="R307" t="inlineStr">
        <is>
          <t>T1190:Exploit Public-Facing Application</t>
        </is>
      </c>
      <c r="S307" t="n">
        <v>1</v>
      </c>
      <c r="T307" t="inlineStr">
        <is>
          <t>LOW (40%)</t>
        </is>
      </c>
      <c r="U307" t="inlineStr">
        <is>
          <t>UNLIKELY</t>
        </is>
      </c>
      <c r="V307" t="inlineStr">
        <is>
          <t>PATCH_AVAILABLE</t>
        </is>
      </c>
      <c r="W307" t="inlineStr">
        <is>
          <t>https://nvd.nist.gov/vuln/detail/CVE-2025-69250</t>
        </is>
      </c>
      <c r="X307" t="inlineStr">
        <is>
          <t>NONE</t>
        </is>
      </c>
      <c r="Y307" t="n">
        <v>0</v>
      </c>
      <c r="Z307" t="inlineStr"/>
      <c r="AA307" t="inlineStr">
        <is>
          <t>https://nvd.nist.gov/vuln/detail/CVE-2025-69250</t>
        </is>
      </c>
    </row>
    <row r="308">
      <c r="A308" t="inlineStr">
        <is>
          <t>CVE</t>
        </is>
      </c>
      <c r="B308" t="inlineStr">
        <is>
          <t>CVE-2025-69251</t>
        </is>
      </c>
      <c r="C308"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308" t="n">
        <v>5.3</v>
      </c>
      <c r="E308" t="inlineStr">
        <is>
          <t>MEDIUM</t>
        </is>
      </c>
      <c r="F308" t="n">
        <v>2</v>
      </c>
      <c r="G308" t="n">
        <v>2</v>
      </c>
      <c r="H308" t="inlineStr">
        <is>
          <t>MEDIUM</t>
        </is>
      </c>
      <c r="I308" t="n">
        <v>9.300000000000001</v>
      </c>
      <c r="J308" t="inlineStr">
        <is>
          <t>NO</t>
        </is>
      </c>
      <c r="K308" t="inlineStr">
        <is>
          <t>2026-02-27 20:47</t>
        </is>
      </c>
      <c r="L308" t="inlineStr">
        <is>
          <t>YES</t>
        </is>
      </c>
      <c r="M308" t="inlineStr">
        <is>
          <t>free5gc udm *</t>
        </is>
      </c>
      <c r="N308" t="inlineStr">
        <is>
          <t>P4</t>
        </is>
      </c>
      <c r="O308" t="inlineStr">
        <is>
          <t>CVE - IP enrichment n/a</t>
        </is>
      </c>
      <c r="P308" t="n">
        <v>0.0005999999999999999</v>
      </c>
      <c r="Q308" t="n">
        <v>0.1699</v>
      </c>
      <c r="R308" t="inlineStr">
        <is>
          <t>T1190:Exploit Public-Facing Application</t>
        </is>
      </c>
      <c r="S308" t="n">
        <v>1</v>
      </c>
      <c r="T308" t="inlineStr">
        <is>
          <t>LOW (40%)</t>
        </is>
      </c>
      <c r="U308" t="inlineStr">
        <is>
          <t>UNLIKELY</t>
        </is>
      </c>
      <c r="V308" t="inlineStr">
        <is>
          <t>PATCH_AVAILABLE</t>
        </is>
      </c>
      <c r="W308" t="inlineStr">
        <is>
          <t>https://nvd.nist.gov/vuln/detail/CVE-2025-69251</t>
        </is>
      </c>
      <c r="X308" t="inlineStr">
        <is>
          <t>NONE</t>
        </is>
      </c>
      <c r="Y308" t="n">
        <v>0</v>
      </c>
      <c r="Z308" t="inlineStr"/>
      <c r="AA308" t="inlineStr">
        <is>
          <t>https://nvd.nist.gov/vuln/detail/CVE-2025-69251</t>
        </is>
      </c>
    </row>
    <row r="309">
      <c r="A309" t="inlineStr">
        <is>
          <t>CVE</t>
        </is>
      </c>
      <c r="B309" t="inlineStr">
        <is>
          <t>CVE-2025-69252</t>
        </is>
      </c>
      <c r="C309"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309" t="n">
        <v>7.5</v>
      </c>
      <c r="E309" t="inlineStr">
        <is>
          <t>HIGH</t>
        </is>
      </c>
      <c r="F309" t="n">
        <v>2</v>
      </c>
      <c r="G309" t="n">
        <v>3</v>
      </c>
      <c r="H309" t="inlineStr">
        <is>
          <t>HIGH</t>
        </is>
      </c>
      <c r="I309" t="n">
        <v>13.5</v>
      </c>
      <c r="J309" t="inlineStr">
        <is>
          <t>NO</t>
        </is>
      </c>
      <c r="K309" t="inlineStr">
        <is>
          <t>2026-02-27 20:47</t>
        </is>
      </c>
      <c r="L309" t="inlineStr">
        <is>
          <t>YES</t>
        </is>
      </c>
      <c r="M309" t="inlineStr">
        <is>
          <t>free5gc udm *</t>
        </is>
      </c>
      <c r="N309" t="inlineStr">
        <is>
          <t>P3</t>
        </is>
      </c>
      <c r="O309" t="inlineStr">
        <is>
          <t>CVE - IP enrichment n/a</t>
        </is>
      </c>
      <c r="P309" t="n">
        <v>0.0026</v>
      </c>
      <c r="Q309" t="n">
        <v>0.4885</v>
      </c>
      <c r="R309" t="inlineStr">
        <is>
          <t>T1499:Endpoint Denial of Service | T1190:Exploit Public-Facing Application</t>
        </is>
      </c>
      <c r="S309" t="n">
        <v>1</v>
      </c>
      <c r="T309" t="inlineStr">
        <is>
          <t>LOW (40%)</t>
        </is>
      </c>
      <c r="U309" t="inlineStr">
        <is>
          <t>UNLIKELY</t>
        </is>
      </c>
      <c r="V309" t="inlineStr">
        <is>
          <t>PATCH_AVAILABLE</t>
        </is>
      </c>
      <c r="W309" t="inlineStr">
        <is>
          <t>https://nvd.nist.gov/vuln/detail/CVE-2025-69252</t>
        </is>
      </c>
      <c r="X309" t="inlineStr">
        <is>
          <t>NONE</t>
        </is>
      </c>
      <c r="Y309" t="n">
        <v>0</v>
      </c>
      <c r="Z309" t="inlineStr"/>
      <c r="AA309" t="inlineStr">
        <is>
          <t>https://nvd.nist.gov/vuln/detail/CVE-2025-69252</t>
        </is>
      </c>
    </row>
    <row r="310">
      <c r="A310" t="inlineStr">
        <is>
          <t>CVE</t>
        </is>
      </c>
      <c r="B310" t="inlineStr">
        <is>
          <t>CVE-2026-3042</t>
        </is>
      </c>
      <c r="C310"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310" t="n">
        <v>7.3</v>
      </c>
      <c r="E310" t="inlineStr">
        <is>
          <t>HIGH</t>
        </is>
      </c>
      <c r="F310" t="n">
        <v>2</v>
      </c>
      <c r="G310" t="n">
        <v>3</v>
      </c>
      <c r="H310" t="inlineStr">
        <is>
          <t>HIGH</t>
        </is>
      </c>
      <c r="I310" t="n">
        <v>13.3</v>
      </c>
      <c r="J310" t="inlineStr">
        <is>
          <t>NO</t>
        </is>
      </c>
      <c r="K310" t="inlineStr">
        <is>
          <t>2026-02-27 20:47</t>
        </is>
      </c>
      <c r="L310" t="inlineStr">
        <is>
          <t>YES</t>
        </is>
      </c>
      <c r="M310" t="inlineStr">
        <is>
          <t>admerc event_management_system 1.0</t>
        </is>
      </c>
      <c r="N310" t="inlineStr">
        <is>
          <t>P3</t>
        </is>
      </c>
      <c r="O310" t="inlineStr">
        <is>
          <t>CVE - IP enrichment n/a</t>
        </is>
      </c>
      <c r="P310" t="n">
        <v>0.0003</v>
      </c>
      <c r="Q310" t="n">
        <v>0.0711</v>
      </c>
      <c r="R310" t="inlineStr">
        <is>
          <t>T1190:Exploit Public-Facing Application</t>
        </is>
      </c>
      <c r="S310" t="n">
        <v>1</v>
      </c>
      <c r="T310" t="inlineStr">
        <is>
          <t>LOW (40%)</t>
        </is>
      </c>
      <c r="U310" t="inlineStr">
        <is>
          <t>UNLIKELY</t>
        </is>
      </c>
      <c r="V310" t="inlineStr">
        <is>
          <t>PATCH_AVAILABLE</t>
        </is>
      </c>
      <c r="W310" t="inlineStr">
        <is>
          <t>https://nvd.nist.gov/vuln/detail/CVE-2026-3042</t>
        </is>
      </c>
      <c r="X310" t="inlineStr">
        <is>
          <t>NONE</t>
        </is>
      </c>
      <c r="Y310" t="n">
        <v>0</v>
      </c>
      <c r="Z310" t="inlineStr"/>
      <c r="AA310" t="inlineStr">
        <is>
          <t>https://nvd.nist.gov/vuln/detail/CVE-2026-3042</t>
        </is>
      </c>
    </row>
    <row r="311">
      <c r="A311" t="inlineStr">
        <is>
          <t>CVE</t>
        </is>
      </c>
      <c r="B311" t="inlineStr">
        <is>
          <t>CVE-2026-3043</t>
        </is>
      </c>
      <c r="C311"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311" t="n">
        <v>4.3</v>
      </c>
      <c r="E311" t="inlineStr">
        <is>
          <t>MEDIUM</t>
        </is>
      </c>
      <c r="F311" t="n">
        <v>2</v>
      </c>
      <c r="G311" t="n">
        <v>2</v>
      </c>
      <c r="H311" t="inlineStr">
        <is>
          <t>MEDIUM</t>
        </is>
      </c>
      <c r="I311" t="n">
        <v>8.300000000000001</v>
      </c>
      <c r="J311" t="inlineStr">
        <is>
          <t>NO</t>
        </is>
      </c>
      <c r="K311" t="inlineStr">
        <is>
          <t>2026-02-27 20:47</t>
        </is>
      </c>
      <c r="L311" t="inlineStr">
        <is>
          <t>YES</t>
        </is>
      </c>
      <c r="M311" t="inlineStr">
        <is>
          <t>admerc event_management_system 1.0</t>
        </is>
      </c>
      <c r="N311" t="inlineStr">
        <is>
          <t>P4</t>
        </is>
      </c>
      <c r="O311" t="inlineStr">
        <is>
          <t>CVE - IP enrichment n/a</t>
        </is>
      </c>
      <c r="P311" t="n">
        <v>0.0003</v>
      </c>
      <c r="Q311" t="n">
        <v>0.0842</v>
      </c>
      <c r="R311" t="inlineStr">
        <is>
          <t>T1189:Drive-by Compromise | T1190:Exploit Public-Facing Application</t>
        </is>
      </c>
      <c r="S311" t="n">
        <v>1</v>
      </c>
      <c r="T311" t="inlineStr">
        <is>
          <t>LOW (40%)</t>
        </is>
      </c>
      <c r="U311" t="inlineStr">
        <is>
          <t>UNLIKELY</t>
        </is>
      </c>
      <c r="V311" t="inlineStr">
        <is>
          <t>PATCH_AVAILABLE</t>
        </is>
      </c>
      <c r="W311" t="inlineStr">
        <is>
          <t>https://nvd.nist.gov/vuln/detail/CVE-2026-3043</t>
        </is>
      </c>
      <c r="X311" t="inlineStr">
        <is>
          <t>NONE</t>
        </is>
      </c>
      <c r="Y311" t="n">
        <v>0</v>
      </c>
      <c r="Z311" t="inlineStr"/>
      <c r="AA311" t="inlineStr">
        <is>
          <t>https://nvd.nist.gov/vuln/detail/CVE-2026-3043</t>
        </is>
      </c>
    </row>
    <row r="312">
      <c r="A312" t="inlineStr">
        <is>
          <t>CVE</t>
        </is>
      </c>
      <c r="B312" t="inlineStr">
        <is>
          <t>CVE-2026-3044</t>
        </is>
      </c>
      <c r="C312"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312" t="n">
        <v>8.800000000000001</v>
      </c>
      <c r="E312" t="inlineStr">
        <is>
          <t>HIGH</t>
        </is>
      </c>
      <c r="F312" t="n">
        <v>2</v>
      </c>
      <c r="G312" t="n">
        <v>3</v>
      </c>
      <c r="H312" t="inlineStr">
        <is>
          <t>HIGH</t>
        </is>
      </c>
      <c r="I312" t="n">
        <v>14.8</v>
      </c>
      <c r="J312" t="inlineStr">
        <is>
          <t>NO</t>
        </is>
      </c>
      <c r="K312" t="inlineStr">
        <is>
          <t>2026-02-27 20:47</t>
        </is>
      </c>
      <c r="L312" t="inlineStr">
        <is>
          <t>CHECK_VENDOR</t>
        </is>
      </c>
      <c r="M312" t="inlineStr">
        <is>
          <t>tenda ac8 - | tenda ac8_firmware 16.03.34.06</t>
        </is>
      </c>
      <c r="N312" t="inlineStr">
        <is>
          <t>P3</t>
        </is>
      </c>
      <c r="O312" t="inlineStr">
        <is>
          <t>CVE - IP enrichment n/a</t>
        </is>
      </c>
      <c r="P312" t="n">
        <v>0.0007</v>
      </c>
      <c r="Q312" t="n">
        <v>0.2201</v>
      </c>
      <c r="R312" t="inlineStr">
        <is>
          <t>T1203:Exploitation for Client Execution</t>
        </is>
      </c>
      <c r="S312" t="n">
        <v>1</v>
      </c>
      <c r="T312" t="inlineStr">
        <is>
          <t>LOW (40%)</t>
        </is>
      </c>
      <c r="U312" t="inlineStr">
        <is>
          <t>UNLIKELY</t>
        </is>
      </c>
      <c r="V312" t="inlineStr">
        <is>
          <t>CHECK_VENDOR</t>
        </is>
      </c>
      <c r="W312" t="inlineStr">
        <is>
          <t>https://nvd.nist.gov/vuln/detail/CVE-2026-3044</t>
        </is>
      </c>
      <c r="X312" t="inlineStr">
        <is>
          <t>NONE</t>
        </is>
      </c>
      <c r="Y312" t="n">
        <v>0</v>
      </c>
      <c r="Z312" t="inlineStr"/>
      <c r="AA312" t="inlineStr">
        <is>
          <t>https://nvd.nist.gov/vuln/detail/CVE-2026-3044</t>
        </is>
      </c>
    </row>
    <row r="313">
      <c r="A313" t="inlineStr">
        <is>
          <t>CVE</t>
        </is>
      </c>
      <c r="B313" t="inlineStr">
        <is>
          <t>CVE-2025-69253</t>
        </is>
      </c>
      <c r="C313"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313" t="n">
        <v>5.3</v>
      </c>
      <c r="E313" t="inlineStr">
        <is>
          <t>MEDIUM</t>
        </is>
      </c>
      <c r="F313" t="n">
        <v>2</v>
      </c>
      <c r="G313" t="n">
        <v>2</v>
      </c>
      <c r="H313" t="inlineStr">
        <is>
          <t>MEDIUM</t>
        </is>
      </c>
      <c r="I313" t="n">
        <v>9.300000000000001</v>
      </c>
      <c r="J313" t="inlineStr">
        <is>
          <t>NO</t>
        </is>
      </c>
      <c r="K313" t="inlineStr">
        <is>
          <t>2026-02-27 20:47</t>
        </is>
      </c>
      <c r="L313" t="inlineStr">
        <is>
          <t>YES</t>
        </is>
      </c>
      <c r="M313" t="inlineStr">
        <is>
          <t>free5gc udr *</t>
        </is>
      </c>
      <c r="N313" t="inlineStr">
        <is>
          <t>P4</t>
        </is>
      </c>
      <c r="O313" t="inlineStr">
        <is>
          <t>CVE - IP enrichment n/a</t>
        </is>
      </c>
      <c r="P313" t="n">
        <v>0.0003</v>
      </c>
      <c r="Q313" t="n">
        <v>0.0725</v>
      </c>
      <c r="R313" t="inlineStr">
        <is>
          <t>T1190:Exploit Public-Facing Application</t>
        </is>
      </c>
      <c r="S313" t="n">
        <v>1</v>
      </c>
      <c r="T313" t="inlineStr">
        <is>
          <t>LOW (40%)</t>
        </is>
      </c>
      <c r="U313" t="inlineStr">
        <is>
          <t>UNLIKELY</t>
        </is>
      </c>
      <c r="V313" t="inlineStr">
        <is>
          <t>PATCH_AVAILABLE</t>
        </is>
      </c>
      <c r="W313" t="inlineStr">
        <is>
          <t>https://nvd.nist.gov/vuln/detail/CVE-2025-69253</t>
        </is>
      </c>
      <c r="X313" t="inlineStr">
        <is>
          <t>NONE</t>
        </is>
      </c>
      <c r="Y313" t="n">
        <v>0</v>
      </c>
      <c r="Z313" t="inlineStr"/>
      <c r="AA313" t="inlineStr">
        <is>
          <t>https://nvd.nist.gov/vuln/detail/CVE-2025-69253</t>
        </is>
      </c>
    </row>
    <row r="314">
      <c r="A314" t="inlineStr">
        <is>
          <t>CVE</t>
        </is>
      </c>
      <c r="B314" t="inlineStr">
        <is>
          <t>CVE-2025-9120</t>
        </is>
      </c>
      <c r="C314"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314" t="n">
        <v>5</v>
      </c>
      <c r="E314" t="inlineStr">
        <is>
          <t>MEDIUM</t>
        </is>
      </c>
      <c r="F314" t="n">
        <v>2</v>
      </c>
      <c r="G314" t="n">
        <v>2</v>
      </c>
      <c r="H314" t="inlineStr">
        <is>
          <t>MEDIUM</t>
        </is>
      </c>
      <c r="I314" t="n">
        <v>9</v>
      </c>
      <c r="J314" t="inlineStr">
        <is>
          <t>NO</t>
        </is>
      </c>
      <c r="K314" t="inlineStr">
        <is>
          <t>2026-02-27 20:47</t>
        </is>
      </c>
      <c r="L314" t="inlineStr">
        <is>
          <t>CHECK_VENDOR</t>
        </is>
      </c>
      <c r="M314" t="inlineStr">
        <is>
          <t>See CVE details</t>
        </is>
      </c>
      <c r="N314" t="inlineStr">
        <is>
          <t>P4</t>
        </is>
      </c>
      <c r="O314" t="inlineStr">
        <is>
          <t>CVE - IP enrichment n/a</t>
        </is>
      </c>
      <c r="P314" t="n">
        <v>0.0003</v>
      </c>
      <c r="Q314" t="n">
        <v>0.07099999999999999</v>
      </c>
      <c r="R314" t="inlineStr">
        <is>
          <t>T1059:Command and Scripting Interpreter</t>
        </is>
      </c>
      <c r="S314" t="n">
        <v>1</v>
      </c>
      <c r="T314" t="inlineStr">
        <is>
          <t>LOW (40%)</t>
        </is>
      </c>
      <c r="U314" t="inlineStr">
        <is>
          <t>UNLIKELY</t>
        </is>
      </c>
      <c r="V314" t="inlineStr">
        <is>
          <t>CHECK_VENDOR</t>
        </is>
      </c>
      <c r="W314" t="inlineStr">
        <is>
          <t>https://nvd.nist.gov/vuln/detail/CVE-2025-9120</t>
        </is>
      </c>
      <c r="X314" t="inlineStr">
        <is>
          <t>NONE</t>
        </is>
      </c>
      <c r="Y314" t="n">
        <v>0</v>
      </c>
      <c r="Z314" t="inlineStr"/>
      <c r="AA314" t="inlineStr">
        <is>
          <t>https://nvd.nist.gov/vuln/detail/CVE-2025-9120</t>
        </is>
      </c>
    </row>
    <row r="315">
      <c r="A315" t="inlineStr">
        <is>
          <t>CVE</t>
        </is>
      </c>
      <c r="B315" t="inlineStr">
        <is>
          <t>CVE-2026-21864</t>
        </is>
      </c>
      <c r="C315"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315" t="n">
        <v>6.5</v>
      </c>
      <c r="E315" t="inlineStr">
        <is>
          <t>MEDIUM</t>
        </is>
      </c>
      <c r="F315" t="n">
        <v>2</v>
      </c>
      <c r="G315" t="n">
        <v>2</v>
      </c>
      <c r="H315" t="inlineStr">
        <is>
          <t>MEDIUM</t>
        </is>
      </c>
      <c r="I315" t="n">
        <v>10.5</v>
      </c>
      <c r="J315" t="inlineStr">
        <is>
          <t>NO</t>
        </is>
      </c>
      <c r="K315" t="inlineStr">
        <is>
          <t>2026-02-27 20:47</t>
        </is>
      </c>
      <c r="L315" t="inlineStr">
        <is>
          <t>YES</t>
        </is>
      </c>
      <c r="M315" t="inlineStr">
        <is>
          <t>lfprojects valkey-bloom *</t>
        </is>
      </c>
      <c r="N315" t="inlineStr">
        <is>
          <t>P4</t>
        </is>
      </c>
      <c r="O315" t="inlineStr">
        <is>
          <t>CVE - IP enrichment n/a</t>
        </is>
      </c>
      <c r="P315" t="n">
        <v>0.0011</v>
      </c>
      <c r="Q315" t="n">
        <v>0.2924</v>
      </c>
      <c r="R315" t="inlineStr">
        <is>
          <t>T1190:Exploit Public-Facing Application</t>
        </is>
      </c>
      <c r="S315" t="n">
        <v>1</v>
      </c>
      <c r="T315" t="inlineStr">
        <is>
          <t>LOW (40%)</t>
        </is>
      </c>
      <c r="U315" t="inlineStr">
        <is>
          <t>UNLIKELY</t>
        </is>
      </c>
      <c r="V315" t="inlineStr">
        <is>
          <t>PATCH_AVAILABLE</t>
        </is>
      </c>
      <c r="W315" t="inlineStr">
        <is>
          <t>https://nvd.nist.gov/vuln/detail/CVE-2026-21864</t>
        </is>
      </c>
      <c r="X315" t="inlineStr">
        <is>
          <t>NONE</t>
        </is>
      </c>
      <c r="Y315" t="n">
        <v>0</v>
      </c>
      <c r="Z315" t="inlineStr"/>
      <c r="AA315" t="inlineStr">
        <is>
          <t>https://nvd.nist.gov/vuln/detail/CVE-2026-21864</t>
        </is>
      </c>
    </row>
    <row r="316">
      <c r="A316" t="inlineStr">
        <is>
          <t>CVE</t>
        </is>
      </c>
      <c r="B316" t="inlineStr">
        <is>
          <t>CVE-2026-24481</t>
        </is>
      </c>
      <c r="C316"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316" t="n">
        <v>7.5</v>
      </c>
      <c r="E316" t="inlineStr">
        <is>
          <t>HIGH</t>
        </is>
      </c>
      <c r="F316" t="n">
        <v>2</v>
      </c>
      <c r="G316" t="n">
        <v>3</v>
      </c>
      <c r="H316" t="inlineStr">
        <is>
          <t>HIGH</t>
        </is>
      </c>
      <c r="I316" t="n">
        <v>13.5</v>
      </c>
      <c r="J316" t="inlineStr">
        <is>
          <t>NO</t>
        </is>
      </c>
      <c r="K316" t="inlineStr">
        <is>
          <t>2026-02-27 20:47</t>
        </is>
      </c>
      <c r="L316" t="inlineStr">
        <is>
          <t>YES</t>
        </is>
      </c>
      <c r="M316" t="inlineStr">
        <is>
          <t>imagemagick imagemagick *</t>
        </is>
      </c>
      <c r="N316" t="inlineStr">
        <is>
          <t>P3</t>
        </is>
      </c>
      <c r="O316" t="inlineStr">
        <is>
          <t>CVE - IP enrichment n/a</t>
        </is>
      </c>
      <c r="P316" t="n">
        <v>0.0003</v>
      </c>
      <c r="Q316" t="n">
        <v>0.0921</v>
      </c>
      <c r="R316" t="inlineStr">
        <is>
          <t>T1203:Exploitation for Client Execution | T1190:Exploit Public-Facing Application | T1213:Data from Information Repositories</t>
        </is>
      </c>
      <c r="S316" t="n">
        <v>1</v>
      </c>
      <c r="T316" t="inlineStr">
        <is>
          <t>LOW (40%)</t>
        </is>
      </c>
      <c r="U316" t="inlineStr">
        <is>
          <t>UNLIKELY</t>
        </is>
      </c>
      <c r="V316" t="inlineStr">
        <is>
          <t>PATCH_AVAILABLE</t>
        </is>
      </c>
      <c r="W316" t="inlineStr">
        <is>
          <t>https://nvd.nist.gov/vuln/detail/CVE-2026-24481</t>
        </is>
      </c>
      <c r="X316" t="inlineStr">
        <is>
          <t>NONE</t>
        </is>
      </c>
      <c r="Y316" t="n">
        <v>0</v>
      </c>
      <c r="Z316" t="inlineStr"/>
      <c r="AA316" t="inlineStr">
        <is>
          <t>https://nvd.nist.gov/vuln/detail/CVE-2026-24481</t>
        </is>
      </c>
    </row>
    <row r="317">
      <c r="A317" t="inlineStr">
        <is>
          <t>CVE</t>
        </is>
      </c>
      <c r="B317" t="inlineStr">
        <is>
          <t>CVE-2026-24484</t>
        </is>
      </c>
      <c r="C317" t="inlineStr">
        <is>
          <t>ImageMagick is free and open-source software used for editing and manipulating digital images. Prior to versions 7.1.2-15 and 6.9.13-40, Magick fails to check for multi-layer nested mvg conversions to svg, leading to DoS. Versions 7.1.2-15 and 6.9.13-40 contain a patch.</t>
        </is>
      </c>
      <c r="D317" t="n">
        <v>5.3</v>
      </c>
      <c r="E317" t="inlineStr">
        <is>
          <t>MEDIUM</t>
        </is>
      </c>
      <c r="F317" t="n">
        <v>2</v>
      </c>
      <c r="G317" t="n">
        <v>2</v>
      </c>
      <c r="H317" t="inlineStr">
        <is>
          <t>MEDIUM</t>
        </is>
      </c>
      <c r="I317" t="n">
        <v>9.300000000000001</v>
      </c>
      <c r="J317" t="inlineStr">
        <is>
          <t>NO</t>
        </is>
      </c>
      <c r="K317" t="inlineStr">
        <is>
          <t>2026-02-27 20:47</t>
        </is>
      </c>
      <c r="L317" t="inlineStr">
        <is>
          <t>YES</t>
        </is>
      </c>
      <c r="M317" t="inlineStr">
        <is>
          <t>dlemstra magick.net * | imagemagick imagemagick *</t>
        </is>
      </c>
      <c r="N317" t="inlineStr">
        <is>
          <t>P4</t>
        </is>
      </c>
      <c r="O317" t="inlineStr">
        <is>
          <t>CVE - IP enrichment n/a</t>
        </is>
      </c>
      <c r="P317" t="n">
        <v>0.0004</v>
      </c>
      <c r="Q317" t="n">
        <v>0.1078</v>
      </c>
      <c r="R317" t="inlineStr">
        <is>
          <t>T1190:Exploit Public-Facing Application</t>
        </is>
      </c>
      <c r="S317" t="n">
        <v>1</v>
      </c>
      <c r="T317" t="inlineStr">
        <is>
          <t>LOW (40%)</t>
        </is>
      </c>
      <c r="U317" t="inlineStr">
        <is>
          <t>UNLIKELY</t>
        </is>
      </c>
      <c r="V317" t="inlineStr">
        <is>
          <t>PATCH_AVAILABLE</t>
        </is>
      </c>
      <c r="W317" t="inlineStr">
        <is>
          <t>https://nvd.nist.gov/vuln/detail/CVE-2026-24484</t>
        </is>
      </c>
      <c r="X317" t="inlineStr">
        <is>
          <t>NONE</t>
        </is>
      </c>
      <c r="Y317" t="n">
        <v>0</v>
      </c>
      <c r="Z317" t="inlineStr"/>
      <c r="AA317" t="inlineStr">
        <is>
          <t>https://nvd.nist.gov/vuln/detail/CVE-2026-24484</t>
        </is>
      </c>
    </row>
    <row r="318">
      <c r="A318" t="inlineStr">
        <is>
          <t>CVE</t>
        </is>
      </c>
      <c r="B318" t="inlineStr">
        <is>
          <t>CVE-2026-24485</t>
        </is>
      </c>
      <c r="C318"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318" t="n">
        <v>7.5</v>
      </c>
      <c r="E318" t="inlineStr">
        <is>
          <t>HIGH</t>
        </is>
      </c>
      <c r="F318" t="n">
        <v>2</v>
      </c>
      <c r="G318" t="n">
        <v>3</v>
      </c>
      <c r="H318" t="inlineStr">
        <is>
          <t>HIGH</t>
        </is>
      </c>
      <c r="I318" t="n">
        <v>13.5</v>
      </c>
      <c r="J318" t="inlineStr">
        <is>
          <t>NO</t>
        </is>
      </c>
      <c r="K318" t="inlineStr">
        <is>
          <t>2026-02-27 20:47</t>
        </is>
      </c>
      <c r="L318" t="inlineStr">
        <is>
          <t>YES</t>
        </is>
      </c>
      <c r="M318" t="inlineStr">
        <is>
          <t>dlemstra magick.net * | imagemagick imagemagick *</t>
        </is>
      </c>
      <c r="N318" t="inlineStr">
        <is>
          <t>P3</t>
        </is>
      </c>
      <c r="O318" t="inlineStr">
        <is>
          <t>CVE - IP enrichment n/a</t>
        </is>
      </c>
      <c r="P318" t="n">
        <v>0.0004</v>
      </c>
      <c r="Q318" t="n">
        <v>0.111</v>
      </c>
      <c r="R318" t="inlineStr">
        <is>
          <t>T1190:Exploit Public-Facing Application | T1499:Endpoint Denial of Service</t>
        </is>
      </c>
      <c r="S318" t="n">
        <v>1</v>
      </c>
      <c r="T318" t="inlineStr">
        <is>
          <t>LOW (40%)</t>
        </is>
      </c>
      <c r="U318" t="inlineStr">
        <is>
          <t>UNLIKELY</t>
        </is>
      </c>
      <c r="V318" t="inlineStr">
        <is>
          <t>PATCH_AVAILABLE</t>
        </is>
      </c>
      <c r="W318" t="inlineStr">
        <is>
          <t>https://nvd.nist.gov/vuln/detail/CVE-2026-24485</t>
        </is>
      </c>
      <c r="X318" t="inlineStr">
        <is>
          <t>NONE</t>
        </is>
      </c>
      <c r="Y318" t="n">
        <v>0</v>
      </c>
      <c r="Z318" t="inlineStr"/>
      <c r="AA318" t="inlineStr">
        <is>
          <t>https://nvd.nist.gov/vuln/detail/CVE-2026-24485</t>
        </is>
      </c>
    </row>
    <row r="319">
      <c r="A319" t="inlineStr">
        <is>
          <t>CVE</t>
        </is>
      </c>
      <c r="B319" t="inlineStr">
        <is>
          <t>CVE-2026-25501</t>
        </is>
      </c>
      <c r="C319"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319" t="n">
        <v>7.5</v>
      </c>
      <c r="E319" t="inlineStr">
        <is>
          <t>HIGH</t>
        </is>
      </c>
      <c r="F319" t="n">
        <v>2</v>
      </c>
      <c r="G319" t="n">
        <v>3</v>
      </c>
      <c r="H319" t="inlineStr">
        <is>
          <t>HIGH</t>
        </is>
      </c>
      <c r="I319" t="n">
        <v>13.5</v>
      </c>
      <c r="J319" t="inlineStr">
        <is>
          <t>NO</t>
        </is>
      </c>
      <c r="K319" t="inlineStr">
        <is>
          <t>2026-02-27 20:47</t>
        </is>
      </c>
      <c r="L319" t="inlineStr">
        <is>
          <t>YES</t>
        </is>
      </c>
      <c r="M319" t="inlineStr">
        <is>
          <t>free5gc smf *</t>
        </is>
      </c>
      <c r="N319" t="inlineStr">
        <is>
          <t>P3</t>
        </is>
      </c>
      <c r="O319" t="inlineStr">
        <is>
          <t>CVE - IP enrichment n/a</t>
        </is>
      </c>
      <c r="P319" t="n">
        <v>0.0004</v>
      </c>
      <c r="Q319" t="n">
        <v>0.1109</v>
      </c>
      <c r="R319" t="inlineStr">
        <is>
          <t>T1499:Endpoint Denial of Service | T1190:Exploit Public-Facing Application | T1562:Impair Defenses</t>
        </is>
      </c>
      <c r="S319" t="n">
        <v>1</v>
      </c>
      <c r="T319" t="inlineStr">
        <is>
          <t>LOW (40%)</t>
        </is>
      </c>
      <c r="U319" t="inlineStr">
        <is>
          <t>UNLIKELY</t>
        </is>
      </c>
      <c r="V319" t="inlineStr">
        <is>
          <t>PATCH_AVAILABLE</t>
        </is>
      </c>
      <c r="W319" t="inlineStr">
        <is>
          <t>https://nvd.nist.gov/vuln/detail/CVE-2026-25501</t>
        </is>
      </c>
      <c r="X319" t="inlineStr">
        <is>
          <t>NONE</t>
        </is>
      </c>
      <c r="Y319" t="n">
        <v>0</v>
      </c>
      <c r="Z319" t="inlineStr"/>
      <c r="AA319" t="inlineStr">
        <is>
          <t>https://nvd.nist.gov/vuln/detail/CVE-2026-25501</t>
        </is>
      </c>
    </row>
    <row r="320">
      <c r="A320" t="inlineStr">
        <is>
          <t>CVE</t>
        </is>
      </c>
      <c r="B320" t="inlineStr">
        <is>
          <t>CVE-2026-25545</t>
        </is>
      </c>
      <c r="C320"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320" t="n">
        <v>8.6</v>
      </c>
      <c r="E320" t="inlineStr">
        <is>
          <t>HIGH</t>
        </is>
      </c>
      <c r="F320" t="n">
        <v>2</v>
      </c>
      <c r="G320" t="n">
        <v>3</v>
      </c>
      <c r="H320" t="inlineStr">
        <is>
          <t>HIGH</t>
        </is>
      </c>
      <c r="I320" t="n">
        <v>14.6</v>
      </c>
      <c r="J320" t="inlineStr">
        <is>
          <t>NO</t>
        </is>
      </c>
      <c r="K320" t="inlineStr">
        <is>
          <t>2026-02-27 20:47</t>
        </is>
      </c>
      <c r="L320" t="inlineStr">
        <is>
          <t>YES</t>
        </is>
      </c>
      <c r="M320" t="inlineStr">
        <is>
          <t>astro \@astrojs\/node *</t>
        </is>
      </c>
      <c r="N320" t="inlineStr">
        <is>
          <t>P3</t>
        </is>
      </c>
      <c r="O320" t="inlineStr">
        <is>
          <t>CVE - IP enrichment n/a</t>
        </is>
      </c>
      <c r="P320" t="n">
        <v>0.0003</v>
      </c>
      <c r="Q320" t="n">
        <v>0.0774</v>
      </c>
      <c r="R320" t="inlineStr">
        <is>
          <t>T1090:Proxy</t>
        </is>
      </c>
      <c r="S320" t="n">
        <v>1</v>
      </c>
      <c r="T320" t="inlineStr">
        <is>
          <t>LOW (40%)</t>
        </is>
      </c>
      <c r="U320" t="inlineStr">
        <is>
          <t>UNLIKELY</t>
        </is>
      </c>
      <c r="V320" t="inlineStr">
        <is>
          <t>PATCH_AVAILABLE</t>
        </is>
      </c>
      <c r="W320" t="inlineStr">
        <is>
          <t>https://nvd.nist.gov/vuln/detail/CVE-2026-25545</t>
        </is>
      </c>
      <c r="X320" t="inlineStr">
        <is>
          <t>NONE</t>
        </is>
      </c>
      <c r="Y320" t="n">
        <v>0</v>
      </c>
      <c r="Z320" t="inlineStr"/>
      <c r="AA320" t="inlineStr">
        <is>
          <t>https://nvd.nist.gov/vuln/detail/CVE-2026-25545</t>
        </is>
      </c>
    </row>
    <row r="321">
      <c r="A321" t="inlineStr">
        <is>
          <t>CVE</t>
        </is>
      </c>
      <c r="B321" t="inlineStr">
        <is>
          <t>CVE-2026-25576</t>
        </is>
      </c>
      <c r="C321"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321" t="n">
        <v>5.1</v>
      </c>
      <c r="E321" t="inlineStr">
        <is>
          <t>MEDIUM</t>
        </is>
      </c>
      <c r="F321" t="n">
        <v>2</v>
      </c>
      <c r="G321" t="n">
        <v>2</v>
      </c>
      <c r="H321" t="inlineStr">
        <is>
          <t>MEDIUM</t>
        </is>
      </c>
      <c r="I321" t="n">
        <v>9.1</v>
      </c>
      <c r="J321" t="inlineStr">
        <is>
          <t>NO</t>
        </is>
      </c>
      <c r="K321" t="inlineStr">
        <is>
          <t>2026-02-27 20:47</t>
        </is>
      </c>
      <c r="L321" t="inlineStr">
        <is>
          <t>YES</t>
        </is>
      </c>
      <c r="M321" t="inlineStr">
        <is>
          <t>dlemstra magick.net * | imagemagick imagemagick *</t>
        </is>
      </c>
      <c r="N321" t="inlineStr">
        <is>
          <t>P4</t>
        </is>
      </c>
      <c r="O321" t="inlineStr">
        <is>
          <t>CVE - IP enrichment n/a</t>
        </is>
      </c>
      <c r="P321" t="n">
        <v>0.0001</v>
      </c>
      <c r="Q321" t="n">
        <v>0.014</v>
      </c>
      <c r="R321" t="inlineStr">
        <is>
          <t>T1190:Exploit Public-Facing Application | T1203:Exploitation for Client Execution</t>
        </is>
      </c>
      <c r="S321" t="n">
        <v>1</v>
      </c>
      <c r="T321" t="inlineStr">
        <is>
          <t>LOW (40%)</t>
        </is>
      </c>
      <c r="U321" t="inlineStr">
        <is>
          <t>UNLIKELY</t>
        </is>
      </c>
      <c r="V321" t="inlineStr">
        <is>
          <t>PATCH_AVAILABLE</t>
        </is>
      </c>
      <c r="W321" t="inlineStr">
        <is>
          <t>https://nvd.nist.gov/vuln/detail/CVE-2026-25576</t>
        </is>
      </c>
      <c r="X321" t="inlineStr">
        <is>
          <t>NONE</t>
        </is>
      </c>
      <c r="Y321" t="n">
        <v>0</v>
      </c>
      <c r="Z321" t="inlineStr"/>
      <c r="AA321" t="inlineStr">
        <is>
          <t>https://nvd.nist.gov/vuln/detail/CVE-2026-25576</t>
        </is>
      </c>
    </row>
    <row r="322">
      <c r="A322" t="inlineStr">
        <is>
          <t>CVE</t>
        </is>
      </c>
      <c r="B322" t="inlineStr">
        <is>
          <t>CVE-2026-25591</t>
        </is>
      </c>
      <c r="C322"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322" t="n">
        <v>8.5</v>
      </c>
      <c r="E322" t="inlineStr">
        <is>
          <t>HIGH</t>
        </is>
      </c>
      <c r="F322" t="n">
        <v>2</v>
      </c>
      <c r="G322" t="n">
        <v>3</v>
      </c>
      <c r="H322" t="inlineStr">
        <is>
          <t>HIGH</t>
        </is>
      </c>
      <c r="I322" t="n">
        <v>14.5</v>
      </c>
      <c r="J322" t="inlineStr">
        <is>
          <t>NO</t>
        </is>
      </c>
      <c r="K322" t="inlineStr">
        <is>
          <t>2026-02-27 20:47</t>
        </is>
      </c>
      <c r="L322" t="inlineStr">
        <is>
          <t>CHECK_VENDOR</t>
        </is>
      </c>
      <c r="M322" t="inlineStr">
        <is>
          <t>See CVE details</t>
        </is>
      </c>
      <c r="N322" t="inlineStr">
        <is>
          <t>P3</t>
        </is>
      </c>
      <c r="O322" t="inlineStr">
        <is>
          <t>CVE - IP enrichment n/a</t>
        </is>
      </c>
      <c r="P322" t="n">
        <v>0.0004</v>
      </c>
      <c r="Q322" t="n">
        <v>0.1337</v>
      </c>
      <c r="R322" t="inlineStr">
        <is>
          <t>T1190:Exploit Public-Facing Application | T1499:Endpoint Denial of Service</t>
        </is>
      </c>
      <c r="S322" t="n">
        <v>1</v>
      </c>
      <c r="T322" t="inlineStr">
        <is>
          <t>LOW (40%)</t>
        </is>
      </c>
      <c r="U322" t="inlineStr">
        <is>
          <t>UNLIKELY</t>
        </is>
      </c>
      <c r="V322" t="inlineStr">
        <is>
          <t>CHECK_VENDOR</t>
        </is>
      </c>
      <c r="W322" t="inlineStr">
        <is>
          <t>https://nvd.nist.gov/vuln/detail/CVE-2026-25591</t>
        </is>
      </c>
      <c r="X322" t="inlineStr">
        <is>
          <t>NONE</t>
        </is>
      </c>
      <c r="Y322" t="n">
        <v>0</v>
      </c>
      <c r="Z322" t="inlineStr"/>
      <c r="AA322" t="inlineStr">
        <is>
          <t>https://nvd.nist.gov/vuln/detail/CVE-2026-25591</t>
        </is>
      </c>
    </row>
    <row r="323">
      <c r="A323" t="inlineStr">
        <is>
          <t>CVE</t>
        </is>
      </c>
      <c r="B323" t="inlineStr">
        <is>
          <t>CVE-2026-25637</t>
        </is>
      </c>
      <c r="C323"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323" t="n">
        <v>5.3</v>
      </c>
      <c r="E323" t="inlineStr">
        <is>
          <t>MEDIUM</t>
        </is>
      </c>
      <c r="F323" t="n">
        <v>2</v>
      </c>
      <c r="G323" t="n">
        <v>2</v>
      </c>
      <c r="H323" t="inlineStr">
        <is>
          <t>MEDIUM</t>
        </is>
      </c>
      <c r="I323" t="n">
        <v>9.300000000000001</v>
      </c>
      <c r="J323" t="inlineStr">
        <is>
          <t>NO</t>
        </is>
      </c>
      <c r="K323" t="inlineStr">
        <is>
          <t>2026-02-27 20:47</t>
        </is>
      </c>
      <c r="L323" t="inlineStr">
        <is>
          <t>YES</t>
        </is>
      </c>
      <c r="M323" t="inlineStr">
        <is>
          <t>dlemstra magick.net * | imagemagick imagemagick *</t>
        </is>
      </c>
      <c r="N323" t="inlineStr">
        <is>
          <t>P4</t>
        </is>
      </c>
      <c r="O323" t="inlineStr">
        <is>
          <t>CVE - IP enrichment n/a</t>
        </is>
      </c>
      <c r="P323" t="n">
        <v>0.0004</v>
      </c>
      <c r="Q323" t="n">
        <v>0.1078</v>
      </c>
      <c r="R323" t="inlineStr">
        <is>
          <t>T1190:Exploit Public-Facing Application</t>
        </is>
      </c>
      <c r="S323" t="n">
        <v>1</v>
      </c>
      <c r="T323" t="inlineStr">
        <is>
          <t>LOW (40%)</t>
        </is>
      </c>
      <c r="U323" t="inlineStr">
        <is>
          <t>UNLIKELY</t>
        </is>
      </c>
      <c r="V323" t="inlineStr">
        <is>
          <t>PATCH_AVAILABLE</t>
        </is>
      </c>
      <c r="W323" t="inlineStr">
        <is>
          <t>https://nvd.nist.gov/vuln/detail/CVE-2026-25637</t>
        </is>
      </c>
      <c r="X323" t="inlineStr">
        <is>
          <t>NONE</t>
        </is>
      </c>
      <c r="Y323" t="n">
        <v>0</v>
      </c>
      <c r="Z323" t="inlineStr"/>
      <c r="AA323" t="inlineStr">
        <is>
          <t>https://nvd.nist.gov/vuln/detail/CVE-2026-25637</t>
        </is>
      </c>
    </row>
    <row r="324">
      <c r="A324" t="inlineStr">
        <is>
          <t>CVE</t>
        </is>
      </c>
      <c r="B324" t="inlineStr">
        <is>
          <t>CVE-2026-25638</t>
        </is>
      </c>
      <c r="C324"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324" t="n">
        <v>5.3</v>
      </c>
      <c r="E324" t="inlineStr">
        <is>
          <t>MEDIUM</t>
        </is>
      </c>
      <c r="F324" t="n">
        <v>2</v>
      </c>
      <c r="G324" t="n">
        <v>2</v>
      </c>
      <c r="H324" t="inlineStr">
        <is>
          <t>MEDIUM</t>
        </is>
      </c>
      <c r="I324" t="n">
        <v>9.300000000000001</v>
      </c>
      <c r="J324" t="inlineStr">
        <is>
          <t>NO</t>
        </is>
      </c>
      <c r="K324" t="inlineStr">
        <is>
          <t>2026-02-27 20:47</t>
        </is>
      </c>
      <c r="L324" t="inlineStr">
        <is>
          <t>YES</t>
        </is>
      </c>
      <c r="M324" t="inlineStr">
        <is>
          <t>imagemagick imagemagick *</t>
        </is>
      </c>
      <c r="N324" t="inlineStr">
        <is>
          <t>P4</t>
        </is>
      </c>
      <c r="O324" t="inlineStr">
        <is>
          <t>CVE - IP enrichment n/a</t>
        </is>
      </c>
      <c r="P324" t="n">
        <v>0.0004</v>
      </c>
      <c r="Q324" t="n">
        <v>0.1232</v>
      </c>
      <c r="R324" t="inlineStr">
        <is>
          <t>T1190:Exploit Public-Facing Application</t>
        </is>
      </c>
      <c r="S324" t="n">
        <v>1</v>
      </c>
      <c r="T324" t="inlineStr">
        <is>
          <t>LOW (40%)</t>
        </is>
      </c>
      <c r="U324" t="inlineStr">
        <is>
          <t>UNLIKELY</t>
        </is>
      </c>
      <c r="V324" t="inlineStr">
        <is>
          <t>PATCH_AVAILABLE</t>
        </is>
      </c>
      <c r="W324" t="inlineStr">
        <is>
          <t>https://nvd.nist.gov/vuln/detail/CVE-2026-25638</t>
        </is>
      </c>
      <c r="X324" t="inlineStr">
        <is>
          <t>NONE</t>
        </is>
      </c>
      <c r="Y324" t="n">
        <v>0</v>
      </c>
      <c r="Z324" t="inlineStr"/>
      <c r="AA324" t="inlineStr">
        <is>
          <t>https://nvd.nist.gov/vuln/detail/CVE-2026-25638</t>
        </is>
      </c>
    </row>
    <row r="325">
      <c r="A325" t="inlineStr">
        <is>
          <t>CVE</t>
        </is>
      </c>
      <c r="B325" t="inlineStr">
        <is>
          <t>CVE-2026-25794</t>
        </is>
      </c>
      <c r="C325"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325" t="n">
        <v>8.199999999999999</v>
      </c>
      <c r="E325" t="inlineStr">
        <is>
          <t>HIGH</t>
        </is>
      </c>
      <c r="F325" t="n">
        <v>2</v>
      </c>
      <c r="G325" t="n">
        <v>3</v>
      </c>
      <c r="H325" t="inlineStr">
        <is>
          <t>HIGH</t>
        </is>
      </c>
      <c r="I325" t="n">
        <v>14.2</v>
      </c>
      <c r="J325" t="inlineStr">
        <is>
          <t>NO</t>
        </is>
      </c>
      <c r="K325" t="inlineStr">
        <is>
          <t>2026-02-27 20:47</t>
        </is>
      </c>
      <c r="L325" t="inlineStr">
        <is>
          <t>YES</t>
        </is>
      </c>
      <c r="M325" t="inlineStr">
        <is>
          <t>imagemagick imagemagick *</t>
        </is>
      </c>
      <c r="N325" t="inlineStr">
        <is>
          <t>P3</t>
        </is>
      </c>
      <c r="O325" t="inlineStr">
        <is>
          <t>CVE - IP enrichment n/a</t>
        </is>
      </c>
      <c r="P325" t="n">
        <v>0.0004</v>
      </c>
      <c r="Q325" t="n">
        <v>0.1205</v>
      </c>
      <c r="R325" t="inlineStr">
        <is>
          <t>T1190:Exploit Public-Facing Application | T1203:Exploitation for Client Execution</t>
        </is>
      </c>
      <c r="S325" t="n">
        <v>1</v>
      </c>
      <c r="T325" t="inlineStr">
        <is>
          <t>LOW (40%)</t>
        </is>
      </c>
      <c r="U325" t="inlineStr">
        <is>
          <t>UNLIKELY</t>
        </is>
      </c>
      <c r="V325" t="inlineStr">
        <is>
          <t>PATCH_AVAILABLE</t>
        </is>
      </c>
      <c r="W325" t="inlineStr">
        <is>
          <t>https://nvd.nist.gov/vuln/detail/CVE-2026-25794</t>
        </is>
      </c>
      <c r="X325" t="inlineStr">
        <is>
          <t>NONE</t>
        </is>
      </c>
      <c r="Y325" t="n">
        <v>0</v>
      </c>
      <c r="Z325" t="inlineStr"/>
      <c r="AA325" t="inlineStr">
        <is>
          <t>https://nvd.nist.gov/vuln/detail/CVE-2026-25794</t>
        </is>
      </c>
    </row>
    <row r="326">
      <c r="A326" t="inlineStr">
        <is>
          <t>CVE</t>
        </is>
      </c>
      <c r="B326" t="inlineStr">
        <is>
          <t>CVE-2026-25795</t>
        </is>
      </c>
      <c r="C326"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326" t="n">
        <v>5.3</v>
      </c>
      <c r="E326" t="inlineStr">
        <is>
          <t>MEDIUM</t>
        </is>
      </c>
      <c r="F326" t="n">
        <v>2</v>
      </c>
      <c r="G326" t="n">
        <v>2</v>
      </c>
      <c r="H326" t="inlineStr">
        <is>
          <t>MEDIUM</t>
        </is>
      </c>
      <c r="I326" t="n">
        <v>9.300000000000001</v>
      </c>
      <c r="J326" t="inlineStr">
        <is>
          <t>NO</t>
        </is>
      </c>
      <c r="K326" t="inlineStr">
        <is>
          <t>2026-02-27 20:47</t>
        </is>
      </c>
      <c r="L326" t="inlineStr">
        <is>
          <t>YES</t>
        </is>
      </c>
      <c r="M326" t="inlineStr">
        <is>
          <t>imagemagick imagemagick *</t>
        </is>
      </c>
      <c r="N326" t="inlineStr">
        <is>
          <t>P4</t>
        </is>
      </c>
      <c r="O326" t="inlineStr">
        <is>
          <t>CVE - IP enrichment n/a</t>
        </is>
      </c>
      <c r="P326" t="n">
        <v>0.0004</v>
      </c>
      <c r="Q326" t="n">
        <v>0.1277</v>
      </c>
      <c r="R326" t="inlineStr">
        <is>
          <t>T1499:Endpoint Denial of Service | T1190:Exploit Public-Facing Application</t>
        </is>
      </c>
      <c r="S326" t="n">
        <v>1</v>
      </c>
      <c r="T326" t="inlineStr">
        <is>
          <t>LOW (40%)</t>
        </is>
      </c>
      <c r="U326" t="inlineStr">
        <is>
          <t>UNLIKELY</t>
        </is>
      </c>
      <c r="V326" t="inlineStr">
        <is>
          <t>PATCH_AVAILABLE</t>
        </is>
      </c>
      <c r="W326" t="inlineStr">
        <is>
          <t>https://nvd.nist.gov/vuln/detail/CVE-2026-25795</t>
        </is>
      </c>
      <c r="X326" t="inlineStr">
        <is>
          <t>NONE</t>
        </is>
      </c>
      <c r="Y326" t="n">
        <v>0</v>
      </c>
      <c r="Z326" t="inlineStr"/>
      <c r="AA326" t="inlineStr">
        <is>
          <t>https://nvd.nist.gov/vuln/detail/CVE-2026-25795</t>
        </is>
      </c>
    </row>
    <row r="327">
      <c r="A327" t="inlineStr">
        <is>
          <t>CVE</t>
        </is>
      </c>
      <c r="B327" t="inlineStr">
        <is>
          <t>CVE-2026-25796</t>
        </is>
      </c>
      <c r="C327"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327" t="n">
        <v>5.3</v>
      </c>
      <c r="E327" t="inlineStr">
        <is>
          <t>MEDIUM</t>
        </is>
      </c>
      <c r="F327" t="n">
        <v>2</v>
      </c>
      <c r="G327" t="n">
        <v>2</v>
      </c>
      <c r="H327" t="inlineStr">
        <is>
          <t>MEDIUM</t>
        </is>
      </c>
      <c r="I327" t="n">
        <v>9.300000000000001</v>
      </c>
      <c r="J327" t="inlineStr">
        <is>
          <t>NO</t>
        </is>
      </c>
      <c r="K327" t="inlineStr">
        <is>
          <t>2026-02-27 20:47</t>
        </is>
      </c>
      <c r="L327" t="inlineStr">
        <is>
          <t>YES</t>
        </is>
      </c>
      <c r="M327" t="inlineStr">
        <is>
          <t>imagemagick imagemagick *</t>
        </is>
      </c>
      <c r="N327" t="inlineStr">
        <is>
          <t>P4</t>
        </is>
      </c>
      <c r="O327" t="inlineStr">
        <is>
          <t>CVE - IP enrichment n/a</t>
        </is>
      </c>
      <c r="P327" t="n">
        <v>0.0004</v>
      </c>
      <c r="Q327" t="n">
        <v>0.1265</v>
      </c>
      <c r="R327" t="inlineStr">
        <is>
          <t>T1190:Exploit Public-Facing Application | T1499:Endpoint Denial of Service</t>
        </is>
      </c>
      <c r="S327" t="n">
        <v>1</v>
      </c>
      <c r="T327" t="inlineStr">
        <is>
          <t>LOW (40%)</t>
        </is>
      </c>
      <c r="U327" t="inlineStr">
        <is>
          <t>UNLIKELY</t>
        </is>
      </c>
      <c r="V327" t="inlineStr">
        <is>
          <t>PATCH_AVAILABLE</t>
        </is>
      </c>
      <c r="W327" t="inlineStr">
        <is>
          <t>https://nvd.nist.gov/vuln/detail/CVE-2026-25796</t>
        </is>
      </c>
      <c r="X327" t="inlineStr">
        <is>
          <t>NONE</t>
        </is>
      </c>
      <c r="Y327" t="n">
        <v>0</v>
      </c>
      <c r="Z327" t="inlineStr"/>
      <c r="AA327" t="inlineStr">
        <is>
          <t>https://nvd.nist.gov/vuln/detail/CVE-2026-25796</t>
        </is>
      </c>
    </row>
    <row r="328">
      <c r="A328" t="inlineStr">
        <is>
          <t>CVE</t>
        </is>
      </c>
      <c r="B328" t="inlineStr">
        <is>
          <t>CVE-2026-25797</t>
        </is>
      </c>
      <c r="C328"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328" t="n">
        <v>5.7</v>
      </c>
      <c r="E328" t="inlineStr">
        <is>
          <t>MEDIUM</t>
        </is>
      </c>
      <c r="F328" t="n">
        <v>2</v>
      </c>
      <c r="G328" t="n">
        <v>2</v>
      </c>
      <c r="H328" t="inlineStr">
        <is>
          <t>MEDIUM</t>
        </is>
      </c>
      <c r="I328" t="n">
        <v>9.699999999999999</v>
      </c>
      <c r="J328" t="inlineStr">
        <is>
          <t>NO</t>
        </is>
      </c>
      <c r="K328" t="inlineStr">
        <is>
          <t>2026-02-27 20:47</t>
        </is>
      </c>
      <c r="L328" t="inlineStr">
        <is>
          <t>CHECK_VENDOR</t>
        </is>
      </c>
      <c r="M328" t="inlineStr">
        <is>
          <t>imagemagick imagemagick *</t>
        </is>
      </c>
      <c r="N328" t="inlineStr">
        <is>
          <t>P4</t>
        </is>
      </c>
      <c r="O328" t="inlineStr">
        <is>
          <t>CVE - IP enrichment n/a</t>
        </is>
      </c>
      <c r="P328" t="n">
        <v>0.0002</v>
      </c>
      <c r="Q328" t="n">
        <v>0.0483</v>
      </c>
      <c r="R328" t="inlineStr">
        <is>
          <t>T1059:Command and Scripting Interpreter | T1190:Exploit Public-Facing Application</t>
        </is>
      </c>
      <c r="S328" t="n">
        <v>1</v>
      </c>
      <c r="T328" t="inlineStr">
        <is>
          <t>LOW (40%)</t>
        </is>
      </c>
      <c r="U328" t="inlineStr">
        <is>
          <t>UNLIKELY</t>
        </is>
      </c>
      <c r="V328" t="inlineStr">
        <is>
          <t>CHECK_VENDOR</t>
        </is>
      </c>
      <c r="W328" t="inlineStr">
        <is>
          <t>https://nvd.nist.gov/vuln/detail/CVE-2026-25797</t>
        </is>
      </c>
      <c r="X328" t="inlineStr">
        <is>
          <t>NONE</t>
        </is>
      </c>
      <c r="Y328" t="n">
        <v>0</v>
      </c>
      <c r="Z328" t="inlineStr"/>
      <c r="AA328" t="inlineStr">
        <is>
          <t>https://nvd.nist.gov/vuln/detail/CVE-2026-25797</t>
        </is>
      </c>
    </row>
    <row r="329">
      <c r="A329" t="inlineStr">
        <is>
          <t>CVE</t>
        </is>
      </c>
      <c r="B329" t="inlineStr">
        <is>
          <t>CVE-2026-25798</t>
        </is>
      </c>
      <c r="C329"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329" t="n">
        <v>5.3</v>
      </c>
      <c r="E329" t="inlineStr">
        <is>
          <t>MEDIUM</t>
        </is>
      </c>
      <c r="F329" t="n">
        <v>2</v>
      </c>
      <c r="G329" t="n">
        <v>2</v>
      </c>
      <c r="H329" t="inlineStr">
        <is>
          <t>MEDIUM</t>
        </is>
      </c>
      <c r="I329" t="n">
        <v>9.300000000000001</v>
      </c>
      <c r="J329" t="inlineStr">
        <is>
          <t>NO</t>
        </is>
      </c>
      <c r="K329" t="inlineStr">
        <is>
          <t>2026-02-27 20:47</t>
        </is>
      </c>
      <c r="L329" t="inlineStr">
        <is>
          <t>YES</t>
        </is>
      </c>
      <c r="M329" t="inlineStr">
        <is>
          <t>imagemagick imagemagick *</t>
        </is>
      </c>
      <c r="N329" t="inlineStr">
        <is>
          <t>P4</t>
        </is>
      </c>
      <c r="O329" t="inlineStr">
        <is>
          <t>CVE - IP enrichment n/a</t>
        </is>
      </c>
      <c r="P329" t="n">
        <v>0.0011</v>
      </c>
      <c r="Q329" t="n">
        <v>0.2878</v>
      </c>
      <c r="R329" t="inlineStr">
        <is>
          <t>T1499:Endpoint Denial of Service | T1190:Exploit Public-Facing Application</t>
        </is>
      </c>
      <c r="S329" t="n">
        <v>1</v>
      </c>
      <c r="T329" t="inlineStr">
        <is>
          <t>LOW (40%)</t>
        </is>
      </c>
      <c r="U329" t="inlineStr">
        <is>
          <t>UNLIKELY</t>
        </is>
      </c>
      <c r="V329" t="inlineStr">
        <is>
          <t>PATCH_AVAILABLE</t>
        </is>
      </c>
      <c r="W329" t="inlineStr">
        <is>
          <t>https://nvd.nist.gov/vuln/detail/CVE-2026-25798</t>
        </is>
      </c>
      <c r="X329" t="inlineStr">
        <is>
          <t>NONE</t>
        </is>
      </c>
      <c r="Y329" t="n">
        <v>0</v>
      </c>
      <c r="Z329" t="inlineStr"/>
      <c r="AA329" t="inlineStr">
        <is>
          <t>https://nvd.nist.gov/vuln/detail/CVE-2026-25798</t>
        </is>
      </c>
    </row>
    <row r="330">
      <c r="A330" t="inlineStr">
        <is>
          <t>CVE</t>
        </is>
      </c>
      <c r="B330" t="inlineStr">
        <is>
          <t>CVE-2026-25799</t>
        </is>
      </c>
      <c r="C330"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330" t="n">
        <v>5.3</v>
      </c>
      <c r="E330" t="inlineStr">
        <is>
          <t>MEDIUM</t>
        </is>
      </c>
      <c r="F330" t="n">
        <v>2</v>
      </c>
      <c r="G330" t="n">
        <v>2</v>
      </c>
      <c r="H330" t="inlineStr">
        <is>
          <t>MEDIUM</t>
        </is>
      </c>
      <c r="I330" t="n">
        <v>9.300000000000001</v>
      </c>
      <c r="J330" t="inlineStr">
        <is>
          <t>NO</t>
        </is>
      </c>
      <c r="K330" t="inlineStr">
        <is>
          <t>2026-02-27 20:47</t>
        </is>
      </c>
      <c r="L330" t="inlineStr">
        <is>
          <t>YES</t>
        </is>
      </c>
      <c r="M330" t="inlineStr">
        <is>
          <t>imagemagick imagemagick *</t>
        </is>
      </c>
      <c r="N330" t="inlineStr">
        <is>
          <t>P4</t>
        </is>
      </c>
      <c r="O330" t="inlineStr">
        <is>
          <t>CVE - IP enrichment n/a</t>
        </is>
      </c>
      <c r="P330" t="n">
        <v>0.0004</v>
      </c>
      <c r="Q330" t="n">
        <v>0.1272</v>
      </c>
      <c r="R330" t="inlineStr">
        <is>
          <t>T1190:Exploit Public-Facing Application</t>
        </is>
      </c>
      <c r="S330" t="n">
        <v>1</v>
      </c>
      <c r="T330" t="inlineStr">
        <is>
          <t>LOW (40%)</t>
        </is>
      </c>
      <c r="U330" t="inlineStr">
        <is>
          <t>UNLIKELY</t>
        </is>
      </c>
      <c r="V330" t="inlineStr">
        <is>
          <t>PATCH_AVAILABLE</t>
        </is>
      </c>
      <c r="W330" t="inlineStr">
        <is>
          <t>https://nvd.nist.gov/vuln/detail/CVE-2026-25799</t>
        </is>
      </c>
      <c r="X330" t="inlineStr">
        <is>
          <t>NONE</t>
        </is>
      </c>
      <c r="Y330" t="n">
        <v>0</v>
      </c>
      <c r="Z330" t="inlineStr"/>
      <c r="AA330" t="inlineStr">
        <is>
          <t>https://nvd.nist.gov/vuln/detail/CVE-2026-25799</t>
        </is>
      </c>
    </row>
    <row r="331">
      <c r="A331" t="inlineStr">
        <is>
          <t>CVE</t>
        </is>
      </c>
      <c r="B331" t="inlineStr">
        <is>
          <t>CVE-2026-25802</t>
        </is>
      </c>
      <c r="C331"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331" t="n">
        <v>7.6</v>
      </c>
      <c r="E331" t="inlineStr">
        <is>
          <t>HIGH</t>
        </is>
      </c>
      <c r="F331" t="n">
        <v>2</v>
      </c>
      <c r="G331" t="n">
        <v>3</v>
      </c>
      <c r="H331" t="inlineStr">
        <is>
          <t>HIGH</t>
        </is>
      </c>
      <c r="I331" t="n">
        <v>13.6</v>
      </c>
      <c r="J331" t="inlineStr">
        <is>
          <t>NO</t>
        </is>
      </c>
      <c r="K331" t="inlineStr">
        <is>
          <t>2026-02-27 20:47</t>
        </is>
      </c>
      <c r="L331" t="inlineStr">
        <is>
          <t>YES</t>
        </is>
      </c>
      <c r="M331" t="inlineStr">
        <is>
          <t>newapi new_api 0.10.8 | newapi new_api *</t>
        </is>
      </c>
      <c r="N331" t="inlineStr">
        <is>
          <t>P3</t>
        </is>
      </c>
      <c r="O331" t="inlineStr">
        <is>
          <t>CVE - IP enrichment n/a</t>
        </is>
      </c>
      <c r="P331" t="n">
        <v>0.0003</v>
      </c>
      <c r="Q331" t="n">
        <v>0.0833</v>
      </c>
      <c r="R331" t="inlineStr">
        <is>
          <t>T1189:Drive-by Compromise</t>
        </is>
      </c>
      <c r="S331" t="n">
        <v>1</v>
      </c>
      <c r="T331" t="inlineStr">
        <is>
          <t>LOW (40%)</t>
        </is>
      </c>
      <c r="U331" t="inlineStr">
        <is>
          <t>UNLIKELY</t>
        </is>
      </c>
      <c r="V331" t="inlineStr">
        <is>
          <t>PATCH_AVAILABLE</t>
        </is>
      </c>
      <c r="W331" t="inlineStr">
        <is>
          <t>https://nvd.nist.gov/vuln/detail/CVE-2026-25802</t>
        </is>
      </c>
      <c r="X331" t="inlineStr">
        <is>
          <t>NONE</t>
        </is>
      </c>
      <c r="Y331" t="n">
        <v>0</v>
      </c>
      <c r="Z331" t="inlineStr"/>
      <c r="AA331" t="inlineStr">
        <is>
          <t>https://nvd.nist.gov/vuln/detail/CVE-2026-25802</t>
        </is>
      </c>
    </row>
    <row r="332">
      <c r="A332" t="inlineStr">
        <is>
          <t>CVE</t>
        </is>
      </c>
      <c r="B332" t="inlineStr">
        <is>
          <t>CVE-2026-26024</t>
        </is>
      </c>
      <c r="C332"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332" t="n">
        <v>7.5</v>
      </c>
      <c r="E332" t="inlineStr">
        <is>
          <t>HIGH</t>
        </is>
      </c>
      <c r="F332" t="n">
        <v>2</v>
      </c>
      <c r="G332" t="n">
        <v>3</v>
      </c>
      <c r="H332" t="inlineStr">
        <is>
          <t>HIGH</t>
        </is>
      </c>
      <c r="I332" t="n">
        <v>13.5</v>
      </c>
      <c r="J332" t="inlineStr">
        <is>
          <t>NO</t>
        </is>
      </c>
      <c r="K332" t="inlineStr">
        <is>
          <t>2026-02-27 20:47</t>
        </is>
      </c>
      <c r="L332" t="inlineStr">
        <is>
          <t>YES</t>
        </is>
      </c>
      <c r="M332" t="inlineStr">
        <is>
          <t>free5gc smf *</t>
        </is>
      </c>
      <c r="N332" t="inlineStr">
        <is>
          <t>P3</t>
        </is>
      </c>
      <c r="O332" t="inlineStr">
        <is>
          <t>CVE - IP enrichment n/a</t>
        </is>
      </c>
      <c r="P332" t="n">
        <v>0.0004</v>
      </c>
      <c r="Q332" t="n">
        <v>0.1315</v>
      </c>
      <c r="R332" t="inlineStr">
        <is>
          <t>T1499:Endpoint Denial of Service | T1190:Exploit Public-Facing Application | T1562:Impair Defenses</t>
        </is>
      </c>
      <c r="S332" t="n">
        <v>1</v>
      </c>
      <c r="T332" t="inlineStr">
        <is>
          <t>LOW (40%)</t>
        </is>
      </c>
      <c r="U332" t="inlineStr">
        <is>
          <t>UNLIKELY</t>
        </is>
      </c>
      <c r="V332" t="inlineStr">
        <is>
          <t>PATCH_AVAILABLE</t>
        </is>
      </c>
      <c r="W332" t="inlineStr">
        <is>
          <t>https://nvd.nist.gov/vuln/detail/CVE-2026-26024</t>
        </is>
      </c>
      <c r="X332" t="inlineStr">
        <is>
          <t>NONE</t>
        </is>
      </c>
      <c r="Y332" t="n">
        <v>0</v>
      </c>
      <c r="Z332" t="inlineStr"/>
      <c r="AA332" t="inlineStr">
        <is>
          <t>https://nvd.nist.gov/vuln/detail/CVE-2026-26024</t>
        </is>
      </c>
    </row>
    <row r="333">
      <c r="A333" t="inlineStr">
        <is>
          <t>CVE</t>
        </is>
      </c>
      <c r="B333" t="inlineStr">
        <is>
          <t>CVE-2026-26025</t>
        </is>
      </c>
      <c r="C333"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333" t="n">
        <v>7.5</v>
      </c>
      <c r="E333" t="inlineStr">
        <is>
          <t>HIGH</t>
        </is>
      </c>
      <c r="F333" t="n">
        <v>2</v>
      </c>
      <c r="G333" t="n">
        <v>3</v>
      </c>
      <c r="H333" t="inlineStr">
        <is>
          <t>HIGH</t>
        </is>
      </c>
      <c r="I333" t="n">
        <v>13.5</v>
      </c>
      <c r="J333" t="inlineStr">
        <is>
          <t>NO</t>
        </is>
      </c>
      <c r="K333" t="inlineStr">
        <is>
          <t>2026-02-27 20:47</t>
        </is>
      </c>
      <c r="L333" t="inlineStr">
        <is>
          <t>YES</t>
        </is>
      </c>
      <c r="M333" t="inlineStr">
        <is>
          <t>free5gc smf *</t>
        </is>
      </c>
      <c r="N333" t="inlineStr">
        <is>
          <t>P3</t>
        </is>
      </c>
      <c r="O333" t="inlineStr">
        <is>
          <t>CVE - IP enrichment n/a</t>
        </is>
      </c>
      <c r="P333" t="n">
        <v>0.0004</v>
      </c>
      <c r="Q333" t="n">
        <v>0.1315</v>
      </c>
      <c r="R333" t="inlineStr">
        <is>
          <t>T1499:Endpoint Denial of Service | T1190:Exploit Public-Facing Application | T1562:Impair Defenses</t>
        </is>
      </c>
      <c r="S333" t="n">
        <v>1</v>
      </c>
      <c r="T333" t="inlineStr">
        <is>
          <t>LOW (40%)</t>
        </is>
      </c>
      <c r="U333" t="inlineStr">
        <is>
          <t>UNLIKELY</t>
        </is>
      </c>
      <c r="V333" t="inlineStr">
        <is>
          <t>PATCH_AVAILABLE</t>
        </is>
      </c>
      <c r="W333" t="inlineStr">
        <is>
          <t>https://nvd.nist.gov/vuln/detail/CVE-2026-26025</t>
        </is>
      </c>
      <c r="X333" t="inlineStr">
        <is>
          <t>NONE</t>
        </is>
      </c>
      <c r="Y333" t="n">
        <v>0</v>
      </c>
      <c r="Z333" t="inlineStr"/>
      <c r="AA333" t="inlineStr">
        <is>
          <t>https://nvd.nist.gov/vuln/detail/CVE-2026-26025</t>
        </is>
      </c>
    </row>
    <row r="334">
      <c r="A334" t="inlineStr">
        <is>
          <t>CVE</t>
        </is>
      </c>
      <c r="B334" t="inlineStr">
        <is>
          <t>CVE-2026-27642</t>
        </is>
      </c>
      <c r="C334"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334" t="n">
        <v>7.5</v>
      </c>
      <c r="E334" t="inlineStr">
        <is>
          <t>HIGH</t>
        </is>
      </c>
      <c r="F334" t="n">
        <v>2</v>
      </c>
      <c r="G334" t="n">
        <v>3</v>
      </c>
      <c r="H334" t="inlineStr">
        <is>
          <t>HIGH</t>
        </is>
      </c>
      <c r="I334" t="n">
        <v>13.5</v>
      </c>
      <c r="J334" t="inlineStr">
        <is>
          <t>NO</t>
        </is>
      </c>
      <c r="K334" t="inlineStr">
        <is>
          <t>2026-02-27 20:47</t>
        </is>
      </c>
      <c r="L334" t="inlineStr">
        <is>
          <t>YES</t>
        </is>
      </c>
      <c r="M334" t="inlineStr">
        <is>
          <t>free5gc udm *</t>
        </is>
      </c>
      <c r="N334" t="inlineStr">
        <is>
          <t>P3</t>
        </is>
      </c>
      <c r="O334" t="inlineStr">
        <is>
          <t>CVE - IP enrichment n/a</t>
        </is>
      </c>
      <c r="P334" t="n">
        <v>0.0005</v>
      </c>
      <c r="Q334" t="n">
        <v>0.1499</v>
      </c>
      <c r="R334" t="inlineStr">
        <is>
          <t>T1190:Exploit Public-Facing Application</t>
        </is>
      </c>
      <c r="S334" t="n">
        <v>1</v>
      </c>
      <c r="T334" t="inlineStr">
        <is>
          <t>LOW (40%)</t>
        </is>
      </c>
      <c r="U334" t="inlineStr">
        <is>
          <t>UNLIKELY</t>
        </is>
      </c>
      <c r="V334" t="inlineStr">
        <is>
          <t>PATCH_AVAILABLE</t>
        </is>
      </c>
      <c r="W334" t="inlineStr">
        <is>
          <t>https://nvd.nist.gov/vuln/detail/CVE-2026-27642</t>
        </is>
      </c>
      <c r="X334" t="inlineStr">
        <is>
          <t>NONE</t>
        </is>
      </c>
      <c r="Y334" t="n">
        <v>0</v>
      </c>
      <c r="Z334" t="inlineStr"/>
      <c r="AA334" t="inlineStr">
        <is>
          <t>https://nvd.nist.gov/vuln/detail/CVE-2026-27642</t>
        </is>
      </c>
    </row>
    <row r="335">
      <c r="A335" t="inlineStr">
        <is>
          <t>CVE</t>
        </is>
      </c>
      <c r="B335" t="inlineStr">
        <is>
          <t>CVE-2026-27643</t>
        </is>
      </c>
      <c r="C335"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335" t="n">
        <v>5.3</v>
      </c>
      <c r="E335" t="inlineStr">
        <is>
          <t>MEDIUM</t>
        </is>
      </c>
      <c r="F335" t="n">
        <v>2</v>
      </c>
      <c r="G335" t="n">
        <v>2</v>
      </c>
      <c r="H335" t="inlineStr">
        <is>
          <t>MEDIUM</t>
        </is>
      </c>
      <c r="I335" t="n">
        <v>9.300000000000001</v>
      </c>
      <c r="J335" t="inlineStr">
        <is>
          <t>NO</t>
        </is>
      </c>
      <c r="K335" t="inlineStr">
        <is>
          <t>2026-02-27 20:47</t>
        </is>
      </c>
      <c r="L335" t="inlineStr">
        <is>
          <t>YES</t>
        </is>
      </c>
      <c r="M335" t="inlineStr">
        <is>
          <t>free5gc udr *</t>
        </is>
      </c>
      <c r="N335" t="inlineStr">
        <is>
          <t>P4</t>
        </is>
      </c>
      <c r="O335" t="inlineStr">
        <is>
          <t>CVE - IP enrichment n/a</t>
        </is>
      </c>
      <c r="P335" t="n">
        <v>0.0002</v>
      </c>
      <c r="Q335" t="n">
        <v>0.06270000000000001</v>
      </c>
      <c r="R335" t="inlineStr">
        <is>
          <t>T1190:Exploit Public-Facing Application</t>
        </is>
      </c>
      <c r="S335" t="n">
        <v>1</v>
      </c>
      <c r="T335" t="inlineStr">
        <is>
          <t>LOW (40%)</t>
        </is>
      </c>
      <c r="U335" t="inlineStr">
        <is>
          <t>UNLIKELY</t>
        </is>
      </c>
      <c r="V335" t="inlineStr">
        <is>
          <t>PATCH_AVAILABLE</t>
        </is>
      </c>
      <c r="W335" t="inlineStr">
        <is>
          <t>https://nvd.nist.gov/vuln/detail/CVE-2026-27643</t>
        </is>
      </c>
      <c r="X335" t="inlineStr">
        <is>
          <t>NONE</t>
        </is>
      </c>
      <c r="Y335" t="n">
        <v>0</v>
      </c>
      <c r="Z335" t="inlineStr"/>
      <c r="AA335" t="inlineStr">
        <is>
          <t>https://nvd.nist.gov/vuln/detail/CVE-2026-27643</t>
        </is>
      </c>
    </row>
    <row r="336">
      <c r="A336" t="inlineStr">
        <is>
          <t>CVE</t>
        </is>
      </c>
      <c r="B336" t="inlineStr">
        <is>
          <t>CVE-2026-27729</t>
        </is>
      </c>
      <c r="C336"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336" t="n">
        <v>5.9</v>
      </c>
      <c r="E336" t="inlineStr">
        <is>
          <t>MEDIUM</t>
        </is>
      </c>
      <c r="F336" t="n">
        <v>2</v>
      </c>
      <c r="G336" t="n">
        <v>2</v>
      </c>
      <c r="H336" t="inlineStr">
        <is>
          <t>MEDIUM</t>
        </is>
      </c>
      <c r="I336" t="n">
        <v>9.9</v>
      </c>
      <c r="J336" t="inlineStr">
        <is>
          <t>NO</t>
        </is>
      </c>
      <c r="K336" t="inlineStr">
        <is>
          <t>2026-02-27 20:47</t>
        </is>
      </c>
      <c r="L336" t="inlineStr">
        <is>
          <t>YES</t>
        </is>
      </c>
      <c r="M336" t="inlineStr">
        <is>
          <t>astro \@astrojs\/node *</t>
        </is>
      </c>
      <c r="N336" t="inlineStr">
        <is>
          <t>P4</t>
        </is>
      </c>
      <c r="O336" t="inlineStr">
        <is>
          <t>CVE - IP enrichment n/a</t>
        </is>
      </c>
      <c r="P336" t="n">
        <v>0.0007</v>
      </c>
      <c r="Q336" t="n">
        <v>0.2053</v>
      </c>
      <c r="R336" t="inlineStr">
        <is>
          <t>T1499:Endpoint Denial of Service</t>
        </is>
      </c>
      <c r="S336" t="n">
        <v>1</v>
      </c>
      <c r="T336" t="inlineStr">
        <is>
          <t>LOW (40%)</t>
        </is>
      </c>
      <c r="U336" t="inlineStr">
        <is>
          <t>UNLIKELY</t>
        </is>
      </c>
      <c r="V336" t="inlineStr">
        <is>
          <t>PATCH_AVAILABLE</t>
        </is>
      </c>
      <c r="W336" t="inlineStr">
        <is>
          <t>https://nvd.nist.gov/vuln/detail/CVE-2026-27729</t>
        </is>
      </c>
      <c r="X336" t="inlineStr">
        <is>
          <t>NONE</t>
        </is>
      </c>
      <c r="Y336" t="n">
        <v>0</v>
      </c>
      <c r="Z336" t="inlineStr"/>
      <c r="AA336" t="inlineStr">
        <is>
          <t>https://nvd.nist.gov/vuln/detail/CVE-2026-27729</t>
        </is>
      </c>
    </row>
    <row r="337">
      <c r="A337" t="inlineStr">
        <is>
          <t>CVE</t>
        </is>
      </c>
      <c r="B337" t="inlineStr">
        <is>
          <t>CVE-2026-3046</t>
        </is>
      </c>
      <c r="C337"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337" t="n">
        <v>7.3</v>
      </c>
      <c r="E337" t="inlineStr">
        <is>
          <t>HIGH</t>
        </is>
      </c>
      <c r="F337" t="n">
        <v>2</v>
      </c>
      <c r="G337" t="n">
        <v>3</v>
      </c>
      <c r="H337" t="inlineStr">
        <is>
          <t>HIGH</t>
        </is>
      </c>
      <c r="I337" t="n">
        <v>13.3</v>
      </c>
      <c r="J337" t="inlineStr">
        <is>
          <t>NO</t>
        </is>
      </c>
      <c r="K337" t="inlineStr">
        <is>
          <t>2026-02-27 20:47</t>
        </is>
      </c>
      <c r="L337" t="inlineStr">
        <is>
          <t>YES</t>
        </is>
      </c>
      <c r="M337" t="inlineStr">
        <is>
          <t>emiloi e-logbook_with_health_monitoring_system_for_covid-19 1.0</t>
        </is>
      </c>
      <c r="N337" t="inlineStr">
        <is>
          <t>P3</t>
        </is>
      </c>
      <c r="O337" t="inlineStr">
        <is>
          <t>CVE - IP enrichment n/a</t>
        </is>
      </c>
      <c r="P337" t="n">
        <v>0.0003</v>
      </c>
      <c r="Q337" t="n">
        <v>0.0711</v>
      </c>
      <c r="R337" t="inlineStr">
        <is>
          <t>T1190:Exploit Public-Facing Application</t>
        </is>
      </c>
      <c r="S337" t="n">
        <v>1</v>
      </c>
      <c r="T337" t="inlineStr">
        <is>
          <t>LOW (40%)</t>
        </is>
      </c>
      <c r="U337" t="inlineStr">
        <is>
          <t>UNLIKELY</t>
        </is>
      </c>
      <c r="V337" t="inlineStr">
        <is>
          <t>PATCH_AVAILABLE</t>
        </is>
      </c>
      <c r="W337" t="inlineStr">
        <is>
          <t>https://nvd.nist.gov/vuln/detail/CVE-2026-3046</t>
        </is>
      </c>
      <c r="X337" t="inlineStr">
        <is>
          <t>NONE</t>
        </is>
      </c>
      <c r="Y337" t="n">
        <v>0</v>
      </c>
      <c r="Z337" t="inlineStr"/>
      <c r="AA337" t="inlineStr">
        <is>
          <t>https://nvd.nist.gov/vuln/detail/CVE-2026-3046</t>
        </is>
      </c>
    </row>
    <row r="338">
      <c r="A338" t="inlineStr">
        <is>
          <t>CVE</t>
        </is>
      </c>
      <c r="B338" t="inlineStr">
        <is>
          <t>CVE-2026-3049</t>
        </is>
      </c>
      <c r="C338"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338" t="n">
        <v>4.3</v>
      </c>
      <c r="E338" t="inlineStr">
        <is>
          <t>MEDIUM</t>
        </is>
      </c>
      <c r="F338" t="n">
        <v>2</v>
      </c>
      <c r="G338" t="n">
        <v>2</v>
      </c>
      <c r="H338" t="inlineStr">
        <is>
          <t>MEDIUM</t>
        </is>
      </c>
      <c r="I338" t="n">
        <v>8.300000000000001</v>
      </c>
      <c r="J338" t="inlineStr">
        <is>
          <t>NO</t>
        </is>
      </c>
      <c r="K338" t="inlineStr">
        <is>
          <t>2026-02-27 20:47</t>
        </is>
      </c>
      <c r="L338" t="inlineStr">
        <is>
          <t>YES</t>
        </is>
      </c>
      <c r="M338" t="inlineStr">
        <is>
          <t>horilla horilla *</t>
        </is>
      </c>
      <c r="N338" t="inlineStr">
        <is>
          <t>P4</t>
        </is>
      </c>
      <c r="O338" t="inlineStr">
        <is>
          <t>CVE - IP enrichment n/a</t>
        </is>
      </c>
      <c r="P338" t="n">
        <v>0.0003</v>
      </c>
      <c r="Q338" t="n">
        <v>0.09</v>
      </c>
      <c r="R338" t="inlineStr">
        <is>
          <t>T1189:Drive-by Compromise | T1190:Exploit Public-Facing Application</t>
        </is>
      </c>
      <c r="S338" t="n">
        <v>1</v>
      </c>
      <c r="T338" t="inlineStr">
        <is>
          <t>LOW (40%)</t>
        </is>
      </c>
      <c r="U338" t="inlineStr">
        <is>
          <t>UNLIKELY</t>
        </is>
      </c>
      <c r="V338" t="inlineStr">
        <is>
          <t>PATCH_AVAILABLE</t>
        </is>
      </c>
      <c r="W338" t="inlineStr">
        <is>
          <t>https://nvd.nist.gov/vuln/detail/CVE-2026-3049</t>
        </is>
      </c>
      <c r="X338" t="inlineStr">
        <is>
          <t>NONE</t>
        </is>
      </c>
      <c r="Y338" t="n">
        <v>0</v>
      </c>
      <c r="Z338" t="inlineStr"/>
      <c r="AA338" t="inlineStr">
        <is>
          <t>https://nvd.nist.gov/vuln/detail/CVE-2026-3049</t>
        </is>
      </c>
    </row>
    <row r="339">
      <c r="A339" t="inlineStr">
        <is>
          <t>CVE</t>
        </is>
      </c>
      <c r="B339" t="inlineStr">
        <is>
          <t>CVE-2026-3050</t>
        </is>
      </c>
      <c r="C339"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339" t="n">
        <v>3.5</v>
      </c>
      <c r="E339" t="inlineStr">
        <is>
          <t>LOW</t>
        </is>
      </c>
      <c r="F339" t="n">
        <v>2</v>
      </c>
      <c r="G339" t="n">
        <v>1</v>
      </c>
      <c r="H339" t="inlineStr">
        <is>
          <t>LOW</t>
        </is>
      </c>
      <c r="I339" t="n">
        <v>5.5</v>
      </c>
      <c r="J339" t="inlineStr">
        <is>
          <t>NO</t>
        </is>
      </c>
      <c r="K339" t="inlineStr">
        <is>
          <t>2026-02-27 20:47</t>
        </is>
      </c>
      <c r="L339" t="inlineStr">
        <is>
          <t>YES</t>
        </is>
      </c>
      <c r="M339" t="inlineStr">
        <is>
          <t>horilla horilla *</t>
        </is>
      </c>
      <c r="N339" t="inlineStr">
        <is>
          <t>P4</t>
        </is>
      </c>
      <c r="O339" t="inlineStr">
        <is>
          <t>CVE - IP enrichment n/a</t>
        </is>
      </c>
      <c r="P339" t="n">
        <v>0.0003</v>
      </c>
      <c r="Q339" t="n">
        <v>0.0989</v>
      </c>
      <c r="R339" t="inlineStr">
        <is>
          <t>T1189:Drive-by Compromise | T1190:Exploit Public-Facing Application</t>
        </is>
      </c>
      <c r="S339" t="n">
        <v>1</v>
      </c>
      <c r="T339" t="inlineStr">
        <is>
          <t>LOW (40%)</t>
        </is>
      </c>
      <c r="U339" t="inlineStr">
        <is>
          <t>UNLIKELY</t>
        </is>
      </c>
      <c r="V339" t="inlineStr">
        <is>
          <t>PATCH_AVAILABLE</t>
        </is>
      </c>
      <c r="W339" t="inlineStr">
        <is>
          <t>https://nvd.nist.gov/vuln/detail/CVE-2026-3050</t>
        </is>
      </c>
      <c r="X339" t="inlineStr">
        <is>
          <t>NONE</t>
        </is>
      </c>
      <c r="Y339" t="n">
        <v>0</v>
      </c>
      <c r="Z339" t="inlineStr"/>
      <c r="AA339" t="inlineStr">
        <is>
          <t>https://nvd.nist.gov/vuln/detail/CVE-2026-3050</t>
        </is>
      </c>
    </row>
    <row r="340">
      <c r="A340" t="inlineStr">
        <is>
          <t>CVE</t>
        </is>
      </c>
      <c r="B340" t="inlineStr">
        <is>
          <t>CVE-2026-3051</t>
        </is>
      </c>
      <c r="C340"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340" t="n">
        <v>6.3</v>
      </c>
      <c r="E340" t="inlineStr">
        <is>
          <t>MEDIUM</t>
        </is>
      </c>
      <c r="F340" t="n">
        <v>2</v>
      </c>
      <c r="G340" t="n">
        <v>2</v>
      </c>
      <c r="H340" t="inlineStr">
        <is>
          <t>MEDIUM</t>
        </is>
      </c>
      <c r="I340" t="n">
        <v>10.3</v>
      </c>
      <c r="J340" t="inlineStr">
        <is>
          <t>NO</t>
        </is>
      </c>
      <c r="K340" t="inlineStr">
        <is>
          <t>2026-02-27 20:47</t>
        </is>
      </c>
      <c r="L340" t="inlineStr">
        <is>
          <t>CHECK_VENDOR</t>
        </is>
      </c>
      <c r="M340" t="inlineStr">
        <is>
          <t>dinky dinky *</t>
        </is>
      </c>
      <c r="N340" t="inlineStr">
        <is>
          <t>P4</t>
        </is>
      </c>
      <c r="O340" t="inlineStr">
        <is>
          <t>CVE - IP enrichment n/a</t>
        </is>
      </c>
      <c r="P340" t="n">
        <v>0.0008</v>
      </c>
      <c r="Q340" t="n">
        <v>0.2423</v>
      </c>
      <c r="R340" t="inlineStr">
        <is>
          <t>T1083:File and Directory Discovery</t>
        </is>
      </c>
      <c r="S340" t="n">
        <v>1</v>
      </c>
      <c r="T340" t="inlineStr">
        <is>
          <t>LOW (40%)</t>
        </is>
      </c>
      <c r="U340" t="inlineStr">
        <is>
          <t>UNLIKELY</t>
        </is>
      </c>
      <c r="V340" t="inlineStr">
        <is>
          <t>CHECK_VENDOR</t>
        </is>
      </c>
      <c r="W340" t="inlineStr">
        <is>
          <t>https://nvd.nist.gov/vuln/detail/CVE-2026-3051</t>
        </is>
      </c>
      <c r="X340" t="inlineStr">
        <is>
          <t>NONE</t>
        </is>
      </c>
      <c r="Y340" t="n">
        <v>0</v>
      </c>
      <c r="Z340" t="inlineStr"/>
      <c r="AA340" t="inlineStr">
        <is>
          <t>https://nvd.nist.gov/vuln/detail/CVE-2026-3051</t>
        </is>
      </c>
    </row>
    <row r="341">
      <c r="A341" t="inlineStr">
        <is>
          <t>CVE</t>
        </is>
      </c>
      <c r="B341" t="inlineStr">
        <is>
          <t>CVE-2025-11845</t>
        </is>
      </c>
      <c r="C341"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41" t="n">
        <v>4.9</v>
      </c>
      <c r="E341" t="inlineStr">
        <is>
          <t>MEDIUM</t>
        </is>
      </c>
      <c r="F341" t="n">
        <v>2</v>
      </c>
      <c r="G341" t="n">
        <v>2</v>
      </c>
      <c r="H341" t="inlineStr">
        <is>
          <t>MEDIUM</t>
        </is>
      </c>
      <c r="I341" t="n">
        <v>8.9</v>
      </c>
      <c r="J341" t="inlineStr">
        <is>
          <t>NO</t>
        </is>
      </c>
      <c r="K341" t="inlineStr">
        <is>
          <t>2026-02-27 20:47</t>
        </is>
      </c>
      <c r="L341" t="inlineStr">
        <is>
          <t>YES</t>
        </is>
      </c>
      <c r="M341" t="inlineStr">
        <is>
          <t>zyxel dx4510-b0 - | zyxel wx3401-b1_firmware * | zyxel ex5401-b1_firmware *</t>
        </is>
      </c>
      <c r="N341" t="inlineStr">
        <is>
          <t>P4</t>
        </is>
      </c>
      <c r="O341" t="inlineStr">
        <is>
          <t>CVE - IP enrichment n/a</t>
        </is>
      </c>
      <c r="P341" t="n">
        <v>0.0007</v>
      </c>
      <c r="Q341" t="n">
        <v>0.2076</v>
      </c>
      <c r="R341" t="inlineStr">
        <is>
          <t>T1499:Endpoint Denial of Service</t>
        </is>
      </c>
      <c r="S341" t="n">
        <v>1</v>
      </c>
      <c r="T341" t="inlineStr">
        <is>
          <t>LOW (40%)</t>
        </is>
      </c>
      <c r="U341" t="inlineStr">
        <is>
          <t>UNLIKELY</t>
        </is>
      </c>
      <c r="V341" t="inlineStr">
        <is>
          <t>PATCH_AVAILABLE</t>
        </is>
      </c>
      <c r="W341" t="inlineStr">
        <is>
          <t>https://nvd.nist.gov/vuln/detail/CVE-2025-11845</t>
        </is>
      </c>
      <c r="X341" t="inlineStr">
        <is>
          <t>NONE</t>
        </is>
      </c>
      <c r="Y341" t="n">
        <v>0</v>
      </c>
      <c r="Z341" t="inlineStr"/>
      <c r="AA341" t="inlineStr">
        <is>
          <t>https://nvd.nist.gov/vuln/detail/CVE-2025-11845</t>
        </is>
      </c>
    </row>
    <row r="342">
      <c r="A342" t="inlineStr">
        <is>
          <t>CVE</t>
        </is>
      </c>
      <c r="B342" t="inlineStr">
        <is>
          <t>CVE-2025-11846</t>
        </is>
      </c>
      <c r="C342"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42" t="n">
        <v>4.9</v>
      </c>
      <c r="E342" t="inlineStr">
        <is>
          <t>MEDIUM</t>
        </is>
      </c>
      <c r="F342" t="n">
        <v>2</v>
      </c>
      <c r="G342" t="n">
        <v>2</v>
      </c>
      <c r="H342" t="inlineStr">
        <is>
          <t>MEDIUM</t>
        </is>
      </c>
      <c r="I342" t="n">
        <v>8.9</v>
      </c>
      <c r="J342" t="inlineStr">
        <is>
          <t>NO</t>
        </is>
      </c>
      <c r="K342" t="inlineStr">
        <is>
          <t>2026-02-27 20:47</t>
        </is>
      </c>
      <c r="L342" t="inlineStr">
        <is>
          <t>YES</t>
        </is>
      </c>
      <c r="M342" t="inlineStr">
        <is>
          <t>zyxel dx4510-b0 - | zyxel wx3401-b1_firmware * | zyxel ex5401-b1_firmware *</t>
        </is>
      </c>
      <c r="N342" t="inlineStr">
        <is>
          <t>P4</t>
        </is>
      </c>
      <c r="O342" t="inlineStr">
        <is>
          <t>CVE - IP enrichment n/a</t>
        </is>
      </c>
      <c r="P342" t="n">
        <v>0.0005999999999999999</v>
      </c>
      <c r="Q342" t="n">
        <v>0.1941</v>
      </c>
      <c r="R342" t="inlineStr">
        <is>
          <t>T1499:Endpoint Denial of Service</t>
        </is>
      </c>
      <c r="S342" t="n">
        <v>1</v>
      </c>
      <c r="T342" t="inlineStr">
        <is>
          <t>LOW (40%)</t>
        </is>
      </c>
      <c r="U342" t="inlineStr">
        <is>
          <t>UNLIKELY</t>
        </is>
      </c>
      <c r="V342" t="inlineStr">
        <is>
          <t>PATCH_AVAILABLE</t>
        </is>
      </c>
      <c r="W342" t="inlineStr">
        <is>
          <t>https://nvd.nist.gov/vuln/detail/CVE-2025-11846</t>
        </is>
      </c>
      <c r="X342" t="inlineStr">
        <is>
          <t>NONE</t>
        </is>
      </c>
      <c r="Y342" t="n">
        <v>0</v>
      </c>
      <c r="Z342" t="inlineStr"/>
      <c r="AA342" t="inlineStr">
        <is>
          <t>https://nvd.nist.gov/vuln/detail/CVE-2025-11846</t>
        </is>
      </c>
    </row>
    <row r="343">
      <c r="A343" t="inlineStr">
        <is>
          <t>CVE</t>
        </is>
      </c>
      <c r="B343" t="inlineStr">
        <is>
          <t>CVE-2026-25897</t>
        </is>
      </c>
      <c r="C343"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343" t="n">
        <v>6.5</v>
      </c>
      <c r="E343" t="inlineStr">
        <is>
          <t>MEDIUM</t>
        </is>
      </c>
      <c r="F343" t="n">
        <v>2</v>
      </c>
      <c r="G343" t="n">
        <v>2</v>
      </c>
      <c r="H343" t="inlineStr">
        <is>
          <t>MEDIUM</t>
        </is>
      </c>
      <c r="I343" t="n">
        <v>10.5</v>
      </c>
      <c r="J343" t="inlineStr">
        <is>
          <t>NO</t>
        </is>
      </c>
      <c r="K343" t="inlineStr">
        <is>
          <t>2026-02-27 20:47</t>
        </is>
      </c>
      <c r="L343" t="inlineStr">
        <is>
          <t>YES</t>
        </is>
      </c>
      <c r="M343" t="inlineStr">
        <is>
          <t>imagemagick imagemagick *</t>
        </is>
      </c>
      <c r="N343" t="inlineStr">
        <is>
          <t>P4</t>
        </is>
      </c>
      <c r="O343" t="inlineStr">
        <is>
          <t>CVE - IP enrichment n/a</t>
        </is>
      </c>
      <c r="P343" t="n">
        <v>0.0004</v>
      </c>
      <c r="Q343" t="n">
        <v>0.1308</v>
      </c>
      <c r="R343" t="inlineStr">
        <is>
          <t>T1190:Exploit Public-Facing Application | T1203:Exploitation for Client Execution</t>
        </is>
      </c>
      <c r="S343" t="n">
        <v>1</v>
      </c>
      <c r="T343" t="inlineStr">
        <is>
          <t>LOW (40%)</t>
        </is>
      </c>
      <c r="U343" t="inlineStr">
        <is>
          <t>UNLIKELY</t>
        </is>
      </c>
      <c r="V343" t="inlineStr">
        <is>
          <t>PATCH_AVAILABLE</t>
        </is>
      </c>
      <c r="W343" t="inlineStr">
        <is>
          <t>https://nvd.nist.gov/vuln/detail/CVE-2026-25897</t>
        </is>
      </c>
      <c r="X343" t="inlineStr">
        <is>
          <t>NONE</t>
        </is>
      </c>
      <c r="Y343" t="n">
        <v>0</v>
      </c>
      <c r="Z343" t="inlineStr"/>
      <c r="AA343" t="inlineStr">
        <is>
          <t>https://nvd.nist.gov/vuln/detail/CVE-2026-25897</t>
        </is>
      </c>
    </row>
    <row r="344">
      <c r="A344" t="inlineStr">
        <is>
          <t>CVE</t>
        </is>
      </c>
      <c r="B344" t="inlineStr">
        <is>
          <t>CVE-2026-25898</t>
        </is>
      </c>
      <c r="C344"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344" t="n">
        <v>6.5</v>
      </c>
      <c r="E344" t="inlineStr">
        <is>
          <t>MEDIUM</t>
        </is>
      </c>
      <c r="F344" t="n">
        <v>2</v>
      </c>
      <c r="G344" t="n">
        <v>2</v>
      </c>
      <c r="H344" t="inlineStr">
        <is>
          <t>MEDIUM</t>
        </is>
      </c>
      <c r="I344" t="n">
        <v>10.5</v>
      </c>
      <c r="J344" t="inlineStr">
        <is>
          <t>NO</t>
        </is>
      </c>
      <c r="K344" t="inlineStr">
        <is>
          <t>2026-02-27 20:47</t>
        </is>
      </c>
      <c r="L344" t="inlineStr">
        <is>
          <t>CHECK_VENDOR</t>
        </is>
      </c>
      <c r="M344" t="inlineStr">
        <is>
          <t>imagemagick imagemagick *</t>
        </is>
      </c>
      <c r="N344" t="inlineStr">
        <is>
          <t>P4</t>
        </is>
      </c>
      <c r="O344" t="inlineStr">
        <is>
          <t>CVE - IP enrichment n/a</t>
        </is>
      </c>
      <c r="P344" t="n">
        <v>0.0004</v>
      </c>
      <c r="Q344" t="n">
        <v>0.1221</v>
      </c>
      <c r="R344" t="inlineStr">
        <is>
          <t>T1203:Exploitation for Client Execution | T1190:Exploit Public-Facing Application | T1213:Data from Information Repositories</t>
        </is>
      </c>
      <c r="S344" t="n">
        <v>1</v>
      </c>
      <c r="T344" t="inlineStr">
        <is>
          <t>LOW (40%)</t>
        </is>
      </c>
      <c r="U344" t="inlineStr">
        <is>
          <t>UNLIKELY</t>
        </is>
      </c>
      <c r="V344" t="inlineStr">
        <is>
          <t>CHECK_VENDOR</t>
        </is>
      </c>
      <c r="W344" t="inlineStr">
        <is>
          <t>https://nvd.nist.gov/vuln/detail/CVE-2026-25898</t>
        </is>
      </c>
      <c r="X344" t="inlineStr">
        <is>
          <t>NONE</t>
        </is>
      </c>
      <c r="Y344" t="n">
        <v>0</v>
      </c>
      <c r="Z344" t="inlineStr"/>
      <c r="AA344" t="inlineStr">
        <is>
          <t>https://nvd.nist.gov/vuln/detail/CVE-2026-25898</t>
        </is>
      </c>
    </row>
    <row r="345">
      <c r="A345" t="inlineStr">
        <is>
          <t>CVE</t>
        </is>
      </c>
      <c r="B345" t="inlineStr">
        <is>
          <t>CVE-2026-25965</t>
        </is>
      </c>
      <c r="C345"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345" t="n">
        <v>8.6</v>
      </c>
      <c r="E345" t="inlineStr">
        <is>
          <t>HIGH</t>
        </is>
      </c>
      <c r="F345" t="n">
        <v>2</v>
      </c>
      <c r="G345" t="n">
        <v>3</v>
      </c>
      <c r="H345" t="inlineStr">
        <is>
          <t>HIGH</t>
        </is>
      </c>
      <c r="I345" t="n">
        <v>14.6</v>
      </c>
      <c r="J345" t="inlineStr">
        <is>
          <t>NO</t>
        </is>
      </c>
      <c r="K345" t="inlineStr">
        <is>
          <t>2026-02-27 20:47</t>
        </is>
      </c>
      <c r="L345" t="inlineStr">
        <is>
          <t>CHECK_VENDOR</t>
        </is>
      </c>
      <c r="M345" t="inlineStr">
        <is>
          <t>imagemagick imagemagick *</t>
        </is>
      </c>
      <c r="N345" t="inlineStr">
        <is>
          <t>P1</t>
        </is>
      </c>
      <c r="O345" t="inlineStr">
        <is>
          <t>CVE - IP enrichment n/a</t>
        </is>
      </c>
      <c r="P345" t="n">
        <v>0.0003</v>
      </c>
      <c r="Q345" t="n">
        <v>0.0931</v>
      </c>
      <c r="R345" t="inlineStr">
        <is>
          <t>T1083:File and Directory Discovery | T1190:Exploit Public-Facing Application</t>
        </is>
      </c>
      <c r="S345" t="n">
        <v>2</v>
      </c>
      <c r="T345" t="inlineStr">
        <is>
          <t>HIGH (72%)</t>
        </is>
      </c>
      <c r="U345" t="inlineStr">
        <is>
          <t>HIGH</t>
        </is>
      </c>
      <c r="V345" t="inlineStr">
        <is>
          <t>CHECK_VENDOR</t>
        </is>
      </c>
      <c r="W345" t="inlineStr">
        <is>
          <t>https://nvd.nist.gov/vuln/detail/CVE-2026-25965</t>
        </is>
      </c>
      <c r="X345" t="inlineStr">
        <is>
          <t>http://www.zerodayinitiative.com/advisories/ZDI-26-123/</t>
        </is>
      </c>
      <c r="Y345" t="n">
        <v>0</v>
      </c>
      <c r="Z345" t="inlineStr"/>
      <c r="AA345" t="inlineStr">
        <is>
          <t>https://nvd.nist.gov/vuln/detail/CVE-2026-25965</t>
        </is>
      </c>
    </row>
    <row r="346">
      <c r="A346" t="inlineStr">
        <is>
          <t>CVE</t>
        </is>
      </c>
      <c r="B346" t="inlineStr">
        <is>
          <t>CVE-2026-25966</t>
        </is>
      </c>
      <c r="C346"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346" t="n">
        <v>5.9</v>
      </c>
      <c r="E346" t="inlineStr">
        <is>
          <t>MEDIUM</t>
        </is>
      </c>
      <c r="F346" t="n">
        <v>2</v>
      </c>
      <c r="G346" t="n">
        <v>2</v>
      </c>
      <c r="H346" t="inlineStr">
        <is>
          <t>MEDIUM</t>
        </is>
      </c>
      <c r="I346" t="n">
        <v>9.9</v>
      </c>
      <c r="J346" t="inlineStr">
        <is>
          <t>NO</t>
        </is>
      </c>
      <c r="K346" t="inlineStr">
        <is>
          <t>2026-02-27 20:47</t>
        </is>
      </c>
      <c r="L346" t="inlineStr">
        <is>
          <t>CHECK_VENDOR</t>
        </is>
      </c>
      <c r="M346" t="inlineStr">
        <is>
          <t>imagemagick imagemagick *</t>
        </is>
      </c>
      <c r="N346" t="inlineStr">
        <is>
          <t>P4</t>
        </is>
      </c>
      <c r="O346" t="inlineStr">
        <is>
          <t>CVE - IP enrichment n/a</t>
        </is>
      </c>
      <c r="P346" t="n">
        <v>0.0001</v>
      </c>
      <c r="Q346" t="n">
        <v>0.0163</v>
      </c>
      <c r="R346" t="inlineStr">
        <is>
          <t>T1190:Exploit Public-Facing Application</t>
        </is>
      </c>
      <c r="S346" t="n">
        <v>1</v>
      </c>
      <c r="T346" t="inlineStr">
        <is>
          <t>LOW (40%)</t>
        </is>
      </c>
      <c r="U346" t="inlineStr">
        <is>
          <t>UNLIKELY</t>
        </is>
      </c>
      <c r="V346" t="inlineStr">
        <is>
          <t>CHECK_VENDOR</t>
        </is>
      </c>
      <c r="W346" t="inlineStr">
        <is>
          <t>https://nvd.nist.gov/vuln/detail/CVE-2026-25966</t>
        </is>
      </c>
      <c r="X346" t="inlineStr">
        <is>
          <t>NONE</t>
        </is>
      </c>
      <c r="Y346" t="n">
        <v>0</v>
      </c>
      <c r="Z346" t="inlineStr"/>
      <c r="AA346" t="inlineStr">
        <is>
          <t>https://nvd.nist.gov/vuln/detail/CVE-2026-25966</t>
        </is>
      </c>
    </row>
    <row r="347">
      <c r="A347" t="inlineStr">
        <is>
          <t>CVE</t>
        </is>
      </c>
      <c r="B347" t="inlineStr">
        <is>
          <t>CVE-2026-25967</t>
        </is>
      </c>
      <c r="C347"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347" t="n">
        <v>7.4</v>
      </c>
      <c r="E347" t="inlineStr">
        <is>
          <t>HIGH</t>
        </is>
      </c>
      <c r="F347" t="n">
        <v>2</v>
      </c>
      <c r="G347" t="n">
        <v>3</v>
      </c>
      <c r="H347" t="inlineStr">
        <is>
          <t>HIGH</t>
        </is>
      </c>
      <c r="I347" t="n">
        <v>13.4</v>
      </c>
      <c r="J347" t="inlineStr">
        <is>
          <t>NO</t>
        </is>
      </c>
      <c r="K347" t="inlineStr">
        <is>
          <t>2026-02-27 20:47</t>
        </is>
      </c>
      <c r="L347" t="inlineStr">
        <is>
          <t>CHECK_VENDOR</t>
        </is>
      </c>
      <c r="M347" t="inlineStr">
        <is>
          <t>imagemagick imagemagick *</t>
        </is>
      </c>
      <c r="N347" t="inlineStr">
        <is>
          <t>P3</t>
        </is>
      </c>
      <c r="O347" t="inlineStr">
        <is>
          <t>CVE - IP enrichment n/a</t>
        </is>
      </c>
      <c r="P347" t="n">
        <v>0.0004</v>
      </c>
      <c r="Q347" t="n">
        <v>0.1198</v>
      </c>
      <c r="R347" t="inlineStr">
        <is>
          <t>T1190:Exploit Public-Facing Application | T1203:Exploitation for Client Execution</t>
        </is>
      </c>
      <c r="S347" t="n">
        <v>1</v>
      </c>
      <c r="T347" t="inlineStr">
        <is>
          <t>LOW (40%)</t>
        </is>
      </c>
      <c r="U347" t="inlineStr">
        <is>
          <t>UNLIKELY</t>
        </is>
      </c>
      <c r="V347" t="inlineStr">
        <is>
          <t>CHECK_VENDOR</t>
        </is>
      </c>
      <c r="W347" t="inlineStr">
        <is>
          <t>https://nvd.nist.gov/vuln/detail/CVE-2026-25967</t>
        </is>
      </c>
      <c r="X347" t="inlineStr">
        <is>
          <t>NONE</t>
        </is>
      </c>
      <c r="Y347" t="n">
        <v>0</v>
      </c>
      <c r="Z347" t="inlineStr"/>
      <c r="AA347" t="inlineStr">
        <is>
          <t>https://nvd.nist.gov/vuln/detail/CVE-2026-25967</t>
        </is>
      </c>
    </row>
    <row r="348">
      <c r="A348" t="inlineStr">
        <is>
          <t>CVE</t>
        </is>
      </c>
      <c r="B348" t="inlineStr">
        <is>
          <t>CVE-2026-25968</t>
        </is>
      </c>
      <c r="C348"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348" t="n">
        <v>7.4</v>
      </c>
      <c r="E348" t="inlineStr">
        <is>
          <t>HIGH</t>
        </is>
      </c>
      <c r="F348" t="n">
        <v>2</v>
      </c>
      <c r="G348" t="n">
        <v>3</v>
      </c>
      <c r="H348" t="inlineStr">
        <is>
          <t>HIGH</t>
        </is>
      </c>
      <c r="I348" t="n">
        <v>13.4</v>
      </c>
      <c r="J348" t="inlineStr">
        <is>
          <t>NO</t>
        </is>
      </c>
      <c r="K348" t="inlineStr">
        <is>
          <t>2026-02-27 20:47</t>
        </is>
      </c>
      <c r="L348" t="inlineStr">
        <is>
          <t>CHECK_VENDOR</t>
        </is>
      </c>
      <c r="M348" t="inlineStr">
        <is>
          <t>imagemagick imagemagick *</t>
        </is>
      </c>
      <c r="N348" t="inlineStr">
        <is>
          <t>P3</t>
        </is>
      </c>
      <c r="O348" t="inlineStr">
        <is>
          <t>CVE - IP enrichment n/a</t>
        </is>
      </c>
      <c r="P348" t="n">
        <v>0.0004</v>
      </c>
      <c r="Q348" t="n">
        <v>0.1296</v>
      </c>
      <c r="R348" t="inlineStr">
        <is>
          <t>T1190:Exploit Public-Facing Application | T1203:Exploitation for Client Execution</t>
        </is>
      </c>
      <c r="S348" t="n">
        <v>1</v>
      </c>
      <c r="T348" t="inlineStr">
        <is>
          <t>LOW (40%)</t>
        </is>
      </c>
      <c r="U348" t="inlineStr">
        <is>
          <t>UNLIKELY</t>
        </is>
      </c>
      <c r="V348" t="inlineStr">
        <is>
          <t>CHECK_VENDOR</t>
        </is>
      </c>
      <c r="W348" t="inlineStr">
        <is>
          <t>https://nvd.nist.gov/vuln/detail/CVE-2026-25968</t>
        </is>
      </c>
      <c r="X348" t="inlineStr">
        <is>
          <t>NONE</t>
        </is>
      </c>
      <c r="Y348" t="n">
        <v>0</v>
      </c>
      <c r="Z348" t="inlineStr"/>
      <c r="AA348" t="inlineStr">
        <is>
          <t>https://nvd.nist.gov/vuln/detail/CVE-2026-25968</t>
        </is>
      </c>
    </row>
    <row r="349">
      <c r="A349" t="inlineStr">
        <is>
          <t>CVE</t>
        </is>
      </c>
      <c r="B349" t="inlineStr">
        <is>
          <t>CVE-2026-25969</t>
        </is>
      </c>
      <c r="C349"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349" t="n">
        <v>5.3</v>
      </c>
      <c r="E349" t="inlineStr">
        <is>
          <t>MEDIUM</t>
        </is>
      </c>
      <c r="F349" t="n">
        <v>2</v>
      </c>
      <c r="G349" t="n">
        <v>2</v>
      </c>
      <c r="H349" t="inlineStr">
        <is>
          <t>MEDIUM</t>
        </is>
      </c>
      <c r="I349" t="n">
        <v>9.300000000000001</v>
      </c>
      <c r="J349" t="inlineStr">
        <is>
          <t>NO</t>
        </is>
      </c>
      <c r="K349" t="inlineStr">
        <is>
          <t>2026-02-27 20:47</t>
        </is>
      </c>
      <c r="L349" t="inlineStr">
        <is>
          <t>CHECK_VENDOR</t>
        </is>
      </c>
      <c r="M349" t="inlineStr">
        <is>
          <t>imagemagick imagemagick *</t>
        </is>
      </c>
      <c r="N349" t="inlineStr">
        <is>
          <t>P4</t>
        </is>
      </c>
      <c r="O349" t="inlineStr">
        <is>
          <t>CVE - IP enrichment n/a</t>
        </is>
      </c>
      <c r="P349" t="n">
        <v>0.0004</v>
      </c>
      <c r="Q349" t="n">
        <v>0.1198</v>
      </c>
      <c r="R349" t="inlineStr">
        <is>
          <t>T1190:Exploit Public-Facing Application</t>
        </is>
      </c>
      <c r="S349" t="n">
        <v>1</v>
      </c>
      <c r="T349" t="inlineStr">
        <is>
          <t>LOW (40%)</t>
        </is>
      </c>
      <c r="U349" t="inlineStr">
        <is>
          <t>UNLIKELY</t>
        </is>
      </c>
      <c r="V349" t="inlineStr">
        <is>
          <t>CHECK_VENDOR</t>
        </is>
      </c>
      <c r="W349" t="inlineStr">
        <is>
          <t>https://nvd.nist.gov/vuln/detail/CVE-2026-25969</t>
        </is>
      </c>
      <c r="X349" t="inlineStr">
        <is>
          <t>NONE</t>
        </is>
      </c>
      <c r="Y349" t="n">
        <v>0</v>
      </c>
      <c r="Z349" t="inlineStr"/>
      <c r="AA349" t="inlineStr">
        <is>
          <t>https://nvd.nist.gov/vuln/detail/CVE-2026-25969</t>
        </is>
      </c>
    </row>
    <row r="350">
      <c r="A350" t="inlineStr">
        <is>
          <t>CVE</t>
        </is>
      </c>
      <c r="B350" t="inlineStr">
        <is>
          <t>CVE-2026-25970</t>
        </is>
      </c>
      <c r="C350"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350" t="n">
        <v>5.3</v>
      </c>
      <c r="E350" t="inlineStr">
        <is>
          <t>MEDIUM</t>
        </is>
      </c>
      <c r="F350" t="n">
        <v>2</v>
      </c>
      <c r="G350" t="n">
        <v>2</v>
      </c>
      <c r="H350" t="inlineStr">
        <is>
          <t>MEDIUM</t>
        </is>
      </c>
      <c r="I350" t="n">
        <v>9.300000000000001</v>
      </c>
      <c r="J350" t="inlineStr">
        <is>
          <t>NO</t>
        </is>
      </c>
      <c r="K350" t="inlineStr">
        <is>
          <t>2026-02-27 20:47</t>
        </is>
      </c>
      <c r="L350" t="inlineStr">
        <is>
          <t>CHECK_VENDOR</t>
        </is>
      </c>
      <c r="M350" t="inlineStr">
        <is>
          <t>imagemagick imagemagick *</t>
        </is>
      </c>
      <c r="N350" t="inlineStr">
        <is>
          <t>P4</t>
        </is>
      </c>
      <c r="O350" t="inlineStr">
        <is>
          <t>CVE - IP enrichment n/a</t>
        </is>
      </c>
      <c r="P350" t="n">
        <v>0.0004</v>
      </c>
      <c r="Q350" t="n">
        <v>0.1193</v>
      </c>
      <c r="R350" t="inlineStr">
        <is>
          <t>T1190:Exploit Public-Facing Application | T1499:Endpoint Denial of Service | T1203:Exploitation for Client Execution</t>
        </is>
      </c>
      <c r="S350" t="n">
        <v>1</v>
      </c>
      <c r="T350" t="inlineStr">
        <is>
          <t>LOW (40%)</t>
        </is>
      </c>
      <c r="U350" t="inlineStr">
        <is>
          <t>UNLIKELY</t>
        </is>
      </c>
      <c r="V350" t="inlineStr">
        <is>
          <t>CHECK_VENDOR</t>
        </is>
      </c>
      <c r="W350" t="inlineStr">
        <is>
          <t>https://nvd.nist.gov/vuln/detail/CVE-2026-25970</t>
        </is>
      </c>
      <c r="X350" t="inlineStr">
        <is>
          <t>NONE</t>
        </is>
      </c>
      <c r="Y350" t="n">
        <v>0</v>
      </c>
      <c r="Z350" t="inlineStr"/>
      <c r="AA350" t="inlineStr">
        <is>
          <t>https://nvd.nist.gov/vuln/detail/CVE-2026-25970</t>
        </is>
      </c>
    </row>
    <row r="351">
      <c r="A351" t="inlineStr">
        <is>
          <t>CVE</t>
        </is>
      </c>
      <c r="B351" t="inlineStr">
        <is>
          <t>CVE-2026-25971</t>
        </is>
      </c>
      <c r="C351"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351" t="n">
        <v>6.2</v>
      </c>
      <c r="E351" t="inlineStr">
        <is>
          <t>MEDIUM</t>
        </is>
      </c>
      <c r="F351" t="n">
        <v>2</v>
      </c>
      <c r="G351" t="n">
        <v>2</v>
      </c>
      <c r="H351" t="inlineStr">
        <is>
          <t>MEDIUM</t>
        </is>
      </c>
      <c r="I351" t="n">
        <v>10.2</v>
      </c>
      <c r="J351" t="inlineStr">
        <is>
          <t>NO</t>
        </is>
      </c>
      <c r="K351" t="inlineStr">
        <is>
          <t>2026-02-27 20:47</t>
        </is>
      </c>
      <c r="L351" t="inlineStr">
        <is>
          <t>CHECK_VENDOR</t>
        </is>
      </c>
      <c r="M351" t="inlineStr">
        <is>
          <t>imagemagick imagemagick *</t>
        </is>
      </c>
      <c r="N351" t="inlineStr">
        <is>
          <t>P4</t>
        </is>
      </c>
      <c r="O351" t="inlineStr">
        <is>
          <t>CVE - IP enrichment n/a</t>
        </is>
      </c>
      <c r="P351" t="n">
        <v>0.0003</v>
      </c>
      <c r="Q351" t="n">
        <v>0.0835</v>
      </c>
      <c r="R351" t="inlineStr">
        <is>
          <t>T1203:Exploitation for Client Execution | T1190:Exploit Public-Facing Application</t>
        </is>
      </c>
      <c r="S351" t="n">
        <v>1</v>
      </c>
      <c r="T351" t="inlineStr">
        <is>
          <t>LOW (40%)</t>
        </is>
      </c>
      <c r="U351" t="inlineStr">
        <is>
          <t>UNLIKELY</t>
        </is>
      </c>
      <c r="V351" t="inlineStr">
        <is>
          <t>CHECK_VENDOR</t>
        </is>
      </c>
      <c r="W351" t="inlineStr">
        <is>
          <t>https://nvd.nist.gov/vuln/detail/CVE-2026-25971</t>
        </is>
      </c>
      <c r="X351" t="inlineStr">
        <is>
          <t>NONE</t>
        </is>
      </c>
      <c r="Y351" t="n">
        <v>0</v>
      </c>
      <c r="Z351" t="inlineStr"/>
      <c r="AA351" t="inlineStr">
        <is>
          <t>https://nvd.nist.gov/vuln/detail/CVE-2026-25971</t>
        </is>
      </c>
    </row>
    <row r="352">
      <c r="A352" t="inlineStr">
        <is>
          <t>CVE</t>
        </is>
      </c>
      <c r="B352" t="inlineStr">
        <is>
          <t>CVE-2026-25982</t>
        </is>
      </c>
      <c r="C352"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352" t="n">
        <v>6.5</v>
      </c>
      <c r="E352" t="inlineStr">
        <is>
          <t>MEDIUM</t>
        </is>
      </c>
      <c r="F352" t="n">
        <v>2</v>
      </c>
      <c r="G352" t="n">
        <v>2</v>
      </c>
      <c r="H352" t="inlineStr">
        <is>
          <t>MEDIUM</t>
        </is>
      </c>
      <c r="I352" t="n">
        <v>10.5</v>
      </c>
      <c r="J352" t="inlineStr">
        <is>
          <t>NO</t>
        </is>
      </c>
      <c r="K352" t="inlineStr">
        <is>
          <t>2026-02-27 20:47</t>
        </is>
      </c>
      <c r="L352" t="inlineStr">
        <is>
          <t>CHECK_VENDOR</t>
        </is>
      </c>
      <c r="M352" t="inlineStr">
        <is>
          <t>imagemagick imagemagick *</t>
        </is>
      </c>
      <c r="N352" t="inlineStr">
        <is>
          <t>P4</t>
        </is>
      </c>
      <c r="O352" t="inlineStr">
        <is>
          <t>CVE - IP enrichment n/a</t>
        </is>
      </c>
      <c r="P352" t="n">
        <v>0.0004</v>
      </c>
      <c r="Q352" t="n">
        <v>0.1082</v>
      </c>
      <c r="R352" t="inlineStr">
        <is>
          <t>T1203:Exploitation for Client Execution | T1190:Exploit Public-Facing Application | T1499:Endpoint Denial of Service</t>
        </is>
      </c>
      <c r="S352" t="n">
        <v>1</v>
      </c>
      <c r="T352" t="inlineStr">
        <is>
          <t>LOW (40%)</t>
        </is>
      </c>
      <c r="U352" t="inlineStr">
        <is>
          <t>UNLIKELY</t>
        </is>
      </c>
      <c r="V352" t="inlineStr">
        <is>
          <t>CHECK_VENDOR</t>
        </is>
      </c>
      <c r="W352" t="inlineStr">
        <is>
          <t>https://nvd.nist.gov/vuln/detail/CVE-2026-25982</t>
        </is>
      </c>
      <c r="X352" t="inlineStr">
        <is>
          <t>NONE</t>
        </is>
      </c>
      <c r="Y352" t="n">
        <v>0</v>
      </c>
      <c r="Z352" t="inlineStr"/>
      <c r="AA352" t="inlineStr">
        <is>
          <t>https://nvd.nist.gov/vuln/detail/CVE-2026-25982</t>
        </is>
      </c>
    </row>
    <row r="353">
      <c r="A353" t="inlineStr">
        <is>
          <t>CVE</t>
        </is>
      </c>
      <c r="B353" t="inlineStr">
        <is>
          <t>CVE-2026-25983</t>
        </is>
      </c>
      <c r="C353"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353" t="n">
        <v>5.3</v>
      </c>
      <c r="E353" t="inlineStr">
        <is>
          <t>MEDIUM</t>
        </is>
      </c>
      <c r="F353" t="n">
        <v>2</v>
      </c>
      <c r="G353" t="n">
        <v>2</v>
      </c>
      <c r="H353" t="inlineStr">
        <is>
          <t>MEDIUM</t>
        </is>
      </c>
      <c r="I353" t="n">
        <v>9.300000000000001</v>
      </c>
      <c r="J353" t="inlineStr">
        <is>
          <t>NO</t>
        </is>
      </c>
      <c r="K353" t="inlineStr">
        <is>
          <t>2026-02-27 20:47</t>
        </is>
      </c>
      <c r="L353" t="inlineStr">
        <is>
          <t>CHECK_VENDOR</t>
        </is>
      </c>
      <c r="M353" t="inlineStr">
        <is>
          <t>imagemagick imagemagick *</t>
        </is>
      </c>
      <c r="N353" t="inlineStr">
        <is>
          <t>P4</t>
        </is>
      </c>
      <c r="O353" t="inlineStr">
        <is>
          <t>CVE - IP enrichment n/a</t>
        </is>
      </c>
      <c r="P353" t="n">
        <v>0.0005999999999999999</v>
      </c>
      <c r="Q353" t="n">
        <v>0.1719</v>
      </c>
      <c r="R353" t="inlineStr">
        <is>
          <t>T1203:Exploitation for Client Execution | T1190:Exploit Public-Facing Application</t>
        </is>
      </c>
      <c r="S353" t="n">
        <v>1</v>
      </c>
      <c r="T353" t="inlineStr">
        <is>
          <t>LOW (40%)</t>
        </is>
      </c>
      <c r="U353" t="inlineStr">
        <is>
          <t>UNLIKELY</t>
        </is>
      </c>
      <c r="V353" t="inlineStr">
        <is>
          <t>CHECK_VENDOR</t>
        </is>
      </c>
      <c r="W353" t="inlineStr">
        <is>
          <t>https://nvd.nist.gov/vuln/detail/CVE-2026-25983</t>
        </is>
      </c>
      <c r="X353" t="inlineStr">
        <is>
          <t>NONE</t>
        </is>
      </c>
      <c r="Y353" t="n">
        <v>0</v>
      </c>
      <c r="Z353" t="inlineStr"/>
      <c r="AA353" t="inlineStr">
        <is>
          <t>https://nvd.nist.gov/vuln/detail/CVE-2026-25983</t>
        </is>
      </c>
    </row>
    <row r="354">
      <c r="A354" t="inlineStr">
        <is>
          <t>CVE</t>
        </is>
      </c>
      <c r="B354" t="inlineStr">
        <is>
          <t>CVE-2026-25985</t>
        </is>
      </c>
      <c r="C354"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354" t="n">
        <v>7.5</v>
      </c>
      <c r="E354" t="inlineStr">
        <is>
          <t>HIGH</t>
        </is>
      </c>
      <c r="F354" t="n">
        <v>2</v>
      </c>
      <c r="G354" t="n">
        <v>3</v>
      </c>
      <c r="H354" t="inlineStr">
        <is>
          <t>HIGH</t>
        </is>
      </c>
      <c r="I354" t="n">
        <v>13.5</v>
      </c>
      <c r="J354" t="inlineStr">
        <is>
          <t>NO</t>
        </is>
      </c>
      <c r="K354" t="inlineStr">
        <is>
          <t>2026-02-27 20:47</t>
        </is>
      </c>
      <c r="L354" t="inlineStr">
        <is>
          <t>CHECK_VENDOR</t>
        </is>
      </c>
      <c r="M354" t="inlineStr">
        <is>
          <t>imagemagick imagemagick *</t>
        </is>
      </c>
      <c r="N354" t="inlineStr">
        <is>
          <t>P3</t>
        </is>
      </c>
      <c r="O354" t="inlineStr">
        <is>
          <t>CVE - IP enrichment n/a</t>
        </is>
      </c>
      <c r="P354" t="n">
        <v>0.0004</v>
      </c>
      <c r="Q354" t="n">
        <v>0.1198</v>
      </c>
      <c r="R354" t="inlineStr">
        <is>
          <t>T1190:Exploit Public-Facing Application</t>
        </is>
      </c>
      <c r="S354" t="n">
        <v>1</v>
      </c>
      <c r="T354" t="inlineStr">
        <is>
          <t>LOW (40%)</t>
        </is>
      </c>
      <c r="U354" t="inlineStr">
        <is>
          <t>UNLIKELY</t>
        </is>
      </c>
      <c r="V354" t="inlineStr">
        <is>
          <t>CHECK_VENDOR</t>
        </is>
      </c>
      <c r="W354" t="inlineStr">
        <is>
          <t>https://nvd.nist.gov/vuln/detail/CVE-2026-25985</t>
        </is>
      </c>
      <c r="X354" t="inlineStr">
        <is>
          <t>NONE</t>
        </is>
      </c>
      <c r="Y354" t="n">
        <v>0</v>
      </c>
      <c r="Z354" t="inlineStr"/>
      <c r="AA354" t="inlineStr">
        <is>
          <t>https://nvd.nist.gov/vuln/detail/CVE-2026-25985</t>
        </is>
      </c>
    </row>
    <row r="355">
      <c r="A355" t="inlineStr">
        <is>
          <t>CVE</t>
        </is>
      </c>
      <c r="B355" t="inlineStr">
        <is>
          <t>CVE-2026-25986</t>
        </is>
      </c>
      <c r="C355"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355" t="n">
        <v>5.3</v>
      </c>
      <c r="E355" t="inlineStr">
        <is>
          <t>MEDIUM</t>
        </is>
      </c>
      <c r="F355" t="n">
        <v>2</v>
      </c>
      <c r="G355" t="n">
        <v>2</v>
      </c>
      <c r="H355" t="inlineStr">
        <is>
          <t>MEDIUM</t>
        </is>
      </c>
      <c r="I355" t="n">
        <v>9.300000000000001</v>
      </c>
      <c r="J355" t="inlineStr">
        <is>
          <t>NO</t>
        </is>
      </c>
      <c r="K355" t="inlineStr">
        <is>
          <t>2026-02-27 20:47</t>
        </is>
      </c>
      <c r="L355" t="inlineStr">
        <is>
          <t>CHECK_VENDOR</t>
        </is>
      </c>
      <c r="M355" t="inlineStr">
        <is>
          <t>imagemagick imagemagick *</t>
        </is>
      </c>
      <c r="N355" t="inlineStr">
        <is>
          <t>P4</t>
        </is>
      </c>
      <c r="O355" t="inlineStr">
        <is>
          <t>CVE - IP enrichment n/a</t>
        </is>
      </c>
      <c r="P355" t="n">
        <v>0.0004</v>
      </c>
      <c r="Q355" t="n">
        <v>0.1296</v>
      </c>
      <c r="R355" t="inlineStr">
        <is>
          <t>T1203:Exploitation for Client Execution | T1190:Exploit Public-Facing Application</t>
        </is>
      </c>
      <c r="S355" t="n">
        <v>1</v>
      </c>
      <c r="T355" t="inlineStr">
        <is>
          <t>LOW (40%)</t>
        </is>
      </c>
      <c r="U355" t="inlineStr">
        <is>
          <t>UNLIKELY</t>
        </is>
      </c>
      <c r="V355" t="inlineStr">
        <is>
          <t>CHECK_VENDOR</t>
        </is>
      </c>
      <c r="W355" t="inlineStr">
        <is>
          <t>https://nvd.nist.gov/vuln/detail/CVE-2026-25986</t>
        </is>
      </c>
      <c r="X355" t="inlineStr">
        <is>
          <t>NONE</t>
        </is>
      </c>
      <c r="Y355" t="n">
        <v>0</v>
      </c>
      <c r="Z355" t="inlineStr"/>
      <c r="AA355" t="inlineStr">
        <is>
          <t>https://nvd.nist.gov/vuln/detail/CVE-2026-25986</t>
        </is>
      </c>
    </row>
    <row r="356">
      <c r="A356" t="inlineStr">
        <is>
          <t>CVE</t>
        </is>
      </c>
      <c r="B356" t="inlineStr">
        <is>
          <t>CVE-2026-25987</t>
        </is>
      </c>
      <c r="C356"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356" t="n">
        <v>5.3</v>
      </c>
      <c r="E356" t="inlineStr">
        <is>
          <t>MEDIUM</t>
        </is>
      </c>
      <c r="F356" t="n">
        <v>2</v>
      </c>
      <c r="G356" t="n">
        <v>2</v>
      </c>
      <c r="H356" t="inlineStr">
        <is>
          <t>MEDIUM</t>
        </is>
      </c>
      <c r="I356" t="n">
        <v>9.300000000000001</v>
      </c>
      <c r="J356" t="inlineStr">
        <is>
          <t>NO</t>
        </is>
      </c>
      <c r="K356" t="inlineStr">
        <is>
          <t>2026-02-27 20:47</t>
        </is>
      </c>
      <c r="L356" t="inlineStr">
        <is>
          <t>CHECK_VENDOR</t>
        </is>
      </c>
      <c r="M356" t="inlineStr">
        <is>
          <t>imagemagick imagemagick *</t>
        </is>
      </c>
      <c r="N356" t="inlineStr">
        <is>
          <t>P4</t>
        </is>
      </c>
      <c r="O356" t="inlineStr">
        <is>
          <t>CVE - IP enrichment n/a</t>
        </is>
      </c>
      <c r="P356" t="n">
        <v>0.0003</v>
      </c>
      <c r="Q356" t="n">
        <v>0.0843</v>
      </c>
      <c r="R356" t="inlineStr">
        <is>
          <t>T1203:Exploitation for Client Execution | T1190:Exploit Public-Facing Application</t>
        </is>
      </c>
      <c r="S356" t="n">
        <v>1</v>
      </c>
      <c r="T356" t="inlineStr">
        <is>
          <t>LOW (40%)</t>
        </is>
      </c>
      <c r="U356" t="inlineStr">
        <is>
          <t>UNLIKELY</t>
        </is>
      </c>
      <c r="V356" t="inlineStr">
        <is>
          <t>CHECK_VENDOR</t>
        </is>
      </c>
      <c r="W356" t="inlineStr">
        <is>
          <t>https://nvd.nist.gov/vuln/detail/CVE-2026-25987</t>
        </is>
      </c>
      <c r="X356" t="inlineStr">
        <is>
          <t>NONE</t>
        </is>
      </c>
      <c r="Y356" t="n">
        <v>0</v>
      </c>
      <c r="Z356" t="inlineStr"/>
      <c r="AA356" t="inlineStr">
        <is>
          <t>https://nvd.nist.gov/vuln/detail/CVE-2026-25987</t>
        </is>
      </c>
    </row>
    <row r="357">
      <c r="A357" t="inlineStr">
        <is>
          <t>CVE</t>
        </is>
      </c>
      <c r="B357" t="inlineStr">
        <is>
          <t>CVE-2026-25988</t>
        </is>
      </c>
      <c r="C357"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357" t="n">
        <v>5.3</v>
      </c>
      <c r="E357" t="inlineStr">
        <is>
          <t>MEDIUM</t>
        </is>
      </c>
      <c r="F357" t="n">
        <v>2</v>
      </c>
      <c r="G357" t="n">
        <v>2</v>
      </c>
      <c r="H357" t="inlineStr">
        <is>
          <t>MEDIUM</t>
        </is>
      </c>
      <c r="I357" t="n">
        <v>9.300000000000001</v>
      </c>
      <c r="J357" t="inlineStr">
        <is>
          <t>NO</t>
        </is>
      </c>
      <c r="K357" t="inlineStr">
        <is>
          <t>2026-02-27 20:47</t>
        </is>
      </c>
      <c r="L357" t="inlineStr">
        <is>
          <t>CHECK_VENDOR</t>
        </is>
      </c>
      <c r="M357" t="inlineStr">
        <is>
          <t>imagemagick imagemagick *</t>
        </is>
      </c>
      <c r="N357" t="inlineStr">
        <is>
          <t>P4</t>
        </is>
      </c>
      <c r="O357" t="inlineStr">
        <is>
          <t>CVE - IP enrichment n/a</t>
        </is>
      </c>
      <c r="P357" t="n">
        <v>0.0004</v>
      </c>
      <c r="Q357" t="n">
        <v>0.1198</v>
      </c>
      <c r="R357" t="inlineStr">
        <is>
          <t>T1190:Exploit Public-Facing Application</t>
        </is>
      </c>
      <c r="S357" t="n">
        <v>1</v>
      </c>
      <c r="T357" t="inlineStr">
        <is>
          <t>LOW (40%)</t>
        </is>
      </c>
      <c r="U357" t="inlineStr">
        <is>
          <t>UNLIKELY</t>
        </is>
      </c>
      <c r="V357" t="inlineStr">
        <is>
          <t>CHECK_VENDOR</t>
        </is>
      </c>
      <c r="W357" t="inlineStr">
        <is>
          <t>https://nvd.nist.gov/vuln/detail/CVE-2026-25988</t>
        </is>
      </c>
      <c r="X357" t="inlineStr">
        <is>
          <t>NONE</t>
        </is>
      </c>
      <c r="Y357" t="n">
        <v>0</v>
      </c>
      <c r="Z357" t="inlineStr"/>
      <c r="AA357" t="inlineStr">
        <is>
          <t>https://nvd.nist.gov/vuln/detail/CVE-2026-25988</t>
        </is>
      </c>
    </row>
    <row r="358">
      <c r="A358" t="inlineStr">
        <is>
          <t>CVE</t>
        </is>
      </c>
      <c r="B358" t="inlineStr">
        <is>
          <t>CVE-2026-3052</t>
        </is>
      </c>
      <c r="C358"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358" t="n">
        <v>6.3</v>
      </c>
      <c r="E358" t="inlineStr">
        <is>
          <t>MEDIUM</t>
        </is>
      </c>
      <c r="F358" t="n">
        <v>2</v>
      </c>
      <c r="G358" t="n">
        <v>2</v>
      </c>
      <c r="H358" t="inlineStr">
        <is>
          <t>MEDIUM</t>
        </is>
      </c>
      <c r="I358" t="n">
        <v>10.3</v>
      </c>
      <c r="J358" t="inlineStr">
        <is>
          <t>NO</t>
        </is>
      </c>
      <c r="K358" t="inlineStr">
        <is>
          <t>2026-02-27 20:47</t>
        </is>
      </c>
      <c r="L358" t="inlineStr">
        <is>
          <t>CHECK_VENDOR</t>
        </is>
      </c>
      <c r="M358" t="inlineStr">
        <is>
          <t>dinky dinky *</t>
        </is>
      </c>
      <c r="N358" t="inlineStr">
        <is>
          <t>P4</t>
        </is>
      </c>
      <c r="O358" t="inlineStr">
        <is>
          <t>CVE - IP enrichment n/a</t>
        </is>
      </c>
      <c r="P358" t="n">
        <v>0.0003</v>
      </c>
      <c r="Q358" t="n">
        <v>0.077</v>
      </c>
      <c r="R358" t="inlineStr">
        <is>
          <t>T1090:Proxy</t>
        </is>
      </c>
      <c r="S358" t="n">
        <v>1</v>
      </c>
      <c r="T358" t="inlineStr">
        <is>
          <t>LOW (40%)</t>
        </is>
      </c>
      <c r="U358" t="inlineStr">
        <is>
          <t>UNLIKELY</t>
        </is>
      </c>
      <c r="V358" t="inlineStr">
        <is>
          <t>CHECK_VENDOR</t>
        </is>
      </c>
      <c r="W358" t="inlineStr">
        <is>
          <t>https://nvd.nist.gov/vuln/detail/CVE-2026-3052</t>
        </is>
      </c>
      <c r="X358" t="inlineStr">
        <is>
          <t>NONE</t>
        </is>
      </c>
      <c r="Y358" t="n">
        <v>0</v>
      </c>
      <c r="Z358" t="inlineStr"/>
      <c r="AA358" t="inlineStr">
        <is>
          <t>https://nvd.nist.gov/vuln/detail/CVE-2026-3052</t>
        </is>
      </c>
    </row>
    <row r="359">
      <c r="A359" t="inlineStr">
        <is>
          <t>CVE</t>
        </is>
      </c>
      <c r="B359" t="inlineStr">
        <is>
          <t>CVE-2026-3053</t>
        </is>
      </c>
      <c r="C359"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359" t="n">
        <v>7.3</v>
      </c>
      <c r="E359" t="inlineStr">
        <is>
          <t>HIGH</t>
        </is>
      </c>
      <c r="F359" t="n">
        <v>2</v>
      </c>
      <c r="G359" t="n">
        <v>3</v>
      </c>
      <c r="H359" t="inlineStr">
        <is>
          <t>HIGH</t>
        </is>
      </c>
      <c r="I359" t="n">
        <v>13.3</v>
      </c>
      <c r="J359" t="inlineStr">
        <is>
          <t>NO</t>
        </is>
      </c>
      <c r="K359" t="inlineStr">
        <is>
          <t>2026-02-27 20:47</t>
        </is>
      </c>
      <c r="L359" t="inlineStr">
        <is>
          <t>CHECK_VENDOR</t>
        </is>
      </c>
      <c r="M359" t="inlineStr">
        <is>
          <t>dinky dinky *</t>
        </is>
      </c>
      <c r="N359" t="inlineStr">
        <is>
          <t>P3</t>
        </is>
      </c>
      <c r="O359" t="inlineStr">
        <is>
          <t>CVE - IP enrichment n/a</t>
        </is>
      </c>
      <c r="P359" t="n">
        <v>0.0011</v>
      </c>
      <c r="Q359" t="n">
        <v>0.2972</v>
      </c>
      <c r="R359" t="inlineStr">
        <is>
          <t>T1078:Valid Accounts | T1110:Brute Force | T1190:Exploit Public-Facing Application</t>
        </is>
      </c>
      <c r="S359" t="n">
        <v>1</v>
      </c>
      <c r="T359" t="inlineStr">
        <is>
          <t>LOW (40%)</t>
        </is>
      </c>
      <c r="U359" t="inlineStr">
        <is>
          <t>UNLIKELY</t>
        </is>
      </c>
      <c r="V359" t="inlineStr">
        <is>
          <t>CHECK_VENDOR</t>
        </is>
      </c>
      <c r="W359" t="inlineStr">
        <is>
          <t>https://nvd.nist.gov/vuln/detail/CVE-2026-3053</t>
        </is>
      </c>
      <c r="X359" t="inlineStr">
        <is>
          <t>NONE</t>
        </is>
      </c>
      <c r="Y359" t="n">
        <v>0</v>
      </c>
      <c r="Z359" t="inlineStr"/>
      <c r="AA359" t="inlineStr">
        <is>
          <t>https://nvd.nist.gov/vuln/detail/CVE-2026-3053</t>
        </is>
      </c>
    </row>
    <row r="360">
      <c r="A360" t="inlineStr">
        <is>
          <t>CVE</t>
        </is>
      </c>
      <c r="B360" t="inlineStr">
        <is>
          <t>CVE-2025-11847</t>
        </is>
      </c>
      <c r="C360"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360" t="n">
        <v>4.9</v>
      </c>
      <c r="E360" t="inlineStr">
        <is>
          <t>MEDIUM</t>
        </is>
      </c>
      <c r="F360" t="n">
        <v>2</v>
      </c>
      <c r="G360" t="n">
        <v>2</v>
      </c>
      <c r="H360" t="inlineStr">
        <is>
          <t>MEDIUM</t>
        </is>
      </c>
      <c r="I360" t="n">
        <v>8.9</v>
      </c>
      <c r="J360" t="inlineStr">
        <is>
          <t>NO</t>
        </is>
      </c>
      <c r="K360" t="inlineStr">
        <is>
          <t>2026-02-27 20:47</t>
        </is>
      </c>
      <c r="L360" t="inlineStr">
        <is>
          <t>YES</t>
        </is>
      </c>
      <c r="M360" t="inlineStr">
        <is>
          <t>zyxel dx4510-b0 - | zyxel wx3401-b1_firmware * | zyxel ex5401-b1_firmware *</t>
        </is>
      </c>
      <c r="N360" t="inlineStr">
        <is>
          <t>P4</t>
        </is>
      </c>
      <c r="O360" t="inlineStr">
        <is>
          <t>CVE - IP enrichment n/a</t>
        </is>
      </c>
      <c r="P360" t="n">
        <v>0.0005999999999999999</v>
      </c>
      <c r="Q360" t="n">
        <v>0.1941</v>
      </c>
      <c r="R360" t="inlineStr">
        <is>
          <t>T1499:Endpoint Denial of Service</t>
        </is>
      </c>
      <c r="S360" t="n">
        <v>1</v>
      </c>
      <c r="T360" t="inlineStr">
        <is>
          <t>LOW (40%)</t>
        </is>
      </c>
      <c r="U360" t="inlineStr">
        <is>
          <t>UNLIKELY</t>
        </is>
      </c>
      <c r="V360" t="inlineStr">
        <is>
          <t>PATCH_AVAILABLE</t>
        </is>
      </c>
      <c r="W360" t="inlineStr">
        <is>
          <t>https://nvd.nist.gov/vuln/detail/CVE-2025-11847</t>
        </is>
      </c>
      <c r="X360" t="inlineStr">
        <is>
          <t>NONE</t>
        </is>
      </c>
      <c r="Y360" t="n">
        <v>0</v>
      </c>
      <c r="Z360" t="inlineStr"/>
      <c r="AA360" t="inlineStr">
        <is>
          <t>https://nvd.nist.gov/vuln/detail/CVE-2025-11847</t>
        </is>
      </c>
    </row>
    <row r="361">
      <c r="A361" t="inlineStr">
        <is>
          <t>CVE</t>
        </is>
      </c>
      <c r="B361" t="inlineStr">
        <is>
          <t>CVE-2025-11848</t>
        </is>
      </c>
      <c r="C361"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361" t="n">
        <v>4.9</v>
      </c>
      <c r="E361" t="inlineStr">
        <is>
          <t>MEDIUM</t>
        </is>
      </c>
      <c r="F361" t="n">
        <v>2</v>
      </c>
      <c r="G361" t="n">
        <v>2</v>
      </c>
      <c r="H361" t="inlineStr">
        <is>
          <t>MEDIUM</t>
        </is>
      </c>
      <c r="I361" t="n">
        <v>8.9</v>
      </c>
      <c r="J361" t="inlineStr">
        <is>
          <t>NO</t>
        </is>
      </c>
      <c r="K361" t="inlineStr">
        <is>
          <t>2026-02-27 20:47</t>
        </is>
      </c>
      <c r="L361" t="inlineStr">
        <is>
          <t>YES</t>
        </is>
      </c>
      <c r="M361" t="inlineStr">
        <is>
          <t>zyxel dx4510-b0 - | zyxel wx3401-b1_firmware * | zyxel ex5401-b1_firmware *</t>
        </is>
      </c>
      <c r="N361" t="inlineStr">
        <is>
          <t>P4</t>
        </is>
      </c>
      <c r="O361" t="inlineStr">
        <is>
          <t>CVE - IP enrichment n/a</t>
        </is>
      </c>
      <c r="P361" t="n">
        <v>0.0005999999999999999</v>
      </c>
      <c r="Q361" t="n">
        <v>0.1941</v>
      </c>
      <c r="R361" t="inlineStr">
        <is>
          <t>T1499:Endpoint Denial of Service</t>
        </is>
      </c>
      <c r="S361" t="n">
        <v>1</v>
      </c>
      <c r="T361" t="inlineStr">
        <is>
          <t>LOW (40%)</t>
        </is>
      </c>
      <c r="U361" t="inlineStr">
        <is>
          <t>UNLIKELY</t>
        </is>
      </c>
      <c r="V361" t="inlineStr">
        <is>
          <t>PATCH_AVAILABLE</t>
        </is>
      </c>
      <c r="W361" t="inlineStr">
        <is>
          <t>https://nvd.nist.gov/vuln/detail/CVE-2025-11848</t>
        </is>
      </c>
      <c r="X361" t="inlineStr">
        <is>
          <t>NONE</t>
        </is>
      </c>
      <c r="Y361" t="n">
        <v>0</v>
      </c>
      <c r="Z361" t="inlineStr"/>
      <c r="AA361" t="inlineStr">
        <is>
          <t>https://nvd.nist.gov/vuln/detail/CVE-2025-11848</t>
        </is>
      </c>
    </row>
    <row r="362">
      <c r="A362" t="inlineStr">
        <is>
          <t>CVE</t>
        </is>
      </c>
      <c r="B362" t="inlineStr">
        <is>
          <t>CVE-2025-13942</t>
        </is>
      </c>
      <c r="C362"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362" t="n">
        <v>9.800000000000001</v>
      </c>
      <c r="E362" t="inlineStr">
        <is>
          <t>CRITICAL</t>
        </is>
      </c>
      <c r="F362" t="n">
        <v>2</v>
      </c>
      <c r="G362" t="n">
        <v>3</v>
      </c>
      <c r="H362" t="inlineStr">
        <is>
          <t>HIGH</t>
        </is>
      </c>
      <c r="I362" t="n">
        <v>15.8</v>
      </c>
      <c r="J362" t="inlineStr">
        <is>
          <t>NO</t>
        </is>
      </c>
      <c r="K362" t="inlineStr">
        <is>
          <t>2026-02-27 20:47</t>
        </is>
      </c>
      <c r="L362" t="inlineStr">
        <is>
          <t>YES</t>
        </is>
      </c>
      <c r="M362" t="inlineStr">
        <is>
          <t>zyxel dx4510-b0 - | zyxel nebula_nr7101_firmware * | zyxel vmg4927-b50a_firmware *</t>
        </is>
      </c>
      <c r="N362" t="inlineStr">
        <is>
          <t>P3</t>
        </is>
      </c>
      <c r="O362" t="inlineStr">
        <is>
          <t>CVE - IP enrichment n/a</t>
        </is>
      </c>
      <c r="P362" t="n">
        <v>0.0034</v>
      </c>
      <c r="Q362" t="n">
        <v>0.5631</v>
      </c>
      <c r="R362" t="inlineStr">
        <is>
          <t>T1059:Command and Scripting Interpreter</t>
        </is>
      </c>
      <c r="S362" t="n">
        <v>1</v>
      </c>
      <c r="T362" t="inlineStr">
        <is>
          <t>LOW (40%)</t>
        </is>
      </c>
      <c r="U362" t="inlineStr">
        <is>
          <t>UNLIKELY</t>
        </is>
      </c>
      <c r="V362" t="inlineStr">
        <is>
          <t>PATCH_AVAILABLE</t>
        </is>
      </c>
      <c r="W362" t="inlineStr">
        <is>
          <t>https://nvd.nist.gov/vuln/detail/CVE-2025-13942</t>
        </is>
      </c>
      <c r="X362" t="inlineStr">
        <is>
          <t>NONE</t>
        </is>
      </c>
      <c r="Y362" t="n">
        <v>0</v>
      </c>
      <c r="Z362" t="inlineStr"/>
      <c r="AA362" t="inlineStr">
        <is>
          <t>https://nvd.nist.gov/vuln/detail/CVE-2025-13942</t>
        </is>
      </c>
    </row>
    <row r="363">
      <c r="A363" t="inlineStr">
        <is>
          <t>CVE</t>
        </is>
      </c>
      <c r="B363" t="inlineStr">
        <is>
          <t>CVE-2025-13943</t>
        </is>
      </c>
      <c r="C363" t="inlineStr">
        <is>
          <t>A post-authentication command injection vulnerability in the log file download function of the Zyxel EX3301-T0 firmware versions through 5.50(ABVY.7)C0 could allow an authenticated attacker to execute operating system (OS) commands on an affected device.</t>
        </is>
      </c>
      <c r="D363" t="n">
        <v>8.800000000000001</v>
      </c>
      <c r="E363" t="inlineStr">
        <is>
          <t>HIGH</t>
        </is>
      </c>
      <c r="F363" t="n">
        <v>2</v>
      </c>
      <c r="G363" t="n">
        <v>3</v>
      </c>
      <c r="H363" t="inlineStr">
        <is>
          <t>HIGH</t>
        </is>
      </c>
      <c r="I363" t="n">
        <v>14.8</v>
      </c>
      <c r="J363" t="inlineStr">
        <is>
          <t>NO</t>
        </is>
      </c>
      <c r="K363" t="inlineStr">
        <is>
          <t>2026-02-27 20:47</t>
        </is>
      </c>
      <c r="L363" t="inlineStr">
        <is>
          <t>YES</t>
        </is>
      </c>
      <c r="M363" t="inlineStr">
        <is>
          <t>zyxel dx4510-b0 - | zyxel wx3401-b1_firmware * | zyxel ex5401-b1_firmware *</t>
        </is>
      </c>
      <c r="N363" t="inlineStr">
        <is>
          <t>P3</t>
        </is>
      </c>
      <c r="O363" t="inlineStr">
        <is>
          <t>CVE - IP enrichment n/a</t>
        </is>
      </c>
      <c r="P363" t="n">
        <v>0.0018</v>
      </c>
      <c r="Q363" t="n">
        <v>0.3939</v>
      </c>
      <c r="R363" t="inlineStr">
        <is>
          <t>T1059:Command and Scripting Interpreter</t>
        </is>
      </c>
      <c r="S363" t="n">
        <v>1</v>
      </c>
      <c r="T363" t="inlineStr">
        <is>
          <t>LOW (40%)</t>
        </is>
      </c>
      <c r="U363" t="inlineStr">
        <is>
          <t>UNLIKELY</t>
        </is>
      </c>
      <c r="V363" t="inlineStr">
        <is>
          <t>PATCH_AVAILABLE</t>
        </is>
      </c>
      <c r="W363" t="inlineStr">
        <is>
          <t>https://nvd.nist.gov/vuln/detail/CVE-2025-13943</t>
        </is>
      </c>
      <c r="X363" t="inlineStr">
        <is>
          <t>NONE</t>
        </is>
      </c>
      <c r="Y363" t="n">
        <v>0</v>
      </c>
      <c r="Z363" t="inlineStr"/>
      <c r="AA363" t="inlineStr">
        <is>
          <t>https://nvd.nist.gov/vuln/detail/CVE-2025-13943</t>
        </is>
      </c>
    </row>
    <row r="364">
      <c r="A364" t="inlineStr">
        <is>
          <t>CVE</t>
        </is>
      </c>
      <c r="B364" t="inlineStr">
        <is>
          <t>CVE-2026-1459</t>
        </is>
      </c>
      <c r="C364"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364" t="n">
        <v>7.2</v>
      </c>
      <c r="E364" t="inlineStr">
        <is>
          <t>HIGH</t>
        </is>
      </c>
      <c r="F364" t="n">
        <v>2</v>
      </c>
      <c r="G364" t="n">
        <v>3</v>
      </c>
      <c r="H364" t="inlineStr">
        <is>
          <t>HIGH</t>
        </is>
      </c>
      <c r="I364" t="n">
        <v>13.2</v>
      </c>
      <c r="J364" t="inlineStr">
        <is>
          <t>NO</t>
        </is>
      </c>
      <c r="K364" t="inlineStr">
        <is>
          <t>2026-02-27 20:47</t>
        </is>
      </c>
      <c r="L364" t="inlineStr">
        <is>
          <t>YES</t>
        </is>
      </c>
      <c r="M364" t="inlineStr">
        <is>
          <t>zyxel dx5401-b1 - | zyxel vmg3625-t50c - | zyxel vmg8623-t50b -</t>
        </is>
      </c>
      <c r="N364" t="inlineStr">
        <is>
          <t>P3</t>
        </is>
      </c>
      <c r="O364" t="inlineStr">
        <is>
          <t>CVE - IP enrichment n/a</t>
        </is>
      </c>
      <c r="P364" t="n">
        <v>0.0005999999999999999</v>
      </c>
      <c r="Q364" t="n">
        <v>0.1757</v>
      </c>
      <c r="R364" t="inlineStr">
        <is>
          <t>T1059:Command and Scripting Interpreter</t>
        </is>
      </c>
      <c r="S364" t="n">
        <v>1</v>
      </c>
      <c r="T364" t="inlineStr">
        <is>
          <t>LOW (40%)</t>
        </is>
      </c>
      <c r="U364" t="inlineStr">
        <is>
          <t>UNLIKELY</t>
        </is>
      </c>
      <c r="V364" t="inlineStr">
        <is>
          <t>PATCH_AVAILABLE</t>
        </is>
      </c>
      <c r="W364" t="inlineStr">
        <is>
          <t>https://nvd.nist.gov/vuln/detail/CVE-2026-1459</t>
        </is>
      </c>
      <c r="X364" t="inlineStr">
        <is>
          <t>NONE</t>
        </is>
      </c>
      <c r="Y364" t="n">
        <v>0</v>
      </c>
      <c r="Z364" t="inlineStr"/>
      <c r="AA364" t="inlineStr">
        <is>
          <t>https://nvd.nist.gov/vuln/detail/CVE-2026-1459</t>
        </is>
      </c>
    </row>
    <row r="365">
      <c r="A365" t="inlineStr">
        <is>
          <t>CVE</t>
        </is>
      </c>
      <c r="B365" t="inlineStr">
        <is>
          <t>CVE-2026-25989</t>
        </is>
      </c>
      <c r="C365"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365" t="n">
        <v>7.5</v>
      </c>
      <c r="E365" t="inlineStr">
        <is>
          <t>HIGH</t>
        </is>
      </c>
      <c r="F365" t="n">
        <v>2</v>
      </c>
      <c r="G365" t="n">
        <v>3</v>
      </c>
      <c r="H365" t="inlineStr">
        <is>
          <t>HIGH</t>
        </is>
      </c>
      <c r="I365" t="n">
        <v>13.5</v>
      </c>
      <c r="J365" t="inlineStr">
        <is>
          <t>NO</t>
        </is>
      </c>
      <c r="K365" t="inlineStr">
        <is>
          <t>2026-02-27 20:47</t>
        </is>
      </c>
      <c r="L365" t="inlineStr">
        <is>
          <t>YES</t>
        </is>
      </c>
      <c r="M365" t="inlineStr">
        <is>
          <t>imagemagick imagemagick *</t>
        </is>
      </c>
      <c r="N365" t="inlineStr">
        <is>
          <t>P3</t>
        </is>
      </c>
      <c r="O365" t="inlineStr">
        <is>
          <t>CVE - IP enrichment n/a</t>
        </is>
      </c>
      <c r="P365" t="n">
        <v>0.0004</v>
      </c>
      <c r="Q365" t="n">
        <v>0.1265</v>
      </c>
      <c r="R365" t="inlineStr">
        <is>
          <t>T1190:Exploit Public-Facing Application | T1499:Endpoint Denial of Service</t>
        </is>
      </c>
      <c r="S365" t="n">
        <v>1</v>
      </c>
      <c r="T365" t="inlineStr">
        <is>
          <t>LOW (40%)</t>
        </is>
      </c>
      <c r="U365" t="inlineStr">
        <is>
          <t>UNLIKELY</t>
        </is>
      </c>
      <c r="V365" t="inlineStr">
        <is>
          <t>PATCH_AVAILABLE</t>
        </is>
      </c>
      <c r="W365" t="inlineStr">
        <is>
          <t>https://nvd.nist.gov/vuln/detail/CVE-2026-25989</t>
        </is>
      </c>
      <c r="X365" t="inlineStr">
        <is>
          <t>NONE</t>
        </is>
      </c>
      <c r="Y365" t="n">
        <v>0</v>
      </c>
      <c r="Z365" t="inlineStr"/>
      <c r="AA365" t="inlineStr">
        <is>
          <t>https://nvd.nist.gov/vuln/detail/CVE-2026-25989</t>
        </is>
      </c>
    </row>
    <row r="366">
      <c r="A366" t="inlineStr">
        <is>
          <t>CVE</t>
        </is>
      </c>
      <c r="B366" t="inlineStr">
        <is>
          <t>CVE-2026-26066</t>
        </is>
      </c>
      <c r="C366"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366" t="n">
        <v>6.2</v>
      </c>
      <c r="E366" t="inlineStr">
        <is>
          <t>MEDIUM</t>
        </is>
      </c>
      <c r="F366" t="n">
        <v>2</v>
      </c>
      <c r="G366" t="n">
        <v>2</v>
      </c>
      <c r="H366" t="inlineStr">
        <is>
          <t>MEDIUM</t>
        </is>
      </c>
      <c r="I366" t="n">
        <v>10.2</v>
      </c>
      <c r="J366" t="inlineStr">
        <is>
          <t>NO</t>
        </is>
      </c>
      <c r="K366" t="inlineStr">
        <is>
          <t>2026-02-27 20:47</t>
        </is>
      </c>
      <c r="L366" t="inlineStr">
        <is>
          <t>CHECK_VENDOR</t>
        </is>
      </c>
      <c r="M366" t="inlineStr">
        <is>
          <t>imagemagick imagemagick *</t>
        </is>
      </c>
      <c r="N366" t="inlineStr">
        <is>
          <t>P4</t>
        </is>
      </c>
      <c r="O366" t="inlineStr">
        <is>
          <t>CVE - IP enrichment n/a</t>
        </is>
      </c>
      <c r="P366" t="n">
        <v>0.0003</v>
      </c>
      <c r="Q366" t="n">
        <v>0.08260000000000001</v>
      </c>
      <c r="R366" t="inlineStr">
        <is>
          <t>T1190:Exploit Public-Facing Application</t>
        </is>
      </c>
      <c r="S366" t="n">
        <v>1</v>
      </c>
      <c r="T366" t="inlineStr">
        <is>
          <t>LOW (40%)</t>
        </is>
      </c>
      <c r="U366" t="inlineStr">
        <is>
          <t>UNLIKELY</t>
        </is>
      </c>
      <c r="V366" t="inlineStr">
        <is>
          <t>CHECK_VENDOR</t>
        </is>
      </c>
      <c r="W366" t="inlineStr">
        <is>
          <t>https://nvd.nist.gov/vuln/detail/CVE-2026-26066</t>
        </is>
      </c>
      <c r="X366" t="inlineStr">
        <is>
          <t>NONE</t>
        </is>
      </c>
      <c r="Y366" t="n">
        <v>0</v>
      </c>
      <c r="Z366" t="inlineStr"/>
      <c r="AA366" t="inlineStr">
        <is>
          <t>https://nvd.nist.gov/vuln/detail/CVE-2026-26066</t>
        </is>
      </c>
    </row>
    <row r="367">
      <c r="A367" t="inlineStr">
        <is>
          <t>CVE</t>
        </is>
      </c>
      <c r="B367" t="inlineStr">
        <is>
          <t>CVE-2026-26198</t>
        </is>
      </c>
      <c r="C367"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367" t="n">
        <v>9.800000000000001</v>
      </c>
      <c r="E367" t="inlineStr">
        <is>
          <t>CRITICAL</t>
        </is>
      </c>
      <c r="F367" t="n">
        <v>2</v>
      </c>
      <c r="G367" t="n">
        <v>3</v>
      </c>
      <c r="H367" t="inlineStr">
        <is>
          <t>HIGH</t>
        </is>
      </c>
      <c r="I367" t="n">
        <v>15.8</v>
      </c>
      <c r="J367" t="inlineStr">
        <is>
          <t>NO</t>
        </is>
      </c>
      <c r="K367" t="inlineStr">
        <is>
          <t>2026-02-27 20:47</t>
        </is>
      </c>
      <c r="L367" t="inlineStr">
        <is>
          <t>YES</t>
        </is>
      </c>
      <c r="M367" t="inlineStr">
        <is>
          <t>collerek ormar *</t>
        </is>
      </c>
      <c r="N367" t="inlineStr">
        <is>
          <t>P3</t>
        </is>
      </c>
      <c r="O367" t="inlineStr">
        <is>
          <t>CVE - IP enrichment n/a</t>
        </is>
      </c>
      <c r="P367" t="n">
        <v>0.0003</v>
      </c>
      <c r="Q367" t="n">
        <v>0.0867</v>
      </c>
      <c r="R367" t="inlineStr">
        <is>
          <t>T1190:Exploit Public-Facing Application</t>
        </is>
      </c>
      <c r="S367" t="n">
        <v>1</v>
      </c>
      <c r="T367" t="inlineStr">
        <is>
          <t>LOW (40%)</t>
        </is>
      </c>
      <c r="U367" t="inlineStr">
        <is>
          <t>UNLIKELY</t>
        </is>
      </c>
      <c r="V367" t="inlineStr">
        <is>
          <t>PATCH_AVAILABLE</t>
        </is>
      </c>
      <c r="W367" t="inlineStr">
        <is>
          <t>https://nvd.nist.gov/vuln/detail/CVE-2026-26198</t>
        </is>
      </c>
      <c r="X367" t="inlineStr">
        <is>
          <t>NONE</t>
        </is>
      </c>
      <c r="Y367" t="n">
        <v>0</v>
      </c>
      <c r="Z367" t="inlineStr"/>
      <c r="AA367" t="inlineStr">
        <is>
          <t>https://nvd.nist.gov/vuln/detail/CVE-2026-26198</t>
        </is>
      </c>
    </row>
    <row r="368">
      <c r="A368" t="inlineStr">
        <is>
          <t>CVE</t>
        </is>
      </c>
      <c r="B368" t="inlineStr">
        <is>
          <t>CVE-2026-26283</t>
        </is>
      </c>
      <c r="C368"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368" t="n">
        <v>6.2</v>
      </c>
      <c r="E368" t="inlineStr">
        <is>
          <t>MEDIUM</t>
        </is>
      </c>
      <c r="F368" t="n">
        <v>2</v>
      </c>
      <c r="G368" t="n">
        <v>2</v>
      </c>
      <c r="H368" t="inlineStr">
        <is>
          <t>MEDIUM</t>
        </is>
      </c>
      <c r="I368" t="n">
        <v>10.2</v>
      </c>
      <c r="J368" t="inlineStr">
        <is>
          <t>NO</t>
        </is>
      </c>
      <c r="K368" t="inlineStr">
        <is>
          <t>2026-02-27 20:47</t>
        </is>
      </c>
      <c r="L368" t="inlineStr">
        <is>
          <t>YES</t>
        </is>
      </c>
      <c r="M368" t="inlineStr">
        <is>
          <t>imagemagick imagemagick *</t>
        </is>
      </c>
      <c r="N368" t="inlineStr">
        <is>
          <t>P4</t>
        </is>
      </c>
      <c r="O368" t="inlineStr">
        <is>
          <t>CVE - IP enrichment n/a</t>
        </is>
      </c>
      <c r="P368" t="n">
        <v>0.0003</v>
      </c>
      <c r="Q368" t="n">
        <v>0.0873</v>
      </c>
      <c r="R368" t="inlineStr">
        <is>
          <t>T1190:Exploit Public-Facing Application | T1499:Endpoint Denial of Service</t>
        </is>
      </c>
      <c r="S368" t="n">
        <v>1</v>
      </c>
      <c r="T368" t="inlineStr">
        <is>
          <t>LOW (40%)</t>
        </is>
      </c>
      <c r="U368" t="inlineStr">
        <is>
          <t>UNLIKELY</t>
        </is>
      </c>
      <c r="V368" t="inlineStr">
        <is>
          <t>PATCH_AVAILABLE</t>
        </is>
      </c>
      <c r="W368" t="inlineStr">
        <is>
          <t>https://nvd.nist.gov/vuln/detail/CVE-2026-26283</t>
        </is>
      </c>
      <c r="X368" t="inlineStr">
        <is>
          <t>NONE</t>
        </is>
      </c>
      <c r="Y368" t="n">
        <v>0</v>
      </c>
      <c r="Z368" t="inlineStr"/>
      <c r="AA368" t="inlineStr">
        <is>
          <t>https://nvd.nist.gov/vuln/detail/CVE-2026-26283</t>
        </is>
      </c>
    </row>
    <row r="369">
      <c r="A369" t="inlineStr">
        <is>
          <t>CVE</t>
        </is>
      </c>
      <c r="B369" t="inlineStr">
        <is>
          <t>CVE-2026-26284</t>
        </is>
      </c>
      <c r="C369"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369" t="n">
        <v>6.5</v>
      </c>
      <c r="E369" t="inlineStr">
        <is>
          <t>MEDIUM</t>
        </is>
      </c>
      <c r="F369" t="n">
        <v>2</v>
      </c>
      <c r="G369" t="n">
        <v>2</v>
      </c>
      <c r="H369" t="inlineStr">
        <is>
          <t>MEDIUM</t>
        </is>
      </c>
      <c r="I369" t="n">
        <v>10.5</v>
      </c>
      <c r="J369" t="inlineStr">
        <is>
          <t>NO</t>
        </is>
      </c>
      <c r="K369" t="inlineStr">
        <is>
          <t>2026-02-27 20:47</t>
        </is>
      </c>
      <c r="L369" t="inlineStr">
        <is>
          <t>YES</t>
        </is>
      </c>
      <c r="M369" t="inlineStr">
        <is>
          <t>imagemagick imagemagick *</t>
        </is>
      </c>
      <c r="N369" t="inlineStr">
        <is>
          <t>P4</t>
        </is>
      </c>
      <c r="O369" t="inlineStr">
        <is>
          <t>CVE - IP enrichment n/a</t>
        </is>
      </c>
      <c r="P369" t="n">
        <v>0.0004</v>
      </c>
      <c r="Q369" t="n">
        <v>0.1308</v>
      </c>
      <c r="R369" t="inlineStr">
        <is>
          <t>T1203:Exploitation for Client Execution | T1190:Exploit Public-Facing Application</t>
        </is>
      </c>
      <c r="S369" t="n">
        <v>1</v>
      </c>
      <c r="T369" t="inlineStr">
        <is>
          <t>LOW (40%)</t>
        </is>
      </c>
      <c r="U369" t="inlineStr">
        <is>
          <t>UNLIKELY</t>
        </is>
      </c>
      <c r="V369" t="inlineStr">
        <is>
          <t>PATCH_AVAILABLE</t>
        </is>
      </c>
      <c r="W369" t="inlineStr">
        <is>
          <t>https://nvd.nist.gov/vuln/detail/CVE-2026-26284</t>
        </is>
      </c>
      <c r="X369" t="inlineStr">
        <is>
          <t>NONE</t>
        </is>
      </c>
      <c r="Y369" t="n">
        <v>0</v>
      </c>
      <c r="Z369" t="inlineStr"/>
      <c r="AA369" t="inlineStr">
        <is>
          <t>https://nvd.nist.gov/vuln/detail/CVE-2026-26284</t>
        </is>
      </c>
    </row>
    <row r="370">
      <c r="A370" t="inlineStr">
        <is>
          <t>CVE</t>
        </is>
      </c>
      <c r="B370" t="inlineStr">
        <is>
          <t>CVE-2026-26331</t>
        </is>
      </c>
      <c r="C370"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370" t="n">
        <v>8.800000000000001</v>
      </c>
      <c r="E370" t="inlineStr">
        <is>
          <t>HIGH</t>
        </is>
      </c>
      <c r="F370" t="n">
        <v>2</v>
      </c>
      <c r="G370" t="n">
        <v>3</v>
      </c>
      <c r="H370" t="inlineStr">
        <is>
          <t>HIGH</t>
        </is>
      </c>
      <c r="I370" t="n">
        <v>14.8</v>
      </c>
      <c r="J370" t="inlineStr">
        <is>
          <t>NO</t>
        </is>
      </c>
      <c r="K370" t="inlineStr">
        <is>
          <t>2026-02-27 20:47</t>
        </is>
      </c>
      <c r="L370" t="inlineStr">
        <is>
          <t>YES</t>
        </is>
      </c>
      <c r="M370" t="inlineStr">
        <is>
          <t>yt-dlp_project yt-dlp *</t>
        </is>
      </c>
      <c r="N370" t="inlineStr">
        <is>
          <t>P3</t>
        </is>
      </c>
      <c r="O370" t="inlineStr">
        <is>
          <t>CVE - IP enrichment n/a</t>
        </is>
      </c>
      <c r="P370" t="n">
        <v>0.006</v>
      </c>
      <c r="Q370" t="n">
        <v>0.6918</v>
      </c>
      <c r="R370" t="inlineStr">
        <is>
          <t>T1059:Command and Scripting Interpreter</t>
        </is>
      </c>
      <c r="S370" t="n">
        <v>1</v>
      </c>
      <c r="T370" t="inlineStr">
        <is>
          <t>LOW (40%)</t>
        </is>
      </c>
      <c r="U370" t="inlineStr">
        <is>
          <t>UNLIKELY</t>
        </is>
      </c>
      <c r="V370" t="inlineStr">
        <is>
          <t>PATCH_AVAILABLE</t>
        </is>
      </c>
      <c r="W370" t="inlineStr">
        <is>
          <t>https://nvd.nist.gov/vuln/detail/CVE-2026-26331</t>
        </is>
      </c>
      <c r="X370" t="inlineStr">
        <is>
          <t>NONE</t>
        </is>
      </c>
      <c r="Y370" t="n">
        <v>0</v>
      </c>
      <c r="Z370" t="inlineStr"/>
      <c r="AA370" t="inlineStr">
        <is>
          <t>https://nvd.nist.gov/vuln/detail/CVE-2026-26331</t>
        </is>
      </c>
    </row>
    <row r="371">
      <c r="A371" t="inlineStr">
        <is>
          <t>CVE</t>
        </is>
      </c>
      <c r="B371" t="inlineStr">
        <is>
          <t>CVE-2026-26981</t>
        </is>
      </c>
      <c r="C371"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371" t="n">
        <v>6.5</v>
      </c>
      <c r="E371" t="inlineStr">
        <is>
          <t>MEDIUM</t>
        </is>
      </c>
      <c r="F371" t="n">
        <v>2</v>
      </c>
      <c r="G371" t="n">
        <v>2</v>
      </c>
      <c r="H371" t="inlineStr">
        <is>
          <t>MEDIUM</t>
        </is>
      </c>
      <c r="I371" t="n">
        <v>10.5</v>
      </c>
      <c r="J371" t="inlineStr">
        <is>
          <t>NO</t>
        </is>
      </c>
      <c r="K371" t="inlineStr">
        <is>
          <t>2026-02-27 20:47</t>
        </is>
      </c>
      <c r="L371" t="inlineStr">
        <is>
          <t>YES</t>
        </is>
      </c>
      <c r="M371" t="inlineStr">
        <is>
          <t>openexr openexr *</t>
        </is>
      </c>
      <c r="N371" t="inlineStr">
        <is>
          <t>P4</t>
        </is>
      </c>
      <c r="O371" t="inlineStr">
        <is>
          <t>CVE - IP enrichment n/a</t>
        </is>
      </c>
      <c r="P371" t="n">
        <v>0.0004</v>
      </c>
      <c r="Q371" t="n">
        <v>0.1241</v>
      </c>
      <c r="R371" t="inlineStr">
        <is>
          <t>T1190:Exploit Public-Facing Application</t>
        </is>
      </c>
      <c r="S371" t="n">
        <v>1</v>
      </c>
      <c r="T371" t="inlineStr">
        <is>
          <t>LOW (40%)</t>
        </is>
      </c>
      <c r="U371" t="inlineStr">
        <is>
          <t>UNLIKELY</t>
        </is>
      </c>
      <c r="V371" t="inlineStr">
        <is>
          <t>PATCH_AVAILABLE</t>
        </is>
      </c>
      <c r="W371" t="inlineStr">
        <is>
          <t>https://nvd.nist.gov/vuln/detail/CVE-2026-26981</t>
        </is>
      </c>
      <c r="X371" t="inlineStr">
        <is>
          <t>NONE</t>
        </is>
      </c>
      <c r="Y371" t="n">
        <v>0</v>
      </c>
      <c r="Z371" t="inlineStr"/>
      <c r="AA371" t="inlineStr">
        <is>
          <t>https://nvd.nist.gov/vuln/detail/CVE-2026-26981</t>
        </is>
      </c>
    </row>
    <row r="372">
      <c r="A372" t="inlineStr">
        <is>
          <t>CVE</t>
        </is>
      </c>
      <c r="B372" t="inlineStr">
        <is>
          <t>CVE-2026-26983</t>
        </is>
      </c>
      <c r="C372"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372" t="n">
        <v>5.3</v>
      </c>
      <c r="E372" t="inlineStr">
        <is>
          <t>MEDIUM</t>
        </is>
      </c>
      <c r="F372" t="n">
        <v>2</v>
      </c>
      <c r="G372" t="n">
        <v>2</v>
      </c>
      <c r="H372" t="inlineStr">
        <is>
          <t>MEDIUM</t>
        </is>
      </c>
      <c r="I372" t="n">
        <v>9.300000000000001</v>
      </c>
      <c r="J372" t="inlineStr">
        <is>
          <t>NO</t>
        </is>
      </c>
      <c r="K372" t="inlineStr">
        <is>
          <t>2026-02-27 20:47</t>
        </is>
      </c>
      <c r="L372" t="inlineStr">
        <is>
          <t>YES</t>
        </is>
      </c>
      <c r="M372" t="inlineStr">
        <is>
          <t>imagemagick imagemagick *</t>
        </is>
      </c>
      <c r="N372" t="inlineStr">
        <is>
          <t>P4</t>
        </is>
      </c>
      <c r="O372" t="inlineStr">
        <is>
          <t>CVE - IP enrichment n/a</t>
        </is>
      </c>
      <c r="P372" t="n">
        <v>0.0003</v>
      </c>
      <c r="Q372" t="n">
        <v>0.1018</v>
      </c>
      <c r="R372" t="inlineStr">
        <is>
          <t>T1499:Endpoint Denial of Service | T1203:Exploitation for Client Execution | T1190:Exploit Public-Facing Application</t>
        </is>
      </c>
      <c r="S372" t="n">
        <v>1</v>
      </c>
      <c r="T372" t="inlineStr">
        <is>
          <t>LOW (40%)</t>
        </is>
      </c>
      <c r="U372" t="inlineStr">
        <is>
          <t>UNLIKELY</t>
        </is>
      </c>
      <c r="V372" t="inlineStr">
        <is>
          <t>PATCH_AVAILABLE</t>
        </is>
      </c>
      <c r="W372" t="inlineStr">
        <is>
          <t>https://nvd.nist.gov/vuln/detail/CVE-2026-26983</t>
        </is>
      </c>
      <c r="X372" t="inlineStr">
        <is>
          <t>NONE</t>
        </is>
      </c>
      <c r="Y372" t="n">
        <v>0</v>
      </c>
      <c r="Z372" t="inlineStr"/>
      <c r="AA372" t="inlineStr">
        <is>
          <t>https://nvd.nist.gov/vuln/detail/CVE-2026-26983</t>
        </is>
      </c>
    </row>
    <row r="373">
      <c r="A373" t="inlineStr">
        <is>
          <t>CVE</t>
        </is>
      </c>
      <c r="B373" t="inlineStr">
        <is>
          <t>CVE-2026-27126</t>
        </is>
      </c>
      <c r="C373"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373" t="n">
        <v>5</v>
      </c>
      <c r="E373" t="inlineStr">
        <is>
          <t>MEDIUM</t>
        </is>
      </c>
      <c r="F373" t="n">
        <v>2</v>
      </c>
      <c r="G373" t="n">
        <v>2</v>
      </c>
      <c r="H373" t="inlineStr">
        <is>
          <t>MEDIUM</t>
        </is>
      </c>
      <c r="I373" t="n">
        <v>9</v>
      </c>
      <c r="J373" t="inlineStr">
        <is>
          <t>NO</t>
        </is>
      </c>
      <c r="K373" t="inlineStr">
        <is>
          <t>2026-02-27 20:47</t>
        </is>
      </c>
      <c r="L373" t="inlineStr">
        <is>
          <t>CHECK_VENDOR</t>
        </is>
      </c>
      <c r="M373" t="inlineStr">
        <is>
          <t>See CVE details</t>
        </is>
      </c>
      <c r="N373" t="inlineStr">
        <is>
          <t>P4</t>
        </is>
      </c>
      <c r="O373" t="inlineStr">
        <is>
          <t>CVE - IP enrichment n/a</t>
        </is>
      </c>
      <c r="P373" t="n">
        <v>0.0001</v>
      </c>
      <c r="Q373" t="n">
        <v>0.0315</v>
      </c>
      <c r="R373" t="inlineStr">
        <is>
          <t>T1189:Drive-by Compromise</t>
        </is>
      </c>
      <c r="S373" t="n">
        <v>1</v>
      </c>
      <c r="T373" t="inlineStr">
        <is>
          <t>LOW (40%)</t>
        </is>
      </c>
      <c r="U373" t="inlineStr">
        <is>
          <t>UNLIKELY</t>
        </is>
      </c>
      <c r="V373" t="inlineStr">
        <is>
          <t>CHECK_VENDOR</t>
        </is>
      </c>
      <c r="W373" t="inlineStr">
        <is>
          <t>https://nvd.nist.gov/vuln/detail/CVE-2026-27126</t>
        </is>
      </c>
      <c r="X373" t="inlineStr">
        <is>
          <t>NONE</t>
        </is>
      </c>
      <c r="Y373" t="n">
        <v>0</v>
      </c>
      <c r="Z373" t="inlineStr"/>
      <c r="AA373" t="inlineStr">
        <is>
          <t>https://nvd.nist.gov/vuln/detail/CVE-2026-27126</t>
        </is>
      </c>
    </row>
    <row r="374">
      <c r="A374" t="inlineStr">
        <is>
          <t>CVE</t>
        </is>
      </c>
      <c r="B374" t="inlineStr">
        <is>
          <t>CVE-2026-27127</t>
        </is>
      </c>
      <c r="C374"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374" t="n">
        <v>6.3</v>
      </c>
      <c r="E374" t="inlineStr">
        <is>
          <t>MEDIUM</t>
        </is>
      </c>
      <c r="F374" t="n">
        <v>2</v>
      </c>
      <c r="G374" t="n">
        <v>2</v>
      </c>
      <c r="H374" t="inlineStr">
        <is>
          <t>MEDIUM</t>
        </is>
      </c>
      <c r="I374" t="n">
        <v>10.3</v>
      </c>
      <c r="J374" t="inlineStr">
        <is>
          <t>NO</t>
        </is>
      </c>
      <c r="K374" t="inlineStr">
        <is>
          <t>2026-02-27 20:47</t>
        </is>
      </c>
      <c r="L374" t="inlineStr">
        <is>
          <t>YES</t>
        </is>
      </c>
      <c r="M374" t="inlineStr">
        <is>
          <t>craftcms craft_cms * | craftcms craft_cms 3.5.0</t>
        </is>
      </c>
      <c r="N374" t="inlineStr">
        <is>
          <t>P4</t>
        </is>
      </c>
      <c r="O374" t="inlineStr">
        <is>
          <t>CVE - IP enrichment n/a</t>
        </is>
      </c>
      <c r="P374" t="n">
        <v>0.0001</v>
      </c>
      <c r="Q374" t="n">
        <v>0.0102</v>
      </c>
      <c r="R374" t="inlineStr">
        <is>
          <t>T1090:Proxy</t>
        </is>
      </c>
      <c r="S374" t="n">
        <v>1</v>
      </c>
      <c r="T374" t="inlineStr">
        <is>
          <t>LOW (40%)</t>
        </is>
      </c>
      <c r="U374" t="inlineStr">
        <is>
          <t>UNLIKELY</t>
        </is>
      </c>
      <c r="V374" t="inlineStr">
        <is>
          <t>PATCH_AVAILABLE</t>
        </is>
      </c>
      <c r="W374" t="inlineStr">
        <is>
          <t>https://nvd.nist.gov/vuln/detail/CVE-2026-27127</t>
        </is>
      </c>
      <c r="X374" t="inlineStr">
        <is>
          <t>NONE</t>
        </is>
      </c>
      <c r="Y374" t="n">
        <v>0</v>
      </c>
      <c r="Z374" t="inlineStr"/>
      <c r="AA374" t="inlineStr">
        <is>
          <t>https://nvd.nist.gov/vuln/detail/CVE-2026-27127</t>
        </is>
      </c>
    </row>
    <row r="375">
      <c r="A375" t="inlineStr">
        <is>
          <t>CVE</t>
        </is>
      </c>
      <c r="B375" t="inlineStr">
        <is>
          <t>CVE-2026-27128</t>
        </is>
      </c>
      <c r="C375"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375" t="n">
        <v>5</v>
      </c>
      <c r="E375" t="inlineStr">
        <is>
          <t>MEDIUM</t>
        </is>
      </c>
      <c r="F375" t="n">
        <v>2</v>
      </c>
      <c r="G375" t="n">
        <v>2</v>
      </c>
      <c r="H375" t="inlineStr">
        <is>
          <t>MEDIUM</t>
        </is>
      </c>
      <c r="I375" t="n">
        <v>9</v>
      </c>
      <c r="J375" t="inlineStr">
        <is>
          <t>NO</t>
        </is>
      </c>
      <c r="K375" t="inlineStr">
        <is>
          <t>2026-02-27 20:47</t>
        </is>
      </c>
      <c r="L375" t="inlineStr">
        <is>
          <t>CHECK_VENDOR</t>
        </is>
      </c>
      <c r="M375" t="inlineStr">
        <is>
          <t>See CVE details</t>
        </is>
      </c>
      <c r="N375" t="inlineStr">
        <is>
          <t>P4</t>
        </is>
      </c>
      <c r="O375" t="inlineStr">
        <is>
          <t>CVE - IP enrichment n/a</t>
        </is>
      </c>
      <c r="P375" t="n">
        <v>0.0001</v>
      </c>
      <c r="Q375" t="n">
        <v>0.0081</v>
      </c>
      <c r="R375" t="inlineStr">
        <is>
          <t>T1068:Exploitation for Privilege Escalation</t>
        </is>
      </c>
      <c r="S375" t="n">
        <v>1</v>
      </c>
      <c r="T375" t="inlineStr">
        <is>
          <t>LOW (40%)</t>
        </is>
      </c>
      <c r="U375" t="inlineStr">
        <is>
          <t>UNLIKELY</t>
        </is>
      </c>
      <c r="V375" t="inlineStr">
        <is>
          <t>CHECK_VENDOR</t>
        </is>
      </c>
      <c r="W375" t="inlineStr">
        <is>
          <t>https://nvd.nist.gov/vuln/detail/CVE-2026-27128</t>
        </is>
      </c>
      <c r="X375" t="inlineStr">
        <is>
          <t>NONE</t>
        </is>
      </c>
      <c r="Y375" t="n">
        <v>0</v>
      </c>
      <c r="Z375" t="inlineStr"/>
      <c r="AA375" t="inlineStr">
        <is>
          <t>https://nvd.nist.gov/vuln/detail/CVE-2026-27128</t>
        </is>
      </c>
    </row>
    <row r="376">
      <c r="A376" t="inlineStr">
        <is>
          <t>CVE</t>
        </is>
      </c>
      <c r="B376" t="inlineStr">
        <is>
          <t>CVE-2026-27129</t>
        </is>
      </c>
      <c r="C376"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376" t="n">
        <v>5</v>
      </c>
      <c r="E376" t="inlineStr">
        <is>
          <t>MEDIUM</t>
        </is>
      </c>
      <c r="F376" t="n">
        <v>2</v>
      </c>
      <c r="G376" t="n">
        <v>2</v>
      </c>
      <c r="H376" t="inlineStr">
        <is>
          <t>MEDIUM</t>
        </is>
      </c>
      <c r="I376" t="n">
        <v>9</v>
      </c>
      <c r="J376" t="inlineStr">
        <is>
          <t>NO</t>
        </is>
      </c>
      <c r="K376" t="inlineStr">
        <is>
          <t>2026-02-27 20:47</t>
        </is>
      </c>
      <c r="L376" t="inlineStr">
        <is>
          <t>CHECK_VENDOR</t>
        </is>
      </c>
      <c r="M376" t="inlineStr">
        <is>
          <t>See CVE details</t>
        </is>
      </c>
      <c r="N376" t="inlineStr">
        <is>
          <t>P4</t>
        </is>
      </c>
      <c r="O376" t="inlineStr">
        <is>
          <t>CVE - IP enrichment n/a</t>
        </is>
      </c>
      <c r="P376" t="n">
        <v>0.0003</v>
      </c>
      <c r="Q376" t="n">
        <v>0.0829</v>
      </c>
      <c r="R376" t="inlineStr">
        <is>
          <t>T1090:Proxy</t>
        </is>
      </c>
      <c r="S376" t="n">
        <v>1</v>
      </c>
      <c r="T376" t="inlineStr">
        <is>
          <t>LOW (40%)</t>
        </is>
      </c>
      <c r="U376" t="inlineStr">
        <is>
          <t>UNLIKELY</t>
        </is>
      </c>
      <c r="V376" t="inlineStr">
        <is>
          <t>CHECK_VENDOR</t>
        </is>
      </c>
      <c r="W376" t="inlineStr">
        <is>
          <t>https://nvd.nist.gov/vuln/detail/CVE-2026-27129</t>
        </is>
      </c>
      <c r="X376" t="inlineStr">
        <is>
          <t>NONE</t>
        </is>
      </c>
      <c r="Y376" t="n">
        <v>0</v>
      </c>
      <c r="Z376" t="inlineStr"/>
      <c r="AA376" t="inlineStr">
        <is>
          <t>https://nvd.nist.gov/vuln/detail/CVE-2026-27129</t>
        </is>
      </c>
    </row>
    <row r="377">
      <c r="A377" t="inlineStr">
        <is>
          <t>CVE</t>
        </is>
      </c>
      <c r="B377" t="inlineStr">
        <is>
          <t>CVE-2026-3054</t>
        </is>
      </c>
      <c r="C377"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377" t="n">
        <v>4.3</v>
      </c>
      <c r="E377" t="inlineStr">
        <is>
          <t>MEDIUM</t>
        </is>
      </c>
      <c r="F377" t="n">
        <v>2</v>
      </c>
      <c r="G377" t="n">
        <v>2</v>
      </c>
      <c r="H377" t="inlineStr">
        <is>
          <t>MEDIUM</t>
        </is>
      </c>
      <c r="I377" t="n">
        <v>8.300000000000001</v>
      </c>
      <c r="J377" t="inlineStr">
        <is>
          <t>NO</t>
        </is>
      </c>
      <c r="K377" t="inlineStr">
        <is>
          <t>2026-02-27 20:47</t>
        </is>
      </c>
      <c r="L377" t="inlineStr">
        <is>
          <t>CHECK_VENDOR</t>
        </is>
      </c>
      <c r="M377" t="inlineStr">
        <is>
          <t>See CVE details</t>
        </is>
      </c>
      <c r="N377" t="inlineStr">
        <is>
          <t>P4</t>
        </is>
      </c>
      <c r="O377" t="inlineStr">
        <is>
          <t>CVE - IP enrichment n/a</t>
        </is>
      </c>
      <c r="P377" t="n">
        <v>0.0003</v>
      </c>
      <c r="Q377" t="n">
        <v>0.0789</v>
      </c>
      <c r="R377" t="inlineStr">
        <is>
          <t>T1189:Drive-by Compromise</t>
        </is>
      </c>
      <c r="S377" t="n">
        <v>1</v>
      </c>
      <c r="T377" t="inlineStr">
        <is>
          <t>LOW (40%)</t>
        </is>
      </c>
      <c r="U377" t="inlineStr">
        <is>
          <t>UNLIKELY</t>
        </is>
      </c>
      <c r="V377" t="inlineStr">
        <is>
          <t>CHECK_VENDOR</t>
        </is>
      </c>
      <c r="W377" t="inlineStr">
        <is>
          <t>https://nvd.nist.gov/vuln/detail/CVE-2026-3054</t>
        </is>
      </c>
      <c r="X377" t="inlineStr">
        <is>
          <t>NONE</t>
        </is>
      </c>
      <c r="Y377" t="n">
        <v>0</v>
      </c>
      <c r="Z377" t="inlineStr"/>
      <c r="AA377" t="inlineStr">
        <is>
          <t>https://nvd.nist.gov/vuln/detail/CVE-2026-3054</t>
        </is>
      </c>
    </row>
    <row r="378">
      <c r="A378" t="inlineStr">
        <is>
          <t>CVE</t>
        </is>
      </c>
      <c r="B378" t="inlineStr">
        <is>
          <t>CVE-2026-3057</t>
        </is>
      </c>
      <c r="C378"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378" t="n">
        <v>6.3</v>
      </c>
      <c r="E378" t="inlineStr">
        <is>
          <t>MEDIUM</t>
        </is>
      </c>
      <c r="F378" t="n">
        <v>2</v>
      </c>
      <c r="G378" t="n">
        <v>2</v>
      </c>
      <c r="H378" t="inlineStr">
        <is>
          <t>MEDIUM</t>
        </is>
      </c>
      <c r="I378" t="n">
        <v>10.3</v>
      </c>
      <c r="J378" t="inlineStr">
        <is>
          <t>NO</t>
        </is>
      </c>
      <c r="K378" t="inlineStr">
        <is>
          <t>2026-02-27 20:47</t>
        </is>
      </c>
      <c r="L378" t="inlineStr">
        <is>
          <t>CHECK_VENDOR</t>
        </is>
      </c>
      <c r="M378" t="inlineStr">
        <is>
          <t>See CVE details</t>
        </is>
      </c>
      <c r="N378" t="inlineStr">
        <is>
          <t>P4</t>
        </is>
      </c>
      <c r="O378" t="inlineStr">
        <is>
          <t>CVE - IP enrichment n/a</t>
        </is>
      </c>
      <c r="P378" t="n">
        <v>0.0003</v>
      </c>
      <c r="Q378" t="n">
        <v>0.0769</v>
      </c>
      <c r="R378" t="inlineStr">
        <is>
          <t>T1190:Exploit Public-Facing Application</t>
        </is>
      </c>
      <c r="S378" t="n">
        <v>1</v>
      </c>
      <c r="T378" t="inlineStr">
        <is>
          <t>LOW (40%)</t>
        </is>
      </c>
      <c r="U378" t="inlineStr">
        <is>
          <t>UNLIKELY</t>
        </is>
      </c>
      <c r="V378" t="inlineStr">
        <is>
          <t>CHECK_VENDOR</t>
        </is>
      </c>
      <c r="W378" t="inlineStr">
        <is>
          <t>https://nvd.nist.gov/vuln/detail/CVE-2026-3057</t>
        </is>
      </c>
      <c r="X378" t="inlineStr">
        <is>
          <t>NONE</t>
        </is>
      </c>
      <c r="Y378" t="n">
        <v>0</v>
      </c>
      <c r="Z378" t="inlineStr"/>
      <c r="AA378" t="inlineStr">
        <is>
          <t>https://nvd.nist.gov/vuln/detail/CVE-2026-3057</t>
        </is>
      </c>
    </row>
    <row r="379">
      <c r="A379" t="inlineStr">
        <is>
          <t>CVE</t>
        </is>
      </c>
      <c r="B379" t="inlineStr">
        <is>
          <t>CVE-2026-3064</t>
        </is>
      </c>
      <c r="C379"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379" t="n">
        <v>6.3</v>
      </c>
      <c r="E379" t="inlineStr">
        <is>
          <t>MEDIUM</t>
        </is>
      </c>
      <c r="F379" t="n">
        <v>2</v>
      </c>
      <c r="G379" t="n">
        <v>2</v>
      </c>
      <c r="H379" t="inlineStr">
        <is>
          <t>MEDIUM</t>
        </is>
      </c>
      <c r="I379" t="n">
        <v>10.3</v>
      </c>
      <c r="J379" t="inlineStr">
        <is>
          <t>NO</t>
        </is>
      </c>
      <c r="K379" t="inlineStr">
        <is>
          <t>2026-02-27 20:47</t>
        </is>
      </c>
      <c r="L379" t="inlineStr">
        <is>
          <t>YES</t>
        </is>
      </c>
      <c r="M379" t="inlineStr">
        <is>
          <t>hummerrisk hummerrisk *</t>
        </is>
      </c>
      <c r="N379" t="inlineStr">
        <is>
          <t>P4</t>
        </is>
      </c>
      <c r="O379" t="inlineStr">
        <is>
          <t>CVE - IP enrichment n/a</t>
        </is>
      </c>
      <c r="P379" t="n">
        <v>0.0031</v>
      </c>
      <c r="Q379" t="n">
        <v>0.5342</v>
      </c>
      <c r="R379" t="inlineStr">
        <is>
          <t>T1059:Command and Scripting Interpreter | T1190:Exploit Public-Facing Application</t>
        </is>
      </c>
      <c r="S379" t="n">
        <v>1</v>
      </c>
      <c r="T379" t="inlineStr">
        <is>
          <t>LOW (40%)</t>
        </is>
      </c>
      <c r="U379" t="inlineStr">
        <is>
          <t>UNLIKELY</t>
        </is>
      </c>
      <c r="V379" t="inlineStr">
        <is>
          <t>PATCH_AVAILABLE</t>
        </is>
      </c>
      <c r="W379" t="inlineStr">
        <is>
          <t>https://nvd.nist.gov/vuln/detail/CVE-2026-3064</t>
        </is>
      </c>
      <c r="X379" t="inlineStr">
        <is>
          <t>NONE</t>
        </is>
      </c>
      <c r="Y379" t="n">
        <v>0</v>
      </c>
      <c r="Z379" t="inlineStr"/>
      <c r="AA379" t="inlineStr">
        <is>
          <t>https://nvd.nist.gov/vuln/detail/CVE-2026-3064</t>
        </is>
      </c>
    </row>
    <row r="380">
      <c r="A380" t="inlineStr">
        <is>
          <t>CVE</t>
        </is>
      </c>
      <c r="B380" t="inlineStr">
        <is>
          <t>CVE-2026-3065</t>
        </is>
      </c>
      <c r="C380"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380" t="n">
        <v>6.3</v>
      </c>
      <c r="E380" t="inlineStr">
        <is>
          <t>MEDIUM</t>
        </is>
      </c>
      <c r="F380" t="n">
        <v>2</v>
      </c>
      <c r="G380" t="n">
        <v>2</v>
      </c>
      <c r="H380" t="inlineStr">
        <is>
          <t>MEDIUM</t>
        </is>
      </c>
      <c r="I380" t="n">
        <v>10.3</v>
      </c>
      <c r="J380" t="inlineStr">
        <is>
          <t>NO</t>
        </is>
      </c>
      <c r="K380" t="inlineStr">
        <is>
          <t>2026-02-27 20:47</t>
        </is>
      </c>
      <c r="L380" t="inlineStr">
        <is>
          <t>YES</t>
        </is>
      </c>
      <c r="M380" t="inlineStr">
        <is>
          <t>hummerrisk hummerrisk *</t>
        </is>
      </c>
      <c r="N380" t="inlineStr">
        <is>
          <t>P4</t>
        </is>
      </c>
      <c r="O380" t="inlineStr">
        <is>
          <t>CVE - IP enrichment n/a</t>
        </is>
      </c>
      <c r="P380" t="n">
        <v>0.0031</v>
      </c>
      <c r="Q380" t="n">
        <v>0.5342</v>
      </c>
      <c r="R380" t="inlineStr">
        <is>
          <t>T1059:Command and Scripting Interpreter</t>
        </is>
      </c>
      <c r="S380" t="n">
        <v>1</v>
      </c>
      <c r="T380" t="inlineStr">
        <is>
          <t>LOW (40%)</t>
        </is>
      </c>
      <c r="U380" t="inlineStr">
        <is>
          <t>UNLIKELY</t>
        </is>
      </c>
      <c r="V380" t="inlineStr">
        <is>
          <t>PATCH_AVAILABLE</t>
        </is>
      </c>
      <c r="W380" t="inlineStr">
        <is>
          <t>https://nvd.nist.gov/vuln/detail/CVE-2026-3065</t>
        </is>
      </c>
      <c r="X380" t="inlineStr">
        <is>
          <t>NONE</t>
        </is>
      </c>
      <c r="Y380" t="n">
        <v>0</v>
      </c>
      <c r="Z380" t="inlineStr"/>
      <c r="AA380" t="inlineStr">
        <is>
          <t>https://nvd.nist.gov/vuln/detail/CVE-2026-3065</t>
        </is>
      </c>
    </row>
    <row r="381">
      <c r="A381" t="inlineStr">
        <is>
          <t>CVE</t>
        </is>
      </c>
      <c r="B381" t="inlineStr">
        <is>
          <t>CVE-2026-3091</t>
        </is>
      </c>
      <c r="C381" t="inlineStr">
        <is>
          <t>An uncontrolled search path element vulnerability in Synology Presto Client before 2.1.3-0672 allows local users to read or write arbitrary files during installation by placing a malicious DLL in advance in the same directory as the installer.</t>
        </is>
      </c>
      <c r="D381" t="n">
        <v>6.7</v>
      </c>
      <c r="E381" t="inlineStr">
        <is>
          <t>MEDIUM</t>
        </is>
      </c>
      <c r="F381" t="n">
        <v>2</v>
      </c>
      <c r="G381" t="n">
        <v>2</v>
      </c>
      <c r="H381" t="inlineStr">
        <is>
          <t>MEDIUM</t>
        </is>
      </c>
      <c r="I381" t="n">
        <v>10.7</v>
      </c>
      <c r="J381" t="inlineStr">
        <is>
          <t>NO</t>
        </is>
      </c>
      <c r="K381" t="inlineStr">
        <is>
          <t>2026-02-27 20:47</t>
        </is>
      </c>
      <c r="L381" t="inlineStr">
        <is>
          <t>CHECK_VENDOR</t>
        </is>
      </c>
      <c r="M381" t="inlineStr">
        <is>
          <t>See CVE details</t>
        </is>
      </c>
      <c r="N381" t="inlineStr">
        <is>
          <t>P4</t>
        </is>
      </c>
      <c r="O381" t="inlineStr">
        <is>
          <t>CVE - IP enrichment n/a</t>
        </is>
      </c>
      <c r="P381" t="n">
        <v>0.0001</v>
      </c>
      <c r="Q381" t="n">
        <v>0.018</v>
      </c>
      <c r="R381" t="inlineStr">
        <is>
          <t>T1190:Exploit Public-Facing Application</t>
        </is>
      </c>
      <c r="S381" t="n">
        <v>1</v>
      </c>
      <c r="T381" t="inlineStr">
        <is>
          <t>LOW (40%)</t>
        </is>
      </c>
      <c r="U381" t="inlineStr">
        <is>
          <t>UNLIKELY</t>
        </is>
      </c>
      <c r="V381" t="inlineStr">
        <is>
          <t>CHECK_VENDOR</t>
        </is>
      </c>
      <c r="W381" t="inlineStr">
        <is>
          <t>https://nvd.nist.gov/vuln/detail/CVE-2026-3091</t>
        </is>
      </c>
      <c r="X381" t="inlineStr">
        <is>
          <t>NONE</t>
        </is>
      </c>
      <c r="Y381" t="n">
        <v>0</v>
      </c>
      <c r="Z381" t="inlineStr"/>
      <c r="AA381" t="inlineStr">
        <is>
          <t>https://nvd.nist.gov/vuln/detail/CVE-2026-3091</t>
        </is>
      </c>
    </row>
    <row r="382">
      <c r="A382" t="inlineStr">
        <is>
          <t>CVE</t>
        </is>
      </c>
      <c r="B382" t="inlineStr">
        <is>
          <t>CVE-2026-27461</t>
        </is>
      </c>
      <c r="C382"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382" t="n">
        <v>4.9</v>
      </c>
      <c r="E382" t="inlineStr">
        <is>
          <t>MEDIUM</t>
        </is>
      </c>
      <c r="F382" t="n">
        <v>2</v>
      </c>
      <c r="G382" t="n">
        <v>2</v>
      </c>
      <c r="H382" t="inlineStr">
        <is>
          <t>MEDIUM</t>
        </is>
      </c>
      <c r="I382" t="n">
        <v>8.9</v>
      </c>
      <c r="J382" t="inlineStr">
        <is>
          <t>NO</t>
        </is>
      </c>
      <c r="K382" t="inlineStr">
        <is>
          <t>2026-02-27 20:47</t>
        </is>
      </c>
      <c r="L382" t="inlineStr">
        <is>
          <t>YES</t>
        </is>
      </c>
      <c r="M382" t="inlineStr">
        <is>
          <t>pimcore pimcore *</t>
        </is>
      </c>
      <c r="N382" t="inlineStr">
        <is>
          <t>P4</t>
        </is>
      </c>
      <c r="O382" t="inlineStr">
        <is>
          <t>CVE - IP enrichment n/a</t>
        </is>
      </c>
      <c r="P382" t="n">
        <v>0.0003</v>
      </c>
      <c r="Q382" t="n">
        <v>0.0751</v>
      </c>
      <c r="R382" t="inlineStr">
        <is>
          <t>T1190:Exploit Public-Facing Application</t>
        </is>
      </c>
      <c r="S382" t="n">
        <v>1</v>
      </c>
      <c r="T382" t="inlineStr">
        <is>
          <t>LOW (40%)</t>
        </is>
      </c>
      <c r="U382" t="inlineStr">
        <is>
          <t>UNLIKELY</t>
        </is>
      </c>
      <c r="V382" t="inlineStr">
        <is>
          <t>PATCH_AVAILABLE</t>
        </is>
      </c>
      <c r="W382" t="inlineStr">
        <is>
          <t>https://nvd.nist.gov/vuln/detail/CVE-2026-27461</t>
        </is>
      </c>
      <c r="X382" t="inlineStr">
        <is>
          <t>NONE</t>
        </is>
      </c>
      <c r="Y382" t="n">
        <v>0</v>
      </c>
      <c r="Z382" t="inlineStr"/>
      <c r="AA382" t="inlineStr">
        <is>
          <t>https://nvd.nist.gov/vuln/detail/CVE-2026-27461</t>
        </is>
      </c>
    </row>
    <row r="383">
      <c r="A383" t="inlineStr">
        <is>
          <t>CVE</t>
        </is>
      </c>
      <c r="B383" t="inlineStr">
        <is>
          <t>CVE-2026-3066</t>
        </is>
      </c>
      <c r="C383"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383" t="n">
        <v>6.3</v>
      </c>
      <c r="E383" t="inlineStr">
        <is>
          <t>MEDIUM</t>
        </is>
      </c>
      <c r="F383" t="n">
        <v>2</v>
      </c>
      <c r="G383" t="n">
        <v>2</v>
      </c>
      <c r="H383" t="inlineStr">
        <is>
          <t>MEDIUM</t>
        </is>
      </c>
      <c r="I383" t="n">
        <v>10.3</v>
      </c>
      <c r="J383" t="inlineStr">
        <is>
          <t>NO</t>
        </is>
      </c>
      <c r="K383" t="inlineStr">
        <is>
          <t>2026-02-27 20:47</t>
        </is>
      </c>
      <c r="L383" t="inlineStr">
        <is>
          <t>YES</t>
        </is>
      </c>
      <c r="M383" t="inlineStr">
        <is>
          <t>hummerrisk hummerrisk *</t>
        </is>
      </c>
      <c r="N383" t="inlineStr">
        <is>
          <t>P4</t>
        </is>
      </c>
      <c r="O383" t="inlineStr">
        <is>
          <t>CVE - IP enrichment n/a</t>
        </is>
      </c>
      <c r="P383" t="n">
        <v>0.0031</v>
      </c>
      <c r="Q383" t="n">
        <v>0.5342</v>
      </c>
      <c r="R383" t="inlineStr">
        <is>
          <t>T1059:Command and Scripting Interpreter</t>
        </is>
      </c>
      <c r="S383" t="n">
        <v>1</v>
      </c>
      <c r="T383" t="inlineStr">
        <is>
          <t>LOW (40%)</t>
        </is>
      </c>
      <c r="U383" t="inlineStr">
        <is>
          <t>UNLIKELY</t>
        </is>
      </c>
      <c r="V383" t="inlineStr">
        <is>
          <t>PATCH_AVAILABLE</t>
        </is>
      </c>
      <c r="W383" t="inlineStr">
        <is>
          <t>https://nvd.nist.gov/vuln/detail/CVE-2026-3066</t>
        </is>
      </c>
      <c r="X383" t="inlineStr">
        <is>
          <t>NONE</t>
        </is>
      </c>
      <c r="Y383" t="n">
        <v>0</v>
      </c>
      <c r="Z383" t="inlineStr"/>
      <c r="AA383" t="inlineStr">
        <is>
          <t>https://nvd.nist.gov/vuln/detail/CVE-2026-3066</t>
        </is>
      </c>
    </row>
    <row r="384">
      <c r="A384" t="inlineStr">
        <is>
          <t>CVE</t>
        </is>
      </c>
      <c r="B384" t="inlineStr">
        <is>
          <t>CVE-2026-3067</t>
        </is>
      </c>
      <c r="C384"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384" t="n">
        <v>6.3</v>
      </c>
      <c r="E384" t="inlineStr">
        <is>
          <t>MEDIUM</t>
        </is>
      </c>
      <c r="F384" t="n">
        <v>2</v>
      </c>
      <c r="G384" t="n">
        <v>2</v>
      </c>
      <c r="H384" t="inlineStr">
        <is>
          <t>MEDIUM</t>
        </is>
      </c>
      <c r="I384" t="n">
        <v>10.3</v>
      </c>
      <c r="J384" t="inlineStr">
        <is>
          <t>NO</t>
        </is>
      </c>
      <c r="K384" t="inlineStr">
        <is>
          <t>2026-02-27 20:47</t>
        </is>
      </c>
      <c r="L384" t="inlineStr">
        <is>
          <t>CHECK_VENDOR</t>
        </is>
      </c>
      <c r="M384" t="inlineStr">
        <is>
          <t>hummerrisk hummerrisk *</t>
        </is>
      </c>
      <c r="N384" t="inlineStr">
        <is>
          <t>P4</t>
        </is>
      </c>
      <c r="O384" t="inlineStr">
        <is>
          <t>CVE - IP enrichment n/a</t>
        </is>
      </c>
      <c r="P384" t="n">
        <v>0.0008</v>
      </c>
      <c r="Q384" t="n">
        <v>0.2309</v>
      </c>
      <c r="R384" t="inlineStr">
        <is>
          <t>T1083:File and Directory Discovery</t>
        </is>
      </c>
      <c r="S384" t="n">
        <v>1</v>
      </c>
      <c r="T384" t="inlineStr">
        <is>
          <t>LOW (40%)</t>
        </is>
      </c>
      <c r="U384" t="inlineStr">
        <is>
          <t>UNLIKELY</t>
        </is>
      </c>
      <c r="V384" t="inlineStr">
        <is>
          <t>CHECK_VENDOR</t>
        </is>
      </c>
      <c r="W384" t="inlineStr">
        <is>
          <t>https://nvd.nist.gov/vuln/detail/CVE-2026-3067</t>
        </is>
      </c>
      <c r="X384" t="inlineStr">
        <is>
          <t>NONE</t>
        </is>
      </c>
      <c r="Y384" t="n">
        <v>0</v>
      </c>
      <c r="Z384" t="inlineStr"/>
      <c r="AA384" t="inlineStr">
        <is>
          <t>https://nvd.nist.gov/vuln/detail/CVE-2026-3067</t>
        </is>
      </c>
    </row>
    <row r="385">
      <c r="A385" t="inlineStr">
        <is>
          <t>CVE</t>
        </is>
      </c>
      <c r="B385" t="inlineStr">
        <is>
          <t>CVE-2026-3068</t>
        </is>
      </c>
      <c r="C385"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385" t="n">
        <v>7.3</v>
      </c>
      <c r="E385" t="inlineStr">
        <is>
          <t>HIGH</t>
        </is>
      </c>
      <c r="F385" t="n">
        <v>2</v>
      </c>
      <c r="G385" t="n">
        <v>3</v>
      </c>
      <c r="H385" t="inlineStr">
        <is>
          <t>HIGH</t>
        </is>
      </c>
      <c r="I385" t="n">
        <v>13.3</v>
      </c>
      <c r="J385" t="inlineStr">
        <is>
          <t>NO</t>
        </is>
      </c>
      <c r="K385" t="inlineStr">
        <is>
          <t>2026-02-27 20:47</t>
        </is>
      </c>
      <c r="L385" t="inlineStr">
        <is>
          <t>YES</t>
        </is>
      </c>
      <c r="M385" t="inlineStr">
        <is>
          <t>admerc document_management_system 1.0</t>
        </is>
      </c>
      <c r="N385" t="inlineStr">
        <is>
          <t>P3</t>
        </is>
      </c>
      <c r="O385" t="inlineStr">
        <is>
          <t>CVE - IP enrichment n/a</t>
        </is>
      </c>
      <c r="P385" t="n">
        <v>0.0003</v>
      </c>
      <c r="Q385" t="n">
        <v>0.0711</v>
      </c>
      <c r="R385" t="inlineStr">
        <is>
          <t>T1190:Exploit Public-Facing Application</t>
        </is>
      </c>
      <c r="S385" t="n">
        <v>1</v>
      </c>
      <c r="T385" t="inlineStr">
        <is>
          <t>LOW (40%)</t>
        </is>
      </c>
      <c r="U385" t="inlineStr">
        <is>
          <t>UNLIKELY</t>
        </is>
      </c>
      <c r="V385" t="inlineStr">
        <is>
          <t>PATCH_AVAILABLE</t>
        </is>
      </c>
      <c r="W385" t="inlineStr">
        <is>
          <t>https://nvd.nist.gov/vuln/detail/CVE-2026-3068</t>
        </is>
      </c>
      <c r="X385" t="inlineStr">
        <is>
          <t>NONE</t>
        </is>
      </c>
      <c r="Y385" t="n">
        <v>0</v>
      </c>
      <c r="Z385" t="inlineStr"/>
      <c r="AA385" t="inlineStr">
        <is>
          <t>https://nvd.nist.gov/vuln/detail/CVE-2026-3068</t>
        </is>
      </c>
    </row>
    <row r="386">
      <c r="A386" t="inlineStr">
        <is>
          <t>CVE</t>
        </is>
      </c>
      <c r="B386" t="inlineStr">
        <is>
          <t>CVE-2026-3069</t>
        </is>
      </c>
      <c r="C386"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386" t="n">
        <v>7.3</v>
      </c>
      <c r="E386" t="inlineStr">
        <is>
          <t>HIGH</t>
        </is>
      </c>
      <c r="F386" t="n">
        <v>2</v>
      </c>
      <c r="G386" t="n">
        <v>3</v>
      </c>
      <c r="H386" t="inlineStr">
        <is>
          <t>HIGH</t>
        </is>
      </c>
      <c r="I386" t="n">
        <v>13.3</v>
      </c>
      <c r="J386" t="inlineStr">
        <is>
          <t>NO</t>
        </is>
      </c>
      <c r="K386" t="inlineStr">
        <is>
          <t>2026-02-27 20:47</t>
        </is>
      </c>
      <c r="L386" t="inlineStr">
        <is>
          <t>YES</t>
        </is>
      </c>
      <c r="M386" t="inlineStr">
        <is>
          <t>admerc document_management_system 1.0</t>
        </is>
      </c>
      <c r="N386" t="inlineStr">
        <is>
          <t>P3</t>
        </is>
      </c>
      <c r="O386" t="inlineStr">
        <is>
          <t>CVE - IP enrichment n/a</t>
        </is>
      </c>
      <c r="P386" t="n">
        <v>0.0003</v>
      </c>
      <c r="Q386" t="n">
        <v>0.0711</v>
      </c>
      <c r="R386" t="inlineStr">
        <is>
          <t>T1190:Exploit Public-Facing Application</t>
        </is>
      </c>
      <c r="S386" t="n">
        <v>1</v>
      </c>
      <c r="T386" t="inlineStr">
        <is>
          <t>LOW (40%)</t>
        </is>
      </c>
      <c r="U386" t="inlineStr">
        <is>
          <t>UNLIKELY</t>
        </is>
      </c>
      <c r="V386" t="inlineStr">
        <is>
          <t>PATCH_AVAILABLE</t>
        </is>
      </c>
      <c r="W386" t="inlineStr">
        <is>
          <t>https://nvd.nist.gov/vuln/detail/CVE-2026-3069</t>
        </is>
      </c>
      <c r="X386" t="inlineStr">
        <is>
          <t>NONE</t>
        </is>
      </c>
      <c r="Y386" t="n">
        <v>0</v>
      </c>
      <c r="Z386" t="inlineStr"/>
      <c r="AA386" t="inlineStr">
        <is>
          <t>https://nvd.nist.gov/vuln/detail/CVE-2026-3069</t>
        </is>
      </c>
    </row>
    <row r="387">
      <c r="A387" t="inlineStr">
        <is>
          <t>CVE</t>
        </is>
      </c>
      <c r="B387" t="inlineStr">
        <is>
          <t>CVE-2026-3070</t>
        </is>
      </c>
      <c r="C387"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387" t="n">
        <v>4.3</v>
      </c>
      <c r="E387" t="inlineStr">
        <is>
          <t>MEDIUM</t>
        </is>
      </c>
      <c r="F387" t="n">
        <v>2</v>
      </c>
      <c r="G387" t="n">
        <v>2</v>
      </c>
      <c r="H387" t="inlineStr">
        <is>
          <t>MEDIUM</t>
        </is>
      </c>
      <c r="I387" t="n">
        <v>8.300000000000001</v>
      </c>
      <c r="J387" t="inlineStr">
        <is>
          <t>NO</t>
        </is>
      </c>
      <c r="K387" t="inlineStr">
        <is>
          <t>2026-02-27 20:47</t>
        </is>
      </c>
      <c r="L387" t="inlineStr">
        <is>
          <t>YES</t>
        </is>
      </c>
      <c r="M387" t="inlineStr">
        <is>
          <t>remyandrade modern_image_gallery_app 1.0</t>
        </is>
      </c>
      <c r="N387" t="inlineStr">
        <is>
          <t>P4</t>
        </is>
      </c>
      <c r="O387" t="inlineStr">
        <is>
          <t>CVE - IP enrichment n/a</t>
        </is>
      </c>
      <c r="P387" t="n">
        <v>0.0003</v>
      </c>
      <c r="Q387" t="n">
        <v>0.0842</v>
      </c>
      <c r="R387" t="inlineStr">
        <is>
          <t>T1189:Drive-by Compromise | T1190:Exploit Public-Facing Application</t>
        </is>
      </c>
      <c r="S387" t="n">
        <v>1</v>
      </c>
      <c r="T387" t="inlineStr">
        <is>
          <t>LOW (40%)</t>
        </is>
      </c>
      <c r="U387" t="inlineStr">
        <is>
          <t>UNLIKELY</t>
        </is>
      </c>
      <c r="V387" t="inlineStr">
        <is>
          <t>PATCH_AVAILABLE</t>
        </is>
      </c>
      <c r="W387" t="inlineStr">
        <is>
          <t>https://nvd.nist.gov/vuln/detail/CVE-2026-3070</t>
        </is>
      </c>
      <c r="X387" t="inlineStr">
        <is>
          <t>NONE</t>
        </is>
      </c>
      <c r="Y387" t="n">
        <v>0</v>
      </c>
      <c r="Z387" t="inlineStr"/>
      <c r="AA387" t="inlineStr">
        <is>
          <t>https://nvd.nist.gov/vuln/detail/CVE-2026-3070</t>
        </is>
      </c>
    </row>
    <row r="388">
      <c r="A388" t="inlineStr">
        <is>
          <t>CVE</t>
        </is>
      </c>
      <c r="B388" t="inlineStr">
        <is>
          <t>CVE-2025-15386</t>
        </is>
      </c>
      <c r="C388"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388" t="n">
        <v>8.800000000000001</v>
      </c>
      <c r="E388" t="inlineStr">
        <is>
          <t>HIGH</t>
        </is>
      </c>
      <c r="F388" t="n">
        <v>2</v>
      </c>
      <c r="G388" t="n">
        <v>3</v>
      </c>
      <c r="H388" t="inlineStr">
        <is>
          <t>HIGH</t>
        </is>
      </c>
      <c r="I388" t="n">
        <v>14.8</v>
      </c>
      <c r="J388" t="inlineStr">
        <is>
          <t>NO</t>
        </is>
      </c>
      <c r="K388" t="inlineStr">
        <is>
          <t>2026-02-27 20:47</t>
        </is>
      </c>
      <c r="L388" t="inlineStr">
        <is>
          <t>CHECK_VENDOR</t>
        </is>
      </c>
      <c r="M388" t="inlineStr">
        <is>
          <t>See CVE details</t>
        </is>
      </c>
      <c r="N388" t="inlineStr">
        <is>
          <t>P3</t>
        </is>
      </c>
      <c r="O388" t="inlineStr">
        <is>
          <t>CVE - IP enrichment n/a</t>
        </is>
      </c>
      <c r="P388" t="n">
        <v>0.0004</v>
      </c>
      <c r="Q388" t="n">
        <v>0.124</v>
      </c>
      <c r="R388" t="inlineStr">
        <is>
          <t>T1189:Drive-by Compromise</t>
        </is>
      </c>
      <c r="S388" t="n">
        <v>1</v>
      </c>
      <c r="T388" t="inlineStr">
        <is>
          <t>LOW (40%)</t>
        </is>
      </c>
      <c r="U388" t="inlineStr">
        <is>
          <t>UNLIKELY</t>
        </is>
      </c>
      <c r="V388" t="inlineStr">
        <is>
          <t>CHECK_VENDOR</t>
        </is>
      </c>
      <c r="W388" t="inlineStr">
        <is>
          <t>https://nvd.nist.gov/vuln/detail/CVE-2025-15386</t>
        </is>
      </c>
      <c r="X388" t="inlineStr">
        <is>
          <t>NONE</t>
        </is>
      </c>
      <c r="Y388" t="n">
        <v>0</v>
      </c>
      <c r="Z388" t="inlineStr"/>
      <c r="AA388" t="inlineStr">
        <is>
          <t>https://nvd.nist.gov/vuln/detail/CVE-2025-15386</t>
        </is>
      </c>
    </row>
    <row r="389">
      <c r="A389" t="inlineStr">
        <is>
          <t>CVE</t>
        </is>
      </c>
      <c r="B389" t="inlineStr">
        <is>
          <t>CVE-2025-15589</t>
        </is>
      </c>
      <c r="C389"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389" t="n">
        <v>3.8</v>
      </c>
      <c r="E389" t="inlineStr">
        <is>
          <t>LOW</t>
        </is>
      </c>
      <c r="F389" t="n">
        <v>2</v>
      </c>
      <c r="G389" t="n">
        <v>1</v>
      </c>
      <c r="H389" t="inlineStr">
        <is>
          <t>LOW</t>
        </is>
      </c>
      <c r="I389" t="n">
        <v>5.8</v>
      </c>
      <c r="J389" t="inlineStr">
        <is>
          <t>NO</t>
        </is>
      </c>
      <c r="K389" t="inlineStr">
        <is>
          <t>2026-02-27 20:47</t>
        </is>
      </c>
      <c r="L389" t="inlineStr">
        <is>
          <t>CHECK_VENDOR</t>
        </is>
      </c>
      <c r="M389" t="inlineStr">
        <is>
          <t>muyucms muyucms 2.7</t>
        </is>
      </c>
      <c r="N389" t="inlineStr">
        <is>
          <t>P4</t>
        </is>
      </c>
      <c r="O389" t="inlineStr">
        <is>
          <t>CVE - IP enrichment n/a</t>
        </is>
      </c>
      <c r="P389" t="n">
        <v>0.001</v>
      </c>
      <c r="Q389" t="n">
        <v>0.2871</v>
      </c>
      <c r="R389" t="inlineStr">
        <is>
          <t>T1083:File and Directory Discovery</t>
        </is>
      </c>
      <c r="S389" t="n">
        <v>1</v>
      </c>
      <c r="T389" t="inlineStr">
        <is>
          <t>LOW (40%)</t>
        </is>
      </c>
      <c r="U389" t="inlineStr">
        <is>
          <t>UNLIKELY</t>
        </is>
      </c>
      <c r="V389" t="inlineStr">
        <is>
          <t>CHECK_VENDOR</t>
        </is>
      </c>
      <c r="W389" t="inlineStr">
        <is>
          <t>https://nvd.nist.gov/vuln/detail/CVE-2025-15589</t>
        </is>
      </c>
      <c r="X389" t="inlineStr">
        <is>
          <t>NONE</t>
        </is>
      </c>
      <c r="Y389" t="n">
        <v>0</v>
      </c>
      <c r="Z389" t="inlineStr"/>
      <c r="AA389" t="inlineStr">
        <is>
          <t>https://nvd.nist.gov/vuln/detail/CVE-2025-15589</t>
        </is>
      </c>
    </row>
    <row r="390">
      <c r="A390" t="inlineStr">
        <is>
          <t>CVE</t>
        </is>
      </c>
      <c r="B390" t="inlineStr">
        <is>
          <t>CVE-2026-24314</t>
        </is>
      </c>
      <c r="C390"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390" t="n">
        <v>4.3</v>
      </c>
      <c r="E390" t="inlineStr">
        <is>
          <t>MEDIUM</t>
        </is>
      </c>
      <c r="F390" t="n">
        <v>2</v>
      </c>
      <c r="G390" t="n">
        <v>2</v>
      </c>
      <c r="H390" t="inlineStr">
        <is>
          <t>MEDIUM</t>
        </is>
      </c>
      <c r="I390" t="n">
        <v>8.300000000000001</v>
      </c>
      <c r="J390" t="inlineStr">
        <is>
          <t>NO</t>
        </is>
      </c>
      <c r="K390" t="inlineStr">
        <is>
          <t>2026-02-27 20:47</t>
        </is>
      </c>
      <c r="L390" t="inlineStr">
        <is>
          <t>CHECK_VENDOR</t>
        </is>
      </c>
      <c r="M390" t="inlineStr">
        <is>
          <t>See CVE details</t>
        </is>
      </c>
      <c r="N390" t="inlineStr">
        <is>
          <t>P4</t>
        </is>
      </c>
      <c r="O390" t="inlineStr">
        <is>
          <t>CVE - IP enrichment n/a</t>
        </is>
      </c>
      <c r="P390" t="n">
        <v>0.0003</v>
      </c>
      <c r="Q390" t="n">
        <v>0.0737</v>
      </c>
      <c r="R390" t="inlineStr">
        <is>
          <t>T1190:Exploit Public-Facing Application</t>
        </is>
      </c>
      <c r="S390" t="n">
        <v>1</v>
      </c>
      <c r="T390" t="inlineStr">
        <is>
          <t>LOW (40%)</t>
        </is>
      </c>
      <c r="U390" t="inlineStr">
        <is>
          <t>UNLIKELY</t>
        </is>
      </c>
      <c r="V390" t="inlineStr">
        <is>
          <t>CHECK_VENDOR</t>
        </is>
      </c>
      <c r="W390" t="inlineStr">
        <is>
          <t>https://nvd.nist.gov/vuln/detail/CVE-2026-24314</t>
        </is>
      </c>
      <c r="X390" t="inlineStr">
        <is>
          <t>NONE</t>
        </is>
      </c>
      <c r="Y390" t="n">
        <v>0</v>
      </c>
      <c r="Z390" t="inlineStr"/>
      <c r="AA390" t="inlineStr">
        <is>
          <t>https://nvd.nist.gov/vuln/detail/CVE-2026-24314</t>
        </is>
      </c>
    </row>
    <row r="391">
      <c r="A391" t="inlineStr">
        <is>
          <t>CVE</t>
        </is>
      </c>
      <c r="B391" t="inlineStr">
        <is>
          <t>CVE-2025-40538</t>
        </is>
      </c>
      <c r="C391"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391" t="n">
        <v>9.1</v>
      </c>
      <c r="E391" t="inlineStr">
        <is>
          <t>CRITICAL</t>
        </is>
      </c>
      <c r="F391" t="n">
        <v>2</v>
      </c>
      <c r="G391" t="n">
        <v>3</v>
      </c>
      <c r="H391" t="inlineStr">
        <is>
          <t>HIGH</t>
        </is>
      </c>
      <c r="I391" t="n">
        <v>15.1</v>
      </c>
      <c r="J391" t="inlineStr">
        <is>
          <t>NO</t>
        </is>
      </c>
      <c r="K391" t="inlineStr">
        <is>
          <t>2026-02-27 20:47</t>
        </is>
      </c>
      <c r="L391" t="inlineStr">
        <is>
          <t>YES</t>
        </is>
      </c>
      <c r="M391" t="inlineStr">
        <is>
          <t>solarwinds serv-u *</t>
        </is>
      </c>
      <c r="N391" t="inlineStr">
        <is>
          <t>P3</t>
        </is>
      </c>
      <c r="O391" t="inlineStr">
        <is>
          <t>CVE - IP enrichment n/a</t>
        </is>
      </c>
      <c r="P391" t="n">
        <v>0.0003</v>
      </c>
      <c r="Q391" t="n">
        <v>0.0799</v>
      </c>
      <c r="R391" t="inlineStr">
        <is>
          <t>T1203:Exploitation for Client Execution</t>
        </is>
      </c>
      <c r="S391" t="n">
        <v>1</v>
      </c>
      <c r="T391" t="inlineStr">
        <is>
          <t>LOW (40%)</t>
        </is>
      </c>
      <c r="U391" t="inlineStr">
        <is>
          <t>UNLIKELY</t>
        </is>
      </c>
      <c r="V391" t="inlineStr">
        <is>
          <t>PATCH_AVAILABLE</t>
        </is>
      </c>
      <c r="W391" t="inlineStr">
        <is>
          <t>https://nvd.nist.gov/vuln/detail/CVE-2025-40538</t>
        </is>
      </c>
      <c r="X391" t="inlineStr">
        <is>
          <t>NONE</t>
        </is>
      </c>
      <c r="Y391" t="n">
        <v>0</v>
      </c>
      <c r="Z391" t="inlineStr"/>
      <c r="AA391" t="inlineStr">
        <is>
          <t>https://nvd.nist.gov/vuln/detail/CVE-2025-40538</t>
        </is>
      </c>
    </row>
    <row r="392">
      <c r="A392" t="inlineStr">
        <is>
          <t>CVE</t>
        </is>
      </c>
      <c r="B392" t="inlineStr">
        <is>
          <t>CVE-2025-40539</t>
        </is>
      </c>
      <c r="C392"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392" t="n">
        <v>9.1</v>
      </c>
      <c r="E392" t="inlineStr">
        <is>
          <t>CRITICAL</t>
        </is>
      </c>
      <c r="F392" t="n">
        <v>2</v>
      </c>
      <c r="G392" t="n">
        <v>3</v>
      </c>
      <c r="H392" t="inlineStr">
        <is>
          <t>HIGH</t>
        </is>
      </c>
      <c r="I392" t="n">
        <v>15.1</v>
      </c>
      <c r="J392" t="inlineStr">
        <is>
          <t>NO</t>
        </is>
      </c>
      <c r="K392" t="inlineStr">
        <is>
          <t>2026-02-27 20:47</t>
        </is>
      </c>
      <c r="L392" t="inlineStr">
        <is>
          <t>YES</t>
        </is>
      </c>
      <c r="M392" t="inlineStr">
        <is>
          <t>solarwinds serv-u *</t>
        </is>
      </c>
      <c r="N392" t="inlineStr">
        <is>
          <t>P3</t>
        </is>
      </c>
      <c r="O392" t="inlineStr">
        <is>
          <t>CVE - IP enrichment n/a</t>
        </is>
      </c>
      <c r="P392" t="n">
        <v>0.0005</v>
      </c>
      <c r="Q392" t="n">
        <v>0.1491</v>
      </c>
      <c r="R392" t="inlineStr">
        <is>
          <t>T1190:Exploit Public-Facing Application</t>
        </is>
      </c>
      <c r="S392" t="n">
        <v>1</v>
      </c>
      <c r="T392" t="inlineStr">
        <is>
          <t>LOW (40%)</t>
        </is>
      </c>
      <c r="U392" t="inlineStr">
        <is>
          <t>UNLIKELY</t>
        </is>
      </c>
      <c r="V392" t="inlineStr">
        <is>
          <t>PATCH_AVAILABLE</t>
        </is>
      </c>
      <c r="W392" t="inlineStr">
        <is>
          <t>https://nvd.nist.gov/vuln/detail/CVE-2025-40539</t>
        </is>
      </c>
      <c r="X392" t="inlineStr">
        <is>
          <t>NONE</t>
        </is>
      </c>
      <c r="Y392" t="n">
        <v>0</v>
      </c>
      <c r="Z392" t="inlineStr"/>
      <c r="AA392" t="inlineStr">
        <is>
          <t>https://nvd.nist.gov/vuln/detail/CVE-2025-40539</t>
        </is>
      </c>
    </row>
    <row r="393">
      <c r="A393" t="inlineStr">
        <is>
          <t>CVE</t>
        </is>
      </c>
      <c r="B393" t="inlineStr">
        <is>
          <t>CVE-2025-40540</t>
        </is>
      </c>
      <c r="C393"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393" t="n">
        <v>9.1</v>
      </c>
      <c r="E393" t="inlineStr">
        <is>
          <t>CRITICAL</t>
        </is>
      </c>
      <c r="F393" t="n">
        <v>2</v>
      </c>
      <c r="G393" t="n">
        <v>3</v>
      </c>
      <c r="H393" t="inlineStr">
        <is>
          <t>HIGH</t>
        </is>
      </c>
      <c r="I393" t="n">
        <v>15.1</v>
      </c>
      <c r="J393" t="inlineStr">
        <is>
          <t>NO</t>
        </is>
      </c>
      <c r="K393" t="inlineStr">
        <is>
          <t>2026-02-27 20:47</t>
        </is>
      </c>
      <c r="L393" t="inlineStr">
        <is>
          <t>YES</t>
        </is>
      </c>
      <c r="M393" t="inlineStr">
        <is>
          <t>solarwinds serv-u *</t>
        </is>
      </c>
      <c r="N393" t="inlineStr">
        <is>
          <t>P3</t>
        </is>
      </c>
      <c r="O393" t="inlineStr">
        <is>
          <t>CVE - IP enrichment n/a</t>
        </is>
      </c>
      <c r="P393" t="n">
        <v>0.0005</v>
      </c>
      <c r="Q393" t="n">
        <v>0.1491</v>
      </c>
      <c r="R393" t="inlineStr">
        <is>
          <t>T1190:Exploit Public-Facing Application</t>
        </is>
      </c>
      <c r="S393" t="n">
        <v>1</v>
      </c>
      <c r="T393" t="inlineStr">
        <is>
          <t>LOW (40%)</t>
        </is>
      </c>
      <c r="U393" t="inlineStr">
        <is>
          <t>UNLIKELY</t>
        </is>
      </c>
      <c r="V393" t="inlineStr">
        <is>
          <t>PATCH_AVAILABLE</t>
        </is>
      </c>
      <c r="W393" t="inlineStr">
        <is>
          <t>https://nvd.nist.gov/vuln/detail/CVE-2025-40540</t>
        </is>
      </c>
      <c r="X393" t="inlineStr">
        <is>
          <t>NONE</t>
        </is>
      </c>
      <c r="Y393" t="n">
        <v>0</v>
      </c>
      <c r="Z393" t="inlineStr"/>
      <c r="AA393" t="inlineStr">
        <is>
          <t>https://nvd.nist.gov/vuln/detail/CVE-2025-40540</t>
        </is>
      </c>
    </row>
    <row r="394">
      <c r="A394" t="inlineStr">
        <is>
          <t>CVE</t>
        </is>
      </c>
      <c r="B394" t="inlineStr">
        <is>
          <t>CVE-2025-40541</t>
        </is>
      </c>
      <c r="C394"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394" t="n">
        <v>9.1</v>
      </c>
      <c r="E394" t="inlineStr">
        <is>
          <t>CRITICAL</t>
        </is>
      </c>
      <c r="F394" t="n">
        <v>2</v>
      </c>
      <c r="G394" t="n">
        <v>3</v>
      </c>
      <c r="H394" t="inlineStr">
        <is>
          <t>HIGH</t>
        </is>
      </c>
      <c r="I394" t="n">
        <v>15.1</v>
      </c>
      <c r="J394" t="inlineStr">
        <is>
          <t>NO</t>
        </is>
      </c>
      <c r="K394" t="inlineStr">
        <is>
          <t>2026-02-27 20:47</t>
        </is>
      </c>
      <c r="L394" t="inlineStr">
        <is>
          <t>YES</t>
        </is>
      </c>
      <c r="M394" t="inlineStr">
        <is>
          <t>solarwinds serv-u *</t>
        </is>
      </c>
      <c r="N394" t="inlineStr">
        <is>
          <t>P3</t>
        </is>
      </c>
      <c r="O394" t="inlineStr">
        <is>
          <t>CVE - IP enrichment n/a</t>
        </is>
      </c>
      <c r="P394" t="n">
        <v>0.0002</v>
      </c>
      <c r="Q394" t="n">
        <v>0.0423</v>
      </c>
      <c r="R394" t="inlineStr">
        <is>
          <t>T1190:Exploit Public-Facing Application</t>
        </is>
      </c>
      <c r="S394" t="n">
        <v>1</v>
      </c>
      <c r="T394" t="inlineStr">
        <is>
          <t>LOW (40%)</t>
        </is>
      </c>
      <c r="U394" t="inlineStr">
        <is>
          <t>UNLIKELY</t>
        </is>
      </c>
      <c r="V394" t="inlineStr">
        <is>
          <t>PATCH_AVAILABLE</t>
        </is>
      </c>
      <c r="W394" t="inlineStr">
        <is>
          <t>https://nvd.nist.gov/vuln/detail/CVE-2025-40541</t>
        </is>
      </c>
      <c r="X394" t="inlineStr">
        <is>
          <t>NONE</t>
        </is>
      </c>
      <c r="Y394" t="n">
        <v>0</v>
      </c>
      <c r="Z394" t="inlineStr"/>
      <c r="AA394" t="inlineStr">
        <is>
          <t>https://nvd.nist.gov/vuln/detail/CVE-2025-40541</t>
        </is>
      </c>
    </row>
    <row r="395">
      <c r="A395" t="inlineStr">
        <is>
          <t>CVE</t>
        </is>
      </c>
      <c r="B395" t="inlineStr">
        <is>
          <t>CVE-2026-1229</t>
        </is>
      </c>
      <c r="C395"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395" t="n">
        <v>5</v>
      </c>
      <c r="E395" t="inlineStr">
        <is>
          <t>MEDIUM</t>
        </is>
      </c>
      <c r="F395" t="n">
        <v>2</v>
      </c>
      <c r="G395" t="n">
        <v>2</v>
      </c>
      <c r="H395" t="inlineStr">
        <is>
          <t>MEDIUM</t>
        </is>
      </c>
      <c r="I395" t="n">
        <v>9</v>
      </c>
      <c r="J395" t="inlineStr">
        <is>
          <t>NO</t>
        </is>
      </c>
      <c r="K395" t="inlineStr">
        <is>
          <t>2026-02-27 20:47</t>
        </is>
      </c>
      <c r="L395" t="inlineStr">
        <is>
          <t>CHECK_VENDOR</t>
        </is>
      </c>
      <c r="M395" t="inlineStr">
        <is>
          <t>See CVE details</t>
        </is>
      </c>
      <c r="N395" t="inlineStr">
        <is>
          <t>P4</t>
        </is>
      </c>
      <c r="O395" t="inlineStr">
        <is>
          <t>CVE - IP enrichment n/a</t>
        </is>
      </c>
      <c r="P395" t="n">
        <v>0.0001</v>
      </c>
      <c r="Q395" t="n">
        <v>0.02</v>
      </c>
      <c r="R395" t="inlineStr">
        <is>
          <t>T1190:Exploit Public-Facing Application</t>
        </is>
      </c>
      <c r="S395" t="n">
        <v>1</v>
      </c>
      <c r="T395" t="inlineStr">
        <is>
          <t>LOW (40%)</t>
        </is>
      </c>
      <c r="U395" t="inlineStr">
        <is>
          <t>UNLIKELY</t>
        </is>
      </c>
      <c r="V395" t="inlineStr">
        <is>
          <t>CHECK_VENDOR</t>
        </is>
      </c>
      <c r="W395" t="inlineStr">
        <is>
          <t>https://nvd.nist.gov/vuln/detail/CVE-2026-1229</t>
        </is>
      </c>
      <c r="X395" t="inlineStr">
        <is>
          <t>NONE</t>
        </is>
      </c>
      <c r="Y395" t="n">
        <v>0</v>
      </c>
      <c r="Z395" t="inlineStr"/>
      <c r="AA395" t="inlineStr">
        <is>
          <t>https://nvd.nist.gov/vuln/detail/CVE-2026-1229</t>
        </is>
      </c>
    </row>
    <row r="396">
      <c r="A396" t="inlineStr">
        <is>
          <t>CVE</t>
        </is>
      </c>
      <c r="B396" t="inlineStr">
        <is>
          <t>CVE-2024-1524</t>
        </is>
      </c>
      <c r="C396"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396" t="n">
        <v>7.7</v>
      </c>
      <c r="E396" t="inlineStr">
        <is>
          <t>HIGH</t>
        </is>
      </c>
      <c r="F396" t="n">
        <v>2</v>
      </c>
      <c r="G396" t="n">
        <v>3</v>
      </c>
      <c r="H396" t="inlineStr">
        <is>
          <t>HIGH</t>
        </is>
      </c>
      <c r="I396" t="n">
        <v>13.7</v>
      </c>
      <c r="J396" t="inlineStr">
        <is>
          <t>NO</t>
        </is>
      </c>
      <c r="K396" t="inlineStr">
        <is>
          <t>2026-02-27 20:47</t>
        </is>
      </c>
      <c r="L396" t="inlineStr">
        <is>
          <t>CHECK_VENDOR</t>
        </is>
      </c>
      <c r="M396" t="inlineStr">
        <is>
          <t>See CVE details</t>
        </is>
      </c>
      <c r="N396" t="inlineStr">
        <is>
          <t>P3</t>
        </is>
      </c>
      <c r="O396" t="inlineStr">
        <is>
          <t>CVE - IP enrichment n/a</t>
        </is>
      </c>
      <c r="P396" t="n">
        <v>0.0005</v>
      </c>
      <c r="Q396" t="n">
        <v>0.1516</v>
      </c>
      <c r="R396" t="inlineStr">
        <is>
          <t>T1190:Exploit Public-Facing Application</t>
        </is>
      </c>
      <c r="S396" t="n">
        <v>1</v>
      </c>
      <c r="T396" t="inlineStr">
        <is>
          <t>LOW (40%)</t>
        </is>
      </c>
      <c r="U396" t="inlineStr">
        <is>
          <t>UNLIKELY</t>
        </is>
      </c>
      <c r="V396" t="inlineStr">
        <is>
          <t>CHECK_VENDOR</t>
        </is>
      </c>
      <c r="W396" t="inlineStr">
        <is>
          <t>https://nvd.nist.gov/vuln/detail/CVE-2024-1524</t>
        </is>
      </c>
      <c r="X396" t="inlineStr">
        <is>
          <t>NONE</t>
        </is>
      </c>
      <c r="Y396" t="n">
        <v>0</v>
      </c>
      <c r="Z396" t="inlineStr"/>
      <c r="AA396" t="inlineStr">
        <is>
          <t>https://nvd.nist.gov/vuln/detail/CVE-2024-1524</t>
        </is>
      </c>
    </row>
    <row r="397">
      <c r="A397" t="inlineStr">
        <is>
          <t>CVE</t>
        </is>
      </c>
      <c r="B397" t="inlineStr">
        <is>
          <t>CVE-2025-11165</t>
        </is>
      </c>
      <c r="C397"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397" t="n">
        <v>8.5</v>
      </c>
      <c r="E397" t="inlineStr">
        <is>
          <t>HIGH</t>
        </is>
      </c>
      <c r="F397" t="n">
        <v>2</v>
      </c>
      <c r="G397" t="n">
        <v>3</v>
      </c>
      <c r="H397" t="inlineStr">
        <is>
          <t>HIGH</t>
        </is>
      </c>
      <c r="I397" t="n">
        <v>14.5</v>
      </c>
      <c r="J397" t="inlineStr">
        <is>
          <t>NO</t>
        </is>
      </c>
      <c r="K397" t="inlineStr">
        <is>
          <t>2026-02-27 20:47</t>
        </is>
      </c>
      <c r="L397" t="inlineStr">
        <is>
          <t>CHECK_VENDOR</t>
        </is>
      </c>
      <c r="M397" t="inlineStr">
        <is>
          <t>See CVE details</t>
        </is>
      </c>
      <c r="N397" t="inlineStr">
        <is>
          <t>P3</t>
        </is>
      </c>
      <c r="O397" t="inlineStr">
        <is>
          <t>CVE - IP enrichment n/a</t>
        </is>
      </c>
      <c r="P397" t="n">
        <v>0.0005</v>
      </c>
      <c r="Q397" t="n">
        <v>0.143</v>
      </c>
      <c r="R397" t="inlineStr">
        <is>
          <t>T1190:Exploit Public-Facing Application</t>
        </is>
      </c>
      <c r="S397" t="n">
        <v>1</v>
      </c>
      <c r="T397" t="inlineStr">
        <is>
          <t>LOW (40%)</t>
        </is>
      </c>
      <c r="U397" t="inlineStr">
        <is>
          <t>UNLIKELY</t>
        </is>
      </c>
      <c r="V397" t="inlineStr">
        <is>
          <t>CHECK_VENDOR</t>
        </is>
      </c>
      <c r="W397" t="inlineStr">
        <is>
          <t>https://nvd.nist.gov/vuln/detail/CVE-2025-11165</t>
        </is>
      </c>
      <c r="X397" t="inlineStr">
        <is>
          <t>NONE</t>
        </is>
      </c>
      <c r="Y397" t="n">
        <v>0</v>
      </c>
      <c r="Z397" t="inlineStr"/>
      <c r="AA397" t="inlineStr">
        <is>
          <t>https://nvd.nist.gov/vuln/detail/CVE-2025-11165</t>
        </is>
      </c>
    </row>
    <row r="398">
      <c r="A398" t="inlineStr">
        <is>
          <t>CVE</t>
        </is>
      </c>
      <c r="B398" t="inlineStr">
        <is>
          <t>CVE-2024-56373</t>
        </is>
      </c>
      <c r="C398"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398" t="n">
        <v>8.4</v>
      </c>
      <c r="E398" t="inlineStr">
        <is>
          <t>HIGH</t>
        </is>
      </c>
      <c r="F398" t="n">
        <v>2</v>
      </c>
      <c r="G398" t="n">
        <v>3</v>
      </c>
      <c r="H398" t="inlineStr">
        <is>
          <t>HIGH</t>
        </is>
      </c>
      <c r="I398" t="n">
        <v>14.4</v>
      </c>
      <c r="J398" t="inlineStr">
        <is>
          <t>NO</t>
        </is>
      </c>
      <c r="K398" t="inlineStr">
        <is>
          <t>2026-02-27 20:47</t>
        </is>
      </c>
      <c r="L398" t="inlineStr">
        <is>
          <t>YES</t>
        </is>
      </c>
      <c r="M398" t="inlineStr">
        <is>
          <t>apache airflow *</t>
        </is>
      </c>
      <c r="N398" t="inlineStr">
        <is>
          <t>P1</t>
        </is>
      </c>
      <c r="O398" t="inlineStr">
        <is>
          <t>CVE - IP enrichment n/a</t>
        </is>
      </c>
      <c r="P398" t="n">
        <v>0.001</v>
      </c>
      <c r="Q398" t="n">
        <v>0.2857</v>
      </c>
      <c r="R398" t="inlineStr">
        <is>
          <t>T1059:Command and Scripting Interpreter | T1190:Exploit Public-Facing Application | T1210:Exploitation of Remote Services</t>
        </is>
      </c>
      <c r="S398" t="n">
        <v>2</v>
      </c>
      <c r="T398" t="inlineStr">
        <is>
          <t>HIGH (72%)</t>
        </is>
      </c>
      <c r="U398" t="inlineStr">
        <is>
          <t>HIGH</t>
        </is>
      </c>
      <c r="V398" t="inlineStr">
        <is>
          <t>PATCH_AVAILABLE</t>
        </is>
      </c>
      <c r="W398" t="inlineStr">
        <is>
          <t>https://nvd.nist.gov/vuln/detail/CVE-2024-56373</t>
        </is>
      </c>
      <c r="X398" t="inlineStr">
        <is>
          <t>http://www.zerodayinitiative.com/advisories/ZDI-26-123/</t>
        </is>
      </c>
      <c r="Y398" t="n">
        <v>0</v>
      </c>
      <c r="Z398" t="inlineStr"/>
      <c r="AA398" t="inlineStr">
        <is>
          <t>https://nvd.nist.gov/vuln/detail/CVE-2024-56373</t>
        </is>
      </c>
    </row>
    <row r="399">
      <c r="A399" t="inlineStr">
        <is>
          <t>CVE</t>
        </is>
      </c>
      <c r="B399" t="inlineStr">
        <is>
          <t>CVE-2025-27555</t>
        </is>
      </c>
      <c r="C399"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399" t="n">
        <v>6.5</v>
      </c>
      <c r="E399" t="inlineStr">
        <is>
          <t>MEDIUM</t>
        </is>
      </c>
      <c r="F399" t="n">
        <v>2</v>
      </c>
      <c r="G399" t="n">
        <v>2</v>
      </c>
      <c r="H399" t="inlineStr">
        <is>
          <t>MEDIUM</t>
        </is>
      </c>
      <c r="I399" t="n">
        <v>10.5</v>
      </c>
      <c r="J399" t="inlineStr">
        <is>
          <t>NO</t>
        </is>
      </c>
      <c r="K399" t="inlineStr">
        <is>
          <t>2026-02-27 20:47</t>
        </is>
      </c>
      <c r="L399" t="inlineStr">
        <is>
          <t>YES</t>
        </is>
      </c>
      <c r="M399" t="inlineStr">
        <is>
          <t>apache airflow *</t>
        </is>
      </c>
      <c r="N399" t="inlineStr">
        <is>
          <t>P1</t>
        </is>
      </c>
      <c r="O399" t="inlineStr">
        <is>
          <t>CVE - IP enrichment n/a</t>
        </is>
      </c>
      <c r="P399" t="n">
        <v>0.0003</v>
      </c>
      <c r="Q399" t="n">
        <v>0.0964</v>
      </c>
      <c r="R399" t="inlineStr">
        <is>
          <t>T1190:Exploit Public-Facing Application</t>
        </is>
      </c>
      <c r="S399" t="n">
        <v>2</v>
      </c>
      <c r="T399" t="inlineStr">
        <is>
          <t>HIGH (72%)</t>
        </is>
      </c>
      <c r="U399" t="inlineStr">
        <is>
          <t>HIGH</t>
        </is>
      </c>
      <c r="V399" t="inlineStr">
        <is>
          <t>PATCH_AVAILABLE</t>
        </is>
      </c>
      <c r="W399" t="inlineStr">
        <is>
          <t>https://nvd.nist.gov/vuln/detail/CVE-2025-27555</t>
        </is>
      </c>
      <c r="X399" t="inlineStr">
        <is>
          <t>http://www.zerodayinitiative.com/advisories/ZDI-26-123/</t>
        </is>
      </c>
      <c r="Y399" t="n">
        <v>0</v>
      </c>
      <c r="Z399" t="inlineStr"/>
      <c r="AA399" t="inlineStr">
        <is>
          <t>https://nvd.nist.gov/vuln/detail/CVE-2025-27555</t>
        </is>
      </c>
    </row>
    <row r="400">
      <c r="A400" t="inlineStr">
        <is>
          <t>CVE</t>
        </is>
      </c>
      <c r="B400" t="inlineStr">
        <is>
          <t>CVE-2026-2664</t>
        </is>
      </c>
      <c r="C400"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400" t="n">
        <v>7.8</v>
      </c>
      <c r="E400" t="inlineStr">
        <is>
          <t>HIGH</t>
        </is>
      </c>
      <c r="F400" t="n">
        <v>2</v>
      </c>
      <c r="G400" t="n">
        <v>3</v>
      </c>
      <c r="H400" t="inlineStr">
        <is>
          <t>HIGH</t>
        </is>
      </c>
      <c r="I400" t="n">
        <v>13.8</v>
      </c>
      <c r="J400" t="inlineStr">
        <is>
          <t>NO</t>
        </is>
      </c>
      <c r="K400" t="inlineStr">
        <is>
          <t>2026-02-27 20:47</t>
        </is>
      </c>
      <c r="L400" t="inlineStr">
        <is>
          <t>CHECK_VENDOR</t>
        </is>
      </c>
      <c r="M400" t="inlineStr">
        <is>
          <t>docker desktop *</t>
        </is>
      </c>
      <c r="N400" t="inlineStr">
        <is>
          <t>P1</t>
        </is>
      </c>
      <c r="O400" t="inlineStr">
        <is>
          <t>CVE - IP enrichment n/a</t>
        </is>
      </c>
      <c r="P400" t="n">
        <v>0.0001</v>
      </c>
      <c r="Q400" t="n">
        <v>0.0251</v>
      </c>
      <c r="R400" t="inlineStr">
        <is>
          <t>T1203:Exploitation for Client Execution</t>
        </is>
      </c>
      <c r="S400" t="n">
        <v>2</v>
      </c>
      <c r="T400" t="inlineStr">
        <is>
          <t>HIGH (72%)</t>
        </is>
      </c>
      <c r="U400" t="inlineStr">
        <is>
          <t>HIGH</t>
        </is>
      </c>
      <c r="V400" t="inlineStr">
        <is>
          <t>CHECK_VENDOR</t>
        </is>
      </c>
      <c r="W400" t="inlineStr">
        <is>
          <t>https://nvd.nist.gov/vuln/detail/CVE-2026-2664</t>
        </is>
      </c>
      <c r="X400" t="inlineStr">
        <is>
          <t>http://www.zerodayinitiative.com/advisories/ZDI-26-125/</t>
        </is>
      </c>
      <c r="Y400" t="n">
        <v>0</v>
      </c>
      <c r="Z400" t="inlineStr"/>
      <c r="AA400" t="inlineStr">
        <is>
          <t>https://nvd.nist.gov/vuln/detail/CVE-2026-2664</t>
        </is>
      </c>
    </row>
    <row r="401">
      <c r="A401" t="inlineStr">
        <is>
          <t>CVE</t>
        </is>
      </c>
      <c r="B401" t="inlineStr">
        <is>
          <t>CVE-2025-14577</t>
        </is>
      </c>
      <c r="C401"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401" t="n">
        <v>8.5</v>
      </c>
      <c r="E401" t="inlineStr">
        <is>
          <t>HIGH</t>
        </is>
      </c>
      <c r="F401" t="n">
        <v>2</v>
      </c>
      <c r="G401" t="n">
        <v>3</v>
      </c>
      <c r="H401" t="inlineStr">
        <is>
          <t>HIGH</t>
        </is>
      </c>
      <c r="I401" t="n">
        <v>14.5</v>
      </c>
      <c r="J401" t="inlineStr">
        <is>
          <t>NO</t>
        </is>
      </c>
      <c r="K401" t="inlineStr">
        <is>
          <t>2026-02-27 20:47</t>
        </is>
      </c>
      <c r="L401" t="inlineStr">
        <is>
          <t>CHECK_VENDOR</t>
        </is>
      </c>
      <c r="M401" t="inlineStr">
        <is>
          <t>See CVE details</t>
        </is>
      </c>
      <c r="N401" t="inlineStr">
        <is>
          <t>P3</t>
        </is>
      </c>
      <c r="O401" t="inlineStr">
        <is>
          <t>CVE - IP enrichment n/a</t>
        </is>
      </c>
      <c r="P401" t="n">
        <v>0.0013</v>
      </c>
      <c r="Q401" t="n">
        <v>0.33</v>
      </c>
      <c r="R401" t="inlineStr">
        <is>
          <t>T1078:Valid Accounts</t>
        </is>
      </c>
      <c r="S401" t="n">
        <v>1</v>
      </c>
      <c r="T401" t="inlineStr">
        <is>
          <t>LOW (40%)</t>
        </is>
      </c>
      <c r="U401" t="inlineStr">
        <is>
          <t>UNLIKELY</t>
        </is>
      </c>
      <c r="V401" t="inlineStr">
        <is>
          <t>CHECK_VENDOR</t>
        </is>
      </c>
      <c r="W401" t="inlineStr">
        <is>
          <t>https://nvd.nist.gov/vuln/detail/CVE-2025-14577</t>
        </is>
      </c>
      <c r="X401" t="inlineStr">
        <is>
          <t>NONE</t>
        </is>
      </c>
      <c r="Y401" t="n">
        <v>0</v>
      </c>
      <c r="Z401" t="inlineStr"/>
      <c r="AA401" t="inlineStr">
        <is>
          <t>https://nvd.nist.gov/vuln/detail/CVE-2025-14577</t>
        </is>
      </c>
    </row>
    <row r="402">
      <c r="A402" t="inlineStr">
        <is>
          <t>CVE</t>
        </is>
      </c>
      <c r="B402" t="inlineStr">
        <is>
          <t>CVE-2026-1772</t>
        </is>
      </c>
      <c r="C402" t="inlineStr">
        <is>
          <t>RTU500 web interface: An unprivileged user can read user management information. The information cannot be accessed via the RTU500 web user interface but requires further tools like browser development utilities to access them without required privileges.</t>
        </is>
      </c>
      <c r="D402" t="n">
        <v>5</v>
      </c>
      <c r="E402" t="inlineStr">
        <is>
          <t>MEDIUM</t>
        </is>
      </c>
      <c r="F402" t="n">
        <v>2</v>
      </c>
      <c r="G402" t="n">
        <v>2</v>
      </c>
      <c r="H402" t="inlineStr">
        <is>
          <t>MEDIUM</t>
        </is>
      </c>
      <c r="I402" t="n">
        <v>9</v>
      </c>
      <c r="J402" t="inlineStr">
        <is>
          <t>NO</t>
        </is>
      </c>
      <c r="K402" t="inlineStr">
        <is>
          <t>2026-02-27 20:47</t>
        </is>
      </c>
      <c r="L402" t="inlineStr">
        <is>
          <t>CHECK_VENDOR</t>
        </is>
      </c>
      <c r="M402" t="inlineStr">
        <is>
          <t>See CVE details</t>
        </is>
      </c>
      <c r="N402" t="inlineStr">
        <is>
          <t>P4</t>
        </is>
      </c>
      <c r="O402" t="inlineStr">
        <is>
          <t>CVE - IP enrichment n/a</t>
        </is>
      </c>
      <c r="P402" t="n">
        <v>0.0004</v>
      </c>
      <c r="Q402" t="n">
        <v>0.1139</v>
      </c>
      <c r="R402" t="inlineStr">
        <is>
          <t>T1190:Exploit Public-Facing Application</t>
        </is>
      </c>
      <c r="S402" t="n">
        <v>1</v>
      </c>
      <c r="T402" t="inlineStr">
        <is>
          <t>LOW (40%)</t>
        </is>
      </c>
      <c r="U402" t="inlineStr">
        <is>
          <t>UNLIKELY</t>
        </is>
      </c>
      <c r="V402" t="inlineStr">
        <is>
          <t>CHECK_VENDOR</t>
        </is>
      </c>
      <c r="W402" t="inlineStr">
        <is>
          <t>https://nvd.nist.gov/vuln/detail/CVE-2026-1772</t>
        </is>
      </c>
      <c r="X402" t="inlineStr">
        <is>
          <t>NONE</t>
        </is>
      </c>
      <c r="Y402" t="n">
        <v>0</v>
      </c>
      <c r="Z402" t="inlineStr"/>
      <c r="AA402" t="inlineStr">
        <is>
          <t>https://nvd.nist.gov/vuln/detail/CVE-2026-1772</t>
        </is>
      </c>
    </row>
    <row r="403">
      <c r="A403" t="inlineStr">
        <is>
          <t>CVE</t>
        </is>
      </c>
      <c r="B403" t="inlineStr">
        <is>
          <t>CVE-2026-1773</t>
        </is>
      </c>
      <c r="C403"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403" t="n">
        <v>5</v>
      </c>
      <c r="E403" t="inlineStr">
        <is>
          <t>MEDIUM</t>
        </is>
      </c>
      <c r="F403" t="n">
        <v>2</v>
      </c>
      <c r="G403" t="n">
        <v>2</v>
      </c>
      <c r="H403" t="inlineStr">
        <is>
          <t>MEDIUM</t>
        </is>
      </c>
      <c r="I403" t="n">
        <v>9</v>
      </c>
      <c r="J403" t="inlineStr">
        <is>
          <t>NO</t>
        </is>
      </c>
      <c r="K403" t="inlineStr">
        <is>
          <t>2026-02-27 20:47</t>
        </is>
      </c>
      <c r="L403" t="inlineStr">
        <is>
          <t>CHECK_VENDOR</t>
        </is>
      </c>
      <c r="M403" t="inlineStr">
        <is>
          <t>See CVE details</t>
        </is>
      </c>
      <c r="N403" t="inlineStr">
        <is>
          <t>P4</t>
        </is>
      </c>
      <c r="O403" t="inlineStr">
        <is>
          <t>CVE - IP enrichment n/a</t>
        </is>
      </c>
      <c r="P403" t="n">
        <v>0.0005999999999999999</v>
      </c>
      <c r="Q403" t="n">
        <v>0.1722</v>
      </c>
      <c r="R403" t="inlineStr">
        <is>
          <t>T1499:Endpoint Denial of Service</t>
        </is>
      </c>
      <c r="S403" t="n">
        <v>1</v>
      </c>
      <c r="T403" t="inlineStr">
        <is>
          <t>LOW (40%)</t>
        </is>
      </c>
      <c r="U403" t="inlineStr">
        <is>
          <t>UNLIKELY</t>
        </is>
      </c>
      <c r="V403" t="inlineStr">
        <is>
          <t>CHECK_VENDOR</t>
        </is>
      </c>
      <c r="W403" t="inlineStr">
        <is>
          <t>https://nvd.nist.gov/vuln/detail/CVE-2026-1773</t>
        </is>
      </c>
      <c r="X403" t="inlineStr">
        <is>
          <t>NONE</t>
        </is>
      </c>
      <c r="Y403" t="n">
        <v>0</v>
      </c>
      <c r="Z403" t="inlineStr"/>
      <c r="AA403" t="inlineStr">
        <is>
          <t>https://nvd.nist.gov/vuln/detail/CVE-2026-1773</t>
        </is>
      </c>
    </row>
    <row r="404">
      <c r="A404" t="inlineStr">
        <is>
          <t>CVE</t>
        </is>
      </c>
      <c r="B404" t="inlineStr">
        <is>
          <t>CVE-2026-23969</t>
        </is>
      </c>
      <c r="C404"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404" t="n">
        <v>6.5</v>
      </c>
      <c r="E404" t="inlineStr">
        <is>
          <t>MEDIUM</t>
        </is>
      </c>
      <c r="F404" t="n">
        <v>2</v>
      </c>
      <c r="G404" t="n">
        <v>2</v>
      </c>
      <c r="H404" t="inlineStr">
        <is>
          <t>MEDIUM</t>
        </is>
      </c>
      <c r="I404" t="n">
        <v>10.5</v>
      </c>
      <c r="J404" t="inlineStr">
        <is>
          <t>NO</t>
        </is>
      </c>
      <c r="K404" t="inlineStr">
        <is>
          <t>2026-02-27 20:47</t>
        </is>
      </c>
      <c r="L404" t="inlineStr">
        <is>
          <t>CHECK_VENDOR</t>
        </is>
      </c>
      <c r="M404" t="inlineStr">
        <is>
          <t>apache superset *</t>
        </is>
      </c>
      <c r="N404" t="inlineStr">
        <is>
          <t>P4</t>
        </is>
      </c>
      <c r="O404" t="inlineStr">
        <is>
          <t>CVE - IP enrichment n/a</t>
        </is>
      </c>
      <c r="P404" t="n">
        <v>0.0005999999999999999</v>
      </c>
      <c r="Q404" t="n">
        <v>0.1751</v>
      </c>
      <c r="R404" t="inlineStr">
        <is>
          <t>T1190:Exploit Public-Facing Application</t>
        </is>
      </c>
      <c r="S404" t="n">
        <v>1</v>
      </c>
      <c r="T404" t="inlineStr">
        <is>
          <t>LOW (40%)</t>
        </is>
      </c>
      <c r="U404" t="inlineStr">
        <is>
          <t>UNLIKELY</t>
        </is>
      </c>
      <c r="V404" t="inlineStr">
        <is>
          <t>CHECK_VENDOR</t>
        </is>
      </c>
      <c r="W404" t="inlineStr">
        <is>
          <t>https://nvd.nist.gov/vuln/detail/CVE-2026-23969</t>
        </is>
      </c>
      <c r="X404" t="inlineStr">
        <is>
          <t>NONE</t>
        </is>
      </c>
      <c r="Y404" t="n">
        <v>0</v>
      </c>
      <c r="Z404" t="inlineStr"/>
      <c r="AA404" t="inlineStr">
        <is>
          <t>https://nvd.nist.gov/vuln/detail/CVE-2026-23969</t>
        </is>
      </c>
    </row>
    <row r="405">
      <c r="A405" t="inlineStr">
        <is>
          <t>CVE</t>
        </is>
      </c>
      <c r="B405" t="inlineStr">
        <is>
          <t>CVE-2026-23980</t>
        </is>
      </c>
      <c r="C405"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405" t="n">
        <v>6.5</v>
      </c>
      <c r="E405" t="inlineStr">
        <is>
          <t>MEDIUM</t>
        </is>
      </c>
      <c r="F405" t="n">
        <v>2</v>
      </c>
      <c r="G405" t="n">
        <v>2</v>
      </c>
      <c r="H405" t="inlineStr">
        <is>
          <t>MEDIUM</t>
        </is>
      </c>
      <c r="I405" t="n">
        <v>10.5</v>
      </c>
      <c r="J405" t="inlineStr">
        <is>
          <t>NO</t>
        </is>
      </c>
      <c r="K405" t="inlineStr">
        <is>
          <t>2026-02-27 20:47</t>
        </is>
      </c>
      <c r="L405" t="inlineStr">
        <is>
          <t>YES</t>
        </is>
      </c>
      <c r="M405" t="inlineStr">
        <is>
          <t>apache superset *</t>
        </is>
      </c>
      <c r="N405" t="inlineStr">
        <is>
          <t>P4</t>
        </is>
      </c>
      <c r="O405" t="inlineStr">
        <is>
          <t>CVE - IP enrichment n/a</t>
        </is>
      </c>
      <c r="P405" t="n">
        <v>0.0003</v>
      </c>
      <c r="Q405" t="n">
        <v>0.0819</v>
      </c>
      <c r="R405" t="inlineStr">
        <is>
          <t>T1190:Exploit Public-Facing Application</t>
        </is>
      </c>
      <c r="S405" t="n">
        <v>1</v>
      </c>
      <c r="T405" t="inlineStr">
        <is>
          <t>LOW (40%)</t>
        </is>
      </c>
      <c r="U405" t="inlineStr">
        <is>
          <t>UNLIKELY</t>
        </is>
      </c>
      <c r="V405" t="inlineStr">
        <is>
          <t>PATCH_AVAILABLE</t>
        </is>
      </c>
      <c r="W405" t="inlineStr">
        <is>
          <t>https://nvd.nist.gov/vuln/detail/CVE-2026-23980</t>
        </is>
      </c>
      <c r="X405" t="inlineStr">
        <is>
          <t>NONE</t>
        </is>
      </c>
      <c r="Y405" t="n">
        <v>0</v>
      </c>
      <c r="Z405" t="inlineStr"/>
      <c r="AA405" t="inlineStr">
        <is>
          <t>https://nvd.nist.gov/vuln/detail/CVE-2026-23980</t>
        </is>
      </c>
    </row>
    <row r="406">
      <c r="A406" t="inlineStr">
        <is>
          <t>CVE</t>
        </is>
      </c>
      <c r="B406" t="inlineStr">
        <is>
          <t>CVE-2026-23982</t>
        </is>
      </c>
      <c r="C406"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406" t="n">
        <v>6.5</v>
      </c>
      <c r="E406" t="inlineStr">
        <is>
          <t>MEDIUM</t>
        </is>
      </c>
      <c r="F406" t="n">
        <v>2</v>
      </c>
      <c r="G406" t="n">
        <v>2</v>
      </c>
      <c r="H406" t="inlineStr">
        <is>
          <t>MEDIUM</t>
        </is>
      </c>
      <c r="I406" t="n">
        <v>10.5</v>
      </c>
      <c r="J406" t="inlineStr">
        <is>
          <t>NO</t>
        </is>
      </c>
      <c r="K406" t="inlineStr">
        <is>
          <t>2026-02-27 20:47</t>
        </is>
      </c>
      <c r="L406" t="inlineStr">
        <is>
          <t>YES</t>
        </is>
      </c>
      <c r="M406" t="inlineStr">
        <is>
          <t>apache superset *</t>
        </is>
      </c>
      <c r="N406" t="inlineStr">
        <is>
          <t>P4</t>
        </is>
      </c>
      <c r="O406" t="inlineStr">
        <is>
          <t>CVE - IP enrichment n/a</t>
        </is>
      </c>
      <c r="P406" t="n">
        <v>0.0003</v>
      </c>
      <c r="Q406" t="n">
        <v>0.0993</v>
      </c>
      <c r="R406" t="inlineStr">
        <is>
          <t>T1190:Exploit Public-Facing Application</t>
        </is>
      </c>
      <c r="S406" t="n">
        <v>1</v>
      </c>
      <c r="T406" t="inlineStr">
        <is>
          <t>LOW (40%)</t>
        </is>
      </c>
      <c r="U406" t="inlineStr">
        <is>
          <t>UNLIKELY</t>
        </is>
      </c>
      <c r="V406" t="inlineStr">
        <is>
          <t>PATCH_AVAILABLE</t>
        </is>
      </c>
      <c r="W406" t="inlineStr">
        <is>
          <t>https://nvd.nist.gov/vuln/detail/CVE-2026-23982</t>
        </is>
      </c>
      <c r="X406" t="inlineStr">
        <is>
          <t>NONE</t>
        </is>
      </c>
      <c r="Y406" t="n">
        <v>0</v>
      </c>
      <c r="Z406" t="inlineStr"/>
      <c r="AA406" t="inlineStr">
        <is>
          <t>https://nvd.nist.gov/vuln/detail/CVE-2026-23982</t>
        </is>
      </c>
    </row>
    <row r="407">
      <c r="A407" t="inlineStr">
        <is>
          <t>CVE</t>
        </is>
      </c>
      <c r="B407" t="inlineStr">
        <is>
          <t>CVE-2026-23983</t>
        </is>
      </c>
      <c r="C407"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407" t="n">
        <v>6.5</v>
      </c>
      <c r="E407" t="inlineStr">
        <is>
          <t>MEDIUM</t>
        </is>
      </c>
      <c r="F407" t="n">
        <v>2</v>
      </c>
      <c r="G407" t="n">
        <v>2</v>
      </c>
      <c r="H407" t="inlineStr">
        <is>
          <t>MEDIUM</t>
        </is>
      </c>
      <c r="I407" t="n">
        <v>10.5</v>
      </c>
      <c r="J407" t="inlineStr">
        <is>
          <t>NO</t>
        </is>
      </c>
      <c r="K407" t="inlineStr">
        <is>
          <t>2026-02-27 20:47</t>
        </is>
      </c>
      <c r="L407" t="inlineStr">
        <is>
          <t>YES</t>
        </is>
      </c>
      <c r="M407" t="inlineStr">
        <is>
          <t>apache superset *</t>
        </is>
      </c>
      <c r="N407" t="inlineStr">
        <is>
          <t>P4</t>
        </is>
      </c>
      <c r="O407" t="inlineStr">
        <is>
          <t>CVE - IP enrichment n/a</t>
        </is>
      </c>
      <c r="P407" t="n">
        <v>0.0005</v>
      </c>
      <c r="Q407" t="n">
        <v>0.1388</v>
      </c>
      <c r="R407" t="inlineStr">
        <is>
          <t>T1213:Data from Information Repositories</t>
        </is>
      </c>
      <c r="S407" t="n">
        <v>1</v>
      </c>
      <c r="T407" t="inlineStr">
        <is>
          <t>LOW (40%)</t>
        </is>
      </c>
      <c r="U407" t="inlineStr">
        <is>
          <t>UNLIKELY</t>
        </is>
      </c>
      <c r="V407" t="inlineStr">
        <is>
          <t>PATCH_AVAILABLE</t>
        </is>
      </c>
      <c r="W407" t="inlineStr">
        <is>
          <t>https://nvd.nist.gov/vuln/detail/CVE-2026-23983</t>
        </is>
      </c>
      <c r="X407" t="inlineStr">
        <is>
          <t>NONE</t>
        </is>
      </c>
      <c r="Y407" t="n">
        <v>0</v>
      </c>
      <c r="Z407" t="inlineStr"/>
      <c r="AA407" t="inlineStr">
        <is>
          <t>https://nvd.nist.gov/vuln/detail/CVE-2026-23983</t>
        </is>
      </c>
    </row>
    <row r="408">
      <c r="A408" t="inlineStr">
        <is>
          <t>CVE</t>
        </is>
      </c>
      <c r="B408" t="inlineStr">
        <is>
          <t>CVE-2026-23984</t>
        </is>
      </c>
      <c r="C408"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408" t="n">
        <v>6.5</v>
      </c>
      <c r="E408" t="inlineStr">
        <is>
          <t>MEDIUM</t>
        </is>
      </c>
      <c r="F408" t="n">
        <v>2</v>
      </c>
      <c r="G408" t="n">
        <v>2</v>
      </c>
      <c r="H408" t="inlineStr">
        <is>
          <t>MEDIUM</t>
        </is>
      </c>
      <c r="I408" t="n">
        <v>10.5</v>
      </c>
      <c r="J408" t="inlineStr">
        <is>
          <t>NO</t>
        </is>
      </c>
      <c r="K408" t="inlineStr">
        <is>
          <t>2026-02-27 20:47</t>
        </is>
      </c>
      <c r="L408" t="inlineStr">
        <is>
          <t>CHECK_VENDOR</t>
        </is>
      </c>
      <c r="M408" t="inlineStr">
        <is>
          <t>apache superset *</t>
        </is>
      </c>
      <c r="N408" t="inlineStr">
        <is>
          <t>P4</t>
        </is>
      </c>
      <c r="O408" t="inlineStr">
        <is>
          <t>CVE - IP enrichment n/a</t>
        </is>
      </c>
      <c r="P408" t="n">
        <v>0.0003</v>
      </c>
      <c r="Q408" t="n">
        <v>0.0949</v>
      </c>
      <c r="R408" t="inlineStr">
        <is>
          <t>T1190:Exploit Public-Facing Application</t>
        </is>
      </c>
      <c r="S408" t="n">
        <v>1</v>
      </c>
      <c r="T408" t="inlineStr">
        <is>
          <t>LOW (40%)</t>
        </is>
      </c>
      <c r="U408" t="inlineStr">
        <is>
          <t>UNLIKELY</t>
        </is>
      </c>
      <c r="V408" t="inlineStr">
        <is>
          <t>CHECK_VENDOR</t>
        </is>
      </c>
      <c r="W408" t="inlineStr">
        <is>
          <t>https://nvd.nist.gov/vuln/detail/CVE-2026-23984</t>
        </is>
      </c>
      <c r="X408" t="inlineStr">
        <is>
          <t>NONE</t>
        </is>
      </c>
      <c r="Y408" t="n">
        <v>0</v>
      </c>
      <c r="Z408" t="inlineStr"/>
      <c r="AA408" t="inlineStr">
        <is>
          <t>https://nvd.nist.gov/vuln/detail/CVE-2026-23984</t>
        </is>
      </c>
    </row>
    <row r="409">
      <c r="A409" t="inlineStr">
        <is>
          <t>CVE</t>
        </is>
      </c>
      <c r="B409" t="inlineStr">
        <is>
          <t>CVE-2026-2459</t>
        </is>
      </c>
      <c r="C409" t="inlineStr">
        <is>
          <t>A vulnerability exists in REB500 for an authenticated user with Installer role to access and alter the contents of directories that the role is not authorized to do so.</t>
        </is>
      </c>
      <c r="D409" t="n">
        <v>8.1</v>
      </c>
      <c r="E409" t="inlineStr">
        <is>
          <t>HIGH</t>
        </is>
      </c>
      <c r="F409" t="n">
        <v>2</v>
      </c>
      <c r="G409" t="n">
        <v>3</v>
      </c>
      <c r="H409" t="inlineStr">
        <is>
          <t>HIGH</t>
        </is>
      </c>
      <c r="I409" t="n">
        <v>14.1</v>
      </c>
      <c r="J409" t="inlineStr">
        <is>
          <t>NO</t>
        </is>
      </c>
      <c r="K409" t="inlineStr">
        <is>
          <t>2026-02-27 20:47</t>
        </is>
      </c>
      <c r="L409" t="inlineStr">
        <is>
          <t>YES</t>
        </is>
      </c>
      <c r="M409" t="inlineStr">
        <is>
          <t>hitachienergy reb500_firmware * | hitachienergy reb500 -</t>
        </is>
      </c>
      <c r="N409" t="inlineStr">
        <is>
          <t>P3</t>
        </is>
      </c>
      <c r="O409" t="inlineStr">
        <is>
          <t>CVE - IP enrichment n/a</t>
        </is>
      </c>
      <c r="P409" t="n">
        <v>0.0003</v>
      </c>
      <c r="Q409" t="n">
        <v>0.0736</v>
      </c>
      <c r="R409" t="inlineStr">
        <is>
          <t>T1190:Exploit Public-Facing Application</t>
        </is>
      </c>
      <c r="S409" t="n">
        <v>1</v>
      </c>
      <c r="T409" t="inlineStr">
        <is>
          <t>LOW (40%)</t>
        </is>
      </c>
      <c r="U409" t="inlineStr">
        <is>
          <t>UNLIKELY</t>
        </is>
      </c>
      <c r="V409" t="inlineStr">
        <is>
          <t>PATCH_AVAILABLE</t>
        </is>
      </c>
      <c r="W409" t="inlineStr">
        <is>
          <t>https://nvd.nist.gov/vuln/detail/CVE-2026-2459</t>
        </is>
      </c>
      <c r="X409" t="inlineStr">
        <is>
          <t>NONE</t>
        </is>
      </c>
      <c r="Y409" t="n">
        <v>0</v>
      </c>
      <c r="Z409" t="inlineStr"/>
      <c r="AA409" t="inlineStr">
        <is>
          <t>https://nvd.nist.gov/vuln/detail/CVE-2026-2459</t>
        </is>
      </c>
    </row>
    <row r="410">
      <c r="A410" t="inlineStr">
        <is>
          <t>CVE</t>
        </is>
      </c>
      <c r="B410" t="inlineStr">
        <is>
          <t>CVE-2026-2460</t>
        </is>
      </c>
      <c r="C410" t="inlineStr">
        <is>
          <t>A vulnerability exists in REB500 for an authenticated user with low-level privileges to access and alter the content of directories by using the DAC protocol that the user is not authorized to do so.</t>
        </is>
      </c>
      <c r="D410" t="n">
        <v>8.1</v>
      </c>
      <c r="E410" t="inlineStr">
        <is>
          <t>HIGH</t>
        </is>
      </c>
      <c r="F410" t="n">
        <v>2</v>
      </c>
      <c r="G410" t="n">
        <v>3</v>
      </c>
      <c r="H410" t="inlineStr">
        <is>
          <t>HIGH</t>
        </is>
      </c>
      <c r="I410" t="n">
        <v>14.1</v>
      </c>
      <c r="J410" t="inlineStr">
        <is>
          <t>NO</t>
        </is>
      </c>
      <c r="K410" t="inlineStr">
        <is>
          <t>2026-02-27 20:47</t>
        </is>
      </c>
      <c r="L410" t="inlineStr">
        <is>
          <t>YES</t>
        </is>
      </c>
      <c r="M410" t="inlineStr">
        <is>
          <t>hitachienergy reb500_firmware * | hitachienergy reb500 -</t>
        </is>
      </c>
      <c r="N410" t="inlineStr">
        <is>
          <t>P3</t>
        </is>
      </c>
      <c r="O410" t="inlineStr">
        <is>
          <t>CVE - IP enrichment n/a</t>
        </is>
      </c>
      <c r="P410" t="n">
        <v>0.0003</v>
      </c>
      <c r="Q410" t="n">
        <v>0.0828</v>
      </c>
      <c r="R410" t="inlineStr">
        <is>
          <t>T1190:Exploit Public-Facing Application</t>
        </is>
      </c>
      <c r="S410" t="n">
        <v>1</v>
      </c>
      <c r="T410" t="inlineStr">
        <is>
          <t>LOW (40%)</t>
        </is>
      </c>
      <c r="U410" t="inlineStr">
        <is>
          <t>UNLIKELY</t>
        </is>
      </c>
      <c r="V410" t="inlineStr">
        <is>
          <t>PATCH_AVAILABLE</t>
        </is>
      </c>
      <c r="W410" t="inlineStr">
        <is>
          <t>https://nvd.nist.gov/vuln/detail/CVE-2026-2460</t>
        </is>
      </c>
      <c r="X410" t="inlineStr">
        <is>
          <t>NONE</t>
        </is>
      </c>
      <c r="Y410" t="n">
        <v>0</v>
      </c>
      <c r="Z410" t="inlineStr"/>
      <c r="AA410" t="inlineStr">
        <is>
          <t>https://nvd.nist.gov/vuln/detail/CVE-2026-2460</t>
        </is>
      </c>
    </row>
    <row r="411">
      <c r="A411" t="inlineStr">
        <is>
          <t>CVE</t>
        </is>
      </c>
      <c r="B411" t="inlineStr">
        <is>
          <t>CVE-2026-2634</t>
        </is>
      </c>
      <c r="C411"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411" t="n">
        <v>9.800000000000001</v>
      </c>
      <c r="E411" t="inlineStr">
        <is>
          <t>CRITICAL</t>
        </is>
      </c>
      <c r="F411" t="n">
        <v>2</v>
      </c>
      <c r="G411" t="n">
        <v>3</v>
      </c>
      <c r="H411" t="inlineStr">
        <is>
          <t>HIGH</t>
        </is>
      </c>
      <c r="I411" t="n">
        <v>15.8</v>
      </c>
      <c r="J411" t="inlineStr">
        <is>
          <t>NO</t>
        </is>
      </c>
      <c r="K411" t="inlineStr">
        <is>
          <t>2026-02-27 20:47</t>
        </is>
      </c>
      <c r="L411" t="inlineStr">
        <is>
          <t>YES</t>
        </is>
      </c>
      <c r="M411" t="inlineStr">
        <is>
          <t>mozilla firefox *</t>
        </is>
      </c>
      <c r="N411" t="inlineStr">
        <is>
          <t>P3</t>
        </is>
      </c>
      <c r="O411" t="inlineStr">
        <is>
          <t>CVE - IP enrichment n/a</t>
        </is>
      </c>
      <c r="P411" t="n">
        <v>0.0004</v>
      </c>
      <c r="Q411" t="n">
        <v>0.1265</v>
      </c>
      <c r="R411" t="inlineStr">
        <is>
          <t>T1190:Exploit Public-Facing Application</t>
        </is>
      </c>
      <c r="S411" t="n">
        <v>1</v>
      </c>
      <c r="T411" t="inlineStr">
        <is>
          <t>LOW (40%)</t>
        </is>
      </c>
      <c r="U411" t="inlineStr">
        <is>
          <t>UNLIKELY</t>
        </is>
      </c>
      <c r="V411" t="inlineStr">
        <is>
          <t>PATCH_AVAILABLE</t>
        </is>
      </c>
      <c r="W411" t="inlineStr">
        <is>
          <t>https://nvd.nist.gov/vuln/detail/CVE-2026-2634</t>
        </is>
      </c>
      <c r="X411" t="inlineStr">
        <is>
          <t>NONE</t>
        </is>
      </c>
      <c r="Y411" t="n">
        <v>0</v>
      </c>
      <c r="Z411" t="inlineStr"/>
      <c r="AA411" t="inlineStr">
        <is>
          <t>https://nvd.nist.gov/vuln/detail/CVE-2026-2634</t>
        </is>
      </c>
    </row>
    <row r="412">
      <c r="A412" t="inlineStr">
        <is>
          <t>CVE</t>
        </is>
      </c>
      <c r="B412" t="inlineStr">
        <is>
          <t>CVE-2026-2757</t>
        </is>
      </c>
      <c r="C412" t="inlineStr">
        <is>
          <t>Incorrect boundary conditions in the WebRTC: Audio/Video component. This vulnerability affects Firefox &lt; 148, Firefox ESR &lt; 115.33, Firefox ESR &lt; 140.8, Thunderbird &lt; 148, and Thunderbird &lt; 140.8.</t>
        </is>
      </c>
      <c r="D412" t="n">
        <v>9.800000000000001</v>
      </c>
      <c r="E412" t="inlineStr">
        <is>
          <t>CRITICAL</t>
        </is>
      </c>
      <c r="F412" t="n">
        <v>2</v>
      </c>
      <c r="G412" t="n">
        <v>3</v>
      </c>
      <c r="H412" t="inlineStr">
        <is>
          <t>HIGH</t>
        </is>
      </c>
      <c r="I412" t="n">
        <v>15.8</v>
      </c>
      <c r="J412" t="inlineStr">
        <is>
          <t>NO</t>
        </is>
      </c>
      <c r="K412" t="inlineStr">
        <is>
          <t>2026-02-27 20:47</t>
        </is>
      </c>
      <c r="L412" t="inlineStr">
        <is>
          <t>YES</t>
        </is>
      </c>
      <c r="M412" t="inlineStr">
        <is>
          <t>mozilla firefox *</t>
        </is>
      </c>
      <c r="N412" t="inlineStr">
        <is>
          <t>P3</t>
        </is>
      </c>
      <c r="O412" t="inlineStr">
        <is>
          <t>CVE - IP enrichment n/a</t>
        </is>
      </c>
      <c r="P412" t="n">
        <v>0.0005</v>
      </c>
      <c r="Q412" t="n">
        <v>0.1409</v>
      </c>
      <c r="R412" t="inlineStr">
        <is>
          <t>T1190:Exploit Public-Facing Application</t>
        </is>
      </c>
      <c r="S412" t="n">
        <v>1</v>
      </c>
      <c r="T412" t="inlineStr">
        <is>
          <t>LOW (40%)</t>
        </is>
      </c>
      <c r="U412" t="inlineStr">
        <is>
          <t>UNLIKELY</t>
        </is>
      </c>
      <c r="V412" t="inlineStr">
        <is>
          <t>PATCH_AVAILABLE</t>
        </is>
      </c>
      <c r="W412" t="inlineStr">
        <is>
          <t>https://nvd.nist.gov/vuln/detail/CVE-2026-2757</t>
        </is>
      </c>
      <c r="X412" t="inlineStr">
        <is>
          <t>NONE</t>
        </is>
      </c>
      <c r="Y412" t="n">
        <v>0</v>
      </c>
      <c r="Z412" t="inlineStr"/>
      <c r="AA412" t="inlineStr">
        <is>
          <t>https://nvd.nist.gov/vuln/detail/CVE-2026-2757</t>
        </is>
      </c>
    </row>
    <row r="413">
      <c r="A413" t="inlineStr">
        <is>
          <t>CVE</t>
        </is>
      </c>
      <c r="B413" t="inlineStr">
        <is>
          <t>CVE-2026-2758</t>
        </is>
      </c>
      <c r="C413" t="inlineStr">
        <is>
          <t>Use-after-free in the JavaScript: GC component. This vulnerability affects Firefox &lt; 148, Firefox ESR &lt; 115.33, Firefox ESR &lt; 140.8, Thunderbird &lt; 148, and Thunderbird &lt; 140.8.</t>
        </is>
      </c>
      <c r="D413" t="n">
        <v>9.800000000000001</v>
      </c>
      <c r="E413" t="inlineStr">
        <is>
          <t>CRITICAL</t>
        </is>
      </c>
      <c r="F413" t="n">
        <v>2</v>
      </c>
      <c r="G413" t="n">
        <v>3</v>
      </c>
      <c r="H413" t="inlineStr">
        <is>
          <t>HIGH</t>
        </is>
      </c>
      <c r="I413" t="n">
        <v>15.8</v>
      </c>
      <c r="J413" t="inlineStr">
        <is>
          <t>NO</t>
        </is>
      </c>
      <c r="K413" t="inlineStr">
        <is>
          <t>2026-02-27 20:47</t>
        </is>
      </c>
      <c r="L413" t="inlineStr">
        <is>
          <t>YES</t>
        </is>
      </c>
      <c r="M413" t="inlineStr">
        <is>
          <t>mozilla firefox *</t>
        </is>
      </c>
      <c r="N413" t="inlineStr">
        <is>
          <t>P3</t>
        </is>
      </c>
      <c r="O413" t="inlineStr">
        <is>
          <t>CVE - IP enrichment n/a</t>
        </is>
      </c>
      <c r="P413" t="n">
        <v>0.0005</v>
      </c>
      <c r="Q413" t="n">
        <v>0.1409</v>
      </c>
      <c r="R413" t="inlineStr">
        <is>
          <t>T1203:Exploitation for Client Execution</t>
        </is>
      </c>
      <c r="S413" t="n">
        <v>1</v>
      </c>
      <c r="T413" t="inlineStr">
        <is>
          <t>LOW (40%)</t>
        </is>
      </c>
      <c r="U413" t="inlineStr">
        <is>
          <t>UNLIKELY</t>
        </is>
      </c>
      <c r="V413" t="inlineStr">
        <is>
          <t>PATCH_AVAILABLE</t>
        </is>
      </c>
      <c r="W413" t="inlineStr">
        <is>
          <t>https://nvd.nist.gov/vuln/detail/CVE-2026-2758</t>
        </is>
      </c>
      <c r="X413" t="inlineStr">
        <is>
          <t>NONE</t>
        </is>
      </c>
      <c r="Y413" t="n">
        <v>0</v>
      </c>
      <c r="Z413" t="inlineStr"/>
      <c r="AA413" t="inlineStr">
        <is>
          <t>https://nvd.nist.gov/vuln/detail/CVE-2026-2758</t>
        </is>
      </c>
    </row>
    <row r="414">
      <c r="A414" t="inlineStr">
        <is>
          <t>CVE</t>
        </is>
      </c>
      <c r="B414" t="inlineStr">
        <is>
          <t>CVE-2026-2759</t>
        </is>
      </c>
      <c r="C414" t="inlineStr">
        <is>
          <t>Incorrect boundary conditions in the Graphics: ImageLib component. This vulnerability affects Firefox &lt; 148, Firefox ESR &lt; 115.33, Firefox ESR &lt; 140.8, Thunderbird &lt; 148, and Thunderbird &lt; 140.8.</t>
        </is>
      </c>
      <c r="D414" t="n">
        <v>9.800000000000001</v>
      </c>
      <c r="E414" t="inlineStr">
        <is>
          <t>CRITICAL</t>
        </is>
      </c>
      <c r="F414" t="n">
        <v>2</v>
      </c>
      <c r="G414" t="n">
        <v>3</v>
      </c>
      <c r="H414" t="inlineStr">
        <is>
          <t>HIGH</t>
        </is>
      </c>
      <c r="I414" t="n">
        <v>15.8</v>
      </c>
      <c r="J414" t="inlineStr">
        <is>
          <t>NO</t>
        </is>
      </c>
      <c r="K414" t="inlineStr">
        <is>
          <t>2026-02-27 20:47</t>
        </is>
      </c>
      <c r="L414" t="inlineStr">
        <is>
          <t>YES</t>
        </is>
      </c>
      <c r="M414" t="inlineStr">
        <is>
          <t>mozilla firefox *</t>
        </is>
      </c>
      <c r="N414" t="inlineStr">
        <is>
          <t>P3</t>
        </is>
      </c>
      <c r="O414" t="inlineStr">
        <is>
          <t>CVE - IP enrichment n/a</t>
        </is>
      </c>
      <c r="P414" t="n">
        <v>0.0005</v>
      </c>
      <c r="Q414" t="n">
        <v>0.1409</v>
      </c>
      <c r="R414" t="inlineStr">
        <is>
          <t>T1190:Exploit Public-Facing Application</t>
        </is>
      </c>
      <c r="S414" t="n">
        <v>1</v>
      </c>
      <c r="T414" t="inlineStr">
        <is>
          <t>LOW (40%)</t>
        </is>
      </c>
      <c r="U414" t="inlineStr">
        <is>
          <t>UNLIKELY</t>
        </is>
      </c>
      <c r="V414" t="inlineStr">
        <is>
          <t>PATCH_AVAILABLE</t>
        </is>
      </c>
      <c r="W414" t="inlineStr">
        <is>
          <t>https://nvd.nist.gov/vuln/detail/CVE-2026-2759</t>
        </is>
      </c>
      <c r="X414" t="inlineStr">
        <is>
          <t>NONE</t>
        </is>
      </c>
      <c r="Y414" t="n">
        <v>0</v>
      </c>
      <c r="Z414" t="inlineStr"/>
      <c r="AA414" t="inlineStr">
        <is>
          <t>https://nvd.nist.gov/vuln/detail/CVE-2026-2759</t>
        </is>
      </c>
    </row>
    <row r="415">
      <c r="A415" t="inlineStr">
        <is>
          <t>CVE</t>
        </is>
      </c>
      <c r="B415" t="inlineStr">
        <is>
          <t>CVE-2026-2760</t>
        </is>
      </c>
      <c r="C415" t="inlineStr">
        <is>
          <t>Sandbox escape due to incorrect boundary conditions in the Graphics: WebRender component. This vulnerability affects Firefox &lt; 148, Firefox ESR &lt; 115.33, Firefox ESR &lt; 140.8, Thunderbird &lt; 148, and Thunderbird &lt; 140.8.</t>
        </is>
      </c>
      <c r="D415" t="n">
        <v>10</v>
      </c>
      <c r="E415" t="inlineStr">
        <is>
          <t>CRITICAL</t>
        </is>
      </c>
      <c r="F415" t="n">
        <v>2</v>
      </c>
      <c r="G415" t="n">
        <v>3</v>
      </c>
      <c r="H415" t="inlineStr">
        <is>
          <t>HIGH</t>
        </is>
      </c>
      <c r="I415" t="n">
        <v>16</v>
      </c>
      <c r="J415" t="inlineStr">
        <is>
          <t>NO</t>
        </is>
      </c>
      <c r="K415" t="inlineStr">
        <is>
          <t>2026-02-27 20:47</t>
        </is>
      </c>
      <c r="L415" t="inlineStr">
        <is>
          <t>YES</t>
        </is>
      </c>
      <c r="M415" t="inlineStr">
        <is>
          <t>mozilla firefox *</t>
        </is>
      </c>
      <c r="N415" t="inlineStr">
        <is>
          <t>P3</t>
        </is>
      </c>
      <c r="O415" t="inlineStr">
        <is>
          <t>CVE - IP enrichment n/a</t>
        </is>
      </c>
      <c r="P415" t="n">
        <v>0.0005</v>
      </c>
      <c r="Q415" t="n">
        <v>0.1686</v>
      </c>
      <c r="R415" t="inlineStr">
        <is>
          <t>T1190:Exploit Public-Facing Application</t>
        </is>
      </c>
      <c r="S415" t="n">
        <v>1</v>
      </c>
      <c r="T415" t="inlineStr">
        <is>
          <t>LOW (40%)</t>
        </is>
      </c>
      <c r="U415" t="inlineStr">
        <is>
          <t>UNLIKELY</t>
        </is>
      </c>
      <c r="V415" t="inlineStr">
        <is>
          <t>PATCH_AVAILABLE</t>
        </is>
      </c>
      <c r="W415" t="inlineStr">
        <is>
          <t>https://nvd.nist.gov/vuln/detail/CVE-2026-2760</t>
        </is>
      </c>
      <c r="X415" t="inlineStr">
        <is>
          <t>NONE</t>
        </is>
      </c>
      <c r="Y415" t="n">
        <v>0</v>
      </c>
      <c r="Z415" t="inlineStr"/>
      <c r="AA415" t="inlineStr">
        <is>
          <t>https://nvd.nist.gov/vuln/detail/CVE-2026-2760</t>
        </is>
      </c>
    </row>
    <row r="416">
      <c r="A416" t="inlineStr">
        <is>
          <t>CVE</t>
        </is>
      </c>
      <c r="B416" t="inlineStr">
        <is>
          <t>CVE-2026-2761</t>
        </is>
      </c>
      <c r="C416" t="inlineStr">
        <is>
          <t>Sandbox escape in the Graphics: WebRender component. This vulnerability affects Firefox &lt; 148, Firefox ESR &lt; 115.33, Firefox ESR &lt; 140.8, Thunderbird &lt; 148, and Thunderbird &lt; 140.8.</t>
        </is>
      </c>
      <c r="D416" t="n">
        <v>10</v>
      </c>
      <c r="E416" t="inlineStr">
        <is>
          <t>CRITICAL</t>
        </is>
      </c>
      <c r="F416" t="n">
        <v>2</v>
      </c>
      <c r="G416" t="n">
        <v>3</v>
      </c>
      <c r="H416" t="inlineStr">
        <is>
          <t>HIGH</t>
        </is>
      </c>
      <c r="I416" t="n">
        <v>16</v>
      </c>
      <c r="J416" t="inlineStr">
        <is>
          <t>NO</t>
        </is>
      </c>
      <c r="K416" t="inlineStr">
        <is>
          <t>2026-02-27 20:47</t>
        </is>
      </c>
      <c r="L416" t="inlineStr">
        <is>
          <t>YES</t>
        </is>
      </c>
      <c r="M416" t="inlineStr">
        <is>
          <t>mozilla firefox *</t>
        </is>
      </c>
      <c r="N416" t="inlineStr">
        <is>
          <t>P3</t>
        </is>
      </c>
      <c r="O416" t="inlineStr">
        <is>
          <t>CVE - IP enrichment n/a</t>
        </is>
      </c>
      <c r="P416" t="n">
        <v>0.001</v>
      </c>
      <c r="Q416" t="n">
        <v>0.2684</v>
      </c>
      <c r="R416" t="inlineStr">
        <is>
          <t>T1190:Exploit Public-Facing Application</t>
        </is>
      </c>
      <c r="S416" t="n">
        <v>1</v>
      </c>
      <c r="T416" t="inlineStr">
        <is>
          <t>LOW (40%)</t>
        </is>
      </c>
      <c r="U416" t="inlineStr">
        <is>
          <t>UNLIKELY</t>
        </is>
      </c>
      <c r="V416" t="inlineStr">
        <is>
          <t>PATCH_AVAILABLE</t>
        </is>
      </c>
      <c r="W416" t="inlineStr">
        <is>
          <t>https://nvd.nist.gov/vuln/detail/CVE-2026-2761</t>
        </is>
      </c>
      <c r="X416" t="inlineStr">
        <is>
          <t>NONE</t>
        </is>
      </c>
      <c r="Y416" t="n">
        <v>0</v>
      </c>
      <c r="Z416" t="inlineStr"/>
      <c r="AA416" t="inlineStr">
        <is>
          <t>https://nvd.nist.gov/vuln/detail/CVE-2026-2761</t>
        </is>
      </c>
    </row>
    <row r="417">
      <c r="A417" t="inlineStr">
        <is>
          <t>CVE</t>
        </is>
      </c>
      <c r="B417" t="inlineStr">
        <is>
          <t>CVE-2026-2762</t>
        </is>
      </c>
      <c r="C417" t="inlineStr">
        <is>
          <t>Integer overflow in the JavaScript: Standard Library component. This vulnerability affects Firefox &lt; 148, Firefox ESR &lt; 140.8, Thunderbird &lt; 148, and Thunderbird &lt; 140.8.</t>
        </is>
      </c>
      <c r="D417" t="n">
        <v>9.800000000000001</v>
      </c>
      <c r="E417" t="inlineStr">
        <is>
          <t>CRITICAL</t>
        </is>
      </c>
      <c r="F417" t="n">
        <v>2</v>
      </c>
      <c r="G417" t="n">
        <v>3</v>
      </c>
      <c r="H417" t="inlineStr">
        <is>
          <t>HIGH</t>
        </is>
      </c>
      <c r="I417" t="n">
        <v>15.8</v>
      </c>
      <c r="J417" t="inlineStr">
        <is>
          <t>NO</t>
        </is>
      </c>
      <c r="K417" t="inlineStr">
        <is>
          <t>2026-02-27 20:47</t>
        </is>
      </c>
      <c r="L417" t="inlineStr">
        <is>
          <t>YES</t>
        </is>
      </c>
      <c r="M417" t="inlineStr">
        <is>
          <t>mozilla firefox * | mozilla thunderbird *</t>
        </is>
      </c>
      <c r="N417" t="inlineStr">
        <is>
          <t>P3</t>
        </is>
      </c>
      <c r="O417" t="inlineStr">
        <is>
          <t>CVE - IP enrichment n/a</t>
        </is>
      </c>
      <c r="P417" t="n">
        <v>0.0004</v>
      </c>
      <c r="Q417" t="n">
        <v>0.1377</v>
      </c>
      <c r="R417" t="inlineStr">
        <is>
          <t>T1190:Exploit Public-Facing Application | T1203:Exploitation for Client Execution</t>
        </is>
      </c>
      <c r="S417" t="n">
        <v>1</v>
      </c>
      <c r="T417" t="inlineStr">
        <is>
          <t>LOW (40%)</t>
        </is>
      </c>
      <c r="U417" t="inlineStr">
        <is>
          <t>UNLIKELY</t>
        </is>
      </c>
      <c r="V417" t="inlineStr">
        <is>
          <t>PATCH_AVAILABLE</t>
        </is>
      </c>
      <c r="W417" t="inlineStr">
        <is>
          <t>https://nvd.nist.gov/vuln/detail/CVE-2026-2762</t>
        </is>
      </c>
      <c r="X417" t="inlineStr">
        <is>
          <t>NONE</t>
        </is>
      </c>
      <c r="Y417" t="n">
        <v>0</v>
      </c>
      <c r="Z417" t="inlineStr"/>
      <c r="AA417" t="inlineStr">
        <is>
          <t>https://nvd.nist.gov/vuln/detail/CVE-2026-2762</t>
        </is>
      </c>
    </row>
    <row r="418">
      <c r="A418" t="inlineStr">
        <is>
          <t>CVE</t>
        </is>
      </c>
      <c r="B418" t="inlineStr">
        <is>
          <t>CVE-2026-2763</t>
        </is>
      </c>
      <c r="C418" t="inlineStr">
        <is>
          <t>Use-after-free in the JavaScript Engine component. This vulnerability affects Firefox &lt; 148, Firefox ESR &lt; 115.33, Firefox ESR &lt; 140.8, Thunderbird &lt; 148, and Thunderbird &lt; 140.8.</t>
        </is>
      </c>
      <c r="D418" t="n">
        <v>9.800000000000001</v>
      </c>
      <c r="E418" t="inlineStr">
        <is>
          <t>CRITICAL</t>
        </is>
      </c>
      <c r="F418" t="n">
        <v>2</v>
      </c>
      <c r="G418" t="n">
        <v>3</v>
      </c>
      <c r="H418" t="inlineStr">
        <is>
          <t>HIGH</t>
        </is>
      </c>
      <c r="I418" t="n">
        <v>15.8</v>
      </c>
      <c r="J418" t="inlineStr">
        <is>
          <t>NO</t>
        </is>
      </c>
      <c r="K418" t="inlineStr">
        <is>
          <t>2026-02-27 20:47</t>
        </is>
      </c>
      <c r="L418" t="inlineStr">
        <is>
          <t>YES</t>
        </is>
      </c>
      <c r="M418" t="inlineStr">
        <is>
          <t>mozilla firefox *</t>
        </is>
      </c>
      <c r="N418" t="inlineStr">
        <is>
          <t>P3</t>
        </is>
      </c>
      <c r="O418" t="inlineStr">
        <is>
          <t>CVE - IP enrichment n/a</t>
        </is>
      </c>
      <c r="P418" t="n">
        <v>0.0005</v>
      </c>
      <c r="Q418" t="n">
        <v>0.1409</v>
      </c>
      <c r="R418" t="inlineStr">
        <is>
          <t>T1203:Exploitation for Client Execution</t>
        </is>
      </c>
      <c r="S418" t="n">
        <v>1</v>
      </c>
      <c r="T418" t="inlineStr">
        <is>
          <t>LOW (40%)</t>
        </is>
      </c>
      <c r="U418" t="inlineStr">
        <is>
          <t>UNLIKELY</t>
        </is>
      </c>
      <c r="V418" t="inlineStr">
        <is>
          <t>PATCH_AVAILABLE</t>
        </is>
      </c>
      <c r="W418" t="inlineStr">
        <is>
          <t>https://nvd.nist.gov/vuln/detail/CVE-2026-2763</t>
        </is>
      </c>
      <c r="X418" t="inlineStr">
        <is>
          <t>NONE</t>
        </is>
      </c>
      <c r="Y418" t="n">
        <v>0</v>
      </c>
      <c r="Z418" t="inlineStr"/>
      <c r="AA418" t="inlineStr">
        <is>
          <t>https://nvd.nist.gov/vuln/detail/CVE-2026-2763</t>
        </is>
      </c>
    </row>
    <row r="419">
      <c r="A419" t="inlineStr">
        <is>
          <t>CVE</t>
        </is>
      </c>
      <c r="B419" t="inlineStr">
        <is>
          <t>CVE-2026-2764</t>
        </is>
      </c>
      <c r="C419" t="inlineStr">
        <is>
          <t>JIT miscompilation, use-after-free in the JavaScript Engine: JIT component. This vulnerability affects Firefox &lt; 148, Firefox ESR &lt; 115.33, Firefox ESR &lt; 140.8, Thunderbird &lt; 148, and Thunderbird &lt; 140.8.</t>
        </is>
      </c>
      <c r="D419" t="n">
        <v>9.800000000000001</v>
      </c>
      <c r="E419" t="inlineStr">
        <is>
          <t>CRITICAL</t>
        </is>
      </c>
      <c r="F419" t="n">
        <v>2</v>
      </c>
      <c r="G419" t="n">
        <v>3</v>
      </c>
      <c r="H419" t="inlineStr">
        <is>
          <t>HIGH</t>
        </is>
      </c>
      <c r="I419" t="n">
        <v>15.8</v>
      </c>
      <c r="J419" t="inlineStr">
        <is>
          <t>NO</t>
        </is>
      </c>
      <c r="K419" t="inlineStr">
        <is>
          <t>2026-02-27 20:47</t>
        </is>
      </c>
      <c r="L419" t="inlineStr">
        <is>
          <t>YES</t>
        </is>
      </c>
      <c r="M419" t="inlineStr">
        <is>
          <t>mozilla firefox *</t>
        </is>
      </c>
      <c r="N419" t="inlineStr">
        <is>
          <t>P3</t>
        </is>
      </c>
      <c r="O419" t="inlineStr">
        <is>
          <t>CVE - IP enrichment n/a</t>
        </is>
      </c>
      <c r="P419" t="n">
        <v>0.0005</v>
      </c>
      <c r="Q419" t="n">
        <v>0.1409</v>
      </c>
      <c r="R419" t="inlineStr">
        <is>
          <t>T1203:Exploitation for Client Execution</t>
        </is>
      </c>
      <c r="S419" t="n">
        <v>1</v>
      </c>
      <c r="T419" t="inlineStr">
        <is>
          <t>LOW (40%)</t>
        </is>
      </c>
      <c r="U419" t="inlineStr">
        <is>
          <t>UNLIKELY</t>
        </is>
      </c>
      <c r="V419" t="inlineStr">
        <is>
          <t>PATCH_AVAILABLE</t>
        </is>
      </c>
      <c r="W419" t="inlineStr">
        <is>
          <t>https://nvd.nist.gov/vuln/detail/CVE-2026-2764</t>
        </is>
      </c>
      <c r="X419" t="inlineStr">
        <is>
          <t>NONE</t>
        </is>
      </c>
      <c r="Y419" t="n">
        <v>0</v>
      </c>
      <c r="Z419" t="inlineStr"/>
      <c r="AA419" t="inlineStr">
        <is>
          <t>https://nvd.nist.gov/vuln/detail/CVE-2026-2764</t>
        </is>
      </c>
    </row>
    <row r="420">
      <c r="A420" t="inlineStr">
        <is>
          <t>CVE</t>
        </is>
      </c>
      <c r="B420" t="inlineStr">
        <is>
          <t>CVE-2026-2765</t>
        </is>
      </c>
      <c r="C420" t="inlineStr">
        <is>
          <t>Use-after-free in the JavaScript Engine component. This vulnerability affects Firefox &lt; 148, Firefox ESR &lt; 140.8, Thunderbird &lt; 148, and Thunderbird &lt; 140.8.</t>
        </is>
      </c>
      <c r="D420" t="n">
        <v>9.800000000000001</v>
      </c>
      <c r="E420" t="inlineStr">
        <is>
          <t>CRITICAL</t>
        </is>
      </c>
      <c r="F420" t="n">
        <v>2</v>
      </c>
      <c r="G420" t="n">
        <v>3</v>
      </c>
      <c r="H420" t="inlineStr">
        <is>
          <t>HIGH</t>
        </is>
      </c>
      <c r="I420" t="n">
        <v>15.8</v>
      </c>
      <c r="J420" t="inlineStr">
        <is>
          <t>NO</t>
        </is>
      </c>
      <c r="K420" t="inlineStr">
        <is>
          <t>2026-02-27 20:47</t>
        </is>
      </c>
      <c r="L420" t="inlineStr">
        <is>
          <t>YES</t>
        </is>
      </c>
      <c r="M420" t="inlineStr">
        <is>
          <t>mozilla firefox * | mozilla thunderbird *</t>
        </is>
      </c>
      <c r="N420" t="inlineStr">
        <is>
          <t>P3</t>
        </is>
      </c>
      <c r="O420" t="inlineStr">
        <is>
          <t>CVE - IP enrichment n/a</t>
        </is>
      </c>
      <c r="P420" t="n">
        <v>0.0004</v>
      </c>
      <c r="Q420" t="n">
        <v>0.1377</v>
      </c>
      <c r="R420" t="inlineStr">
        <is>
          <t>T1203:Exploitation for Client Execution</t>
        </is>
      </c>
      <c r="S420" t="n">
        <v>1</v>
      </c>
      <c r="T420" t="inlineStr">
        <is>
          <t>LOW (40%)</t>
        </is>
      </c>
      <c r="U420" t="inlineStr">
        <is>
          <t>UNLIKELY</t>
        </is>
      </c>
      <c r="V420" t="inlineStr">
        <is>
          <t>PATCH_AVAILABLE</t>
        </is>
      </c>
      <c r="W420" t="inlineStr">
        <is>
          <t>https://nvd.nist.gov/vuln/detail/CVE-2026-2765</t>
        </is>
      </c>
      <c r="X420" t="inlineStr">
        <is>
          <t>NONE</t>
        </is>
      </c>
      <c r="Y420" t="n">
        <v>0</v>
      </c>
      <c r="Z420" t="inlineStr"/>
      <c r="AA420" t="inlineStr">
        <is>
          <t>https://nvd.nist.gov/vuln/detail/CVE-2026-2765</t>
        </is>
      </c>
    </row>
    <row r="421">
      <c r="A421" t="inlineStr">
        <is>
          <t>CVE</t>
        </is>
      </c>
      <c r="B421" t="inlineStr">
        <is>
          <t>CVE-2026-2766</t>
        </is>
      </c>
      <c r="C421" t="inlineStr">
        <is>
          <t>Use-after-free in the JavaScript Engine: JIT component. This vulnerability affects Firefox &lt; 148, Firefox ESR &lt; 140.8, Thunderbird &lt; 148, and Thunderbird &lt; 140.8.</t>
        </is>
      </c>
      <c r="D421" t="n">
        <v>9.800000000000001</v>
      </c>
      <c r="E421" t="inlineStr">
        <is>
          <t>CRITICAL</t>
        </is>
      </c>
      <c r="F421" t="n">
        <v>2</v>
      </c>
      <c r="G421" t="n">
        <v>3</v>
      </c>
      <c r="H421" t="inlineStr">
        <is>
          <t>HIGH</t>
        </is>
      </c>
      <c r="I421" t="n">
        <v>15.8</v>
      </c>
      <c r="J421" t="inlineStr">
        <is>
          <t>NO</t>
        </is>
      </c>
      <c r="K421" t="inlineStr">
        <is>
          <t>2026-02-27 20:47</t>
        </is>
      </c>
      <c r="L421" t="inlineStr">
        <is>
          <t>YES</t>
        </is>
      </c>
      <c r="M421" t="inlineStr">
        <is>
          <t>mozilla firefox * | mozilla thunderbird *</t>
        </is>
      </c>
      <c r="N421" t="inlineStr">
        <is>
          <t>P3</t>
        </is>
      </c>
      <c r="O421" t="inlineStr">
        <is>
          <t>CVE - IP enrichment n/a</t>
        </is>
      </c>
      <c r="P421" t="n">
        <v>0.0004</v>
      </c>
      <c r="Q421" t="n">
        <v>0.1377</v>
      </c>
      <c r="R421" t="inlineStr">
        <is>
          <t>T1203:Exploitation for Client Execution</t>
        </is>
      </c>
      <c r="S421" t="n">
        <v>1</v>
      </c>
      <c r="T421" t="inlineStr">
        <is>
          <t>LOW (40%)</t>
        </is>
      </c>
      <c r="U421" t="inlineStr">
        <is>
          <t>UNLIKELY</t>
        </is>
      </c>
      <c r="V421" t="inlineStr">
        <is>
          <t>PATCH_AVAILABLE</t>
        </is>
      </c>
      <c r="W421" t="inlineStr">
        <is>
          <t>https://nvd.nist.gov/vuln/detail/CVE-2026-2766</t>
        </is>
      </c>
      <c r="X421" t="inlineStr">
        <is>
          <t>NONE</t>
        </is>
      </c>
      <c r="Y421" t="n">
        <v>0</v>
      </c>
      <c r="Z421" t="inlineStr"/>
      <c r="AA421" t="inlineStr">
        <is>
          <t>https://nvd.nist.gov/vuln/detail/CVE-2026-2766</t>
        </is>
      </c>
    </row>
    <row r="422">
      <c r="A422" t="inlineStr">
        <is>
          <t>CVE</t>
        </is>
      </c>
      <c r="B422" t="inlineStr">
        <is>
          <t>CVE-2026-2767</t>
        </is>
      </c>
      <c r="C422" t="inlineStr">
        <is>
          <t>Use-after-free in the JavaScript: WebAssembly component. This vulnerability affects Firefox &lt; 148, Firefox ESR &lt; 140.8, Thunderbird &lt; 148, and Thunderbird &lt; 140.8.</t>
        </is>
      </c>
      <c r="D422" t="n">
        <v>9.800000000000001</v>
      </c>
      <c r="E422" t="inlineStr">
        <is>
          <t>CRITICAL</t>
        </is>
      </c>
      <c r="F422" t="n">
        <v>2</v>
      </c>
      <c r="G422" t="n">
        <v>3</v>
      </c>
      <c r="H422" t="inlineStr">
        <is>
          <t>HIGH</t>
        </is>
      </c>
      <c r="I422" t="n">
        <v>15.8</v>
      </c>
      <c r="J422" t="inlineStr">
        <is>
          <t>NO</t>
        </is>
      </c>
      <c r="K422" t="inlineStr">
        <is>
          <t>2026-02-27 20:47</t>
        </is>
      </c>
      <c r="L422" t="inlineStr">
        <is>
          <t>YES</t>
        </is>
      </c>
      <c r="M422" t="inlineStr">
        <is>
          <t>mozilla firefox * | mozilla thunderbird *</t>
        </is>
      </c>
      <c r="N422" t="inlineStr">
        <is>
          <t>P3</t>
        </is>
      </c>
      <c r="O422" t="inlineStr">
        <is>
          <t>CVE - IP enrichment n/a</t>
        </is>
      </c>
      <c r="P422" t="n">
        <v>0.0004</v>
      </c>
      <c r="Q422" t="n">
        <v>0.1242</v>
      </c>
      <c r="R422" t="inlineStr">
        <is>
          <t>T1203:Exploitation for Client Execution</t>
        </is>
      </c>
      <c r="S422" t="n">
        <v>1</v>
      </c>
      <c r="T422" t="inlineStr">
        <is>
          <t>LOW (40%)</t>
        </is>
      </c>
      <c r="U422" t="inlineStr">
        <is>
          <t>UNLIKELY</t>
        </is>
      </c>
      <c r="V422" t="inlineStr">
        <is>
          <t>PATCH_AVAILABLE</t>
        </is>
      </c>
      <c r="W422" t="inlineStr">
        <is>
          <t>https://nvd.nist.gov/vuln/detail/CVE-2026-2767</t>
        </is>
      </c>
      <c r="X422" t="inlineStr">
        <is>
          <t>NONE</t>
        </is>
      </c>
      <c r="Y422" t="n">
        <v>0</v>
      </c>
      <c r="Z422" t="inlineStr"/>
      <c r="AA422" t="inlineStr">
        <is>
          <t>https://nvd.nist.gov/vuln/detail/CVE-2026-2767</t>
        </is>
      </c>
    </row>
    <row r="423">
      <c r="A423" t="inlineStr">
        <is>
          <t>CVE</t>
        </is>
      </c>
      <c r="B423" t="inlineStr">
        <is>
          <t>CVE-2026-2768</t>
        </is>
      </c>
      <c r="C423" t="inlineStr">
        <is>
          <t>Sandbox escape in the Storage: IndexedDB component. This vulnerability affects Firefox &lt; 148, Firefox ESR &lt; 140.8, Thunderbird &lt; 148, and Thunderbird &lt; 140.8.</t>
        </is>
      </c>
      <c r="D423" t="n">
        <v>10</v>
      </c>
      <c r="E423" t="inlineStr">
        <is>
          <t>CRITICAL</t>
        </is>
      </c>
      <c r="F423" t="n">
        <v>2</v>
      </c>
      <c r="G423" t="n">
        <v>3</v>
      </c>
      <c r="H423" t="inlineStr">
        <is>
          <t>HIGH</t>
        </is>
      </c>
      <c r="I423" t="n">
        <v>16</v>
      </c>
      <c r="J423" t="inlineStr">
        <is>
          <t>NO</t>
        </is>
      </c>
      <c r="K423" t="inlineStr">
        <is>
          <t>2026-02-27 20:47</t>
        </is>
      </c>
      <c r="L423" t="inlineStr">
        <is>
          <t>YES</t>
        </is>
      </c>
      <c r="M423" t="inlineStr">
        <is>
          <t>mozilla firefox * | mozilla thunderbird *</t>
        </is>
      </c>
      <c r="N423" t="inlineStr">
        <is>
          <t>P3</t>
        </is>
      </c>
      <c r="O423" t="inlineStr">
        <is>
          <t>CVE - IP enrichment n/a</t>
        </is>
      </c>
      <c r="P423" t="n">
        <v>0.0007</v>
      </c>
      <c r="Q423" t="n">
        <v>0.2087</v>
      </c>
      <c r="R423" t="inlineStr">
        <is>
          <t>T1190:Exploit Public-Facing Application</t>
        </is>
      </c>
      <c r="S423" t="n">
        <v>1</v>
      </c>
      <c r="T423" t="inlineStr">
        <is>
          <t>LOW (40%)</t>
        </is>
      </c>
      <c r="U423" t="inlineStr">
        <is>
          <t>UNLIKELY</t>
        </is>
      </c>
      <c r="V423" t="inlineStr">
        <is>
          <t>PATCH_AVAILABLE</t>
        </is>
      </c>
      <c r="W423" t="inlineStr">
        <is>
          <t>https://nvd.nist.gov/vuln/detail/CVE-2026-2768</t>
        </is>
      </c>
      <c r="X423" t="inlineStr">
        <is>
          <t>NONE</t>
        </is>
      </c>
      <c r="Y423" t="n">
        <v>0</v>
      </c>
      <c r="Z423" t="inlineStr"/>
      <c r="AA423" t="inlineStr">
        <is>
          <t>https://nvd.nist.gov/vuln/detail/CVE-2026-2768</t>
        </is>
      </c>
    </row>
    <row r="424">
      <c r="A424" t="inlineStr">
        <is>
          <t>CVE</t>
        </is>
      </c>
      <c r="B424" t="inlineStr">
        <is>
          <t>CVE-2026-2769</t>
        </is>
      </c>
      <c r="C424" t="inlineStr">
        <is>
          <t>Use-after-free in the Storage: IndexedDB component. This vulnerability affects Firefox &lt; 148, Firefox ESR &lt; 115.33, Firefox ESR &lt; 140.8, Thunderbird &lt; 148, and Thunderbird &lt; 140.8.</t>
        </is>
      </c>
      <c r="D424" t="n">
        <v>8.800000000000001</v>
      </c>
      <c r="E424" t="inlineStr">
        <is>
          <t>HIGH</t>
        </is>
      </c>
      <c r="F424" t="n">
        <v>2</v>
      </c>
      <c r="G424" t="n">
        <v>3</v>
      </c>
      <c r="H424" t="inlineStr">
        <is>
          <t>HIGH</t>
        </is>
      </c>
      <c r="I424" t="n">
        <v>14.8</v>
      </c>
      <c r="J424" t="inlineStr">
        <is>
          <t>NO</t>
        </is>
      </c>
      <c r="K424" t="inlineStr">
        <is>
          <t>2026-02-27 20:47</t>
        </is>
      </c>
      <c r="L424" t="inlineStr">
        <is>
          <t>YES</t>
        </is>
      </c>
      <c r="M424" t="inlineStr">
        <is>
          <t>mozilla firefox *</t>
        </is>
      </c>
      <c r="N424" t="inlineStr">
        <is>
          <t>P3</t>
        </is>
      </c>
      <c r="O424" t="inlineStr">
        <is>
          <t>CVE - IP enrichment n/a</t>
        </is>
      </c>
      <c r="P424" t="n">
        <v>0.0004</v>
      </c>
      <c r="Q424" t="n">
        <v>0.1291</v>
      </c>
      <c r="R424" t="inlineStr">
        <is>
          <t>T1203:Exploitation for Client Execution</t>
        </is>
      </c>
      <c r="S424" t="n">
        <v>1</v>
      </c>
      <c r="T424" t="inlineStr">
        <is>
          <t>LOW (40%)</t>
        </is>
      </c>
      <c r="U424" t="inlineStr">
        <is>
          <t>UNLIKELY</t>
        </is>
      </c>
      <c r="V424" t="inlineStr">
        <is>
          <t>PATCH_AVAILABLE</t>
        </is>
      </c>
      <c r="W424" t="inlineStr">
        <is>
          <t>https://nvd.nist.gov/vuln/detail/CVE-2026-2769</t>
        </is>
      </c>
      <c r="X424" t="inlineStr">
        <is>
          <t>NONE</t>
        </is>
      </c>
      <c r="Y424" t="n">
        <v>0</v>
      </c>
      <c r="Z424" t="inlineStr"/>
      <c r="AA424" t="inlineStr">
        <is>
          <t>https://nvd.nist.gov/vuln/detail/CVE-2026-2769</t>
        </is>
      </c>
    </row>
    <row r="425">
      <c r="A425" t="inlineStr">
        <is>
          <t>CVE</t>
        </is>
      </c>
      <c r="B425" t="inlineStr">
        <is>
          <t>CVE-2026-2770</t>
        </is>
      </c>
      <c r="C425" t="inlineStr">
        <is>
          <t>Use-after-free in the DOM: Bindings (WebIDL) component. This vulnerability affects Firefox &lt; 148, Firefox ESR &lt; 115.33, Firefox ESR &lt; 140.8, Thunderbird &lt; 148, and Thunderbird &lt; 140.8.</t>
        </is>
      </c>
      <c r="D425" t="n">
        <v>9.800000000000001</v>
      </c>
      <c r="E425" t="inlineStr">
        <is>
          <t>CRITICAL</t>
        </is>
      </c>
      <c r="F425" t="n">
        <v>2</v>
      </c>
      <c r="G425" t="n">
        <v>3</v>
      </c>
      <c r="H425" t="inlineStr">
        <is>
          <t>HIGH</t>
        </is>
      </c>
      <c r="I425" t="n">
        <v>15.8</v>
      </c>
      <c r="J425" t="inlineStr">
        <is>
          <t>NO</t>
        </is>
      </c>
      <c r="K425" t="inlineStr">
        <is>
          <t>2026-02-27 20:47</t>
        </is>
      </c>
      <c r="L425" t="inlineStr">
        <is>
          <t>YES</t>
        </is>
      </c>
      <c r="M425" t="inlineStr">
        <is>
          <t>mozilla firefox *</t>
        </is>
      </c>
      <c r="N425" t="inlineStr">
        <is>
          <t>P3</t>
        </is>
      </c>
      <c r="O425" t="inlineStr">
        <is>
          <t>CVE - IP enrichment n/a</t>
        </is>
      </c>
      <c r="P425" t="n">
        <v>0.0004</v>
      </c>
      <c r="Q425" t="n">
        <v>0.1273</v>
      </c>
      <c r="R425" t="inlineStr">
        <is>
          <t>T1203:Exploitation for Client Execution</t>
        </is>
      </c>
      <c r="S425" t="n">
        <v>1</v>
      </c>
      <c r="T425" t="inlineStr">
        <is>
          <t>LOW (40%)</t>
        </is>
      </c>
      <c r="U425" t="inlineStr">
        <is>
          <t>UNLIKELY</t>
        </is>
      </c>
      <c r="V425" t="inlineStr">
        <is>
          <t>PATCH_AVAILABLE</t>
        </is>
      </c>
      <c r="W425" t="inlineStr">
        <is>
          <t>https://nvd.nist.gov/vuln/detail/CVE-2026-2770</t>
        </is>
      </c>
      <c r="X425" t="inlineStr">
        <is>
          <t>NONE</t>
        </is>
      </c>
      <c r="Y425" t="n">
        <v>0</v>
      </c>
      <c r="Z425" t="inlineStr"/>
      <c r="AA425" t="inlineStr">
        <is>
          <t>https://nvd.nist.gov/vuln/detail/CVE-2026-2770</t>
        </is>
      </c>
    </row>
    <row r="426">
      <c r="A426" t="inlineStr">
        <is>
          <t>CVE</t>
        </is>
      </c>
      <c r="B426" t="inlineStr">
        <is>
          <t>CVE-2026-2771</t>
        </is>
      </c>
      <c r="C426" t="inlineStr">
        <is>
          <t>Undefined behavior in the DOM: Core &amp; HTML component. This vulnerability affects Firefox &lt; 148, Firefox ESR &lt; 115.33, Firefox ESR &lt; 140.8, Thunderbird &lt; 148, and Thunderbird &lt; 140.8.</t>
        </is>
      </c>
      <c r="D426" t="n">
        <v>9.800000000000001</v>
      </c>
      <c r="E426" t="inlineStr">
        <is>
          <t>CRITICAL</t>
        </is>
      </c>
      <c r="F426" t="n">
        <v>2</v>
      </c>
      <c r="G426" t="n">
        <v>3</v>
      </c>
      <c r="H426" t="inlineStr">
        <is>
          <t>HIGH</t>
        </is>
      </c>
      <c r="I426" t="n">
        <v>15.8</v>
      </c>
      <c r="J426" t="inlineStr">
        <is>
          <t>NO</t>
        </is>
      </c>
      <c r="K426" t="inlineStr">
        <is>
          <t>2026-02-27 20:47</t>
        </is>
      </c>
      <c r="L426" t="inlineStr">
        <is>
          <t>YES</t>
        </is>
      </c>
      <c r="M426" t="inlineStr">
        <is>
          <t>mozilla firefox *</t>
        </is>
      </c>
      <c r="N426" t="inlineStr">
        <is>
          <t>P3</t>
        </is>
      </c>
      <c r="O426" t="inlineStr">
        <is>
          <t>CVE - IP enrichment n/a</t>
        </is>
      </c>
      <c r="P426" t="n">
        <v>0.0005</v>
      </c>
      <c r="Q426" t="n">
        <v>0.1409</v>
      </c>
      <c r="R426" t="inlineStr">
        <is>
          <t>T1190:Exploit Public-Facing Application</t>
        </is>
      </c>
      <c r="S426" t="n">
        <v>1</v>
      </c>
      <c r="T426" t="inlineStr">
        <is>
          <t>LOW (40%)</t>
        </is>
      </c>
      <c r="U426" t="inlineStr">
        <is>
          <t>UNLIKELY</t>
        </is>
      </c>
      <c r="V426" t="inlineStr">
        <is>
          <t>PATCH_AVAILABLE</t>
        </is>
      </c>
      <c r="W426" t="inlineStr">
        <is>
          <t>https://nvd.nist.gov/vuln/detail/CVE-2026-2771</t>
        </is>
      </c>
      <c r="X426" t="inlineStr">
        <is>
          <t>NONE</t>
        </is>
      </c>
      <c r="Y426" t="n">
        <v>0</v>
      </c>
      <c r="Z426" t="inlineStr"/>
      <c r="AA426" t="inlineStr">
        <is>
          <t>https://nvd.nist.gov/vuln/detail/CVE-2026-2771</t>
        </is>
      </c>
    </row>
    <row r="427">
      <c r="A427" t="inlineStr">
        <is>
          <t>CVE</t>
        </is>
      </c>
      <c r="B427" t="inlineStr">
        <is>
          <t>CVE-2026-2772</t>
        </is>
      </c>
      <c r="C427" t="inlineStr">
        <is>
          <t>Use-after-free in the Audio/Video: Playback component. This vulnerability affects Firefox &lt; 148, Firefox ESR &lt; 115.33, Firefox ESR &lt; 140.8, Thunderbird &lt; 148, and Thunderbird &lt; 140.8.</t>
        </is>
      </c>
      <c r="D427" t="n">
        <v>9.800000000000001</v>
      </c>
      <c r="E427" t="inlineStr">
        <is>
          <t>CRITICAL</t>
        </is>
      </c>
      <c r="F427" t="n">
        <v>2</v>
      </c>
      <c r="G427" t="n">
        <v>3</v>
      </c>
      <c r="H427" t="inlineStr">
        <is>
          <t>HIGH</t>
        </is>
      </c>
      <c r="I427" t="n">
        <v>15.8</v>
      </c>
      <c r="J427" t="inlineStr">
        <is>
          <t>NO</t>
        </is>
      </c>
      <c r="K427" t="inlineStr">
        <is>
          <t>2026-02-27 20:47</t>
        </is>
      </c>
      <c r="L427" t="inlineStr">
        <is>
          <t>YES</t>
        </is>
      </c>
      <c r="M427" t="inlineStr">
        <is>
          <t>mozilla firefox *</t>
        </is>
      </c>
      <c r="N427" t="inlineStr">
        <is>
          <t>P3</t>
        </is>
      </c>
      <c r="O427" t="inlineStr">
        <is>
          <t>CVE - IP enrichment n/a</t>
        </is>
      </c>
      <c r="P427" t="n">
        <v>0.0004</v>
      </c>
      <c r="Q427" t="n">
        <v>0.1273</v>
      </c>
      <c r="R427" t="inlineStr">
        <is>
          <t>T1203:Exploitation for Client Execution</t>
        </is>
      </c>
      <c r="S427" t="n">
        <v>1</v>
      </c>
      <c r="T427" t="inlineStr">
        <is>
          <t>LOW (40%)</t>
        </is>
      </c>
      <c r="U427" t="inlineStr">
        <is>
          <t>UNLIKELY</t>
        </is>
      </c>
      <c r="V427" t="inlineStr">
        <is>
          <t>PATCH_AVAILABLE</t>
        </is>
      </c>
      <c r="W427" t="inlineStr">
        <is>
          <t>https://nvd.nist.gov/vuln/detail/CVE-2026-2772</t>
        </is>
      </c>
      <c r="X427" t="inlineStr">
        <is>
          <t>NONE</t>
        </is>
      </c>
      <c r="Y427" t="n">
        <v>0</v>
      </c>
      <c r="Z427" t="inlineStr"/>
      <c r="AA427" t="inlineStr">
        <is>
          <t>https://nvd.nist.gov/vuln/detail/CVE-2026-2772</t>
        </is>
      </c>
    </row>
    <row r="428">
      <c r="A428" t="inlineStr">
        <is>
          <t>CVE</t>
        </is>
      </c>
      <c r="B428" t="inlineStr">
        <is>
          <t>CVE-2026-2773</t>
        </is>
      </c>
      <c r="C428" t="inlineStr">
        <is>
          <t>Incorrect boundary conditions in the Web Audio component. This vulnerability affects Firefox &lt; 148, Firefox ESR &lt; 115.33, Firefox ESR &lt; 140.8, Thunderbird &lt; 148, and Thunderbird &lt; 140.8.</t>
        </is>
      </c>
      <c r="D428" t="n">
        <v>9.800000000000001</v>
      </c>
      <c r="E428" t="inlineStr">
        <is>
          <t>CRITICAL</t>
        </is>
      </c>
      <c r="F428" t="n">
        <v>2</v>
      </c>
      <c r="G428" t="n">
        <v>3</v>
      </c>
      <c r="H428" t="inlineStr">
        <is>
          <t>HIGH</t>
        </is>
      </c>
      <c r="I428" t="n">
        <v>15.8</v>
      </c>
      <c r="J428" t="inlineStr">
        <is>
          <t>NO</t>
        </is>
      </c>
      <c r="K428" t="inlineStr">
        <is>
          <t>2026-02-27 20:47</t>
        </is>
      </c>
      <c r="L428" t="inlineStr">
        <is>
          <t>YES</t>
        </is>
      </c>
      <c r="M428" t="inlineStr">
        <is>
          <t>mozilla firefox *</t>
        </is>
      </c>
      <c r="N428" t="inlineStr">
        <is>
          <t>P3</t>
        </is>
      </c>
      <c r="O428" t="inlineStr">
        <is>
          <t>CVE - IP enrichment n/a</t>
        </is>
      </c>
      <c r="P428" t="n">
        <v>0.0005</v>
      </c>
      <c r="Q428" t="n">
        <v>0.1409</v>
      </c>
      <c r="R428" t="inlineStr">
        <is>
          <t>T1190:Exploit Public-Facing Application</t>
        </is>
      </c>
      <c r="S428" t="n">
        <v>1</v>
      </c>
      <c r="T428" t="inlineStr">
        <is>
          <t>LOW (40%)</t>
        </is>
      </c>
      <c r="U428" t="inlineStr">
        <is>
          <t>UNLIKELY</t>
        </is>
      </c>
      <c r="V428" t="inlineStr">
        <is>
          <t>PATCH_AVAILABLE</t>
        </is>
      </c>
      <c r="W428" t="inlineStr">
        <is>
          <t>https://nvd.nist.gov/vuln/detail/CVE-2026-2773</t>
        </is>
      </c>
      <c r="X428" t="inlineStr">
        <is>
          <t>NONE</t>
        </is>
      </c>
      <c r="Y428" t="n">
        <v>0</v>
      </c>
      <c r="Z428" t="inlineStr"/>
      <c r="AA428" t="inlineStr">
        <is>
          <t>https://nvd.nist.gov/vuln/detail/CVE-2026-2773</t>
        </is>
      </c>
    </row>
    <row r="429">
      <c r="A429" t="inlineStr">
        <is>
          <t>CVE</t>
        </is>
      </c>
      <c r="B429" t="inlineStr">
        <is>
          <t>CVE-2026-2774</t>
        </is>
      </c>
      <c r="C429" t="inlineStr">
        <is>
          <t>Integer overflow in the Audio/Video component. This vulnerability affects Firefox &lt; 148, Firefox ESR &lt; 115.33, Firefox ESR &lt; 140.8, Thunderbird &lt; 148, and Thunderbird &lt; 140.8.</t>
        </is>
      </c>
      <c r="D429" t="n">
        <v>9.800000000000001</v>
      </c>
      <c r="E429" t="inlineStr">
        <is>
          <t>CRITICAL</t>
        </is>
      </c>
      <c r="F429" t="n">
        <v>2</v>
      </c>
      <c r="G429" t="n">
        <v>3</v>
      </c>
      <c r="H429" t="inlineStr">
        <is>
          <t>HIGH</t>
        </is>
      </c>
      <c r="I429" t="n">
        <v>15.8</v>
      </c>
      <c r="J429" t="inlineStr">
        <is>
          <t>NO</t>
        </is>
      </c>
      <c r="K429" t="inlineStr">
        <is>
          <t>2026-02-27 20:47</t>
        </is>
      </c>
      <c r="L429" t="inlineStr">
        <is>
          <t>YES</t>
        </is>
      </c>
      <c r="M429" t="inlineStr">
        <is>
          <t>mozilla firefox *</t>
        </is>
      </c>
      <c r="N429" t="inlineStr">
        <is>
          <t>P3</t>
        </is>
      </c>
      <c r="O429" t="inlineStr">
        <is>
          <t>CVE - IP enrichment n/a</t>
        </is>
      </c>
      <c r="P429" t="n">
        <v>0.0004</v>
      </c>
      <c r="Q429" t="n">
        <v>0.1273</v>
      </c>
      <c r="R429" t="inlineStr">
        <is>
          <t>T1190:Exploit Public-Facing Application | T1203:Exploitation for Client Execution</t>
        </is>
      </c>
      <c r="S429" t="n">
        <v>1</v>
      </c>
      <c r="T429" t="inlineStr">
        <is>
          <t>LOW (40%)</t>
        </is>
      </c>
      <c r="U429" t="inlineStr">
        <is>
          <t>UNLIKELY</t>
        </is>
      </c>
      <c r="V429" t="inlineStr">
        <is>
          <t>PATCH_AVAILABLE</t>
        </is>
      </c>
      <c r="W429" t="inlineStr">
        <is>
          <t>https://nvd.nist.gov/vuln/detail/CVE-2026-2774</t>
        </is>
      </c>
      <c r="X429" t="inlineStr">
        <is>
          <t>NONE</t>
        </is>
      </c>
      <c r="Y429" t="n">
        <v>0</v>
      </c>
      <c r="Z429" t="inlineStr"/>
      <c r="AA429" t="inlineStr">
        <is>
          <t>https://nvd.nist.gov/vuln/detail/CVE-2026-2774</t>
        </is>
      </c>
    </row>
    <row r="430">
      <c r="A430" t="inlineStr">
        <is>
          <t>CVE</t>
        </is>
      </c>
      <c r="B430" t="inlineStr">
        <is>
          <t>CVE-2026-2775</t>
        </is>
      </c>
      <c r="C430" t="inlineStr">
        <is>
          <t>Mitigation bypass in the DOM: HTML Parser component. This vulnerability affects Firefox &lt; 148, Firefox ESR &lt; 115.33, Firefox ESR &lt; 140.8, Thunderbird &lt; 148, and Thunderbird &lt; 140.8.</t>
        </is>
      </c>
      <c r="D430" t="n">
        <v>9.800000000000001</v>
      </c>
      <c r="E430" t="inlineStr">
        <is>
          <t>CRITICAL</t>
        </is>
      </c>
      <c r="F430" t="n">
        <v>2</v>
      </c>
      <c r="G430" t="n">
        <v>3</v>
      </c>
      <c r="H430" t="inlineStr">
        <is>
          <t>HIGH</t>
        </is>
      </c>
      <c r="I430" t="n">
        <v>15.8</v>
      </c>
      <c r="J430" t="inlineStr">
        <is>
          <t>NO</t>
        </is>
      </c>
      <c r="K430" t="inlineStr">
        <is>
          <t>2026-02-27 20:47</t>
        </is>
      </c>
      <c r="L430" t="inlineStr">
        <is>
          <t>YES</t>
        </is>
      </c>
      <c r="M430" t="inlineStr">
        <is>
          <t>mozilla firefox *</t>
        </is>
      </c>
      <c r="N430" t="inlineStr">
        <is>
          <t>P3</t>
        </is>
      </c>
      <c r="O430" t="inlineStr">
        <is>
          <t>CVE - IP enrichment n/a</t>
        </is>
      </c>
      <c r="P430" t="n">
        <v>0.0005</v>
      </c>
      <c r="Q430" t="n">
        <v>0.1409</v>
      </c>
      <c r="R430" t="inlineStr">
        <is>
          <t>T1190:Exploit Public-Facing Application</t>
        </is>
      </c>
      <c r="S430" t="n">
        <v>1</v>
      </c>
      <c r="T430" t="inlineStr">
        <is>
          <t>LOW (40%)</t>
        </is>
      </c>
      <c r="U430" t="inlineStr">
        <is>
          <t>UNLIKELY</t>
        </is>
      </c>
      <c r="V430" t="inlineStr">
        <is>
          <t>PATCH_AVAILABLE</t>
        </is>
      </c>
      <c r="W430" t="inlineStr">
        <is>
          <t>https://nvd.nist.gov/vuln/detail/CVE-2026-2775</t>
        </is>
      </c>
      <c r="X430" t="inlineStr">
        <is>
          <t>NONE</t>
        </is>
      </c>
      <c r="Y430" t="n">
        <v>0</v>
      </c>
      <c r="Z430" t="inlineStr"/>
      <c r="AA430" t="inlineStr">
        <is>
          <t>https://nvd.nist.gov/vuln/detail/CVE-2026-2775</t>
        </is>
      </c>
    </row>
    <row r="431">
      <c r="A431" t="inlineStr">
        <is>
          <t>CVE</t>
        </is>
      </c>
      <c r="B431" t="inlineStr">
        <is>
          <t>CVE-2026-2776</t>
        </is>
      </c>
      <c r="C431" t="inlineStr">
        <is>
          <t>Sandbox escape due to incorrect boundary conditions in the Telemetry component in External Software. This vulnerability affects Firefox &lt; 148, Firefox ESR &lt; 115.33, Firefox ESR &lt; 140.8, Thunderbird &lt; 148, and Thunderbird &lt; 140.8.</t>
        </is>
      </c>
      <c r="D431" t="n">
        <v>10</v>
      </c>
      <c r="E431" t="inlineStr">
        <is>
          <t>CRITICAL</t>
        </is>
      </c>
      <c r="F431" t="n">
        <v>2</v>
      </c>
      <c r="G431" t="n">
        <v>3</v>
      </c>
      <c r="H431" t="inlineStr">
        <is>
          <t>HIGH</t>
        </is>
      </c>
      <c r="I431" t="n">
        <v>16</v>
      </c>
      <c r="J431" t="inlineStr">
        <is>
          <t>NO</t>
        </is>
      </c>
      <c r="K431" t="inlineStr">
        <is>
          <t>2026-02-27 20:47</t>
        </is>
      </c>
      <c r="L431" t="inlineStr">
        <is>
          <t>YES</t>
        </is>
      </c>
      <c r="M431" t="inlineStr">
        <is>
          <t>mozilla firefox *</t>
        </is>
      </c>
      <c r="N431" t="inlineStr">
        <is>
          <t>P3</t>
        </is>
      </c>
      <c r="O431" t="inlineStr">
        <is>
          <t>CVE - IP enrichment n/a</t>
        </is>
      </c>
      <c r="P431" t="n">
        <v>0.0005</v>
      </c>
      <c r="Q431" t="n">
        <v>0.1686</v>
      </c>
      <c r="R431" t="inlineStr">
        <is>
          <t>T1190:Exploit Public-Facing Application</t>
        </is>
      </c>
      <c r="S431" t="n">
        <v>1</v>
      </c>
      <c r="T431" t="inlineStr">
        <is>
          <t>LOW (40%)</t>
        </is>
      </c>
      <c r="U431" t="inlineStr">
        <is>
          <t>UNLIKELY</t>
        </is>
      </c>
      <c r="V431" t="inlineStr">
        <is>
          <t>PATCH_AVAILABLE</t>
        </is>
      </c>
      <c r="W431" t="inlineStr">
        <is>
          <t>https://nvd.nist.gov/vuln/detail/CVE-2026-2776</t>
        </is>
      </c>
      <c r="X431" t="inlineStr">
        <is>
          <t>NONE</t>
        </is>
      </c>
      <c r="Y431" t="n">
        <v>0</v>
      </c>
      <c r="Z431" t="inlineStr"/>
      <c r="AA431" t="inlineStr">
        <is>
          <t>https://nvd.nist.gov/vuln/detail/CVE-2026-2776</t>
        </is>
      </c>
    </row>
    <row r="432">
      <c r="A432" t="inlineStr">
        <is>
          <t>CVE</t>
        </is>
      </c>
      <c r="B432" t="inlineStr">
        <is>
          <t>CVE-2026-2777</t>
        </is>
      </c>
      <c r="C432" t="inlineStr">
        <is>
          <t>Privilege escalation in the Messaging System component. This vulnerability affects Firefox &lt; 148, Firefox ESR &lt; 115.33, Firefox ESR &lt; 140.8, Thunderbird &lt; 148, and Thunderbird &lt; 140.8.</t>
        </is>
      </c>
      <c r="D432" t="n">
        <v>9.800000000000001</v>
      </c>
      <c r="E432" t="inlineStr">
        <is>
          <t>CRITICAL</t>
        </is>
      </c>
      <c r="F432" t="n">
        <v>2</v>
      </c>
      <c r="G432" t="n">
        <v>3</v>
      </c>
      <c r="H432" t="inlineStr">
        <is>
          <t>HIGH</t>
        </is>
      </c>
      <c r="I432" t="n">
        <v>15.8</v>
      </c>
      <c r="J432" t="inlineStr">
        <is>
          <t>NO</t>
        </is>
      </c>
      <c r="K432" t="inlineStr">
        <is>
          <t>2026-02-27 20:47</t>
        </is>
      </c>
      <c r="L432" t="inlineStr">
        <is>
          <t>YES</t>
        </is>
      </c>
      <c r="M432" t="inlineStr">
        <is>
          <t>mozilla firefox *</t>
        </is>
      </c>
      <c r="N432" t="inlineStr">
        <is>
          <t>P3</t>
        </is>
      </c>
      <c r="O432" t="inlineStr">
        <is>
          <t>CVE - IP enrichment n/a</t>
        </is>
      </c>
      <c r="P432" t="n">
        <v>0.0004</v>
      </c>
      <c r="Q432" t="n">
        <v>0.136</v>
      </c>
      <c r="R432" t="inlineStr">
        <is>
          <t>T1068:Exploitation for Privilege Escalation</t>
        </is>
      </c>
      <c r="S432" t="n">
        <v>1</v>
      </c>
      <c r="T432" t="inlineStr">
        <is>
          <t>LOW (40%)</t>
        </is>
      </c>
      <c r="U432" t="inlineStr">
        <is>
          <t>UNLIKELY</t>
        </is>
      </c>
      <c r="V432" t="inlineStr">
        <is>
          <t>PATCH_AVAILABLE</t>
        </is>
      </c>
      <c r="W432" t="inlineStr">
        <is>
          <t>https://nvd.nist.gov/vuln/detail/CVE-2026-2777</t>
        </is>
      </c>
      <c r="X432" t="inlineStr">
        <is>
          <t>NONE</t>
        </is>
      </c>
      <c r="Y432" t="n">
        <v>0</v>
      </c>
      <c r="Z432" t="inlineStr"/>
      <c r="AA432" t="inlineStr">
        <is>
          <t>https://nvd.nist.gov/vuln/detail/CVE-2026-2777</t>
        </is>
      </c>
    </row>
    <row r="433">
      <c r="A433" t="inlineStr">
        <is>
          <t>CVE</t>
        </is>
      </c>
      <c r="B433" t="inlineStr">
        <is>
          <t>CVE-2026-2778</t>
        </is>
      </c>
      <c r="C433" t="inlineStr">
        <is>
          <t>Sandbox escape due to incorrect boundary conditions in the DOM: Core &amp; HTML component. This vulnerability affects Firefox &lt; 148, Firefox ESR &lt; 115.33, Firefox ESR &lt; 140.8, Thunderbird &lt; 148, and Thunderbird &lt; 140.8.</t>
        </is>
      </c>
      <c r="D433" t="n">
        <v>10</v>
      </c>
      <c r="E433" t="inlineStr">
        <is>
          <t>CRITICAL</t>
        </is>
      </c>
      <c r="F433" t="n">
        <v>2</v>
      </c>
      <c r="G433" t="n">
        <v>3</v>
      </c>
      <c r="H433" t="inlineStr">
        <is>
          <t>HIGH</t>
        </is>
      </c>
      <c r="I433" t="n">
        <v>16</v>
      </c>
      <c r="J433" t="inlineStr">
        <is>
          <t>NO</t>
        </is>
      </c>
      <c r="K433" t="inlineStr">
        <is>
          <t>2026-02-27 20:47</t>
        </is>
      </c>
      <c r="L433" t="inlineStr">
        <is>
          <t>YES</t>
        </is>
      </c>
      <c r="M433" t="inlineStr">
        <is>
          <t>mozilla firefox *</t>
        </is>
      </c>
      <c r="N433" t="inlineStr">
        <is>
          <t>P3</t>
        </is>
      </c>
      <c r="O433" t="inlineStr">
        <is>
          <t>CVE - IP enrichment n/a</t>
        </is>
      </c>
      <c r="P433" t="n">
        <v>0.0005</v>
      </c>
      <c r="Q433" t="n">
        <v>0.1686</v>
      </c>
      <c r="R433" t="inlineStr">
        <is>
          <t>T1190:Exploit Public-Facing Application</t>
        </is>
      </c>
      <c r="S433" t="n">
        <v>1</v>
      </c>
      <c r="T433" t="inlineStr">
        <is>
          <t>LOW (40%)</t>
        </is>
      </c>
      <c r="U433" t="inlineStr">
        <is>
          <t>UNLIKELY</t>
        </is>
      </c>
      <c r="V433" t="inlineStr">
        <is>
          <t>PATCH_AVAILABLE</t>
        </is>
      </c>
      <c r="W433" t="inlineStr">
        <is>
          <t>https://nvd.nist.gov/vuln/detail/CVE-2026-2778</t>
        </is>
      </c>
      <c r="X433" t="inlineStr">
        <is>
          <t>NONE</t>
        </is>
      </c>
      <c r="Y433" t="n">
        <v>0</v>
      </c>
      <c r="Z433" t="inlineStr"/>
      <c r="AA433" t="inlineStr">
        <is>
          <t>https://nvd.nist.gov/vuln/detail/CVE-2026-2778</t>
        </is>
      </c>
    </row>
    <row r="434">
      <c r="A434" t="inlineStr">
        <is>
          <t>CVE</t>
        </is>
      </c>
      <c r="B434" t="inlineStr">
        <is>
          <t>CVE-2026-2779</t>
        </is>
      </c>
      <c r="C434" t="inlineStr">
        <is>
          <t>Incorrect boundary conditions in the Networking: JAR component. This vulnerability affects Firefox &lt; 148, Firefox ESR &lt; 140.8, Thunderbird &lt; 148, and Thunderbird &lt; 140.8.</t>
        </is>
      </c>
      <c r="D434" t="n">
        <v>9.800000000000001</v>
      </c>
      <c r="E434" t="inlineStr">
        <is>
          <t>CRITICAL</t>
        </is>
      </c>
      <c r="F434" t="n">
        <v>2</v>
      </c>
      <c r="G434" t="n">
        <v>3</v>
      </c>
      <c r="H434" t="inlineStr">
        <is>
          <t>HIGH</t>
        </is>
      </c>
      <c r="I434" t="n">
        <v>15.8</v>
      </c>
      <c r="J434" t="inlineStr">
        <is>
          <t>NO</t>
        </is>
      </c>
      <c r="K434" t="inlineStr">
        <is>
          <t>2026-02-27 20:47</t>
        </is>
      </c>
      <c r="L434" t="inlineStr">
        <is>
          <t>YES</t>
        </is>
      </c>
      <c r="M434" t="inlineStr">
        <is>
          <t>mozilla firefox * | mozilla thunderbird *</t>
        </is>
      </c>
      <c r="N434" t="inlineStr">
        <is>
          <t>P3</t>
        </is>
      </c>
      <c r="O434" t="inlineStr">
        <is>
          <t>CVE - IP enrichment n/a</t>
        </is>
      </c>
      <c r="P434" t="n">
        <v>0.0004</v>
      </c>
      <c r="Q434" t="n">
        <v>0.1377</v>
      </c>
      <c r="R434" t="inlineStr">
        <is>
          <t>T1190:Exploit Public-Facing Application</t>
        </is>
      </c>
      <c r="S434" t="n">
        <v>1</v>
      </c>
      <c r="T434" t="inlineStr">
        <is>
          <t>LOW (40%)</t>
        </is>
      </c>
      <c r="U434" t="inlineStr">
        <is>
          <t>UNLIKELY</t>
        </is>
      </c>
      <c r="V434" t="inlineStr">
        <is>
          <t>PATCH_AVAILABLE</t>
        </is>
      </c>
      <c r="W434" t="inlineStr">
        <is>
          <t>https://nvd.nist.gov/vuln/detail/CVE-2026-2779</t>
        </is>
      </c>
      <c r="X434" t="inlineStr">
        <is>
          <t>NONE</t>
        </is>
      </c>
      <c r="Y434" t="n">
        <v>0</v>
      </c>
      <c r="Z434" t="inlineStr"/>
      <c r="AA434" t="inlineStr">
        <is>
          <t>https://nvd.nist.gov/vuln/detail/CVE-2026-2779</t>
        </is>
      </c>
    </row>
    <row r="435">
      <c r="A435" t="inlineStr">
        <is>
          <t>CVE</t>
        </is>
      </c>
      <c r="B435" t="inlineStr">
        <is>
          <t>CVE-2026-2780</t>
        </is>
      </c>
      <c r="C435" t="inlineStr">
        <is>
          <t>Privilege escalation in the Netmonitor component. This vulnerability affects Firefox &lt; 148, Firefox ESR &lt; 140.8, Thunderbird &lt; 148, and Thunderbird &lt; 140.8.</t>
        </is>
      </c>
      <c r="D435" t="n">
        <v>9.800000000000001</v>
      </c>
      <c r="E435" t="inlineStr">
        <is>
          <t>CRITICAL</t>
        </is>
      </c>
      <c r="F435" t="n">
        <v>2</v>
      </c>
      <c r="G435" t="n">
        <v>3</v>
      </c>
      <c r="H435" t="inlineStr">
        <is>
          <t>HIGH</t>
        </is>
      </c>
      <c r="I435" t="n">
        <v>15.8</v>
      </c>
      <c r="J435" t="inlineStr">
        <is>
          <t>NO</t>
        </is>
      </c>
      <c r="K435" t="inlineStr">
        <is>
          <t>2026-02-27 20:47</t>
        </is>
      </c>
      <c r="L435" t="inlineStr">
        <is>
          <t>YES</t>
        </is>
      </c>
      <c r="M435" t="inlineStr">
        <is>
          <t>mozilla firefox * | mozilla thunderbird *</t>
        </is>
      </c>
      <c r="N435" t="inlineStr">
        <is>
          <t>P3</t>
        </is>
      </c>
      <c r="O435" t="inlineStr">
        <is>
          <t>CVE - IP enrichment n/a</t>
        </is>
      </c>
      <c r="P435" t="n">
        <v>0.0004</v>
      </c>
      <c r="Q435" t="n">
        <v>0.1204</v>
      </c>
      <c r="R435" t="inlineStr">
        <is>
          <t>T1068:Exploitation for Privilege Escalation</t>
        </is>
      </c>
      <c r="S435" t="n">
        <v>1</v>
      </c>
      <c r="T435" t="inlineStr">
        <is>
          <t>LOW (40%)</t>
        </is>
      </c>
      <c r="U435" t="inlineStr">
        <is>
          <t>UNLIKELY</t>
        </is>
      </c>
      <c r="V435" t="inlineStr">
        <is>
          <t>PATCH_AVAILABLE</t>
        </is>
      </c>
      <c r="W435" t="inlineStr">
        <is>
          <t>https://nvd.nist.gov/vuln/detail/CVE-2026-2780</t>
        </is>
      </c>
      <c r="X435" t="inlineStr">
        <is>
          <t>NONE</t>
        </is>
      </c>
      <c r="Y435" t="n">
        <v>0</v>
      </c>
      <c r="Z435" t="inlineStr"/>
      <c r="AA435" t="inlineStr">
        <is>
          <t>https://nvd.nist.gov/vuln/detail/CVE-2026-2780</t>
        </is>
      </c>
    </row>
    <row r="436">
      <c r="A436" t="inlineStr">
        <is>
          <t>CVE</t>
        </is>
      </c>
      <c r="B436" t="inlineStr">
        <is>
          <t>CVE-2026-2781</t>
        </is>
      </c>
      <c r="C436" t="inlineStr">
        <is>
          <t>Integer overflow in the Libraries component in NSS. This vulnerability affects Firefox &lt; 148, Firefox ESR &lt; 140.8, Thunderbird &lt; 148, and Thunderbird &lt; 140.8.</t>
        </is>
      </c>
      <c r="D436" t="n">
        <v>9.800000000000001</v>
      </c>
      <c r="E436" t="inlineStr">
        <is>
          <t>CRITICAL</t>
        </is>
      </c>
      <c r="F436" t="n">
        <v>2</v>
      </c>
      <c r="G436" t="n">
        <v>3</v>
      </c>
      <c r="H436" t="inlineStr">
        <is>
          <t>HIGH</t>
        </is>
      </c>
      <c r="I436" t="n">
        <v>15.8</v>
      </c>
      <c r="J436" t="inlineStr">
        <is>
          <t>NO</t>
        </is>
      </c>
      <c r="K436" t="inlineStr">
        <is>
          <t>2026-02-27 20:47</t>
        </is>
      </c>
      <c r="L436" t="inlineStr">
        <is>
          <t>YES</t>
        </is>
      </c>
      <c r="M436" t="inlineStr">
        <is>
          <t>mozilla firefox * | mozilla thunderbird *</t>
        </is>
      </c>
      <c r="N436" t="inlineStr">
        <is>
          <t>P3</t>
        </is>
      </c>
      <c r="O436" t="inlineStr">
        <is>
          <t>CVE - IP enrichment n/a</t>
        </is>
      </c>
      <c r="P436" t="n">
        <v>0.0004</v>
      </c>
      <c r="Q436" t="n">
        <v>0.1242</v>
      </c>
      <c r="R436" t="inlineStr">
        <is>
          <t>T1190:Exploit Public-Facing Application | T1203:Exploitation for Client Execution</t>
        </is>
      </c>
      <c r="S436" t="n">
        <v>1</v>
      </c>
      <c r="T436" t="inlineStr">
        <is>
          <t>LOW (40%)</t>
        </is>
      </c>
      <c r="U436" t="inlineStr">
        <is>
          <t>UNLIKELY</t>
        </is>
      </c>
      <c r="V436" t="inlineStr">
        <is>
          <t>PATCH_AVAILABLE</t>
        </is>
      </c>
      <c r="W436" t="inlineStr">
        <is>
          <t>https://nvd.nist.gov/vuln/detail/CVE-2026-2781</t>
        </is>
      </c>
      <c r="X436" t="inlineStr">
        <is>
          <t>NONE</t>
        </is>
      </c>
      <c r="Y436" t="n">
        <v>0</v>
      </c>
      <c r="Z436" t="inlineStr"/>
      <c r="AA436" t="inlineStr">
        <is>
          <t>https://nvd.nist.gov/vuln/detail/CVE-2026-2781</t>
        </is>
      </c>
    </row>
    <row r="437">
      <c r="A437" t="inlineStr">
        <is>
          <t>CVE</t>
        </is>
      </c>
      <c r="B437" t="inlineStr">
        <is>
          <t>CVE-2026-2782</t>
        </is>
      </c>
      <c r="C437" t="inlineStr">
        <is>
          <t>Privilege escalation in the Netmonitor component. This vulnerability affects Firefox &lt; 148, Firefox ESR &lt; 140.8, Thunderbird &lt; 148, and Thunderbird &lt; 140.8.</t>
        </is>
      </c>
      <c r="D437" t="n">
        <v>9.800000000000001</v>
      </c>
      <c r="E437" t="inlineStr">
        <is>
          <t>CRITICAL</t>
        </is>
      </c>
      <c r="F437" t="n">
        <v>2</v>
      </c>
      <c r="G437" t="n">
        <v>3</v>
      </c>
      <c r="H437" t="inlineStr">
        <is>
          <t>HIGH</t>
        </is>
      </c>
      <c r="I437" t="n">
        <v>15.8</v>
      </c>
      <c r="J437" t="inlineStr">
        <is>
          <t>NO</t>
        </is>
      </c>
      <c r="K437" t="inlineStr">
        <is>
          <t>2026-02-27 20:47</t>
        </is>
      </c>
      <c r="L437" t="inlineStr">
        <is>
          <t>YES</t>
        </is>
      </c>
      <c r="M437" t="inlineStr">
        <is>
          <t>mozilla firefox * | mozilla thunderbird *</t>
        </is>
      </c>
      <c r="N437" t="inlineStr">
        <is>
          <t>P3</t>
        </is>
      </c>
      <c r="O437" t="inlineStr">
        <is>
          <t>CVE - IP enrichment n/a</t>
        </is>
      </c>
      <c r="P437" t="n">
        <v>0.0004</v>
      </c>
      <c r="Q437" t="n">
        <v>0.1315</v>
      </c>
      <c r="R437" t="inlineStr">
        <is>
          <t>T1068:Exploitation for Privilege Escalation</t>
        </is>
      </c>
      <c r="S437" t="n">
        <v>1</v>
      </c>
      <c r="T437" t="inlineStr">
        <is>
          <t>LOW (40%)</t>
        </is>
      </c>
      <c r="U437" t="inlineStr">
        <is>
          <t>UNLIKELY</t>
        </is>
      </c>
      <c r="V437" t="inlineStr">
        <is>
          <t>PATCH_AVAILABLE</t>
        </is>
      </c>
      <c r="W437" t="inlineStr">
        <is>
          <t>https://nvd.nist.gov/vuln/detail/CVE-2026-2782</t>
        </is>
      </c>
      <c r="X437" t="inlineStr">
        <is>
          <t>NONE</t>
        </is>
      </c>
      <c r="Y437" t="n">
        <v>0</v>
      </c>
      <c r="Z437" t="inlineStr"/>
      <c r="AA437" t="inlineStr">
        <is>
          <t>https://nvd.nist.gov/vuln/detail/CVE-2026-2782</t>
        </is>
      </c>
    </row>
    <row r="438">
      <c r="A438" t="inlineStr">
        <is>
          <t>CVE</t>
        </is>
      </c>
      <c r="B438" t="inlineStr">
        <is>
          <t>CVE-2026-2783</t>
        </is>
      </c>
      <c r="C438" t="inlineStr">
        <is>
          <t>Information disclosure due to JIT miscompilation in the JavaScript Engine: JIT component. This vulnerability affects Firefox &lt; 148, Firefox ESR &lt; 140.8, Thunderbird &lt; 148, and Thunderbird &lt; 140.8.</t>
        </is>
      </c>
      <c r="D438" t="n">
        <v>7.5</v>
      </c>
      <c r="E438" t="inlineStr">
        <is>
          <t>HIGH</t>
        </is>
      </c>
      <c r="F438" t="n">
        <v>2</v>
      </c>
      <c r="G438" t="n">
        <v>3</v>
      </c>
      <c r="H438" t="inlineStr">
        <is>
          <t>HIGH</t>
        </is>
      </c>
      <c r="I438" t="n">
        <v>13.5</v>
      </c>
      <c r="J438" t="inlineStr">
        <is>
          <t>NO</t>
        </is>
      </c>
      <c r="K438" t="inlineStr">
        <is>
          <t>2026-02-27 20:47</t>
        </is>
      </c>
      <c r="L438" t="inlineStr">
        <is>
          <t>YES</t>
        </is>
      </c>
      <c r="M438" t="inlineStr">
        <is>
          <t>mozilla firefox * | mozilla thunderbird *</t>
        </is>
      </c>
      <c r="N438" t="inlineStr">
        <is>
          <t>P3</t>
        </is>
      </c>
      <c r="O438" t="inlineStr">
        <is>
          <t>CVE - IP enrichment n/a</t>
        </is>
      </c>
      <c r="P438" t="n">
        <v>0.0003</v>
      </c>
      <c r="Q438" t="n">
        <v>0.0964</v>
      </c>
      <c r="R438" t="inlineStr">
        <is>
          <t>T1213:Data from Information Repositories</t>
        </is>
      </c>
      <c r="S438" t="n">
        <v>1</v>
      </c>
      <c r="T438" t="inlineStr">
        <is>
          <t>LOW (40%)</t>
        </is>
      </c>
      <c r="U438" t="inlineStr">
        <is>
          <t>UNLIKELY</t>
        </is>
      </c>
      <c r="V438" t="inlineStr">
        <is>
          <t>PATCH_AVAILABLE</t>
        </is>
      </c>
      <c r="W438" t="inlineStr">
        <is>
          <t>https://nvd.nist.gov/vuln/detail/CVE-2026-2783</t>
        </is>
      </c>
      <c r="X438" t="inlineStr">
        <is>
          <t>NONE</t>
        </is>
      </c>
      <c r="Y438" t="n">
        <v>0</v>
      </c>
      <c r="Z438" t="inlineStr"/>
      <c r="AA438" t="inlineStr">
        <is>
          <t>https://nvd.nist.gov/vuln/detail/CVE-2026-2783</t>
        </is>
      </c>
    </row>
    <row r="439">
      <c r="A439" t="inlineStr">
        <is>
          <t>CVE</t>
        </is>
      </c>
      <c r="B439" t="inlineStr">
        <is>
          <t>CVE-2026-2784</t>
        </is>
      </c>
      <c r="C439" t="inlineStr">
        <is>
          <t>Mitigation bypass in the DOM: Security component. This vulnerability affects Firefox &lt; 148, Firefox ESR &lt; 140.8, Thunderbird &lt; 148, and Thunderbird &lt; 140.8.</t>
        </is>
      </c>
      <c r="D439" t="n">
        <v>9.800000000000001</v>
      </c>
      <c r="E439" t="inlineStr">
        <is>
          <t>CRITICAL</t>
        </is>
      </c>
      <c r="F439" t="n">
        <v>2</v>
      </c>
      <c r="G439" t="n">
        <v>3</v>
      </c>
      <c r="H439" t="inlineStr">
        <is>
          <t>HIGH</t>
        </is>
      </c>
      <c r="I439" t="n">
        <v>15.8</v>
      </c>
      <c r="J439" t="inlineStr">
        <is>
          <t>NO</t>
        </is>
      </c>
      <c r="K439" t="inlineStr">
        <is>
          <t>2026-02-27 20:47</t>
        </is>
      </c>
      <c r="L439" t="inlineStr">
        <is>
          <t>YES</t>
        </is>
      </c>
      <c r="M439" t="inlineStr">
        <is>
          <t>mozilla firefox * | mozilla thunderbird *</t>
        </is>
      </c>
      <c r="N439" t="inlineStr">
        <is>
          <t>P3</t>
        </is>
      </c>
      <c r="O439" t="inlineStr">
        <is>
          <t>CVE - IP enrichment n/a</t>
        </is>
      </c>
      <c r="P439" t="n">
        <v>0.0004</v>
      </c>
      <c r="Q439" t="n">
        <v>0.1377</v>
      </c>
      <c r="R439" t="inlineStr">
        <is>
          <t>T1190:Exploit Public-Facing Application</t>
        </is>
      </c>
      <c r="S439" t="n">
        <v>1</v>
      </c>
      <c r="T439" t="inlineStr">
        <is>
          <t>LOW (40%)</t>
        </is>
      </c>
      <c r="U439" t="inlineStr">
        <is>
          <t>UNLIKELY</t>
        </is>
      </c>
      <c r="V439" t="inlineStr">
        <is>
          <t>PATCH_AVAILABLE</t>
        </is>
      </c>
      <c r="W439" t="inlineStr">
        <is>
          <t>https://nvd.nist.gov/vuln/detail/CVE-2026-2784</t>
        </is>
      </c>
      <c r="X439" t="inlineStr">
        <is>
          <t>NONE</t>
        </is>
      </c>
      <c r="Y439" t="n">
        <v>0</v>
      </c>
      <c r="Z439" t="inlineStr"/>
      <c r="AA439" t="inlineStr">
        <is>
          <t>https://nvd.nist.gov/vuln/detail/CVE-2026-2784</t>
        </is>
      </c>
    </row>
    <row r="440">
      <c r="A440" t="inlineStr">
        <is>
          <t>CVE</t>
        </is>
      </c>
      <c r="B440" t="inlineStr">
        <is>
          <t>CVE-2026-2785</t>
        </is>
      </c>
      <c r="C440" t="inlineStr">
        <is>
          <t>Invalid pointer in the JavaScript Engine component. This vulnerability affects Firefox &lt; 148, Firefox ESR &lt; 140.8, Thunderbird &lt; 148, and Thunderbird &lt; 140.8.</t>
        </is>
      </c>
      <c r="D440" t="n">
        <v>9.800000000000001</v>
      </c>
      <c r="E440" t="inlineStr">
        <is>
          <t>CRITICAL</t>
        </is>
      </c>
      <c r="F440" t="n">
        <v>2</v>
      </c>
      <c r="G440" t="n">
        <v>3</v>
      </c>
      <c r="H440" t="inlineStr">
        <is>
          <t>HIGH</t>
        </is>
      </c>
      <c r="I440" t="n">
        <v>15.8</v>
      </c>
      <c r="J440" t="inlineStr">
        <is>
          <t>NO</t>
        </is>
      </c>
      <c r="K440" t="inlineStr">
        <is>
          <t>2026-02-27 20:47</t>
        </is>
      </c>
      <c r="L440" t="inlineStr">
        <is>
          <t>YES</t>
        </is>
      </c>
      <c r="M440" t="inlineStr">
        <is>
          <t>mozilla firefox * | mozilla thunderbird *</t>
        </is>
      </c>
      <c r="N440" t="inlineStr">
        <is>
          <t>P3</t>
        </is>
      </c>
      <c r="O440" t="inlineStr">
        <is>
          <t>CVE - IP enrichment n/a</t>
        </is>
      </c>
      <c r="P440" t="n">
        <v>0.0004</v>
      </c>
      <c r="Q440" t="n">
        <v>0.1242</v>
      </c>
      <c r="R440" t="inlineStr">
        <is>
          <t>T1203:Exploitation for Client Execution</t>
        </is>
      </c>
      <c r="S440" t="n">
        <v>1</v>
      </c>
      <c r="T440" t="inlineStr">
        <is>
          <t>LOW (40%)</t>
        </is>
      </c>
      <c r="U440" t="inlineStr">
        <is>
          <t>UNLIKELY</t>
        </is>
      </c>
      <c r="V440" t="inlineStr">
        <is>
          <t>PATCH_AVAILABLE</t>
        </is>
      </c>
      <c r="W440" t="inlineStr">
        <is>
          <t>https://nvd.nist.gov/vuln/detail/CVE-2026-2785</t>
        </is>
      </c>
      <c r="X440" t="inlineStr">
        <is>
          <t>NONE</t>
        </is>
      </c>
      <c r="Y440" t="n">
        <v>0</v>
      </c>
      <c r="Z440" t="inlineStr"/>
      <c r="AA440" t="inlineStr">
        <is>
          <t>https://nvd.nist.gov/vuln/detail/CVE-2026-2785</t>
        </is>
      </c>
    </row>
    <row r="441">
      <c r="A441" t="inlineStr">
        <is>
          <t>CVE</t>
        </is>
      </c>
      <c r="B441" t="inlineStr">
        <is>
          <t>CVE-2026-2786</t>
        </is>
      </c>
      <c r="C441" t="inlineStr">
        <is>
          <t>Use-after-free in the JavaScript Engine component. This vulnerability affects Firefox &lt; 148, Firefox ESR &lt; 140.8, Thunderbird &lt; 148, and Thunderbird &lt; 140.8.</t>
        </is>
      </c>
      <c r="D441" t="n">
        <v>9.800000000000001</v>
      </c>
      <c r="E441" t="inlineStr">
        <is>
          <t>CRITICAL</t>
        </is>
      </c>
      <c r="F441" t="n">
        <v>2</v>
      </c>
      <c r="G441" t="n">
        <v>3</v>
      </c>
      <c r="H441" t="inlineStr">
        <is>
          <t>HIGH</t>
        </is>
      </c>
      <c r="I441" t="n">
        <v>15.8</v>
      </c>
      <c r="J441" t="inlineStr">
        <is>
          <t>NO</t>
        </is>
      </c>
      <c r="K441" t="inlineStr">
        <is>
          <t>2026-02-27 20:47</t>
        </is>
      </c>
      <c r="L441" t="inlineStr">
        <is>
          <t>YES</t>
        </is>
      </c>
      <c r="M441" t="inlineStr">
        <is>
          <t>mozilla firefox * | mozilla thunderbird *</t>
        </is>
      </c>
      <c r="N441" t="inlineStr">
        <is>
          <t>P3</t>
        </is>
      </c>
      <c r="O441" t="inlineStr">
        <is>
          <t>CVE - IP enrichment n/a</t>
        </is>
      </c>
      <c r="P441" t="n">
        <v>0.0004</v>
      </c>
      <c r="Q441" t="n">
        <v>0.1242</v>
      </c>
      <c r="R441" t="inlineStr">
        <is>
          <t>T1203:Exploitation for Client Execution</t>
        </is>
      </c>
      <c r="S441" t="n">
        <v>1</v>
      </c>
      <c r="T441" t="inlineStr">
        <is>
          <t>LOW (40%)</t>
        </is>
      </c>
      <c r="U441" t="inlineStr">
        <is>
          <t>UNLIKELY</t>
        </is>
      </c>
      <c r="V441" t="inlineStr">
        <is>
          <t>PATCH_AVAILABLE</t>
        </is>
      </c>
      <c r="W441" t="inlineStr">
        <is>
          <t>https://nvd.nist.gov/vuln/detail/CVE-2026-2786</t>
        </is>
      </c>
      <c r="X441" t="inlineStr">
        <is>
          <t>NONE</t>
        </is>
      </c>
      <c r="Y441" t="n">
        <v>0</v>
      </c>
      <c r="Z441" t="inlineStr"/>
      <c r="AA441" t="inlineStr">
        <is>
          <t>https://nvd.nist.gov/vuln/detail/CVE-2026-2786</t>
        </is>
      </c>
    </row>
    <row r="442">
      <c r="A442" t="inlineStr">
        <is>
          <t>CVE</t>
        </is>
      </c>
      <c r="B442" t="inlineStr">
        <is>
          <t>CVE-2026-2787</t>
        </is>
      </c>
      <c r="C442" t="inlineStr">
        <is>
          <t>Use-after-free in the DOM: Window and Location component. This vulnerability affects Firefox &lt; 148, Firefox ESR &lt; 115.33, Firefox ESR &lt; 140.8, Thunderbird &lt; 148, and Thunderbird &lt; 140.8.</t>
        </is>
      </c>
      <c r="D442" t="n">
        <v>9.800000000000001</v>
      </c>
      <c r="E442" t="inlineStr">
        <is>
          <t>CRITICAL</t>
        </is>
      </c>
      <c r="F442" t="n">
        <v>2</v>
      </c>
      <c r="G442" t="n">
        <v>3</v>
      </c>
      <c r="H442" t="inlineStr">
        <is>
          <t>HIGH</t>
        </is>
      </c>
      <c r="I442" t="n">
        <v>15.8</v>
      </c>
      <c r="J442" t="inlineStr">
        <is>
          <t>NO</t>
        </is>
      </c>
      <c r="K442" t="inlineStr">
        <is>
          <t>2026-02-27 20:47</t>
        </is>
      </c>
      <c r="L442" t="inlineStr">
        <is>
          <t>YES</t>
        </is>
      </c>
      <c r="M442" t="inlineStr">
        <is>
          <t>mozilla firefox *</t>
        </is>
      </c>
      <c r="N442" t="inlineStr">
        <is>
          <t>P3</t>
        </is>
      </c>
      <c r="O442" t="inlineStr">
        <is>
          <t>CVE - IP enrichment n/a</t>
        </is>
      </c>
      <c r="P442" t="n">
        <v>0.0004</v>
      </c>
      <c r="Q442" t="n">
        <v>0.1273</v>
      </c>
      <c r="R442" t="inlineStr">
        <is>
          <t>T1203:Exploitation for Client Execution</t>
        </is>
      </c>
      <c r="S442" t="n">
        <v>1</v>
      </c>
      <c r="T442" t="inlineStr">
        <is>
          <t>LOW (40%)</t>
        </is>
      </c>
      <c r="U442" t="inlineStr">
        <is>
          <t>UNLIKELY</t>
        </is>
      </c>
      <c r="V442" t="inlineStr">
        <is>
          <t>PATCH_AVAILABLE</t>
        </is>
      </c>
      <c r="W442" t="inlineStr">
        <is>
          <t>https://nvd.nist.gov/vuln/detail/CVE-2026-2787</t>
        </is>
      </c>
      <c r="X442" t="inlineStr">
        <is>
          <t>NONE</t>
        </is>
      </c>
      <c r="Y442" t="n">
        <v>0</v>
      </c>
      <c r="Z442" t="inlineStr"/>
      <c r="AA442" t="inlineStr">
        <is>
          <t>https://nvd.nist.gov/vuln/detail/CVE-2026-2787</t>
        </is>
      </c>
    </row>
    <row r="443">
      <c r="A443" t="inlineStr">
        <is>
          <t>CVE</t>
        </is>
      </c>
      <c r="B443" t="inlineStr">
        <is>
          <t>CVE-2026-2788</t>
        </is>
      </c>
      <c r="C443" t="inlineStr">
        <is>
          <t>Incorrect boundary conditions in the Audio/Video: GMP component. This vulnerability affects Firefox &lt; 148, Firefox ESR &lt; 115.33, Firefox ESR &lt; 140.8, Thunderbird &lt; 148, and Thunderbird &lt; 140.8.</t>
        </is>
      </c>
      <c r="D443" t="n">
        <v>9.800000000000001</v>
      </c>
      <c r="E443" t="inlineStr">
        <is>
          <t>CRITICAL</t>
        </is>
      </c>
      <c r="F443" t="n">
        <v>2</v>
      </c>
      <c r="G443" t="n">
        <v>3</v>
      </c>
      <c r="H443" t="inlineStr">
        <is>
          <t>HIGH</t>
        </is>
      </c>
      <c r="I443" t="n">
        <v>15.8</v>
      </c>
      <c r="J443" t="inlineStr">
        <is>
          <t>NO</t>
        </is>
      </c>
      <c r="K443" t="inlineStr">
        <is>
          <t>2026-02-27 20:47</t>
        </is>
      </c>
      <c r="L443" t="inlineStr">
        <is>
          <t>YES</t>
        </is>
      </c>
      <c r="M443" t="inlineStr">
        <is>
          <t>mozilla firefox *</t>
        </is>
      </c>
      <c r="N443" t="inlineStr">
        <is>
          <t>P3</t>
        </is>
      </c>
      <c r="O443" t="inlineStr">
        <is>
          <t>CVE - IP enrichment n/a</t>
        </is>
      </c>
      <c r="P443" t="n">
        <v>0.0005</v>
      </c>
      <c r="Q443" t="n">
        <v>0.1409</v>
      </c>
      <c r="R443" t="inlineStr">
        <is>
          <t>T1190:Exploit Public-Facing Application</t>
        </is>
      </c>
      <c r="S443" t="n">
        <v>1</v>
      </c>
      <c r="T443" t="inlineStr">
        <is>
          <t>LOW (40%)</t>
        </is>
      </c>
      <c r="U443" t="inlineStr">
        <is>
          <t>UNLIKELY</t>
        </is>
      </c>
      <c r="V443" t="inlineStr">
        <is>
          <t>PATCH_AVAILABLE</t>
        </is>
      </c>
      <c r="W443" t="inlineStr">
        <is>
          <t>https://nvd.nist.gov/vuln/detail/CVE-2026-2788</t>
        </is>
      </c>
      <c r="X443" t="inlineStr">
        <is>
          <t>NONE</t>
        </is>
      </c>
      <c r="Y443" t="n">
        <v>0</v>
      </c>
      <c r="Z443" t="inlineStr"/>
      <c r="AA443" t="inlineStr">
        <is>
          <t>https://nvd.nist.gov/vuln/detail/CVE-2026-2788</t>
        </is>
      </c>
    </row>
    <row r="444">
      <c r="A444" t="inlineStr">
        <is>
          <t>CVE</t>
        </is>
      </c>
      <c r="B444" t="inlineStr">
        <is>
          <t>CVE-2026-2789</t>
        </is>
      </c>
      <c r="C444" t="inlineStr">
        <is>
          <t>Use-after-free in the Graphics: ImageLib component. This vulnerability affects Firefox &lt; 148, Firefox ESR &lt; 115.33, Firefox ESR &lt; 140.8, Thunderbird &lt; 148, and Thunderbird &lt; 140.8.</t>
        </is>
      </c>
      <c r="D444" t="n">
        <v>9.800000000000001</v>
      </c>
      <c r="E444" t="inlineStr">
        <is>
          <t>CRITICAL</t>
        </is>
      </c>
      <c r="F444" t="n">
        <v>2</v>
      </c>
      <c r="G444" t="n">
        <v>3</v>
      </c>
      <c r="H444" t="inlineStr">
        <is>
          <t>HIGH</t>
        </is>
      </c>
      <c r="I444" t="n">
        <v>15.8</v>
      </c>
      <c r="J444" t="inlineStr">
        <is>
          <t>NO</t>
        </is>
      </c>
      <c r="K444" t="inlineStr">
        <is>
          <t>2026-02-27 20:47</t>
        </is>
      </c>
      <c r="L444" t="inlineStr">
        <is>
          <t>YES</t>
        </is>
      </c>
      <c r="M444" t="inlineStr">
        <is>
          <t>mozilla firefox *</t>
        </is>
      </c>
      <c r="N444" t="inlineStr">
        <is>
          <t>P3</t>
        </is>
      </c>
      <c r="O444" t="inlineStr">
        <is>
          <t>CVE - IP enrichment n/a</t>
        </is>
      </c>
      <c r="P444" t="n">
        <v>0.0004</v>
      </c>
      <c r="Q444" t="n">
        <v>0.1273</v>
      </c>
      <c r="R444" t="inlineStr">
        <is>
          <t>T1203:Exploitation for Client Execution</t>
        </is>
      </c>
      <c r="S444" t="n">
        <v>1</v>
      </c>
      <c r="T444" t="inlineStr">
        <is>
          <t>LOW (40%)</t>
        </is>
      </c>
      <c r="U444" t="inlineStr">
        <is>
          <t>UNLIKELY</t>
        </is>
      </c>
      <c r="V444" t="inlineStr">
        <is>
          <t>PATCH_AVAILABLE</t>
        </is>
      </c>
      <c r="W444" t="inlineStr">
        <is>
          <t>https://nvd.nist.gov/vuln/detail/CVE-2026-2789</t>
        </is>
      </c>
      <c r="X444" t="inlineStr">
        <is>
          <t>NONE</t>
        </is>
      </c>
      <c r="Y444" t="n">
        <v>0</v>
      </c>
      <c r="Z444" t="inlineStr"/>
      <c r="AA444" t="inlineStr">
        <is>
          <t>https://nvd.nist.gov/vuln/detail/CVE-2026-2789</t>
        </is>
      </c>
    </row>
    <row r="445">
      <c r="A445" t="inlineStr">
        <is>
          <t>CVE</t>
        </is>
      </c>
      <c r="B445" t="inlineStr">
        <is>
          <t>CVE-2026-2790</t>
        </is>
      </c>
      <c r="C445" t="inlineStr">
        <is>
          <t>Same-origin policy bypass in the Networking: JAR component. This vulnerability affects Firefox &lt; 148, Firefox ESR &lt; 140.8, Thunderbird &lt; 148, and Thunderbird &lt; 140.8.</t>
        </is>
      </c>
      <c r="D445" t="n">
        <v>9.800000000000001</v>
      </c>
      <c r="E445" t="inlineStr">
        <is>
          <t>CRITICAL</t>
        </is>
      </c>
      <c r="F445" t="n">
        <v>2</v>
      </c>
      <c r="G445" t="n">
        <v>3</v>
      </c>
      <c r="H445" t="inlineStr">
        <is>
          <t>HIGH</t>
        </is>
      </c>
      <c r="I445" t="n">
        <v>15.8</v>
      </c>
      <c r="J445" t="inlineStr">
        <is>
          <t>NO</t>
        </is>
      </c>
      <c r="K445" t="inlineStr">
        <is>
          <t>2026-02-27 20:47</t>
        </is>
      </c>
      <c r="L445" t="inlineStr">
        <is>
          <t>YES</t>
        </is>
      </c>
      <c r="M445" t="inlineStr">
        <is>
          <t>mozilla firefox * | mozilla thunderbird *</t>
        </is>
      </c>
      <c r="N445" t="inlineStr">
        <is>
          <t>P3</t>
        </is>
      </c>
      <c r="O445" t="inlineStr">
        <is>
          <t>CVE - IP enrichment n/a</t>
        </is>
      </c>
      <c r="P445" t="n">
        <v>0.0002</v>
      </c>
      <c r="Q445" t="n">
        <v>0.0455</v>
      </c>
      <c r="R445" t="inlineStr">
        <is>
          <t>T1190:Exploit Public-Facing Application</t>
        </is>
      </c>
      <c r="S445" t="n">
        <v>1</v>
      </c>
      <c r="T445" t="inlineStr">
        <is>
          <t>LOW (40%)</t>
        </is>
      </c>
      <c r="U445" t="inlineStr">
        <is>
          <t>UNLIKELY</t>
        </is>
      </c>
      <c r="V445" t="inlineStr">
        <is>
          <t>PATCH_AVAILABLE</t>
        </is>
      </c>
      <c r="W445" t="inlineStr">
        <is>
          <t>https://nvd.nist.gov/vuln/detail/CVE-2026-2790</t>
        </is>
      </c>
      <c r="X445" t="inlineStr">
        <is>
          <t>NONE</t>
        </is>
      </c>
      <c r="Y445" t="n">
        <v>0</v>
      </c>
      <c r="Z445" t="inlineStr"/>
      <c r="AA445" t="inlineStr">
        <is>
          <t>https://nvd.nist.gov/vuln/detail/CVE-2026-2790</t>
        </is>
      </c>
    </row>
    <row r="446">
      <c r="A446" t="inlineStr">
        <is>
          <t>CVE</t>
        </is>
      </c>
      <c r="B446" t="inlineStr">
        <is>
          <t>CVE-2026-2791</t>
        </is>
      </c>
      <c r="C446" t="inlineStr">
        <is>
          <t>Mitigation bypass in the Networking: Cache component. This vulnerability affects Firefox &lt; 148, Firefox ESR &lt; 140.8, Thunderbird &lt; 148, and Thunderbird &lt; 140.8.</t>
        </is>
      </c>
      <c r="D446" t="n">
        <v>9.800000000000001</v>
      </c>
      <c r="E446" t="inlineStr">
        <is>
          <t>CRITICAL</t>
        </is>
      </c>
      <c r="F446" t="n">
        <v>2</v>
      </c>
      <c r="G446" t="n">
        <v>3</v>
      </c>
      <c r="H446" t="inlineStr">
        <is>
          <t>HIGH</t>
        </is>
      </c>
      <c r="I446" t="n">
        <v>15.8</v>
      </c>
      <c r="J446" t="inlineStr">
        <is>
          <t>NO</t>
        </is>
      </c>
      <c r="K446" t="inlineStr">
        <is>
          <t>2026-02-27 20:47</t>
        </is>
      </c>
      <c r="L446" t="inlineStr">
        <is>
          <t>YES</t>
        </is>
      </c>
      <c r="M446" t="inlineStr">
        <is>
          <t>mozilla firefox * | mozilla thunderbird *</t>
        </is>
      </c>
      <c r="N446" t="inlineStr">
        <is>
          <t>P3</t>
        </is>
      </c>
      <c r="O446" t="inlineStr">
        <is>
          <t>CVE - IP enrichment n/a</t>
        </is>
      </c>
      <c r="P446" t="n">
        <v>0.0004</v>
      </c>
      <c r="Q446" t="n">
        <v>0.1377</v>
      </c>
      <c r="R446" t="inlineStr">
        <is>
          <t>T1190:Exploit Public-Facing Application</t>
        </is>
      </c>
      <c r="S446" t="n">
        <v>1</v>
      </c>
      <c r="T446" t="inlineStr">
        <is>
          <t>LOW (40%)</t>
        </is>
      </c>
      <c r="U446" t="inlineStr">
        <is>
          <t>UNLIKELY</t>
        </is>
      </c>
      <c r="V446" t="inlineStr">
        <is>
          <t>PATCH_AVAILABLE</t>
        </is>
      </c>
      <c r="W446" t="inlineStr">
        <is>
          <t>https://nvd.nist.gov/vuln/detail/CVE-2026-2791</t>
        </is>
      </c>
      <c r="X446" t="inlineStr">
        <is>
          <t>NONE</t>
        </is>
      </c>
      <c r="Y446" t="n">
        <v>0</v>
      </c>
      <c r="Z446" t="inlineStr"/>
      <c r="AA446" t="inlineStr">
        <is>
          <t>https://nvd.nist.gov/vuln/detail/CVE-2026-2791</t>
        </is>
      </c>
    </row>
    <row r="447">
      <c r="A447" t="inlineStr">
        <is>
          <t>CVE</t>
        </is>
      </c>
      <c r="B447" t="inlineStr">
        <is>
          <t>CVE-2026-2792</t>
        </is>
      </c>
      <c r="C447"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447" t="n">
        <v>9.800000000000001</v>
      </c>
      <c r="E447" t="inlineStr">
        <is>
          <t>CRITICAL</t>
        </is>
      </c>
      <c r="F447" t="n">
        <v>2</v>
      </c>
      <c r="G447" t="n">
        <v>3</v>
      </c>
      <c r="H447" t="inlineStr">
        <is>
          <t>HIGH</t>
        </is>
      </c>
      <c r="I447" t="n">
        <v>15.8</v>
      </c>
      <c r="J447" t="inlineStr">
        <is>
          <t>NO</t>
        </is>
      </c>
      <c r="K447" t="inlineStr">
        <is>
          <t>2026-02-27 20:47</t>
        </is>
      </c>
      <c r="L447" t="inlineStr">
        <is>
          <t>YES</t>
        </is>
      </c>
      <c r="M447" t="inlineStr">
        <is>
          <t>mozilla firefox * | mozilla thunderbird *</t>
        </is>
      </c>
      <c r="N447" t="inlineStr">
        <is>
          <t>P3</t>
        </is>
      </c>
      <c r="O447" t="inlineStr">
        <is>
          <t>CVE - IP enrichment n/a</t>
        </is>
      </c>
      <c r="P447" t="n">
        <v>0.0005</v>
      </c>
      <c r="Q447" t="n">
        <v>0.1498</v>
      </c>
      <c r="R447" t="inlineStr">
        <is>
          <t>T1203:Exploitation for Client Execution</t>
        </is>
      </c>
      <c r="S447" t="n">
        <v>1</v>
      </c>
      <c r="T447" t="inlineStr">
        <is>
          <t>LOW (40%)</t>
        </is>
      </c>
      <c r="U447" t="inlineStr">
        <is>
          <t>UNLIKELY</t>
        </is>
      </c>
      <c r="V447" t="inlineStr">
        <is>
          <t>PATCH_AVAILABLE</t>
        </is>
      </c>
      <c r="W447" t="inlineStr">
        <is>
          <t>https://nvd.nist.gov/vuln/detail/CVE-2026-2792</t>
        </is>
      </c>
      <c r="X447" t="inlineStr">
        <is>
          <t>NONE</t>
        </is>
      </c>
      <c r="Y447" t="n">
        <v>0</v>
      </c>
      <c r="Z447" t="inlineStr"/>
      <c r="AA447" t="inlineStr">
        <is>
          <t>https://nvd.nist.gov/vuln/detail/CVE-2026-2792</t>
        </is>
      </c>
    </row>
    <row r="448">
      <c r="A448" t="inlineStr">
        <is>
          <t>CVE</t>
        </is>
      </c>
      <c r="B448" t="inlineStr">
        <is>
          <t>CVE-2026-2793</t>
        </is>
      </c>
      <c r="C448"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448" t="n">
        <v>9.800000000000001</v>
      </c>
      <c r="E448" t="inlineStr">
        <is>
          <t>CRITICAL</t>
        </is>
      </c>
      <c r="F448" t="n">
        <v>2</v>
      </c>
      <c r="G448" t="n">
        <v>3</v>
      </c>
      <c r="H448" t="inlineStr">
        <is>
          <t>HIGH</t>
        </is>
      </c>
      <c r="I448" t="n">
        <v>15.8</v>
      </c>
      <c r="J448" t="inlineStr">
        <is>
          <t>NO</t>
        </is>
      </c>
      <c r="K448" t="inlineStr">
        <is>
          <t>2026-02-27 20:47</t>
        </is>
      </c>
      <c r="L448" t="inlineStr">
        <is>
          <t>YES</t>
        </is>
      </c>
      <c r="M448" t="inlineStr">
        <is>
          <t>mozilla firefox *</t>
        </is>
      </c>
      <c r="N448" t="inlineStr">
        <is>
          <t>P3</t>
        </is>
      </c>
      <c r="O448" t="inlineStr">
        <is>
          <t>CVE - IP enrichment n/a</t>
        </is>
      </c>
      <c r="P448" t="n">
        <v>0.0005</v>
      </c>
      <c r="Q448" t="n">
        <v>0.1527</v>
      </c>
      <c r="R448" t="inlineStr">
        <is>
          <t>T1203:Exploitation for Client Execution</t>
        </is>
      </c>
      <c r="S448" t="n">
        <v>1</v>
      </c>
      <c r="T448" t="inlineStr">
        <is>
          <t>LOW (40%)</t>
        </is>
      </c>
      <c r="U448" t="inlineStr">
        <is>
          <t>UNLIKELY</t>
        </is>
      </c>
      <c r="V448" t="inlineStr">
        <is>
          <t>PATCH_AVAILABLE</t>
        </is>
      </c>
      <c r="W448" t="inlineStr">
        <is>
          <t>https://nvd.nist.gov/vuln/detail/CVE-2026-2793</t>
        </is>
      </c>
      <c r="X448" t="inlineStr">
        <is>
          <t>NONE</t>
        </is>
      </c>
      <c r="Y448" t="n">
        <v>0</v>
      </c>
      <c r="Z448" t="inlineStr"/>
      <c r="AA448" t="inlineStr">
        <is>
          <t>https://nvd.nist.gov/vuln/detail/CVE-2026-2793</t>
        </is>
      </c>
    </row>
    <row r="449">
      <c r="A449" t="inlineStr">
        <is>
          <t>CVE</t>
        </is>
      </c>
      <c r="B449" t="inlineStr">
        <is>
          <t>CVE-2026-2794</t>
        </is>
      </c>
      <c r="C449" t="inlineStr">
        <is>
          <t>Information disclosure due to uninitialized memory in Firefox and Firefox Focus for Android. This vulnerability affects Firefox &lt; 148.</t>
        </is>
      </c>
      <c r="D449" t="n">
        <v>7.5</v>
      </c>
      <c r="E449" t="inlineStr">
        <is>
          <t>HIGH</t>
        </is>
      </c>
      <c r="F449" t="n">
        <v>2</v>
      </c>
      <c r="G449" t="n">
        <v>3</v>
      </c>
      <c r="H449" t="inlineStr">
        <is>
          <t>HIGH</t>
        </is>
      </c>
      <c r="I449" t="n">
        <v>13.5</v>
      </c>
      <c r="J449" t="inlineStr">
        <is>
          <t>NO</t>
        </is>
      </c>
      <c r="K449" t="inlineStr">
        <is>
          <t>2026-02-27 20:47</t>
        </is>
      </c>
      <c r="L449" t="inlineStr">
        <is>
          <t>YES</t>
        </is>
      </c>
      <c r="M449" t="inlineStr">
        <is>
          <t>mozilla firefox *</t>
        </is>
      </c>
      <c r="N449" t="inlineStr">
        <is>
          <t>P3</t>
        </is>
      </c>
      <c r="O449" t="inlineStr">
        <is>
          <t>CVE - IP enrichment n/a</t>
        </is>
      </c>
      <c r="P449" t="n">
        <v>0.0003</v>
      </c>
      <c r="Q449" t="n">
        <v>0.0921</v>
      </c>
      <c r="R449" t="inlineStr">
        <is>
          <t>T1213:Data from Information Repositories</t>
        </is>
      </c>
      <c r="S449" t="n">
        <v>1</v>
      </c>
      <c r="T449" t="inlineStr">
        <is>
          <t>LOW (40%)</t>
        </is>
      </c>
      <c r="U449" t="inlineStr">
        <is>
          <t>UNLIKELY</t>
        </is>
      </c>
      <c r="V449" t="inlineStr">
        <is>
          <t>PATCH_AVAILABLE</t>
        </is>
      </c>
      <c r="W449" t="inlineStr">
        <is>
          <t>https://nvd.nist.gov/vuln/detail/CVE-2026-2794</t>
        </is>
      </c>
      <c r="X449" t="inlineStr">
        <is>
          <t>NONE</t>
        </is>
      </c>
      <c r="Y449" t="n">
        <v>0</v>
      </c>
      <c r="Z449" t="inlineStr"/>
      <c r="AA449" t="inlineStr">
        <is>
          <t>https://nvd.nist.gov/vuln/detail/CVE-2026-2794</t>
        </is>
      </c>
    </row>
    <row r="450">
      <c r="A450" t="inlineStr">
        <is>
          <t>CVE</t>
        </is>
      </c>
      <c r="B450" t="inlineStr">
        <is>
          <t>CVE-2026-2795</t>
        </is>
      </c>
      <c r="C450" t="inlineStr">
        <is>
          <t>Use-after-free in the JavaScript: GC component. This vulnerability affects Firefox &lt; 148 and Thunderbird &lt; 148.</t>
        </is>
      </c>
      <c r="D450" t="n">
        <v>9.800000000000001</v>
      </c>
      <c r="E450" t="inlineStr">
        <is>
          <t>CRITICAL</t>
        </is>
      </c>
      <c r="F450" t="n">
        <v>2</v>
      </c>
      <c r="G450" t="n">
        <v>3</v>
      </c>
      <c r="H450" t="inlineStr">
        <is>
          <t>HIGH</t>
        </is>
      </c>
      <c r="I450" t="n">
        <v>15.8</v>
      </c>
      <c r="J450" t="inlineStr">
        <is>
          <t>NO</t>
        </is>
      </c>
      <c r="K450" t="inlineStr">
        <is>
          <t>2026-02-27 20:47</t>
        </is>
      </c>
      <c r="L450" t="inlineStr">
        <is>
          <t>YES</t>
        </is>
      </c>
      <c r="M450" t="inlineStr">
        <is>
          <t>mozilla firefox * | mozilla thunderbird *</t>
        </is>
      </c>
      <c r="N450" t="inlineStr">
        <is>
          <t>P3</t>
        </is>
      </c>
      <c r="O450" t="inlineStr">
        <is>
          <t>CVE - IP enrichment n/a</t>
        </is>
      </c>
      <c r="P450" t="n">
        <v>0.0004</v>
      </c>
      <c r="Q450" t="n">
        <v>0.116</v>
      </c>
      <c r="R450" t="inlineStr">
        <is>
          <t>T1203:Exploitation for Client Execution</t>
        </is>
      </c>
      <c r="S450" t="n">
        <v>1</v>
      </c>
      <c r="T450" t="inlineStr">
        <is>
          <t>LOW (40%)</t>
        </is>
      </c>
      <c r="U450" t="inlineStr">
        <is>
          <t>UNLIKELY</t>
        </is>
      </c>
      <c r="V450" t="inlineStr">
        <is>
          <t>PATCH_AVAILABLE</t>
        </is>
      </c>
      <c r="W450" t="inlineStr">
        <is>
          <t>https://nvd.nist.gov/vuln/detail/CVE-2026-2795</t>
        </is>
      </c>
      <c r="X450" t="inlineStr">
        <is>
          <t>NONE</t>
        </is>
      </c>
      <c r="Y450" t="n">
        <v>0</v>
      </c>
      <c r="Z450" t="inlineStr"/>
      <c r="AA450" t="inlineStr">
        <is>
          <t>https://nvd.nist.gov/vuln/detail/CVE-2026-2795</t>
        </is>
      </c>
    </row>
    <row r="451">
      <c r="A451" t="inlineStr">
        <is>
          <t>CVE</t>
        </is>
      </c>
      <c r="B451" t="inlineStr">
        <is>
          <t>CVE-2026-2796</t>
        </is>
      </c>
      <c r="C451" t="inlineStr">
        <is>
          <t>JIT miscompilation in the JavaScript: WebAssembly component. This vulnerability affects Firefox &lt; 148 and Thunderbird &lt; 148.</t>
        </is>
      </c>
      <c r="D451" t="n">
        <v>9.800000000000001</v>
      </c>
      <c r="E451" t="inlineStr">
        <is>
          <t>CRITICAL</t>
        </is>
      </c>
      <c r="F451" t="n">
        <v>2</v>
      </c>
      <c r="G451" t="n">
        <v>3</v>
      </c>
      <c r="H451" t="inlineStr">
        <is>
          <t>HIGH</t>
        </is>
      </c>
      <c r="I451" t="n">
        <v>15.8</v>
      </c>
      <c r="J451" t="inlineStr">
        <is>
          <t>NO</t>
        </is>
      </c>
      <c r="K451" t="inlineStr">
        <is>
          <t>2026-02-27 20:47</t>
        </is>
      </c>
      <c r="L451" t="inlineStr">
        <is>
          <t>YES</t>
        </is>
      </c>
      <c r="M451" t="inlineStr">
        <is>
          <t>mozilla firefox * | mozilla thunderbird *</t>
        </is>
      </c>
      <c r="N451" t="inlineStr">
        <is>
          <t>P3</t>
        </is>
      </c>
      <c r="O451" t="inlineStr">
        <is>
          <t>CVE - IP enrichment n/a</t>
        </is>
      </c>
      <c r="P451" t="n">
        <v>0.0004</v>
      </c>
      <c r="Q451" t="n">
        <v>0.1292</v>
      </c>
      <c r="R451" t="inlineStr">
        <is>
          <t>T1190:Exploit Public-Facing Application</t>
        </is>
      </c>
      <c r="S451" t="n">
        <v>1</v>
      </c>
      <c r="T451" t="inlineStr">
        <is>
          <t>LOW (40%)</t>
        </is>
      </c>
      <c r="U451" t="inlineStr">
        <is>
          <t>UNLIKELY</t>
        </is>
      </c>
      <c r="V451" t="inlineStr">
        <is>
          <t>PATCH_AVAILABLE</t>
        </is>
      </c>
      <c r="W451" t="inlineStr">
        <is>
          <t>https://nvd.nist.gov/vuln/detail/CVE-2026-2796</t>
        </is>
      </c>
      <c r="X451" t="inlineStr">
        <is>
          <t>NONE</t>
        </is>
      </c>
      <c r="Y451" t="n">
        <v>0</v>
      </c>
      <c r="Z451" t="inlineStr"/>
      <c r="AA451" t="inlineStr">
        <is>
          <t>https://nvd.nist.gov/vuln/detail/CVE-2026-2796</t>
        </is>
      </c>
    </row>
    <row r="452">
      <c r="A452" t="inlineStr">
        <is>
          <t>CVE</t>
        </is>
      </c>
      <c r="B452" t="inlineStr">
        <is>
          <t>CVE-2026-2797</t>
        </is>
      </c>
      <c r="C452" t="inlineStr">
        <is>
          <t>Use-after-free in the JavaScript: GC component. This vulnerability affects Firefox &lt; 148 and Thunderbird &lt; 148.</t>
        </is>
      </c>
      <c r="D452" t="n">
        <v>9.800000000000001</v>
      </c>
      <c r="E452" t="inlineStr">
        <is>
          <t>CRITICAL</t>
        </is>
      </c>
      <c r="F452" t="n">
        <v>2</v>
      </c>
      <c r="G452" t="n">
        <v>3</v>
      </c>
      <c r="H452" t="inlineStr">
        <is>
          <t>HIGH</t>
        </is>
      </c>
      <c r="I452" t="n">
        <v>15.8</v>
      </c>
      <c r="J452" t="inlineStr">
        <is>
          <t>NO</t>
        </is>
      </c>
      <c r="K452" t="inlineStr">
        <is>
          <t>2026-02-27 20:47</t>
        </is>
      </c>
      <c r="L452" t="inlineStr">
        <is>
          <t>YES</t>
        </is>
      </c>
      <c r="M452" t="inlineStr">
        <is>
          <t>mozilla firefox * | mozilla thunderbird *</t>
        </is>
      </c>
      <c r="N452" t="inlineStr">
        <is>
          <t>P3</t>
        </is>
      </c>
      <c r="O452" t="inlineStr">
        <is>
          <t>CVE - IP enrichment n/a</t>
        </is>
      </c>
      <c r="P452" t="n">
        <v>0.0004</v>
      </c>
      <c r="Q452" t="n">
        <v>0.116</v>
      </c>
      <c r="R452" t="inlineStr">
        <is>
          <t>T1203:Exploitation for Client Execution</t>
        </is>
      </c>
      <c r="S452" t="n">
        <v>1</v>
      </c>
      <c r="T452" t="inlineStr">
        <is>
          <t>LOW (40%)</t>
        </is>
      </c>
      <c r="U452" t="inlineStr">
        <is>
          <t>UNLIKELY</t>
        </is>
      </c>
      <c r="V452" t="inlineStr">
        <is>
          <t>PATCH_AVAILABLE</t>
        </is>
      </c>
      <c r="W452" t="inlineStr">
        <is>
          <t>https://nvd.nist.gov/vuln/detail/CVE-2026-2797</t>
        </is>
      </c>
      <c r="X452" t="inlineStr">
        <is>
          <t>NONE</t>
        </is>
      </c>
      <c r="Y452" t="n">
        <v>0</v>
      </c>
      <c r="Z452" t="inlineStr"/>
      <c r="AA452" t="inlineStr">
        <is>
          <t>https://nvd.nist.gov/vuln/detail/CVE-2026-2797</t>
        </is>
      </c>
    </row>
    <row r="453">
      <c r="A453" t="inlineStr">
        <is>
          <t>CVE</t>
        </is>
      </c>
      <c r="B453" t="inlineStr">
        <is>
          <t>CVE-2026-2798</t>
        </is>
      </c>
      <c r="C453" t="inlineStr">
        <is>
          <t>Use-after-free in the DOM: Core &amp; HTML component. This vulnerability affects Firefox &lt; 148 and Thunderbird &lt; 148.</t>
        </is>
      </c>
      <c r="D453" t="n">
        <v>8.800000000000001</v>
      </c>
      <c r="E453" t="inlineStr">
        <is>
          <t>HIGH</t>
        </is>
      </c>
      <c r="F453" t="n">
        <v>2</v>
      </c>
      <c r="G453" t="n">
        <v>3</v>
      </c>
      <c r="H453" t="inlineStr">
        <is>
          <t>HIGH</t>
        </is>
      </c>
      <c r="I453" t="n">
        <v>14.8</v>
      </c>
      <c r="J453" t="inlineStr">
        <is>
          <t>NO</t>
        </is>
      </c>
      <c r="K453" t="inlineStr">
        <is>
          <t>2026-02-27 20:47</t>
        </is>
      </c>
      <c r="L453" t="inlineStr">
        <is>
          <t>YES</t>
        </is>
      </c>
      <c r="M453" t="inlineStr">
        <is>
          <t>mozilla firefox * | mozilla thunderbird *</t>
        </is>
      </c>
      <c r="N453" t="inlineStr">
        <is>
          <t>P3</t>
        </is>
      </c>
      <c r="O453" t="inlineStr">
        <is>
          <t>CVE - IP enrichment n/a</t>
        </is>
      </c>
      <c r="P453" t="n">
        <v>0.0004</v>
      </c>
      <c r="Q453" t="n">
        <v>0.116</v>
      </c>
      <c r="R453" t="inlineStr">
        <is>
          <t>T1203:Exploitation for Client Execution</t>
        </is>
      </c>
      <c r="S453" t="n">
        <v>1</v>
      </c>
      <c r="T453" t="inlineStr">
        <is>
          <t>LOW (40%)</t>
        </is>
      </c>
      <c r="U453" t="inlineStr">
        <is>
          <t>UNLIKELY</t>
        </is>
      </c>
      <c r="V453" t="inlineStr">
        <is>
          <t>PATCH_AVAILABLE</t>
        </is>
      </c>
      <c r="W453" t="inlineStr">
        <is>
          <t>https://nvd.nist.gov/vuln/detail/CVE-2026-2798</t>
        </is>
      </c>
      <c r="X453" t="inlineStr">
        <is>
          <t>NONE</t>
        </is>
      </c>
      <c r="Y453" t="n">
        <v>0</v>
      </c>
      <c r="Z453" t="inlineStr"/>
      <c r="AA453" t="inlineStr">
        <is>
          <t>https://nvd.nist.gov/vuln/detail/CVE-2026-2798</t>
        </is>
      </c>
    </row>
    <row r="454">
      <c r="A454" t="inlineStr">
        <is>
          <t>CVE</t>
        </is>
      </c>
      <c r="B454" t="inlineStr">
        <is>
          <t>CVE-2026-2799</t>
        </is>
      </c>
      <c r="C454" t="inlineStr">
        <is>
          <t>Use-after-free in the DOM: Core &amp; HTML component. This vulnerability affects Firefox &lt; 148 and Thunderbird &lt; 148.</t>
        </is>
      </c>
      <c r="D454" t="n">
        <v>9.800000000000001</v>
      </c>
      <c r="E454" t="inlineStr">
        <is>
          <t>CRITICAL</t>
        </is>
      </c>
      <c r="F454" t="n">
        <v>2</v>
      </c>
      <c r="G454" t="n">
        <v>3</v>
      </c>
      <c r="H454" t="inlineStr">
        <is>
          <t>HIGH</t>
        </is>
      </c>
      <c r="I454" t="n">
        <v>15.8</v>
      </c>
      <c r="J454" t="inlineStr">
        <is>
          <t>NO</t>
        </is>
      </c>
      <c r="K454" t="inlineStr">
        <is>
          <t>2026-02-27 20:47</t>
        </is>
      </c>
      <c r="L454" t="inlineStr">
        <is>
          <t>YES</t>
        </is>
      </c>
      <c r="M454" t="inlineStr">
        <is>
          <t>mozilla firefox * | mozilla thunderbird *</t>
        </is>
      </c>
      <c r="N454" t="inlineStr">
        <is>
          <t>P3</t>
        </is>
      </c>
      <c r="O454" t="inlineStr">
        <is>
          <t>CVE - IP enrichment n/a</t>
        </is>
      </c>
      <c r="P454" t="n">
        <v>0.0004</v>
      </c>
      <c r="Q454" t="n">
        <v>0.116</v>
      </c>
      <c r="R454" t="inlineStr">
        <is>
          <t>T1203:Exploitation for Client Execution</t>
        </is>
      </c>
      <c r="S454" t="n">
        <v>1</v>
      </c>
      <c r="T454" t="inlineStr">
        <is>
          <t>LOW (40%)</t>
        </is>
      </c>
      <c r="U454" t="inlineStr">
        <is>
          <t>UNLIKELY</t>
        </is>
      </c>
      <c r="V454" t="inlineStr">
        <is>
          <t>PATCH_AVAILABLE</t>
        </is>
      </c>
      <c r="W454" t="inlineStr">
        <is>
          <t>https://nvd.nist.gov/vuln/detail/CVE-2026-2799</t>
        </is>
      </c>
      <c r="X454" t="inlineStr">
        <is>
          <t>NONE</t>
        </is>
      </c>
      <c r="Y454" t="n">
        <v>0</v>
      </c>
      <c r="Z454" t="inlineStr"/>
      <c r="AA454" t="inlineStr">
        <is>
          <t>https://nvd.nist.gov/vuln/detail/CVE-2026-2799</t>
        </is>
      </c>
    </row>
    <row r="455">
      <c r="A455" t="inlineStr">
        <is>
          <t>CVE</t>
        </is>
      </c>
      <c r="B455" t="inlineStr">
        <is>
          <t>CVE-2026-2800</t>
        </is>
      </c>
      <c r="C455" t="inlineStr">
        <is>
          <t>Spoofing issue in the WebAuthn component in Firefox for Android. This vulnerability affects Firefox &lt; 148 and Thunderbird &lt; 148.</t>
        </is>
      </c>
      <c r="D455" t="n">
        <v>9.800000000000001</v>
      </c>
      <c r="E455" t="inlineStr">
        <is>
          <t>CRITICAL</t>
        </is>
      </c>
      <c r="F455" t="n">
        <v>2</v>
      </c>
      <c r="G455" t="n">
        <v>3</v>
      </c>
      <c r="H455" t="inlineStr">
        <is>
          <t>HIGH</t>
        </is>
      </c>
      <c r="I455" t="n">
        <v>15.8</v>
      </c>
      <c r="J455" t="inlineStr">
        <is>
          <t>NO</t>
        </is>
      </c>
      <c r="K455" t="inlineStr">
        <is>
          <t>2026-02-27 20:47</t>
        </is>
      </c>
      <c r="L455" t="inlineStr">
        <is>
          <t>YES</t>
        </is>
      </c>
      <c r="M455" t="inlineStr">
        <is>
          <t>mozilla firefox * | mozilla thunderbird *</t>
        </is>
      </c>
      <c r="N455" t="inlineStr">
        <is>
          <t>P3</t>
        </is>
      </c>
      <c r="O455" t="inlineStr">
        <is>
          <t>CVE - IP enrichment n/a</t>
        </is>
      </c>
      <c r="P455" t="n">
        <v>0.0004</v>
      </c>
      <c r="Q455" t="n">
        <v>0.1242</v>
      </c>
      <c r="R455" t="inlineStr">
        <is>
          <t>T1190:Exploit Public-Facing Application</t>
        </is>
      </c>
      <c r="S455" t="n">
        <v>1</v>
      </c>
      <c r="T455" t="inlineStr">
        <is>
          <t>LOW (40%)</t>
        </is>
      </c>
      <c r="U455" t="inlineStr">
        <is>
          <t>UNLIKELY</t>
        </is>
      </c>
      <c r="V455" t="inlineStr">
        <is>
          <t>PATCH_AVAILABLE</t>
        </is>
      </c>
      <c r="W455" t="inlineStr">
        <is>
          <t>https://nvd.nist.gov/vuln/detail/CVE-2026-2800</t>
        </is>
      </c>
      <c r="X455" t="inlineStr">
        <is>
          <t>NONE</t>
        </is>
      </c>
      <c r="Y455" t="n">
        <v>0</v>
      </c>
      <c r="Z455" t="inlineStr"/>
      <c r="AA455" t="inlineStr">
        <is>
          <t>https://nvd.nist.gov/vuln/detail/CVE-2026-2800</t>
        </is>
      </c>
    </row>
    <row r="456">
      <c r="A456" t="inlineStr">
        <is>
          <t>CVE</t>
        </is>
      </c>
      <c r="B456" t="inlineStr">
        <is>
          <t>CVE-2026-2801</t>
        </is>
      </c>
      <c r="C456" t="inlineStr">
        <is>
          <t>Incorrect boundary conditions in the JavaScript: WebAssembly component. This vulnerability affects Firefox &lt; 148 and Thunderbird &lt; 148.</t>
        </is>
      </c>
      <c r="D456" t="n">
        <v>7.5</v>
      </c>
      <c r="E456" t="inlineStr">
        <is>
          <t>HIGH</t>
        </is>
      </c>
      <c r="F456" t="n">
        <v>2</v>
      </c>
      <c r="G456" t="n">
        <v>3</v>
      </c>
      <c r="H456" t="inlineStr">
        <is>
          <t>HIGH</t>
        </is>
      </c>
      <c r="I456" t="n">
        <v>13.5</v>
      </c>
      <c r="J456" t="inlineStr">
        <is>
          <t>NO</t>
        </is>
      </c>
      <c r="K456" t="inlineStr">
        <is>
          <t>2026-02-27 20:47</t>
        </is>
      </c>
      <c r="L456" t="inlineStr">
        <is>
          <t>YES</t>
        </is>
      </c>
      <c r="M456" t="inlineStr">
        <is>
          <t>mozilla firefox * | mozilla thunderbird *</t>
        </is>
      </c>
      <c r="N456" t="inlineStr">
        <is>
          <t>P3</t>
        </is>
      </c>
      <c r="O456" t="inlineStr">
        <is>
          <t>CVE - IP enrichment n/a</t>
        </is>
      </c>
      <c r="P456" t="n">
        <v>0.0004</v>
      </c>
      <c r="Q456" t="n">
        <v>0.1195</v>
      </c>
      <c r="R456" t="inlineStr">
        <is>
          <t>T1190:Exploit Public-Facing Application</t>
        </is>
      </c>
      <c r="S456" t="n">
        <v>1</v>
      </c>
      <c r="T456" t="inlineStr">
        <is>
          <t>LOW (40%)</t>
        </is>
      </c>
      <c r="U456" t="inlineStr">
        <is>
          <t>UNLIKELY</t>
        </is>
      </c>
      <c r="V456" t="inlineStr">
        <is>
          <t>PATCH_AVAILABLE</t>
        </is>
      </c>
      <c r="W456" t="inlineStr">
        <is>
          <t>https://nvd.nist.gov/vuln/detail/CVE-2026-2801</t>
        </is>
      </c>
      <c r="X456" t="inlineStr">
        <is>
          <t>NONE</t>
        </is>
      </c>
      <c r="Y456" t="n">
        <v>0</v>
      </c>
      <c r="Z456" t="inlineStr"/>
      <c r="AA456" t="inlineStr">
        <is>
          <t>https://nvd.nist.gov/vuln/detail/CVE-2026-2801</t>
        </is>
      </c>
    </row>
    <row r="457">
      <c r="A457" t="inlineStr">
        <is>
          <t>CVE</t>
        </is>
      </c>
      <c r="B457" t="inlineStr">
        <is>
          <t>CVE-2026-2802</t>
        </is>
      </c>
      <c r="C457" t="inlineStr">
        <is>
          <t>Race condition in the JavaScript: GC component. This vulnerability affects Firefox &lt; 148 and Thunderbird &lt; 148.</t>
        </is>
      </c>
      <c r="D457" t="n">
        <v>4.2</v>
      </c>
      <c r="E457" t="inlineStr">
        <is>
          <t>MEDIUM</t>
        </is>
      </c>
      <c r="F457" t="n">
        <v>2</v>
      </c>
      <c r="G457" t="n">
        <v>2</v>
      </c>
      <c r="H457" t="inlineStr">
        <is>
          <t>MEDIUM</t>
        </is>
      </c>
      <c r="I457" t="n">
        <v>8.199999999999999</v>
      </c>
      <c r="J457" t="inlineStr">
        <is>
          <t>NO</t>
        </is>
      </c>
      <c r="K457" t="inlineStr">
        <is>
          <t>2026-02-27 20:47</t>
        </is>
      </c>
      <c r="L457" t="inlineStr">
        <is>
          <t>YES</t>
        </is>
      </c>
      <c r="M457" t="inlineStr">
        <is>
          <t>mozilla firefox * | mozilla thunderbird *</t>
        </is>
      </c>
      <c r="N457" t="inlineStr">
        <is>
          <t>P4</t>
        </is>
      </c>
      <c r="O457" t="inlineStr">
        <is>
          <t>CVE - IP enrichment n/a</t>
        </is>
      </c>
      <c r="P457" t="n">
        <v>0.0003</v>
      </c>
      <c r="Q457" t="n">
        <v>0.0696</v>
      </c>
      <c r="R457" t="inlineStr">
        <is>
          <t>T1068:Exploitation for Privilege Escalation</t>
        </is>
      </c>
      <c r="S457" t="n">
        <v>1</v>
      </c>
      <c r="T457" t="inlineStr">
        <is>
          <t>LOW (40%)</t>
        </is>
      </c>
      <c r="U457" t="inlineStr">
        <is>
          <t>UNLIKELY</t>
        </is>
      </c>
      <c r="V457" t="inlineStr">
        <is>
          <t>PATCH_AVAILABLE</t>
        </is>
      </c>
      <c r="W457" t="inlineStr">
        <is>
          <t>https://nvd.nist.gov/vuln/detail/CVE-2026-2802</t>
        </is>
      </c>
      <c r="X457" t="inlineStr">
        <is>
          <t>NONE</t>
        </is>
      </c>
      <c r="Y457" t="n">
        <v>0</v>
      </c>
      <c r="Z457" t="inlineStr"/>
      <c r="AA457" t="inlineStr">
        <is>
          <t>https://nvd.nist.gov/vuln/detail/CVE-2026-2802</t>
        </is>
      </c>
    </row>
    <row r="458">
      <c r="A458" t="inlineStr">
        <is>
          <t>CVE</t>
        </is>
      </c>
      <c r="B458" t="inlineStr">
        <is>
          <t>CVE-2026-2803</t>
        </is>
      </c>
      <c r="C458" t="inlineStr">
        <is>
          <t>Information disclosure, mitigation bypass in the Settings UI component. This vulnerability affects Firefox &lt; 148 and Thunderbird &lt; 148.</t>
        </is>
      </c>
      <c r="D458" t="n">
        <v>7.5</v>
      </c>
      <c r="E458" t="inlineStr">
        <is>
          <t>HIGH</t>
        </is>
      </c>
      <c r="F458" t="n">
        <v>2</v>
      </c>
      <c r="G458" t="n">
        <v>3</v>
      </c>
      <c r="H458" t="inlineStr">
        <is>
          <t>HIGH</t>
        </is>
      </c>
      <c r="I458" t="n">
        <v>13.5</v>
      </c>
      <c r="J458" t="inlineStr">
        <is>
          <t>NO</t>
        </is>
      </c>
      <c r="K458" t="inlineStr">
        <is>
          <t>2026-02-27 20:47</t>
        </is>
      </c>
      <c r="L458" t="inlineStr">
        <is>
          <t>YES</t>
        </is>
      </c>
      <c r="M458" t="inlineStr">
        <is>
          <t>mozilla firefox * | mozilla thunderbird *</t>
        </is>
      </c>
      <c r="N458" t="inlineStr">
        <is>
          <t>P3</t>
        </is>
      </c>
      <c r="O458" t="inlineStr">
        <is>
          <t>CVE - IP enrichment n/a</t>
        </is>
      </c>
      <c r="P458" t="n">
        <v>0.0004</v>
      </c>
      <c r="Q458" t="n">
        <v>0.1197</v>
      </c>
      <c r="R458" t="inlineStr">
        <is>
          <t>T1213:Data from Information Repositories</t>
        </is>
      </c>
      <c r="S458" t="n">
        <v>1</v>
      </c>
      <c r="T458" t="inlineStr">
        <is>
          <t>LOW (40%)</t>
        </is>
      </c>
      <c r="U458" t="inlineStr">
        <is>
          <t>UNLIKELY</t>
        </is>
      </c>
      <c r="V458" t="inlineStr">
        <is>
          <t>PATCH_AVAILABLE</t>
        </is>
      </c>
      <c r="W458" t="inlineStr">
        <is>
          <t>https://nvd.nist.gov/vuln/detail/CVE-2026-2803</t>
        </is>
      </c>
      <c r="X458" t="inlineStr">
        <is>
          <t>NONE</t>
        </is>
      </c>
      <c r="Y458" t="n">
        <v>0</v>
      </c>
      <c r="Z458" t="inlineStr"/>
      <c r="AA458" t="inlineStr">
        <is>
          <t>https://nvd.nist.gov/vuln/detail/CVE-2026-2803</t>
        </is>
      </c>
    </row>
    <row r="459">
      <c r="A459" t="inlineStr">
        <is>
          <t>CVE</t>
        </is>
      </c>
      <c r="B459" t="inlineStr">
        <is>
          <t>CVE-2026-2804</t>
        </is>
      </c>
      <c r="C459" t="inlineStr">
        <is>
          <t>Use-after-free in the JavaScript: WebAssembly component. This vulnerability affects Firefox &lt; 148 and Thunderbird &lt; 148.</t>
        </is>
      </c>
      <c r="D459" t="n">
        <v>5.4</v>
      </c>
      <c r="E459" t="inlineStr">
        <is>
          <t>MEDIUM</t>
        </is>
      </c>
      <c r="F459" t="n">
        <v>2</v>
      </c>
      <c r="G459" t="n">
        <v>2</v>
      </c>
      <c r="H459" t="inlineStr">
        <is>
          <t>MEDIUM</t>
        </is>
      </c>
      <c r="I459" t="n">
        <v>9.4</v>
      </c>
      <c r="J459" t="inlineStr">
        <is>
          <t>NO</t>
        </is>
      </c>
      <c r="K459" t="inlineStr">
        <is>
          <t>2026-02-27 20:47</t>
        </is>
      </c>
      <c r="L459" t="inlineStr">
        <is>
          <t>YES</t>
        </is>
      </c>
      <c r="M459" t="inlineStr">
        <is>
          <t>mozilla firefox * | mozilla thunderbird *</t>
        </is>
      </c>
      <c r="N459" t="inlineStr">
        <is>
          <t>P4</t>
        </is>
      </c>
      <c r="O459" t="inlineStr">
        <is>
          <t>CVE - IP enrichment n/a</t>
        </is>
      </c>
      <c r="P459" t="n">
        <v>0.0003</v>
      </c>
      <c r="Q459" t="n">
        <v>0.0788</v>
      </c>
      <c r="R459" t="inlineStr">
        <is>
          <t>T1203:Exploitation for Client Execution</t>
        </is>
      </c>
      <c r="S459" t="n">
        <v>1</v>
      </c>
      <c r="T459" t="inlineStr">
        <is>
          <t>LOW (40%)</t>
        </is>
      </c>
      <c r="U459" t="inlineStr">
        <is>
          <t>UNLIKELY</t>
        </is>
      </c>
      <c r="V459" t="inlineStr">
        <is>
          <t>PATCH_AVAILABLE</t>
        </is>
      </c>
      <c r="W459" t="inlineStr">
        <is>
          <t>https://nvd.nist.gov/vuln/detail/CVE-2026-2804</t>
        </is>
      </c>
      <c r="X459" t="inlineStr">
        <is>
          <t>NONE</t>
        </is>
      </c>
      <c r="Y459" t="n">
        <v>0</v>
      </c>
      <c r="Z459" t="inlineStr"/>
      <c r="AA459" t="inlineStr">
        <is>
          <t>https://nvd.nist.gov/vuln/detail/CVE-2026-2804</t>
        </is>
      </c>
    </row>
    <row r="460">
      <c r="A460" t="inlineStr">
        <is>
          <t>CVE</t>
        </is>
      </c>
      <c r="B460" t="inlineStr">
        <is>
          <t>CVE-2026-2805</t>
        </is>
      </c>
      <c r="C460" t="inlineStr">
        <is>
          <t>Invalid pointer in the DOM: Core &amp; HTML component. This vulnerability affects Firefox &lt; 148 and Thunderbird &lt; 148.</t>
        </is>
      </c>
      <c r="D460" t="n">
        <v>9.800000000000001</v>
      </c>
      <c r="E460" t="inlineStr">
        <is>
          <t>CRITICAL</t>
        </is>
      </c>
      <c r="F460" t="n">
        <v>2</v>
      </c>
      <c r="G460" t="n">
        <v>3</v>
      </c>
      <c r="H460" t="inlineStr">
        <is>
          <t>HIGH</t>
        </is>
      </c>
      <c r="I460" t="n">
        <v>15.8</v>
      </c>
      <c r="J460" t="inlineStr">
        <is>
          <t>NO</t>
        </is>
      </c>
      <c r="K460" t="inlineStr">
        <is>
          <t>2026-02-27 20:47</t>
        </is>
      </c>
      <c r="L460" t="inlineStr">
        <is>
          <t>YES</t>
        </is>
      </c>
      <c r="M460" t="inlineStr">
        <is>
          <t>mozilla firefox * | mozilla thunderbird *</t>
        </is>
      </c>
      <c r="N460" t="inlineStr">
        <is>
          <t>P3</t>
        </is>
      </c>
      <c r="O460" t="inlineStr">
        <is>
          <t>CVE - IP enrichment n/a</t>
        </is>
      </c>
      <c r="P460" t="n">
        <v>0.0004</v>
      </c>
      <c r="Q460" t="n">
        <v>0.1292</v>
      </c>
      <c r="R460" t="inlineStr">
        <is>
          <t>T1203:Exploitation for Client Execution</t>
        </is>
      </c>
      <c r="S460" t="n">
        <v>1</v>
      </c>
      <c r="T460" t="inlineStr">
        <is>
          <t>LOW (40%)</t>
        </is>
      </c>
      <c r="U460" t="inlineStr">
        <is>
          <t>UNLIKELY</t>
        </is>
      </c>
      <c r="V460" t="inlineStr">
        <is>
          <t>PATCH_AVAILABLE</t>
        </is>
      </c>
      <c r="W460" t="inlineStr">
        <is>
          <t>https://nvd.nist.gov/vuln/detail/CVE-2026-2805</t>
        </is>
      </c>
      <c r="X460" t="inlineStr">
        <is>
          <t>NONE</t>
        </is>
      </c>
      <c r="Y460" t="n">
        <v>0</v>
      </c>
      <c r="Z460" t="inlineStr"/>
      <c r="AA460" t="inlineStr">
        <is>
          <t>https://nvd.nist.gov/vuln/detail/CVE-2026-2805</t>
        </is>
      </c>
    </row>
    <row r="461">
      <c r="A461" t="inlineStr">
        <is>
          <t>CVE</t>
        </is>
      </c>
      <c r="B461" t="inlineStr">
        <is>
          <t>CVE-2026-2806</t>
        </is>
      </c>
      <c r="C461" t="inlineStr">
        <is>
          <t>Uninitialized memory in the Graphics: Text component. This vulnerability affects Firefox &lt; 148 and Thunderbird &lt; 148.</t>
        </is>
      </c>
      <c r="D461" t="n">
        <v>9.1</v>
      </c>
      <c r="E461" t="inlineStr">
        <is>
          <t>CRITICAL</t>
        </is>
      </c>
      <c r="F461" t="n">
        <v>2</v>
      </c>
      <c r="G461" t="n">
        <v>3</v>
      </c>
      <c r="H461" t="inlineStr">
        <is>
          <t>HIGH</t>
        </is>
      </c>
      <c r="I461" t="n">
        <v>15.1</v>
      </c>
      <c r="J461" t="inlineStr">
        <is>
          <t>NO</t>
        </is>
      </c>
      <c r="K461" t="inlineStr">
        <is>
          <t>2026-02-27 20:47</t>
        </is>
      </c>
      <c r="L461" t="inlineStr">
        <is>
          <t>YES</t>
        </is>
      </c>
      <c r="M461" t="inlineStr">
        <is>
          <t>mozilla firefox * | mozilla thunderbird *</t>
        </is>
      </c>
      <c r="N461" t="inlineStr">
        <is>
          <t>P3</t>
        </is>
      </c>
      <c r="O461" t="inlineStr">
        <is>
          <t>CVE - IP enrichment n/a</t>
        </is>
      </c>
      <c r="P461" t="n">
        <v>0.0004</v>
      </c>
      <c r="Q461" t="n">
        <v>0.1292</v>
      </c>
      <c r="R461" t="inlineStr">
        <is>
          <t>T1190:Exploit Public-Facing Application</t>
        </is>
      </c>
      <c r="S461" t="n">
        <v>1</v>
      </c>
      <c r="T461" t="inlineStr">
        <is>
          <t>LOW (40%)</t>
        </is>
      </c>
      <c r="U461" t="inlineStr">
        <is>
          <t>UNLIKELY</t>
        </is>
      </c>
      <c r="V461" t="inlineStr">
        <is>
          <t>PATCH_AVAILABLE</t>
        </is>
      </c>
      <c r="W461" t="inlineStr">
        <is>
          <t>https://nvd.nist.gov/vuln/detail/CVE-2026-2806</t>
        </is>
      </c>
      <c r="X461" t="inlineStr">
        <is>
          <t>NONE</t>
        </is>
      </c>
      <c r="Y461" t="n">
        <v>0</v>
      </c>
      <c r="Z461" t="inlineStr"/>
      <c r="AA461" t="inlineStr">
        <is>
          <t>https://nvd.nist.gov/vuln/detail/CVE-2026-2806</t>
        </is>
      </c>
    </row>
    <row r="462">
      <c r="A462" t="inlineStr">
        <is>
          <t>CVE</t>
        </is>
      </c>
      <c r="B462" t="inlineStr">
        <is>
          <t>CVE-2026-2807</t>
        </is>
      </c>
      <c r="C462"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462" t="n">
        <v>9.800000000000001</v>
      </c>
      <c r="E462" t="inlineStr">
        <is>
          <t>CRITICAL</t>
        </is>
      </c>
      <c r="F462" t="n">
        <v>2</v>
      </c>
      <c r="G462" t="n">
        <v>3</v>
      </c>
      <c r="H462" t="inlineStr">
        <is>
          <t>HIGH</t>
        </is>
      </c>
      <c r="I462" t="n">
        <v>15.8</v>
      </c>
      <c r="J462" t="inlineStr">
        <is>
          <t>NO</t>
        </is>
      </c>
      <c r="K462" t="inlineStr">
        <is>
          <t>2026-02-27 20:47</t>
        </is>
      </c>
      <c r="L462" t="inlineStr">
        <is>
          <t>YES</t>
        </is>
      </c>
      <c r="M462" t="inlineStr">
        <is>
          <t>mozilla firefox * | mozilla thunderbird *</t>
        </is>
      </c>
      <c r="N462" t="inlineStr">
        <is>
          <t>P3</t>
        </is>
      </c>
      <c r="O462" t="inlineStr">
        <is>
          <t>CVE - IP enrichment n/a</t>
        </is>
      </c>
      <c r="P462" t="n">
        <v>0.0004</v>
      </c>
      <c r="Q462" t="n">
        <v>0.1292</v>
      </c>
      <c r="R462" t="inlineStr">
        <is>
          <t>T1203:Exploitation for Client Execution</t>
        </is>
      </c>
      <c r="S462" t="n">
        <v>1</v>
      </c>
      <c r="T462" t="inlineStr">
        <is>
          <t>LOW (40%)</t>
        </is>
      </c>
      <c r="U462" t="inlineStr">
        <is>
          <t>UNLIKELY</t>
        </is>
      </c>
      <c r="V462" t="inlineStr">
        <is>
          <t>PATCH_AVAILABLE</t>
        </is>
      </c>
      <c r="W462" t="inlineStr">
        <is>
          <t>https://nvd.nist.gov/vuln/detail/CVE-2026-2807</t>
        </is>
      </c>
      <c r="X462" t="inlineStr">
        <is>
          <t>NONE</t>
        </is>
      </c>
      <c r="Y462" t="n">
        <v>0</v>
      </c>
      <c r="Z462" t="inlineStr"/>
      <c r="AA462" t="inlineStr">
        <is>
          <t>https://nvd.nist.gov/vuln/detail/CVE-2026-2807</t>
        </is>
      </c>
    </row>
    <row r="463">
      <c r="A463" t="inlineStr">
        <is>
          <t>CVE</t>
        </is>
      </c>
      <c r="B463" t="inlineStr">
        <is>
          <t>CVE-2025-10010</t>
        </is>
      </c>
      <c r="C463"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463" t="n">
        <v>6.8</v>
      </c>
      <c r="E463" t="inlineStr">
        <is>
          <t>MEDIUM</t>
        </is>
      </c>
      <c r="F463" t="n">
        <v>2</v>
      </c>
      <c r="G463" t="n">
        <v>2</v>
      </c>
      <c r="H463" t="inlineStr">
        <is>
          <t>MEDIUM</t>
        </is>
      </c>
      <c r="I463" t="n">
        <v>10.8</v>
      </c>
      <c r="J463" t="inlineStr">
        <is>
          <t>NO</t>
        </is>
      </c>
      <c r="K463" t="inlineStr">
        <is>
          <t>2026-02-27 20:47</t>
        </is>
      </c>
      <c r="L463" t="inlineStr">
        <is>
          <t>CHECK_VENDOR</t>
        </is>
      </c>
      <c r="M463" t="inlineStr">
        <is>
          <t>cpsd cryptopro_secure_disk *</t>
        </is>
      </c>
      <c r="N463" t="inlineStr">
        <is>
          <t>P4</t>
        </is>
      </c>
      <c r="O463" t="inlineStr">
        <is>
          <t>CVE - IP enrichment n/a</t>
        </is>
      </c>
      <c r="P463" t="n">
        <v>0.0001</v>
      </c>
      <c r="Q463" t="n">
        <v>0.0108</v>
      </c>
      <c r="R463" t="inlineStr">
        <is>
          <t>T1543:Create or Modify System Process | T1203:Exploitation for Client Execution</t>
        </is>
      </c>
      <c r="S463" t="n">
        <v>1</v>
      </c>
      <c r="T463" t="inlineStr">
        <is>
          <t>LOW (40%)</t>
        </is>
      </c>
      <c r="U463" t="inlineStr">
        <is>
          <t>UNLIKELY</t>
        </is>
      </c>
      <c r="V463" t="inlineStr">
        <is>
          <t>CHECK_VENDOR</t>
        </is>
      </c>
      <c r="W463" t="inlineStr">
        <is>
          <t>https://nvd.nist.gov/vuln/detail/CVE-2025-10010</t>
        </is>
      </c>
      <c r="X463" t="inlineStr">
        <is>
          <t>NONE</t>
        </is>
      </c>
      <c r="Y463" t="n">
        <v>0</v>
      </c>
      <c r="Z463" t="inlineStr"/>
      <c r="AA463" t="inlineStr">
        <is>
          <t>https://nvd.nist.gov/vuln/detail/CVE-2025-10010</t>
        </is>
      </c>
    </row>
    <row r="464">
      <c r="A464" t="inlineStr">
        <is>
          <t>CVE</t>
        </is>
      </c>
      <c r="B464" t="inlineStr">
        <is>
          <t>CVE-2025-67445</t>
        </is>
      </c>
      <c r="C464"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464" t="n">
        <v>7.5</v>
      </c>
      <c r="E464" t="inlineStr">
        <is>
          <t>HIGH</t>
        </is>
      </c>
      <c r="F464" t="n">
        <v>2</v>
      </c>
      <c r="G464" t="n">
        <v>3</v>
      </c>
      <c r="H464" t="inlineStr">
        <is>
          <t>HIGH</t>
        </is>
      </c>
      <c r="I464" t="n">
        <v>13.5</v>
      </c>
      <c r="J464" t="inlineStr">
        <is>
          <t>NO</t>
        </is>
      </c>
      <c r="K464" t="inlineStr">
        <is>
          <t>2026-02-27 20:47</t>
        </is>
      </c>
      <c r="L464" t="inlineStr">
        <is>
          <t>CHECK_VENDOR</t>
        </is>
      </c>
      <c r="M464" t="inlineStr">
        <is>
          <t>totolink x5000r - | totolink x5000r_firmware 9.1.0cu.2415_b20250515</t>
        </is>
      </c>
      <c r="N464" t="inlineStr">
        <is>
          <t>P3</t>
        </is>
      </c>
      <c r="O464" t="inlineStr">
        <is>
          <t>CVE - IP enrichment n/a</t>
        </is>
      </c>
      <c r="P464" t="n">
        <v>0.0008</v>
      </c>
      <c r="Q464" t="n">
        <v>0.2464</v>
      </c>
      <c r="R464" t="inlineStr">
        <is>
          <t>T1190:Exploit Public-Facing Application</t>
        </is>
      </c>
      <c r="S464" t="n">
        <v>1</v>
      </c>
      <c r="T464" t="inlineStr">
        <is>
          <t>LOW (40%)</t>
        </is>
      </c>
      <c r="U464" t="inlineStr">
        <is>
          <t>UNLIKELY</t>
        </is>
      </c>
      <c r="V464" t="inlineStr">
        <is>
          <t>CHECK_VENDOR</t>
        </is>
      </c>
      <c r="W464" t="inlineStr">
        <is>
          <t>https://nvd.nist.gov/vuln/detail/CVE-2025-67445</t>
        </is>
      </c>
      <c r="X464" t="inlineStr">
        <is>
          <t>NONE</t>
        </is>
      </c>
      <c r="Y464" t="n">
        <v>0</v>
      </c>
      <c r="Z464" t="inlineStr"/>
      <c r="AA464" t="inlineStr">
        <is>
          <t>https://nvd.nist.gov/vuln/detail/CVE-2025-67445</t>
        </is>
      </c>
    </row>
    <row r="465">
      <c r="A465" t="inlineStr">
        <is>
          <t>CVE</t>
        </is>
      </c>
      <c r="B465" t="inlineStr">
        <is>
          <t>CVE-2026-0399</t>
        </is>
      </c>
      <c r="C465" t="inlineStr">
        <is>
          <t>Multiple post-authentication stack-based buffer overflow vulnerabilities in the SonicOS management interface due to improper bounds checking in a API endpoint.</t>
        </is>
      </c>
      <c r="D465" t="n">
        <v>4.9</v>
      </c>
      <c r="E465" t="inlineStr">
        <is>
          <t>MEDIUM</t>
        </is>
      </c>
      <c r="F465" t="n">
        <v>2</v>
      </c>
      <c r="G465" t="n">
        <v>2</v>
      </c>
      <c r="H465" t="inlineStr">
        <is>
          <t>MEDIUM</t>
        </is>
      </c>
      <c r="I465" t="n">
        <v>8.9</v>
      </c>
      <c r="J465" t="inlineStr">
        <is>
          <t>NO</t>
        </is>
      </c>
      <c r="K465" t="inlineStr">
        <is>
          <t>2026-02-27 20:47</t>
        </is>
      </c>
      <c r="L465" t="inlineStr">
        <is>
          <t>YES</t>
        </is>
      </c>
      <c r="M465" t="inlineStr">
        <is>
          <t>sonicwall sonicos * | sonicwall nsa_3700 - | sonicwall nsa_4800 -</t>
        </is>
      </c>
      <c r="N465" t="inlineStr">
        <is>
          <t>P4</t>
        </is>
      </c>
      <c r="O465" t="inlineStr">
        <is>
          <t>CVE - IP enrichment n/a</t>
        </is>
      </c>
      <c r="P465" t="n">
        <v>0.0005</v>
      </c>
      <c r="Q465" t="n">
        <v>0.1689</v>
      </c>
      <c r="R465" t="inlineStr">
        <is>
          <t>T1190:Exploit Public-Facing Application | T1203:Exploitation for Client Execution</t>
        </is>
      </c>
      <c r="S465" t="n">
        <v>1</v>
      </c>
      <c r="T465" t="inlineStr">
        <is>
          <t>LOW (40%)</t>
        </is>
      </c>
      <c r="U465" t="inlineStr">
        <is>
          <t>UNLIKELY</t>
        </is>
      </c>
      <c r="V465" t="inlineStr">
        <is>
          <t>PATCH_AVAILABLE</t>
        </is>
      </c>
      <c r="W465" t="inlineStr">
        <is>
          <t>https://nvd.nist.gov/vuln/detail/CVE-2026-0399</t>
        </is>
      </c>
      <c r="X465" t="inlineStr">
        <is>
          <t>NONE</t>
        </is>
      </c>
      <c r="Y465" t="n">
        <v>0</v>
      </c>
      <c r="Z465" t="inlineStr"/>
      <c r="AA465" t="inlineStr">
        <is>
          <t>https://nvd.nist.gov/vuln/detail/CVE-2026-0399</t>
        </is>
      </c>
    </row>
    <row r="466">
      <c r="A466" t="inlineStr">
        <is>
          <t>CVE</t>
        </is>
      </c>
      <c r="B466" t="inlineStr">
        <is>
          <t>CVE-2026-0400</t>
        </is>
      </c>
      <c r="C466" t="inlineStr">
        <is>
          <t>A post-authentication Format String vulnerability in SonicOS allows a remote attacker to crash a firewall.</t>
        </is>
      </c>
      <c r="D466" t="n">
        <v>4.9</v>
      </c>
      <c r="E466" t="inlineStr">
        <is>
          <t>MEDIUM</t>
        </is>
      </c>
      <c r="F466" t="n">
        <v>2</v>
      </c>
      <c r="G466" t="n">
        <v>2</v>
      </c>
      <c r="H466" t="inlineStr">
        <is>
          <t>MEDIUM</t>
        </is>
      </c>
      <c r="I466" t="n">
        <v>8.9</v>
      </c>
      <c r="J466" t="inlineStr">
        <is>
          <t>NO</t>
        </is>
      </c>
      <c r="K466" t="inlineStr">
        <is>
          <t>2026-02-27 20:47</t>
        </is>
      </c>
      <c r="L466" t="inlineStr">
        <is>
          <t>YES</t>
        </is>
      </c>
      <c r="M466" t="inlineStr">
        <is>
          <t>sonicwall sonicos * | sonicwall nsa_3700 - | sonicwall nsa_4800 -</t>
        </is>
      </c>
      <c r="N466" t="inlineStr">
        <is>
          <t>P4</t>
        </is>
      </c>
      <c r="O466" t="inlineStr">
        <is>
          <t>CVE - IP enrichment n/a</t>
        </is>
      </c>
      <c r="P466" t="n">
        <v>0.0016</v>
      </c>
      <c r="Q466" t="n">
        <v>0.3658</v>
      </c>
      <c r="R466" t="inlineStr">
        <is>
          <t>T1562:Impair Defenses</t>
        </is>
      </c>
      <c r="S466" t="n">
        <v>1</v>
      </c>
      <c r="T466" t="inlineStr">
        <is>
          <t>LOW (40%)</t>
        </is>
      </c>
      <c r="U466" t="inlineStr">
        <is>
          <t>UNLIKELY</t>
        </is>
      </c>
      <c r="V466" t="inlineStr">
        <is>
          <t>PATCH_AVAILABLE</t>
        </is>
      </c>
      <c r="W466" t="inlineStr">
        <is>
          <t>https://nvd.nist.gov/vuln/detail/CVE-2026-0400</t>
        </is>
      </c>
      <c r="X466" t="inlineStr">
        <is>
          <t>NONE</t>
        </is>
      </c>
      <c r="Y466" t="n">
        <v>0</v>
      </c>
      <c r="Z466" t="inlineStr"/>
      <c r="AA466" t="inlineStr">
        <is>
          <t>https://nvd.nist.gov/vuln/detail/CVE-2026-0400</t>
        </is>
      </c>
    </row>
    <row r="467">
      <c r="A467" t="inlineStr">
        <is>
          <t>CVE</t>
        </is>
      </c>
      <c r="B467" t="inlineStr">
        <is>
          <t>CVE-2026-0401</t>
        </is>
      </c>
      <c r="C467" t="inlineStr">
        <is>
          <t>A post-authentication NULL Pointer Dereference vulnerability in SonicOS allows a remote attacker to crash a firewall.</t>
        </is>
      </c>
      <c r="D467" t="n">
        <v>4.9</v>
      </c>
      <c r="E467" t="inlineStr">
        <is>
          <t>MEDIUM</t>
        </is>
      </c>
      <c r="F467" t="n">
        <v>2</v>
      </c>
      <c r="G467" t="n">
        <v>2</v>
      </c>
      <c r="H467" t="inlineStr">
        <is>
          <t>MEDIUM</t>
        </is>
      </c>
      <c r="I467" t="n">
        <v>8.9</v>
      </c>
      <c r="J467" t="inlineStr">
        <is>
          <t>NO</t>
        </is>
      </c>
      <c r="K467" t="inlineStr">
        <is>
          <t>2026-02-27 20:47</t>
        </is>
      </c>
      <c r="L467" t="inlineStr">
        <is>
          <t>YES</t>
        </is>
      </c>
      <c r="M467" t="inlineStr">
        <is>
          <t>sonicwall sonicos * | sonicwall nsa_3700 - | sonicwall nsa_4800 -</t>
        </is>
      </c>
      <c r="N467" t="inlineStr">
        <is>
          <t>P4</t>
        </is>
      </c>
      <c r="O467" t="inlineStr">
        <is>
          <t>CVE - IP enrichment n/a</t>
        </is>
      </c>
      <c r="P467" t="n">
        <v>0.0016</v>
      </c>
      <c r="Q467" t="n">
        <v>0.3665</v>
      </c>
      <c r="R467" t="inlineStr">
        <is>
          <t>T1499:Endpoint Denial of Service | T1562:Impair Defenses</t>
        </is>
      </c>
      <c r="S467" t="n">
        <v>1</v>
      </c>
      <c r="T467" t="inlineStr">
        <is>
          <t>LOW (40%)</t>
        </is>
      </c>
      <c r="U467" t="inlineStr">
        <is>
          <t>UNLIKELY</t>
        </is>
      </c>
      <c r="V467" t="inlineStr">
        <is>
          <t>PATCH_AVAILABLE</t>
        </is>
      </c>
      <c r="W467" t="inlineStr">
        <is>
          <t>https://nvd.nist.gov/vuln/detail/CVE-2026-0401</t>
        </is>
      </c>
      <c r="X467" t="inlineStr">
        <is>
          <t>NONE</t>
        </is>
      </c>
      <c r="Y467" t="n">
        <v>0</v>
      </c>
      <c r="Z467" t="inlineStr"/>
      <c r="AA467" t="inlineStr">
        <is>
          <t>https://nvd.nist.gov/vuln/detail/CVE-2026-0401</t>
        </is>
      </c>
    </row>
    <row r="468">
      <c r="A468" t="inlineStr">
        <is>
          <t>CVE</t>
        </is>
      </c>
      <c r="B468" t="inlineStr">
        <is>
          <t>CVE-2026-0402</t>
        </is>
      </c>
      <c r="C468" t="inlineStr">
        <is>
          <t>A post-authentication Out-of-bounds Read vulnerability in SonicOS allows a remote attacker to crash a firewall.</t>
        </is>
      </c>
      <c r="D468" t="n">
        <v>4.9</v>
      </c>
      <c r="E468" t="inlineStr">
        <is>
          <t>MEDIUM</t>
        </is>
      </c>
      <c r="F468" t="n">
        <v>2</v>
      </c>
      <c r="G468" t="n">
        <v>2</v>
      </c>
      <c r="H468" t="inlineStr">
        <is>
          <t>MEDIUM</t>
        </is>
      </c>
      <c r="I468" t="n">
        <v>8.9</v>
      </c>
      <c r="J468" t="inlineStr">
        <is>
          <t>NO</t>
        </is>
      </c>
      <c r="K468" t="inlineStr">
        <is>
          <t>2026-02-27 20:47</t>
        </is>
      </c>
      <c r="L468" t="inlineStr">
        <is>
          <t>YES</t>
        </is>
      </c>
      <c r="M468" t="inlineStr">
        <is>
          <t>sonicwall sonicos * | sonicwall nsa_3700 - | sonicwall nsa_4800 -</t>
        </is>
      </c>
      <c r="N468" t="inlineStr">
        <is>
          <t>P4</t>
        </is>
      </c>
      <c r="O468" t="inlineStr">
        <is>
          <t>CVE - IP enrichment n/a</t>
        </is>
      </c>
      <c r="P468" t="n">
        <v>0.0016</v>
      </c>
      <c r="Q468" t="n">
        <v>0.3658</v>
      </c>
      <c r="R468" t="inlineStr">
        <is>
          <t>T1203:Exploitation for Client Execution | T1562:Impair Defenses</t>
        </is>
      </c>
      <c r="S468" t="n">
        <v>1</v>
      </c>
      <c r="T468" t="inlineStr">
        <is>
          <t>LOW (40%)</t>
        </is>
      </c>
      <c r="U468" t="inlineStr">
        <is>
          <t>UNLIKELY</t>
        </is>
      </c>
      <c r="V468" t="inlineStr">
        <is>
          <t>PATCH_AVAILABLE</t>
        </is>
      </c>
      <c r="W468" t="inlineStr">
        <is>
          <t>https://nvd.nist.gov/vuln/detail/CVE-2026-0402</t>
        </is>
      </c>
      <c r="X468" t="inlineStr">
        <is>
          <t>NONE</t>
        </is>
      </c>
      <c r="Y468" t="n">
        <v>0</v>
      </c>
      <c r="Z468" t="inlineStr"/>
      <c r="AA468" t="inlineStr">
        <is>
          <t>https://nvd.nist.gov/vuln/detail/CVE-2026-0402</t>
        </is>
      </c>
    </row>
    <row r="469">
      <c r="A469" t="inlineStr">
        <is>
          <t>CVE</t>
        </is>
      </c>
      <c r="B469" t="inlineStr">
        <is>
          <t>CVE-2026-27208</t>
        </is>
      </c>
      <c r="C469"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469" t="n">
        <v>9.199999999999999</v>
      </c>
      <c r="E469" t="inlineStr">
        <is>
          <t>CRITICAL</t>
        </is>
      </c>
      <c r="F469" t="n">
        <v>2</v>
      </c>
      <c r="G469" t="n">
        <v>3</v>
      </c>
      <c r="H469" t="inlineStr">
        <is>
          <t>HIGH</t>
        </is>
      </c>
      <c r="I469" t="n">
        <v>15.2</v>
      </c>
      <c r="J469" t="inlineStr">
        <is>
          <t>NO</t>
        </is>
      </c>
      <c r="K469" t="inlineStr">
        <is>
          <t>2026-02-27 20:47</t>
        </is>
      </c>
      <c r="L469" t="inlineStr">
        <is>
          <t>YES</t>
        </is>
      </c>
      <c r="M469" t="inlineStr">
        <is>
          <t>bleon-ethical api-gateway-deploy 1.0.0</t>
        </is>
      </c>
      <c r="N469" t="inlineStr">
        <is>
          <t>P3</t>
        </is>
      </c>
      <c r="O469" t="inlineStr">
        <is>
          <t>CVE - IP enrichment n/a</t>
        </is>
      </c>
      <c r="P469" t="n">
        <v>0.0013</v>
      </c>
      <c r="Q469" t="n">
        <v>0.3273</v>
      </c>
      <c r="R469" t="inlineStr">
        <is>
          <t>T1059:Command and Scripting Interpreter | T1068:Exploitation for Privilege Escalation</t>
        </is>
      </c>
      <c r="S469" t="n">
        <v>1</v>
      </c>
      <c r="T469" t="inlineStr">
        <is>
          <t>LOW (40%)</t>
        </is>
      </c>
      <c r="U469" t="inlineStr">
        <is>
          <t>UNLIKELY</t>
        </is>
      </c>
      <c r="V469" t="inlineStr">
        <is>
          <t>PATCH_AVAILABLE</t>
        </is>
      </c>
      <c r="W469" t="inlineStr">
        <is>
          <t>https://nvd.nist.gov/vuln/detail/CVE-2026-27208</t>
        </is>
      </c>
      <c r="X469" t="inlineStr">
        <is>
          <t>NONE</t>
        </is>
      </c>
      <c r="Y469" t="n">
        <v>0</v>
      </c>
      <c r="Z469" t="inlineStr"/>
      <c r="AA469" t="inlineStr">
        <is>
          <t>https://nvd.nist.gov/vuln/detail/CVE-2026-27208</t>
        </is>
      </c>
    </row>
    <row r="470">
      <c r="A470" t="inlineStr">
        <is>
          <t>CVE</t>
        </is>
      </c>
      <c r="B470" t="inlineStr">
        <is>
          <t>CVE-2026-27483</t>
        </is>
      </c>
      <c r="C470"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470" t="n">
        <v>8.800000000000001</v>
      </c>
      <c r="E470" t="inlineStr">
        <is>
          <t>HIGH</t>
        </is>
      </c>
      <c r="F470" t="n">
        <v>2</v>
      </c>
      <c r="G470" t="n">
        <v>3</v>
      </c>
      <c r="H470" t="inlineStr">
        <is>
          <t>HIGH</t>
        </is>
      </c>
      <c r="I470" t="n">
        <v>14.8</v>
      </c>
      <c r="J470" t="inlineStr">
        <is>
          <t>NO</t>
        </is>
      </c>
      <c r="K470" t="inlineStr">
        <is>
          <t>2026-02-27 20:47</t>
        </is>
      </c>
      <c r="L470" t="inlineStr">
        <is>
          <t>YES</t>
        </is>
      </c>
      <c r="M470" t="inlineStr">
        <is>
          <t>mindsdb mindsdb *</t>
        </is>
      </c>
      <c r="N470" t="inlineStr">
        <is>
          <t>P3</t>
        </is>
      </c>
      <c r="O470" t="inlineStr">
        <is>
          <t>CVE - IP enrichment n/a</t>
        </is>
      </c>
      <c r="P470" t="n">
        <v>0.0027</v>
      </c>
      <c r="Q470" t="n">
        <v>0.5011</v>
      </c>
      <c r="R470" t="inlineStr">
        <is>
          <t>T1083:File and Directory Discovery</t>
        </is>
      </c>
      <c r="S470" t="n">
        <v>1</v>
      </c>
      <c r="T470" t="inlineStr">
        <is>
          <t>LOW (40%)</t>
        </is>
      </c>
      <c r="U470" t="inlineStr">
        <is>
          <t>UNLIKELY</t>
        </is>
      </c>
      <c r="V470" t="inlineStr">
        <is>
          <t>PATCH_AVAILABLE</t>
        </is>
      </c>
      <c r="W470" t="inlineStr">
        <is>
          <t>https://nvd.nist.gov/vuln/detail/CVE-2026-27483</t>
        </is>
      </c>
      <c r="X470" t="inlineStr">
        <is>
          <t>NONE</t>
        </is>
      </c>
      <c r="Y470" t="n">
        <v>0</v>
      </c>
      <c r="Z470" t="inlineStr"/>
      <c r="AA470" t="inlineStr">
        <is>
          <t>https://nvd.nist.gov/vuln/detail/CVE-2026-27483</t>
        </is>
      </c>
    </row>
    <row r="471">
      <c r="A471" t="inlineStr">
        <is>
          <t>CVE</t>
        </is>
      </c>
      <c r="B471" t="inlineStr">
        <is>
          <t>CVE-2026-27567</t>
        </is>
      </c>
      <c r="C471"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471" t="n">
        <v>6.5</v>
      </c>
      <c r="E471" t="inlineStr">
        <is>
          <t>MEDIUM</t>
        </is>
      </c>
      <c r="F471" t="n">
        <v>2</v>
      </c>
      <c r="G471" t="n">
        <v>2</v>
      </c>
      <c r="H471" t="inlineStr">
        <is>
          <t>MEDIUM</t>
        </is>
      </c>
      <c r="I471" t="n">
        <v>10.5</v>
      </c>
      <c r="J471" t="inlineStr">
        <is>
          <t>NO</t>
        </is>
      </c>
      <c r="K471" t="inlineStr">
        <is>
          <t>2026-02-27 20:47</t>
        </is>
      </c>
      <c r="L471" t="inlineStr">
        <is>
          <t>YES</t>
        </is>
      </c>
      <c r="M471" t="inlineStr">
        <is>
          <t>payloadcms payload *</t>
        </is>
      </c>
      <c r="N471" t="inlineStr">
        <is>
          <t>P4</t>
        </is>
      </c>
      <c r="O471" t="inlineStr">
        <is>
          <t>CVE - IP enrichment n/a</t>
        </is>
      </c>
      <c r="P471" t="n">
        <v>0.0003</v>
      </c>
      <c r="Q471" t="n">
        <v>0.08459999999999999</v>
      </c>
      <c r="R471" t="inlineStr">
        <is>
          <t>T1090:Proxy | T1190:Exploit Public-Facing Application</t>
        </is>
      </c>
      <c r="S471" t="n">
        <v>1</v>
      </c>
      <c r="T471" t="inlineStr">
        <is>
          <t>LOW (40%)</t>
        </is>
      </c>
      <c r="U471" t="inlineStr">
        <is>
          <t>UNLIKELY</t>
        </is>
      </c>
      <c r="V471" t="inlineStr">
        <is>
          <t>PATCH_AVAILABLE</t>
        </is>
      </c>
      <c r="W471" t="inlineStr">
        <is>
          <t>https://nvd.nist.gov/vuln/detail/CVE-2026-27567</t>
        </is>
      </c>
      <c r="X471" t="inlineStr">
        <is>
          <t>NONE</t>
        </is>
      </c>
      <c r="Y471" t="n">
        <v>0</v>
      </c>
      <c r="Z471" t="inlineStr"/>
      <c r="AA471" t="inlineStr">
        <is>
          <t>https://nvd.nist.gov/vuln/detail/CVE-2026-27567</t>
        </is>
      </c>
    </row>
    <row r="472">
      <c r="A472" t="inlineStr">
        <is>
          <t>CVE</t>
        </is>
      </c>
      <c r="B472" t="inlineStr">
        <is>
          <t>CVE-2026-27568</t>
        </is>
      </c>
      <c r="C472"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472" t="n">
        <v>6.1</v>
      </c>
      <c r="E472" t="inlineStr">
        <is>
          <t>MEDIUM</t>
        </is>
      </c>
      <c r="F472" t="n">
        <v>2</v>
      </c>
      <c r="G472" t="n">
        <v>2</v>
      </c>
      <c r="H472" t="inlineStr">
        <is>
          <t>MEDIUM</t>
        </is>
      </c>
      <c r="I472" t="n">
        <v>10.1</v>
      </c>
      <c r="J472" t="inlineStr">
        <is>
          <t>NO</t>
        </is>
      </c>
      <c r="K472" t="inlineStr">
        <is>
          <t>2026-02-27 20:47</t>
        </is>
      </c>
      <c r="L472" t="inlineStr">
        <is>
          <t>YES</t>
        </is>
      </c>
      <c r="M472" t="inlineStr">
        <is>
          <t>wwbn avideo *</t>
        </is>
      </c>
      <c r="N472" t="inlineStr">
        <is>
          <t>P4</t>
        </is>
      </c>
      <c r="O472" t="inlineStr">
        <is>
          <t>CVE - IP enrichment n/a</t>
        </is>
      </c>
      <c r="P472" t="n">
        <v>0.0003</v>
      </c>
      <c r="Q472" t="n">
        <v>0.0823</v>
      </c>
      <c r="R472" t="inlineStr">
        <is>
          <t>T1189:Drive-by Compromise | T1190:Exploit Public-Facing Application | T1068:Exploitation for Privilege Escalation</t>
        </is>
      </c>
      <c r="S472" t="n">
        <v>1</v>
      </c>
      <c r="T472" t="inlineStr">
        <is>
          <t>LOW (40%)</t>
        </is>
      </c>
      <c r="U472" t="inlineStr">
        <is>
          <t>UNLIKELY</t>
        </is>
      </c>
      <c r="V472" t="inlineStr">
        <is>
          <t>PATCH_AVAILABLE</t>
        </is>
      </c>
      <c r="W472" t="inlineStr">
        <is>
          <t>https://nvd.nist.gov/vuln/detail/CVE-2026-27568</t>
        </is>
      </c>
      <c r="X472" t="inlineStr">
        <is>
          <t>NONE</t>
        </is>
      </c>
      <c r="Y472" t="n">
        <v>0</v>
      </c>
      <c r="Z472" t="inlineStr"/>
      <c r="AA472" t="inlineStr">
        <is>
          <t>https://nvd.nist.gov/vuln/detail/CVE-2026-27568</t>
        </is>
      </c>
    </row>
    <row r="473">
      <c r="A473" t="inlineStr">
        <is>
          <t>CVE</t>
        </is>
      </c>
      <c r="B473" t="inlineStr">
        <is>
          <t>CVE-2026-27584</t>
        </is>
      </c>
      <c r="C473"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473" t="n">
        <v>7.5</v>
      </c>
      <c r="E473" t="inlineStr">
        <is>
          <t>HIGH</t>
        </is>
      </c>
      <c r="F473" t="n">
        <v>2</v>
      </c>
      <c r="G473" t="n">
        <v>3</v>
      </c>
      <c r="H473" t="inlineStr">
        <is>
          <t>HIGH</t>
        </is>
      </c>
      <c r="I473" t="n">
        <v>13.5</v>
      </c>
      <c r="J473" t="inlineStr">
        <is>
          <t>NO</t>
        </is>
      </c>
      <c r="K473" t="inlineStr">
        <is>
          <t>2026-02-27 20:47</t>
        </is>
      </c>
      <c r="L473" t="inlineStr">
        <is>
          <t>YES</t>
        </is>
      </c>
      <c r="M473" t="inlineStr">
        <is>
          <t>actualbudget actual *</t>
        </is>
      </c>
      <c r="N473" t="inlineStr">
        <is>
          <t>P3</t>
        </is>
      </c>
      <c r="O473" t="inlineStr">
        <is>
          <t>CVE - IP enrichment n/a</t>
        </is>
      </c>
      <c r="P473" t="n">
        <v>0.0009</v>
      </c>
      <c r="Q473" t="n">
        <v>0.2596</v>
      </c>
      <c r="R473" t="inlineStr">
        <is>
          <t>T1078:Valid Accounts</t>
        </is>
      </c>
      <c r="S473" t="n">
        <v>1</v>
      </c>
      <c r="T473" t="inlineStr">
        <is>
          <t>LOW (40%)</t>
        </is>
      </c>
      <c r="U473" t="inlineStr">
        <is>
          <t>UNLIKELY</t>
        </is>
      </c>
      <c r="V473" t="inlineStr">
        <is>
          <t>PATCH_AVAILABLE</t>
        </is>
      </c>
      <c r="W473" t="inlineStr">
        <is>
          <t>https://nvd.nist.gov/vuln/detail/CVE-2026-27584</t>
        </is>
      </c>
      <c r="X473" t="inlineStr">
        <is>
          <t>NONE</t>
        </is>
      </c>
      <c r="Y473" t="n">
        <v>0</v>
      </c>
      <c r="Z473" t="inlineStr"/>
      <c r="AA473" t="inlineStr">
        <is>
          <t>https://nvd.nist.gov/vuln/detail/CVE-2026-27584</t>
        </is>
      </c>
    </row>
    <row r="474">
      <c r="A474" t="inlineStr">
        <is>
          <t>CVE</t>
        </is>
      </c>
      <c r="B474" t="inlineStr">
        <is>
          <t>CVE-2026-27732</t>
        </is>
      </c>
      <c r="C474"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474" t="n">
        <v>8.1</v>
      </c>
      <c r="E474" t="inlineStr">
        <is>
          <t>HIGH</t>
        </is>
      </c>
      <c r="F474" t="n">
        <v>2</v>
      </c>
      <c r="G474" t="n">
        <v>3</v>
      </c>
      <c r="H474" t="inlineStr">
        <is>
          <t>HIGH</t>
        </is>
      </c>
      <c r="I474" t="n">
        <v>14.1</v>
      </c>
      <c r="J474" t="inlineStr">
        <is>
          <t>NO</t>
        </is>
      </c>
      <c r="K474" t="inlineStr">
        <is>
          <t>2026-02-27 20:47</t>
        </is>
      </c>
      <c r="L474" t="inlineStr">
        <is>
          <t>YES</t>
        </is>
      </c>
      <c r="M474" t="inlineStr">
        <is>
          <t>wwbn avideo *</t>
        </is>
      </c>
      <c r="N474" t="inlineStr">
        <is>
          <t>P3</t>
        </is>
      </c>
      <c r="O474" t="inlineStr">
        <is>
          <t>CVE - IP enrichment n/a</t>
        </is>
      </c>
      <c r="P474" t="n">
        <v>0.0003</v>
      </c>
      <c r="Q474" t="n">
        <v>0.0771</v>
      </c>
      <c r="R474" t="inlineStr">
        <is>
          <t>T1090:Proxy | T1190:Exploit Public-Facing Application</t>
        </is>
      </c>
      <c r="S474" t="n">
        <v>1</v>
      </c>
      <c r="T474" t="inlineStr">
        <is>
          <t>LOW (40%)</t>
        </is>
      </c>
      <c r="U474" t="inlineStr">
        <is>
          <t>UNLIKELY</t>
        </is>
      </c>
      <c r="V474" t="inlineStr">
        <is>
          <t>PATCH_AVAILABLE</t>
        </is>
      </c>
      <c r="W474" t="inlineStr">
        <is>
          <t>https://nvd.nist.gov/vuln/detail/CVE-2026-27732</t>
        </is>
      </c>
      <c r="X474" t="inlineStr">
        <is>
          <t>NONE</t>
        </is>
      </c>
      <c r="Y474" t="n">
        <v>0</v>
      </c>
      <c r="Z474" t="inlineStr"/>
      <c r="AA474" t="inlineStr">
        <is>
          <t>https://nvd.nist.gov/vuln/detail/CVE-2026-27732</t>
        </is>
      </c>
    </row>
    <row r="475">
      <c r="A475" t="inlineStr">
        <is>
          <t>CVE</t>
        </is>
      </c>
      <c r="B475" t="inlineStr">
        <is>
          <t>CVE-2026-3101</t>
        </is>
      </c>
      <c r="C475"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475" t="n">
        <v>6.3</v>
      </c>
      <c r="E475" t="inlineStr">
        <is>
          <t>MEDIUM</t>
        </is>
      </c>
      <c r="F475" t="n">
        <v>2</v>
      </c>
      <c r="G475" t="n">
        <v>2</v>
      </c>
      <c r="H475" t="inlineStr">
        <is>
          <t>MEDIUM</t>
        </is>
      </c>
      <c r="I475" t="n">
        <v>10.3</v>
      </c>
      <c r="J475" t="inlineStr">
        <is>
          <t>NO</t>
        </is>
      </c>
      <c r="K475" t="inlineStr">
        <is>
          <t>2026-02-27 20:47</t>
        </is>
      </c>
      <c r="L475" t="inlineStr">
        <is>
          <t>CHECK_VENDOR</t>
        </is>
      </c>
      <c r="M475" t="inlineStr">
        <is>
          <t>intelbras tip_635g - | intelbras tip_635g_firmware 1.12.3.5</t>
        </is>
      </c>
      <c r="N475" t="inlineStr">
        <is>
          <t>P4</t>
        </is>
      </c>
      <c r="O475" t="inlineStr">
        <is>
          <t>CVE - IP enrichment n/a</t>
        </is>
      </c>
      <c r="P475" t="n">
        <v>0.0036</v>
      </c>
      <c r="Q475" t="n">
        <v>0.5749</v>
      </c>
      <c r="R475" t="inlineStr">
        <is>
          <t>T1059:Command and Scripting Interpreter</t>
        </is>
      </c>
      <c r="S475" t="n">
        <v>1</v>
      </c>
      <c r="T475" t="inlineStr">
        <is>
          <t>LOW (40%)</t>
        </is>
      </c>
      <c r="U475" t="inlineStr">
        <is>
          <t>UNLIKELY</t>
        </is>
      </c>
      <c r="V475" t="inlineStr">
        <is>
          <t>CHECK_VENDOR</t>
        </is>
      </c>
      <c r="W475" t="inlineStr">
        <is>
          <t>https://nvd.nist.gov/vuln/detail/CVE-2026-3101</t>
        </is>
      </c>
      <c r="X475" t="inlineStr">
        <is>
          <t>NONE</t>
        </is>
      </c>
      <c r="Y475" t="n">
        <v>0</v>
      </c>
      <c r="Z475" t="inlineStr"/>
      <c r="AA475" t="inlineStr">
        <is>
          <t>https://nvd.nist.gov/vuln/detail/CVE-2026-3101</t>
        </is>
      </c>
    </row>
    <row r="476">
      <c r="A476" t="inlineStr">
        <is>
          <t>CVE</t>
        </is>
      </c>
      <c r="B476" t="inlineStr">
        <is>
          <t>CVE-2026-3102</t>
        </is>
      </c>
      <c r="C476"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476" t="n">
        <v>6.3</v>
      </c>
      <c r="E476" t="inlineStr">
        <is>
          <t>MEDIUM</t>
        </is>
      </c>
      <c r="F476" t="n">
        <v>2</v>
      </c>
      <c r="G476" t="n">
        <v>2</v>
      </c>
      <c r="H476" t="inlineStr">
        <is>
          <t>MEDIUM</t>
        </is>
      </c>
      <c r="I476" t="n">
        <v>10.3</v>
      </c>
      <c r="J476" t="inlineStr">
        <is>
          <t>NO</t>
        </is>
      </c>
      <c r="K476" t="inlineStr">
        <is>
          <t>2026-02-27 20:47</t>
        </is>
      </c>
      <c r="L476" t="inlineStr">
        <is>
          <t>YES</t>
        </is>
      </c>
      <c r="M476" t="inlineStr">
        <is>
          <t>exiftool_project exiftool * | apple macos -</t>
        </is>
      </c>
      <c r="N476" t="inlineStr">
        <is>
          <t>P4</t>
        </is>
      </c>
      <c r="O476" t="inlineStr">
        <is>
          <t>CVE - IP enrichment n/a</t>
        </is>
      </c>
      <c r="P476" t="n">
        <v>0.002</v>
      </c>
      <c r="Q476" t="n">
        <v>0.4188</v>
      </c>
      <c r="R476" t="inlineStr">
        <is>
          <t>T1059:Command and Scripting Interpreter</t>
        </is>
      </c>
      <c r="S476" t="n">
        <v>1</v>
      </c>
      <c r="T476" t="inlineStr">
        <is>
          <t>LOW (40%)</t>
        </is>
      </c>
      <c r="U476" t="inlineStr">
        <is>
          <t>UNLIKELY</t>
        </is>
      </c>
      <c r="V476" t="inlineStr">
        <is>
          <t>PATCH_AVAILABLE</t>
        </is>
      </c>
      <c r="W476" t="inlineStr">
        <is>
          <t>https://nvd.nist.gov/vuln/detail/CVE-2026-3102</t>
        </is>
      </c>
      <c r="X476" t="inlineStr">
        <is>
          <t>NONE</t>
        </is>
      </c>
      <c r="Y476" t="n">
        <v>0</v>
      </c>
      <c r="Z476" t="inlineStr"/>
      <c r="AA476" t="inlineStr">
        <is>
          <t>https://nvd.nist.gov/vuln/detail/CVE-2026-3102</t>
        </is>
      </c>
    </row>
    <row r="477">
      <c r="A477" t="inlineStr">
        <is>
          <t>CVE</t>
        </is>
      </c>
      <c r="B477" t="inlineStr">
        <is>
          <t>CVE-2025-47904</t>
        </is>
      </c>
      <c r="C477" t="inlineStr">
        <is>
          <t>Download of Code Without Integrity Check vulnerability in Microchip Time Provider 4100 allows Malicious Manual Software Update.This issue affects Time Provider 4100: before 2.5.</t>
        </is>
      </c>
      <c r="D477" t="n">
        <v>5</v>
      </c>
      <c r="E477" t="inlineStr">
        <is>
          <t>MEDIUM</t>
        </is>
      </c>
      <c r="F477" t="n">
        <v>2</v>
      </c>
      <c r="G477" t="n">
        <v>2</v>
      </c>
      <c r="H477" t="inlineStr">
        <is>
          <t>MEDIUM</t>
        </is>
      </c>
      <c r="I477" t="n">
        <v>9</v>
      </c>
      <c r="J477" t="inlineStr">
        <is>
          <t>NO</t>
        </is>
      </c>
      <c r="K477" t="inlineStr">
        <is>
          <t>2026-02-27 20:47</t>
        </is>
      </c>
      <c r="L477" t="inlineStr">
        <is>
          <t>CHECK_VENDOR</t>
        </is>
      </c>
      <c r="M477" t="inlineStr">
        <is>
          <t>See CVE details</t>
        </is>
      </c>
      <c r="N477" t="inlineStr">
        <is>
          <t>P4</t>
        </is>
      </c>
      <c r="O477" t="inlineStr">
        <is>
          <t>CVE - IP enrichment n/a</t>
        </is>
      </c>
      <c r="P477" t="n">
        <v>0</v>
      </c>
      <c r="Q477" t="n">
        <v>0.0015</v>
      </c>
      <c r="R477" t="inlineStr">
        <is>
          <t>T1190:Exploit Public-Facing Application</t>
        </is>
      </c>
      <c r="S477" t="n">
        <v>1</v>
      </c>
      <c r="T477" t="inlineStr">
        <is>
          <t>LOW (40%)</t>
        </is>
      </c>
      <c r="U477" t="inlineStr">
        <is>
          <t>UNLIKELY</t>
        </is>
      </c>
      <c r="V477" t="inlineStr">
        <is>
          <t>CHECK_VENDOR</t>
        </is>
      </c>
      <c r="W477" t="inlineStr">
        <is>
          <t>https://nvd.nist.gov/vuln/detail/CVE-2025-47904</t>
        </is>
      </c>
      <c r="X477" t="inlineStr">
        <is>
          <t>NONE</t>
        </is>
      </c>
      <c r="Y477" t="n">
        <v>0</v>
      </c>
      <c r="Z477" t="inlineStr"/>
      <c r="AA477" t="inlineStr">
        <is>
          <t>https://nvd.nist.gov/vuln/detail/CVE-2025-47904</t>
        </is>
      </c>
    </row>
    <row r="478">
      <c r="A478" t="inlineStr">
        <is>
          <t>CVE</t>
        </is>
      </c>
      <c r="B478" t="inlineStr">
        <is>
          <t>CVE-2025-63409</t>
        </is>
      </c>
      <c r="C478" t="inlineStr">
        <is>
          <t>Privilege escalation and improper access control in GCOM EPON 1GE C00R371V00B01 allows remote authenticated users to modify administrator only settings and extract administrator credentials.</t>
        </is>
      </c>
      <c r="D478" t="n">
        <v>8.800000000000001</v>
      </c>
      <c r="E478" t="inlineStr">
        <is>
          <t>HIGH</t>
        </is>
      </c>
      <c r="F478" t="n">
        <v>2</v>
      </c>
      <c r="G478" t="n">
        <v>3</v>
      </c>
      <c r="H478" t="inlineStr">
        <is>
          <t>HIGH</t>
        </is>
      </c>
      <c r="I478" t="n">
        <v>14.8</v>
      </c>
      <c r="J478" t="inlineStr">
        <is>
          <t>NO</t>
        </is>
      </c>
      <c r="K478" t="inlineStr">
        <is>
          <t>2026-02-27 20:47</t>
        </is>
      </c>
      <c r="L478" t="inlineStr">
        <is>
          <t>CHECK_VENDOR</t>
        </is>
      </c>
      <c r="M478" t="inlineStr">
        <is>
          <t>gcomtw gcom_epon_1ge_firmware c00r371v00b01 | gcomtw gcom_epon_1ge -</t>
        </is>
      </c>
      <c r="N478" t="inlineStr">
        <is>
          <t>P3</t>
        </is>
      </c>
      <c r="O478" t="inlineStr">
        <is>
          <t>CVE - IP enrichment n/a</t>
        </is>
      </c>
      <c r="P478" t="n">
        <v>0.001</v>
      </c>
      <c r="Q478" t="n">
        <v>0.2833</v>
      </c>
      <c r="R478" t="inlineStr">
        <is>
          <t>T1068:Exploitation for Privilege Escalation | T1552:Unsecured Credentials</t>
        </is>
      </c>
      <c r="S478" t="n">
        <v>1</v>
      </c>
      <c r="T478" t="inlineStr">
        <is>
          <t>LOW (40%)</t>
        </is>
      </c>
      <c r="U478" t="inlineStr">
        <is>
          <t>UNLIKELY</t>
        </is>
      </c>
      <c r="V478" t="inlineStr">
        <is>
          <t>CHECK_VENDOR</t>
        </is>
      </c>
      <c r="W478" t="inlineStr">
        <is>
          <t>https://nvd.nist.gov/vuln/detail/CVE-2025-63409</t>
        </is>
      </c>
      <c r="X478" t="inlineStr">
        <is>
          <t>NONE</t>
        </is>
      </c>
      <c r="Y478" t="n">
        <v>0</v>
      </c>
      <c r="Z478" t="inlineStr"/>
      <c r="AA478" t="inlineStr">
        <is>
          <t>https://nvd.nist.gov/vuln/detail/CVE-2025-63409</t>
        </is>
      </c>
    </row>
    <row r="479">
      <c r="A479" t="inlineStr">
        <is>
          <t>CVE</t>
        </is>
      </c>
      <c r="B479" t="inlineStr">
        <is>
          <t>CVE-2025-69985</t>
        </is>
      </c>
      <c r="C479"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479" t="n">
        <v>9.800000000000001</v>
      </c>
      <c r="E479" t="inlineStr">
        <is>
          <t>CRITICAL</t>
        </is>
      </c>
      <c r="F479" t="n">
        <v>2</v>
      </c>
      <c r="G479" t="n">
        <v>3</v>
      </c>
      <c r="H479" t="inlineStr">
        <is>
          <t>HIGH</t>
        </is>
      </c>
      <c r="I479" t="n">
        <v>15.8</v>
      </c>
      <c r="J479" t="inlineStr">
        <is>
          <t>NO</t>
        </is>
      </c>
      <c r="K479" t="inlineStr">
        <is>
          <t>2026-02-27 20:47</t>
        </is>
      </c>
      <c r="L479" t="inlineStr">
        <is>
          <t>CHECK_VENDOR</t>
        </is>
      </c>
      <c r="M479" t="inlineStr">
        <is>
          <t>frangoteam fuxa *</t>
        </is>
      </c>
      <c r="N479" t="inlineStr">
        <is>
          <t>P3</t>
        </is>
      </c>
      <c r="O479" t="inlineStr">
        <is>
          <t>CVE - IP enrichment n/a</t>
        </is>
      </c>
      <c r="P479" t="n">
        <v>0.0054</v>
      </c>
      <c r="Q479" t="n">
        <v>0.6716</v>
      </c>
      <c r="R479" t="inlineStr">
        <is>
          <t>T1190:Exploit Public-Facing Application | T1210:Exploitation of Remote Services | T1078:Valid Accounts</t>
        </is>
      </c>
      <c r="S479" t="n">
        <v>1</v>
      </c>
      <c r="T479" t="inlineStr">
        <is>
          <t>LOW (40%)</t>
        </is>
      </c>
      <c r="U479" t="inlineStr">
        <is>
          <t>UNLIKELY</t>
        </is>
      </c>
      <c r="V479" t="inlineStr">
        <is>
          <t>CHECK_VENDOR</t>
        </is>
      </c>
      <c r="W479" t="inlineStr">
        <is>
          <t>https://nvd.nist.gov/vuln/detail/CVE-2025-69985</t>
        </is>
      </c>
      <c r="X479" t="inlineStr">
        <is>
          <t>NONE</t>
        </is>
      </c>
      <c r="Y479" t="n">
        <v>0</v>
      </c>
      <c r="Z479" t="inlineStr"/>
      <c r="AA479" t="inlineStr">
        <is>
          <t>https://nvd.nist.gov/vuln/detail/CVE-2025-69985</t>
        </is>
      </c>
    </row>
    <row r="480">
      <c r="A480" t="inlineStr">
        <is>
          <t>CVE</t>
        </is>
      </c>
      <c r="B480" t="inlineStr">
        <is>
          <t>CVE-2026-23678</t>
        </is>
      </c>
      <c r="C480"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480" t="n">
        <v>8.800000000000001</v>
      </c>
      <c r="E480" t="inlineStr">
        <is>
          <t>HIGH</t>
        </is>
      </c>
      <c r="F480" t="n">
        <v>2</v>
      </c>
      <c r="G480" t="n">
        <v>3</v>
      </c>
      <c r="H480" t="inlineStr">
        <is>
          <t>HIGH</t>
        </is>
      </c>
      <c r="I480" t="n">
        <v>14.8</v>
      </c>
      <c r="J480" t="inlineStr">
        <is>
          <t>NO</t>
        </is>
      </c>
      <c r="K480" t="inlineStr">
        <is>
          <t>2026-02-27 20:47</t>
        </is>
      </c>
      <c r="L480" t="inlineStr">
        <is>
          <t>CHECK_VENDOR</t>
        </is>
      </c>
      <c r="M480" t="inlineStr">
        <is>
          <t>binardat 10g08-0800gsm - | binardat 10g08-0800gsm_firmware *</t>
        </is>
      </c>
      <c r="N480" t="inlineStr">
        <is>
          <t>P3</t>
        </is>
      </c>
      <c r="O480" t="inlineStr">
        <is>
          <t>CVE - IP enrichment n/a</t>
        </is>
      </c>
      <c r="P480" t="n">
        <v>0.0024</v>
      </c>
      <c r="Q480" t="n">
        <v>0.4755</v>
      </c>
      <c r="R480" t="inlineStr">
        <is>
          <t>T1059:Command and Scripting Interpreter</t>
        </is>
      </c>
      <c r="S480" t="n">
        <v>1</v>
      </c>
      <c r="T480" t="inlineStr">
        <is>
          <t>LOW (40%)</t>
        </is>
      </c>
      <c r="U480" t="inlineStr">
        <is>
          <t>UNLIKELY</t>
        </is>
      </c>
      <c r="V480" t="inlineStr">
        <is>
          <t>CHECK_VENDOR</t>
        </is>
      </c>
      <c r="W480" t="inlineStr">
        <is>
          <t>https://nvd.nist.gov/vuln/detail/CVE-2026-23678</t>
        </is>
      </c>
      <c r="X480" t="inlineStr">
        <is>
          <t>NONE</t>
        </is>
      </c>
      <c r="Y480" t="n">
        <v>0</v>
      </c>
      <c r="Z480" t="inlineStr"/>
      <c r="AA480" t="inlineStr">
        <is>
          <t>https://nvd.nist.gov/vuln/detail/CVE-2026-23678</t>
        </is>
      </c>
    </row>
    <row r="481">
      <c r="A481" t="inlineStr">
        <is>
          <t>CVE</t>
        </is>
      </c>
      <c r="B481" t="inlineStr">
        <is>
          <t>CVE-2026-27507</t>
        </is>
      </c>
      <c r="C481" t="inlineStr">
        <is>
          <t>Binardat 10G08-0800GSM network switch firmware version V300SP10260209 and prior contain hard-coded administrative credentials that cannot be changed by users. Knowledge of these credentials allows full administrative access to the device.</t>
        </is>
      </c>
      <c r="D481" t="n">
        <v>9.800000000000001</v>
      </c>
      <c r="E481" t="inlineStr">
        <is>
          <t>CRITICAL</t>
        </is>
      </c>
      <c r="F481" t="n">
        <v>2</v>
      </c>
      <c r="G481" t="n">
        <v>3</v>
      </c>
      <c r="H481" t="inlineStr">
        <is>
          <t>HIGH</t>
        </is>
      </c>
      <c r="I481" t="n">
        <v>15.8</v>
      </c>
      <c r="J481" t="inlineStr">
        <is>
          <t>NO</t>
        </is>
      </c>
      <c r="K481" t="inlineStr">
        <is>
          <t>2026-02-27 20:47</t>
        </is>
      </c>
      <c r="L481" t="inlineStr">
        <is>
          <t>CHECK_VENDOR</t>
        </is>
      </c>
      <c r="M481" t="inlineStr">
        <is>
          <t>binardat 10g08-0800gsm - | binardat 10g08-0800gsm_firmware *</t>
        </is>
      </c>
      <c r="N481" t="inlineStr">
        <is>
          <t>P3</t>
        </is>
      </c>
      <c r="O481" t="inlineStr">
        <is>
          <t>CVE - IP enrichment n/a</t>
        </is>
      </c>
      <c r="P481" t="n">
        <v>0.0004</v>
      </c>
      <c r="Q481" t="n">
        <v>0.1245</v>
      </c>
      <c r="R481" t="inlineStr">
        <is>
          <t>T1552:Unsecured Credentials</t>
        </is>
      </c>
      <c r="S481" t="n">
        <v>1</v>
      </c>
      <c r="T481" t="inlineStr">
        <is>
          <t>LOW (40%)</t>
        </is>
      </c>
      <c r="U481" t="inlineStr">
        <is>
          <t>UNLIKELY</t>
        </is>
      </c>
      <c r="V481" t="inlineStr">
        <is>
          <t>CHECK_VENDOR</t>
        </is>
      </c>
      <c r="W481" t="inlineStr">
        <is>
          <t>https://nvd.nist.gov/vuln/detail/CVE-2026-27507</t>
        </is>
      </c>
      <c r="X481" t="inlineStr">
        <is>
          <t>NONE</t>
        </is>
      </c>
      <c r="Y481" t="n">
        <v>0</v>
      </c>
      <c r="Z481" t="inlineStr"/>
      <c r="AA481" t="inlineStr">
        <is>
          <t>https://nvd.nist.gov/vuln/detail/CVE-2026-27507</t>
        </is>
      </c>
    </row>
    <row r="482">
      <c r="A482" t="inlineStr">
        <is>
          <t>CVE</t>
        </is>
      </c>
      <c r="B482" t="inlineStr">
        <is>
          <t>CVE-2026-27515</t>
        </is>
      </c>
      <c r="C482" t="inlineStr">
        <is>
          <t>Binardat 10G08-0800GSM network switch firmware versions prior to V300SP10260209 generate predictable numeric session identifiers in the web management interface. An attacker can guess valid session IDs and hijack authenticated sessions.</t>
        </is>
      </c>
      <c r="D482" t="n">
        <v>9.1</v>
      </c>
      <c r="E482" t="inlineStr">
        <is>
          <t>CRITICAL</t>
        </is>
      </c>
      <c r="F482" t="n">
        <v>2</v>
      </c>
      <c r="G482" t="n">
        <v>3</v>
      </c>
      <c r="H482" t="inlineStr">
        <is>
          <t>HIGH</t>
        </is>
      </c>
      <c r="I482" t="n">
        <v>15.1</v>
      </c>
      <c r="J482" t="inlineStr">
        <is>
          <t>NO</t>
        </is>
      </c>
      <c r="K482" t="inlineStr">
        <is>
          <t>2026-02-27 20:47</t>
        </is>
      </c>
      <c r="L482" t="inlineStr">
        <is>
          <t>CHECK_VENDOR</t>
        </is>
      </c>
      <c r="M482" t="inlineStr">
        <is>
          <t>binardat 10g08-0800gsm - | binardat 10g08-0800gsm_firmware *</t>
        </is>
      </c>
      <c r="N482" t="inlineStr">
        <is>
          <t>P3</t>
        </is>
      </c>
      <c r="O482" t="inlineStr">
        <is>
          <t>CVE - IP enrichment n/a</t>
        </is>
      </c>
      <c r="P482" t="n">
        <v>0.0003</v>
      </c>
      <c r="Q482" t="n">
        <v>0.0861</v>
      </c>
      <c r="R482" t="inlineStr">
        <is>
          <t>T1600:Weaken Encryption</t>
        </is>
      </c>
      <c r="S482" t="n">
        <v>1</v>
      </c>
      <c r="T482" t="inlineStr">
        <is>
          <t>LOW (40%)</t>
        </is>
      </c>
      <c r="U482" t="inlineStr">
        <is>
          <t>UNLIKELY</t>
        </is>
      </c>
      <c r="V482" t="inlineStr">
        <is>
          <t>CHECK_VENDOR</t>
        </is>
      </c>
      <c r="W482" t="inlineStr">
        <is>
          <t>https://nvd.nist.gov/vuln/detail/CVE-2026-27515</t>
        </is>
      </c>
      <c r="X482" t="inlineStr">
        <is>
          <t>NONE</t>
        </is>
      </c>
      <c r="Y482" t="n">
        <v>0</v>
      </c>
      <c r="Z482" t="inlineStr"/>
      <c r="AA482" t="inlineStr">
        <is>
          <t>https://nvd.nist.gov/vuln/detail/CVE-2026-27515</t>
        </is>
      </c>
    </row>
    <row r="483">
      <c r="A483" t="inlineStr">
        <is>
          <t>CVE</t>
        </is>
      </c>
      <c r="B483" t="inlineStr">
        <is>
          <t>CVE-2026-27516</t>
        </is>
      </c>
      <c r="C483" t="inlineStr">
        <is>
          <t>Binardat 10G08-0800GSM network switch firmware version V300SP10260209 and prior expose user passwords in plaintext within the administrative interface and HTTP responses, allowing recovery of valid credentials.</t>
        </is>
      </c>
      <c r="D483" t="n">
        <v>8.1</v>
      </c>
      <c r="E483" t="inlineStr">
        <is>
          <t>HIGH</t>
        </is>
      </c>
      <c r="F483" t="n">
        <v>2</v>
      </c>
      <c r="G483" t="n">
        <v>3</v>
      </c>
      <c r="H483" t="inlineStr">
        <is>
          <t>HIGH</t>
        </is>
      </c>
      <c r="I483" t="n">
        <v>14.1</v>
      </c>
      <c r="J483" t="inlineStr">
        <is>
          <t>NO</t>
        </is>
      </c>
      <c r="K483" t="inlineStr">
        <is>
          <t>2026-02-27 20:47</t>
        </is>
      </c>
      <c r="L483" t="inlineStr">
        <is>
          <t>CHECK_VENDOR</t>
        </is>
      </c>
      <c r="M483" t="inlineStr">
        <is>
          <t>binardat 10g08-0800gsm - | binardat 10g08-0800gsm_firmware *</t>
        </is>
      </c>
      <c r="N483" t="inlineStr">
        <is>
          <t>P3</t>
        </is>
      </c>
      <c r="O483" t="inlineStr">
        <is>
          <t>CVE - IP enrichment n/a</t>
        </is>
      </c>
      <c r="P483" t="n">
        <v>0.0002</v>
      </c>
      <c r="Q483" t="n">
        <v>0.0536</v>
      </c>
      <c r="R483" t="inlineStr">
        <is>
          <t>T1552:Unsecured Credentials</t>
        </is>
      </c>
      <c r="S483" t="n">
        <v>1</v>
      </c>
      <c r="T483" t="inlineStr">
        <is>
          <t>LOW (40%)</t>
        </is>
      </c>
      <c r="U483" t="inlineStr">
        <is>
          <t>UNLIKELY</t>
        </is>
      </c>
      <c r="V483" t="inlineStr">
        <is>
          <t>CHECK_VENDOR</t>
        </is>
      </c>
      <c r="W483" t="inlineStr">
        <is>
          <t>https://nvd.nist.gov/vuln/detail/CVE-2026-27516</t>
        </is>
      </c>
      <c r="X483" t="inlineStr">
        <is>
          <t>NONE</t>
        </is>
      </c>
      <c r="Y483" t="n">
        <v>0</v>
      </c>
      <c r="Z483" t="inlineStr"/>
      <c r="AA483" t="inlineStr">
        <is>
          <t>https://nvd.nist.gov/vuln/detail/CVE-2026-27516</t>
        </is>
      </c>
    </row>
    <row r="484">
      <c r="A484" t="inlineStr">
        <is>
          <t>CVE</t>
        </is>
      </c>
      <c r="B484" t="inlineStr">
        <is>
          <t>CVE-2026-27517</t>
        </is>
      </c>
      <c r="C484" t="inlineStr">
        <is>
          <t>Binardat 10G08-0800GSM network switch firmware version V300SP10260209 and prior reflect unsanitized user input in the web interface, allowing an attacker to inject and execute arbitrary JavaScript in the context of an authenticated user.</t>
        </is>
      </c>
      <c r="D484" t="n">
        <v>5.4</v>
      </c>
      <c r="E484" t="inlineStr">
        <is>
          <t>MEDIUM</t>
        </is>
      </c>
      <c r="F484" t="n">
        <v>2</v>
      </c>
      <c r="G484" t="n">
        <v>2</v>
      </c>
      <c r="H484" t="inlineStr">
        <is>
          <t>MEDIUM</t>
        </is>
      </c>
      <c r="I484" t="n">
        <v>9.4</v>
      </c>
      <c r="J484" t="inlineStr">
        <is>
          <t>NO</t>
        </is>
      </c>
      <c r="K484" t="inlineStr">
        <is>
          <t>2026-02-27 20:47</t>
        </is>
      </c>
      <c r="L484" t="inlineStr">
        <is>
          <t>CHECK_VENDOR</t>
        </is>
      </c>
      <c r="M484" t="inlineStr">
        <is>
          <t>binardat 10g08-0800gsm - | binardat 10g08-0800gsm_firmware *</t>
        </is>
      </c>
      <c r="N484" t="inlineStr">
        <is>
          <t>P4</t>
        </is>
      </c>
      <c r="O484" t="inlineStr">
        <is>
          <t>CVE - IP enrichment n/a</t>
        </is>
      </c>
      <c r="P484" t="n">
        <v>0.0003</v>
      </c>
      <c r="Q484" t="n">
        <v>0.0788</v>
      </c>
      <c r="R484" t="inlineStr">
        <is>
          <t>T1189:Drive-by Compromise</t>
        </is>
      </c>
      <c r="S484" t="n">
        <v>1</v>
      </c>
      <c r="T484" t="inlineStr">
        <is>
          <t>LOW (40%)</t>
        </is>
      </c>
      <c r="U484" t="inlineStr">
        <is>
          <t>UNLIKELY</t>
        </is>
      </c>
      <c r="V484" t="inlineStr">
        <is>
          <t>CHECK_VENDOR</t>
        </is>
      </c>
      <c r="W484" t="inlineStr">
        <is>
          <t>https://nvd.nist.gov/vuln/detail/CVE-2026-27517</t>
        </is>
      </c>
      <c r="X484" t="inlineStr">
        <is>
          <t>NONE</t>
        </is>
      </c>
      <c r="Y484" t="n">
        <v>0</v>
      </c>
      <c r="Z484" t="inlineStr"/>
      <c r="AA484" t="inlineStr">
        <is>
          <t>https://nvd.nist.gov/vuln/detail/CVE-2026-27517</t>
        </is>
      </c>
    </row>
    <row r="485">
      <c r="A485" t="inlineStr">
        <is>
          <t>CVE</t>
        </is>
      </c>
      <c r="B485" t="inlineStr">
        <is>
          <t>CVE-2026-27518</t>
        </is>
      </c>
      <c r="C485"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485" t="n">
        <v>4.3</v>
      </c>
      <c r="E485" t="inlineStr">
        <is>
          <t>MEDIUM</t>
        </is>
      </c>
      <c r="F485" t="n">
        <v>2</v>
      </c>
      <c r="G485" t="n">
        <v>2</v>
      </c>
      <c r="H485" t="inlineStr">
        <is>
          <t>MEDIUM</t>
        </is>
      </c>
      <c r="I485" t="n">
        <v>8.300000000000001</v>
      </c>
      <c r="J485" t="inlineStr">
        <is>
          <t>NO</t>
        </is>
      </c>
      <c r="K485" t="inlineStr">
        <is>
          <t>2026-02-27 20:47</t>
        </is>
      </c>
      <c r="L485" t="inlineStr">
        <is>
          <t>CHECK_VENDOR</t>
        </is>
      </c>
      <c r="M485" t="inlineStr">
        <is>
          <t>binardat 10g08-0800gsm - | binardat 10g08-0800gsm_firmware *</t>
        </is>
      </c>
      <c r="N485" t="inlineStr">
        <is>
          <t>P4</t>
        </is>
      </c>
      <c r="O485" t="inlineStr">
        <is>
          <t>CVE - IP enrichment n/a</t>
        </is>
      </c>
      <c r="P485" t="n">
        <v>0.0001</v>
      </c>
      <c r="Q485" t="n">
        <v>0.0261</v>
      </c>
      <c r="R485" t="inlineStr">
        <is>
          <t>T1185:Browser Session Hijacking</t>
        </is>
      </c>
      <c r="S485" t="n">
        <v>1</v>
      </c>
      <c r="T485" t="inlineStr">
        <is>
          <t>LOW (40%)</t>
        </is>
      </c>
      <c r="U485" t="inlineStr">
        <is>
          <t>UNLIKELY</t>
        </is>
      </c>
      <c r="V485" t="inlineStr">
        <is>
          <t>CHECK_VENDOR</t>
        </is>
      </c>
      <c r="W485" t="inlineStr">
        <is>
          <t>https://nvd.nist.gov/vuln/detail/CVE-2026-27518</t>
        </is>
      </c>
      <c r="X485" t="inlineStr">
        <is>
          <t>NONE</t>
        </is>
      </c>
      <c r="Y485" t="n">
        <v>0</v>
      </c>
      <c r="Z485" t="inlineStr"/>
      <c r="AA485" t="inlineStr">
        <is>
          <t>https://nvd.nist.gov/vuln/detail/CVE-2026-27518</t>
        </is>
      </c>
    </row>
    <row r="486">
      <c r="A486" t="inlineStr">
        <is>
          <t>CVE</t>
        </is>
      </c>
      <c r="B486" t="inlineStr">
        <is>
          <t>CVE-2026-27519</t>
        </is>
      </c>
      <c r="C486"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486" t="n">
        <v>7.5</v>
      </c>
      <c r="E486" t="inlineStr">
        <is>
          <t>HIGH</t>
        </is>
      </c>
      <c r="F486" t="n">
        <v>2</v>
      </c>
      <c r="G486" t="n">
        <v>3</v>
      </c>
      <c r="H486" t="inlineStr">
        <is>
          <t>HIGH</t>
        </is>
      </c>
      <c r="I486" t="n">
        <v>13.5</v>
      </c>
      <c r="J486" t="inlineStr">
        <is>
          <t>NO</t>
        </is>
      </c>
      <c r="K486" t="inlineStr">
        <is>
          <t>2026-02-27 20:47</t>
        </is>
      </c>
      <c r="L486" t="inlineStr">
        <is>
          <t>CHECK_VENDOR</t>
        </is>
      </c>
      <c r="M486" t="inlineStr">
        <is>
          <t>binardat 10g08-0800gsm - | binardat 10g08-0800gsm_firmware *</t>
        </is>
      </c>
      <c r="N486" t="inlineStr">
        <is>
          <t>P3</t>
        </is>
      </c>
      <c r="O486" t="inlineStr">
        <is>
          <t>CVE - IP enrichment n/a</t>
        </is>
      </c>
      <c r="P486" t="n">
        <v>0.0002</v>
      </c>
      <c r="Q486" t="n">
        <v>0.0557</v>
      </c>
      <c r="R486" t="inlineStr">
        <is>
          <t>T1190:Exploit Public-Facing Application</t>
        </is>
      </c>
      <c r="S486" t="n">
        <v>1</v>
      </c>
      <c r="T486" t="inlineStr">
        <is>
          <t>LOW (40%)</t>
        </is>
      </c>
      <c r="U486" t="inlineStr">
        <is>
          <t>UNLIKELY</t>
        </is>
      </c>
      <c r="V486" t="inlineStr">
        <is>
          <t>CHECK_VENDOR</t>
        </is>
      </c>
      <c r="W486" t="inlineStr">
        <is>
          <t>https://nvd.nist.gov/vuln/detail/CVE-2026-27519</t>
        </is>
      </c>
      <c r="X486" t="inlineStr">
        <is>
          <t>NONE</t>
        </is>
      </c>
      <c r="Y486" t="n">
        <v>0</v>
      </c>
      <c r="Z486" t="inlineStr"/>
      <c r="AA486" t="inlineStr">
        <is>
          <t>https://nvd.nist.gov/vuln/detail/CVE-2026-27519</t>
        </is>
      </c>
    </row>
    <row r="487">
      <c r="A487" t="inlineStr">
        <is>
          <t>CVE</t>
        </is>
      </c>
      <c r="B487" t="inlineStr">
        <is>
          <t>CVE-2026-27520</t>
        </is>
      </c>
      <c r="C487"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487" t="n">
        <v>7.5</v>
      </c>
      <c r="E487" t="inlineStr">
        <is>
          <t>HIGH</t>
        </is>
      </c>
      <c r="F487" t="n">
        <v>2</v>
      </c>
      <c r="G487" t="n">
        <v>3</v>
      </c>
      <c r="H487" t="inlineStr">
        <is>
          <t>HIGH</t>
        </is>
      </c>
      <c r="I487" t="n">
        <v>13.5</v>
      </c>
      <c r="J487" t="inlineStr">
        <is>
          <t>NO</t>
        </is>
      </c>
      <c r="K487" t="inlineStr">
        <is>
          <t>2026-02-27 20:47</t>
        </is>
      </c>
      <c r="L487" t="inlineStr">
        <is>
          <t>CHECK_VENDOR</t>
        </is>
      </c>
      <c r="M487" t="inlineStr">
        <is>
          <t>binardat 10g08-0800gsm - | binardat 10g08-0800gsm_firmware *</t>
        </is>
      </c>
      <c r="N487" t="inlineStr">
        <is>
          <t>P3</t>
        </is>
      </c>
      <c r="O487" t="inlineStr">
        <is>
          <t>CVE - IP enrichment n/a</t>
        </is>
      </c>
      <c r="P487" t="n">
        <v>0.0002</v>
      </c>
      <c r="Q487" t="n">
        <v>0.0541</v>
      </c>
      <c r="R487" t="inlineStr">
        <is>
          <t>T1190:Exploit Public-Facing Application</t>
        </is>
      </c>
      <c r="S487" t="n">
        <v>1</v>
      </c>
      <c r="T487" t="inlineStr">
        <is>
          <t>LOW (40%)</t>
        </is>
      </c>
      <c r="U487" t="inlineStr">
        <is>
          <t>UNLIKELY</t>
        </is>
      </c>
      <c r="V487" t="inlineStr">
        <is>
          <t>CHECK_VENDOR</t>
        </is>
      </c>
      <c r="W487" t="inlineStr">
        <is>
          <t>https://nvd.nist.gov/vuln/detail/CVE-2026-27520</t>
        </is>
      </c>
      <c r="X487" t="inlineStr">
        <is>
          <t>NONE</t>
        </is>
      </c>
      <c r="Y487" t="n">
        <v>0</v>
      </c>
      <c r="Z487" t="inlineStr"/>
      <c r="AA487" t="inlineStr">
        <is>
          <t>https://nvd.nist.gov/vuln/detail/CVE-2026-27520</t>
        </is>
      </c>
    </row>
    <row r="488">
      <c r="A488" t="inlineStr">
        <is>
          <t>CVE</t>
        </is>
      </c>
      <c r="B488" t="inlineStr">
        <is>
          <t>CVE-2026-27521</t>
        </is>
      </c>
      <c r="C488" t="inlineStr">
        <is>
          <t>Binardat 10G08-0800GSM network switch firmware version V300SP10260209 and prior do not implement rate limiting or account lockout on failed login attempts, enabling brute-force attacks against user credentials.</t>
        </is>
      </c>
      <c r="D488" t="n">
        <v>6.5</v>
      </c>
      <c r="E488" t="inlineStr">
        <is>
          <t>MEDIUM</t>
        </is>
      </c>
      <c r="F488" t="n">
        <v>2</v>
      </c>
      <c r="G488" t="n">
        <v>2</v>
      </c>
      <c r="H488" t="inlineStr">
        <is>
          <t>MEDIUM</t>
        </is>
      </c>
      <c r="I488" t="n">
        <v>10.5</v>
      </c>
      <c r="J488" t="inlineStr">
        <is>
          <t>NO</t>
        </is>
      </c>
      <c r="K488" t="inlineStr">
        <is>
          <t>2026-02-27 20:47</t>
        </is>
      </c>
      <c r="L488" t="inlineStr">
        <is>
          <t>CHECK_VENDOR</t>
        </is>
      </c>
      <c r="M488" t="inlineStr">
        <is>
          <t>binardat 10g08-0800gsm - | binardat 10g08-0800gsm_firmware *</t>
        </is>
      </c>
      <c r="N488" t="inlineStr">
        <is>
          <t>P4</t>
        </is>
      </c>
      <c r="O488" t="inlineStr">
        <is>
          <t>CVE - IP enrichment n/a</t>
        </is>
      </c>
      <c r="P488" t="n">
        <v>0.0003</v>
      </c>
      <c r="Q488" t="n">
        <v>0.0842</v>
      </c>
      <c r="R488" t="inlineStr">
        <is>
          <t>T1190:Exploit Public-Facing Application | T1552:Unsecured Credentials</t>
        </is>
      </c>
      <c r="S488" t="n">
        <v>1</v>
      </c>
      <c r="T488" t="inlineStr">
        <is>
          <t>LOW (40%)</t>
        </is>
      </c>
      <c r="U488" t="inlineStr">
        <is>
          <t>UNLIKELY</t>
        </is>
      </c>
      <c r="V488" t="inlineStr">
        <is>
          <t>CHECK_VENDOR</t>
        </is>
      </c>
      <c r="W488" t="inlineStr">
        <is>
          <t>https://nvd.nist.gov/vuln/detail/CVE-2026-27521</t>
        </is>
      </c>
      <c r="X488" t="inlineStr">
        <is>
          <t>NONE</t>
        </is>
      </c>
      <c r="Y488" t="n">
        <v>0</v>
      </c>
      <c r="Z488" t="inlineStr"/>
      <c r="AA488" t="inlineStr">
        <is>
          <t>https://nvd.nist.gov/vuln/detail/CVE-2026-27521</t>
        </is>
      </c>
    </row>
    <row r="489">
      <c r="A489" t="inlineStr">
        <is>
          <t>CVE</t>
        </is>
      </c>
      <c r="B489" t="inlineStr">
        <is>
          <t>CVE-2024-48928</t>
        </is>
      </c>
      <c r="C489"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489" t="n">
        <v>7.5</v>
      </c>
      <c r="E489" t="inlineStr">
        <is>
          <t>HIGH</t>
        </is>
      </c>
      <c r="F489" t="n">
        <v>2</v>
      </c>
      <c r="G489" t="n">
        <v>3</v>
      </c>
      <c r="H489" t="inlineStr">
        <is>
          <t>HIGH</t>
        </is>
      </c>
      <c r="I489" t="n">
        <v>13.5</v>
      </c>
      <c r="J489" t="inlineStr">
        <is>
          <t>NO</t>
        </is>
      </c>
      <c r="K489" t="inlineStr">
        <is>
          <t>2026-02-27 20:47</t>
        </is>
      </c>
      <c r="L489" t="inlineStr">
        <is>
          <t>YES</t>
        </is>
      </c>
      <c r="M489" t="inlineStr">
        <is>
          <t>piwigo piwigo *</t>
        </is>
      </c>
      <c r="N489" t="inlineStr">
        <is>
          <t>P1</t>
        </is>
      </c>
      <c r="O489" t="inlineStr">
        <is>
          <t>CVE - IP enrichment n/a</t>
        </is>
      </c>
      <c r="P489" t="n">
        <v>0.0003</v>
      </c>
      <c r="Q489" t="n">
        <v>0.0921</v>
      </c>
      <c r="R489" t="inlineStr">
        <is>
          <t>T1600:Weaken Encryption | T1190:Exploit Public-Facing Application | T1110:Brute Force</t>
        </is>
      </c>
      <c r="S489" t="n">
        <v>2</v>
      </c>
      <c r="T489" t="inlineStr">
        <is>
          <t>HIGH (72%)</t>
        </is>
      </c>
      <c r="U489" t="inlineStr">
        <is>
          <t>HIGH</t>
        </is>
      </c>
      <c r="V489" t="inlineStr">
        <is>
          <t>PATCH_AVAILABLE</t>
        </is>
      </c>
      <c r="W489" t="inlineStr">
        <is>
          <t>https://nvd.nist.gov/vuln/detail/CVE-2024-48928</t>
        </is>
      </c>
      <c r="X489" t="inlineStr">
        <is>
          <t>http://www.zerodayinitiative.com/advisories/ZDI-26-123/</t>
        </is>
      </c>
      <c r="Y489" t="n">
        <v>0</v>
      </c>
      <c r="Z489" t="inlineStr"/>
      <c r="AA489" t="inlineStr">
        <is>
          <t>https://nvd.nist.gov/vuln/detail/CVE-2024-48928</t>
        </is>
      </c>
    </row>
    <row r="490">
      <c r="A490" t="inlineStr">
        <is>
          <t>CVE</t>
        </is>
      </c>
      <c r="B490" t="inlineStr">
        <is>
          <t>CVE-2025-13776</t>
        </is>
      </c>
      <c r="C490"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490" t="n">
        <v>7.1</v>
      </c>
      <c r="E490" t="inlineStr">
        <is>
          <t>HIGH</t>
        </is>
      </c>
      <c r="F490" t="n">
        <v>2</v>
      </c>
      <c r="G490" t="n">
        <v>3</v>
      </c>
      <c r="H490" t="inlineStr">
        <is>
          <t>HIGH</t>
        </is>
      </c>
      <c r="I490" t="n">
        <v>13.1</v>
      </c>
      <c r="J490" t="inlineStr">
        <is>
          <t>NO</t>
        </is>
      </c>
      <c r="K490" t="inlineStr">
        <is>
          <t>2026-02-27 20:47</t>
        </is>
      </c>
      <c r="L490" t="inlineStr">
        <is>
          <t>CHECK_VENDOR</t>
        </is>
      </c>
      <c r="M490" t="inlineStr">
        <is>
          <t>finka finka-faktura * | finka finka-fk * | finka finka-kpr *</t>
        </is>
      </c>
      <c r="N490" t="inlineStr">
        <is>
          <t>P3</t>
        </is>
      </c>
      <c r="O490" t="inlineStr">
        <is>
          <t>CVE - IP enrichment n/a</t>
        </is>
      </c>
      <c r="P490" t="n">
        <v>0.0001</v>
      </c>
      <c r="Q490" t="n">
        <v>0.0258</v>
      </c>
      <c r="R490" t="inlineStr">
        <is>
          <t>T1552:Unsecured Credentials</t>
        </is>
      </c>
      <c r="S490" t="n">
        <v>1</v>
      </c>
      <c r="T490" t="inlineStr">
        <is>
          <t>LOW (40%)</t>
        </is>
      </c>
      <c r="U490" t="inlineStr">
        <is>
          <t>UNLIKELY</t>
        </is>
      </c>
      <c r="V490" t="inlineStr">
        <is>
          <t>CHECK_VENDOR</t>
        </is>
      </c>
      <c r="W490" t="inlineStr">
        <is>
          <t>https://nvd.nist.gov/vuln/detail/CVE-2025-13776</t>
        </is>
      </c>
      <c r="X490" t="inlineStr">
        <is>
          <t>NONE</t>
        </is>
      </c>
      <c r="Y490" t="n">
        <v>0</v>
      </c>
      <c r="Z490" t="inlineStr"/>
      <c r="AA490" t="inlineStr">
        <is>
          <t>https://nvd.nist.gov/vuln/detail/CVE-2025-13776</t>
        </is>
      </c>
    </row>
    <row r="491">
      <c r="A491" t="inlineStr">
        <is>
          <t>CVE</t>
        </is>
      </c>
      <c r="B491" t="inlineStr">
        <is>
          <t>CVE-2026-27571</t>
        </is>
      </c>
      <c r="C491"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491" t="n">
        <v>5.9</v>
      </c>
      <c r="E491" t="inlineStr">
        <is>
          <t>MEDIUM</t>
        </is>
      </c>
      <c r="F491" t="n">
        <v>2</v>
      </c>
      <c r="G491" t="n">
        <v>2</v>
      </c>
      <c r="H491" t="inlineStr">
        <is>
          <t>MEDIUM</t>
        </is>
      </c>
      <c r="I491" t="n">
        <v>9.9</v>
      </c>
      <c r="J491" t="inlineStr">
        <is>
          <t>NO</t>
        </is>
      </c>
      <c r="K491" t="inlineStr">
        <is>
          <t>2026-02-27 20:47</t>
        </is>
      </c>
      <c r="L491" t="inlineStr">
        <is>
          <t>YES</t>
        </is>
      </c>
      <c r="M491" t="inlineStr">
        <is>
          <t>linuxfoundation nats-server *</t>
        </is>
      </c>
      <c r="N491" t="inlineStr">
        <is>
          <t>P4</t>
        </is>
      </c>
      <c r="O491" t="inlineStr">
        <is>
          <t>CVE - IP enrichment n/a</t>
        </is>
      </c>
      <c r="P491" t="n">
        <v>0.0005999999999999999</v>
      </c>
      <c r="Q491" t="n">
        <v>0.1818</v>
      </c>
      <c r="R491" t="inlineStr">
        <is>
          <t>T1552:Unsecured Credentials</t>
        </is>
      </c>
      <c r="S491" t="n">
        <v>1</v>
      </c>
      <c r="T491" t="inlineStr">
        <is>
          <t>LOW (40%)</t>
        </is>
      </c>
      <c r="U491" t="inlineStr">
        <is>
          <t>UNLIKELY</t>
        </is>
      </c>
      <c r="V491" t="inlineStr">
        <is>
          <t>PATCH_AVAILABLE</t>
        </is>
      </c>
      <c r="W491" t="inlineStr">
        <is>
          <t>https://nvd.nist.gov/vuln/detail/CVE-2026-27571</t>
        </is>
      </c>
      <c r="X491" t="inlineStr">
        <is>
          <t>NONE</t>
        </is>
      </c>
      <c r="Y491" t="n">
        <v>0</v>
      </c>
      <c r="Z491" t="inlineStr"/>
      <c r="AA491" t="inlineStr">
        <is>
          <t>https://nvd.nist.gov/vuln/detail/CVE-2026-27571</t>
        </is>
      </c>
    </row>
    <row r="492">
      <c r="A492" t="inlineStr">
        <is>
          <t>CVE</t>
        </is>
      </c>
      <c r="B492" t="inlineStr">
        <is>
          <t>CVE-2026-27585</t>
        </is>
      </c>
      <c r="C492"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492" t="n">
        <v>6.5</v>
      </c>
      <c r="E492" t="inlineStr">
        <is>
          <t>MEDIUM</t>
        </is>
      </c>
      <c r="F492" t="n">
        <v>2</v>
      </c>
      <c r="G492" t="n">
        <v>2</v>
      </c>
      <c r="H492" t="inlineStr">
        <is>
          <t>MEDIUM</t>
        </is>
      </c>
      <c r="I492" t="n">
        <v>10.5</v>
      </c>
      <c r="J492" t="inlineStr">
        <is>
          <t>NO</t>
        </is>
      </c>
      <c r="K492" t="inlineStr">
        <is>
          <t>2026-02-27 20:47</t>
        </is>
      </c>
      <c r="L492" t="inlineStr">
        <is>
          <t>YES</t>
        </is>
      </c>
      <c r="M492" t="inlineStr">
        <is>
          <t>caddyserver caddy *</t>
        </is>
      </c>
      <c r="N492" t="inlineStr">
        <is>
          <t>P4</t>
        </is>
      </c>
      <c r="O492" t="inlineStr">
        <is>
          <t>CVE - IP enrichment n/a</t>
        </is>
      </c>
      <c r="P492" t="n">
        <v>0.0005999999999999999</v>
      </c>
      <c r="Q492" t="n">
        <v>0.187</v>
      </c>
      <c r="R492" t="inlineStr">
        <is>
          <t>T1190:Exploit Public-Facing Application</t>
        </is>
      </c>
      <c r="S492" t="n">
        <v>1</v>
      </c>
      <c r="T492" t="inlineStr">
        <is>
          <t>LOW (40%)</t>
        </is>
      </c>
      <c r="U492" t="inlineStr">
        <is>
          <t>UNLIKELY</t>
        </is>
      </c>
      <c r="V492" t="inlineStr">
        <is>
          <t>PATCH_AVAILABLE</t>
        </is>
      </c>
      <c r="W492" t="inlineStr">
        <is>
          <t>https://nvd.nist.gov/vuln/detail/CVE-2026-27585</t>
        </is>
      </c>
      <c r="X492" t="inlineStr">
        <is>
          <t>NONE</t>
        </is>
      </c>
      <c r="Y492" t="n">
        <v>0</v>
      </c>
      <c r="Z492" t="inlineStr"/>
      <c r="AA492" t="inlineStr">
        <is>
          <t>https://nvd.nist.gov/vuln/detail/CVE-2026-27585</t>
        </is>
      </c>
    </row>
    <row r="493">
      <c r="A493" t="inlineStr">
        <is>
          <t>CVE</t>
        </is>
      </c>
      <c r="B493" t="inlineStr">
        <is>
          <t>CVE-2026-27586</t>
        </is>
      </c>
      <c r="C493"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493" t="n">
        <v>9.1</v>
      </c>
      <c r="E493" t="inlineStr">
        <is>
          <t>CRITICAL</t>
        </is>
      </c>
      <c r="F493" t="n">
        <v>2</v>
      </c>
      <c r="G493" t="n">
        <v>3</v>
      </c>
      <c r="H493" t="inlineStr">
        <is>
          <t>HIGH</t>
        </is>
      </c>
      <c r="I493" t="n">
        <v>15.1</v>
      </c>
      <c r="J493" t="inlineStr">
        <is>
          <t>NO</t>
        </is>
      </c>
      <c r="K493" t="inlineStr">
        <is>
          <t>2026-02-27 20:47</t>
        </is>
      </c>
      <c r="L493" t="inlineStr">
        <is>
          <t>YES</t>
        </is>
      </c>
      <c r="M493" t="inlineStr">
        <is>
          <t>caddyserver caddy *</t>
        </is>
      </c>
      <c r="N493" t="inlineStr">
        <is>
          <t>P3</t>
        </is>
      </c>
      <c r="O493" t="inlineStr">
        <is>
          <t>CVE - IP enrichment n/a</t>
        </is>
      </c>
      <c r="P493" t="n">
        <v>0.0008</v>
      </c>
      <c r="Q493" t="n">
        <v>0.2297</v>
      </c>
      <c r="R493" t="inlineStr">
        <is>
          <t>T1190:Exploit Public-Facing Application</t>
        </is>
      </c>
      <c r="S493" t="n">
        <v>1</v>
      </c>
      <c r="T493" t="inlineStr">
        <is>
          <t>LOW (40%)</t>
        </is>
      </c>
      <c r="U493" t="inlineStr">
        <is>
          <t>UNLIKELY</t>
        </is>
      </c>
      <c r="V493" t="inlineStr">
        <is>
          <t>PATCH_AVAILABLE</t>
        </is>
      </c>
      <c r="W493" t="inlineStr">
        <is>
          <t>https://nvd.nist.gov/vuln/detail/CVE-2026-27586</t>
        </is>
      </c>
      <c r="X493" t="inlineStr">
        <is>
          <t>NONE</t>
        </is>
      </c>
      <c r="Y493" t="n">
        <v>0</v>
      </c>
      <c r="Z493" t="inlineStr"/>
      <c r="AA493" t="inlineStr">
        <is>
          <t>https://nvd.nist.gov/vuln/detail/CVE-2026-27586</t>
        </is>
      </c>
    </row>
    <row r="494">
      <c r="A494" t="inlineStr">
        <is>
          <t>CVE</t>
        </is>
      </c>
      <c r="B494" t="inlineStr">
        <is>
          <t>CVE-2026-27587</t>
        </is>
      </c>
      <c r="C494"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494" t="n">
        <v>9.1</v>
      </c>
      <c r="E494" t="inlineStr">
        <is>
          <t>CRITICAL</t>
        </is>
      </c>
      <c r="F494" t="n">
        <v>2</v>
      </c>
      <c r="G494" t="n">
        <v>3</v>
      </c>
      <c r="H494" t="inlineStr">
        <is>
          <t>HIGH</t>
        </is>
      </c>
      <c r="I494" t="n">
        <v>15.1</v>
      </c>
      <c r="J494" t="inlineStr">
        <is>
          <t>NO</t>
        </is>
      </c>
      <c r="K494" t="inlineStr">
        <is>
          <t>2026-02-27 20:47</t>
        </is>
      </c>
      <c r="L494" t="inlineStr">
        <is>
          <t>YES</t>
        </is>
      </c>
      <c r="M494" t="inlineStr">
        <is>
          <t>caddyserver caddy *</t>
        </is>
      </c>
      <c r="N494" t="inlineStr">
        <is>
          <t>P3</t>
        </is>
      </c>
      <c r="O494" t="inlineStr">
        <is>
          <t>CVE - IP enrichment n/a</t>
        </is>
      </c>
      <c r="P494" t="n">
        <v>0.0003</v>
      </c>
      <c r="Q494" t="n">
        <v>0.0859</v>
      </c>
      <c r="R494" t="inlineStr">
        <is>
          <t>T1190:Exploit Public-Facing Application</t>
        </is>
      </c>
      <c r="S494" t="n">
        <v>1</v>
      </c>
      <c r="T494" t="inlineStr">
        <is>
          <t>LOW (40%)</t>
        </is>
      </c>
      <c r="U494" t="inlineStr">
        <is>
          <t>UNLIKELY</t>
        </is>
      </c>
      <c r="V494" t="inlineStr">
        <is>
          <t>PATCH_AVAILABLE</t>
        </is>
      </c>
      <c r="W494" t="inlineStr">
        <is>
          <t>https://nvd.nist.gov/vuln/detail/CVE-2026-27587</t>
        </is>
      </c>
      <c r="X494" t="inlineStr">
        <is>
          <t>NONE</t>
        </is>
      </c>
      <c r="Y494" t="n">
        <v>0</v>
      </c>
      <c r="Z494" t="inlineStr"/>
      <c r="AA494" t="inlineStr">
        <is>
          <t>https://nvd.nist.gov/vuln/detail/CVE-2026-27587</t>
        </is>
      </c>
    </row>
    <row r="495">
      <c r="A495" t="inlineStr">
        <is>
          <t>CVE</t>
        </is>
      </c>
      <c r="B495" t="inlineStr">
        <is>
          <t>CVE-2026-27588</t>
        </is>
      </c>
      <c r="C495"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495" t="n">
        <v>9.1</v>
      </c>
      <c r="E495" t="inlineStr">
        <is>
          <t>CRITICAL</t>
        </is>
      </c>
      <c r="F495" t="n">
        <v>2</v>
      </c>
      <c r="G495" t="n">
        <v>3</v>
      </c>
      <c r="H495" t="inlineStr">
        <is>
          <t>HIGH</t>
        </is>
      </c>
      <c r="I495" t="n">
        <v>15.1</v>
      </c>
      <c r="J495" t="inlineStr">
        <is>
          <t>NO</t>
        </is>
      </c>
      <c r="K495" t="inlineStr">
        <is>
          <t>2026-02-27 20:47</t>
        </is>
      </c>
      <c r="L495" t="inlineStr">
        <is>
          <t>YES</t>
        </is>
      </c>
      <c r="M495" t="inlineStr">
        <is>
          <t>caddyserver caddy *</t>
        </is>
      </c>
      <c r="N495" t="inlineStr">
        <is>
          <t>P3</t>
        </is>
      </c>
      <c r="O495" t="inlineStr">
        <is>
          <t>CVE - IP enrichment n/a</t>
        </is>
      </c>
      <c r="P495" t="n">
        <v>0.0003</v>
      </c>
      <c r="Q495" t="n">
        <v>0.0859</v>
      </c>
      <c r="R495" t="inlineStr">
        <is>
          <t>T1190:Exploit Public-Facing Application</t>
        </is>
      </c>
      <c r="S495" t="n">
        <v>1</v>
      </c>
      <c r="T495" t="inlineStr">
        <is>
          <t>LOW (40%)</t>
        </is>
      </c>
      <c r="U495" t="inlineStr">
        <is>
          <t>UNLIKELY</t>
        </is>
      </c>
      <c r="V495" t="inlineStr">
        <is>
          <t>PATCH_AVAILABLE</t>
        </is>
      </c>
      <c r="W495" t="inlineStr">
        <is>
          <t>https://nvd.nist.gov/vuln/detail/CVE-2026-27588</t>
        </is>
      </c>
      <c r="X495" t="inlineStr">
        <is>
          <t>NONE</t>
        </is>
      </c>
      <c r="Y495" t="n">
        <v>0</v>
      </c>
      <c r="Z495" t="inlineStr"/>
      <c r="AA495" t="inlineStr">
        <is>
          <t>https://nvd.nist.gov/vuln/detail/CVE-2026-27588</t>
        </is>
      </c>
    </row>
    <row r="496">
      <c r="A496" t="inlineStr">
        <is>
          <t>CVE</t>
        </is>
      </c>
      <c r="B496" t="inlineStr">
        <is>
          <t>CVE-2026-27589</t>
        </is>
      </c>
      <c r="C496"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496" t="n">
        <v>6.5</v>
      </c>
      <c r="E496" t="inlineStr">
        <is>
          <t>MEDIUM</t>
        </is>
      </c>
      <c r="F496" t="n">
        <v>2</v>
      </c>
      <c r="G496" t="n">
        <v>2</v>
      </c>
      <c r="H496" t="inlineStr">
        <is>
          <t>MEDIUM</t>
        </is>
      </c>
      <c r="I496" t="n">
        <v>10.5</v>
      </c>
      <c r="J496" t="inlineStr">
        <is>
          <t>NO</t>
        </is>
      </c>
      <c r="K496" t="inlineStr">
        <is>
          <t>2026-02-27 20:47</t>
        </is>
      </c>
      <c r="L496" t="inlineStr">
        <is>
          <t>YES</t>
        </is>
      </c>
      <c r="M496" t="inlineStr">
        <is>
          <t>caddyserver caddy *</t>
        </is>
      </c>
      <c r="N496" t="inlineStr">
        <is>
          <t>P4</t>
        </is>
      </c>
      <c r="O496" t="inlineStr">
        <is>
          <t>CVE - IP enrichment n/a</t>
        </is>
      </c>
      <c r="P496" t="n">
        <v>0.0002</v>
      </c>
      <c r="Q496" t="n">
        <v>0.0402</v>
      </c>
      <c r="R496" t="inlineStr">
        <is>
          <t>T1185:Browser Session Hijacking | T1190:Exploit Public-Facing Application</t>
        </is>
      </c>
      <c r="S496" t="n">
        <v>1</v>
      </c>
      <c r="T496" t="inlineStr">
        <is>
          <t>LOW (40%)</t>
        </is>
      </c>
      <c r="U496" t="inlineStr">
        <is>
          <t>UNLIKELY</t>
        </is>
      </c>
      <c r="V496" t="inlineStr">
        <is>
          <t>PATCH_AVAILABLE</t>
        </is>
      </c>
      <c r="W496" t="inlineStr">
        <is>
          <t>https://nvd.nist.gov/vuln/detail/CVE-2026-27589</t>
        </is>
      </c>
      <c r="X496" t="inlineStr">
        <is>
          <t>NONE</t>
        </is>
      </c>
      <c r="Y496" t="n">
        <v>0</v>
      </c>
      <c r="Z496" t="inlineStr"/>
      <c r="AA496" t="inlineStr">
        <is>
          <t>https://nvd.nist.gov/vuln/detail/CVE-2026-27589</t>
        </is>
      </c>
    </row>
    <row r="497">
      <c r="A497" t="inlineStr">
        <is>
          <t>CVE</t>
        </is>
      </c>
      <c r="B497" t="inlineStr">
        <is>
          <t>CVE-2026-27590</t>
        </is>
      </c>
      <c r="C497"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497" t="n">
        <v>9.800000000000001</v>
      </c>
      <c r="E497" t="inlineStr">
        <is>
          <t>CRITICAL</t>
        </is>
      </c>
      <c r="F497" t="n">
        <v>2</v>
      </c>
      <c r="G497" t="n">
        <v>3</v>
      </c>
      <c r="H497" t="inlineStr">
        <is>
          <t>HIGH</t>
        </is>
      </c>
      <c r="I497" t="n">
        <v>15.8</v>
      </c>
      <c r="J497" t="inlineStr">
        <is>
          <t>NO</t>
        </is>
      </c>
      <c r="K497" t="inlineStr">
        <is>
          <t>2026-02-27 20:47</t>
        </is>
      </c>
      <c r="L497" t="inlineStr">
        <is>
          <t>YES</t>
        </is>
      </c>
      <c r="M497" t="inlineStr">
        <is>
          <t>caddyserver caddy *</t>
        </is>
      </c>
      <c r="N497" t="inlineStr">
        <is>
          <t>P3</t>
        </is>
      </c>
      <c r="O497" t="inlineStr">
        <is>
          <t>CVE - IP enrichment n/a</t>
        </is>
      </c>
      <c r="P497" t="n">
        <v>0.0012</v>
      </c>
      <c r="Q497" t="n">
        <v>0.3108</v>
      </c>
      <c r="R497" t="inlineStr">
        <is>
          <t>T1190:Exploit Public-Facing Application</t>
        </is>
      </c>
      <c r="S497" t="n">
        <v>1</v>
      </c>
      <c r="T497" t="inlineStr">
        <is>
          <t>LOW (40%)</t>
        </is>
      </c>
      <c r="U497" t="inlineStr">
        <is>
          <t>UNLIKELY</t>
        </is>
      </c>
      <c r="V497" t="inlineStr">
        <is>
          <t>PATCH_AVAILABLE</t>
        </is>
      </c>
      <c r="W497" t="inlineStr">
        <is>
          <t>https://nvd.nist.gov/vuln/detail/CVE-2026-27590</t>
        </is>
      </c>
      <c r="X497" t="inlineStr">
        <is>
          <t>NONE</t>
        </is>
      </c>
      <c r="Y497" t="n">
        <v>0</v>
      </c>
      <c r="Z497" t="inlineStr"/>
      <c r="AA497" t="inlineStr">
        <is>
          <t>https://nvd.nist.gov/vuln/detail/CVE-2026-27590</t>
        </is>
      </c>
    </row>
    <row r="498">
      <c r="A498" t="inlineStr">
        <is>
          <t>CVE</t>
        </is>
      </c>
      <c r="B498" t="inlineStr">
        <is>
          <t>CVE-2025-14963</t>
        </is>
      </c>
      <c r="C498"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498" t="n">
        <v>7.8</v>
      </c>
      <c r="E498" t="inlineStr">
        <is>
          <t>HIGH</t>
        </is>
      </c>
      <c r="F498" t="n">
        <v>2</v>
      </c>
      <c r="G498" t="n">
        <v>3</v>
      </c>
      <c r="H498" t="inlineStr">
        <is>
          <t>HIGH</t>
        </is>
      </c>
      <c r="I498" t="n">
        <v>13.8</v>
      </c>
      <c r="J498" t="inlineStr">
        <is>
          <t>NO</t>
        </is>
      </c>
      <c r="K498" t="inlineStr">
        <is>
          <t>2026-02-27 20:47</t>
        </is>
      </c>
      <c r="L498" t="inlineStr">
        <is>
          <t>CHECK_VENDOR</t>
        </is>
      </c>
      <c r="M498" t="inlineStr">
        <is>
          <t>trellix endpoint_security 36.30.0-17 | trellix endpoint_security 35.31.0-37 | trellix endpoint_security *</t>
        </is>
      </c>
      <c r="N498" t="inlineStr">
        <is>
          <t>P3</t>
        </is>
      </c>
      <c r="O498" t="inlineStr">
        <is>
          <t>CVE - IP enrichment n/a</t>
        </is>
      </c>
      <c r="P498" t="n">
        <v>0.0002</v>
      </c>
      <c r="Q498" t="n">
        <v>0.0405</v>
      </c>
      <c r="R498" t="inlineStr">
        <is>
          <t>T1190:Exploit Public-Facing Application</t>
        </is>
      </c>
      <c r="S498" t="n">
        <v>1</v>
      </c>
      <c r="T498" t="inlineStr">
        <is>
          <t>LOW (40%)</t>
        </is>
      </c>
      <c r="U498" t="inlineStr">
        <is>
          <t>UNLIKELY</t>
        </is>
      </c>
      <c r="V498" t="inlineStr">
        <is>
          <t>CHECK_VENDOR</t>
        </is>
      </c>
      <c r="W498" t="inlineStr">
        <is>
          <t>https://nvd.nist.gov/vuln/detail/CVE-2025-14963</t>
        </is>
      </c>
      <c r="X498" t="inlineStr">
        <is>
          <t>NONE</t>
        </is>
      </c>
      <c r="Y498" t="n">
        <v>0</v>
      </c>
      <c r="Z498" t="inlineStr"/>
      <c r="AA498" t="inlineStr">
        <is>
          <t>https://nvd.nist.gov/vuln/detail/CVE-2025-14963</t>
        </is>
      </c>
    </row>
    <row r="499">
      <c r="A499" t="inlineStr">
        <is>
          <t>CVE</t>
        </is>
      </c>
      <c r="B499" t="inlineStr">
        <is>
          <t>CVE-2025-62512</t>
        </is>
      </c>
      <c r="C499"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499" t="n">
        <v>5.3</v>
      </c>
      <c r="E499" t="inlineStr">
        <is>
          <t>MEDIUM</t>
        </is>
      </c>
      <c r="F499" t="n">
        <v>2</v>
      </c>
      <c r="G499" t="n">
        <v>2</v>
      </c>
      <c r="H499" t="inlineStr">
        <is>
          <t>MEDIUM</t>
        </is>
      </c>
      <c r="I499" t="n">
        <v>9.300000000000001</v>
      </c>
      <c r="J499" t="inlineStr">
        <is>
          <t>NO</t>
        </is>
      </c>
      <c r="K499" t="inlineStr">
        <is>
          <t>2026-02-27 20:47</t>
        </is>
      </c>
      <c r="L499" t="inlineStr">
        <is>
          <t>YES</t>
        </is>
      </c>
      <c r="M499" t="inlineStr">
        <is>
          <t>piwigo piwigo *</t>
        </is>
      </c>
      <c r="N499" t="inlineStr">
        <is>
          <t>P4</t>
        </is>
      </c>
      <c r="O499" t="inlineStr">
        <is>
          <t>CVE - IP enrichment n/a</t>
        </is>
      </c>
      <c r="P499" t="n">
        <v>0.0005</v>
      </c>
      <c r="Q499" t="n">
        <v>0.1473</v>
      </c>
      <c r="R499" t="inlineStr">
        <is>
          <t>T1190:Exploit Public-Facing Application</t>
        </is>
      </c>
      <c r="S499" t="n">
        <v>1</v>
      </c>
      <c r="T499" t="inlineStr">
        <is>
          <t>LOW (40%)</t>
        </is>
      </c>
      <c r="U499" t="inlineStr">
        <is>
          <t>UNLIKELY</t>
        </is>
      </c>
      <c r="V499" t="inlineStr">
        <is>
          <t>PATCH_AVAILABLE</t>
        </is>
      </c>
      <c r="W499" t="inlineStr">
        <is>
          <t>https://nvd.nist.gov/vuln/detail/CVE-2025-62512</t>
        </is>
      </c>
      <c r="X499" t="inlineStr">
        <is>
          <t>NONE</t>
        </is>
      </c>
      <c r="Y499" t="n">
        <v>0</v>
      </c>
      <c r="Z499" t="inlineStr"/>
      <c r="AA499" t="inlineStr">
        <is>
          <t>https://nvd.nist.gov/vuln/detail/CVE-2025-62512</t>
        </is>
      </c>
    </row>
    <row r="500">
      <c r="A500" t="inlineStr">
        <is>
          <t>CVE</t>
        </is>
      </c>
      <c r="B500" t="inlineStr">
        <is>
          <t>CVE-2026-25603</t>
        </is>
      </c>
      <c r="C500"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500" t="n">
        <v>6.6</v>
      </c>
      <c r="E500" t="inlineStr">
        <is>
          <t>MEDIUM</t>
        </is>
      </c>
      <c r="F500" t="n">
        <v>2</v>
      </c>
      <c r="G500" t="n">
        <v>2</v>
      </c>
      <c r="H500" t="inlineStr">
        <is>
          <t>MEDIUM</t>
        </is>
      </c>
      <c r="I500" t="n">
        <v>10.6</v>
      </c>
      <c r="J500" t="inlineStr">
        <is>
          <t>NO</t>
        </is>
      </c>
      <c r="K500" t="inlineStr">
        <is>
          <t>2026-02-27 20:47</t>
        </is>
      </c>
      <c r="L500" t="inlineStr">
        <is>
          <t>CHECK_VENDOR</t>
        </is>
      </c>
      <c r="M500" t="inlineStr">
        <is>
          <t>linksys mx4200 - | linksys mr9600 - | linksys mr9600_firmware 1.0.4.205530</t>
        </is>
      </c>
      <c r="N500" t="inlineStr">
        <is>
          <t>P4</t>
        </is>
      </c>
      <c r="O500" t="inlineStr">
        <is>
          <t>CVE - IP enrichment n/a</t>
        </is>
      </c>
      <c r="P500" t="n">
        <v>0.0002</v>
      </c>
      <c r="Q500" t="n">
        <v>0.0454</v>
      </c>
      <c r="R500" t="inlineStr">
        <is>
          <t>T1083:File and Directory Discovery</t>
        </is>
      </c>
      <c r="S500" t="n">
        <v>1</v>
      </c>
      <c r="T500" t="inlineStr">
        <is>
          <t>LOW (40%)</t>
        </is>
      </c>
      <c r="U500" t="inlineStr">
        <is>
          <t>UNLIKELY</t>
        </is>
      </c>
      <c r="V500" t="inlineStr">
        <is>
          <t>CHECK_VENDOR</t>
        </is>
      </c>
      <c r="W500" t="inlineStr">
        <is>
          <t>https://nvd.nist.gov/vuln/detail/CVE-2026-25603</t>
        </is>
      </c>
      <c r="X500" t="inlineStr">
        <is>
          <t>NONE</t>
        </is>
      </c>
      <c r="Y500" t="n">
        <v>0</v>
      </c>
      <c r="Z500" t="inlineStr"/>
      <c r="AA500" t="inlineStr">
        <is>
          <t>https://nvd.nist.gov/vuln/detail/CVE-2026-25603</t>
        </is>
      </c>
    </row>
    <row r="501">
      <c r="A501" t="inlineStr">
        <is>
          <t>CVE</t>
        </is>
      </c>
      <c r="B501" t="inlineStr">
        <is>
          <t>CVE-2026-26222</t>
        </is>
      </c>
      <c r="C501"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501" t="n">
        <v>8.5</v>
      </c>
      <c r="E501" t="inlineStr">
        <is>
          <t>HIGH</t>
        </is>
      </c>
      <c r="F501" t="n">
        <v>2</v>
      </c>
      <c r="G501" t="n">
        <v>3</v>
      </c>
      <c r="H501" t="inlineStr">
        <is>
          <t>HIGH</t>
        </is>
      </c>
      <c r="I501" t="n">
        <v>14.5</v>
      </c>
      <c r="J501" t="inlineStr">
        <is>
          <t>NO</t>
        </is>
      </c>
      <c r="K501" t="inlineStr">
        <is>
          <t>2026-02-27 20:47</t>
        </is>
      </c>
      <c r="L501" t="inlineStr">
        <is>
          <t>CHECK_VENDOR</t>
        </is>
      </c>
      <c r="M501" t="inlineStr">
        <is>
          <t>See CVE details</t>
        </is>
      </c>
      <c r="N501" t="inlineStr">
        <is>
          <t>P3</t>
        </is>
      </c>
      <c r="O501" t="inlineStr">
        <is>
          <t>CVE - IP enrichment n/a</t>
        </is>
      </c>
      <c r="P501" t="n">
        <v>0.0064</v>
      </c>
      <c r="Q501" t="n">
        <v>0.7028</v>
      </c>
      <c r="R501" t="inlineStr">
        <is>
          <t>T1059:Command and Scripting Interpreter | T1190:Exploit Public-Facing Application | T1210:Exploitation of Remote Services</t>
        </is>
      </c>
      <c r="S501" t="n">
        <v>1</v>
      </c>
      <c r="T501" t="inlineStr">
        <is>
          <t>LOW (40%)</t>
        </is>
      </c>
      <c r="U501" t="inlineStr">
        <is>
          <t>UNLIKELY</t>
        </is>
      </c>
      <c r="V501" t="inlineStr">
        <is>
          <t>CHECK_VENDOR</t>
        </is>
      </c>
      <c r="W501" t="inlineStr">
        <is>
          <t>https://nvd.nist.gov/vuln/detail/CVE-2026-26222</t>
        </is>
      </c>
      <c r="X501" t="inlineStr">
        <is>
          <t>NONE</t>
        </is>
      </c>
      <c r="Y501" t="n">
        <v>0</v>
      </c>
      <c r="Z501" t="inlineStr"/>
      <c r="AA501" t="inlineStr">
        <is>
          <t>https://nvd.nist.gov/vuln/detail/CVE-2026-26222</t>
        </is>
      </c>
    </row>
    <row r="502">
      <c r="A502" t="inlineStr">
        <is>
          <t>CVE</t>
        </is>
      </c>
      <c r="B502" t="inlineStr">
        <is>
          <t>CVE-2026-27156</t>
        </is>
      </c>
      <c r="C502"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502" t="n">
        <v>6.1</v>
      </c>
      <c r="E502" t="inlineStr">
        <is>
          <t>MEDIUM</t>
        </is>
      </c>
      <c r="F502" t="n">
        <v>2</v>
      </c>
      <c r="G502" t="n">
        <v>2</v>
      </c>
      <c r="H502" t="inlineStr">
        <is>
          <t>MEDIUM</t>
        </is>
      </c>
      <c r="I502" t="n">
        <v>10.1</v>
      </c>
      <c r="J502" t="inlineStr">
        <is>
          <t>NO</t>
        </is>
      </c>
      <c r="K502" t="inlineStr">
        <is>
          <t>2026-02-27 20:47</t>
        </is>
      </c>
      <c r="L502" t="inlineStr">
        <is>
          <t>YES</t>
        </is>
      </c>
      <c r="M502" t="inlineStr">
        <is>
          <t>zauberzeug nicegui *</t>
        </is>
      </c>
      <c r="N502" t="inlineStr">
        <is>
          <t>P4</t>
        </is>
      </c>
      <c r="O502" t="inlineStr">
        <is>
          <t>CVE - IP enrichment n/a</t>
        </is>
      </c>
      <c r="P502" t="n">
        <v>0.0003</v>
      </c>
      <c r="Q502" t="n">
        <v>0.0989</v>
      </c>
      <c r="R502" t="inlineStr">
        <is>
          <t>T1189:Drive-by Compromise</t>
        </is>
      </c>
      <c r="S502" t="n">
        <v>1</v>
      </c>
      <c r="T502" t="inlineStr">
        <is>
          <t>LOW (40%)</t>
        </is>
      </c>
      <c r="U502" t="inlineStr">
        <is>
          <t>UNLIKELY</t>
        </is>
      </c>
      <c r="V502" t="inlineStr">
        <is>
          <t>PATCH_AVAILABLE</t>
        </is>
      </c>
      <c r="W502" t="inlineStr">
        <is>
          <t>https://nvd.nist.gov/vuln/detail/CVE-2026-27156</t>
        </is>
      </c>
      <c r="X502" t="inlineStr">
        <is>
          <t>NONE</t>
        </is>
      </c>
      <c r="Y502" t="n">
        <v>0</v>
      </c>
      <c r="Z502" t="inlineStr"/>
      <c r="AA502" t="inlineStr">
        <is>
          <t>https://nvd.nist.gov/vuln/detail/CVE-2026-27156</t>
        </is>
      </c>
    </row>
    <row r="503">
      <c r="A503" t="inlineStr">
        <is>
          <t>CVE</t>
        </is>
      </c>
      <c r="B503" t="inlineStr">
        <is>
          <t>CVE-2026-27468</t>
        </is>
      </c>
      <c r="C503"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503" t="n">
        <v>8.199999999999999</v>
      </c>
      <c r="E503" t="inlineStr">
        <is>
          <t>HIGH</t>
        </is>
      </c>
      <c r="F503" t="n">
        <v>2</v>
      </c>
      <c r="G503" t="n">
        <v>3</v>
      </c>
      <c r="H503" t="inlineStr">
        <is>
          <t>HIGH</t>
        </is>
      </c>
      <c r="I503" t="n">
        <v>14.2</v>
      </c>
      <c r="J503" t="inlineStr">
        <is>
          <t>NO</t>
        </is>
      </c>
      <c r="K503" t="inlineStr">
        <is>
          <t>2026-02-27 20:47</t>
        </is>
      </c>
      <c r="L503" t="inlineStr">
        <is>
          <t>YES</t>
        </is>
      </c>
      <c r="M503" t="inlineStr">
        <is>
          <t>joinmastodon mastodon *</t>
        </is>
      </c>
      <c r="N503" t="inlineStr">
        <is>
          <t>P3</t>
        </is>
      </c>
      <c r="O503" t="inlineStr">
        <is>
          <t>CVE - IP enrichment n/a</t>
        </is>
      </c>
      <c r="P503" t="n">
        <v>0.0004</v>
      </c>
      <c r="Q503" t="n">
        <v>0.1236</v>
      </c>
      <c r="R503" t="inlineStr">
        <is>
          <t>T1190:Exploit Public-Facing Application</t>
        </is>
      </c>
      <c r="S503" t="n">
        <v>1</v>
      </c>
      <c r="T503" t="inlineStr">
        <is>
          <t>LOW (40%)</t>
        </is>
      </c>
      <c r="U503" t="inlineStr">
        <is>
          <t>UNLIKELY</t>
        </is>
      </c>
      <c r="V503" t="inlineStr">
        <is>
          <t>PATCH_AVAILABLE</t>
        </is>
      </c>
      <c r="W503" t="inlineStr">
        <is>
          <t>https://nvd.nist.gov/vuln/detail/CVE-2026-27468</t>
        </is>
      </c>
      <c r="X503" t="inlineStr">
        <is>
          <t>NONE</t>
        </is>
      </c>
      <c r="Y503" t="n">
        <v>0</v>
      </c>
      <c r="Z503" t="inlineStr"/>
      <c r="AA503" t="inlineStr">
        <is>
          <t>https://nvd.nist.gov/vuln/detail/CVE-2026-27468</t>
        </is>
      </c>
    </row>
    <row r="504">
      <c r="A504" t="inlineStr">
        <is>
          <t>CVE</t>
        </is>
      </c>
      <c r="B504" t="inlineStr">
        <is>
          <t>CVE-2025-1787</t>
        </is>
      </c>
      <c r="C504"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504" t="n">
        <v>4.2</v>
      </c>
      <c r="E504" t="inlineStr">
        <is>
          <t>MEDIUM</t>
        </is>
      </c>
      <c r="F504" t="n">
        <v>2</v>
      </c>
      <c r="G504" t="n">
        <v>2</v>
      </c>
      <c r="H504" t="inlineStr">
        <is>
          <t>MEDIUM</t>
        </is>
      </c>
      <c r="I504" t="n">
        <v>8.199999999999999</v>
      </c>
      <c r="J504" t="inlineStr">
        <is>
          <t>NO</t>
        </is>
      </c>
      <c r="K504" t="inlineStr">
        <is>
          <t>2026-02-27 20:47</t>
        </is>
      </c>
      <c r="L504" t="inlineStr">
        <is>
          <t>YES</t>
        </is>
      </c>
      <c r="M504" t="inlineStr">
        <is>
          <t>genetec genetec_update_service *</t>
        </is>
      </c>
      <c r="N504" t="inlineStr">
        <is>
          <t>P4</t>
        </is>
      </c>
      <c r="O504" t="inlineStr">
        <is>
          <t>CVE - IP enrichment n/a</t>
        </is>
      </c>
      <c r="P504" t="n">
        <v>0.0001</v>
      </c>
      <c r="Q504" t="n">
        <v>0.0053</v>
      </c>
      <c r="R504" t="inlineStr">
        <is>
          <t>T1068:Exploitation for Privilege Escalation</t>
        </is>
      </c>
      <c r="S504" t="n">
        <v>1</v>
      </c>
      <c r="T504" t="inlineStr">
        <is>
          <t>LOW (40%)</t>
        </is>
      </c>
      <c r="U504" t="inlineStr">
        <is>
          <t>UNLIKELY</t>
        </is>
      </c>
      <c r="V504" t="inlineStr">
        <is>
          <t>PATCH_AVAILABLE</t>
        </is>
      </c>
      <c r="W504" t="inlineStr">
        <is>
          <t>https://nvd.nist.gov/vuln/detail/CVE-2025-1787</t>
        </is>
      </c>
      <c r="X504" t="inlineStr">
        <is>
          <t>NONE</t>
        </is>
      </c>
      <c r="Y504" t="n">
        <v>0</v>
      </c>
      <c r="Z504" t="inlineStr"/>
      <c r="AA504" t="inlineStr">
        <is>
          <t>https://nvd.nist.gov/vuln/detail/CVE-2025-1787</t>
        </is>
      </c>
    </row>
    <row r="505">
      <c r="A505" t="inlineStr">
        <is>
          <t>CVE</t>
        </is>
      </c>
      <c r="B505" t="inlineStr">
        <is>
          <t>CVE-2025-1789</t>
        </is>
      </c>
      <c r="C505" t="inlineStr">
        <is>
          <t>Local privilege escalation in Genetec Update Service. An authenticated, low-privileged, Windows user could exploit this vulnerability to gain elevated privileges on the affected system.</t>
        </is>
      </c>
      <c r="D505" t="n">
        <v>7.8</v>
      </c>
      <c r="E505" t="inlineStr">
        <is>
          <t>HIGH</t>
        </is>
      </c>
      <c r="F505" t="n">
        <v>2</v>
      </c>
      <c r="G505" t="n">
        <v>3</v>
      </c>
      <c r="H505" t="inlineStr">
        <is>
          <t>HIGH</t>
        </is>
      </c>
      <c r="I505" t="n">
        <v>13.8</v>
      </c>
      <c r="J505" t="inlineStr">
        <is>
          <t>NO</t>
        </is>
      </c>
      <c r="K505" t="inlineStr">
        <is>
          <t>2026-02-27 20:47</t>
        </is>
      </c>
      <c r="L505" t="inlineStr">
        <is>
          <t>YES</t>
        </is>
      </c>
      <c r="M505" t="inlineStr">
        <is>
          <t>genetec genetec_update_service *</t>
        </is>
      </c>
      <c r="N505" t="inlineStr">
        <is>
          <t>P3</t>
        </is>
      </c>
      <c r="O505" t="inlineStr">
        <is>
          <t>CVE - IP enrichment n/a</t>
        </is>
      </c>
      <c r="P505" t="n">
        <v>0.0001</v>
      </c>
      <c r="Q505" t="n">
        <v>0.0134</v>
      </c>
      <c r="R505" t="inlineStr">
        <is>
          <t>T1222:File and Directory Permissions Modification | T1068:Exploitation for Privilege Escalation</t>
        </is>
      </c>
      <c r="S505" t="n">
        <v>1</v>
      </c>
      <c r="T505" t="inlineStr">
        <is>
          <t>LOW (40%)</t>
        </is>
      </c>
      <c r="U505" t="inlineStr">
        <is>
          <t>UNLIKELY</t>
        </is>
      </c>
      <c r="V505" t="inlineStr">
        <is>
          <t>PATCH_AVAILABLE</t>
        </is>
      </c>
      <c r="W505" t="inlineStr">
        <is>
          <t>https://nvd.nist.gov/vuln/detail/CVE-2025-1789</t>
        </is>
      </c>
      <c r="X505" t="inlineStr">
        <is>
          <t>NONE</t>
        </is>
      </c>
      <c r="Y505" t="n">
        <v>0</v>
      </c>
      <c r="Z505" t="inlineStr"/>
      <c r="AA505" t="inlineStr">
        <is>
          <t>https://nvd.nist.gov/vuln/detail/CVE-2025-1789</t>
        </is>
      </c>
    </row>
    <row r="506">
      <c r="A506" t="inlineStr">
        <is>
          <t>CVE</t>
        </is>
      </c>
      <c r="B506" t="inlineStr">
        <is>
          <t>CVE-2025-33179</t>
        </is>
      </c>
      <c r="C506" t="inlineStr">
        <is>
          <t>NVIDIA Cumulus Linux and NVOS products contain a vulnerability in the NVUE interface, where a low-privileged user could run an unauthorized command. A successful exploit of this vulnerability might lead to escalation of privileges.</t>
        </is>
      </c>
      <c r="D506" t="n">
        <v>8</v>
      </c>
      <c r="E506" t="inlineStr">
        <is>
          <t>HIGH</t>
        </is>
      </c>
      <c r="F506" t="n">
        <v>2</v>
      </c>
      <c r="G506" t="n">
        <v>3</v>
      </c>
      <c r="H506" t="inlineStr">
        <is>
          <t>HIGH</t>
        </is>
      </c>
      <c r="I506" t="n">
        <v>14</v>
      </c>
      <c r="J506" t="inlineStr">
        <is>
          <t>NO</t>
        </is>
      </c>
      <c r="K506" t="inlineStr">
        <is>
          <t>2026-02-27 20:47</t>
        </is>
      </c>
      <c r="L506" t="inlineStr">
        <is>
          <t>CHECK_VENDOR</t>
        </is>
      </c>
      <c r="M506" t="inlineStr">
        <is>
          <t>See CVE details</t>
        </is>
      </c>
      <c r="N506" t="inlineStr">
        <is>
          <t>P3</t>
        </is>
      </c>
      <c r="O506" t="inlineStr">
        <is>
          <t>CVE - IP enrichment n/a</t>
        </is>
      </c>
      <c r="P506" t="n">
        <v>0.0002</v>
      </c>
      <c r="Q506" t="n">
        <v>0.0452</v>
      </c>
      <c r="R506" t="inlineStr">
        <is>
          <t>T1190:Exploit Public-Facing Application</t>
        </is>
      </c>
      <c r="S506" t="n">
        <v>1</v>
      </c>
      <c r="T506" t="inlineStr">
        <is>
          <t>LOW (40%)</t>
        </is>
      </c>
      <c r="U506" t="inlineStr">
        <is>
          <t>UNLIKELY</t>
        </is>
      </c>
      <c r="V506" t="inlineStr">
        <is>
          <t>CHECK_VENDOR</t>
        </is>
      </c>
      <c r="W506" t="inlineStr">
        <is>
          <t>https://nvd.nist.gov/vuln/detail/CVE-2025-33179</t>
        </is>
      </c>
      <c r="X506" t="inlineStr">
        <is>
          <t>NONE</t>
        </is>
      </c>
      <c r="Y506" t="n">
        <v>0</v>
      </c>
      <c r="Z506" t="inlineStr"/>
      <c r="AA506" t="inlineStr">
        <is>
          <t>https://nvd.nist.gov/vuln/detail/CVE-2025-33179</t>
        </is>
      </c>
    </row>
    <row r="507">
      <c r="A507" t="inlineStr">
        <is>
          <t>CVE</t>
        </is>
      </c>
      <c r="B507" t="inlineStr">
        <is>
          <t>CVE-2025-33180</t>
        </is>
      </c>
      <c r="C507" t="inlineStr">
        <is>
          <t>NVIDIA Cumulus Linux and NVOS products contain a vulnerability in the NVUE interface, where a low-privileged user could inject a command. A successful exploit of this vulnerability might lead to escalation of privileges.</t>
        </is>
      </c>
      <c r="D507" t="n">
        <v>8</v>
      </c>
      <c r="E507" t="inlineStr">
        <is>
          <t>HIGH</t>
        </is>
      </c>
      <c r="F507" t="n">
        <v>2</v>
      </c>
      <c r="G507" t="n">
        <v>3</v>
      </c>
      <c r="H507" t="inlineStr">
        <is>
          <t>HIGH</t>
        </is>
      </c>
      <c r="I507" t="n">
        <v>14</v>
      </c>
      <c r="J507" t="inlineStr">
        <is>
          <t>NO</t>
        </is>
      </c>
      <c r="K507" t="inlineStr">
        <is>
          <t>2026-02-27 20:47</t>
        </is>
      </c>
      <c r="L507" t="inlineStr">
        <is>
          <t>CHECK_VENDOR</t>
        </is>
      </c>
      <c r="M507" t="inlineStr">
        <is>
          <t>See CVE details</t>
        </is>
      </c>
      <c r="N507" t="inlineStr">
        <is>
          <t>P3</t>
        </is>
      </c>
      <c r="O507" t="inlineStr">
        <is>
          <t>CVE - IP enrichment n/a</t>
        </is>
      </c>
      <c r="P507" t="n">
        <v>0.0003</v>
      </c>
      <c r="Q507" t="n">
        <v>0.08749999999999999</v>
      </c>
      <c r="R507" t="inlineStr">
        <is>
          <t>T1059:Command and Scripting Interpreter</t>
        </is>
      </c>
      <c r="S507" t="n">
        <v>1</v>
      </c>
      <c r="T507" t="inlineStr">
        <is>
          <t>LOW (40%)</t>
        </is>
      </c>
      <c r="U507" t="inlineStr">
        <is>
          <t>UNLIKELY</t>
        </is>
      </c>
      <c r="V507" t="inlineStr">
        <is>
          <t>CHECK_VENDOR</t>
        </is>
      </c>
      <c r="W507" t="inlineStr">
        <is>
          <t>https://nvd.nist.gov/vuln/detail/CVE-2025-33180</t>
        </is>
      </c>
      <c r="X507" t="inlineStr">
        <is>
          <t>NONE</t>
        </is>
      </c>
      <c r="Y507" t="n">
        <v>0</v>
      </c>
      <c r="Z507" t="inlineStr"/>
      <c r="AA507" t="inlineStr">
        <is>
          <t>https://nvd.nist.gov/vuln/detail/CVE-2025-33180</t>
        </is>
      </c>
    </row>
    <row r="508">
      <c r="A508" t="inlineStr">
        <is>
          <t>CVE</t>
        </is>
      </c>
      <c r="B508" t="inlineStr">
        <is>
          <t>CVE-2025-33181</t>
        </is>
      </c>
      <c r="C508" t="inlineStr">
        <is>
          <t>NVIDIA Cumulus Linux and NVOS products contain a vulnerability in the NVUE interface, where a low-privileged user could inject a command. A successful exploit of this vulnerability might lead to escalation of privileges.</t>
        </is>
      </c>
      <c r="D508" t="n">
        <v>7.3</v>
      </c>
      <c r="E508" t="inlineStr">
        <is>
          <t>HIGH</t>
        </is>
      </c>
      <c r="F508" t="n">
        <v>2</v>
      </c>
      <c r="G508" t="n">
        <v>3</v>
      </c>
      <c r="H508" t="inlineStr">
        <is>
          <t>HIGH</t>
        </is>
      </c>
      <c r="I508" t="n">
        <v>13.3</v>
      </c>
      <c r="J508" t="inlineStr">
        <is>
          <t>NO</t>
        </is>
      </c>
      <c r="K508" t="inlineStr">
        <is>
          <t>2026-02-27 20:47</t>
        </is>
      </c>
      <c r="L508" t="inlineStr">
        <is>
          <t>CHECK_VENDOR</t>
        </is>
      </c>
      <c r="M508" t="inlineStr">
        <is>
          <t>See CVE details</t>
        </is>
      </c>
      <c r="N508" t="inlineStr">
        <is>
          <t>P3</t>
        </is>
      </c>
      <c r="O508" t="inlineStr">
        <is>
          <t>CVE - IP enrichment n/a</t>
        </is>
      </c>
      <c r="P508" t="n">
        <v>0.0001</v>
      </c>
      <c r="Q508" t="n">
        <v>0.008</v>
      </c>
      <c r="R508" t="inlineStr">
        <is>
          <t>T1059:Command and Scripting Interpreter</t>
        </is>
      </c>
      <c r="S508" t="n">
        <v>1</v>
      </c>
      <c r="T508" t="inlineStr">
        <is>
          <t>LOW (40%)</t>
        </is>
      </c>
      <c r="U508" t="inlineStr">
        <is>
          <t>UNLIKELY</t>
        </is>
      </c>
      <c r="V508" t="inlineStr">
        <is>
          <t>CHECK_VENDOR</t>
        </is>
      </c>
      <c r="W508" t="inlineStr">
        <is>
          <t>https://nvd.nist.gov/vuln/detail/CVE-2025-33181</t>
        </is>
      </c>
      <c r="X508" t="inlineStr">
        <is>
          <t>NONE</t>
        </is>
      </c>
      <c r="Y508" t="n">
        <v>0</v>
      </c>
      <c r="Z508" t="inlineStr"/>
      <c r="AA508" t="inlineStr">
        <is>
          <t>https://nvd.nist.gov/vuln/detail/CVE-2025-33181</t>
        </is>
      </c>
    </row>
    <row r="509">
      <c r="A509" t="inlineStr">
        <is>
          <t>CVE</t>
        </is>
      </c>
      <c r="B509" t="inlineStr">
        <is>
          <t>CVE-2026-1768</t>
        </is>
      </c>
      <c r="C509" t="inlineStr">
        <is>
          <t>A permission cache poisoning vulnerability in Devolutions Server allows authenticated users to bypass permissions to access entries.This issue affects Devolutions Server: before 2025.3.15.</t>
        </is>
      </c>
      <c r="D509" t="n">
        <v>4.3</v>
      </c>
      <c r="E509" t="inlineStr">
        <is>
          <t>MEDIUM</t>
        </is>
      </c>
      <c r="F509" t="n">
        <v>2</v>
      </c>
      <c r="G509" t="n">
        <v>2</v>
      </c>
      <c r="H509" t="inlineStr">
        <is>
          <t>MEDIUM</t>
        </is>
      </c>
      <c r="I509" t="n">
        <v>8.300000000000001</v>
      </c>
      <c r="J509" t="inlineStr">
        <is>
          <t>NO</t>
        </is>
      </c>
      <c r="K509" t="inlineStr">
        <is>
          <t>2026-02-27 20:47</t>
        </is>
      </c>
      <c r="L509" t="inlineStr">
        <is>
          <t>YES</t>
        </is>
      </c>
      <c r="M509" t="inlineStr">
        <is>
          <t>devolutions devolutions_server *</t>
        </is>
      </c>
      <c r="N509" t="inlineStr">
        <is>
          <t>P4</t>
        </is>
      </c>
      <c r="O509" t="inlineStr">
        <is>
          <t>CVE - IP enrichment n/a</t>
        </is>
      </c>
      <c r="P509" t="n">
        <v>0.0002</v>
      </c>
      <c r="Q509" t="n">
        <v>0.0549</v>
      </c>
      <c r="R509" t="inlineStr">
        <is>
          <t>T1190:Exploit Public-Facing Application</t>
        </is>
      </c>
      <c r="S509" t="n">
        <v>1</v>
      </c>
      <c r="T509" t="inlineStr">
        <is>
          <t>LOW (40%)</t>
        </is>
      </c>
      <c r="U509" t="inlineStr">
        <is>
          <t>UNLIKELY</t>
        </is>
      </c>
      <c r="V509" t="inlineStr">
        <is>
          <t>PATCH_AVAILABLE</t>
        </is>
      </c>
      <c r="W509" t="inlineStr">
        <is>
          <t>https://nvd.nist.gov/vuln/detail/CVE-2026-1768</t>
        </is>
      </c>
      <c r="X509" t="inlineStr">
        <is>
          <t>NONE</t>
        </is>
      </c>
      <c r="Y509" t="n">
        <v>0</v>
      </c>
      <c r="Z509" t="inlineStr"/>
      <c r="AA509" t="inlineStr">
        <is>
          <t>https://nvd.nist.gov/vuln/detail/CVE-2026-1768</t>
        </is>
      </c>
    </row>
    <row r="510">
      <c r="A510" t="inlineStr">
        <is>
          <t>CVE</t>
        </is>
      </c>
      <c r="B510" t="inlineStr">
        <is>
          <t>CVE-2026-22765</t>
        </is>
      </c>
      <c r="C510" t="inlineStr">
        <is>
          <t>Dell Wyse Management Suite, versions prior to WMS 5.5, contain a Missing Authorization vulnerability. A low privileged attacker with remote access could potentially exploit this vulnerability, leading to Elevation of Privileges.</t>
        </is>
      </c>
      <c r="D510" t="n">
        <v>8.800000000000001</v>
      </c>
      <c r="E510" t="inlineStr">
        <is>
          <t>HIGH</t>
        </is>
      </c>
      <c r="F510" t="n">
        <v>2</v>
      </c>
      <c r="G510" t="n">
        <v>3</v>
      </c>
      <c r="H510" t="inlineStr">
        <is>
          <t>HIGH</t>
        </is>
      </c>
      <c r="I510" t="n">
        <v>14.8</v>
      </c>
      <c r="J510" t="inlineStr">
        <is>
          <t>NO</t>
        </is>
      </c>
      <c r="K510" t="inlineStr">
        <is>
          <t>2026-02-27 20:47</t>
        </is>
      </c>
      <c r="L510" t="inlineStr">
        <is>
          <t>YES</t>
        </is>
      </c>
      <c r="M510" t="inlineStr">
        <is>
          <t>dell wyse_management_suite *</t>
        </is>
      </c>
      <c r="N510" t="inlineStr">
        <is>
          <t>P3</t>
        </is>
      </c>
      <c r="O510" t="inlineStr">
        <is>
          <t>CVE - IP enrichment n/a</t>
        </is>
      </c>
      <c r="P510" t="n">
        <v>0.0004</v>
      </c>
      <c r="Q510" t="n">
        <v>0.1235</v>
      </c>
      <c r="R510" t="inlineStr">
        <is>
          <t>T1190:Exploit Public-Facing Application</t>
        </is>
      </c>
      <c r="S510" t="n">
        <v>1</v>
      </c>
      <c r="T510" t="inlineStr">
        <is>
          <t>LOW (40%)</t>
        </is>
      </c>
      <c r="U510" t="inlineStr">
        <is>
          <t>UNLIKELY</t>
        </is>
      </c>
      <c r="V510" t="inlineStr">
        <is>
          <t>PATCH_AVAILABLE</t>
        </is>
      </c>
      <c r="W510" t="inlineStr">
        <is>
          <t>https://nvd.nist.gov/vuln/detail/CVE-2026-22765</t>
        </is>
      </c>
      <c r="X510" t="inlineStr">
        <is>
          <t>NONE</t>
        </is>
      </c>
      <c r="Y510" t="n">
        <v>0</v>
      </c>
      <c r="Z510" t="inlineStr"/>
      <c r="AA510" t="inlineStr">
        <is>
          <t>https://nvd.nist.gov/vuln/detail/CVE-2026-22765</t>
        </is>
      </c>
    </row>
    <row r="511">
      <c r="A511" t="inlineStr">
        <is>
          <t>CVE</t>
        </is>
      </c>
      <c r="B511" t="inlineStr">
        <is>
          <t>CVE-2026-22766</t>
        </is>
      </c>
      <c r="C511" t="inlineStr">
        <is>
          <t>Dell Wyse Management Suite, versions prior to WMS 5.5, contain an Unrestricted Upload of File with Dangerous Type vulnerability. A high privileged attacker with remote access could potentially exploit this vulnerability, leading to Remote execution.</t>
        </is>
      </c>
      <c r="D511" t="n">
        <v>7.2</v>
      </c>
      <c r="E511" t="inlineStr">
        <is>
          <t>HIGH</t>
        </is>
      </c>
      <c r="F511" t="n">
        <v>2</v>
      </c>
      <c r="G511" t="n">
        <v>3</v>
      </c>
      <c r="H511" t="inlineStr">
        <is>
          <t>HIGH</t>
        </is>
      </c>
      <c r="I511" t="n">
        <v>13.2</v>
      </c>
      <c r="J511" t="inlineStr">
        <is>
          <t>NO</t>
        </is>
      </c>
      <c r="K511" t="inlineStr">
        <is>
          <t>2026-02-27 20:47</t>
        </is>
      </c>
      <c r="L511" t="inlineStr">
        <is>
          <t>YES</t>
        </is>
      </c>
      <c r="M511" t="inlineStr">
        <is>
          <t>dell wyse_management_suite *</t>
        </is>
      </c>
      <c r="N511" t="inlineStr">
        <is>
          <t>P3</t>
        </is>
      </c>
      <c r="O511" t="inlineStr">
        <is>
          <t>CVE - IP enrichment n/a</t>
        </is>
      </c>
      <c r="P511" t="n">
        <v>0.0021</v>
      </c>
      <c r="Q511" t="n">
        <v>0.434</v>
      </c>
      <c r="R511" t="inlineStr">
        <is>
          <t>T1190:Exploit Public-Facing Application</t>
        </is>
      </c>
      <c r="S511" t="n">
        <v>1</v>
      </c>
      <c r="T511" t="inlineStr">
        <is>
          <t>LOW (40%)</t>
        </is>
      </c>
      <c r="U511" t="inlineStr">
        <is>
          <t>UNLIKELY</t>
        </is>
      </c>
      <c r="V511" t="inlineStr">
        <is>
          <t>PATCH_AVAILABLE</t>
        </is>
      </c>
      <c r="W511" t="inlineStr">
        <is>
          <t>https://nvd.nist.gov/vuln/detail/CVE-2026-22766</t>
        </is>
      </c>
      <c r="X511" t="inlineStr">
        <is>
          <t>NONE</t>
        </is>
      </c>
      <c r="Y511" t="n">
        <v>0</v>
      </c>
      <c r="Z511" t="inlineStr"/>
      <c r="AA511" t="inlineStr">
        <is>
          <t>https://nvd.nist.gov/vuln/detail/CVE-2026-22766</t>
        </is>
      </c>
    </row>
    <row r="512">
      <c r="A512" t="inlineStr">
        <is>
          <t>CVE</t>
        </is>
      </c>
      <c r="B512" t="inlineStr">
        <is>
          <t>CVE-2026-23858</t>
        </is>
      </c>
      <c r="C512"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512" t="n">
        <v>5.4</v>
      </c>
      <c r="E512" t="inlineStr">
        <is>
          <t>MEDIUM</t>
        </is>
      </c>
      <c r="F512" t="n">
        <v>2</v>
      </c>
      <c r="G512" t="n">
        <v>2</v>
      </c>
      <c r="H512" t="inlineStr">
        <is>
          <t>MEDIUM</t>
        </is>
      </c>
      <c r="I512" t="n">
        <v>9.4</v>
      </c>
      <c r="J512" t="inlineStr">
        <is>
          <t>NO</t>
        </is>
      </c>
      <c r="K512" t="inlineStr">
        <is>
          <t>2026-02-27 20:47</t>
        </is>
      </c>
      <c r="L512" t="inlineStr">
        <is>
          <t>YES</t>
        </is>
      </c>
      <c r="M512" t="inlineStr">
        <is>
          <t>dell wyse_management_suite *</t>
        </is>
      </c>
      <c r="N512" t="inlineStr">
        <is>
          <t>P4</t>
        </is>
      </c>
      <c r="O512" t="inlineStr">
        <is>
          <t>CVE - IP enrichment n/a</t>
        </is>
      </c>
      <c r="P512" t="n">
        <v>0.0003</v>
      </c>
      <c r="Q512" t="n">
        <v>0.08169999999999999</v>
      </c>
      <c r="R512" t="inlineStr">
        <is>
          <t>T1189:Drive-by Compromise</t>
        </is>
      </c>
      <c r="S512" t="n">
        <v>1</v>
      </c>
      <c r="T512" t="inlineStr">
        <is>
          <t>LOW (40%)</t>
        </is>
      </c>
      <c r="U512" t="inlineStr">
        <is>
          <t>UNLIKELY</t>
        </is>
      </c>
      <c r="V512" t="inlineStr">
        <is>
          <t>PATCH_AVAILABLE</t>
        </is>
      </c>
      <c r="W512" t="inlineStr">
        <is>
          <t>https://nvd.nist.gov/vuln/detail/CVE-2026-23858</t>
        </is>
      </c>
      <c r="X512" t="inlineStr">
        <is>
          <t>NONE</t>
        </is>
      </c>
      <c r="Y512" t="n">
        <v>0</v>
      </c>
      <c r="Z512" t="inlineStr"/>
      <c r="AA512" t="inlineStr">
        <is>
          <t>https://nvd.nist.gov/vuln/detail/CVE-2026-23858</t>
        </is>
      </c>
    </row>
    <row r="513">
      <c r="A513" t="inlineStr">
        <is>
          <t>CVE</t>
        </is>
      </c>
      <c r="B513" t="inlineStr">
        <is>
          <t>CVE-2026-23859</t>
        </is>
      </c>
      <c r="C513" t="inlineStr">
        <is>
          <t>Dell Wyse Management Suite, versions prior to WMS 5.5, contain a Client-Side Enforcement of Server-Side Security vulnerability. A high privileged attacker with remote access could potentially exploit this vulnerability to Protection mechanism bypass.</t>
        </is>
      </c>
      <c r="D513" t="n">
        <v>2.7</v>
      </c>
      <c r="E513" t="inlineStr">
        <is>
          <t>LOW</t>
        </is>
      </c>
      <c r="F513" t="n">
        <v>2</v>
      </c>
      <c r="G513" t="n">
        <v>1</v>
      </c>
      <c r="H513" t="inlineStr">
        <is>
          <t>LOW</t>
        </is>
      </c>
      <c r="I513" t="n">
        <v>4.7</v>
      </c>
      <c r="J513" t="inlineStr">
        <is>
          <t>NO</t>
        </is>
      </c>
      <c r="K513" t="inlineStr">
        <is>
          <t>2026-02-27 20:47</t>
        </is>
      </c>
      <c r="L513" t="inlineStr">
        <is>
          <t>YES</t>
        </is>
      </c>
      <c r="M513" t="inlineStr">
        <is>
          <t>dell wyse_management_suite *</t>
        </is>
      </c>
      <c r="N513" t="inlineStr">
        <is>
          <t>P4</t>
        </is>
      </c>
      <c r="O513" t="inlineStr">
        <is>
          <t>CVE - IP enrichment n/a</t>
        </is>
      </c>
      <c r="P513" t="n">
        <v>0.0004</v>
      </c>
      <c r="Q513" t="n">
        <v>0.1052</v>
      </c>
      <c r="R513" t="inlineStr">
        <is>
          <t>T1190:Exploit Public-Facing Application</t>
        </is>
      </c>
      <c r="S513" t="n">
        <v>1</v>
      </c>
      <c r="T513" t="inlineStr">
        <is>
          <t>LOW (40%)</t>
        </is>
      </c>
      <c r="U513" t="inlineStr">
        <is>
          <t>UNLIKELY</t>
        </is>
      </c>
      <c r="V513" t="inlineStr">
        <is>
          <t>PATCH_AVAILABLE</t>
        </is>
      </c>
      <c r="W513" t="inlineStr">
        <is>
          <t>https://nvd.nist.gov/vuln/detail/CVE-2026-23859</t>
        </is>
      </c>
      <c r="X513" t="inlineStr">
        <is>
          <t>NONE</t>
        </is>
      </c>
      <c r="Y513" t="n">
        <v>0</v>
      </c>
      <c r="Z513" t="inlineStr"/>
      <c r="AA513" t="inlineStr">
        <is>
          <t>https://nvd.nist.gov/vuln/detail/CVE-2026-23859</t>
        </is>
      </c>
    </row>
    <row r="514">
      <c r="A514" t="inlineStr">
        <is>
          <t>CVE</t>
        </is>
      </c>
      <c r="B514" t="inlineStr">
        <is>
          <t>CVE-2026-24241</t>
        </is>
      </c>
      <c r="C514" t="inlineStr">
        <is>
          <t>NVIDIA Delegated Licensing Service for all appliance platforms contains a vulnerability where an attacker could exploit an improper authentication issue. A successful exploit of this vulnerability might lead to information disclosure.</t>
        </is>
      </c>
      <c r="D514" t="n">
        <v>4.3</v>
      </c>
      <c r="E514" t="inlineStr">
        <is>
          <t>MEDIUM</t>
        </is>
      </c>
      <c r="F514" t="n">
        <v>2</v>
      </c>
      <c r="G514" t="n">
        <v>2</v>
      </c>
      <c r="H514" t="inlineStr">
        <is>
          <t>MEDIUM</t>
        </is>
      </c>
      <c r="I514" t="n">
        <v>8.300000000000001</v>
      </c>
      <c r="J514" t="inlineStr">
        <is>
          <t>NO</t>
        </is>
      </c>
      <c r="K514" t="inlineStr">
        <is>
          <t>2026-02-27 20:47</t>
        </is>
      </c>
      <c r="L514" t="inlineStr">
        <is>
          <t>CHECK_VENDOR</t>
        </is>
      </c>
      <c r="M514" t="inlineStr">
        <is>
          <t>See CVE details</t>
        </is>
      </c>
      <c r="N514" t="inlineStr">
        <is>
          <t>P4</t>
        </is>
      </c>
      <c r="O514" t="inlineStr">
        <is>
          <t>CVE - IP enrichment n/a</t>
        </is>
      </c>
      <c r="P514" t="n">
        <v>0.0003</v>
      </c>
      <c r="Q514" t="n">
        <v>0.07140000000000001</v>
      </c>
      <c r="R514" t="inlineStr">
        <is>
          <t>T1078:Valid Accounts | T1110:Brute Force | T1213:Data from Information Repositories</t>
        </is>
      </c>
      <c r="S514" t="n">
        <v>1</v>
      </c>
      <c r="T514" t="inlineStr">
        <is>
          <t>LOW (40%)</t>
        </is>
      </c>
      <c r="U514" t="inlineStr">
        <is>
          <t>UNLIKELY</t>
        </is>
      </c>
      <c r="V514" t="inlineStr">
        <is>
          <t>CHECK_VENDOR</t>
        </is>
      </c>
      <c r="W514" t="inlineStr">
        <is>
          <t>https://nvd.nist.gov/vuln/detail/CVE-2026-24241</t>
        </is>
      </c>
      <c r="X514" t="inlineStr">
        <is>
          <t>NONE</t>
        </is>
      </c>
      <c r="Y514" t="n">
        <v>0</v>
      </c>
      <c r="Z514" t="inlineStr"/>
      <c r="AA514" t="inlineStr">
        <is>
          <t>https://nvd.nist.gov/vuln/detail/CVE-2026-24241</t>
        </is>
      </c>
    </row>
    <row r="515">
      <c r="A515" t="inlineStr">
        <is>
          <t>CVE</t>
        </is>
      </c>
      <c r="B515" t="inlineStr">
        <is>
          <t>CVE-2026-26340</t>
        </is>
      </c>
      <c r="C515"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515" t="n">
        <v>7.5</v>
      </c>
      <c r="E515" t="inlineStr">
        <is>
          <t>HIGH</t>
        </is>
      </c>
      <c r="F515" t="n">
        <v>2</v>
      </c>
      <c r="G515" t="n">
        <v>3</v>
      </c>
      <c r="H515" t="inlineStr">
        <is>
          <t>HIGH</t>
        </is>
      </c>
      <c r="I515" t="n">
        <v>13.5</v>
      </c>
      <c r="J515" t="inlineStr">
        <is>
          <t>NO</t>
        </is>
      </c>
      <c r="K515" t="inlineStr">
        <is>
          <t>2026-02-27 20:47</t>
        </is>
      </c>
      <c r="L515" t="inlineStr">
        <is>
          <t>CHECK_VENDOR</t>
        </is>
      </c>
      <c r="M515" t="inlineStr">
        <is>
          <t>tattile vega11_firmware * | tattile smart\+_speed_firmware * | tattile smart\+_speed -</t>
        </is>
      </c>
      <c r="N515" t="inlineStr">
        <is>
          <t>P3</t>
        </is>
      </c>
      <c r="O515" t="inlineStr">
        <is>
          <t>CVE - IP enrichment n/a</t>
        </is>
      </c>
      <c r="P515" t="n">
        <v>0.0045</v>
      </c>
      <c r="Q515" t="n">
        <v>0.6342</v>
      </c>
      <c r="R515" t="inlineStr">
        <is>
          <t>T1078:Valid Accounts | T1552:Unsecured Credentials</t>
        </is>
      </c>
      <c r="S515" t="n">
        <v>1</v>
      </c>
      <c r="T515" t="inlineStr">
        <is>
          <t>LOW (40%)</t>
        </is>
      </c>
      <c r="U515" t="inlineStr">
        <is>
          <t>UNLIKELY</t>
        </is>
      </c>
      <c r="V515" t="inlineStr">
        <is>
          <t>CHECK_VENDOR</t>
        </is>
      </c>
      <c r="W515" t="inlineStr">
        <is>
          <t>https://nvd.nist.gov/vuln/detail/CVE-2026-26340</t>
        </is>
      </c>
      <c r="X515" t="inlineStr">
        <is>
          <t>NONE</t>
        </is>
      </c>
      <c r="Y515" t="n">
        <v>0</v>
      </c>
      <c r="Z515" t="inlineStr"/>
      <c r="AA515" t="inlineStr">
        <is>
          <t>https://nvd.nist.gov/vuln/detail/CVE-2026-26340</t>
        </is>
      </c>
    </row>
    <row r="516">
      <c r="A516" t="inlineStr">
        <is>
          <t>CVE</t>
        </is>
      </c>
      <c r="B516" t="inlineStr">
        <is>
          <t>CVE-2026-26341</t>
        </is>
      </c>
      <c r="C516"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516" t="n">
        <v>9.800000000000001</v>
      </c>
      <c r="E516" t="inlineStr">
        <is>
          <t>CRITICAL</t>
        </is>
      </c>
      <c r="F516" t="n">
        <v>2</v>
      </c>
      <c r="G516" t="n">
        <v>3</v>
      </c>
      <c r="H516" t="inlineStr">
        <is>
          <t>HIGH</t>
        </is>
      </c>
      <c r="I516" t="n">
        <v>15.8</v>
      </c>
      <c r="J516" t="inlineStr">
        <is>
          <t>NO</t>
        </is>
      </c>
      <c r="K516" t="inlineStr">
        <is>
          <t>2026-02-27 20:47</t>
        </is>
      </c>
      <c r="L516" t="inlineStr">
        <is>
          <t>CHECK_VENDOR</t>
        </is>
      </c>
      <c r="M516" t="inlineStr">
        <is>
          <t>tattile vega11_firmware * | tattile smart\+_speed_firmware * | tattile smart\+_speed -</t>
        </is>
      </c>
      <c r="N516" t="inlineStr">
        <is>
          <t>P3</t>
        </is>
      </c>
      <c r="O516" t="inlineStr">
        <is>
          <t>CVE - IP enrichment n/a</t>
        </is>
      </c>
      <c r="P516" t="n">
        <v>0.001</v>
      </c>
      <c r="Q516" t="n">
        <v>0.2696</v>
      </c>
      <c r="R516" t="inlineStr">
        <is>
          <t>T1190:Exploit Public-Facing Application | T1552:Unsecured Credentials</t>
        </is>
      </c>
      <c r="S516" t="n">
        <v>1</v>
      </c>
      <c r="T516" t="inlineStr">
        <is>
          <t>LOW (40%)</t>
        </is>
      </c>
      <c r="U516" t="inlineStr">
        <is>
          <t>UNLIKELY</t>
        </is>
      </c>
      <c r="V516" t="inlineStr">
        <is>
          <t>CHECK_VENDOR</t>
        </is>
      </c>
      <c r="W516" t="inlineStr">
        <is>
          <t>https://nvd.nist.gov/vuln/detail/CVE-2026-26341</t>
        </is>
      </c>
      <c r="X516" t="inlineStr">
        <is>
          <t>NONE</t>
        </is>
      </c>
      <c r="Y516" t="n">
        <v>0</v>
      </c>
      <c r="Z516" t="inlineStr"/>
      <c r="AA516" t="inlineStr">
        <is>
          <t>https://nvd.nist.gov/vuln/detail/CVE-2026-26341</t>
        </is>
      </c>
    </row>
    <row r="517">
      <c r="A517" t="inlineStr">
        <is>
          <t>CVE</t>
        </is>
      </c>
      <c r="B517" t="inlineStr">
        <is>
          <t>CVE-2026-26342</t>
        </is>
      </c>
      <c r="C517"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517" t="n">
        <v>9.800000000000001</v>
      </c>
      <c r="E517" t="inlineStr">
        <is>
          <t>CRITICAL</t>
        </is>
      </c>
      <c r="F517" t="n">
        <v>2</v>
      </c>
      <c r="G517" t="n">
        <v>3</v>
      </c>
      <c r="H517" t="inlineStr">
        <is>
          <t>HIGH</t>
        </is>
      </c>
      <c r="I517" t="n">
        <v>15.8</v>
      </c>
      <c r="J517" t="inlineStr">
        <is>
          <t>NO</t>
        </is>
      </c>
      <c r="K517" t="inlineStr">
        <is>
          <t>2026-02-27 20:47</t>
        </is>
      </c>
      <c r="L517" t="inlineStr">
        <is>
          <t>YES</t>
        </is>
      </c>
      <c r="M517" t="inlineStr">
        <is>
          <t>tattile vega11_firmware * | tattile smart\+_speed_firmware * | tattile smart\+_speed -</t>
        </is>
      </c>
      <c r="N517" t="inlineStr">
        <is>
          <t>P3</t>
        </is>
      </c>
      <c r="O517" t="inlineStr">
        <is>
          <t>CVE - IP enrichment n/a</t>
        </is>
      </c>
      <c r="P517" t="n">
        <v>0.0031</v>
      </c>
      <c r="Q517" t="n">
        <v>0.5337</v>
      </c>
      <c r="R517" t="inlineStr">
        <is>
          <t>T1190:Exploit Public-Facing Application</t>
        </is>
      </c>
      <c r="S517" t="n">
        <v>1</v>
      </c>
      <c r="T517" t="inlineStr">
        <is>
          <t>LOW (40%)</t>
        </is>
      </c>
      <c r="U517" t="inlineStr">
        <is>
          <t>UNLIKELY</t>
        </is>
      </c>
      <c r="V517" t="inlineStr">
        <is>
          <t>PATCH_AVAILABLE</t>
        </is>
      </c>
      <c r="W517" t="inlineStr">
        <is>
          <t>https://nvd.nist.gov/vuln/detail/CVE-2026-26342</t>
        </is>
      </c>
      <c r="X517" t="inlineStr">
        <is>
          <t>NONE</t>
        </is>
      </c>
      <c r="Y517" t="n">
        <v>0</v>
      </c>
      <c r="Z517" t="inlineStr"/>
      <c r="AA517" t="inlineStr">
        <is>
          <t>https://nvd.nist.gov/vuln/detail/CVE-2026-26342</t>
        </is>
      </c>
    </row>
    <row r="518">
      <c r="A518" t="inlineStr">
        <is>
          <t>CVE</t>
        </is>
      </c>
      <c r="B518" t="inlineStr">
        <is>
          <t>CVE-2026-27477</t>
        </is>
      </c>
      <c r="C518"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518" t="n">
        <v>5.9</v>
      </c>
      <c r="E518" t="inlineStr">
        <is>
          <t>MEDIUM</t>
        </is>
      </c>
      <c r="F518" t="n">
        <v>2</v>
      </c>
      <c r="G518" t="n">
        <v>2</v>
      </c>
      <c r="H518" t="inlineStr">
        <is>
          <t>MEDIUM</t>
        </is>
      </c>
      <c r="I518" t="n">
        <v>9.9</v>
      </c>
      <c r="J518" t="inlineStr">
        <is>
          <t>NO</t>
        </is>
      </c>
      <c r="K518" t="inlineStr">
        <is>
          <t>2026-02-27 20:47</t>
        </is>
      </c>
      <c r="L518" t="inlineStr">
        <is>
          <t>YES</t>
        </is>
      </c>
      <c r="M518" t="inlineStr">
        <is>
          <t>joinmastodon mastodon *</t>
        </is>
      </c>
      <c r="N518" t="inlineStr">
        <is>
          <t>P1</t>
        </is>
      </c>
      <c r="O518" t="inlineStr">
        <is>
          <t>CVE - IP enrichment n/a</t>
        </is>
      </c>
      <c r="P518" t="n">
        <v>0.0004</v>
      </c>
      <c r="Q518" t="n">
        <v>0.1053</v>
      </c>
      <c r="R518" t="inlineStr">
        <is>
          <t>T1090:Proxy | T1190:Exploit Public-Facing Application</t>
        </is>
      </c>
      <c r="S518" t="n">
        <v>2</v>
      </c>
      <c r="T518" t="inlineStr">
        <is>
          <t>HIGH (72%)</t>
        </is>
      </c>
      <c r="U518" t="inlineStr">
        <is>
          <t>HIGH</t>
        </is>
      </c>
      <c r="V518" t="inlineStr">
        <is>
          <t>PATCH_AVAILABLE</t>
        </is>
      </c>
      <c r="W518" t="inlineStr">
        <is>
          <t>https://nvd.nist.gov/vuln/detail/CVE-2026-27477</t>
        </is>
      </c>
      <c r="X518" t="inlineStr">
        <is>
          <t>http://www.zerodayinitiative.com/advisories/ZDI-26-123/</t>
        </is>
      </c>
      <c r="Y518" t="n">
        <v>0</v>
      </c>
      <c r="Z518" t="inlineStr"/>
      <c r="AA518" t="inlineStr">
        <is>
          <t>https://nvd.nist.gov/vuln/detail/CVE-2026-27477</t>
        </is>
      </c>
    </row>
    <row r="519">
      <c r="A519" t="inlineStr">
        <is>
          <t>CVE</t>
        </is>
      </c>
      <c r="B519" t="inlineStr">
        <is>
          <t>CVE-2026-3105</t>
        </is>
      </c>
      <c r="C519"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519" t="n">
        <v>7.6</v>
      </c>
      <c r="E519" t="inlineStr">
        <is>
          <t>HIGH</t>
        </is>
      </c>
      <c r="F519" t="n">
        <v>2</v>
      </c>
      <c r="G519" t="n">
        <v>3</v>
      </c>
      <c r="H519" t="inlineStr">
        <is>
          <t>HIGH</t>
        </is>
      </c>
      <c r="I519" t="n">
        <v>13.6</v>
      </c>
      <c r="J519" t="inlineStr">
        <is>
          <t>NO</t>
        </is>
      </c>
      <c r="K519" t="inlineStr">
        <is>
          <t>2026-02-27 20:47</t>
        </is>
      </c>
      <c r="L519" t="inlineStr">
        <is>
          <t>YES</t>
        </is>
      </c>
      <c r="M519" t="inlineStr">
        <is>
          <t>acquia mautic *</t>
        </is>
      </c>
      <c r="N519" t="inlineStr">
        <is>
          <t>P1</t>
        </is>
      </c>
      <c r="O519" t="inlineStr">
        <is>
          <t>CVE - IP enrichment n/a</t>
        </is>
      </c>
      <c r="P519" t="n">
        <v>0.0003</v>
      </c>
      <c r="Q519" t="n">
        <v>0.095</v>
      </c>
      <c r="R519" t="inlineStr">
        <is>
          <t>T1190:Exploit Public-Facing Application</t>
        </is>
      </c>
      <c r="S519" t="n">
        <v>2</v>
      </c>
      <c r="T519" t="inlineStr">
        <is>
          <t>HIGH (72%)</t>
        </is>
      </c>
      <c r="U519" t="inlineStr">
        <is>
          <t>HIGH</t>
        </is>
      </c>
      <c r="V519" t="inlineStr">
        <is>
          <t>PATCH_AVAILABLE</t>
        </is>
      </c>
      <c r="W519" t="inlineStr">
        <is>
          <t>https://nvd.nist.gov/vuln/detail/CVE-2026-3105</t>
        </is>
      </c>
      <c r="X519" t="inlineStr">
        <is>
          <t>http://www.zerodayinitiative.com/advisories/ZDI-26-123/</t>
        </is>
      </c>
      <c r="Y519" t="n">
        <v>0</v>
      </c>
      <c r="Z519" t="inlineStr"/>
      <c r="AA519" t="inlineStr">
        <is>
          <t>https://nvd.nist.gov/vuln/detail/CVE-2026-3105</t>
        </is>
      </c>
    </row>
    <row r="520">
      <c r="A520" t="inlineStr">
        <is>
          <t>CVE</t>
        </is>
      </c>
      <c r="B520" t="inlineStr">
        <is>
          <t>CVE-2026-3131</t>
        </is>
      </c>
      <c r="C520" t="inlineStr">
        <is>
          <t>Improper
 access control in multiple DVLS REST API endpoints in Devolutions 
Server 2025.3.14.0 and earlier allows an authenticated user with view-only permission to access sensitive connection data.</t>
        </is>
      </c>
      <c r="D520" t="n">
        <v>6.5</v>
      </c>
      <c r="E520" t="inlineStr">
        <is>
          <t>MEDIUM</t>
        </is>
      </c>
      <c r="F520" t="n">
        <v>2</v>
      </c>
      <c r="G520" t="n">
        <v>2</v>
      </c>
      <c r="H520" t="inlineStr">
        <is>
          <t>MEDIUM</t>
        </is>
      </c>
      <c r="I520" t="n">
        <v>10.5</v>
      </c>
      <c r="J520" t="inlineStr">
        <is>
          <t>NO</t>
        </is>
      </c>
      <c r="K520" t="inlineStr">
        <is>
          <t>2026-02-27 20:47</t>
        </is>
      </c>
      <c r="L520" t="inlineStr">
        <is>
          <t>YES</t>
        </is>
      </c>
      <c r="M520" t="inlineStr">
        <is>
          <t>devolutions devolutions_server *</t>
        </is>
      </c>
      <c r="N520" t="inlineStr">
        <is>
          <t>P4</t>
        </is>
      </c>
      <c r="O520" t="inlineStr">
        <is>
          <t>CVE - IP enrichment n/a</t>
        </is>
      </c>
      <c r="P520" t="n">
        <v>0.0003</v>
      </c>
      <c r="Q520" t="n">
        <v>0.0911</v>
      </c>
      <c r="R520" t="inlineStr">
        <is>
          <t>T1213:Data from Information Repositories</t>
        </is>
      </c>
      <c r="S520" t="n">
        <v>1</v>
      </c>
      <c r="T520" t="inlineStr">
        <is>
          <t>LOW (40%)</t>
        </is>
      </c>
      <c r="U520" t="inlineStr">
        <is>
          <t>UNLIKELY</t>
        </is>
      </c>
      <c r="V520" t="inlineStr">
        <is>
          <t>PATCH_AVAILABLE</t>
        </is>
      </c>
      <c r="W520" t="inlineStr">
        <is>
          <t>https://nvd.nist.gov/vuln/detail/CVE-2026-3131</t>
        </is>
      </c>
      <c r="X520" t="inlineStr">
        <is>
          <t>NONE</t>
        </is>
      </c>
      <c r="Y520" t="n">
        <v>0</v>
      </c>
      <c r="Z520" t="inlineStr"/>
      <c r="AA520" t="inlineStr">
        <is>
          <t>https://nvd.nist.gov/vuln/detail/CVE-2026-3131</t>
        </is>
      </c>
    </row>
    <row r="521">
      <c r="A521" t="inlineStr">
        <is>
          <t>CVE</t>
        </is>
      </c>
      <c r="B521" t="inlineStr">
        <is>
          <t>CVE-2025-46320</t>
        </is>
      </c>
      <c r="C521" t="inlineStr">
        <is>
          <t>A cross-site scripting (XSS) vulnerability in a FileMaker WebDirect custom homepage could lead to unauthorized access and remote code execution. This vulnerability has been fully addressed in FileMaker Server 22.0.4 and FileMaker Server 21.1.7.</t>
        </is>
      </c>
      <c r="D521" t="n">
        <v>6.1</v>
      </c>
      <c r="E521" t="inlineStr">
        <is>
          <t>MEDIUM</t>
        </is>
      </c>
      <c r="F521" t="n">
        <v>2</v>
      </c>
      <c r="G521" t="n">
        <v>2</v>
      </c>
      <c r="H521" t="inlineStr">
        <is>
          <t>MEDIUM</t>
        </is>
      </c>
      <c r="I521" t="n">
        <v>10.1</v>
      </c>
      <c r="J521" t="inlineStr">
        <is>
          <t>NO</t>
        </is>
      </c>
      <c r="K521" t="inlineStr">
        <is>
          <t>2026-02-27 20:47</t>
        </is>
      </c>
      <c r="L521" t="inlineStr">
        <is>
          <t>YES</t>
        </is>
      </c>
      <c r="M521" t="inlineStr">
        <is>
          <t>claris filemaker_server *</t>
        </is>
      </c>
      <c r="N521" t="inlineStr">
        <is>
          <t>P4</t>
        </is>
      </c>
      <c r="O521" t="inlineStr">
        <is>
          <t>CVE - IP enrichment n/a</t>
        </is>
      </c>
      <c r="P521" t="n">
        <v>0.0005999999999999999</v>
      </c>
      <c r="Q521" t="n">
        <v>0.1822</v>
      </c>
      <c r="R521" t="inlineStr">
        <is>
          <t>T1189:Drive-by Compromise | T1190:Exploit Public-Facing Application | T1210:Exploitation of Remote Services</t>
        </is>
      </c>
      <c r="S521" t="n">
        <v>1</v>
      </c>
      <c r="T521" t="inlineStr">
        <is>
          <t>LOW (40%)</t>
        </is>
      </c>
      <c r="U521" t="inlineStr">
        <is>
          <t>UNLIKELY</t>
        </is>
      </c>
      <c r="V521" t="inlineStr">
        <is>
          <t>PATCH_AVAILABLE</t>
        </is>
      </c>
      <c r="W521" t="inlineStr">
        <is>
          <t>https://nvd.nist.gov/vuln/detail/CVE-2025-46320</t>
        </is>
      </c>
      <c r="X521" t="inlineStr">
        <is>
          <t>NONE</t>
        </is>
      </c>
      <c r="Y521" t="n">
        <v>0</v>
      </c>
      <c r="Z521" t="inlineStr"/>
      <c r="AA521" t="inlineStr">
        <is>
          <t>https://nvd.nist.gov/vuln/detail/CVE-2025-46320</t>
        </is>
      </c>
    </row>
    <row r="522">
      <c r="A522" t="inlineStr">
        <is>
          <t>CVE</t>
        </is>
      </c>
      <c r="B522" t="inlineStr">
        <is>
          <t>CVE-2026-21410</t>
        </is>
      </c>
      <c r="C522" t="inlineStr">
        <is>
          <t>InSAT MasterSCADA BUK-TS is susceptible to SQL Injection through its main web interface. Malicious users that use the vulnerable endpoint are potentially able to cause remote code execution.</t>
        </is>
      </c>
      <c r="D522" t="n">
        <v>9.800000000000001</v>
      </c>
      <c r="E522" t="inlineStr">
        <is>
          <t>CRITICAL</t>
        </is>
      </c>
      <c r="F522" t="n">
        <v>2</v>
      </c>
      <c r="G522" t="n">
        <v>3</v>
      </c>
      <c r="H522" t="inlineStr">
        <is>
          <t>HIGH</t>
        </is>
      </c>
      <c r="I522" t="n">
        <v>15.8</v>
      </c>
      <c r="J522" t="inlineStr">
        <is>
          <t>NO</t>
        </is>
      </c>
      <c r="K522" t="inlineStr">
        <is>
          <t>2026-02-27 20:47</t>
        </is>
      </c>
      <c r="L522" t="inlineStr">
        <is>
          <t>CHECK_VENDOR</t>
        </is>
      </c>
      <c r="M522" t="inlineStr">
        <is>
          <t>insat masterscada *</t>
        </is>
      </c>
      <c r="N522" t="inlineStr">
        <is>
          <t>P3</t>
        </is>
      </c>
      <c r="O522" t="inlineStr">
        <is>
          <t>CVE - IP enrichment n/a</t>
        </is>
      </c>
      <c r="P522" t="n">
        <v>0.0038</v>
      </c>
      <c r="Q522" t="n">
        <v>0.5923</v>
      </c>
      <c r="R522" t="inlineStr">
        <is>
          <t>T1190:Exploit Public-Facing Application | T1210:Exploitation of Remote Services</t>
        </is>
      </c>
      <c r="S522" t="n">
        <v>1</v>
      </c>
      <c r="T522" t="inlineStr">
        <is>
          <t>LOW (40%)</t>
        </is>
      </c>
      <c r="U522" t="inlineStr">
        <is>
          <t>UNLIKELY</t>
        </is>
      </c>
      <c r="V522" t="inlineStr">
        <is>
          <t>CHECK_VENDOR</t>
        </is>
      </c>
      <c r="W522" t="inlineStr">
        <is>
          <t>https://nvd.nist.gov/vuln/detail/CVE-2026-21410</t>
        </is>
      </c>
      <c r="X522" t="inlineStr">
        <is>
          <t>NONE</t>
        </is>
      </c>
      <c r="Y522" t="n">
        <v>0</v>
      </c>
      <c r="Z522" t="inlineStr"/>
      <c r="AA522" t="inlineStr">
        <is>
          <t>https://nvd.nist.gov/vuln/detail/CVE-2026-21410</t>
        </is>
      </c>
    </row>
    <row r="523">
      <c r="A523" t="inlineStr">
        <is>
          <t>CVE</t>
        </is>
      </c>
      <c r="B523" t="inlineStr">
        <is>
          <t>CVE-2026-22553</t>
        </is>
      </c>
      <c r="C523" t="inlineStr">
        <is>
          <t>All versions of InSAT MasterSCADA BUK-TS are susceptible to OS command injection through a field in its MMadmServ web interface. Malicious users that use the vulnerable endpoint are potentially able to cause remote code execution.</t>
        </is>
      </c>
      <c r="D523" t="n">
        <v>9.800000000000001</v>
      </c>
      <c r="E523" t="inlineStr">
        <is>
          <t>CRITICAL</t>
        </is>
      </c>
      <c r="F523" t="n">
        <v>2</v>
      </c>
      <c r="G523" t="n">
        <v>3</v>
      </c>
      <c r="H523" t="inlineStr">
        <is>
          <t>HIGH</t>
        </is>
      </c>
      <c r="I523" t="n">
        <v>15.8</v>
      </c>
      <c r="J523" t="inlineStr">
        <is>
          <t>NO</t>
        </is>
      </c>
      <c r="K523" t="inlineStr">
        <is>
          <t>2026-02-27 20:47</t>
        </is>
      </c>
      <c r="L523" t="inlineStr">
        <is>
          <t>CHECK_VENDOR</t>
        </is>
      </c>
      <c r="M523" t="inlineStr">
        <is>
          <t>insat masterscada *</t>
        </is>
      </c>
      <c r="N523" t="inlineStr">
        <is>
          <t>P2</t>
        </is>
      </c>
      <c r="O523" t="inlineStr">
        <is>
          <t>CVE - IP enrichment n/a</t>
        </is>
      </c>
      <c r="P523" t="n">
        <v>0.0089</v>
      </c>
      <c r="Q523" t="n">
        <v>0.7526</v>
      </c>
      <c r="R523" t="inlineStr">
        <is>
          <t>T1059:Command and Scripting Interpreter | T1190:Exploit Public-Facing Application | T1210:Exploitation of Remote Services</t>
        </is>
      </c>
      <c r="S523" t="n">
        <v>1</v>
      </c>
      <c r="T523" t="inlineStr">
        <is>
          <t>LOW (40%)</t>
        </is>
      </c>
      <c r="U523" t="inlineStr">
        <is>
          <t>UNLIKELY</t>
        </is>
      </c>
      <c r="V523" t="inlineStr">
        <is>
          <t>CHECK_VENDOR</t>
        </is>
      </c>
      <c r="W523" t="inlineStr">
        <is>
          <t>https://nvd.nist.gov/vuln/detail/CVE-2026-22553</t>
        </is>
      </c>
      <c r="X523" t="inlineStr">
        <is>
          <t>NONE</t>
        </is>
      </c>
      <c r="Y523" t="n">
        <v>0</v>
      </c>
      <c r="Z523" t="inlineStr"/>
      <c r="AA523" t="inlineStr">
        <is>
          <t>https://nvd.nist.gov/vuln/detail/CVE-2026-22553</t>
        </is>
      </c>
    </row>
    <row r="524">
      <c r="A524" t="inlineStr">
        <is>
          <t>CVE</t>
        </is>
      </c>
      <c r="B524" t="inlineStr">
        <is>
          <t>CVE-2026-24443</t>
        </is>
      </c>
      <c r="C524"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524" t="n">
        <v>8.800000000000001</v>
      </c>
      <c r="E524" t="inlineStr">
        <is>
          <t>HIGH</t>
        </is>
      </c>
      <c r="F524" t="n">
        <v>2</v>
      </c>
      <c r="G524" t="n">
        <v>3</v>
      </c>
      <c r="H524" t="inlineStr">
        <is>
          <t>HIGH</t>
        </is>
      </c>
      <c r="I524" t="n">
        <v>14.8</v>
      </c>
      <c r="J524" t="inlineStr">
        <is>
          <t>NO</t>
        </is>
      </c>
      <c r="K524" t="inlineStr">
        <is>
          <t>2026-02-27 20:47</t>
        </is>
      </c>
      <c r="L524" t="inlineStr">
        <is>
          <t>YES</t>
        </is>
      </c>
      <c r="M524" t="inlineStr">
        <is>
          <t>netikus eventsentry *</t>
        </is>
      </c>
      <c r="N524" t="inlineStr">
        <is>
          <t>P3</t>
        </is>
      </c>
      <c r="O524" t="inlineStr">
        <is>
          <t>CVE - IP enrichment n/a</t>
        </is>
      </c>
      <c r="P524" t="n">
        <v>0.0001</v>
      </c>
      <c r="Q524" t="n">
        <v>0.0193</v>
      </c>
      <c r="R524" t="inlineStr">
        <is>
          <t>T1068:Exploitation for Privilege Escalation | T1552:Unsecured Credentials</t>
        </is>
      </c>
      <c r="S524" t="n">
        <v>1</v>
      </c>
      <c r="T524" t="inlineStr">
        <is>
          <t>LOW (40%)</t>
        </is>
      </c>
      <c r="U524" t="inlineStr">
        <is>
          <t>UNLIKELY</t>
        </is>
      </c>
      <c r="V524" t="inlineStr">
        <is>
          <t>PATCH_AVAILABLE</t>
        </is>
      </c>
      <c r="W524" t="inlineStr">
        <is>
          <t>https://nvd.nist.gov/vuln/detail/CVE-2026-24443</t>
        </is>
      </c>
      <c r="X524" t="inlineStr">
        <is>
          <t>NONE</t>
        </is>
      </c>
      <c r="Y524" t="n">
        <v>0</v>
      </c>
      <c r="Z524" t="inlineStr"/>
      <c r="AA524" t="inlineStr">
        <is>
          <t>https://nvd.nist.gov/vuln/detail/CVE-2026-24443</t>
        </is>
      </c>
    </row>
    <row r="525">
      <c r="A525" t="inlineStr">
        <is>
          <t>CVE</t>
        </is>
      </c>
      <c r="B525" t="inlineStr">
        <is>
          <t>CVE-2026-25882</t>
        </is>
      </c>
      <c r="C525"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525" t="n">
        <v>7.5</v>
      </c>
      <c r="E525" t="inlineStr">
        <is>
          <t>HIGH</t>
        </is>
      </c>
      <c r="F525" t="n">
        <v>2</v>
      </c>
      <c r="G525" t="n">
        <v>3</v>
      </c>
      <c r="H525" t="inlineStr">
        <is>
          <t>HIGH</t>
        </is>
      </c>
      <c r="I525" t="n">
        <v>13.5</v>
      </c>
      <c r="J525" t="inlineStr">
        <is>
          <t>NO</t>
        </is>
      </c>
      <c r="K525" t="inlineStr">
        <is>
          <t>2026-02-27 20:47</t>
        </is>
      </c>
      <c r="L525" t="inlineStr">
        <is>
          <t>YES</t>
        </is>
      </c>
      <c r="M525" t="inlineStr">
        <is>
          <t>gofiber fiber *</t>
        </is>
      </c>
      <c r="N525" t="inlineStr">
        <is>
          <t>P3</t>
        </is>
      </c>
      <c r="O525" t="inlineStr">
        <is>
          <t>CVE - IP enrichment n/a</t>
        </is>
      </c>
      <c r="P525" t="n">
        <v>0.0004</v>
      </c>
      <c r="Q525" t="n">
        <v>0.1129</v>
      </c>
      <c r="R525" t="inlineStr">
        <is>
          <t>T1499:Endpoint Denial of Service</t>
        </is>
      </c>
      <c r="S525" t="n">
        <v>1</v>
      </c>
      <c r="T525" t="inlineStr">
        <is>
          <t>LOW (40%)</t>
        </is>
      </c>
      <c r="U525" t="inlineStr">
        <is>
          <t>UNLIKELY</t>
        </is>
      </c>
      <c r="V525" t="inlineStr">
        <is>
          <t>PATCH_AVAILABLE</t>
        </is>
      </c>
      <c r="W525" t="inlineStr">
        <is>
          <t>https://nvd.nist.gov/vuln/detail/CVE-2026-25882</t>
        </is>
      </c>
      <c r="X525" t="inlineStr">
        <is>
          <t>NONE</t>
        </is>
      </c>
      <c r="Y525" t="n">
        <v>0</v>
      </c>
      <c r="Z525" t="inlineStr"/>
      <c r="AA525" t="inlineStr">
        <is>
          <t>https://nvd.nist.gov/vuln/detail/CVE-2026-25882</t>
        </is>
      </c>
    </row>
    <row r="526">
      <c r="A526" t="inlineStr">
        <is>
          <t>CVE</t>
        </is>
      </c>
      <c r="B526" t="inlineStr">
        <is>
          <t>CVE-2026-25891</t>
        </is>
      </c>
      <c r="C526"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526" t="n">
        <v>7.5</v>
      </c>
      <c r="E526" t="inlineStr">
        <is>
          <t>HIGH</t>
        </is>
      </c>
      <c r="F526" t="n">
        <v>2</v>
      </c>
      <c r="G526" t="n">
        <v>3</v>
      </c>
      <c r="H526" t="inlineStr">
        <is>
          <t>HIGH</t>
        </is>
      </c>
      <c r="I526" t="n">
        <v>13.5</v>
      </c>
      <c r="J526" t="inlineStr">
        <is>
          <t>NO</t>
        </is>
      </c>
      <c r="K526" t="inlineStr">
        <is>
          <t>2026-02-27 20:47</t>
        </is>
      </c>
      <c r="L526" t="inlineStr">
        <is>
          <t>YES</t>
        </is>
      </c>
      <c r="M526" t="inlineStr">
        <is>
          <t>gofiber fiber *</t>
        </is>
      </c>
      <c r="N526" t="inlineStr">
        <is>
          <t>P3</t>
        </is>
      </c>
      <c r="O526" t="inlineStr">
        <is>
          <t>CVE - IP enrichment n/a</t>
        </is>
      </c>
      <c r="P526" t="n">
        <v>0.0002</v>
      </c>
      <c r="Q526" t="n">
        <v>0.0515</v>
      </c>
      <c r="R526" t="inlineStr">
        <is>
          <t>T1083:File and Directory Discovery</t>
        </is>
      </c>
      <c r="S526" t="n">
        <v>1</v>
      </c>
      <c r="T526" t="inlineStr">
        <is>
          <t>LOW (40%)</t>
        </is>
      </c>
      <c r="U526" t="inlineStr">
        <is>
          <t>UNLIKELY</t>
        </is>
      </c>
      <c r="V526" t="inlineStr">
        <is>
          <t>PATCH_AVAILABLE</t>
        </is>
      </c>
      <c r="W526" t="inlineStr">
        <is>
          <t>https://nvd.nist.gov/vuln/detail/CVE-2026-25891</t>
        </is>
      </c>
      <c r="X526" t="inlineStr">
        <is>
          <t>NONE</t>
        </is>
      </c>
      <c r="Y526" t="n">
        <v>0</v>
      </c>
      <c r="Z526" t="inlineStr"/>
      <c r="AA526" t="inlineStr">
        <is>
          <t>https://nvd.nist.gov/vuln/detail/CVE-2026-25891</t>
        </is>
      </c>
    </row>
    <row r="527">
      <c r="A527" t="inlineStr">
        <is>
          <t>CVE</t>
        </is>
      </c>
      <c r="B527" t="inlineStr">
        <is>
          <t>CVE-2026-25899</t>
        </is>
      </c>
      <c r="C527"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527" t="n">
        <v>7.5</v>
      </c>
      <c r="E527" t="inlineStr">
        <is>
          <t>HIGH</t>
        </is>
      </c>
      <c r="F527" t="n">
        <v>2</v>
      </c>
      <c r="G527" t="n">
        <v>3</v>
      </c>
      <c r="H527" t="inlineStr">
        <is>
          <t>HIGH</t>
        </is>
      </c>
      <c r="I527" t="n">
        <v>13.5</v>
      </c>
      <c r="J527" t="inlineStr">
        <is>
          <t>NO</t>
        </is>
      </c>
      <c r="K527" t="inlineStr">
        <is>
          <t>2026-02-27 20:47</t>
        </is>
      </c>
      <c r="L527" t="inlineStr">
        <is>
          <t>YES</t>
        </is>
      </c>
      <c r="M527" t="inlineStr">
        <is>
          <t>gofiber fiber *</t>
        </is>
      </c>
      <c r="N527" t="inlineStr">
        <is>
          <t>P3</t>
        </is>
      </c>
      <c r="O527" t="inlineStr">
        <is>
          <t>CVE - IP enrichment n/a</t>
        </is>
      </c>
      <c r="P527" t="n">
        <v>0.001</v>
      </c>
      <c r="Q527" t="n">
        <v>0.2717</v>
      </c>
      <c r="R527" t="inlineStr">
        <is>
          <t>T1190:Exploit Public-Facing Application | T1059:Command and Scripting Interpreter</t>
        </is>
      </c>
      <c r="S527" t="n">
        <v>1</v>
      </c>
      <c r="T527" t="inlineStr">
        <is>
          <t>LOW (40%)</t>
        </is>
      </c>
      <c r="U527" t="inlineStr">
        <is>
          <t>UNLIKELY</t>
        </is>
      </c>
      <c r="V527" t="inlineStr">
        <is>
          <t>PATCH_AVAILABLE</t>
        </is>
      </c>
      <c r="W527" t="inlineStr">
        <is>
          <t>https://nvd.nist.gov/vuln/detail/CVE-2026-25899</t>
        </is>
      </c>
      <c r="X527" t="inlineStr">
        <is>
          <t>NONE</t>
        </is>
      </c>
      <c r="Y527" t="n">
        <v>0</v>
      </c>
      <c r="Z527" t="inlineStr"/>
      <c r="AA527" t="inlineStr">
        <is>
          <t>https://nvd.nist.gov/vuln/detail/CVE-2026-25899</t>
        </is>
      </c>
    </row>
    <row r="528">
      <c r="A528" t="inlineStr">
        <is>
          <t>CVE</t>
        </is>
      </c>
      <c r="B528" t="inlineStr">
        <is>
          <t>CVE-2026-27117</t>
        </is>
      </c>
      <c r="C528"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528" t="n">
        <v>5.5</v>
      </c>
      <c r="E528" t="inlineStr">
        <is>
          <t>MEDIUM</t>
        </is>
      </c>
      <c r="F528" t="n">
        <v>2</v>
      </c>
      <c r="G528" t="n">
        <v>2</v>
      </c>
      <c r="H528" t="inlineStr">
        <is>
          <t>MEDIUM</t>
        </is>
      </c>
      <c r="I528" t="n">
        <v>9.5</v>
      </c>
      <c r="J528" t="inlineStr">
        <is>
          <t>NO</t>
        </is>
      </c>
      <c r="K528" t="inlineStr">
        <is>
          <t>2026-02-27 20:47</t>
        </is>
      </c>
      <c r="L528" t="inlineStr">
        <is>
          <t>YES</t>
        </is>
      </c>
      <c r="M528" t="inlineStr">
        <is>
          <t>rikyoz bit7z *</t>
        </is>
      </c>
      <c r="N528" t="inlineStr">
        <is>
          <t>P4</t>
        </is>
      </c>
      <c r="O528" t="inlineStr">
        <is>
          <t>CVE - IP enrichment n/a</t>
        </is>
      </c>
      <c r="P528" t="n">
        <v>0.0004</v>
      </c>
      <c r="Q528" t="n">
        <v>0.1219</v>
      </c>
      <c r="R528" t="inlineStr">
        <is>
          <t>T1083:File and Directory Discovery</t>
        </is>
      </c>
      <c r="S528" t="n">
        <v>1</v>
      </c>
      <c r="T528" t="inlineStr">
        <is>
          <t>LOW (40%)</t>
        </is>
      </c>
      <c r="U528" t="inlineStr">
        <is>
          <t>UNLIKELY</t>
        </is>
      </c>
      <c r="V528" t="inlineStr">
        <is>
          <t>PATCH_AVAILABLE</t>
        </is>
      </c>
      <c r="W528" t="inlineStr">
        <is>
          <t>https://nvd.nist.gov/vuln/detail/CVE-2026-27117</t>
        </is>
      </c>
      <c r="X528" t="inlineStr">
        <is>
          <t>NONE</t>
        </is>
      </c>
      <c r="Y528" t="n">
        <v>0</v>
      </c>
      <c r="Z528" t="inlineStr"/>
      <c r="AA528" t="inlineStr">
        <is>
          <t>https://nvd.nist.gov/vuln/detail/CVE-2026-27117</t>
        </is>
      </c>
    </row>
    <row r="529">
      <c r="A529" t="inlineStr">
        <is>
          <t>CVE</t>
        </is>
      </c>
      <c r="B529" t="inlineStr">
        <is>
          <t>CVE-2026-27195</t>
        </is>
      </c>
      <c r="C529"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529" t="n">
        <v>7.5</v>
      </c>
      <c r="E529" t="inlineStr">
        <is>
          <t>HIGH</t>
        </is>
      </c>
      <c r="F529" t="n">
        <v>2</v>
      </c>
      <c r="G529" t="n">
        <v>3</v>
      </c>
      <c r="H529" t="inlineStr">
        <is>
          <t>HIGH</t>
        </is>
      </c>
      <c r="I529" t="n">
        <v>13.5</v>
      </c>
      <c r="J529" t="inlineStr">
        <is>
          <t>NO</t>
        </is>
      </c>
      <c r="K529" t="inlineStr">
        <is>
          <t>2026-02-27 20:47</t>
        </is>
      </c>
      <c r="L529" t="inlineStr">
        <is>
          <t>YES</t>
        </is>
      </c>
      <c r="M529" t="inlineStr">
        <is>
          <t>bytecodealliance wasmtime *</t>
        </is>
      </c>
      <c r="N529" t="inlineStr">
        <is>
          <t>P3</t>
        </is>
      </c>
      <c r="O529" t="inlineStr">
        <is>
          <t>CVE - IP enrichment n/a</t>
        </is>
      </c>
      <c r="P529" t="n">
        <v>0.0005</v>
      </c>
      <c r="Q529" t="n">
        <v>0.1691</v>
      </c>
      <c r="R529" t="inlineStr">
        <is>
          <t>T1190:Exploit Public-Facing Application</t>
        </is>
      </c>
      <c r="S529" t="n">
        <v>1</v>
      </c>
      <c r="T529" t="inlineStr">
        <is>
          <t>LOW (40%)</t>
        </is>
      </c>
      <c r="U529" t="inlineStr">
        <is>
          <t>UNLIKELY</t>
        </is>
      </c>
      <c r="V529" t="inlineStr">
        <is>
          <t>PATCH_AVAILABLE</t>
        </is>
      </c>
      <c r="W529" t="inlineStr">
        <is>
          <t>https://nvd.nist.gov/vuln/detail/CVE-2026-27195</t>
        </is>
      </c>
      <c r="X529" t="inlineStr">
        <is>
          <t>NONE</t>
        </is>
      </c>
      <c r="Y529" t="n">
        <v>0</v>
      </c>
      <c r="Z529" t="inlineStr"/>
      <c r="AA529" t="inlineStr">
        <is>
          <t>https://nvd.nist.gov/vuln/detail/CVE-2026-27195</t>
        </is>
      </c>
    </row>
    <row r="530">
      <c r="A530" t="inlineStr">
        <is>
          <t>CVE</t>
        </is>
      </c>
      <c r="B530" t="inlineStr">
        <is>
          <t>CVE-2026-27204</t>
        </is>
      </c>
      <c r="C530"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530" t="n">
        <v>6.5</v>
      </c>
      <c r="E530" t="inlineStr">
        <is>
          <t>MEDIUM</t>
        </is>
      </c>
      <c r="F530" t="n">
        <v>2</v>
      </c>
      <c r="G530" t="n">
        <v>2</v>
      </c>
      <c r="H530" t="inlineStr">
        <is>
          <t>MEDIUM</t>
        </is>
      </c>
      <c r="I530" t="n">
        <v>10.5</v>
      </c>
      <c r="J530" t="inlineStr">
        <is>
          <t>NO</t>
        </is>
      </c>
      <c r="K530" t="inlineStr">
        <is>
          <t>2026-02-27 20:47</t>
        </is>
      </c>
      <c r="L530" t="inlineStr">
        <is>
          <t>CHECK_VENDOR</t>
        </is>
      </c>
      <c r="M530" t="inlineStr">
        <is>
          <t>bytecodealliance wasmtime *</t>
        </is>
      </c>
      <c r="N530" t="inlineStr">
        <is>
          <t>P4</t>
        </is>
      </c>
      <c r="O530" t="inlineStr">
        <is>
          <t>CVE - IP enrichment n/a</t>
        </is>
      </c>
      <c r="P530" t="n">
        <v>0.0005999999999999999</v>
      </c>
      <c r="Q530" t="n">
        <v>0.1936</v>
      </c>
      <c r="R530" t="inlineStr">
        <is>
          <t>T1190:Exploit Public-Facing Application | T1499:Endpoint Denial of Service</t>
        </is>
      </c>
      <c r="S530" t="n">
        <v>1</v>
      </c>
      <c r="T530" t="inlineStr">
        <is>
          <t>LOW (40%)</t>
        </is>
      </c>
      <c r="U530" t="inlineStr">
        <is>
          <t>UNLIKELY</t>
        </is>
      </c>
      <c r="V530" t="inlineStr">
        <is>
          <t>CHECK_VENDOR</t>
        </is>
      </c>
      <c r="W530" t="inlineStr">
        <is>
          <t>https://nvd.nist.gov/vuln/detail/CVE-2026-27204</t>
        </is>
      </c>
      <c r="X530" t="inlineStr">
        <is>
          <t>NONE</t>
        </is>
      </c>
      <c r="Y530" t="n">
        <v>0</v>
      </c>
      <c r="Z530" t="inlineStr"/>
      <c r="AA530" t="inlineStr">
        <is>
          <t>https://nvd.nist.gov/vuln/detail/CVE-2026-27204</t>
        </is>
      </c>
    </row>
    <row r="531">
      <c r="A531" t="inlineStr">
        <is>
          <t>CVE</t>
        </is>
      </c>
      <c r="B531" t="inlineStr">
        <is>
          <t>CVE-2026-27572</t>
        </is>
      </c>
      <c r="C531"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531" t="n">
        <v>7.5</v>
      </c>
      <c r="E531" t="inlineStr">
        <is>
          <t>HIGH</t>
        </is>
      </c>
      <c r="F531" t="n">
        <v>2</v>
      </c>
      <c r="G531" t="n">
        <v>3</v>
      </c>
      <c r="H531" t="inlineStr">
        <is>
          <t>HIGH</t>
        </is>
      </c>
      <c r="I531" t="n">
        <v>13.5</v>
      </c>
      <c r="J531" t="inlineStr">
        <is>
          <t>NO</t>
        </is>
      </c>
      <c r="K531" t="inlineStr">
        <is>
          <t>2026-02-27 20:47</t>
        </is>
      </c>
      <c r="L531" t="inlineStr">
        <is>
          <t>YES</t>
        </is>
      </c>
      <c r="M531" t="inlineStr">
        <is>
          <t>bytecodealliance wasmtime *</t>
        </is>
      </c>
      <c r="N531" t="inlineStr">
        <is>
          <t>P3</t>
        </is>
      </c>
      <c r="O531" t="inlineStr">
        <is>
          <t>CVE - IP enrichment n/a</t>
        </is>
      </c>
      <c r="P531" t="n">
        <v>0.0007</v>
      </c>
      <c r="Q531" t="n">
        <v>0.2068</v>
      </c>
      <c r="R531" t="inlineStr">
        <is>
          <t>T1190:Exploit Public-Facing Application | T1499:Endpoint Denial of Service</t>
        </is>
      </c>
      <c r="S531" t="n">
        <v>1</v>
      </c>
      <c r="T531" t="inlineStr">
        <is>
          <t>LOW (40%)</t>
        </is>
      </c>
      <c r="U531" t="inlineStr">
        <is>
          <t>UNLIKELY</t>
        </is>
      </c>
      <c r="V531" t="inlineStr">
        <is>
          <t>PATCH_AVAILABLE</t>
        </is>
      </c>
      <c r="W531" t="inlineStr">
        <is>
          <t>https://nvd.nist.gov/vuln/detail/CVE-2026-27572</t>
        </is>
      </c>
      <c r="X531" t="inlineStr">
        <is>
          <t>NONE</t>
        </is>
      </c>
      <c r="Y531" t="n">
        <v>0</v>
      </c>
      <c r="Z531" t="inlineStr"/>
      <c r="AA531" t="inlineStr">
        <is>
          <t>https://nvd.nist.gov/vuln/detail/CVE-2026-27572</t>
        </is>
      </c>
    </row>
    <row r="532">
      <c r="A532" t="inlineStr">
        <is>
          <t>CVE</t>
        </is>
      </c>
      <c r="B532" t="inlineStr">
        <is>
          <t>CVE-2026-27593</t>
        </is>
      </c>
      <c r="C532"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532" t="n">
        <v>9.300000000000001</v>
      </c>
      <c r="E532" t="inlineStr">
        <is>
          <t>CRITICAL</t>
        </is>
      </c>
      <c r="F532" t="n">
        <v>2</v>
      </c>
      <c r="G532" t="n">
        <v>3</v>
      </c>
      <c r="H532" t="inlineStr">
        <is>
          <t>HIGH</t>
        </is>
      </c>
      <c r="I532" t="n">
        <v>15.3</v>
      </c>
      <c r="J532" t="inlineStr">
        <is>
          <t>NO</t>
        </is>
      </c>
      <c r="K532" t="inlineStr">
        <is>
          <t>2026-02-27 20:47</t>
        </is>
      </c>
      <c r="L532" t="inlineStr">
        <is>
          <t>YES</t>
        </is>
      </c>
      <c r="M532" t="inlineStr">
        <is>
          <t>statamic statamic *</t>
        </is>
      </c>
      <c r="N532" t="inlineStr">
        <is>
          <t>P3</t>
        </is>
      </c>
      <c r="O532" t="inlineStr">
        <is>
          <t>CVE - IP enrichment n/a</t>
        </is>
      </c>
      <c r="P532" t="n">
        <v>0.0001</v>
      </c>
      <c r="Q532" t="n">
        <v>0.0183</v>
      </c>
      <c r="R532" t="inlineStr">
        <is>
          <t>T1190:Exploit Public-Facing Application</t>
        </is>
      </c>
      <c r="S532" t="n">
        <v>1</v>
      </c>
      <c r="T532" t="inlineStr">
        <is>
          <t>LOW (40%)</t>
        </is>
      </c>
      <c r="U532" t="inlineStr">
        <is>
          <t>UNLIKELY</t>
        </is>
      </c>
      <c r="V532" t="inlineStr">
        <is>
          <t>PATCH_AVAILABLE</t>
        </is>
      </c>
      <c r="W532" t="inlineStr">
        <is>
          <t>https://nvd.nist.gov/vuln/detail/CVE-2026-27593</t>
        </is>
      </c>
      <c r="X532" t="inlineStr">
        <is>
          <t>NONE</t>
        </is>
      </c>
      <c r="Y532" t="n">
        <v>0</v>
      </c>
      <c r="Z532" t="inlineStr"/>
      <c r="AA532" t="inlineStr">
        <is>
          <t>https://nvd.nist.gov/vuln/detail/CVE-2026-27593</t>
        </is>
      </c>
    </row>
    <row r="533">
      <c r="A533" t="inlineStr">
        <is>
          <t>CVE</t>
        </is>
      </c>
      <c r="B533" t="inlineStr">
        <is>
          <t>CVE-2026-26351</t>
        </is>
      </c>
      <c r="C533"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533" t="n">
        <v>4.8</v>
      </c>
      <c r="E533" t="inlineStr">
        <is>
          <t>MEDIUM</t>
        </is>
      </c>
      <c r="F533" t="n">
        <v>2</v>
      </c>
      <c r="G533" t="n">
        <v>2</v>
      </c>
      <c r="H533" t="inlineStr">
        <is>
          <t>MEDIUM</t>
        </is>
      </c>
      <c r="I533" t="n">
        <v>8.800000000000001</v>
      </c>
      <c r="J533" t="inlineStr">
        <is>
          <t>NO</t>
        </is>
      </c>
      <c r="K533" t="inlineStr">
        <is>
          <t>2026-02-27 20:47</t>
        </is>
      </c>
      <c r="L533" t="inlineStr">
        <is>
          <t>CHECK_VENDOR</t>
        </is>
      </c>
      <c r="M533" t="inlineStr">
        <is>
          <t>getsimple-ce getsimple_cms *</t>
        </is>
      </c>
      <c r="N533" t="inlineStr">
        <is>
          <t>P4</t>
        </is>
      </c>
      <c r="O533" t="inlineStr">
        <is>
          <t>CVE - IP enrichment n/a</t>
        </is>
      </c>
      <c r="P533" t="n">
        <v>0.0002</v>
      </c>
      <c r="Q533" t="n">
        <v>0.0391</v>
      </c>
      <c r="R533" t="inlineStr">
        <is>
          <t>T1189:Drive-by Compromise</t>
        </is>
      </c>
      <c r="S533" t="n">
        <v>1</v>
      </c>
      <c r="T533" t="inlineStr">
        <is>
          <t>LOW (40%)</t>
        </is>
      </c>
      <c r="U533" t="inlineStr">
        <is>
          <t>UNLIKELY</t>
        </is>
      </c>
      <c r="V533" t="inlineStr">
        <is>
          <t>CHECK_VENDOR</t>
        </is>
      </c>
      <c r="W533" t="inlineStr">
        <is>
          <t>https://nvd.nist.gov/vuln/detail/CVE-2026-26351</t>
        </is>
      </c>
      <c r="X533" t="inlineStr">
        <is>
          <t>NONE</t>
        </is>
      </c>
      <c r="Y533" t="n">
        <v>0</v>
      </c>
      <c r="Z533" t="inlineStr"/>
      <c r="AA533" t="inlineStr">
        <is>
          <t>https://nvd.nist.gov/vuln/detail/CVE-2026-26351</t>
        </is>
      </c>
    </row>
    <row r="534">
      <c r="A534" t="inlineStr">
        <is>
          <t>CVE</t>
        </is>
      </c>
      <c r="B534" t="inlineStr">
        <is>
          <t>CVE-2026-3133</t>
        </is>
      </c>
      <c r="C534"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534" t="n">
        <v>7.3</v>
      </c>
      <c r="E534" t="inlineStr">
        <is>
          <t>HIGH</t>
        </is>
      </c>
      <c r="F534" t="n">
        <v>2</v>
      </c>
      <c r="G534" t="n">
        <v>3</v>
      </c>
      <c r="H534" t="inlineStr">
        <is>
          <t>HIGH</t>
        </is>
      </c>
      <c r="I534" t="n">
        <v>13.3</v>
      </c>
      <c r="J534" t="inlineStr">
        <is>
          <t>NO</t>
        </is>
      </c>
      <c r="K534" t="inlineStr">
        <is>
          <t>2026-02-27 20:47</t>
        </is>
      </c>
      <c r="L534" t="inlineStr">
        <is>
          <t>YES</t>
        </is>
      </c>
      <c r="M534" t="inlineStr">
        <is>
          <t>admerc document_management_system 1.0</t>
        </is>
      </c>
      <c r="N534" t="inlineStr">
        <is>
          <t>P3</t>
        </is>
      </c>
      <c r="O534" t="inlineStr">
        <is>
          <t>CVE - IP enrichment n/a</t>
        </is>
      </c>
      <c r="P534" t="n">
        <v>0.0003</v>
      </c>
      <c r="Q534" t="n">
        <v>0.0711</v>
      </c>
      <c r="R534" t="inlineStr">
        <is>
          <t>T1190:Exploit Public-Facing Application</t>
        </is>
      </c>
      <c r="S534" t="n">
        <v>1</v>
      </c>
      <c r="T534" t="inlineStr">
        <is>
          <t>LOW (40%)</t>
        </is>
      </c>
      <c r="U534" t="inlineStr">
        <is>
          <t>UNLIKELY</t>
        </is>
      </c>
      <c r="V534" t="inlineStr">
        <is>
          <t>PATCH_AVAILABLE</t>
        </is>
      </c>
      <c r="W534" t="inlineStr">
        <is>
          <t>https://nvd.nist.gov/vuln/detail/CVE-2026-3133</t>
        </is>
      </c>
      <c r="X534" t="inlineStr">
        <is>
          <t>NONE</t>
        </is>
      </c>
      <c r="Y534" t="n">
        <v>0</v>
      </c>
      <c r="Z534" t="inlineStr"/>
      <c r="AA534" t="inlineStr">
        <is>
          <t>https://nvd.nist.gov/vuln/detail/CVE-2026-3133</t>
        </is>
      </c>
    </row>
    <row r="535">
      <c r="A535" t="inlineStr">
        <is>
          <t>CVE</t>
        </is>
      </c>
      <c r="B535" t="inlineStr">
        <is>
          <t>CVE-2026-3134</t>
        </is>
      </c>
      <c r="C535"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535" t="n">
        <v>7.3</v>
      </c>
      <c r="E535" t="inlineStr">
        <is>
          <t>HIGH</t>
        </is>
      </c>
      <c r="F535" t="n">
        <v>2</v>
      </c>
      <c r="G535" t="n">
        <v>3</v>
      </c>
      <c r="H535" t="inlineStr">
        <is>
          <t>HIGH</t>
        </is>
      </c>
      <c r="I535" t="n">
        <v>13.3</v>
      </c>
      <c r="J535" t="inlineStr">
        <is>
          <t>NO</t>
        </is>
      </c>
      <c r="K535" t="inlineStr">
        <is>
          <t>2026-02-27 20:47</t>
        </is>
      </c>
      <c r="L535" t="inlineStr">
        <is>
          <t>YES</t>
        </is>
      </c>
      <c r="M535" t="inlineStr">
        <is>
          <t>clive_21 news_portal_project 1.0</t>
        </is>
      </c>
      <c r="N535" t="inlineStr">
        <is>
          <t>P3</t>
        </is>
      </c>
      <c r="O535" t="inlineStr">
        <is>
          <t>CVE - IP enrichment n/a</t>
        </is>
      </c>
      <c r="P535" t="n">
        <v>0.0003</v>
      </c>
      <c r="Q535" t="n">
        <v>0.0711</v>
      </c>
      <c r="R535" t="inlineStr">
        <is>
          <t>T1190:Exploit Public-Facing Application</t>
        </is>
      </c>
      <c r="S535" t="n">
        <v>1</v>
      </c>
      <c r="T535" t="inlineStr">
        <is>
          <t>LOW (40%)</t>
        </is>
      </c>
      <c r="U535" t="inlineStr">
        <is>
          <t>UNLIKELY</t>
        </is>
      </c>
      <c r="V535" t="inlineStr">
        <is>
          <t>PATCH_AVAILABLE</t>
        </is>
      </c>
      <c r="W535" t="inlineStr">
        <is>
          <t>https://nvd.nist.gov/vuln/detail/CVE-2026-3134</t>
        </is>
      </c>
      <c r="X535" t="inlineStr">
        <is>
          <t>NONE</t>
        </is>
      </c>
      <c r="Y535" t="n">
        <v>0</v>
      </c>
      <c r="Z535" t="inlineStr"/>
      <c r="AA535" t="inlineStr">
        <is>
          <t>https://nvd.nist.gov/vuln/detail/CVE-2026-3134</t>
        </is>
      </c>
    </row>
    <row r="536">
      <c r="A536" t="inlineStr">
        <is>
          <t>CVE</t>
        </is>
      </c>
      <c r="B536" t="inlineStr">
        <is>
          <t>CVE-2025-67491</t>
        </is>
      </c>
      <c r="C536"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536" t="n">
        <v>5.4</v>
      </c>
      <c r="E536" t="inlineStr">
        <is>
          <t>MEDIUM</t>
        </is>
      </c>
      <c r="F536" t="n">
        <v>2</v>
      </c>
      <c r="G536" t="n">
        <v>2</v>
      </c>
      <c r="H536" t="inlineStr">
        <is>
          <t>MEDIUM</t>
        </is>
      </c>
      <c r="I536" t="n">
        <v>9.4</v>
      </c>
      <c r="J536" t="inlineStr">
        <is>
          <t>NO</t>
        </is>
      </c>
      <c r="K536" t="inlineStr">
        <is>
          <t>2026-02-27 20:47</t>
        </is>
      </c>
      <c r="L536" t="inlineStr">
        <is>
          <t>YES</t>
        </is>
      </c>
      <c r="M536" t="inlineStr">
        <is>
          <t>open-emr openemr *</t>
        </is>
      </c>
      <c r="N536" t="inlineStr">
        <is>
          <t>P4</t>
        </is>
      </c>
      <c r="O536" t="inlineStr">
        <is>
          <t>CVE - IP enrichment n/a</t>
        </is>
      </c>
      <c r="P536" t="n">
        <v>0.0016</v>
      </c>
      <c r="Q536" t="n">
        <v>0.3709</v>
      </c>
      <c r="R536" t="inlineStr">
        <is>
          <t>T1189:Drive-by Compromise | T1190:Exploit Public-Facing Application</t>
        </is>
      </c>
      <c r="S536" t="n">
        <v>1</v>
      </c>
      <c r="T536" t="inlineStr">
        <is>
          <t>LOW (40%)</t>
        </is>
      </c>
      <c r="U536" t="inlineStr">
        <is>
          <t>UNLIKELY</t>
        </is>
      </c>
      <c r="V536" t="inlineStr">
        <is>
          <t>PATCH_AVAILABLE</t>
        </is>
      </c>
      <c r="W536" t="inlineStr">
        <is>
          <t>https://nvd.nist.gov/vuln/detail/CVE-2025-67491</t>
        </is>
      </c>
      <c r="X536" t="inlineStr">
        <is>
          <t>NONE</t>
        </is>
      </c>
      <c r="Y536" t="n">
        <v>0</v>
      </c>
      <c r="Z536" t="inlineStr"/>
      <c r="AA536" t="inlineStr">
        <is>
          <t>https://nvd.nist.gov/vuln/detail/CVE-2025-67491</t>
        </is>
      </c>
    </row>
    <row r="537">
      <c r="A537" t="inlineStr">
        <is>
          <t>CVE</t>
        </is>
      </c>
      <c r="B537" t="inlineStr">
        <is>
          <t>CVE-2026-27598</t>
        </is>
      </c>
      <c r="C537"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537" t="n">
        <v>6.5</v>
      </c>
      <c r="E537" t="inlineStr">
        <is>
          <t>MEDIUM</t>
        </is>
      </c>
      <c r="F537" t="n">
        <v>2</v>
      </c>
      <c r="G537" t="n">
        <v>2</v>
      </c>
      <c r="H537" t="inlineStr">
        <is>
          <t>MEDIUM</t>
        </is>
      </c>
      <c r="I537" t="n">
        <v>10.5</v>
      </c>
      <c r="J537" t="inlineStr">
        <is>
          <t>NO</t>
        </is>
      </c>
      <c r="K537" t="inlineStr">
        <is>
          <t>2026-02-27 20:47</t>
        </is>
      </c>
      <c r="L537" t="inlineStr">
        <is>
          <t>YES</t>
        </is>
      </c>
      <c r="M537" t="inlineStr">
        <is>
          <t>dagu dagu *</t>
        </is>
      </c>
      <c r="N537" t="inlineStr">
        <is>
          <t>P4</t>
        </is>
      </c>
      <c r="O537" t="inlineStr">
        <is>
          <t>CVE - IP enrichment n/a</t>
        </is>
      </c>
      <c r="P537" t="n">
        <v>0.0007</v>
      </c>
      <c r="Q537" t="n">
        <v>0.2165</v>
      </c>
      <c r="R537" t="inlineStr">
        <is>
          <t>T1083:File and Directory Discovery | T1190:Exploit Public-Facing Application | T1210:Exploitation of Remote Services</t>
        </is>
      </c>
      <c r="S537" t="n">
        <v>1</v>
      </c>
      <c r="T537" t="inlineStr">
        <is>
          <t>LOW (40%)</t>
        </is>
      </c>
      <c r="U537" t="inlineStr">
        <is>
          <t>UNLIKELY</t>
        </is>
      </c>
      <c r="V537" t="inlineStr">
        <is>
          <t>PATCH_AVAILABLE</t>
        </is>
      </c>
      <c r="W537" t="inlineStr">
        <is>
          <t>https://nvd.nist.gov/vuln/detail/CVE-2026-27598</t>
        </is>
      </c>
      <c r="X537" t="inlineStr">
        <is>
          <t>NONE</t>
        </is>
      </c>
      <c r="Y537" t="n">
        <v>0</v>
      </c>
      <c r="Z537" t="inlineStr"/>
      <c r="AA537" t="inlineStr">
        <is>
          <t>https://nvd.nist.gov/vuln/detail/CVE-2026-27598</t>
        </is>
      </c>
    </row>
    <row r="538">
      <c r="A538" t="inlineStr">
        <is>
          <t>CVE</t>
        </is>
      </c>
      <c r="B538" t="inlineStr">
        <is>
          <t>CVE-2026-3135</t>
        </is>
      </c>
      <c r="C538"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538" t="n">
        <v>7.3</v>
      </c>
      <c r="E538" t="inlineStr">
        <is>
          <t>HIGH</t>
        </is>
      </c>
      <c r="F538" t="n">
        <v>2</v>
      </c>
      <c r="G538" t="n">
        <v>3</v>
      </c>
      <c r="H538" t="inlineStr">
        <is>
          <t>HIGH</t>
        </is>
      </c>
      <c r="I538" t="n">
        <v>13.3</v>
      </c>
      <c r="J538" t="inlineStr">
        <is>
          <t>NO</t>
        </is>
      </c>
      <c r="K538" t="inlineStr">
        <is>
          <t>2026-02-27 20:47</t>
        </is>
      </c>
      <c r="L538" t="inlineStr">
        <is>
          <t>YES</t>
        </is>
      </c>
      <c r="M538" t="inlineStr">
        <is>
          <t>clive_21 news_portal_project 1.0</t>
        </is>
      </c>
      <c r="N538" t="inlineStr">
        <is>
          <t>P3</t>
        </is>
      </c>
      <c r="O538" t="inlineStr">
        <is>
          <t>CVE - IP enrichment n/a</t>
        </is>
      </c>
      <c r="P538" t="n">
        <v>0.0003</v>
      </c>
      <c r="Q538" t="n">
        <v>0.0711</v>
      </c>
      <c r="R538" t="inlineStr">
        <is>
          <t>T1190:Exploit Public-Facing Application</t>
        </is>
      </c>
      <c r="S538" t="n">
        <v>1</v>
      </c>
      <c r="T538" t="inlineStr">
        <is>
          <t>LOW (40%)</t>
        </is>
      </c>
      <c r="U538" t="inlineStr">
        <is>
          <t>UNLIKELY</t>
        </is>
      </c>
      <c r="V538" t="inlineStr">
        <is>
          <t>PATCH_AVAILABLE</t>
        </is>
      </c>
      <c r="W538" t="inlineStr">
        <is>
          <t>https://nvd.nist.gov/vuln/detail/CVE-2026-3135</t>
        </is>
      </c>
      <c r="X538" t="inlineStr">
        <is>
          <t>NONE</t>
        </is>
      </c>
      <c r="Y538" t="n">
        <v>0</v>
      </c>
      <c r="Z538" t="inlineStr"/>
      <c r="AA538" t="inlineStr">
        <is>
          <t>https://nvd.nist.gov/vuln/detail/CVE-2026-3135</t>
        </is>
      </c>
    </row>
    <row r="539">
      <c r="A539" t="inlineStr">
        <is>
          <t>CVE</t>
        </is>
      </c>
      <c r="B539" t="inlineStr">
        <is>
          <t>CVE-2026-3137</t>
        </is>
      </c>
      <c r="C539"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539" t="n">
        <v>5.3</v>
      </c>
      <c r="E539" t="inlineStr">
        <is>
          <t>MEDIUM</t>
        </is>
      </c>
      <c r="F539" t="n">
        <v>2</v>
      </c>
      <c r="G539" t="n">
        <v>2</v>
      </c>
      <c r="H539" t="inlineStr">
        <is>
          <t>MEDIUM</t>
        </is>
      </c>
      <c r="I539" t="n">
        <v>9.300000000000001</v>
      </c>
      <c r="J539" t="inlineStr">
        <is>
          <t>NO</t>
        </is>
      </c>
      <c r="K539" t="inlineStr">
        <is>
          <t>2026-02-27 20:47</t>
        </is>
      </c>
      <c r="L539" t="inlineStr">
        <is>
          <t>CHECK_VENDOR</t>
        </is>
      </c>
      <c r="M539" t="inlineStr">
        <is>
          <t>codeastro food_ordering_system 1.0</t>
        </is>
      </c>
      <c r="N539" t="inlineStr">
        <is>
          <t>P4</t>
        </is>
      </c>
      <c r="O539" t="inlineStr">
        <is>
          <t>CVE - IP enrichment n/a</t>
        </is>
      </c>
      <c r="P539" t="n">
        <v>0.0001</v>
      </c>
      <c r="Q539" t="n">
        <v>0.0247</v>
      </c>
      <c r="R539" t="inlineStr">
        <is>
          <t>T1203:Exploitation for Client Execution</t>
        </is>
      </c>
      <c r="S539" t="n">
        <v>1</v>
      </c>
      <c r="T539" t="inlineStr">
        <is>
          <t>LOW (40%)</t>
        </is>
      </c>
      <c r="U539" t="inlineStr">
        <is>
          <t>UNLIKELY</t>
        </is>
      </c>
      <c r="V539" t="inlineStr">
        <is>
          <t>CHECK_VENDOR</t>
        </is>
      </c>
      <c r="W539" t="inlineStr">
        <is>
          <t>https://nvd.nist.gov/vuln/detail/CVE-2026-3137</t>
        </is>
      </c>
      <c r="X539" t="inlineStr">
        <is>
          <t>NONE</t>
        </is>
      </c>
      <c r="Y539" t="n">
        <v>0</v>
      </c>
      <c r="Z539" t="inlineStr"/>
      <c r="AA539" t="inlineStr">
        <is>
          <t>https://nvd.nist.gov/vuln/detail/CVE-2026-3137</t>
        </is>
      </c>
    </row>
    <row r="540">
      <c r="A540" t="inlineStr">
        <is>
          <t>CVE</t>
        </is>
      </c>
      <c r="B540" t="inlineStr">
        <is>
          <t>CVE-2025-67752</t>
        </is>
      </c>
      <c r="C540"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540" t="n">
        <v>8.1</v>
      </c>
      <c r="E540" t="inlineStr">
        <is>
          <t>HIGH</t>
        </is>
      </c>
      <c r="F540" t="n">
        <v>2</v>
      </c>
      <c r="G540" t="n">
        <v>3</v>
      </c>
      <c r="H540" t="inlineStr">
        <is>
          <t>HIGH</t>
        </is>
      </c>
      <c r="I540" t="n">
        <v>14.1</v>
      </c>
      <c r="J540" t="inlineStr">
        <is>
          <t>NO</t>
        </is>
      </c>
      <c r="K540" t="inlineStr">
        <is>
          <t>2026-02-27 20:47</t>
        </is>
      </c>
      <c r="L540" t="inlineStr">
        <is>
          <t>YES</t>
        </is>
      </c>
      <c r="M540" t="inlineStr">
        <is>
          <t>open-emr openemr *</t>
        </is>
      </c>
      <c r="N540" t="inlineStr">
        <is>
          <t>P3</t>
        </is>
      </c>
      <c r="O540" t="inlineStr">
        <is>
          <t>CVE - IP enrichment n/a</t>
        </is>
      </c>
      <c r="P540" t="n">
        <v>0.0001</v>
      </c>
      <c r="Q540" t="n">
        <v>0.0028</v>
      </c>
      <c r="R540" t="inlineStr">
        <is>
          <t>T1190:Exploit Public-Facing Application | T1557:Adversary-in-the-Middle</t>
        </is>
      </c>
      <c r="S540" t="n">
        <v>1</v>
      </c>
      <c r="T540" t="inlineStr">
        <is>
          <t>LOW (40%)</t>
        </is>
      </c>
      <c r="U540" t="inlineStr">
        <is>
          <t>UNLIKELY</t>
        </is>
      </c>
      <c r="V540" t="inlineStr">
        <is>
          <t>PATCH_AVAILABLE</t>
        </is>
      </c>
      <c r="W540" t="inlineStr">
        <is>
          <t>https://nvd.nist.gov/vuln/detail/CVE-2025-67752</t>
        </is>
      </c>
      <c r="X540" t="inlineStr">
        <is>
          <t>NONE</t>
        </is>
      </c>
      <c r="Y540" t="n">
        <v>0</v>
      </c>
      <c r="Z540" t="inlineStr"/>
      <c r="AA540" t="inlineStr">
        <is>
          <t>https://nvd.nist.gov/vuln/detail/CVE-2025-67752</t>
        </is>
      </c>
    </row>
    <row r="541">
      <c r="A541" t="inlineStr">
        <is>
          <t>CVE</t>
        </is>
      </c>
      <c r="B541" t="inlineStr">
        <is>
          <t>CVE-2025-68277</t>
        </is>
      </c>
      <c r="C541"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541" t="n">
        <v>5</v>
      </c>
      <c r="E541" t="inlineStr">
        <is>
          <t>MEDIUM</t>
        </is>
      </c>
      <c r="F541" t="n">
        <v>2</v>
      </c>
      <c r="G541" t="n">
        <v>2</v>
      </c>
      <c r="H541" t="inlineStr">
        <is>
          <t>MEDIUM</t>
        </is>
      </c>
      <c r="I541" t="n">
        <v>9</v>
      </c>
      <c r="J541" t="inlineStr">
        <is>
          <t>NO</t>
        </is>
      </c>
      <c r="K541" t="inlineStr">
        <is>
          <t>2026-02-27 20:47</t>
        </is>
      </c>
      <c r="L541" t="inlineStr">
        <is>
          <t>YES</t>
        </is>
      </c>
      <c r="M541" t="inlineStr">
        <is>
          <t>open-emr openemr *</t>
        </is>
      </c>
      <c r="N541" t="inlineStr">
        <is>
          <t>P4</t>
        </is>
      </c>
      <c r="O541" t="inlineStr">
        <is>
          <t>CVE - IP enrichment n/a</t>
        </is>
      </c>
      <c r="P541" t="n">
        <v>0.0001</v>
      </c>
      <c r="Q541" t="n">
        <v>0.0025</v>
      </c>
      <c r="R541" t="inlineStr">
        <is>
          <t>T1190:Exploit Public-Facing Application | T1566:Phishing</t>
        </is>
      </c>
      <c r="S541" t="n">
        <v>1</v>
      </c>
      <c r="T541" t="inlineStr">
        <is>
          <t>LOW (40%)</t>
        </is>
      </c>
      <c r="U541" t="inlineStr">
        <is>
          <t>UNLIKELY</t>
        </is>
      </c>
      <c r="V541" t="inlineStr">
        <is>
          <t>PATCH_AVAILABLE</t>
        </is>
      </c>
      <c r="W541" t="inlineStr">
        <is>
          <t>https://nvd.nist.gov/vuln/detail/CVE-2025-68277</t>
        </is>
      </c>
      <c r="X541" t="inlineStr">
        <is>
          <t>NONE</t>
        </is>
      </c>
      <c r="Y541" t="n">
        <v>0</v>
      </c>
      <c r="Z541" t="inlineStr"/>
      <c r="AA541" t="inlineStr">
        <is>
          <t>https://nvd.nist.gov/vuln/detail/CVE-2025-68277</t>
        </is>
      </c>
    </row>
    <row r="542">
      <c r="A542" t="inlineStr">
        <is>
          <t>CVE</t>
        </is>
      </c>
      <c r="B542" t="inlineStr">
        <is>
          <t>CVE-2025-69231</t>
        </is>
      </c>
      <c r="C542"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542" t="n">
        <v>8.699999999999999</v>
      </c>
      <c r="E542" t="inlineStr">
        <is>
          <t>HIGH</t>
        </is>
      </c>
      <c r="F542" t="n">
        <v>2</v>
      </c>
      <c r="G542" t="n">
        <v>3</v>
      </c>
      <c r="H542" t="inlineStr">
        <is>
          <t>HIGH</t>
        </is>
      </c>
      <c r="I542" t="n">
        <v>14.7</v>
      </c>
      <c r="J542" t="inlineStr">
        <is>
          <t>NO</t>
        </is>
      </c>
      <c r="K542" t="inlineStr">
        <is>
          <t>2026-02-27 20:47</t>
        </is>
      </c>
      <c r="L542" t="inlineStr">
        <is>
          <t>YES</t>
        </is>
      </c>
      <c r="M542" t="inlineStr">
        <is>
          <t>open-emr openemr *</t>
        </is>
      </c>
      <c r="N542" t="inlineStr">
        <is>
          <t>P3</t>
        </is>
      </c>
      <c r="O542" t="inlineStr">
        <is>
          <t>CVE - IP enrichment n/a</t>
        </is>
      </c>
      <c r="P542" t="n">
        <v>0.0017</v>
      </c>
      <c r="Q542" t="n">
        <v>0.3783</v>
      </c>
      <c r="R542" t="inlineStr">
        <is>
          <t>T1189:Drive-by Compromise | T1190:Exploit Public-Facing Application | T1068:Exploitation for Privilege Escalation</t>
        </is>
      </c>
      <c r="S542" t="n">
        <v>1</v>
      </c>
      <c r="T542" t="inlineStr">
        <is>
          <t>LOW (40%)</t>
        </is>
      </c>
      <c r="U542" t="inlineStr">
        <is>
          <t>UNLIKELY</t>
        </is>
      </c>
      <c r="V542" t="inlineStr">
        <is>
          <t>PATCH_AVAILABLE</t>
        </is>
      </c>
      <c r="W542" t="inlineStr">
        <is>
          <t>https://nvd.nist.gov/vuln/detail/CVE-2025-69231</t>
        </is>
      </c>
      <c r="X542" t="inlineStr">
        <is>
          <t>NONE</t>
        </is>
      </c>
      <c r="Y542" t="n">
        <v>0</v>
      </c>
      <c r="Z542" t="inlineStr"/>
      <c r="AA542" t="inlineStr">
        <is>
          <t>https://nvd.nist.gov/vuln/detail/CVE-2025-69231</t>
        </is>
      </c>
    </row>
    <row r="543">
      <c r="A543" t="inlineStr">
        <is>
          <t>CVE</t>
        </is>
      </c>
      <c r="B543" t="inlineStr">
        <is>
          <t>CVE-2026-21443</t>
        </is>
      </c>
      <c r="C543"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543" t="n">
        <v>6.1</v>
      </c>
      <c r="E543" t="inlineStr">
        <is>
          <t>MEDIUM</t>
        </is>
      </c>
      <c r="F543" t="n">
        <v>2</v>
      </c>
      <c r="G543" t="n">
        <v>2</v>
      </c>
      <c r="H543" t="inlineStr">
        <is>
          <t>MEDIUM</t>
        </is>
      </c>
      <c r="I543" t="n">
        <v>10.1</v>
      </c>
      <c r="J543" t="inlineStr">
        <is>
          <t>NO</t>
        </is>
      </c>
      <c r="K543" t="inlineStr">
        <is>
          <t>2026-02-27 20:47</t>
        </is>
      </c>
      <c r="L543" t="inlineStr">
        <is>
          <t>YES</t>
        </is>
      </c>
      <c r="M543" t="inlineStr">
        <is>
          <t>open-emr openemr *</t>
        </is>
      </c>
      <c r="N543" t="inlineStr">
        <is>
          <t>P4</t>
        </is>
      </c>
      <c r="O543" t="inlineStr">
        <is>
          <t>CVE - IP enrichment n/a</t>
        </is>
      </c>
      <c r="P543" t="n">
        <v>0.0011</v>
      </c>
      <c r="Q543" t="n">
        <v>0.2928</v>
      </c>
      <c r="R543" t="inlineStr">
        <is>
          <t>T1190:Exploit Public-Facing Application | T1189:Drive-by Compromise</t>
        </is>
      </c>
      <c r="S543" t="n">
        <v>1</v>
      </c>
      <c r="T543" t="inlineStr">
        <is>
          <t>LOW (40%)</t>
        </is>
      </c>
      <c r="U543" t="inlineStr">
        <is>
          <t>UNLIKELY</t>
        </is>
      </c>
      <c r="V543" t="inlineStr">
        <is>
          <t>PATCH_AVAILABLE</t>
        </is>
      </c>
      <c r="W543" t="inlineStr">
        <is>
          <t>https://nvd.nist.gov/vuln/detail/CVE-2026-21443</t>
        </is>
      </c>
      <c r="X543" t="inlineStr">
        <is>
          <t>NONE</t>
        </is>
      </c>
      <c r="Y543" t="n">
        <v>0</v>
      </c>
      <c r="Z543" t="inlineStr"/>
      <c r="AA543" t="inlineStr">
        <is>
          <t>https://nvd.nist.gov/vuln/detail/CVE-2026-21443</t>
        </is>
      </c>
    </row>
    <row r="544">
      <c r="A544" t="inlineStr">
        <is>
          <t>CVE</t>
        </is>
      </c>
      <c r="B544" t="inlineStr">
        <is>
          <t>CVE-2026-24847</t>
        </is>
      </c>
      <c r="C544"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544" t="n">
        <v>6.1</v>
      </c>
      <c r="E544" t="inlineStr">
        <is>
          <t>MEDIUM</t>
        </is>
      </c>
      <c r="F544" t="n">
        <v>2</v>
      </c>
      <c r="G544" t="n">
        <v>2</v>
      </c>
      <c r="H544" t="inlineStr">
        <is>
          <t>MEDIUM</t>
        </is>
      </c>
      <c r="I544" t="n">
        <v>10.1</v>
      </c>
      <c r="J544" t="inlineStr">
        <is>
          <t>NO</t>
        </is>
      </c>
      <c r="K544" t="inlineStr">
        <is>
          <t>2026-02-27 20:47</t>
        </is>
      </c>
      <c r="L544" t="inlineStr">
        <is>
          <t>YES</t>
        </is>
      </c>
      <c r="M544" t="inlineStr">
        <is>
          <t>open-emr openemr *</t>
        </is>
      </c>
      <c r="N544" t="inlineStr">
        <is>
          <t>P4</t>
        </is>
      </c>
      <c r="O544" t="inlineStr">
        <is>
          <t>CVE - IP enrichment n/a</t>
        </is>
      </c>
      <c r="P544" t="n">
        <v>0.0009</v>
      </c>
      <c r="Q544" t="n">
        <v>0.2485</v>
      </c>
      <c r="R544" t="inlineStr">
        <is>
          <t>T1189:Drive-by Compromise | T1190:Exploit Public-Facing Application | T1566:Phishing</t>
        </is>
      </c>
      <c r="S544" t="n">
        <v>1</v>
      </c>
      <c r="T544" t="inlineStr">
        <is>
          <t>LOW (40%)</t>
        </is>
      </c>
      <c r="U544" t="inlineStr">
        <is>
          <t>UNLIKELY</t>
        </is>
      </c>
      <c r="V544" t="inlineStr">
        <is>
          <t>PATCH_AVAILABLE</t>
        </is>
      </c>
      <c r="W544" t="inlineStr">
        <is>
          <t>https://nvd.nist.gov/vuln/detail/CVE-2026-24847</t>
        </is>
      </c>
      <c r="X544" t="inlineStr">
        <is>
          <t>NONE</t>
        </is>
      </c>
      <c r="Y544" t="n">
        <v>0</v>
      </c>
      <c r="Z544" t="inlineStr"/>
      <c r="AA544" t="inlineStr">
        <is>
          <t>https://nvd.nist.gov/vuln/detail/CVE-2026-24847</t>
        </is>
      </c>
    </row>
    <row r="545">
      <c r="A545" t="inlineStr">
        <is>
          <t>CVE</t>
        </is>
      </c>
      <c r="B545" t="inlineStr">
        <is>
          <t>CVE-2026-24849</t>
        </is>
      </c>
      <c r="C545"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545" t="n">
        <v>9.9</v>
      </c>
      <c r="E545" t="inlineStr">
        <is>
          <t>CRITICAL</t>
        </is>
      </c>
      <c r="F545" t="n">
        <v>2</v>
      </c>
      <c r="G545" t="n">
        <v>3</v>
      </c>
      <c r="H545" t="inlineStr">
        <is>
          <t>HIGH</t>
        </is>
      </c>
      <c r="I545" t="n">
        <v>15.9</v>
      </c>
      <c r="J545" t="inlineStr">
        <is>
          <t>NO</t>
        </is>
      </c>
      <c r="K545" t="inlineStr">
        <is>
          <t>2026-02-27 20:47</t>
        </is>
      </c>
      <c r="L545" t="inlineStr">
        <is>
          <t>YES</t>
        </is>
      </c>
      <c r="M545" t="inlineStr">
        <is>
          <t>open-emr openemr *</t>
        </is>
      </c>
      <c r="N545" t="inlineStr">
        <is>
          <t>P3</t>
        </is>
      </c>
      <c r="O545" t="inlineStr">
        <is>
          <t>CVE - IP enrichment n/a</t>
        </is>
      </c>
      <c r="P545" t="n">
        <v>0.0001</v>
      </c>
      <c r="Q545" t="n">
        <v>0.0089</v>
      </c>
      <c r="R545" t="inlineStr">
        <is>
          <t>T1083:File and Directory Discovery | T1190:Exploit Public-Facing Application</t>
        </is>
      </c>
      <c r="S545" t="n">
        <v>1</v>
      </c>
      <c r="T545" t="inlineStr">
        <is>
          <t>LOW (40%)</t>
        </is>
      </c>
      <c r="U545" t="inlineStr">
        <is>
          <t>UNLIKELY</t>
        </is>
      </c>
      <c r="V545" t="inlineStr">
        <is>
          <t>PATCH_AVAILABLE</t>
        </is>
      </c>
      <c r="W545" t="inlineStr">
        <is>
          <t>https://nvd.nist.gov/vuln/detail/CVE-2026-24849</t>
        </is>
      </c>
      <c r="X545" t="inlineStr">
        <is>
          <t>NONE</t>
        </is>
      </c>
      <c r="Y545" t="n">
        <v>0</v>
      </c>
      <c r="Z545" t="inlineStr"/>
      <c r="AA545" t="inlineStr">
        <is>
          <t>https://nvd.nist.gov/vuln/detail/CVE-2026-24849</t>
        </is>
      </c>
    </row>
    <row r="546">
      <c r="A546" t="inlineStr">
        <is>
          <t>CVE</t>
        </is>
      </c>
      <c r="B546" t="inlineStr">
        <is>
          <t>CVE-2026-24896</t>
        </is>
      </c>
      <c r="C546"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546" t="n">
        <v>6.5</v>
      </c>
      <c r="E546" t="inlineStr">
        <is>
          <t>MEDIUM</t>
        </is>
      </c>
      <c r="F546" t="n">
        <v>2</v>
      </c>
      <c r="G546" t="n">
        <v>2</v>
      </c>
      <c r="H546" t="inlineStr">
        <is>
          <t>MEDIUM</t>
        </is>
      </c>
      <c r="I546" t="n">
        <v>10.5</v>
      </c>
      <c r="J546" t="inlineStr">
        <is>
          <t>NO</t>
        </is>
      </c>
      <c r="K546" t="inlineStr">
        <is>
          <t>2026-02-27 20:47</t>
        </is>
      </c>
      <c r="L546" t="inlineStr">
        <is>
          <t>YES</t>
        </is>
      </c>
      <c r="M546" t="inlineStr">
        <is>
          <t>open-emr openemr *</t>
        </is>
      </c>
      <c r="N546" t="inlineStr">
        <is>
          <t>P4</t>
        </is>
      </c>
      <c r="O546" t="inlineStr">
        <is>
          <t>CVE - IP enrichment n/a</t>
        </is>
      </c>
      <c r="P546" t="n">
        <v>0.0003</v>
      </c>
      <c r="Q546" t="n">
        <v>0.0832</v>
      </c>
      <c r="R546" t="inlineStr">
        <is>
          <t>T1190:Exploit Public-Facing Application</t>
        </is>
      </c>
      <c r="S546" t="n">
        <v>1</v>
      </c>
      <c r="T546" t="inlineStr">
        <is>
          <t>LOW (40%)</t>
        </is>
      </c>
      <c r="U546" t="inlineStr">
        <is>
          <t>UNLIKELY</t>
        </is>
      </c>
      <c r="V546" t="inlineStr">
        <is>
          <t>PATCH_AVAILABLE</t>
        </is>
      </c>
      <c r="W546" t="inlineStr">
        <is>
          <t>https://nvd.nist.gov/vuln/detail/CVE-2026-24896</t>
        </is>
      </c>
      <c r="X546" t="inlineStr">
        <is>
          <t>NONE</t>
        </is>
      </c>
      <c r="Y546" t="n">
        <v>0</v>
      </c>
      <c r="Z546" t="inlineStr"/>
      <c r="AA546" t="inlineStr">
        <is>
          <t>https://nvd.nist.gov/vuln/detail/CVE-2026-24896</t>
        </is>
      </c>
    </row>
    <row r="547">
      <c r="A547" t="inlineStr">
        <is>
          <t>CVE</t>
        </is>
      </c>
      <c r="B547" t="inlineStr">
        <is>
          <t>CVE-2026-25124</t>
        </is>
      </c>
      <c r="C547"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547" t="n">
        <v>6.5</v>
      </c>
      <c r="E547" t="inlineStr">
        <is>
          <t>MEDIUM</t>
        </is>
      </c>
      <c r="F547" t="n">
        <v>2</v>
      </c>
      <c r="G547" t="n">
        <v>2</v>
      </c>
      <c r="H547" t="inlineStr">
        <is>
          <t>MEDIUM</t>
        </is>
      </c>
      <c r="I547" t="n">
        <v>10.5</v>
      </c>
      <c r="J547" t="inlineStr">
        <is>
          <t>NO</t>
        </is>
      </c>
      <c r="K547" t="inlineStr">
        <is>
          <t>2026-02-27 20:47</t>
        </is>
      </c>
      <c r="L547" t="inlineStr">
        <is>
          <t>YES</t>
        </is>
      </c>
      <c r="M547" t="inlineStr">
        <is>
          <t>open-emr openemr *</t>
        </is>
      </c>
      <c r="N547" t="inlineStr">
        <is>
          <t>P4</t>
        </is>
      </c>
      <c r="O547" t="inlineStr">
        <is>
          <t>CVE - IP enrichment n/a</t>
        </is>
      </c>
      <c r="P547" t="n">
        <v>0.0003</v>
      </c>
      <c r="Q547" t="n">
        <v>0.0882</v>
      </c>
      <c r="R547" t="inlineStr">
        <is>
          <t>T1190:Exploit Public-Facing Application</t>
        </is>
      </c>
      <c r="S547" t="n">
        <v>1</v>
      </c>
      <c r="T547" t="inlineStr">
        <is>
          <t>LOW (40%)</t>
        </is>
      </c>
      <c r="U547" t="inlineStr">
        <is>
          <t>UNLIKELY</t>
        </is>
      </c>
      <c r="V547" t="inlineStr">
        <is>
          <t>PATCH_AVAILABLE</t>
        </is>
      </c>
      <c r="W547" t="inlineStr">
        <is>
          <t>https://nvd.nist.gov/vuln/detail/CVE-2026-25124</t>
        </is>
      </c>
      <c r="X547" t="inlineStr">
        <is>
          <t>NONE</t>
        </is>
      </c>
      <c r="Y547" t="n">
        <v>0</v>
      </c>
      <c r="Z547" t="inlineStr"/>
      <c r="AA547" t="inlineStr">
        <is>
          <t>https://nvd.nist.gov/vuln/detail/CVE-2026-25124</t>
        </is>
      </c>
    </row>
    <row r="548">
      <c r="A548" t="inlineStr">
        <is>
          <t>CVE</t>
        </is>
      </c>
      <c r="B548" t="inlineStr">
        <is>
          <t>CVE-2026-25127</t>
        </is>
      </c>
      <c r="C548"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548" t="n">
        <v>6.5</v>
      </c>
      <c r="E548" t="inlineStr">
        <is>
          <t>MEDIUM</t>
        </is>
      </c>
      <c r="F548" t="n">
        <v>2</v>
      </c>
      <c r="G548" t="n">
        <v>2</v>
      </c>
      <c r="H548" t="inlineStr">
        <is>
          <t>MEDIUM</t>
        </is>
      </c>
      <c r="I548" t="n">
        <v>10.5</v>
      </c>
      <c r="J548" t="inlineStr">
        <is>
          <t>NO</t>
        </is>
      </c>
      <c r="K548" t="inlineStr">
        <is>
          <t>2026-02-27 20:47</t>
        </is>
      </c>
      <c r="L548" t="inlineStr">
        <is>
          <t>YES</t>
        </is>
      </c>
      <c r="M548" t="inlineStr">
        <is>
          <t>open-emr openemr *</t>
        </is>
      </c>
      <c r="N548" t="inlineStr">
        <is>
          <t>P4</t>
        </is>
      </c>
      <c r="O548" t="inlineStr">
        <is>
          <t>CVE - IP enrichment n/a</t>
        </is>
      </c>
      <c r="P548" t="n">
        <v>0.0009</v>
      </c>
      <c r="Q548" t="n">
        <v>0.2518</v>
      </c>
      <c r="R548" t="inlineStr">
        <is>
          <t>T1190:Exploit Public-Facing Application</t>
        </is>
      </c>
      <c r="S548" t="n">
        <v>1</v>
      </c>
      <c r="T548" t="inlineStr">
        <is>
          <t>LOW (40%)</t>
        </is>
      </c>
      <c r="U548" t="inlineStr">
        <is>
          <t>UNLIKELY</t>
        </is>
      </c>
      <c r="V548" t="inlineStr">
        <is>
          <t>PATCH_AVAILABLE</t>
        </is>
      </c>
      <c r="W548" t="inlineStr">
        <is>
          <t>https://nvd.nist.gov/vuln/detail/CVE-2026-25127</t>
        </is>
      </c>
      <c r="X548" t="inlineStr">
        <is>
          <t>NONE</t>
        </is>
      </c>
      <c r="Y548" t="n">
        <v>0</v>
      </c>
      <c r="Z548" t="inlineStr"/>
      <c r="AA548" t="inlineStr">
        <is>
          <t>https://nvd.nist.gov/vuln/detail/CVE-2026-25127</t>
        </is>
      </c>
    </row>
    <row r="549">
      <c r="A549" t="inlineStr">
        <is>
          <t>CVE</t>
        </is>
      </c>
      <c r="B549" t="inlineStr">
        <is>
          <t>CVE-2026-25131</t>
        </is>
      </c>
      <c r="C549"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549" t="n">
        <v>8.800000000000001</v>
      </c>
      <c r="E549" t="inlineStr">
        <is>
          <t>HIGH</t>
        </is>
      </c>
      <c r="F549" t="n">
        <v>2</v>
      </c>
      <c r="G549" t="n">
        <v>3</v>
      </c>
      <c r="H549" t="inlineStr">
        <is>
          <t>HIGH</t>
        </is>
      </c>
      <c r="I549" t="n">
        <v>14.8</v>
      </c>
      <c r="J549" t="inlineStr">
        <is>
          <t>NO</t>
        </is>
      </c>
      <c r="K549" t="inlineStr">
        <is>
          <t>2026-02-27 20:47</t>
        </is>
      </c>
      <c r="L549" t="inlineStr">
        <is>
          <t>YES</t>
        </is>
      </c>
      <c r="M549" t="inlineStr">
        <is>
          <t>open-emr openemr *</t>
        </is>
      </c>
      <c r="N549" t="inlineStr">
        <is>
          <t>P3</t>
        </is>
      </c>
      <c r="O549" t="inlineStr">
        <is>
          <t>CVE - IP enrichment n/a</t>
        </is>
      </c>
      <c r="P549" t="n">
        <v>0.0003</v>
      </c>
      <c r="Q549" t="n">
        <v>0.09810000000000001</v>
      </c>
      <c r="R549" t="inlineStr">
        <is>
          <t>T1190:Exploit Public-Facing Application</t>
        </is>
      </c>
      <c r="S549" t="n">
        <v>1</v>
      </c>
      <c r="T549" t="inlineStr">
        <is>
          <t>LOW (40%)</t>
        </is>
      </c>
      <c r="U549" t="inlineStr">
        <is>
          <t>UNLIKELY</t>
        </is>
      </c>
      <c r="V549" t="inlineStr">
        <is>
          <t>PATCH_AVAILABLE</t>
        </is>
      </c>
      <c r="W549" t="inlineStr">
        <is>
          <t>https://nvd.nist.gov/vuln/detail/CVE-2026-25131</t>
        </is>
      </c>
      <c r="X549" t="inlineStr">
        <is>
          <t>NONE</t>
        </is>
      </c>
      <c r="Y549" t="n">
        <v>0</v>
      </c>
      <c r="Z549" t="inlineStr"/>
      <c r="AA549" t="inlineStr">
        <is>
          <t>https://nvd.nist.gov/vuln/detail/CVE-2026-25131</t>
        </is>
      </c>
    </row>
    <row r="550">
      <c r="A550" t="inlineStr">
        <is>
          <t>CVE</t>
        </is>
      </c>
      <c r="B550" t="inlineStr">
        <is>
          <t>CVE-2026-2914</t>
        </is>
      </c>
      <c r="C550" t="inlineStr">
        <is>
          <t>CyberArk Endpoint Privilege Manager Agent versions 25.10.0 and lower allow potential unauthorized privilege elevation leveraging CyberArk elevation dialogs</t>
        </is>
      </c>
      <c r="D550" t="n">
        <v>5</v>
      </c>
      <c r="E550" t="inlineStr">
        <is>
          <t>MEDIUM</t>
        </is>
      </c>
      <c r="F550" t="n">
        <v>2</v>
      </c>
      <c r="G550" t="n">
        <v>2</v>
      </c>
      <c r="H550" t="inlineStr">
        <is>
          <t>MEDIUM</t>
        </is>
      </c>
      <c r="I550" t="n">
        <v>9</v>
      </c>
      <c r="J550" t="inlineStr">
        <is>
          <t>NO</t>
        </is>
      </c>
      <c r="K550" t="inlineStr">
        <is>
          <t>2026-02-27 20:47</t>
        </is>
      </c>
      <c r="L550" t="inlineStr">
        <is>
          <t>CHECK_VENDOR</t>
        </is>
      </c>
      <c r="M550" t="inlineStr">
        <is>
          <t>See CVE details</t>
        </is>
      </c>
      <c r="N550" t="inlineStr">
        <is>
          <t>P4</t>
        </is>
      </c>
      <c r="O550" t="inlineStr">
        <is>
          <t>CVE - IP enrichment n/a</t>
        </is>
      </c>
      <c r="P550" t="n">
        <v>0.0001</v>
      </c>
      <c r="Q550" t="n">
        <v>0.0203</v>
      </c>
      <c r="R550" t="inlineStr">
        <is>
          <t>T1190:Exploit Public-Facing Application</t>
        </is>
      </c>
      <c r="S550" t="n">
        <v>1</v>
      </c>
      <c r="T550" t="inlineStr">
        <is>
          <t>LOW (40%)</t>
        </is>
      </c>
      <c r="U550" t="inlineStr">
        <is>
          <t>UNLIKELY</t>
        </is>
      </c>
      <c r="V550" t="inlineStr">
        <is>
          <t>CHECK_VENDOR</t>
        </is>
      </c>
      <c r="W550" t="inlineStr">
        <is>
          <t>https://nvd.nist.gov/vuln/detail/CVE-2026-2914</t>
        </is>
      </c>
      <c r="X550" t="inlineStr">
        <is>
          <t>NONE</t>
        </is>
      </c>
      <c r="Y550" t="n">
        <v>0</v>
      </c>
      <c r="Z550" t="inlineStr"/>
      <c r="AA550" t="inlineStr">
        <is>
          <t>https://nvd.nist.gov/vuln/detail/CVE-2026-2914</t>
        </is>
      </c>
    </row>
    <row r="551">
      <c r="A551" t="inlineStr">
        <is>
          <t>CVE</t>
        </is>
      </c>
      <c r="B551" t="inlineStr">
        <is>
          <t>CVE-2025-5781</t>
        </is>
      </c>
      <c r="C551"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551" t="n">
        <v>5.2</v>
      </c>
      <c r="E551" t="inlineStr">
        <is>
          <t>MEDIUM</t>
        </is>
      </c>
      <c r="F551" t="n">
        <v>2</v>
      </c>
      <c r="G551" t="n">
        <v>2</v>
      </c>
      <c r="H551" t="inlineStr">
        <is>
          <t>MEDIUM</t>
        </is>
      </c>
      <c r="I551" t="n">
        <v>9.199999999999999</v>
      </c>
      <c r="J551" t="inlineStr">
        <is>
          <t>NO</t>
        </is>
      </c>
      <c r="K551" t="inlineStr">
        <is>
          <t>2026-02-27 20:47</t>
        </is>
      </c>
      <c r="L551" t="inlineStr">
        <is>
          <t>YES</t>
        </is>
      </c>
      <c r="M551" t="inlineStr">
        <is>
          <t>linux linux_kernel - | hitachi device_manager * | hitachi configuration_manager *</t>
        </is>
      </c>
      <c r="N551" t="inlineStr">
        <is>
          <t>P4</t>
        </is>
      </c>
      <c r="O551" t="inlineStr">
        <is>
          <t>CVE - IP enrichment n/a</t>
        </is>
      </c>
      <c r="P551" t="n">
        <v>0.0001</v>
      </c>
      <c r="Q551" t="n">
        <v>0.0155</v>
      </c>
      <c r="R551" t="inlineStr">
        <is>
          <t>T1190:Exploit Public-Facing Application</t>
        </is>
      </c>
      <c r="S551" t="n">
        <v>1</v>
      </c>
      <c r="T551" t="inlineStr">
        <is>
          <t>LOW (40%)</t>
        </is>
      </c>
      <c r="U551" t="inlineStr">
        <is>
          <t>UNLIKELY</t>
        </is>
      </c>
      <c r="V551" t="inlineStr">
        <is>
          <t>PATCH_AVAILABLE</t>
        </is>
      </c>
      <c r="W551" t="inlineStr">
        <is>
          <t>https://nvd.nist.gov/vuln/detail/CVE-2025-5781</t>
        </is>
      </c>
      <c r="X551" t="inlineStr">
        <is>
          <t>NONE</t>
        </is>
      </c>
      <c r="Y551" t="n">
        <v>0</v>
      </c>
      <c r="Z551" t="inlineStr"/>
      <c r="AA551" t="inlineStr">
        <is>
          <t>https://nvd.nist.gov/vuln/detail/CVE-2025-5781</t>
        </is>
      </c>
    </row>
    <row r="552">
      <c r="A552" t="inlineStr">
        <is>
          <t>CVE</t>
        </is>
      </c>
      <c r="B552" t="inlineStr">
        <is>
          <t>CVE-2026-25135</t>
        </is>
      </c>
      <c r="C552"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552" t="n">
        <v>4.5</v>
      </c>
      <c r="E552" t="inlineStr">
        <is>
          <t>MEDIUM</t>
        </is>
      </c>
      <c r="F552" t="n">
        <v>2</v>
      </c>
      <c r="G552" t="n">
        <v>2</v>
      </c>
      <c r="H552" t="inlineStr">
        <is>
          <t>MEDIUM</t>
        </is>
      </c>
      <c r="I552" t="n">
        <v>8.5</v>
      </c>
      <c r="J552" t="inlineStr">
        <is>
          <t>NO</t>
        </is>
      </c>
      <c r="K552" t="inlineStr">
        <is>
          <t>2026-02-27 20:47</t>
        </is>
      </c>
      <c r="L552" t="inlineStr">
        <is>
          <t>YES</t>
        </is>
      </c>
      <c r="M552" t="inlineStr">
        <is>
          <t>open-emr openemr *</t>
        </is>
      </c>
      <c r="N552" t="inlineStr">
        <is>
          <t>P4</t>
        </is>
      </c>
      <c r="O552" t="inlineStr">
        <is>
          <t>CVE - IP enrichment n/a</t>
        </is>
      </c>
      <c r="P552" t="n">
        <v>0.0012</v>
      </c>
      <c r="Q552" t="n">
        <v>0.307</v>
      </c>
      <c r="R552" t="inlineStr">
        <is>
          <t>T1213:Data from Information Repositories | T1190:Exploit Public-Facing Application</t>
        </is>
      </c>
      <c r="S552" t="n">
        <v>1</v>
      </c>
      <c r="T552" t="inlineStr">
        <is>
          <t>LOW (40%)</t>
        </is>
      </c>
      <c r="U552" t="inlineStr">
        <is>
          <t>UNLIKELY</t>
        </is>
      </c>
      <c r="V552" t="inlineStr">
        <is>
          <t>PATCH_AVAILABLE</t>
        </is>
      </c>
      <c r="W552" t="inlineStr">
        <is>
          <t>https://nvd.nist.gov/vuln/detail/CVE-2026-25135</t>
        </is>
      </c>
      <c r="X552" t="inlineStr">
        <is>
          <t>NONE</t>
        </is>
      </c>
      <c r="Y552" t="n">
        <v>0</v>
      </c>
      <c r="Z552" t="inlineStr"/>
      <c r="AA552" t="inlineStr">
        <is>
          <t>https://nvd.nist.gov/vuln/detail/CVE-2026-25135</t>
        </is>
      </c>
    </row>
    <row r="553">
      <c r="A553" t="inlineStr">
        <is>
          <t>CVE</t>
        </is>
      </c>
      <c r="B553" t="inlineStr">
        <is>
          <t>CVE-2026-27595</t>
        </is>
      </c>
      <c r="C553"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553" t="n">
        <v>8.5</v>
      </c>
      <c r="E553" t="inlineStr">
        <is>
          <t>HIGH</t>
        </is>
      </c>
      <c r="F553" t="n">
        <v>2</v>
      </c>
      <c r="G553" t="n">
        <v>3</v>
      </c>
      <c r="H553" t="inlineStr">
        <is>
          <t>HIGH</t>
        </is>
      </c>
      <c r="I553" t="n">
        <v>14.5</v>
      </c>
      <c r="J553" t="inlineStr">
        <is>
          <t>NO</t>
        </is>
      </c>
      <c r="K553" t="inlineStr">
        <is>
          <t>2026-02-27 20:47</t>
        </is>
      </c>
      <c r="L553" t="inlineStr">
        <is>
          <t>CHECK_VENDOR</t>
        </is>
      </c>
      <c r="M553" t="inlineStr">
        <is>
          <t>See CVE details</t>
        </is>
      </c>
      <c r="N553" t="inlineStr">
        <is>
          <t>P3</t>
        </is>
      </c>
      <c r="O553" t="inlineStr">
        <is>
          <t>CVE - IP enrichment n/a</t>
        </is>
      </c>
      <c r="P553" t="n">
        <v>0.0008</v>
      </c>
      <c r="Q553" t="n">
        <v>0.2463</v>
      </c>
      <c r="R553" t="inlineStr">
        <is>
          <t>T1078:Valid Accounts</t>
        </is>
      </c>
      <c r="S553" t="n">
        <v>1</v>
      </c>
      <c r="T553" t="inlineStr">
        <is>
          <t>LOW (40%)</t>
        </is>
      </c>
      <c r="U553" t="inlineStr">
        <is>
          <t>UNLIKELY</t>
        </is>
      </c>
      <c r="V553" t="inlineStr">
        <is>
          <t>CHECK_VENDOR</t>
        </is>
      </c>
      <c r="W553" t="inlineStr">
        <is>
          <t>https://nvd.nist.gov/vuln/detail/CVE-2026-27595</t>
        </is>
      </c>
      <c r="X553" t="inlineStr">
        <is>
          <t>NONE</t>
        </is>
      </c>
      <c r="Y553" t="n">
        <v>0</v>
      </c>
      <c r="Z553" t="inlineStr"/>
      <c r="AA553" t="inlineStr">
        <is>
          <t>https://nvd.nist.gov/vuln/detail/CVE-2026-27595</t>
        </is>
      </c>
    </row>
    <row r="554">
      <c r="A554" t="inlineStr">
        <is>
          <t>CVE</t>
        </is>
      </c>
      <c r="B554" t="inlineStr">
        <is>
          <t>CVE-2026-27606</t>
        </is>
      </c>
      <c r="C554"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554" t="n">
        <v>9.800000000000001</v>
      </c>
      <c r="E554" t="inlineStr">
        <is>
          <t>CRITICAL</t>
        </is>
      </c>
      <c r="F554" t="n">
        <v>2</v>
      </c>
      <c r="G554" t="n">
        <v>3</v>
      </c>
      <c r="H554" t="inlineStr">
        <is>
          <t>HIGH</t>
        </is>
      </c>
      <c r="I554" t="n">
        <v>15.8</v>
      </c>
      <c r="J554" t="inlineStr">
        <is>
          <t>NO</t>
        </is>
      </c>
      <c r="K554" t="inlineStr">
        <is>
          <t>2026-02-27 20:47</t>
        </is>
      </c>
      <c r="L554" t="inlineStr">
        <is>
          <t>YES</t>
        </is>
      </c>
      <c r="M554" t="inlineStr">
        <is>
          <t>rollupjs rollup *</t>
        </is>
      </c>
      <c r="N554" t="inlineStr">
        <is>
          <t>P3</t>
        </is>
      </c>
      <c r="O554" t="inlineStr">
        <is>
          <t>CVE - IP enrichment n/a</t>
        </is>
      </c>
      <c r="P554" t="n">
        <v>0.0047</v>
      </c>
      <c r="Q554" t="n">
        <v>0.6438</v>
      </c>
      <c r="R554" t="inlineStr">
        <is>
          <t>T1083:File and Directory Discovery | T1190:Exploit Public-Facing Application | T1210:Exploitation of Remote Services</t>
        </is>
      </c>
      <c r="S554" t="n">
        <v>1</v>
      </c>
      <c r="T554" t="inlineStr">
        <is>
          <t>LOW (40%)</t>
        </is>
      </c>
      <c r="U554" t="inlineStr">
        <is>
          <t>UNLIKELY</t>
        </is>
      </c>
      <c r="V554" t="inlineStr">
        <is>
          <t>PATCH_AVAILABLE</t>
        </is>
      </c>
      <c r="W554" t="inlineStr">
        <is>
          <t>https://nvd.nist.gov/vuln/detail/CVE-2026-27606</t>
        </is>
      </c>
      <c r="X554" t="inlineStr">
        <is>
          <t>NONE</t>
        </is>
      </c>
      <c r="Y554" t="n">
        <v>0</v>
      </c>
      <c r="Z554" t="inlineStr"/>
      <c r="AA554" t="inlineStr">
        <is>
          <t>https://nvd.nist.gov/vuln/detail/CVE-2026-27606</t>
        </is>
      </c>
    </row>
    <row r="555">
      <c r="A555" t="inlineStr">
        <is>
          <t>CVE</t>
        </is>
      </c>
      <c r="B555" t="inlineStr">
        <is>
          <t>CVE-2026-27607</t>
        </is>
      </c>
      <c r="C555"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555" t="n">
        <v>8.1</v>
      </c>
      <c r="E555" t="inlineStr">
        <is>
          <t>HIGH</t>
        </is>
      </c>
      <c r="F555" t="n">
        <v>2</v>
      </c>
      <c r="G555" t="n">
        <v>3</v>
      </c>
      <c r="H555" t="inlineStr">
        <is>
          <t>HIGH</t>
        </is>
      </c>
      <c r="I555" t="n">
        <v>14.1</v>
      </c>
      <c r="J555" t="inlineStr">
        <is>
          <t>NO</t>
        </is>
      </c>
      <c r="K555" t="inlineStr">
        <is>
          <t>2026-02-27 20:47</t>
        </is>
      </c>
      <c r="L555" t="inlineStr">
        <is>
          <t>YES</t>
        </is>
      </c>
      <c r="M555" t="inlineStr">
        <is>
          <t>rustfs rustfs 1.0.0</t>
        </is>
      </c>
      <c r="N555" t="inlineStr">
        <is>
          <t>P3</t>
        </is>
      </c>
      <c r="O555" t="inlineStr">
        <is>
          <t>CVE - IP enrichment n/a</t>
        </is>
      </c>
      <c r="P555" t="n">
        <v>0.0008</v>
      </c>
      <c r="Q555" t="n">
        <v>0.2393</v>
      </c>
      <c r="R555" t="inlineStr">
        <is>
          <t>T1190:Exploit Public-Facing Application</t>
        </is>
      </c>
      <c r="S555" t="n">
        <v>1</v>
      </c>
      <c r="T555" t="inlineStr">
        <is>
          <t>LOW (40%)</t>
        </is>
      </c>
      <c r="U555" t="inlineStr">
        <is>
          <t>UNLIKELY</t>
        </is>
      </c>
      <c r="V555" t="inlineStr">
        <is>
          <t>PATCH_AVAILABLE</t>
        </is>
      </c>
      <c r="W555" t="inlineStr">
        <is>
          <t>https://nvd.nist.gov/vuln/detail/CVE-2026-27607</t>
        </is>
      </c>
      <c r="X555" t="inlineStr">
        <is>
          <t>NONE</t>
        </is>
      </c>
      <c r="Y555" t="n">
        <v>0</v>
      </c>
      <c r="Z555" t="inlineStr"/>
      <c r="AA555" t="inlineStr">
        <is>
          <t>https://nvd.nist.gov/vuln/detail/CVE-2026-27607</t>
        </is>
      </c>
    </row>
    <row r="556">
      <c r="A556" t="inlineStr">
        <is>
          <t>CVE</t>
        </is>
      </c>
      <c r="B556" t="inlineStr">
        <is>
          <t>CVE-2026-27608</t>
        </is>
      </c>
      <c r="C556"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556" t="n">
        <v>8.5</v>
      </c>
      <c r="E556" t="inlineStr">
        <is>
          <t>HIGH</t>
        </is>
      </c>
      <c r="F556" t="n">
        <v>2</v>
      </c>
      <c r="G556" t="n">
        <v>3</v>
      </c>
      <c r="H556" t="inlineStr">
        <is>
          <t>HIGH</t>
        </is>
      </c>
      <c r="I556" t="n">
        <v>14.5</v>
      </c>
      <c r="J556" t="inlineStr">
        <is>
          <t>NO</t>
        </is>
      </c>
      <c r="K556" t="inlineStr">
        <is>
          <t>2026-02-27 20:47</t>
        </is>
      </c>
      <c r="L556" t="inlineStr">
        <is>
          <t>CHECK_VENDOR</t>
        </is>
      </c>
      <c r="M556" t="inlineStr">
        <is>
          <t>See CVE details</t>
        </is>
      </c>
      <c r="N556" t="inlineStr">
        <is>
          <t>P3</t>
        </is>
      </c>
      <c r="O556" t="inlineStr">
        <is>
          <t>CVE - IP enrichment n/a</t>
        </is>
      </c>
      <c r="P556" t="n">
        <v>0.0003</v>
      </c>
      <c r="Q556" t="n">
        <v>0.0883</v>
      </c>
      <c r="R556" t="inlineStr">
        <is>
          <t>T1190:Exploit Public-Facing Application</t>
        </is>
      </c>
      <c r="S556" t="n">
        <v>1</v>
      </c>
      <c r="T556" t="inlineStr">
        <is>
          <t>LOW (40%)</t>
        </is>
      </c>
      <c r="U556" t="inlineStr">
        <is>
          <t>UNLIKELY</t>
        </is>
      </c>
      <c r="V556" t="inlineStr">
        <is>
          <t>CHECK_VENDOR</t>
        </is>
      </c>
      <c r="W556" t="inlineStr">
        <is>
          <t>https://nvd.nist.gov/vuln/detail/CVE-2026-27608</t>
        </is>
      </c>
      <c r="X556" t="inlineStr">
        <is>
          <t>NONE</t>
        </is>
      </c>
      <c r="Y556" t="n">
        <v>0</v>
      </c>
      <c r="Z556" t="inlineStr"/>
      <c r="AA556" t="inlineStr">
        <is>
          <t>https://nvd.nist.gov/vuln/detail/CVE-2026-27608</t>
        </is>
      </c>
    </row>
    <row r="557">
      <c r="A557" t="inlineStr">
        <is>
          <t>CVE</t>
        </is>
      </c>
      <c r="B557" t="inlineStr">
        <is>
          <t>CVE-2026-27609</t>
        </is>
      </c>
      <c r="C557"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557" t="n">
        <v>5</v>
      </c>
      <c r="E557" t="inlineStr">
        <is>
          <t>MEDIUM</t>
        </is>
      </c>
      <c r="F557" t="n">
        <v>2</v>
      </c>
      <c r="G557" t="n">
        <v>2</v>
      </c>
      <c r="H557" t="inlineStr">
        <is>
          <t>MEDIUM</t>
        </is>
      </c>
      <c r="I557" t="n">
        <v>9</v>
      </c>
      <c r="J557" t="inlineStr">
        <is>
          <t>NO</t>
        </is>
      </c>
      <c r="K557" t="inlineStr">
        <is>
          <t>2026-02-27 20:47</t>
        </is>
      </c>
      <c r="L557" t="inlineStr">
        <is>
          <t>CHECK_VENDOR</t>
        </is>
      </c>
      <c r="M557" t="inlineStr">
        <is>
          <t>See CVE details</t>
        </is>
      </c>
      <c r="N557" t="inlineStr">
        <is>
          <t>P4</t>
        </is>
      </c>
      <c r="O557" t="inlineStr">
        <is>
          <t>CVE - IP enrichment n/a</t>
        </is>
      </c>
      <c r="P557" t="n">
        <v>0.0002</v>
      </c>
      <c r="Q557" t="n">
        <v>0.047</v>
      </c>
      <c r="R557" t="inlineStr">
        <is>
          <t>T1185:Browser Session Hijacking</t>
        </is>
      </c>
      <c r="S557" t="n">
        <v>1</v>
      </c>
      <c r="T557" t="inlineStr">
        <is>
          <t>LOW (40%)</t>
        </is>
      </c>
      <c r="U557" t="inlineStr">
        <is>
          <t>UNLIKELY</t>
        </is>
      </c>
      <c r="V557" t="inlineStr">
        <is>
          <t>CHECK_VENDOR</t>
        </is>
      </c>
      <c r="W557" t="inlineStr">
        <is>
          <t>https://nvd.nist.gov/vuln/detail/CVE-2026-27609</t>
        </is>
      </c>
      <c r="X557" t="inlineStr">
        <is>
          <t>NONE</t>
        </is>
      </c>
      <c r="Y557" t="n">
        <v>0</v>
      </c>
      <c r="Z557" t="inlineStr"/>
      <c r="AA557" t="inlineStr">
        <is>
          <t>https://nvd.nist.gov/vuln/detail/CVE-2026-27609</t>
        </is>
      </c>
    </row>
    <row r="558">
      <c r="A558" t="inlineStr">
        <is>
          <t>CVE</t>
        </is>
      </c>
      <c r="B558" t="inlineStr">
        <is>
          <t>CVE-2026-27610</t>
        </is>
      </c>
      <c r="C558"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558" t="n">
        <v>5</v>
      </c>
      <c r="E558" t="inlineStr">
        <is>
          <t>MEDIUM</t>
        </is>
      </c>
      <c r="F558" t="n">
        <v>2</v>
      </c>
      <c r="G558" t="n">
        <v>2</v>
      </c>
      <c r="H558" t="inlineStr">
        <is>
          <t>MEDIUM</t>
        </is>
      </c>
      <c r="I558" t="n">
        <v>9</v>
      </c>
      <c r="J558" t="inlineStr">
        <is>
          <t>NO</t>
        </is>
      </c>
      <c r="K558" t="inlineStr">
        <is>
          <t>2026-02-27 20:47</t>
        </is>
      </c>
      <c r="L558" t="inlineStr">
        <is>
          <t>CHECK_VENDOR</t>
        </is>
      </c>
      <c r="M558" t="inlineStr">
        <is>
          <t>See CVE details</t>
        </is>
      </c>
      <c r="N558" t="inlineStr">
        <is>
          <t>P4</t>
        </is>
      </c>
      <c r="O558" t="inlineStr">
        <is>
          <t>CVE - IP enrichment n/a</t>
        </is>
      </c>
      <c r="P558" t="n">
        <v>0.0008</v>
      </c>
      <c r="Q558" t="n">
        <v>0.2347</v>
      </c>
      <c r="R558" t="inlineStr">
        <is>
          <t>T1190:Exploit Public-Facing Application</t>
        </is>
      </c>
      <c r="S558" t="n">
        <v>1</v>
      </c>
      <c r="T558" t="inlineStr">
        <is>
          <t>LOW (40%)</t>
        </is>
      </c>
      <c r="U558" t="inlineStr">
        <is>
          <t>UNLIKELY</t>
        </is>
      </c>
      <c r="V558" t="inlineStr">
        <is>
          <t>CHECK_VENDOR</t>
        </is>
      </c>
      <c r="W558" t="inlineStr">
        <is>
          <t>https://nvd.nist.gov/vuln/detail/CVE-2026-27610</t>
        </is>
      </c>
      <c r="X558" t="inlineStr">
        <is>
          <t>NONE</t>
        </is>
      </c>
      <c r="Y558" t="n">
        <v>0</v>
      </c>
      <c r="Z558" t="inlineStr"/>
      <c r="AA558" t="inlineStr">
        <is>
          <t>https://nvd.nist.gov/vuln/detail/CVE-2026-27610</t>
        </is>
      </c>
    </row>
    <row r="559">
      <c r="A559" t="inlineStr">
        <is>
          <t>CVE</t>
        </is>
      </c>
      <c r="B559" t="inlineStr">
        <is>
          <t>CVE-2026-27611</t>
        </is>
      </c>
      <c r="C559"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559" t="n">
        <v>5</v>
      </c>
      <c r="E559" t="inlineStr">
        <is>
          <t>MEDIUM</t>
        </is>
      </c>
      <c r="F559" t="n">
        <v>2</v>
      </c>
      <c r="G559" t="n">
        <v>2</v>
      </c>
      <c r="H559" t="inlineStr">
        <is>
          <t>MEDIUM</t>
        </is>
      </c>
      <c r="I559" t="n">
        <v>9</v>
      </c>
      <c r="J559" t="inlineStr">
        <is>
          <t>NO</t>
        </is>
      </c>
      <c r="K559" t="inlineStr">
        <is>
          <t>2026-02-27 20:47</t>
        </is>
      </c>
      <c r="L559" t="inlineStr">
        <is>
          <t>CHECK_VENDOR</t>
        </is>
      </c>
      <c r="M559" t="inlineStr">
        <is>
          <t>See CVE details</t>
        </is>
      </c>
      <c r="N559" t="inlineStr">
        <is>
          <t>P4</t>
        </is>
      </c>
      <c r="O559" t="inlineStr">
        <is>
          <t>CVE - IP enrichment n/a</t>
        </is>
      </c>
      <c r="P559" t="n">
        <v>0.0004</v>
      </c>
      <c r="Q559" t="n">
        <v>0.1229</v>
      </c>
      <c r="R559" t="inlineStr">
        <is>
          <t>T1213:Data from Information Repositories</t>
        </is>
      </c>
      <c r="S559" t="n">
        <v>1</v>
      </c>
      <c r="T559" t="inlineStr">
        <is>
          <t>LOW (40%)</t>
        </is>
      </c>
      <c r="U559" t="inlineStr">
        <is>
          <t>UNLIKELY</t>
        </is>
      </c>
      <c r="V559" t="inlineStr">
        <is>
          <t>CHECK_VENDOR</t>
        </is>
      </c>
      <c r="W559" t="inlineStr">
        <is>
          <t>https://nvd.nist.gov/vuln/detail/CVE-2026-27611</t>
        </is>
      </c>
      <c r="X559" t="inlineStr">
        <is>
          <t>NONE</t>
        </is>
      </c>
      <c r="Y559" t="n">
        <v>0</v>
      </c>
      <c r="Z559" t="inlineStr"/>
      <c r="AA559" t="inlineStr">
        <is>
          <t>https://nvd.nist.gov/vuln/detail/CVE-2026-27611</t>
        </is>
      </c>
    </row>
    <row r="560">
      <c r="A560" t="inlineStr">
        <is>
          <t>CVE</t>
        </is>
      </c>
      <c r="B560" t="inlineStr">
        <is>
          <t>CVE-2026-27612</t>
        </is>
      </c>
      <c r="C560"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560" t="n">
        <v>6.1</v>
      </c>
      <c r="E560" t="inlineStr">
        <is>
          <t>MEDIUM</t>
        </is>
      </c>
      <c r="F560" t="n">
        <v>2</v>
      </c>
      <c r="G560" t="n">
        <v>2</v>
      </c>
      <c r="H560" t="inlineStr">
        <is>
          <t>MEDIUM</t>
        </is>
      </c>
      <c r="I560" t="n">
        <v>10.1</v>
      </c>
      <c r="J560" t="inlineStr">
        <is>
          <t>NO</t>
        </is>
      </c>
      <c r="K560" t="inlineStr">
        <is>
          <t>2026-02-27 20:47</t>
        </is>
      </c>
      <c r="L560" t="inlineStr">
        <is>
          <t>CHECK_VENDOR</t>
        </is>
      </c>
      <c r="M560" t="inlineStr">
        <is>
          <t>See CVE details</t>
        </is>
      </c>
      <c r="N560" t="inlineStr">
        <is>
          <t>P4</t>
        </is>
      </c>
      <c r="O560" t="inlineStr">
        <is>
          <t>CVE - IP enrichment n/a</t>
        </is>
      </c>
      <c r="P560" t="n">
        <v>0.0003</v>
      </c>
      <c r="Q560" t="n">
        <v>0.0799</v>
      </c>
      <c r="R560" t="inlineStr">
        <is>
          <t>T1189:Drive-by Compromise</t>
        </is>
      </c>
      <c r="S560" t="n">
        <v>1</v>
      </c>
      <c r="T560" t="inlineStr">
        <is>
          <t>LOW (40%)</t>
        </is>
      </c>
      <c r="U560" t="inlineStr">
        <is>
          <t>UNLIKELY</t>
        </is>
      </c>
      <c r="V560" t="inlineStr">
        <is>
          <t>CHECK_VENDOR</t>
        </is>
      </c>
      <c r="W560" t="inlineStr">
        <is>
          <t>https://nvd.nist.gov/vuln/detail/CVE-2026-27612</t>
        </is>
      </c>
      <c r="X560" t="inlineStr">
        <is>
          <t>NONE</t>
        </is>
      </c>
      <c r="Y560" t="n">
        <v>0</v>
      </c>
      <c r="Z560" t="inlineStr"/>
      <c r="AA560" t="inlineStr">
        <is>
          <t>https://nvd.nist.gov/vuln/detail/CVE-2026-27612</t>
        </is>
      </c>
    </row>
    <row r="561">
      <c r="A561" t="inlineStr">
        <is>
          <t>CVE</t>
        </is>
      </c>
      <c r="B561" t="inlineStr">
        <is>
          <t>CVE-2026-27614</t>
        </is>
      </c>
      <c r="C561"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561" t="n">
        <v>9.300000000000001</v>
      </c>
      <c r="E561" t="inlineStr">
        <is>
          <t>CRITICAL</t>
        </is>
      </c>
      <c r="F561" t="n">
        <v>2</v>
      </c>
      <c r="G561" t="n">
        <v>3</v>
      </c>
      <c r="H561" t="inlineStr">
        <is>
          <t>HIGH</t>
        </is>
      </c>
      <c r="I561" t="n">
        <v>15.3</v>
      </c>
      <c r="J561" t="inlineStr">
        <is>
          <t>NO</t>
        </is>
      </c>
      <c r="K561" t="inlineStr">
        <is>
          <t>2026-02-27 20:47</t>
        </is>
      </c>
      <c r="L561" t="inlineStr">
        <is>
          <t>CHECK_VENDOR</t>
        </is>
      </c>
      <c r="M561" t="inlineStr">
        <is>
          <t>See CVE details</t>
        </is>
      </c>
      <c r="N561" t="inlineStr">
        <is>
          <t>P3</t>
        </is>
      </c>
      <c r="O561" t="inlineStr">
        <is>
          <t>CVE - IP enrichment n/a</t>
        </is>
      </c>
      <c r="P561" t="n">
        <v>0.0009</v>
      </c>
      <c r="Q561" t="n">
        <v>0.2512</v>
      </c>
      <c r="R561" t="inlineStr">
        <is>
          <t>T1189:Drive-by Compromise</t>
        </is>
      </c>
      <c r="S561" t="n">
        <v>1</v>
      </c>
      <c r="T561" t="inlineStr">
        <is>
          <t>LOW (40%)</t>
        </is>
      </c>
      <c r="U561" t="inlineStr">
        <is>
          <t>UNLIKELY</t>
        </is>
      </c>
      <c r="V561" t="inlineStr">
        <is>
          <t>CHECK_VENDOR</t>
        </is>
      </c>
      <c r="W561" t="inlineStr">
        <is>
          <t>https://nvd.nist.gov/vuln/detail/CVE-2026-27614</t>
        </is>
      </c>
      <c r="X561" t="inlineStr">
        <is>
          <t>NONE</t>
        </is>
      </c>
      <c r="Y561" t="n">
        <v>0</v>
      </c>
      <c r="Z561" t="inlineStr"/>
      <c r="AA561" t="inlineStr">
        <is>
          <t>https://nvd.nist.gov/vuln/detail/CVE-2026-27614</t>
        </is>
      </c>
    </row>
    <row r="562">
      <c r="A562" t="inlineStr">
        <is>
          <t>CVE</t>
        </is>
      </c>
      <c r="B562" t="inlineStr">
        <is>
          <t>CVE-2026-27615</t>
        </is>
      </c>
      <c r="C562"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562" t="n">
        <v>8.5</v>
      </c>
      <c r="E562" t="inlineStr">
        <is>
          <t>HIGH</t>
        </is>
      </c>
      <c r="F562" t="n">
        <v>2</v>
      </c>
      <c r="G562" t="n">
        <v>3</v>
      </c>
      <c r="H562" t="inlineStr">
        <is>
          <t>HIGH</t>
        </is>
      </c>
      <c r="I562" t="n">
        <v>14.5</v>
      </c>
      <c r="J562" t="inlineStr">
        <is>
          <t>NO</t>
        </is>
      </c>
      <c r="K562" t="inlineStr">
        <is>
          <t>2026-02-27 20:47</t>
        </is>
      </c>
      <c r="L562" t="inlineStr">
        <is>
          <t>CHECK_VENDOR</t>
        </is>
      </c>
      <c r="M562" t="inlineStr">
        <is>
          <t>See CVE details</t>
        </is>
      </c>
      <c r="N562" t="inlineStr">
        <is>
          <t>P3</t>
        </is>
      </c>
      <c r="O562" t="inlineStr">
        <is>
          <t>CVE - IP enrichment n/a</t>
        </is>
      </c>
      <c r="P562" t="n">
        <v>0.0002</v>
      </c>
      <c r="Q562" t="n">
        <v>0.0338</v>
      </c>
      <c r="R562" t="inlineStr">
        <is>
          <t>T1190:Exploit Public-Facing Application</t>
        </is>
      </c>
      <c r="S562" t="n">
        <v>1</v>
      </c>
      <c r="T562" t="inlineStr">
        <is>
          <t>LOW (40%)</t>
        </is>
      </c>
      <c r="U562" t="inlineStr">
        <is>
          <t>UNLIKELY</t>
        </is>
      </c>
      <c r="V562" t="inlineStr">
        <is>
          <t>CHECK_VENDOR</t>
        </is>
      </c>
      <c r="W562" t="inlineStr">
        <is>
          <t>https://nvd.nist.gov/vuln/detail/CVE-2026-27615</t>
        </is>
      </c>
      <c r="X562" t="inlineStr">
        <is>
          <t>NONE</t>
        </is>
      </c>
      <c r="Y562" t="n">
        <v>0</v>
      </c>
      <c r="Z562" t="inlineStr"/>
      <c r="AA562" t="inlineStr">
        <is>
          <t>https://nvd.nist.gov/vuln/detail/CVE-2026-27615</t>
        </is>
      </c>
    </row>
    <row r="563">
      <c r="A563" t="inlineStr">
        <is>
          <t>CVE</t>
        </is>
      </c>
      <c r="B563" t="inlineStr">
        <is>
          <t>CVE-2026-27621</t>
        </is>
      </c>
      <c r="C563"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563" t="n">
        <v>5</v>
      </c>
      <c r="E563" t="inlineStr">
        <is>
          <t>MEDIUM</t>
        </is>
      </c>
      <c r="F563" t="n">
        <v>2</v>
      </c>
      <c r="G563" t="n">
        <v>2</v>
      </c>
      <c r="H563" t="inlineStr">
        <is>
          <t>MEDIUM</t>
        </is>
      </c>
      <c r="I563" t="n">
        <v>9</v>
      </c>
      <c r="J563" t="inlineStr">
        <is>
          <t>NO</t>
        </is>
      </c>
      <c r="K563" t="inlineStr">
        <is>
          <t>2026-02-27 20:47</t>
        </is>
      </c>
      <c r="L563" t="inlineStr">
        <is>
          <t>CHECK_VENDOR</t>
        </is>
      </c>
      <c r="M563" t="inlineStr">
        <is>
          <t>See CVE details</t>
        </is>
      </c>
      <c r="N563" t="inlineStr">
        <is>
          <t>P4</t>
        </is>
      </c>
      <c r="O563" t="inlineStr">
        <is>
          <t>CVE - IP enrichment n/a</t>
        </is>
      </c>
      <c r="P563" t="n">
        <v>0.0004</v>
      </c>
      <c r="Q563" t="n">
        <v>0.1332</v>
      </c>
      <c r="R563" t="inlineStr">
        <is>
          <t>T1189:Drive-by Compromise</t>
        </is>
      </c>
      <c r="S563" t="n">
        <v>1</v>
      </c>
      <c r="T563" t="inlineStr">
        <is>
          <t>LOW (40%)</t>
        </is>
      </c>
      <c r="U563" t="inlineStr">
        <is>
          <t>UNLIKELY</t>
        </is>
      </c>
      <c r="V563" t="inlineStr">
        <is>
          <t>CHECK_VENDOR</t>
        </is>
      </c>
      <c r="W563" t="inlineStr">
        <is>
          <t>https://nvd.nist.gov/vuln/detail/CVE-2026-27621</t>
        </is>
      </c>
      <c r="X563" t="inlineStr">
        <is>
          <t>NONE</t>
        </is>
      </c>
      <c r="Y563" t="n">
        <v>0</v>
      </c>
      <c r="Z563" t="inlineStr"/>
      <c r="AA563" t="inlineStr">
        <is>
          <t>https://nvd.nist.gov/vuln/detail/CVE-2026-27621</t>
        </is>
      </c>
    </row>
    <row r="564">
      <c r="A564" t="inlineStr">
        <is>
          <t>CVE</t>
        </is>
      </c>
      <c r="B564" t="inlineStr">
        <is>
          <t>CVE-2026-27626</t>
        </is>
      </c>
      <c r="C564"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564" t="n">
        <v>9.9</v>
      </c>
      <c r="E564" t="inlineStr">
        <is>
          <t>CRITICAL</t>
        </is>
      </c>
      <c r="F564" t="n">
        <v>2</v>
      </c>
      <c r="G564" t="n">
        <v>3</v>
      </c>
      <c r="H564" t="inlineStr">
        <is>
          <t>HIGH</t>
        </is>
      </c>
      <c r="I564" t="n">
        <v>15.9</v>
      </c>
      <c r="J564" t="inlineStr">
        <is>
          <t>NO</t>
        </is>
      </c>
      <c r="K564" t="inlineStr">
        <is>
          <t>2026-02-27 20:47</t>
        </is>
      </c>
      <c r="L564" t="inlineStr">
        <is>
          <t>CHECK_VENDOR</t>
        </is>
      </c>
      <c r="M564" t="inlineStr">
        <is>
          <t>See CVE details</t>
        </is>
      </c>
      <c r="N564" t="inlineStr">
        <is>
          <t>P3</t>
        </is>
      </c>
      <c r="O564" t="inlineStr">
        <is>
          <t>CVE - IP enrichment n/a</t>
        </is>
      </c>
      <c r="P564" t="n">
        <v>0.0008</v>
      </c>
      <c r="Q564" t="n">
        <v>0.2465</v>
      </c>
      <c r="R564" t="inlineStr">
        <is>
          <t>T1059:Command and Scripting Interpreter | T1190:Exploit Public-Facing Application</t>
        </is>
      </c>
      <c r="S564" t="n">
        <v>1</v>
      </c>
      <c r="T564" t="inlineStr">
        <is>
          <t>LOW (40%)</t>
        </is>
      </c>
      <c r="U564" t="inlineStr">
        <is>
          <t>UNLIKELY</t>
        </is>
      </c>
      <c r="V564" t="inlineStr">
        <is>
          <t>CHECK_VENDOR</t>
        </is>
      </c>
      <c r="W564" t="inlineStr">
        <is>
          <t>https://nvd.nist.gov/vuln/detail/CVE-2026-27626</t>
        </is>
      </c>
      <c r="X564" t="inlineStr">
        <is>
          <t>NONE</t>
        </is>
      </c>
      <c r="Y564" t="n">
        <v>0</v>
      </c>
      <c r="Z564" t="inlineStr"/>
      <c r="AA564" t="inlineStr">
        <is>
          <t>https://nvd.nist.gov/vuln/detail/CVE-2026-27626</t>
        </is>
      </c>
    </row>
    <row r="565">
      <c r="A565" t="inlineStr">
        <is>
          <t>CVE</t>
        </is>
      </c>
      <c r="B565" t="inlineStr">
        <is>
          <t>CVE-2026-27628</t>
        </is>
      </c>
      <c r="C565"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565" t="n">
        <v>7.5</v>
      </c>
      <c r="E565" t="inlineStr">
        <is>
          <t>HIGH</t>
        </is>
      </c>
      <c r="F565" t="n">
        <v>2</v>
      </c>
      <c r="G565" t="n">
        <v>3</v>
      </c>
      <c r="H565" t="inlineStr">
        <is>
          <t>HIGH</t>
        </is>
      </c>
      <c r="I565" t="n">
        <v>13.5</v>
      </c>
      <c r="J565" t="inlineStr">
        <is>
          <t>NO</t>
        </is>
      </c>
      <c r="K565" t="inlineStr">
        <is>
          <t>2026-02-27 20:47</t>
        </is>
      </c>
      <c r="L565" t="inlineStr">
        <is>
          <t>YES</t>
        </is>
      </c>
      <c r="M565" t="inlineStr">
        <is>
          <t>pypdf_project pypdf *</t>
        </is>
      </c>
      <c r="N565" t="inlineStr">
        <is>
          <t>P3</t>
        </is>
      </c>
      <c r="O565" t="inlineStr">
        <is>
          <t>CVE - IP enrichment n/a</t>
        </is>
      </c>
      <c r="P565" t="n">
        <v>0.0003</v>
      </c>
      <c r="Q565" t="n">
        <v>0.0944</v>
      </c>
      <c r="R565" t="inlineStr">
        <is>
          <t>T1190:Exploit Public-Facing Application</t>
        </is>
      </c>
      <c r="S565" t="n">
        <v>1</v>
      </c>
      <c r="T565" t="inlineStr">
        <is>
          <t>LOW (40%)</t>
        </is>
      </c>
      <c r="U565" t="inlineStr">
        <is>
          <t>UNLIKELY</t>
        </is>
      </c>
      <c r="V565" t="inlineStr">
        <is>
          <t>PATCH_AVAILABLE</t>
        </is>
      </c>
      <c r="W565" t="inlineStr">
        <is>
          <t>https://nvd.nist.gov/vuln/detail/CVE-2026-27628</t>
        </is>
      </c>
      <c r="X565" t="inlineStr">
        <is>
          <t>NONE</t>
        </is>
      </c>
      <c r="Y565" t="n">
        <v>0</v>
      </c>
      <c r="Z565" t="inlineStr"/>
      <c r="AA565" t="inlineStr">
        <is>
          <t>https://nvd.nist.gov/vuln/detail/CVE-2026-27628</t>
        </is>
      </c>
    </row>
    <row r="566">
      <c r="A566" t="inlineStr">
        <is>
          <t>CVE</t>
        </is>
      </c>
      <c r="B566" t="inlineStr">
        <is>
          <t>CVE-2026-27629</t>
        </is>
      </c>
      <c r="C566"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566" t="n">
        <v>5.9</v>
      </c>
      <c r="E566" t="inlineStr">
        <is>
          <t>MEDIUM</t>
        </is>
      </c>
      <c r="F566" t="n">
        <v>2</v>
      </c>
      <c r="G566" t="n">
        <v>2</v>
      </c>
      <c r="H566" t="inlineStr">
        <is>
          <t>MEDIUM</t>
        </is>
      </c>
      <c r="I566" t="n">
        <v>9.9</v>
      </c>
      <c r="J566" t="inlineStr">
        <is>
          <t>NO</t>
        </is>
      </c>
      <c r="K566" t="inlineStr">
        <is>
          <t>2026-02-27 20:47</t>
        </is>
      </c>
      <c r="L566" t="inlineStr">
        <is>
          <t>CHECK_VENDOR</t>
        </is>
      </c>
      <c r="M566" t="inlineStr">
        <is>
          <t>See CVE details</t>
        </is>
      </c>
      <c r="N566" t="inlineStr">
        <is>
          <t>P4</t>
        </is>
      </c>
      <c r="O566" t="inlineStr">
        <is>
          <t>CVE - IP enrichment n/a</t>
        </is>
      </c>
      <c r="P566" t="n">
        <v>0.0003</v>
      </c>
      <c r="Q566" t="n">
        <v>0.0975</v>
      </c>
      <c r="R566" t="inlineStr">
        <is>
          <t>T1190:Exploit Public-Facing Application</t>
        </is>
      </c>
      <c r="S566" t="n">
        <v>1</v>
      </c>
      <c r="T566" t="inlineStr">
        <is>
          <t>LOW (40%)</t>
        </is>
      </c>
      <c r="U566" t="inlineStr">
        <is>
          <t>UNLIKELY</t>
        </is>
      </c>
      <c r="V566" t="inlineStr">
        <is>
          <t>CHECK_VENDOR</t>
        </is>
      </c>
      <c r="W566" t="inlineStr">
        <is>
          <t>https://nvd.nist.gov/vuln/detail/CVE-2026-27629</t>
        </is>
      </c>
      <c r="X566" t="inlineStr">
        <is>
          <t>NONE</t>
        </is>
      </c>
      <c r="Y566" t="n">
        <v>0</v>
      </c>
      <c r="Z566" t="inlineStr"/>
      <c r="AA566" t="inlineStr">
        <is>
          <t>https://nvd.nist.gov/vuln/detail/CVE-2026-27629</t>
        </is>
      </c>
    </row>
    <row r="567">
      <c r="A567" t="inlineStr">
        <is>
          <t>CVE</t>
        </is>
      </c>
      <c r="B567" t="inlineStr">
        <is>
          <t>CVE-2026-27632</t>
        </is>
      </c>
      <c r="C567"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567" t="n">
        <v>2.6</v>
      </c>
      <c r="E567" t="inlineStr">
        <is>
          <t>LOW</t>
        </is>
      </c>
      <c r="F567" t="n">
        <v>2</v>
      </c>
      <c r="G567" t="n">
        <v>1</v>
      </c>
      <c r="H567" t="inlineStr">
        <is>
          <t>LOW</t>
        </is>
      </c>
      <c r="I567" t="n">
        <v>4.6</v>
      </c>
      <c r="J567" t="inlineStr">
        <is>
          <t>NO</t>
        </is>
      </c>
      <c r="K567" t="inlineStr">
        <is>
          <t>2026-02-27 20:47</t>
        </is>
      </c>
      <c r="L567" t="inlineStr">
        <is>
          <t>CHECK_VENDOR</t>
        </is>
      </c>
      <c r="M567" t="inlineStr">
        <is>
          <t>See CVE details</t>
        </is>
      </c>
      <c r="N567" t="inlineStr">
        <is>
          <t>P4</t>
        </is>
      </c>
      <c r="O567" t="inlineStr">
        <is>
          <t>CVE - IP enrichment n/a</t>
        </is>
      </c>
      <c r="P567" t="n">
        <v>0.0001</v>
      </c>
      <c r="Q567" t="n">
        <v>0.0257</v>
      </c>
      <c r="R567" t="inlineStr">
        <is>
          <t>T1185:Browser Session Hijacking</t>
        </is>
      </c>
      <c r="S567" t="n">
        <v>1</v>
      </c>
      <c r="T567" t="inlineStr">
        <is>
          <t>LOW (40%)</t>
        </is>
      </c>
      <c r="U567" t="inlineStr">
        <is>
          <t>UNLIKELY</t>
        </is>
      </c>
      <c r="V567" t="inlineStr">
        <is>
          <t>CHECK_VENDOR</t>
        </is>
      </c>
      <c r="W567" t="inlineStr">
        <is>
          <t>https://nvd.nist.gov/vuln/detail/CVE-2026-27632</t>
        </is>
      </c>
      <c r="X567" t="inlineStr">
        <is>
          <t>NONE</t>
        </is>
      </c>
      <c r="Y567" t="n">
        <v>0</v>
      </c>
      <c r="Z567" t="inlineStr"/>
      <c r="AA567" t="inlineStr">
        <is>
          <t>https://nvd.nist.gov/vuln/detail/CVE-2026-27632</t>
        </is>
      </c>
    </row>
    <row r="568">
      <c r="A568" t="inlineStr">
        <is>
          <t>CVE</t>
        </is>
      </c>
      <c r="B568" t="inlineStr">
        <is>
          <t>CVE-2026-27822</t>
        </is>
      </c>
      <c r="C568"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568" t="n">
        <v>9</v>
      </c>
      <c r="E568" t="inlineStr">
        <is>
          <t>CRITICAL</t>
        </is>
      </c>
      <c r="F568" t="n">
        <v>2</v>
      </c>
      <c r="G568" t="n">
        <v>3</v>
      </c>
      <c r="H568" t="inlineStr">
        <is>
          <t>HIGH</t>
        </is>
      </c>
      <c r="I568" t="n">
        <v>15</v>
      </c>
      <c r="J568" t="inlineStr">
        <is>
          <t>NO</t>
        </is>
      </c>
      <c r="K568" t="inlineStr">
        <is>
          <t>2026-02-27 20:47</t>
        </is>
      </c>
      <c r="L568" t="inlineStr">
        <is>
          <t>YES</t>
        </is>
      </c>
      <c r="M568" t="inlineStr">
        <is>
          <t>rustfs rustfs 1.0.0</t>
        </is>
      </c>
      <c r="N568" t="inlineStr">
        <is>
          <t>P3</t>
        </is>
      </c>
      <c r="O568" t="inlineStr">
        <is>
          <t>CVE - IP enrichment n/a</t>
        </is>
      </c>
      <c r="P568" t="n">
        <v>0.0003</v>
      </c>
      <c r="Q568" t="n">
        <v>0.09279999999999999</v>
      </c>
      <c r="R568" t="inlineStr">
        <is>
          <t>T1189:Drive-by Compromise | T1552:Unsecured Credentials</t>
        </is>
      </c>
      <c r="S568" t="n">
        <v>1</v>
      </c>
      <c r="T568" t="inlineStr">
        <is>
          <t>LOW (40%)</t>
        </is>
      </c>
      <c r="U568" t="inlineStr">
        <is>
          <t>UNLIKELY</t>
        </is>
      </c>
      <c r="V568" t="inlineStr">
        <is>
          <t>PATCH_AVAILABLE</t>
        </is>
      </c>
      <c r="W568" t="inlineStr">
        <is>
          <t>https://nvd.nist.gov/vuln/detail/CVE-2026-27822</t>
        </is>
      </c>
      <c r="X568" t="inlineStr">
        <is>
          <t>NONE</t>
        </is>
      </c>
      <c r="Y568" t="n">
        <v>0</v>
      </c>
      <c r="Z568" t="inlineStr"/>
      <c r="AA568" t="inlineStr">
        <is>
          <t>https://nvd.nist.gov/vuln/detail/CVE-2026-27822</t>
        </is>
      </c>
    </row>
    <row r="569">
      <c r="A569" t="inlineStr">
        <is>
          <t>CVE</t>
        </is>
      </c>
      <c r="B569" t="inlineStr">
        <is>
          <t>CVE-2026-3145</t>
        </is>
      </c>
      <c r="C569"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569" t="n">
        <v>5.3</v>
      </c>
      <c r="E569" t="inlineStr">
        <is>
          <t>MEDIUM</t>
        </is>
      </c>
      <c r="F569" t="n">
        <v>2</v>
      </c>
      <c r="G569" t="n">
        <v>2</v>
      </c>
      <c r="H569" t="inlineStr">
        <is>
          <t>MEDIUM</t>
        </is>
      </c>
      <c r="I569" t="n">
        <v>9.300000000000001</v>
      </c>
      <c r="J569" t="inlineStr">
        <is>
          <t>NO</t>
        </is>
      </c>
      <c r="K569" t="inlineStr">
        <is>
          <t>2026-02-27 20:47</t>
        </is>
      </c>
      <c r="L569" t="inlineStr">
        <is>
          <t>YES</t>
        </is>
      </c>
      <c r="M569" t="inlineStr">
        <is>
          <t>libvips libvips *</t>
        </is>
      </c>
      <c r="N569" t="inlineStr">
        <is>
          <t>P4</t>
        </is>
      </c>
      <c r="O569" t="inlineStr">
        <is>
          <t>CVE - IP enrichment n/a</t>
        </is>
      </c>
      <c r="P569" t="n">
        <v>0.0001</v>
      </c>
      <c r="Q569" t="n">
        <v>0.0204</v>
      </c>
      <c r="R569" t="inlineStr">
        <is>
          <t>T1203:Exploitation for Client Execution</t>
        </is>
      </c>
      <c r="S569" t="n">
        <v>1</v>
      </c>
      <c r="T569" t="inlineStr">
        <is>
          <t>LOW (40%)</t>
        </is>
      </c>
      <c r="U569" t="inlineStr">
        <is>
          <t>UNLIKELY</t>
        </is>
      </c>
      <c r="V569" t="inlineStr">
        <is>
          <t>PATCH_AVAILABLE</t>
        </is>
      </c>
      <c r="W569" t="inlineStr">
        <is>
          <t>https://nvd.nist.gov/vuln/detail/CVE-2026-3145</t>
        </is>
      </c>
      <c r="X569" t="inlineStr">
        <is>
          <t>NONE</t>
        </is>
      </c>
      <c r="Y569" t="n">
        <v>0</v>
      </c>
      <c r="Z569" t="inlineStr"/>
      <c r="AA569" t="inlineStr">
        <is>
          <t>https://nvd.nist.gov/vuln/detail/CVE-2026-3145</t>
        </is>
      </c>
    </row>
    <row r="570">
      <c r="A570" t="inlineStr">
        <is>
          <t>CVE</t>
        </is>
      </c>
      <c r="B570" t="inlineStr">
        <is>
          <t>CVE-2026-3146</t>
        </is>
      </c>
      <c r="C570"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570" t="n">
        <v>3.3</v>
      </c>
      <c r="E570" t="inlineStr">
        <is>
          <t>LOW</t>
        </is>
      </c>
      <c r="F570" t="n">
        <v>2</v>
      </c>
      <c r="G570" t="n">
        <v>1</v>
      </c>
      <c r="H570" t="inlineStr">
        <is>
          <t>LOW</t>
        </is>
      </c>
      <c r="I570" t="n">
        <v>5.3</v>
      </c>
      <c r="J570" t="inlineStr">
        <is>
          <t>NO</t>
        </is>
      </c>
      <c r="K570" t="inlineStr">
        <is>
          <t>2026-02-27 20:47</t>
        </is>
      </c>
      <c r="L570" t="inlineStr">
        <is>
          <t>YES</t>
        </is>
      </c>
      <c r="M570" t="inlineStr">
        <is>
          <t>libvips libvips *</t>
        </is>
      </c>
      <c r="N570" t="inlineStr">
        <is>
          <t>P4</t>
        </is>
      </c>
      <c r="O570" t="inlineStr">
        <is>
          <t>CVE - IP enrichment n/a</t>
        </is>
      </c>
      <c r="P570" t="n">
        <v>0.0001</v>
      </c>
      <c r="Q570" t="n">
        <v>0.0131</v>
      </c>
      <c r="R570" t="inlineStr">
        <is>
          <t>T1190:Exploit Public-Facing Application</t>
        </is>
      </c>
      <c r="S570" t="n">
        <v>1</v>
      </c>
      <c r="T570" t="inlineStr">
        <is>
          <t>LOW (40%)</t>
        </is>
      </c>
      <c r="U570" t="inlineStr">
        <is>
          <t>UNLIKELY</t>
        </is>
      </c>
      <c r="V570" t="inlineStr">
        <is>
          <t>PATCH_AVAILABLE</t>
        </is>
      </c>
      <c r="W570" t="inlineStr">
        <is>
          <t>https://nvd.nist.gov/vuln/detail/CVE-2026-3146</t>
        </is>
      </c>
      <c r="X570" t="inlineStr">
        <is>
          <t>NONE</t>
        </is>
      </c>
      <c r="Y570" t="n">
        <v>0</v>
      </c>
      <c r="Z570" t="inlineStr"/>
      <c r="AA570" t="inlineStr">
        <is>
          <t>https://nvd.nist.gov/vuln/detail/CVE-2026-3146</t>
        </is>
      </c>
    </row>
    <row r="571">
      <c r="A571" t="inlineStr">
        <is>
          <t>CVE</t>
        </is>
      </c>
      <c r="B571" t="inlineStr">
        <is>
          <t>CVE-2026-27597</t>
        </is>
      </c>
      <c r="C571"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571" t="n">
        <v>10</v>
      </c>
      <c r="E571" t="inlineStr">
        <is>
          <t>CRITICAL</t>
        </is>
      </c>
      <c r="F571" t="n">
        <v>2</v>
      </c>
      <c r="G571" t="n">
        <v>3</v>
      </c>
      <c r="H571" t="inlineStr">
        <is>
          <t>HIGH</t>
        </is>
      </c>
      <c r="I571" t="n">
        <v>16</v>
      </c>
      <c r="J571" t="inlineStr">
        <is>
          <t>NO</t>
        </is>
      </c>
      <c r="K571" t="inlineStr">
        <is>
          <t>2026-02-27 20:47</t>
        </is>
      </c>
      <c r="L571" t="inlineStr">
        <is>
          <t>CHECK_VENDOR</t>
        </is>
      </c>
      <c r="M571" t="inlineStr">
        <is>
          <t>See CVE details</t>
        </is>
      </c>
      <c r="N571" t="inlineStr">
        <is>
          <t>P3</t>
        </is>
      </c>
      <c r="O571" t="inlineStr">
        <is>
          <t>CVE - IP enrichment n/a</t>
        </is>
      </c>
      <c r="P571" t="n">
        <v>0.0029</v>
      </c>
      <c r="Q571" t="n">
        <v>0.5182</v>
      </c>
      <c r="R571" t="inlineStr">
        <is>
          <t>T1059:Command and Scripting Interpreter | T1190:Exploit Public-Facing Application | T1210:Exploitation of Remote Services</t>
        </is>
      </c>
      <c r="S571" t="n">
        <v>1</v>
      </c>
      <c r="T571" t="inlineStr">
        <is>
          <t>LOW (40%)</t>
        </is>
      </c>
      <c r="U571" t="inlineStr">
        <is>
          <t>UNLIKELY</t>
        </is>
      </c>
      <c r="V571" t="inlineStr">
        <is>
          <t>CHECK_VENDOR</t>
        </is>
      </c>
      <c r="W571" t="inlineStr">
        <is>
          <t>https://nvd.nist.gov/vuln/detail/CVE-2026-27597</t>
        </is>
      </c>
      <c r="X571" t="inlineStr">
        <is>
          <t>NONE</t>
        </is>
      </c>
      <c r="Y571" t="n">
        <v>0</v>
      </c>
      <c r="Z571" t="inlineStr"/>
      <c r="AA571" t="inlineStr">
        <is>
          <t>https://nvd.nist.gov/vuln/detail/CVE-2026-27597</t>
        </is>
      </c>
    </row>
    <row r="572">
      <c r="A572" t="inlineStr">
        <is>
          <t>CVE</t>
        </is>
      </c>
      <c r="B572" t="inlineStr">
        <is>
          <t>CVE-2026-27627</t>
        </is>
      </c>
      <c r="C572"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572" t="n">
        <v>8.199999999999999</v>
      </c>
      <c r="E572" t="inlineStr">
        <is>
          <t>HIGH</t>
        </is>
      </c>
      <c r="F572" t="n">
        <v>2</v>
      </c>
      <c r="G572" t="n">
        <v>3</v>
      </c>
      <c r="H572" t="inlineStr">
        <is>
          <t>HIGH</t>
        </is>
      </c>
      <c r="I572" t="n">
        <v>14.2</v>
      </c>
      <c r="J572" t="inlineStr">
        <is>
          <t>NO</t>
        </is>
      </c>
      <c r="K572" t="inlineStr">
        <is>
          <t>2026-02-27 20:47</t>
        </is>
      </c>
      <c r="L572" t="inlineStr">
        <is>
          <t>CHECK_VENDOR</t>
        </is>
      </c>
      <c r="M572" t="inlineStr">
        <is>
          <t>See CVE details</t>
        </is>
      </c>
      <c r="N572" t="inlineStr">
        <is>
          <t>P3</t>
        </is>
      </c>
      <c r="O572" t="inlineStr">
        <is>
          <t>CVE - IP enrichment n/a</t>
        </is>
      </c>
      <c r="P572" t="n">
        <v>0.0003</v>
      </c>
      <c r="Q572" t="n">
        <v>0.08599999999999999</v>
      </c>
      <c r="R572" t="inlineStr">
        <is>
          <t>T1189:Drive-by Compromise | T1190:Exploit Public-Facing Application</t>
        </is>
      </c>
      <c r="S572" t="n">
        <v>1</v>
      </c>
      <c r="T572" t="inlineStr">
        <is>
          <t>LOW (40%)</t>
        </is>
      </c>
      <c r="U572" t="inlineStr">
        <is>
          <t>UNLIKELY</t>
        </is>
      </c>
      <c r="V572" t="inlineStr">
        <is>
          <t>CHECK_VENDOR</t>
        </is>
      </c>
      <c r="W572" t="inlineStr">
        <is>
          <t>https://nvd.nist.gov/vuln/detail/CVE-2026-27627</t>
        </is>
      </c>
      <c r="X572" t="inlineStr">
        <is>
          <t>NONE</t>
        </is>
      </c>
      <c r="Y572" t="n">
        <v>0</v>
      </c>
      <c r="Z572" t="inlineStr"/>
      <c r="AA572" t="inlineStr">
        <is>
          <t>https://nvd.nist.gov/vuln/detail/CVE-2026-27627</t>
        </is>
      </c>
    </row>
    <row r="573">
      <c r="A573" t="inlineStr">
        <is>
          <t>CVE</t>
        </is>
      </c>
      <c r="B573" t="inlineStr">
        <is>
          <t>CVE-2026-27636</t>
        </is>
      </c>
      <c r="C573"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573" t="n">
        <v>8.800000000000001</v>
      </c>
      <c r="E573" t="inlineStr">
        <is>
          <t>HIGH</t>
        </is>
      </c>
      <c r="F573" t="n">
        <v>2</v>
      </c>
      <c r="G573" t="n">
        <v>3</v>
      </c>
      <c r="H573" t="inlineStr">
        <is>
          <t>HIGH</t>
        </is>
      </c>
      <c r="I573" t="n">
        <v>14.8</v>
      </c>
      <c r="J573" t="inlineStr">
        <is>
          <t>NO</t>
        </is>
      </c>
      <c r="K573" t="inlineStr">
        <is>
          <t>2026-02-27 20:47</t>
        </is>
      </c>
      <c r="L573" t="inlineStr">
        <is>
          <t>YES</t>
        </is>
      </c>
      <c r="M573" t="inlineStr">
        <is>
          <t>freescout freescout *</t>
        </is>
      </c>
      <c r="N573" t="inlineStr">
        <is>
          <t>P3</t>
        </is>
      </c>
      <c r="O573" t="inlineStr">
        <is>
          <t>CVE - IP enrichment n/a</t>
        </is>
      </c>
      <c r="P573" t="n">
        <v>0.003</v>
      </c>
      <c r="Q573" t="n">
        <v>0.5331</v>
      </c>
      <c r="R573" t="inlineStr">
        <is>
          <t>T1190:Exploit Public-Facing Application | T1210:Exploitation of Remote Services</t>
        </is>
      </c>
      <c r="S573" t="n">
        <v>1</v>
      </c>
      <c r="T573" t="inlineStr">
        <is>
          <t>LOW (40%)</t>
        </is>
      </c>
      <c r="U573" t="inlineStr">
        <is>
          <t>UNLIKELY</t>
        </is>
      </c>
      <c r="V573" t="inlineStr">
        <is>
          <t>PATCH_AVAILABLE</t>
        </is>
      </c>
      <c r="W573" t="inlineStr">
        <is>
          <t>https://nvd.nist.gov/vuln/detail/CVE-2026-27636</t>
        </is>
      </c>
      <c r="X573" t="inlineStr">
        <is>
          <t>NONE</t>
        </is>
      </c>
      <c r="Y573" t="n">
        <v>0</v>
      </c>
      <c r="Z573" t="inlineStr"/>
      <c r="AA573" t="inlineStr">
        <is>
          <t>https://nvd.nist.gov/vuln/detail/CVE-2026-27636</t>
        </is>
      </c>
    </row>
    <row r="574">
      <c r="A574" t="inlineStr">
        <is>
          <t>CVE</t>
        </is>
      </c>
      <c r="B574" t="inlineStr">
        <is>
          <t>CVE-2026-27637</t>
        </is>
      </c>
      <c r="C574"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574" t="n">
        <v>9.800000000000001</v>
      </c>
      <c r="E574" t="inlineStr">
        <is>
          <t>CRITICAL</t>
        </is>
      </c>
      <c r="F574" t="n">
        <v>2</v>
      </c>
      <c r="G574" t="n">
        <v>3</v>
      </c>
      <c r="H574" t="inlineStr">
        <is>
          <t>HIGH</t>
        </is>
      </c>
      <c r="I574" t="n">
        <v>15.8</v>
      </c>
      <c r="J574" t="inlineStr">
        <is>
          <t>NO</t>
        </is>
      </c>
      <c r="K574" t="inlineStr">
        <is>
          <t>2026-02-27 20:47</t>
        </is>
      </c>
      <c r="L574" t="inlineStr">
        <is>
          <t>YES</t>
        </is>
      </c>
      <c r="M574" t="inlineStr">
        <is>
          <t>freescout freescout *</t>
        </is>
      </c>
      <c r="N574" t="inlineStr">
        <is>
          <t>P3</t>
        </is>
      </c>
      <c r="O574" t="inlineStr">
        <is>
          <t>CVE - IP enrichment n/a</t>
        </is>
      </c>
      <c r="P574" t="n">
        <v>0.0016</v>
      </c>
      <c r="Q574" t="n">
        <v>0.3678</v>
      </c>
      <c r="R574" t="inlineStr">
        <is>
          <t>T1600:Weaken Encryption</t>
        </is>
      </c>
      <c r="S574" t="n">
        <v>1</v>
      </c>
      <c r="T574" t="inlineStr">
        <is>
          <t>LOW (40%)</t>
        </is>
      </c>
      <c r="U574" t="inlineStr">
        <is>
          <t>UNLIKELY</t>
        </is>
      </c>
      <c r="V574" t="inlineStr">
        <is>
          <t>PATCH_AVAILABLE</t>
        </is>
      </c>
      <c r="W574" t="inlineStr">
        <is>
          <t>https://nvd.nist.gov/vuln/detail/CVE-2026-27637</t>
        </is>
      </c>
      <c r="X574" t="inlineStr">
        <is>
          <t>NONE</t>
        </is>
      </c>
      <c r="Y574" t="n">
        <v>0</v>
      </c>
      <c r="Z574" t="inlineStr"/>
      <c r="AA574" t="inlineStr">
        <is>
          <t>https://nvd.nist.gov/vuln/detail/CVE-2026-27637</t>
        </is>
      </c>
    </row>
    <row r="575">
      <c r="A575" t="inlineStr">
        <is>
          <t>CVE</t>
        </is>
      </c>
      <c r="B575" t="inlineStr">
        <is>
          <t>CVE-2026-27639</t>
        </is>
      </c>
      <c r="C575"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575" t="n">
        <v>8.5</v>
      </c>
      <c r="E575" t="inlineStr">
        <is>
          <t>HIGH</t>
        </is>
      </c>
      <c r="F575" t="n">
        <v>2</v>
      </c>
      <c r="G575" t="n">
        <v>3</v>
      </c>
      <c r="H575" t="inlineStr">
        <is>
          <t>HIGH</t>
        </is>
      </c>
      <c r="I575" t="n">
        <v>14.5</v>
      </c>
      <c r="J575" t="inlineStr">
        <is>
          <t>NO</t>
        </is>
      </c>
      <c r="K575" t="inlineStr">
        <is>
          <t>2026-02-27 20:47</t>
        </is>
      </c>
      <c r="L575" t="inlineStr">
        <is>
          <t>CHECK_VENDOR</t>
        </is>
      </c>
      <c r="M575" t="inlineStr">
        <is>
          <t>See CVE details</t>
        </is>
      </c>
      <c r="N575" t="inlineStr">
        <is>
          <t>P3</t>
        </is>
      </c>
      <c r="O575" t="inlineStr">
        <is>
          <t>CVE - IP enrichment n/a</t>
        </is>
      </c>
      <c r="P575" t="n">
        <v>0.0005</v>
      </c>
      <c r="Q575" t="n">
        <v>0.1437</v>
      </c>
      <c r="R575" t="inlineStr">
        <is>
          <t>T1189:Drive-by Compromise | T1190:Exploit Public-Facing Application</t>
        </is>
      </c>
      <c r="S575" t="n">
        <v>1</v>
      </c>
      <c r="T575" t="inlineStr">
        <is>
          <t>LOW (40%)</t>
        </is>
      </c>
      <c r="U575" t="inlineStr">
        <is>
          <t>UNLIKELY</t>
        </is>
      </c>
      <c r="V575" t="inlineStr">
        <is>
          <t>CHECK_VENDOR</t>
        </is>
      </c>
      <c r="W575" t="inlineStr">
        <is>
          <t>https://nvd.nist.gov/vuln/detail/CVE-2026-27639</t>
        </is>
      </c>
      <c r="X575" t="inlineStr">
        <is>
          <t>NONE</t>
        </is>
      </c>
      <c r="Y575" t="n">
        <v>0</v>
      </c>
      <c r="Z575" t="inlineStr"/>
      <c r="AA575" t="inlineStr">
        <is>
          <t>https://nvd.nist.gov/vuln/detail/CVE-2026-27639</t>
        </is>
      </c>
    </row>
    <row r="576">
      <c r="A576" t="inlineStr">
        <is>
          <t>CVE</t>
        </is>
      </c>
      <c r="B576" t="inlineStr">
        <is>
          <t>CVE-2026-27640</t>
        </is>
      </c>
      <c r="C576"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576" t="n">
        <v>8.5</v>
      </c>
      <c r="E576" t="inlineStr">
        <is>
          <t>HIGH</t>
        </is>
      </c>
      <c r="F576" t="n">
        <v>2</v>
      </c>
      <c r="G576" t="n">
        <v>3</v>
      </c>
      <c r="H576" t="inlineStr">
        <is>
          <t>HIGH</t>
        </is>
      </c>
      <c r="I576" t="n">
        <v>14.5</v>
      </c>
      <c r="J576" t="inlineStr">
        <is>
          <t>NO</t>
        </is>
      </c>
      <c r="K576" t="inlineStr">
        <is>
          <t>2026-02-27 20:47</t>
        </is>
      </c>
      <c r="L576" t="inlineStr">
        <is>
          <t>CHECK_VENDOR</t>
        </is>
      </c>
      <c r="M576" t="inlineStr">
        <is>
          <t>See CVE details</t>
        </is>
      </c>
      <c r="N576" t="inlineStr">
        <is>
          <t>P3</t>
        </is>
      </c>
      <c r="O576" t="inlineStr">
        <is>
          <t>CVE - IP enrichment n/a</t>
        </is>
      </c>
      <c r="P576" t="n">
        <v>0.0004</v>
      </c>
      <c r="Q576" t="n">
        <v>0.1257</v>
      </c>
      <c r="R576" t="inlineStr">
        <is>
          <t>T1190:Exploit Public-Facing Application</t>
        </is>
      </c>
      <c r="S576" t="n">
        <v>1</v>
      </c>
      <c r="T576" t="inlineStr">
        <is>
          <t>LOW (40%)</t>
        </is>
      </c>
      <c r="U576" t="inlineStr">
        <is>
          <t>UNLIKELY</t>
        </is>
      </c>
      <c r="V576" t="inlineStr">
        <is>
          <t>CHECK_VENDOR</t>
        </is>
      </c>
      <c r="W576" t="inlineStr">
        <is>
          <t>https://nvd.nist.gov/vuln/detail/CVE-2026-27640</t>
        </is>
      </c>
      <c r="X576" t="inlineStr">
        <is>
          <t>NONE</t>
        </is>
      </c>
      <c r="Y576" t="n">
        <v>0</v>
      </c>
      <c r="Z576" t="inlineStr"/>
      <c r="AA576" t="inlineStr">
        <is>
          <t>https://nvd.nist.gov/vuln/detail/CVE-2026-27640</t>
        </is>
      </c>
    </row>
    <row r="577">
      <c r="A577" t="inlineStr">
        <is>
          <t>CVE</t>
        </is>
      </c>
      <c r="B577" t="inlineStr">
        <is>
          <t>CVE-2026-27641</t>
        </is>
      </c>
      <c r="C577"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577" t="n">
        <v>9.800000000000001</v>
      </c>
      <c r="E577" t="inlineStr">
        <is>
          <t>CRITICAL</t>
        </is>
      </c>
      <c r="F577" t="n">
        <v>2</v>
      </c>
      <c r="G577" t="n">
        <v>3</v>
      </c>
      <c r="H577" t="inlineStr">
        <is>
          <t>HIGH</t>
        </is>
      </c>
      <c r="I577" t="n">
        <v>15.8</v>
      </c>
      <c r="J577" t="inlineStr">
        <is>
          <t>NO</t>
        </is>
      </c>
      <c r="K577" t="inlineStr">
        <is>
          <t>2026-02-27 20:47</t>
        </is>
      </c>
      <c r="L577" t="inlineStr">
        <is>
          <t>CHECK_VENDOR</t>
        </is>
      </c>
      <c r="M577" t="inlineStr">
        <is>
          <t>See CVE details</t>
        </is>
      </c>
      <c r="N577" t="inlineStr">
        <is>
          <t>P3</t>
        </is>
      </c>
      <c r="O577" t="inlineStr">
        <is>
          <t>CVE - IP enrichment n/a</t>
        </is>
      </c>
      <c r="P577" t="n">
        <v>0.0015</v>
      </c>
      <c r="Q577" t="n">
        <v>0.3495</v>
      </c>
      <c r="R577" t="inlineStr">
        <is>
          <t>T1190:Exploit Public-Facing Application | T1210:Exploitation of Remote Services | T1083:File and Directory Discovery</t>
        </is>
      </c>
      <c r="S577" t="n">
        <v>1</v>
      </c>
      <c r="T577" t="inlineStr">
        <is>
          <t>LOW (40%)</t>
        </is>
      </c>
      <c r="U577" t="inlineStr">
        <is>
          <t>UNLIKELY</t>
        </is>
      </c>
      <c r="V577" t="inlineStr">
        <is>
          <t>CHECK_VENDOR</t>
        </is>
      </c>
      <c r="W577" t="inlineStr">
        <is>
          <t>https://nvd.nist.gov/vuln/detail/CVE-2026-27641</t>
        </is>
      </c>
      <c r="X577" t="inlineStr">
        <is>
          <t>NONE</t>
        </is>
      </c>
      <c r="Y577" t="n">
        <v>0</v>
      </c>
      <c r="Z577" t="inlineStr"/>
      <c r="AA577" t="inlineStr">
        <is>
          <t>https://nvd.nist.gov/vuln/detail/CVE-2026-27641</t>
        </is>
      </c>
    </row>
    <row r="578">
      <c r="A578" t="inlineStr">
        <is>
          <t>CVE</t>
        </is>
      </c>
      <c r="B578" t="inlineStr">
        <is>
          <t>CVE-2026-27743</t>
        </is>
      </c>
      <c r="C578"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578" t="n">
        <v>9.800000000000001</v>
      </c>
      <c r="E578" t="inlineStr">
        <is>
          <t>CRITICAL</t>
        </is>
      </c>
      <c r="F578" t="n">
        <v>2</v>
      </c>
      <c r="G578" t="n">
        <v>3</v>
      </c>
      <c r="H578" t="inlineStr">
        <is>
          <t>HIGH</t>
        </is>
      </c>
      <c r="I578" t="n">
        <v>15.8</v>
      </c>
      <c r="J578" t="inlineStr">
        <is>
          <t>NO</t>
        </is>
      </c>
      <c r="K578" t="inlineStr">
        <is>
          <t>2026-02-27 20:47</t>
        </is>
      </c>
      <c r="L578" t="inlineStr">
        <is>
          <t>CHECK_VENDOR</t>
        </is>
      </c>
      <c r="M578" t="inlineStr">
        <is>
          <t>See CVE details</t>
        </is>
      </c>
      <c r="N578" t="inlineStr">
        <is>
          <t>P3</t>
        </is>
      </c>
      <c r="O578" t="inlineStr">
        <is>
          <t>CVE - IP enrichment n/a</t>
        </is>
      </c>
      <c r="P578" t="n">
        <v>0.0008</v>
      </c>
      <c r="Q578" t="n">
        <v>0.2468</v>
      </c>
      <c r="R578" t="inlineStr">
        <is>
          <t>T1190:Exploit Public-Facing Application</t>
        </is>
      </c>
      <c r="S578" t="n">
        <v>1</v>
      </c>
      <c r="T578" t="inlineStr">
        <is>
          <t>LOW (40%)</t>
        </is>
      </c>
      <c r="U578" t="inlineStr">
        <is>
          <t>UNLIKELY</t>
        </is>
      </c>
      <c r="V578" t="inlineStr">
        <is>
          <t>CHECK_VENDOR</t>
        </is>
      </c>
      <c r="W578" t="inlineStr">
        <is>
          <t>https://nvd.nist.gov/vuln/detail/CVE-2026-27743</t>
        </is>
      </c>
      <c r="X578" t="inlineStr">
        <is>
          <t>NONE</t>
        </is>
      </c>
      <c r="Y578" t="n">
        <v>0</v>
      </c>
      <c r="Z578" t="inlineStr"/>
      <c r="AA578" t="inlineStr">
        <is>
          <t>https://nvd.nist.gov/vuln/detail/CVE-2026-27743</t>
        </is>
      </c>
    </row>
    <row r="579">
      <c r="A579" t="inlineStr">
        <is>
          <t>CVE</t>
        </is>
      </c>
      <c r="B579" t="inlineStr">
        <is>
          <t>CVE-2026-27744</t>
        </is>
      </c>
      <c r="C579"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579" t="n">
        <v>9.800000000000001</v>
      </c>
      <c r="E579" t="inlineStr">
        <is>
          <t>CRITICAL</t>
        </is>
      </c>
      <c r="F579" t="n">
        <v>2</v>
      </c>
      <c r="G579" t="n">
        <v>3</v>
      </c>
      <c r="H579" t="inlineStr">
        <is>
          <t>HIGH</t>
        </is>
      </c>
      <c r="I579" t="n">
        <v>15.8</v>
      </c>
      <c r="J579" t="inlineStr">
        <is>
          <t>NO</t>
        </is>
      </c>
      <c r="K579" t="inlineStr">
        <is>
          <t>2026-02-27 20:47</t>
        </is>
      </c>
      <c r="L579" t="inlineStr">
        <is>
          <t>CHECK_VENDOR</t>
        </is>
      </c>
      <c r="M579" t="inlineStr">
        <is>
          <t>See CVE details</t>
        </is>
      </c>
      <c r="N579" t="inlineStr">
        <is>
          <t>P3</t>
        </is>
      </c>
      <c r="O579" t="inlineStr">
        <is>
          <t>CVE - IP enrichment n/a</t>
        </is>
      </c>
      <c r="P579" t="n">
        <v>0.0022</v>
      </c>
      <c r="Q579" t="n">
        <v>0.4496</v>
      </c>
      <c r="R579" t="inlineStr">
        <is>
          <t>T1059:Command and Scripting Interpreter | T1190:Exploit Public-Facing Application | T1210:Exploitation of Remote Services</t>
        </is>
      </c>
      <c r="S579" t="n">
        <v>1</v>
      </c>
      <c r="T579" t="inlineStr">
        <is>
          <t>LOW (40%)</t>
        </is>
      </c>
      <c r="U579" t="inlineStr">
        <is>
          <t>UNLIKELY</t>
        </is>
      </c>
      <c r="V579" t="inlineStr">
        <is>
          <t>CHECK_VENDOR</t>
        </is>
      </c>
      <c r="W579" t="inlineStr">
        <is>
          <t>https://nvd.nist.gov/vuln/detail/CVE-2026-27744</t>
        </is>
      </c>
      <c r="X579" t="inlineStr">
        <is>
          <t>NONE</t>
        </is>
      </c>
      <c r="Y579" t="n">
        <v>0</v>
      </c>
      <c r="Z579" t="inlineStr"/>
      <c r="AA579" t="inlineStr">
        <is>
          <t>https://nvd.nist.gov/vuln/detail/CVE-2026-27744</t>
        </is>
      </c>
    </row>
    <row r="580">
      <c r="A580" t="inlineStr">
        <is>
          <t>CVE</t>
        </is>
      </c>
      <c r="B580" t="inlineStr">
        <is>
          <t>CVE-2026-27745</t>
        </is>
      </c>
      <c r="C580"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580" t="n">
        <v>8.800000000000001</v>
      </c>
      <c r="E580" t="inlineStr">
        <is>
          <t>HIGH</t>
        </is>
      </c>
      <c r="F580" t="n">
        <v>2</v>
      </c>
      <c r="G580" t="n">
        <v>3</v>
      </c>
      <c r="H580" t="inlineStr">
        <is>
          <t>HIGH</t>
        </is>
      </c>
      <c r="I580" t="n">
        <v>14.8</v>
      </c>
      <c r="J580" t="inlineStr">
        <is>
          <t>NO</t>
        </is>
      </c>
      <c r="K580" t="inlineStr">
        <is>
          <t>2026-02-27 20:47</t>
        </is>
      </c>
      <c r="L580" t="inlineStr">
        <is>
          <t>CHECK_VENDOR</t>
        </is>
      </c>
      <c r="M580" t="inlineStr">
        <is>
          <t>See CVE details</t>
        </is>
      </c>
      <c r="N580" t="inlineStr">
        <is>
          <t>P3</t>
        </is>
      </c>
      <c r="O580" t="inlineStr">
        <is>
          <t>CVE - IP enrichment n/a</t>
        </is>
      </c>
      <c r="P580" t="n">
        <v>0.0014</v>
      </c>
      <c r="Q580" t="n">
        <v>0.3381</v>
      </c>
      <c r="R580" t="inlineStr">
        <is>
          <t>T1059:Command and Scripting Interpreter | T1190:Exploit Public-Facing Application | T1210:Exploitation of Remote Services</t>
        </is>
      </c>
      <c r="S580" t="n">
        <v>1</v>
      </c>
      <c r="T580" t="inlineStr">
        <is>
          <t>LOW (40%)</t>
        </is>
      </c>
      <c r="U580" t="inlineStr">
        <is>
          <t>UNLIKELY</t>
        </is>
      </c>
      <c r="V580" t="inlineStr">
        <is>
          <t>CHECK_VENDOR</t>
        </is>
      </c>
      <c r="W580" t="inlineStr">
        <is>
          <t>https://nvd.nist.gov/vuln/detail/CVE-2026-27745</t>
        </is>
      </c>
      <c r="X580" t="inlineStr">
        <is>
          <t>NONE</t>
        </is>
      </c>
      <c r="Y580" t="n">
        <v>0</v>
      </c>
      <c r="Z580" t="inlineStr"/>
      <c r="AA580" t="inlineStr">
        <is>
          <t>https://nvd.nist.gov/vuln/detail/CVE-2026-27745</t>
        </is>
      </c>
    </row>
    <row r="581">
      <c r="A581" t="inlineStr">
        <is>
          <t>CVE</t>
        </is>
      </c>
      <c r="B581" t="inlineStr">
        <is>
          <t>CVE-2026-27746</t>
        </is>
      </c>
      <c r="C581"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581" t="n">
        <v>6.1</v>
      </c>
      <c r="E581" t="inlineStr">
        <is>
          <t>MEDIUM</t>
        </is>
      </c>
      <c r="F581" t="n">
        <v>2</v>
      </c>
      <c r="G581" t="n">
        <v>2</v>
      </c>
      <c r="H581" t="inlineStr">
        <is>
          <t>MEDIUM</t>
        </is>
      </c>
      <c r="I581" t="n">
        <v>10.1</v>
      </c>
      <c r="J581" t="inlineStr">
        <is>
          <t>NO</t>
        </is>
      </c>
      <c r="K581" t="inlineStr">
        <is>
          <t>2026-02-27 20:47</t>
        </is>
      </c>
      <c r="L581" t="inlineStr">
        <is>
          <t>CHECK_VENDOR</t>
        </is>
      </c>
      <c r="M581" t="inlineStr">
        <is>
          <t>See CVE details</t>
        </is>
      </c>
      <c r="N581" t="inlineStr">
        <is>
          <t>P4</t>
        </is>
      </c>
      <c r="O581" t="inlineStr">
        <is>
          <t>CVE - IP enrichment n/a</t>
        </is>
      </c>
      <c r="P581" t="n">
        <v>0.0003</v>
      </c>
      <c r="Q581" t="n">
        <v>0.0927</v>
      </c>
      <c r="R581" t="inlineStr">
        <is>
          <t>T1189:Drive-by Compromise</t>
        </is>
      </c>
      <c r="S581" t="n">
        <v>1</v>
      </c>
      <c r="T581" t="inlineStr">
        <is>
          <t>LOW (40%)</t>
        </is>
      </c>
      <c r="U581" t="inlineStr">
        <is>
          <t>UNLIKELY</t>
        </is>
      </c>
      <c r="V581" t="inlineStr">
        <is>
          <t>CHECK_VENDOR</t>
        </is>
      </c>
      <c r="W581" t="inlineStr">
        <is>
          <t>https://nvd.nist.gov/vuln/detail/CVE-2026-27746</t>
        </is>
      </c>
      <c r="X581" t="inlineStr">
        <is>
          <t>NONE</t>
        </is>
      </c>
      <c r="Y581" t="n">
        <v>0</v>
      </c>
      <c r="Z581" t="inlineStr"/>
      <c r="AA581" t="inlineStr">
        <is>
          <t>https://nvd.nist.gov/vuln/detail/CVE-2026-27746</t>
        </is>
      </c>
    </row>
    <row r="582">
      <c r="A582" t="inlineStr">
        <is>
          <t>CVE</t>
        </is>
      </c>
      <c r="B582" t="inlineStr">
        <is>
          <t>CVE-2026-27747</t>
        </is>
      </c>
      <c r="C582"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582" t="n">
        <v>6.5</v>
      </c>
      <c r="E582" t="inlineStr">
        <is>
          <t>MEDIUM</t>
        </is>
      </c>
      <c r="F582" t="n">
        <v>2</v>
      </c>
      <c r="G582" t="n">
        <v>2</v>
      </c>
      <c r="H582" t="inlineStr">
        <is>
          <t>MEDIUM</t>
        </is>
      </c>
      <c r="I582" t="n">
        <v>10.5</v>
      </c>
      <c r="J582" t="inlineStr">
        <is>
          <t>NO</t>
        </is>
      </c>
      <c r="K582" t="inlineStr">
        <is>
          <t>2026-02-27 20:47</t>
        </is>
      </c>
      <c r="L582" t="inlineStr">
        <is>
          <t>CHECK_VENDOR</t>
        </is>
      </c>
      <c r="M582" t="inlineStr">
        <is>
          <t>See CVE details</t>
        </is>
      </c>
      <c r="N582" t="inlineStr">
        <is>
          <t>P4</t>
        </is>
      </c>
      <c r="O582" t="inlineStr">
        <is>
          <t>CVE - IP enrichment n/a</t>
        </is>
      </c>
      <c r="P582" t="n">
        <v>0.0003</v>
      </c>
      <c r="Q582" t="n">
        <v>0.0683</v>
      </c>
      <c r="R582" t="inlineStr">
        <is>
          <t>T1190:Exploit Public-Facing Application | T1499:Endpoint Denial of Service</t>
        </is>
      </c>
      <c r="S582" t="n">
        <v>1</v>
      </c>
      <c r="T582" t="inlineStr">
        <is>
          <t>LOW (40%)</t>
        </is>
      </c>
      <c r="U582" t="inlineStr">
        <is>
          <t>UNLIKELY</t>
        </is>
      </c>
      <c r="V582" t="inlineStr">
        <is>
          <t>CHECK_VENDOR</t>
        </is>
      </c>
      <c r="W582" t="inlineStr">
        <is>
          <t>https://nvd.nist.gov/vuln/detail/CVE-2026-27747</t>
        </is>
      </c>
      <c r="X582" t="inlineStr">
        <is>
          <t>NONE</t>
        </is>
      </c>
      <c r="Y582" t="n">
        <v>0</v>
      </c>
      <c r="Z582" t="inlineStr"/>
      <c r="AA582" t="inlineStr">
        <is>
          <t>https://nvd.nist.gov/vuln/detail/CVE-2026-27747</t>
        </is>
      </c>
    </row>
    <row r="583">
      <c r="A583" t="inlineStr">
        <is>
          <t>CVE</t>
        </is>
      </c>
      <c r="B583" t="inlineStr">
        <is>
          <t>CVE-2026-3147</t>
        </is>
      </c>
      <c r="C583"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583" t="n">
        <v>5.3</v>
      </c>
      <c r="E583" t="inlineStr">
        <is>
          <t>MEDIUM</t>
        </is>
      </c>
      <c r="F583" t="n">
        <v>2</v>
      </c>
      <c r="G583" t="n">
        <v>2</v>
      </c>
      <c r="H583" t="inlineStr">
        <is>
          <t>MEDIUM</t>
        </is>
      </c>
      <c r="I583" t="n">
        <v>9.300000000000001</v>
      </c>
      <c r="J583" t="inlineStr">
        <is>
          <t>NO</t>
        </is>
      </c>
      <c r="K583" t="inlineStr">
        <is>
          <t>2026-02-27 20:47</t>
        </is>
      </c>
      <c r="L583" t="inlineStr">
        <is>
          <t>YES</t>
        </is>
      </c>
      <c r="M583" t="inlineStr">
        <is>
          <t>libvips libvips *</t>
        </is>
      </c>
      <c r="N583" t="inlineStr">
        <is>
          <t>P4</t>
        </is>
      </c>
      <c r="O583" t="inlineStr">
        <is>
          <t>CVE - IP enrichment n/a</t>
        </is>
      </c>
      <c r="P583" t="n">
        <v>0.0002</v>
      </c>
      <c r="Q583" t="n">
        <v>0.0525</v>
      </c>
      <c r="R583" t="inlineStr">
        <is>
          <t>T1203:Exploitation for Client Execution</t>
        </is>
      </c>
      <c r="S583" t="n">
        <v>1</v>
      </c>
      <c r="T583" t="inlineStr">
        <is>
          <t>LOW (40%)</t>
        </is>
      </c>
      <c r="U583" t="inlineStr">
        <is>
          <t>UNLIKELY</t>
        </is>
      </c>
      <c r="V583" t="inlineStr">
        <is>
          <t>PATCH_AVAILABLE</t>
        </is>
      </c>
      <c r="W583" t="inlineStr">
        <is>
          <t>https://nvd.nist.gov/vuln/detail/CVE-2026-3147</t>
        </is>
      </c>
      <c r="X583" t="inlineStr">
        <is>
          <t>NONE</t>
        </is>
      </c>
      <c r="Y583" t="n">
        <v>0</v>
      </c>
      <c r="Z583" t="inlineStr"/>
      <c r="AA583" t="inlineStr">
        <is>
          <t>https://nvd.nist.gov/vuln/detail/CVE-2026-3147</t>
        </is>
      </c>
    </row>
    <row r="584">
      <c r="A584" t="inlineStr">
        <is>
          <t>CVE</t>
        </is>
      </c>
      <c r="B584" t="inlineStr">
        <is>
          <t>CVE-2025-0976</t>
        </is>
      </c>
      <c r="C584"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584" t="n">
        <v>4.7</v>
      </c>
      <c r="E584" t="inlineStr">
        <is>
          <t>MEDIUM</t>
        </is>
      </c>
      <c r="F584" t="n">
        <v>2</v>
      </c>
      <c r="G584" t="n">
        <v>2</v>
      </c>
      <c r="H584" t="inlineStr">
        <is>
          <t>MEDIUM</t>
        </is>
      </c>
      <c r="I584" t="n">
        <v>8.699999999999999</v>
      </c>
      <c r="J584" t="inlineStr">
        <is>
          <t>NO</t>
        </is>
      </c>
      <c r="K584" t="inlineStr">
        <is>
          <t>2026-02-27 20:47</t>
        </is>
      </c>
      <c r="L584" t="inlineStr">
        <is>
          <t>CHECK_VENDOR</t>
        </is>
      </c>
      <c r="M584" t="inlineStr">
        <is>
          <t>See CVE details</t>
        </is>
      </c>
      <c r="N584" t="inlineStr">
        <is>
          <t>P4</t>
        </is>
      </c>
      <c r="O584" t="inlineStr">
        <is>
          <t>CVE - IP enrichment n/a</t>
        </is>
      </c>
      <c r="P584" t="n">
        <v>0.0001</v>
      </c>
      <c r="Q584" t="n">
        <v>0.0179</v>
      </c>
      <c r="R584" t="inlineStr">
        <is>
          <t>T1190:Exploit Public-Facing Application</t>
        </is>
      </c>
      <c r="S584" t="n">
        <v>1</v>
      </c>
      <c r="T584" t="inlineStr">
        <is>
          <t>LOW (40%)</t>
        </is>
      </c>
      <c r="U584" t="inlineStr">
        <is>
          <t>UNLIKELY</t>
        </is>
      </c>
      <c r="V584" t="inlineStr">
        <is>
          <t>CHECK_VENDOR</t>
        </is>
      </c>
      <c r="W584" t="inlineStr">
        <is>
          <t>https://nvd.nist.gov/vuln/detail/CVE-2025-0976</t>
        </is>
      </c>
      <c r="X584" t="inlineStr">
        <is>
          <t>NONE</t>
        </is>
      </c>
      <c r="Y584" t="n">
        <v>0</v>
      </c>
      <c r="Z584" t="inlineStr"/>
      <c r="AA584" t="inlineStr">
        <is>
          <t>https://nvd.nist.gov/vuln/detail/CVE-2025-0976</t>
        </is>
      </c>
    </row>
    <row r="585">
      <c r="A585" t="inlineStr">
        <is>
          <t>CVE</t>
        </is>
      </c>
      <c r="B585" t="inlineStr">
        <is>
          <t>CVE-2026-27624</t>
        </is>
      </c>
      <c r="C585"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585" t="n">
        <v>7.2</v>
      </c>
      <c r="E585" t="inlineStr">
        <is>
          <t>HIGH</t>
        </is>
      </c>
      <c r="F585" t="n">
        <v>2</v>
      </c>
      <c r="G585" t="n">
        <v>3</v>
      </c>
      <c r="H585" t="inlineStr">
        <is>
          <t>HIGH</t>
        </is>
      </c>
      <c r="I585" t="n">
        <v>13.2</v>
      </c>
      <c r="J585" t="inlineStr">
        <is>
          <t>NO</t>
        </is>
      </c>
      <c r="K585" t="inlineStr">
        <is>
          <t>2026-02-27 20:47</t>
        </is>
      </c>
      <c r="L585" t="inlineStr">
        <is>
          <t>YES</t>
        </is>
      </c>
      <c r="M585" t="inlineStr">
        <is>
          <t>coturn_project coturn *</t>
        </is>
      </c>
      <c r="N585" t="inlineStr">
        <is>
          <t>P3</t>
        </is>
      </c>
      <c r="O585" t="inlineStr">
        <is>
          <t>CVE - IP enrichment n/a</t>
        </is>
      </c>
      <c r="P585" t="n">
        <v>0.0003</v>
      </c>
      <c r="Q585" t="n">
        <v>0.0711</v>
      </c>
      <c r="R585" t="inlineStr">
        <is>
          <t>T1190:Exploit Public-Facing Application</t>
        </is>
      </c>
      <c r="S585" t="n">
        <v>1</v>
      </c>
      <c r="T585" t="inlineStr">
        <is>
          <t>LOW (40%)</t>
        </is>
      </c>
      <c r="U585" t="inlineStr">
        <is>
          <t>UNLIKELY</t>
        </is>
      </c>
      <c r="V585" t="inlineStr">
        <is>
          <t>PATCH_AVAILABLE</t>
        </is>
      </c>
      <c r="W585" t="inlineStr">
        <is>
          <t>https://nvd.nist.gov/vuln/detail/CVE-2026-27624</t>
        </is>
      </c>
      <c r="X585" t="inlineStr">
        <is>
          <t>NONE</t>
        </is>
      </c>
      <c r="Y585" t="n">
        <v>0</v>
      </c>
      <c r="Z585" t="inlineStr"/>
      <c r="AA585" t="inlineStr">
        <is>
          <t>https://nvd.nist.gov/vuln/detail/CVE-2026-27624</t>
        </is>
      </c>
    </row>
    <row r="586">
      <c r="A586" t="inlineStr">
        <is>
          <t>CVE</t>
        </is>
      </c>
      <c r="B586" t="inlineStr">
        <is>
          <t>CVE-2026-27645</t>
        </is>
      </c>
      <c r="C586"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586" t="n">
        <v>6.1</v>
      </c>
      <c r="E586" t="inlineStr">
        <is>
          <t>MEDIUM</t>
        </is>
      </c>
      <c r="F586" t="n">
        <v>2</v>
      </c>
      <c r="G586" t="n">
        <v>2</v>
      </c>
      <c r="H586" t="inlineStr">
        <is>
          <t>MEDIUM</t>
        </is>
      </c>
      <c r="I586" t="n">
        <v>10.1</v>
      </c>
      <c r="J586" t="inlineStr">
        <is>
          <t>NO</t>
        </is>
      </c>
      <c r="K586" t="inlineStr">
        <is>
          <t>2026-02-27 20:47</t>
        </is>
      </c>
      <c r="L586" t="inlineStr">
        <is>
          <t>YES</t>
        </is>
      </c>
      <c r="M586" t="inlineStr">
        <is>
          <t>webtechnologies changedetection *</t>
        </is>
      </c>
      <c r="N586" t="inlineStr">
        <is>
          <t>P4</t>
        </is>
      </c>
      <c r="O586" t="inlineStr">
        <is>
          <t>CVE - IP enrichment n/a</t>
        </is>
      </c>
      <c r="P586" t="n">
        <v>0.0003</v>
      </c>
      <c r="Q586" t="n">
        <v>0.0779</v>
      </c>
      <c r="R586" t="inlineStr">
        <is>
          <t>T1189:Drive-by Compromise | T1190:Exploit Public-Facing Application</t>
        </is>
      </c>
      <c r="S586" t="n">
        <v>1</v>
      </c>
      <c r="T586" t="inlineStr">
        <is>
          <t>LOW (40%)</t>
        </is>
      </c>
      <c r="U586" t="inlineStr">
        <is>
          <t>UNLIKELY</t>
        </is>
      </c>
      <c r="V586" t="inlineStr">
        <is>
          <t>PATCH_AVAILABLE</t>
        </is>
      </c>
      <c r="W586" t="inlineStr">
        <is>
          <t>https://nvd.nist.gov/vuln/detail/CVE-2026-27645</t>
        </is>
      </c>
      <c r="X586" t="inlineStr">
        <is>
          <t>NONE</t>
        </is>
      </c>
      <c r="Y586" t="n">
        <v>0</v>
      </c>
      <c r="Z586" t="inlineStr"/>
      <c r="AA586" t="inlineStr">
        <is>
          <t>https://nvd.nist.gov/vuln/detail/CVE-2026-27645</t>
        </is>
      </c>
    </row>
    <row r="587">
      <c r="A587" t="inlineStr">
        <is>
          <t>CVE</t>
        </is>
      </c>
      <c r="B587" t="inlineStr">
        <is>
          <t>CVE-2026-27696</t>
        </is>
      </c>
      <c r="C587"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587" t="n">
        <v>8.6</v>
      </c>
      <c r="E587" t="inlineStr">
        <is>
          <t>HIGH</t>
        </is>
      </c>
      <c r="F587" t="n">
        <v>2</v>
      </c>
      <c r="G587" t="n">
        <v>3</v>
      </c>
      <c r="H587" t="inlineStr">
        <is>
          <t>HIGH</t>
        </is>
      </c>
      <c r="I587" t="n">
        <v>14.6</v>
      </c>
      <c r="J587" t="inlineStr">
        <is>
          <t>NO</t>
        </is>
      </c>
      <c r="K587" t="inlineStr">
        <is>
          <t>2026-02-27 20:47</t>
        </is>
      </c>
      <c r="L587" t="inlineStr">
        <is>
          <t>YES</t>
        </is>
      </c>
      <c r="M587" t="inlineStr">
        <is>
          <t>webtechnologies changedetection *</t>
        </is>
      </c>
      <c r="N587" t="inlineStr">
        <is>
          <t>P3</t>
        </is>
      </c>
      <c r="O587" t="inlineStr">
        <is>
          <t>CVE - IP enrichment n/a</t>
        </is>
      </c>
      <c r="P587" t="n">
        <v>0.0003</v>
      </c>
      <c r="Q587" t="n">
        <v>0.0946</v>
      </c>
      <c r="R587" t="inlineStr">
        <is>
          <t>T1090:Proxy | T1190:Exploit Public-Facing Application | T1041:Exfiltration Over C2 Channel</t>
        </is>
      </c>
      <c r="S587" t="n">
        <v>1</v>
      </c>
      <c r="T587" t="inlineStr">
        <is>
          <t>LOW (40%)</t>
        </is>
      </c>
      <c r="U587" t="inlineStr">
        <is>
          <t>UNLIKELY</t>
        </is>
      </c>
      <c r="V587" t="inlineStr">
        <is>
          <t>PATCH_AVAILABLE</t>
        </is>
      </c>
      <c r="W587" t="inlineStr">
        <is>
          <t>https://nvd.nist.gov/vuln/detail/CVE-2026-27696</t>
        </is>
      </c>
      <c r="X587" t="inlineStr">
        <is>
          <t>NONE</t>
        </is>
      </c>
      <c r="Y587" t="n">
        <v>0</v>
      </c>
      <c r="Z587" t="inlineStr"/>
      <c r="AA587" t="inlineStr">
        <is>
          <t>https://nvd.nist.gov/vuln/detail/CVE-2026-27696</t>
        </is>
      </c>
    </row>
    <row r="588">
      <c r="A588" t="inlineStr">
        <is>
          <t>CVE</t>
        </is>
      </c>
      <c r="B588" t="inlineStr">
        <is>
          <t>CVE-2026-3148</t>
        </is>
      </c>
      <c r="C588"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588" t="n">
        <v>7.3</v>
      </c>
      <c r="E588" t="inlineStr">
        <is>
          <t>HIGH</t>
        </is>
      </c>
      <c r="F588" t="n">
        <v>2</v>
      </c>
      <c r="G588" t="n">
        <v>3</v>
      </c>
      <c r="H588" t="inlineStr">
        <is>
          <t>HIGH</t>
        </is>
      </c>
      <c r="I588" t="n">
        <v>13.3</v>
      </c>
      <c r="J588" t="inlineStr">
        <is>
          <t>NO</t>
        </is>
      </c>
      <c r="K588" t="inlineStr">
        <is>
          <t>2026-02-27 20:47</t>
        </is>
      </c>
      <c r="L588" t="inlineStr">
        <is>
          <t>CHECK_VENDOR</t>
        </is>
      </c>
      <c r="M588" t="inlineStr">
        <is>
          <t>haben-cs9 simple_and_nice_shopping_cart_script 1.0</t>
        </is>
      </c>
      <c r="N588" t="inlineStr">
        <is>
          <t>P3</t>
        </is>
      </c>
      <c r="O588" t="inlineStr">
        <is>
          <t>CVE - IP enrichment n/a</t>
        </is>
      </c>
      <c r="P588" t="n">
        <v>0.0002</v>
      </c>
      <c r="Q588" t="n">
        <v>0.0583</v>
      </c>
      <c r="R588" t="inlineStr">
        <is>
          <t>T1190:Exploit Public-Facing Application</t>
        </is>
      </c>
      <c r="S588" t="n">
        <v>1</v>
      </c>
      <c r="T588" t="inlineStr">
        <is>
          <t>LOW (40%)</t>
        </is>
      </c>
      <c r="U588" t="inlineStr">
        <is>
          <t>UNLIKELY</t>
        </is>
      </c>
      <c r="V588" t="inlineStr">
        <is>
          <t>CHECK_VENDOR</t>
        </is>
      </c>
      <c r="W588" t="inlineStr">
        <is>
          <t>https://nvd.nist.gov/vuln/detail/CVE-2026-3148</t>
        </is>
      </c>
      <c r="X588" t="inlineStr">
        <is>
          <t>NONE</t>
        </is>
      </c>
      <c r="Y588" t="n">
        <v>0</v>
      </c>
      <c r="Z588" t="inlineStr"/>
      <c r="AA588" t="inlineStr">
        <is>
          <t>https://nvd.nist.gov/vuln/detail/CVE-2026-3148</t>
        </is>
      </c>
    </row>
    <row r="589">
      <c r="A589" t="inlineStr">
        <is>
          <t>CVE</t>
        </is>
      </c>
      <c r="B589" t="inlineStr">
        <is>
          <t>CVE-2026-3149</t>
        </is>
      </c>
      <c r="C589"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589" t="n">
        <v>6.3</v>
      </c>
      <c r="E589" t="inlineStr">
        <is>
          <t>MEDIUM</t>
        </is>
      </c>
      <c r="F589" t="n">
        <v>2</v>
      </c>
      <c r="G589" t="n">
        <v>2</v>
      </c>
      <c r="H589" t="inlineStr">
        <is>
          <t>MEDIUM</t>
        </is>
      </c>
      <c r="I589" t="n">
        <v>10.3</v>
      </c>
      <c r="J589" t="inlineStr">
        <is>
          <t>NO</t>
        </is>
      </c>
      <c r="K589" t="inlineStr">
        <is>
          <t>2026-02-27 20:47</t>
        </is>
      </c>
      <c r="L589" t="inlineStr">
        <is>
          <t>YES</t>
        </is>
      </c>
      <c r="M589" t="inlineStr">
        <is>
          <t>angeljudesuarez college_management_system 1.0</t>
        </is>
      </c>
      <c r="N589" t="inlineStr">
        <is>
          <t>P4</t>
        </is>
      </c>
      <c r="O589" t="inlineStr">
        <is>
          <t>CVE - IP enrichment n/a</t>
        </is>
      </c>
      <c r="P589" t="n">
        <v>0.0003</v>
      </c>
      <c r="Q589" t="n">
        <v>0.08069999999999999</v>
      </c>
      <c r="R589" t="inlineStr">
        <is>
          <t>T1190:Exploit Public-Facing Application</t>
        </is>
      </c>
      <c r="S589" t="n">
        <v>1</v>
      </c>
      <c r="T589" t="inlineStr">
        <is>
          <t>LOW (40%)</t>
        </is>
      </c>
      <c r="U589" t="inlineStr">
        <is>
          <t>UNLIKELY</t>
        </is>
      </c>
      <c r="V589" t="inlineStr">
        <is>
          <t>PATCH_AVAILABLE</t>
        </is>
      </c>
      <c r="W589" t="inlineStr">
        <is>
          <t>https://nvd.nist.gov/vuln/detail/CVE-2026-3149</t>
        </is>
      </c>
      <c r="X589" t="inlineStr">
        <is>
          <t>NONE</t>
        </is>
      </c>
      <c r="Y589" t="n">
        <v>0</v>
      </c>
      <c r="Z589" t="inlineStr"/>
      <c r="AA589" t="inlineStr">
        <is>
          <t>https://nvd.nist.gov/vuln/detail/CVE-2026-3149</t>
        </is>
      </c>
    </row>
    <row r="590">
      <c r="A590" t="inlineStr">
        <is>
          <t>CVE</t>
        </is>
      </c>
      <c r="B590" t="inlineStr">
        <is>
          <t>CVE-2026-3150</t>
        </is>
      </c>
      <c r="C590"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590" t="n">
        <v>6.3</v>
      </c>
      <c r="E590" t="inlineStr">
        <is>
          <t>MEDIUM</t>
        </is>
      </c>
      <c r="F590" t="n">
        <v>2</v>
      </c>
      <c r="G590" t="n">
        <v>2</v>
      </c>
      <c r="H590" t="inlineStr">
        <is>
          <t>MEDIUM</t>
        </is>
      </c>
      <c r="I590" t="n">
        <v>10.3</v>
      </c>
      <c r="J590" t="inlineStr">
        <is>
          <t>NO</t>
        </is>
      </c>
      <c r="K590" t="inlineStr">
        <is>
          <t>2026-02-27 20:47</t>
        </is>
      </c>
      <c r="L590" t="inlineStr">
        <is>
          <t>YES</t>
        </is>
      </c>
      <c r="M590" t="inlineStr">
        <is>
          <t>angeljudesuarez college_management_system 1.0</t>
        </is>
      </c>
      <c r="N590" t="inlineStr">
        <is>
          <t>P4</t>
        </is>
      </c>
      <c r="O590" t="inlineStr">
        <is>
          <t>CVE - IP enrichment n/a</t>
        </is>
      </c>
      <c r="P590" t="n">
        <v>0.0003</v>
      </c>
      <c r="Q590" t="n">
        <v>0.08069999999999999</v>
      </c>
      <c r="R590" t="inlineStr">
        <is>
          <t>T1190:Exploit Public-Facing Application</t>
        </is>
      </c>
      <c r="S590" t="n">
        <v>1</v>
      </c>
      <c r="T590" t="inlineStr">
        <is>
          <t>LOW (40%)</t>
        </is>
      </c>
      <c r="U590" t="inlineStr">
        <is>
          <t>UNLIKELY</t>
        </is>
      </c>
      <c r="V590" t="inlineStr">
        <is>
          <t>PATCH_AVAILABLE</t>
        </is>
      </c>
      <c r="W590" t="inlineStr">
        <is>
          <t>https://nvd.nist.gov/vuln/detail/CVE-2026-3150</t>
        </is>
      </c>
      <c r="X590" t="inlineStr">
        <is>
          <t>NONE</t>
        </is>
      </c>
      <c r="Y590" t="n">
        <v>0</v>
      </c>
      <c r="Z590" t="inlineStr"/>
      <c r="AA590" t="inlineStr">
        <is>
          <t>https://nvd.nist.gov/vuln/detail/CVE-2026-3150</t>
        </is>
      </c>
    </row>
    <row r="591">
      <c r="A591" t="inlineStr">
        <is>
          <t>CVE</t>
        </is>
      </c>
      <c r="B591" t="inlineStr">
        <is>
          <t>CVE-2026-25785</t>
        </is>
      </c>
      <c r="C591" t="inlineStr">
        <is>
          <t>Path traversal vulnerability exists in Lanscope Endpoint Manager (On-Premises) Sub-Manager Server Ver.9.4.7.3 and earlier, which may allow an attacker to tamper with arbitrary files and execute arbitrary code on the affected system.</t>
        </is>
      </c>
      <c r="D591" t="n">
        <v>9.800000000000001</v>
      </c>
      <c r="E591" t="inlineStr">
        <is>
          <t>CRITICAL</t>
        </is>
      </c>
      <c r="F591" t="n">
        <v>2</v>
      </c>
      <c r="G591" t="n">
        <v>3</v>
      </c>
      <c r="H591" t="inlineStr">
        <is>
          <t>HIGH</t>
        </is>
      </c>
      <c r="I591" t="n">
        <v>15.8</v>
      </c>
      <c r="J591" t="inlineStr">
        <is>
          <t>NO</t>
        </is>
      </c>
      <c r="K591" t="inlineStr">
        <is>
          <t>2026-02-27 20:47</t>
        </is>
      </c>
      <c r="L591" t="inlineStr">
        <is>
          <t>YES</t>
        </is>
      </c>
      <c r="M591" t="inlineStr">
        <is>
          <t>motex lanscope_endpoint_manager *</t>
        </is>
      </c>
      <c r="N591" t="inlineStr">
        <is>
          <t>P3</t>
        </is>
      </c>
      <c r="O591" t="inlineStr">
        <is>
          <t>CVE - IP enrichment n/a</t>
        </is>
      </c>
      <c r="P591" t="n">
        <v>0.0008</v>
      </c>
      <c r="Q591" t="n">
        <v>0.2422</v>
      </c>
      <c r="R591" t="inlineStr">
        <is>
          <t>T1083:File and Directory Discovery | T1203:Exploitation for Client Execution</t>
        </is>
      </c>
      <c r="S591" t="n">
        <v>1</v>
      </c>
      <c r="T591" t="inlineStr">
        <is>
          <t>LOW (40%)</t>
        </is>
      </c>
      <c r="U591" t="inlineStr">
        <is>
          <t>UNLIKELY</t>
        </is>
      </c>
      <c r="V591" t="inlineStr">
        <is>
          <t>PATCH_AVAILABLE</t>
        </is>
      </c>
      <c r="W591" t="inlineStr">
        <is>
          <t>https://nvd.nist.gov/vuln/detail/CVE-2026-25785</t>
        </is>
      </c>
      <c r="X591" t="inlineStr">
        <is>
          <t>NONE</t>
        </is>
      </c>
      <c r="Y591" t="n">
        <v>0</v>
      </c>
      <c r="Z591" t="inlineStr"/>
      <c r="AA591" t="inlineStr">
        <is>
          <t>https://nvd.nist.gov/vuln/detail/CVE-2026-25785</t>
        </is>
      </c>
    </row>
    <row r="592">
      <c r="A592" t="inlineStr">
        <is>
          <t>CVE</t>
        </is>
      </c>
      <c r="B592" t="inlineStr">
        <is>
          <t>CVE-2026-3100</t>
        </is>
      </c>
      <c r="C592"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592" t="n">
        <v>6.5</v>
      </c>
      <c r="E592" t="inlineStr">
        <is>
          <t>MEDIUM</t>
        </is>
      </c>
      <c r="F592" t="n">
        <v>2</v>
      </c>
      <c r="G592" t="n">
        <v>2</v>
      </c>
      <c r="H592" t="inlineStr">
        <is>
          <t>MEDIUM</t>
        </is>
      </c>
      <c r="I592" t="n">
        <v>10.5</v>
      </c>
      <c r="J592" t="inlineStr">
        <is>
          <t>NO</t>
        </is>
      </c>
      <c r="K592" t="inlineStr">
        <is>
          <t>2026-02-27 20:47</t>
        </is>
      </c>
      <c r="L592" t="inlineStr">
        <is>
          <t>YES</t>
        </is>
      </c>
      <c r="M592" t="inlineStr">
        <is>
          <t>asustor data_master *</t>
        </is>
      </c>
      <c r="N592" t="inlineStr">
        <is>
          <t>P4</t>
        </is>
      </c>
      <c r="O592" t="inlineStr">
        <is>
          <t>CVE - IP enrichment n/a</t>
        </is>
      </c>
      <c r="P592" t="n">
        <v>0.0005</v>
      </c>
      <c r="Q592" t="n">
        <v>0.1484</v>
      </c>
      <c r="R592" t="inlineStr">
        <is>
          <t>T1190:Exploit Public-Facing Application | T1552:Unsecured Credentials | T1557:Adversary-in-the-Middle</t>
        </is>
      </c>
      <c r="S592" t="n">
        <v>1</v>
      </c>
      <c r="T592" t="inlineStr">
        <is>
          <t>LOW (40%)</t>
        </is>
      </c>
      <c r="U592" t="inlineStr">
        <is>
          <t>UNLIKELY</t>
        </is>
      </c>
      <c r="V592" t="inlineStr">
        <is>
          <t>PATCH_AVAILABLE</t>
        </is>
      </c>
      <c r="W592" t="inlineStr">
        <is>
          <t>https://nvd.nist.gov/vuln/detail/CVE-2026-3100</t>
        </is>
      </c>
      <c r="X592" t="inlineStr">
        <is>
          <t>NONE</t>
        </is>
      </c>
      <c r="Y592" t="n">
        <v>0</v>
      </c>
      <c r="Z592" t="inlineStr"/>
      <c r="AA592" t="inlineStr">
        <is>
          <t>https://nvd.nist.gov/vuln/detail/CVE-2026-3100</t>
        </is>
      </c>
    </row>
    <row r="593">
      <c r="A593" t="inlineStr">
        <is>
          <t>CVE</t>
        </is>
      </c>
      <c r="B593" t="inlineStr">
        <is>
          <t>CVE-2026-3151</t>
        </is>
      </c>
      <c r="C593"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593" t="n">
        <v>7.3</v>
      </c>
      <c r="E593" t="inlineStr">
        <is>
          <t>HIGH</t>
        </is>
      </c>
      <c r="F593" t="n">
        <v>2</v>
      </c>
      <c r="G593" t="n">
        <v>3</v>
      </c>
      <c r="H593" t="inlineStr">
        <is>
          <t>HIGH</t>
        </is>
      </c>
      <c r="I593" t="n">
        <v>13.3</v>
      </c>
      <c r="J593" t="inlineStr">
        <is>
          <t>NO</t>
        </is>
      </c>
      <c r="K593" t="inlineStr">
        <is>
          <t>2026-02-27 20:47</t>
        </is>
      </c>
      <c r="L593" t="inlineStr">
        <is>
          <t>CHECK_VENDOR</t>
        </is>
      </c>
      <c r="M593" t="inlineStr">
        <is>
          <t>angeljudesuarez college_management_system 1.0</t>
        </is>
      </c>
      <c r="N593" t="inlineStr">
        <is>
          <t>P3</t>
        </is>
      </c>
      <c r="O593" t="inlineStr">
        <is>
          <t>CVE - IP enrichment n/a</t>
        </is>
      </c>
      <c r="P593" t="n">
        <v>0.0002</v>
      </c>
      <c r="Q593" t="n">
        <v>0.0583</v>
      </c>
      <c r="R593" t="inlineStr">
        <is>
          <t>T1190:Exploit Public-Facing Application</t>
        </is>
      </c>
      <c r="S593" t="n">
        <v>1</v>
      </c>
      <c r="T593" t="inlineStr">
        <is>
          <t>LOW (40%)</t>
        </is>
      </c>
      <c r="U593" t="inlineStr">
        <is>
          <t>UNLIKELY</t>
        </is>
      </c>
      <c r="V593" t="inlineStr">
        <is>
          <t>CHECK_VENDOR</t>
        </is>
      </c>
      <c r="W593" t="inlineStr">
        <is>
          <t>https://nvd.nist.gov/vuln/detail/CVE-2026-3151</t>
        </is>
      </c>
      <c r="X593" t="inlineStr">
        <is>
          <t>NONE</t>
        </is>
      </c>
      <c r="Y593" t="n">
        <v>0</v>
      </c>
      <c r="Z593" t="inlineStr"/>
      <c r="AA593" t="inlineStr">
        <is>
          <t>https://nvd.nist.gov/vuln/detail/CVE-2026-3151</t>
        </is>
      </c>
    </row>
    <row r="594">
      <c r="A594" t="inlineStr">
        <is>
          <t>CVE</t>
        </is>
      </c>
      <c r="B594" t="inlineStr">
        <is>
          <t>CVE-2026-3152</t>
        </is>
      </c>
      <c r="C594"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594" t="n">
        <v>7.3</v>
      </c>
      <c r="E594" t="inlineStr">
        <is>
          <t>HIGH</t>
        </is>
      </c>
      <c r="F594" t="n">
        <v>2</v>
      </c>
      <c r="G594" t="n">
        <v>3</v>
      </c>
      <c r="H594" t="inlineStr">
        <is>
          <t>HIGH</t>
        </is>
      </c>
      <c r="I594" t="n">
        <v>13.3</v>
      </c>
      <c r="J594" t="inlineStr">
        <is>
          <t>NO</t>
        </is>
      </c>
      <c r="K594" t="inlineStr">
        <is>
          <t>2026-02-27 20:47</t>
        </is>
      </c>
      <c r="L594" t="inlineStr">
        <is>
          <t>CHECK_VENDOR</t>
        </is>
      </c>
      <c r="M594" t="inlineStr">
        <is>
          <t>angeljudesuarez college_management_system 1.0</t>
        </is>
      </c>
      <c r="N594" t="inlineStr">
        <is>
          <t>P3</t>
        </is>
      </c>
      <c r="O594" t="inlineStr">
        <is>
          <t>CVE - IP enrichment n/a</t>
        </is>
      </c>
      <c r="P594" t="n">
        <v>0.0002</v>
      </c>
      <c r="Q594" t="n">
        <v>0.0583</v>
      </c>
      <c r="R594" t="inlineStr">
        <is>
          <t>T1190:Exploit Public-Facing Application</t>
        </is>
      </c>
      <c r="S594" t="n">
        <v>1</v>
      </c>
      <c r="T594" t="inlineStr">
        <is>
          <t>LOW (40%)</t>
        </is>
      </c>
      <c r="U594" t="inlineStr">
        <is>
          <t>UNLIKELY</t>
        </is>
      </c>
      <c r="V594" t="inlineStr">
        <is>
          <t>CHECK_VENDOR</t>
        </is>
      </c>
      <c r="W594" t="inlineStr">
        <is>
          <t>https://nvd.nist.gov/vuln/detail/CVE-2026-3152</t>
        </is>
      </c>
      <c r="X594" t="inlineStr">
        <is>
          <t>NONE</t>
        </is>
      </c>
      <c r="Y594" t="n">
        <v>0</v>
      </c>
      <c r="Z594" t="inlineStr"/>
      <c r="AA594" t="inlineStr">
        <is>
          <t>https://nvd.nist.gov/vuln/detail/CVE-2026-3152</t>
        </is>
      </c>
    </row>
    <row r="595">
      <c r="A595" t="inlineStr">
        <is>
          <t>CVE</t>
        </is>
      </c>
      <c r="B595" t="inlineStr">
        <is>
          <t>CVE-2026-3153</t>
        </is>
      </c>
      <c r="C595"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595" t="n">
        <v>7.3</v>
      </c>
      <c r="E595" t="inlineStr">
        <is>
          <t>HIGH</t>
        </is>
      </c>
      <c r="F595" t="n">
        <v>2</v>
      </c>
      <c r="G595" t="n">
        <v>3</v>
      </c>
      <c r="H595" t="inlineStr">
        <is>
          <t>HIGH</t>
        </is>
      </c>
      <c r="I595" t="n">
        <v>13.3</v>
      </c>
      <c r="J595" t="inlineStr">
        <is>
          <t>NO</t>
        </is>
      </c>
      <c r="K595" t="inlineStr">
        <is>
          <t>2026-02-27 20:47</t>
        </is>
      </c>
      <c r="L595" t="inlineStr">
        <is>
          <t>CHECK_VENDOR</t>
        </is>
      </c>
      <c r="M595" t="inlineStr">
        <is>
          <t>admerc document_management_system 1.0</t>
        </is>
      </c>
      <c r="N595" t="inlineStr">
        <is>
          <t>P3</t>
        </is>
      </c>
      <c r="O595" t="inlineStr">
        <is>
          <t>CVE - IP enrichment n/a</t>
        </is>
      </c>
      <c r="P595" t="n">
        <v>0.0002</v>
      </c>
      <c r="Q595" t="n">
        <v>0.0583</v>
      </c>
      <c r="R595" t="inlineStr">
        <is>
          <t>T1190:Exploit Public-Facing Application</t>
        </is>
      </c>
      <c r="S595" t="n">
        <v>1</v>
      </c>
      <c r="T595" t="inlineStr">
        <is>
          <t>LOW (40%)</t>
        </is>
      </c>
      <c r="U595" t="inlineStr">
        <is>
          <t>UNLIKELY</t>
        </is>
      </c>
      <c r="V595" t="inlineStr">
        <is>
          <t>CHECK_VENDOR</t>
        </is>
      </c>
      <c r="W595" t="inlineStr">
        <is>
          <t>https://nvd.nist.gov/vuln/detail/CVE-2026-3153</t>
        </is>
      </c>
      <c r="X595" t="inlineStr">
        <is>
          <t>NONE</t>
        </is>
      </c>
      <c r="Y595" t="n">
        <v>0</v>
      </c>
      <c r="Z595" t="inlineStr"/>
      <c r="AA595" t="inlineStr">
        <is>
          <t>https://nvd.nist.gov/vuln/detail/CVE-2026-3153</t>
        </is>
      </c>
    </row>
    <row r="596">
      <c r="A596" t="inlineStr">
        <is>
          <t>CVE</t>
        </is>
      </c>
      <c r="B596" t="inlineStr">
        <is>
          <t>CVE-2026-3163</t>
        </is>
      </c>
      <c r="C596"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596" t="n">
        <v>6.3</v>
      </c>
      <c r="E596" t="inlineStr">
        <is>
          <t>MEDIUM</t>
        </is>
      </c>
      <c r="F596" t="n">
        <v>2</v>
      </c>
      <c r="G596" t="n">
        <v>2</v>
      </c>
      <c r="H596" t="inlineStr">
        <is>
          <t>MEDIUM</t>
        </is>
      </c>
      <c r="I596" t="n">
        <v>10.3</v>
      </c>
      <c r="J596" t="inlineStr">
        <is>
          <t>NO</t>
        </is>
      </c>
      <c r="K596" t="inlineStr">
        <is>
          <t>2026-02-27 20:47</t>
        </is>
      </c>
      <c r="L596" t="inlineStr">
        <is>
          <t>CHECK_VENDOR</t>
        </is>
      </c>
      <c r="M596" t="inlineStr">
        <is>
          <t>remyandrade website_link_extractor 1.0</t>
        </is>
      </c>
      <c r="N596" t="inlineStr">
        <is>
          <t>P4</t>
        </is>
      </c>
      <c r="O596" t="inlineStr">
        <is>
          <t>CVE - IP enrichment n/a</t>
        </is>
      </c>
      <c r="P596" t="n">
        <v>0.0003</v>
      </c>
      <c r="Q596" t="n">
        <v>0.09660000000000001</v>
      </c>
      <c r="R596" t="inlineStr">
        <is>
          <t>T1090:Proxy | T1190:Exploit Public-Facing Application</t>
        </is>
      </c>
      <c r="S596" t="n">
        <v>1</v>
      </c>
      <c r="T596" t="inlineStr">
        <is>
          <t>LOW (40%)</t>
        </is>
      </c>
      <c r="U596" t="inlineStr">
        <is>
          <t>UNLIKELY</t>
        </is>
      </c>
      <c r="V596" t="inlineStr">
        <is>
          <t>CHECK_VENDOR</t>
        </is>
      </c>
      <c r="W596" t="inlineStr">
        <is>
          <t>https://nvd.nist.gov/vuln/detail/CVE-2026-3163</t>
        </is>
      </c>
      <c r="X596" t="inlineStr">
        <is>
          <t>NONE</t>
        </is>
      </c>
      <c r="Y596" t="n">
        <v>0</v>
      </c>
      <c r="Z596" t="inlineStr"/>
      <c r="AA596" t="inlineStr">
        <is>
          <t>https://nvd.nist.gov/vuln/detail/CVE-2026-3163</t>
        </is>
      </c>
    </row>
    <row r="597">
      <c r="A597" t="inlineStr">
        <is>
          <t>CVE</t>
        </is>
      </c>
      <c r="B597" t="inlineStr">
        <is>
          <t>CVE-2026-3164</t>
        </is>
      </c>
      <c r="C597"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597" t="n">
        <v>7.3</v>
      </c>
      <c r="E597" t="inlineStr">
        <is>
          <t>HIGH</t>
        </is>
      </c>
      <c r="F597" t="n">
        <v>2</v>
      </c>
      <c r="G597" t="n">
        <v>3</v>
      </c>
      <c r="H597" t="inlineStr">
        <is>
          <t>HIGH</t>
        </is>
      </c>
      <c r="I597" t="n">
        <v>13.3</v>
      </c>
      <c r="J597" t="inlineStr">
        <is>
          <t>NO</t>
        </is>
      </c>
      <c r="K597" t="inlineStr">
        <is>
          <t>2026-02-27 20:47</t>
        </is>
      </c>
      <c r="L597" t="inlineStr">
        <is>
          <t>CHECK_VENDOR</t>
        </is>
      </c>
      <c r="M597" t="inlineStr">
        <is>
          <t>clive_21 news_portal_project 1.0</t>
        </is>
      </c>
      <c r="N597" t="inlineStr">
        <is>
          <t>P3</t>
        </is>
      </c>
      <c r="O597" t="inlineStr">
        <is>
          <t>CVE - IP enrichment n/a</t>
        </is>
      </c>
      <c r="P597" t="n">
        <v>0.0002</v>
      </c>
      <c r="Q597" t="n">
        <v>0.0583</v>
      </c>
      <c r="R597" t="inlineStr">
        <is>
          <t>T1190:Exploit Public-Facing Application</t>
        </is>
      </c>
      <c r="S597" t="n">
        <v>1</v>
      </c>
      <c r="T597" t="inlineStr">
        <is>
          <t>LOW (40%)</t>
        </is>
      </c>
      <c r="U597" t="inlineStr">
        <is>
          <t>UNLIKELY</t>
        </is>
      </c>
      <c r="V597" t="inlineStr">
        <is>
          <t>CHECK_VENDOR</t>
        </is>
      </c>
      <c r="W597" t="inlineStr">
        <is>
          <t>https://nvd.nist.gov/vuln/detail/CVE-2026-3164</t>
        </is>
      </c>
      <c r="X597" t="inlineStr">
        <is>
          <t>NONE</t>
        </is>
      </c>
      <c r="Y597" t="n">
        <v>0</v>
      </c>
      <c r="Z597" t="inlineStr"/>
      <c r="AA597" t="inlineStr">
        <is>
          <t>https://nvd.nist.gov/vuln/detail/CVE-2026-3164</t>
        </is>
      </c>
    </row>
    <row r="598">
      <c r="A598" t="inlineStr">
        <is>
          <t>CVE</t>
        </is>
      </c>
      <c r="B598" t="inlineStr">
        <is>
          <t>CVE-2026-3165</t>
        </is>
      </c>
      <c r="C598"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598" t="n">
        <v>8.800000000000001</v>
      </c>
      <c r="E598" t="inlineStr">
        <is>
          <t>HIGH</t>
        </is>
      </c>
      <c r="F598" t="n">
        <v>2</v>
      </c>
      <c r="G598" t="n">
        <v>3</v>
      </c>
      <c r="H598" t="inlineStr">
        <is>
          <t>HIGH</t>
        </is>
      </c>
      <c r="I598" t="n">
        <v>14.8</v>
      </c>
      <c r="J598" t="inlineStr">
        <is>
          <t>NO</t>
        </is>
      </c>
      <c r="K598" t="inlineStr">
        <is>
          <t>2026-02-27 20:47</t>
        </is>
      </c>
      <c r="L598" t="inlineStr">
        <is>
          <t>CHECK_VENDOR</t>
        </is>
      </c>
      <c r="M598" t="inlineStr">
        <is>
          <t>tenda f453 - | tenda f453_firmware 1.0.0.3</t>
        </is>
      </c>
      <c r="N598" t="inlineStr">
        <is>
          <t>P3</t>
        </is>
      </c>
      <c r="O598" t="inlineStr">
        <is>
          <t>CVE - IP enrichment n/a</t>
        </is>
      </c>
      <c r="P598" t="n">
        <v>0.0008</v>
      </c>
      <c r="Q598" t="n">
        <v>0.2274</v>
      </c>
      <c r="R598" t="inlineStr">
        <is>
          <t>T1203:Exploitation for Client Execution</t>
        </is>
      </c>
      <c r="S598" t="n">
        <v>1</v>
      </c>
      <c r="T598" t="inlineStr">
        <is>
          <t>LOW (40%)</t>
        </is>
      </c>
      <c r="U598" t="inlineStr">
        <is>
          <t>UNLIKELY</t>
        </is>
      </c>
      <c r="V598" t="inlineStr">
        <is>
          <t>CHECK_VENDOR</t>
        </is>
      </c>
      <c r="W598" t="inlineStr">
        <is>
          <t>https://nvd.nist.gov/vuln/detail/CVE-2026-3165</t>
        </is>
      </c>
      <c r="X598" t="inlineStr">
        <is>
          <t>NONE</t>
        </is>
      </c>
      <c r="Y598" t="n">
        <v>0</v>
      </c>
      <c r="Z598" t="inlineStr"/>
      <c r="AA598" t="inlineStr">
        <is>
          <t>https://nvd.nist.gov/vuln/detail/CVE-2026-3165</t>
        </is>
      </c>
    </row>
    <row r="599">
      <c r="A599" t="inlineStr">
        <is>
          <t>CVE</t>
        </is>
      </c>
      <c r="B599" t="inlineStr">
        <is>
          <t>CVE-2026-3179</t>
        </is>
      </c>
      <c r="C599"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599" t="n">
        <v>8.1</v>
      </c>
      <c r="E599" t="inlineStr">
        <is>
          <t>HIGH</t>
        </is>
      </c>
      <c r="F599" t="n">
        <v>2</v>
      </c>
      <c r="G599" t="n">
        <v>3</v>
      </c>
      <c r="H599" t="inlineStr">
        <is>
          <t>HIGH</t>
        </is>
      </c>
      <c r="I599" t="n">
        <v>14.1</v>
      </c>
      <c r="J599" t="inlineStr">
        <is>
          <t>NO</t>
        </is>
      </c>
      <c r="K599" t="inlineStr">
        <is>
          <t>2026-02-27 20:47</t>
        </is>
      </c>
      <c r="L599" t="inlineStr">
        <is>
          <t>YES</t>
        </is>
      </c>
      <c r="M599" t="inlineStr">
        <is>
          <t>asustor data_master *</t>
        </is>
      </c>
      <c r="N599" t="inlineStr">
        <is>
          <t>P3</t>
        </is>
      </c>
      <c r="O599" t="inlineStr">
        <is>
          <t>CVE - IP enrichment n/a</t>
        </is>
      </c>
      <c r="P599" t="n">
        <v>0.0035</v>
      </c>
      <c r="Q599" t="n">
        <v>0.57</v>
      </c>
      <c r="R599" t="inlineStr">
        <is>
          <t>T1083:File and Directory Discovery | T1190:Exploit Public-Facing Application | T1210:Exploitation of Remote Services</t>
        </is>
      </c>
      <c r="S599" t="n">
        <v>1</v>
      </c>
      <c r="T599" t="inlineStr">
        <is>
          <t>LOW (40%)</t>
        </is>
      </c>
      <c r="U599" t="inlineStr">
        <is>
          <t>UNLIKELY</t>
        </is>
      </c>
      <c r="V599" t="inlineStr">
        <is>
          <t>PATCH_AVAILABLE</t>
        </is>
      </c>
      <c r="W599" t="inlineStr">
        <is>
          <t>https://nvd.nist.gov/vuln/detail/CVE-2026-3179</t>
        </is>
      </c>
      <c r="X599" t="inlineStr">
        <is>
          <t>NONE</t>
        </is>
      </c>
      <c r="Y599" t="n">
        <v>0</v>
      </c>
      <c r="Z599" t="inlineStr"/>
      <c r="AA599" t="inlineStr">
        <is>
          <t>https://nvd.nist.gov/vuln/detail/CVE-2026-3179</t>
        </is>
      </c>
    </row>
    <row r="600">
      <c r="A600" t="inlineStr">
        <is>
          <t>CVE</t>
        </is>
      </c>
      <c r="B600" t="inlineStr">
        <is>
          <t>CVE-2026-1614</t>
        </is>
      </c>
      <c r="C600"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600" t="n">
        <v>6.4</v>
      </c>
      <c r="E600" t="inlineStr">
        <is>
          <t>MEDIUM</t>
        </is>
      </c>
      <c r="F600" t="n">
        <v>2</v>
      </c>
      <c r="G600" t="n">
        <v>2</v>
      </c>
      <c r="H600" t="inlineStr">
        <is>
          <t>MEDIUM</t>
        </is>
      </c>
      <c r="I600" t="n">
        <v>10.4</v>
      </c>
      <c r="J600" t="inlineStr">
        <is>
          <t>NO</t>
        </is>
      </c>
      <c r="K600" t="inlineStr">
        <is>
          <t>2026-02-27 20:47</t>
        </is>
      </c>
      <c r="L600" t="inlineStr">
        <is>
          <t>CHECK_VENDOR</t>
        </is>
      </c>
      <c r="M600" t="inlineStr">
        <is>
          <t>See CVE details</t>
        </is>
      </c>
      <c r="N600" t="inlineStr">
        <is>
          <t>P4</t>
        </is>
      </c>
      <c r="O600" t="inlineStr">
        <is>
          <t>CVE - IP enrichment n/a</t>
        </is>
      </c>
      <c r="P600" t="n">
        <v>0.0003</v>
      </c>
      <c r="Q600" t="n">
        <v>0.0788</v>
      </c>
      <c r="R600" t="inlineStr">
        <is>
          <t>T1189:Drive-by Compromise</t>
        </is>
      </c>
      <c r="S600" t="n">
        <v>1</v>
      </c>
      <c r="T600" t="inlineStr">
        <is>
          <t>LOW (40%)</t>
        </is>
      </c>
      <c r="U600" t="inlineStr">
        <is>
          <t>UNLIKELY</t>
        </is>
      </c>
      <c r="V600" t="inlineStr">
        <is>
          <t>CHECK_VENDOR</t>
        </is>
      </c>
      <c r="W600" t="inlineStr">
        <is>
          <t>https://nvd.nist.gov/vuln/detail/CVE-2026-1614</t>
        </is>
      </c>
      <c r="X600" t="inlineStr">
        <is>
          <t>NONE</t>
        </is>
      </c>
      <c r="Y600" t="n">
        <v>0</v>
      </c>
      <c r="Z600" t="inlineStr"/>
      <c r="AA600" t="inlineStr">
        <is>
          <t>https://nvd.nist.gov/vuln/detail/CVE-2026-1614</t>
        </is>
      </c>
    </row>
    <row r="601">
      <c r="A601" t="inlineStr">
        <is>
          <t>CVE</t>
        </is>
      </c>
      <c r="B601" t="inlineStr">
        <is>
          <t>CVE-2026-3166</t>
        </is>
      </c>
      <c r="C601"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601" t="n">
        <v>8.800000000000001</v>
      </c>
      <c r="E601" t="inlineStr">
        <is>
          <t>HIGH</t>
        </is>
      </c>
      <c r="F601" t="n">
        <v>2</v>
      </c>
      <c r="G601" t="n">
        <v>3</v>
      </c>
      <c r="H601" t="inlineStr">
        <is>
          <t>HIGH</t>
        </is>
      </c>
      <c r="I601" t="n">
        <v>14.8</v>
      </c>
      <c r="J601" t="inlineStr">
        <is>
          <t>NO</t>
        </is>
      </c>
      <c r="K601" t="inlineStr">
        <is>
          <t>2026-02-27 20:47</t>
        </is>
      </c>
      <c r="L601" t="inlineStr">
        <is>
          <t>CHECK_VENDOR</t>
        </is>
      </c>
      <c r="M601" t="inlineStr">
        <is>
          <t>tenda f453 - | tenda f453_firmware 1.0.0.3</t>
        </is>
      </c>
      <c r="N601" t="inlineStr">
        <is>
          <t>P3</t>
        </is>
      </c>
      <c r="O601" t="inlineStr">
        <is>
          <t>CVE - IP enrichment n/a</t>
        </is>
      </c>
      <c r="P601" t="n">
        <v>0.0008</v>
      </c>
      <c r="Q601" t="n">
        <v>0.2274</v>
      </c>
      <c r="R601" t="inlineStr">
        <is>
          <t>T1203:Exploitation for Client Execution</t>
        </is>
      </c>
      <c r="S601" t="n">
        <v>1</v>
      </c>
      <c r="T601" t="inlineStr">
        <is>
          <t>LOW (40%)</t>
        </is>
      </c>
      <c r="U601" t="inlineStr">
        <is>
          <t>UNLIKELY</t>
        </is>
      </c>
      <c r="V601" t="inlineStr">
        <is>
          <t>CHECK_VENDOR</t>
        </is>
      </c>
      <c r="W601" t="inlineStr">
        <is>
          <t>https://nvd.nist.gov/vuln/detail/CVE-2026-3166</t>
        </is>
      </c>
      <c r="X601" t="inlineStr">
        <is>
          <t>NONE</t>
        </is>
      </c>
      <c r="Y601" t="n">
        <v>0</v>
      </c>
      <c r="Z601" t="inlineStr"/>
      <c r="AA601" t="inlineStr">
        <is>
          <t>https://nvd.nist.gov/vuln/detail/CVE-2026-3166</t>
        </is>
      </c>
    </row>
    <row r="602">
      <c r="A602" t="inlineStr">
        <is>
          <t>CVE</t>
        </is>
      </c>
      <c r="B602" t="inlineStr">
        <is>
          <t>CVE-2026-3167</t>
        </is>
      </c>
      <c r="C602"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602" t="n">
        <v>8.800000000000001</v>
      </c>
      <c r="E602" t="inlineStr">
        <is>
          <t>HIGH</t>
        </is>
      </c>
      <c r="F602" t="n">
        <v>2</v>
      </c>
      <c r="G602" t="n">
        <v>3</v>
      </c>
      <c r="H602" t="inlineStr">
        <is>
          <t>HIGH</t>
        </is>
      </c>
      <c r="I602" t="n">
        <v>14.8</v>
      </c>
      <c r="J602" t="inlineStr">
        <is>
          <t>NO</t>
        </is>
      </c>
      <c r="K602" t="inlineStr">
        <is>
          <t>2026-02-27 20:47</t>
        </is>
      </c>
      <c r="L602" t="inlineStr">
        <is>
          <t>CHECK_VENDOR</t>
        </is>
      </c>
      <c r="M602" t="inlineStr">
        <is>
          <t>tenda f453 - | tenda f453_firmware 1.0.0.3</t>
        </is>
      </c>
      <c r="N602" t="inlineStr">
        <is>
          <t>P3</t>
        </is>
      </c>
      <c r="O602" t="inlineStr">
        <is>
          <t>CVE - IP enrichment n/a</t>
        </is>
      </c>
      <c r="P602" t="n">
        <v>0.0009</v>
      </c>
      <c r="Q602" t="n">
        <v>0.2543</v>
      </c>
      <c r="R602" t="inlineStr">
        <is>
          <t>T1203:Exploitation for Client Execution</t>
        </is>
      </c>
      <c r="S602" t="n">
        <v>1</v>
      </c>
      <c r="T602" t="inlineStr">
        <is>
          <t>LOW (40%)</t>
        </is>
      </c>
      <c r="U602" t="inlineStr">
        <is>
          <t>UNLIKELY</t>
        </is>
      </c>
      <c r="V602" t="inlineStr">
        <is>
          <t>CHECK_VENDOR</t>
        </is>
      </c>
      <c r="W602" t="inlineStr">
        <is>
          <t>https://nvd.nist.gov/vuln/detail/CVE-2026-3167</t>
        </is>
      </c>
      <c r="X602" t="inlineStr">
        <is>
          <t>NONE</t>
        </is>
      </c>
      <c r="Y602" t="n">
        <v>0</v>
      </c>
      <c r="Z602" t="inlineStr"/>
      <c r="AA602" t="inlineStr">
        <is>
          <t>https://nvd.nist.gov/vuln/detail/CVE-2026-3167</t>
        </is>
      </c>
    </row>
    <row r="603">
      <c r="A603" t="inlineStr">
        <is>
          <t>CVE</t>
        </is>
      </c>
      <c r="B603" t="inlineStr">
        <is>
          <t>CVE-2026-3168</t>
        </is>
      </c>
      <c r="C603"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603" t="n">
        <v>8.800000000000001</v>
      </c>
      <c r="E603" t="inlineStr">
        <is>
          <t>HIGH</t>
        </is>
      </c>
      <c r="F603" t="n">
        <v>2</v>
      </c>
      <c r="G603" t="n">
        <v>3</v>
      </c>
      <c r="H603" t="inlineStr">
        <is>
          <t>HIGH</t>
        </is>
      </c>
      <c r="I603" t="n">
        <v>14.8</v>
      </c>
      <c r="J603" t="inlineStr">
        <is>
          <t>NO</t>
        </is>
      </c>
      <c r="K603" t="inlineStr">
        <is>
          <t>2026-02-27 20:47</t>
        </is>
      </c>
      <c r="L603" t="inlineStr">
        <is>
          <t>CHECK_VENDOR</t>
        </is>
      </c>
      <c r="M603" t="inlineStr">
        <is>
          <t>tenda f453 - | tenda f453_firmware 1.0.0.3</t>
        </is>
      </c>
      <c r="N603" t="inlineStr">
        <is>
          <t>P3</t>
        </is>
      </c>
      <c r="O603" t="inlineStr">
        <is>
          <t>CVE - IP enrichment n/a</t>
        </is>
      </c>
      <c r="P603" t="n">
        <v>0.0008</v>
      </c>
      <c r="Q603" t="n">
        <v>0.2274</v>
      </c>
      <c r="R603" t="inlineStr">
        <is>
          <t>T1203:Exploitation for Client Execution</t>
        </is>
      </c>
      <c r="S603" t="n">
        <v>1</v>
      </c>
      <c r="T603" t="inlineStr">
        <is>
          <t>LOW (40%)</t>
        </is>
      </c>
      <c r="U603" t="inlineStr">
        <is>
          <t>UNLIKELY</t>
        </is>
      </c>
      <c r="V603" t="inlineStr">
        <is>
          <t>CHECK_VENDOR</t>
        </is>
      </c>
      <c r="W603" t="inlineStr">
        <is>
          <t>https://nvd.nist.gov/vuln/detail/CVE-2026-3168</t>
        </is>
      </c>
      <c r="X603" t="inlineStr">
        <is>
          <t>NONE</t>
        </is>
      </c>
      <c r="Y603" t="n">
        <v>0</v>
      </c>
      <c r="Z603" t="inlineStr"/>
      <c r="AA603" t="inlineStr">
        <is>
          <t>https://nvd.nist.gov/vuln/detail/CVE-2026-3168</t>
        </is>
      </c>
    </row>
    <row r="604">
      <c r="A604" t="inlineStr">
        <is>
          <t>CVE</t>
        </is>
      </c>
      <c r="B604" t="inlineStr">
        <is>
          <t>CVE-2025-11563</t>
        </is>
      </c>
      <c r="C604" t="inlineStr">
        <is>
          <t>URLs containing percent-encoded slashes (`/` or `\`) can trick wcurl into
saving the output file outside of the current directory without the user
explicitly asking for it.
This flaw only affects the wcurl command line tool.</t>
        </is>
      </c>
      <c r="D604" t="n">
        <v>4.6</v>
      </c>
      <c r="E604" t="inlineStr">
        <is>
          <t>MEDIUM</t>
        </is>
      </c>
      <c r="F604" t="n">
        <v>2</v>
      </c>
      <c r="G604" t="n">
        <v>2</v>
      </c>
      <c r="H604" t="inlineStr">
        <is>
          <t>MEDIUM</t>
        </is>
      </c>
      <c r="I604" t="n">
        <v>8.6</v>
      </c>
      <c r="J604" t="inlineStr">
        <is>
          <t>NO</t>
        </is>
      </c>
      <c r="K604" t="inlineStr">
        <is>
          <t>2026-02-27 20:47</t>
        </is>
      </c>
      <c r="L604" t="inlineStr">
        <is>
          <t>YES</t>
        </is>
      </c>
      <c r="M604" t="inlineStr">
        <is>
          <t>curl wcurl * | haxx curl *</t>
        </is>
      </c>
      <c r="N604" t="inlineStr">
        <is>
          <t>P4</t>
        </is>
      </c>
      <c r="O604" t="inlineStr">
        <is>
          <t>CVE - IP enrichment n/a</t>
        </is>
      </c>
      <c r="P604" t="n">
        <v>0.0002</v>
      </c>
      <c r="Q604" t="n">
        <v>0.0582</v>
      </c>
      <c r="R604" t="inlineStr">
        <is>
          <t>T1083:File and Directory Discovery | T1190:Exploit Public-Facing Application</t>
        </is>
      </c>
      <c r="S604" t="n">
        <v>1</v>
      </c>
      <c r="T604" t="inlineStr">
        <is>
          <t>LOW (40%)</t>
        </is>
      </c>
      <c r="U604" t="inlineStr">
        <is>
          <t>UNLIKELY</t>
        </is>
      </c>
      <c r="V604" t="inlineStr">
        <is>
          <t>PATCH_AVAILABLE</t>
        </is>
      </c>
      <c r="W604" t="inlineStr">
        <is>
          <t>https://nvd.nist.gov/vuln/detail/CVE-2025-11563</t>
        </is>
      </c>
      <c r="X604" t="inlineStr">
        <is>
          <t>NONE</t>
        </is>
      </c>
      <c r="Y604" t="n">
        <v>0</v>
      </c>
      <c r="Z604" t="inlineStr"/>
      <c r="AA604" t="inlineStr">
        <is>
          <t>https://nvd.nist.gov/vuln/detail/CVE-2025-11563</t>
        </is>
      </c>
    </row>
    <row r="605">
      <c r="A605" t="inlineStr">
        <is>
          <t>CVE</t>
        </is>
      </c>
      <c r="B605" t="inlineStr">
        <is>
          <t>CVE-2026-3169</t>
        </is>
      </c>
      <c r="C605"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605" t="n">
        <v>8.800000000000001</v>
      </c>
      <c r="E605" t="inlineStr">
        <is>
          <t>HIGH</t>
        </is>
      </c>
      <c r="F605" t="n">
        <v>2</v>
      </c>
      <c r="G605" t="n">
        <v>3</v>
      </c>
      <c r="H605" t="inlineStr">
        <is>
          <t>HIGH</t>
        </is>
      </c>
      <c r="I605" t="n">
        <v>14.8</v>
      </c>
      <c r="J605" t="inlineStr">
        <is>
          <t>NO</t>
        </is>
      </c>
      <c r="K605" t="inlineStr">
        <is>
          <t>2026-02-27 20:47</t>
        </is>
      </c>
      <c r="L605" t="inlineStr">
        <is>
          <t>CHECK_VENDOR</t>
        </is>
      </c>
      <c r="M605" t="inlineStr">
        <is>
          <t>tenda f453 - | tenda f453_firmware 1.0.0.3</t>
        </is>
      </c>
      <c r="N605" t="inlineStr">
        <is>
          <t>P3</t>
        </is>
      </c>
      <c r="O605" t="inlineStr">
        <is>
          <t>CVE - IP enrichment n/a</t>
        </is>
      </c>
      <c r="P605" t="n">
        <v>0.0008</v>
      </c>
      <c r="Q605" t="n">
        <v>0.2274</v>
      </c>
      <c r="R605" t="inlineStr">
        <is>
          <t>T1203:Exploitation for Client Execution</t>
        </is>
      </c>
      <c r="S605" t="n">
        <v>1</v>
      </c>
      <c r="T605" t="inlineStr">
        <is>
          <t>LOW (40%)</t>
        </is>
      </c>
      <c r="U605" t="inlineStr">
        <is>
          <t>UNLIKELY</t>
        </is>
      </c>
      <c r="V605" t="inlineStr">
        <is>
          <t>CHECK_VENDOR</t>
        </is>
      </c>
      <c r="W605" t="inlineStr">
        <is>
          <t>https://nvd.nist.gov/vuln/detail/CVE-2026-3169</t>
        </is>
      </c>
      <c r="X605" t="inlineStr">
        <is>
          <t>NONE</t>
        </is>
      </c>
      <c r="Y605" t="n">
        <v>0</v>
      </c>
      <c r="Z605" t="inlineStr"/>
      <c r="AA605" t="inlineStr">
        <is>
          <t>https://nvd.nist.gov/vuln/detail/CVE-2026-3169</t>
        </is>
      </c>
    </row>
    <row r="606">
      <c r="A606" t="inlineStr">
        <is>
          <t>CVE</t>
        </is>
      </c>
      <c r="B606" t="inlineStr">
        <is>
          <t>CVE-2026-3170</t>
        </is>
      </c>
      <c r="C606"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606" t="n">
        <v>2.4</v>
      </c>
      <c r="E606" t="inlineStr">
        <is>
          <t>LOW</t>
        </is>
      </c>
      <c r="F606" t="n">
        <v>2</v>
      </c>
      <c r="G606" t="n">
        <v>1</v>
      </c>
      <c r="H606" t="inlineStr">
        <is>
          <t>LOW</t>
        </is>
      </c>
      <c r="I606" t="n">
        <v>4.4</v>
      </c>
      <c r="J606" t="inlineStr">
        <is>
          <t>NO</t>
        </is>
      </c>
      <c r="K606" t="inlineStr">
        <is>
          <t>2026-02-27 20:47</t>
        </is>
      </c>
      <c r="L606" t="inlineStr">
        <is>
          <t>CHECK_VENDOR</t>
        </is>
      </c>
      <c r="M606" t="inlineStr">
        <is>
          <t>pamzey patients_waiting_area_queue_management_system 1.0</t>
        </is>
      </c>
      <c r="N606" t="inlineStr">
        <is>
          <t>P4</t>
        </is>
      </c>
      <c r="O606" t="inlineStr">
        <is>
          <t>CVE - IP enrichment n/a</t>
        </is>
      </c>
      <c r="P606" t="n">
        <v>0.0002</v>
      </c>
      <c r="Q606" t="n">
        <v>0.0602</v>
      </c>
      <c r="R606" t="inlineStr">
        <is>
          <t>T1189:Drive-by Compromise | T1190:Exploit Public-Facing Application</t>
        </is>
      </c>
      <c r="S606" t="n">
        <v>1</v>
      </c>
      <c r="T606" t="inlineStr">
        <is>
          <t>LOW (40%)</t>
        </is>
      </c>
      <c r="U606" t="inlineStr">
        <is>
          <t>UNLIKELY</t>
        </is>
      </c>
      <c r="V606" t="inlineStr">
        <is>
          <t>CHECK_VENDOR</t>
        </is>
      </c>
      <c r="W606" t="inlineStr">
        <is>
          <t>https://nvd.nist.gov/vuln/detail/CVE-2026-3170</t>
        </is>
      </c>
      <c r="X606" t="inlineStr">
        <is>
          <t>NONE</t>
        </is>
      </c>
      <c r="Y606" t="n">
        <v>0</v>
      </c>
      <c r="Z606" t="inlineStr"/>
      <c r="AA606" t="inlineStr">
        <is>
          <t>https://nvd.nist.gov/vuln/detail/CVE-2026-3170</t>
        </is>
      </c>
    </row>
    <row r="607">
      <c r="A607" t="inlineStr">
        <is>
          <t>CVE</t>
        </is>
      </c>
      <c r="B607" t="inlineStr">
        <is>
          <t>CVE-2026-1916</t>
        </is>
      </c>
      <c r="C607"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607" t="n">
        <v>7.5</v>
      </c>
      <c r="E607" t="inlineStr">
        <is>
          <t>HIGH</t>
        </is>
      </c>
      <c r="F607" t="n">
        <v>2</v>
      </c>
      <c r="G607" t="n">
        <v>3</v>
      </c>
      <c r="H607" t="inlineStr">
        <is>
          <t>HIGH</t>
        </is>
      </c>
      <c r="I607" t="n">
        <v>13.5</v>
      </c>
      <c r="J607" t="inlineStr">
        <is>
          <t>NO</t>
        </is>
      </c>
      <c r="K607" t="inlineStr">
        <is>
          <t>2026-02-27 20:47</t>
        </is>
      </c>
      <c r="L607" t="inlineStr">
        <is>
          <t>CHECK_VENDOR</t>
        </is>
      </c>
      <c r="M607" t="inlineStr">
        <is>
          <t>See CVE details</t>
        </is>
      </c>
      <c r="N607" t="inlineStr">
        <is>
          <t>P3</t>
        </is>
      </c>
      <c r="O607" t="inlineStr">
        <is>
          <t>CVE - IP enrichment n/a</t>
        </is>
      </c>
      <c r="P607" t="n">
        <v>0.001</v>
      </c>
      <c r="Q607" t="n">
        <v>0.269</v>
      </c>
      <c r="R607" t="inlineStr">
        <is>
          <t>T1600:Weaken Encryption</t>
        </is>
      </c>
      <c r="S607" t="n">
        <v>1</v>
      </c>
      <c r="T607" t="inlineStr">
        <is>
          <t>LOW (40%)</t>
        </is>
      </c>
      <c r="U607" t="inlineStr">
        <is>
          <t>UNLIKELY</t>
        </is>
      </c>
      <c r="V607" t="inlineStr">
        <is>
          <t>CHECK_VENDOR</t>
        </is>
      </c>
      <c r="W607" t="inlineStr">
        <is>
          <t>https://nvd.nist.gov/vuln/detail/CVE-2026-1916</t>
        </is>
      </c>
      <c r="X607" t="inlineStr">
        <is>
          <t>NONE</t>
        </is>
      </c>
      <c r="Y607" t="n">
        <v>0</v>
      </c>
      <c r="Z607" t="inlineStr"/>
      <c r="AA607" t="inlineStr">
        <is>
          <t>https://nvd.nist.gov/vuln/detail/CVE-2026-1916</t>
        </is>
      </c>
    </row>
    <row r="608">
      <c r="A608" t="inlineStr">
        <is>
          <t>CVE</t>
        </is>
      </c>
      <c r="B608" t="inlineStr">
        <is>
          <t>CVE-2026-1929</t>
        </is>
      </c>
      <c r="C608"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608" t="n">
        <v>8.800000000000001</v>
      </c>
      <c r="E608" t="inlineStr">
        <is>
          <t>HIGH</t>
        </is>
      </c>
      <c r="F608" t="n">
        <v>2</v>
      </c>
      <c r="G608" t="n">
        <v>3</v>
      </c>
      <c r="H608" t="inlineStr">
        <is>
          <t>HIGH</t>
        </is>
      </c>
      <c r="I608" t="n">
        <v>14.8</v>
      </c>
      <c r="J608" t="inlineStr">
        <is>
          <t>NO</t>
        </is>
      </c>
      <c r="K608" t="inlineStr">
        <is>
          <t>2026-02-27 20:47</t>
        </is>
      </c>
      <c r="L608" t="inlineStr">
        <is>
          <t>CHECK_VENDOR</t>
        </is>
      </c>
      <c r="M608" t="inlineStr">
        <is>
          <t>See CVE details</t>
        </is>
      </c>
      <c r="N608" t="inlineStr">
        <is>
          <t>P3</t>
        </is>
      </c>
      <c r="O608" t="inlineStr">
        <is>
          <t>CVE - IP enrichment n/a</t>
        </is>
      </c>
      <c r="P608" t="n">
        <v>0.0024</v>
      </c>
      <c r="Q608" t="n">
        <v>0.4713</v>
      </c>
      <c r="R608" t="inlineStr">
        <is>
          <t>T1059:Command and Scripting Interpreter | T1190:Exploit Public-Facing Application | T1210:Exploitation of Remote Services</t>
        </is>
      </c>
      <c r="S608" t="n">
        <v>1</v>
      </c>
      <c r="T608" t="inlineStr">
        <is>
          <t>LOW (40%)</t>
        </is>
      </c>
      <c r="U608" t="inlineStr">
        <is>
          <t>UNLIKELY</t>
        </is>
      </c>
      <c r="V608" t="inlineStr">
        <is>
          <t>CHECK_VENDOR</t>
        </is>
      </c>
      <c r="W608" t="inlineStr">
        <is>
          <t>https://nvd.nist.gov/vuln/detail/CVE-2026-1929</t>
        </is>
      </c>
      <c r="X608" t="inlineStr">
        <is>
          <t>NONE</t>
        </is>
      </c>
      <c r="Y608" t="n">
        <v>0</v>
      </c>
      <c r="Z608" t="inlineStr"/>
      <c r="AA608" t="inlineStr">
        <is>
          <t>https://nvd.nist.gov/vuln/detail/CVE-2026-1929</t>
        </is>
      </c>
    </row>
    <row r="609">
      <c r="A609" t="inlineStr">
        <is>
          <t>CVE</t>
        </is>
      </c>
      <c r="B609" t="inlineStr">
        <is>
          <t>CVE-2026-2416</t>
        </is>
      </c>
      <c r="C609"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09" t="n">
        <v>7.5</v>
      </c>
      <c r="E609" t="inlineStr">
        <is>
          <t>HIGH</t>
        </is>
      </c>
      <c r="F609" t="n">
        <v>2</v>
      </c>
      <c r="G609" t="n">
        <v>3</v>
      </c>
      <c r="H609" t="inlineStr">
        <is>
          <t>HIGH</t>
        </is>
      </c>
      <c r="I609" t="n">
        <v>13.5</v>
      </c>
      <c r="J609" t="inlineStr">
        <is>
          <t>NO</t>
        </is>
      </c>
      <c r="K609" t="inlineStr">
        <is>
          <t>2026-02-27 20:47</t>
        </is>
      </c>
      <c r="L609" t="inlineStr">
        <is>
          <t>CHECK_VENDOR</t>
        </is>
      </c>
      <c r="M609" t="inlineStr">
        <is>
          <t>See CVE details</t>
        </is>
      </c>
      <c r="N609" t="inlineStr">
        <is>
          <t>P3</t>
        </is>
      </c>
      <c r="O609" t="inlineStr">
        <is>
          <t>CVE - IP enrichment n/a</t>
        </is>
      </c>
      <c r="P609" t="n">
        <v>0.0007</v>
      </c>
      <c r="Q609" t="n">
        <v>0.2163</v>
      </c>
      <c r="R609" t="inlineStr">
        <is>
          <t>T1190:Exploit Public-Facing Application</t>
        </is>
      </c>
      <c r="S609" t="n">
        <v>1</v>
      </c>
      <c r="T609" t="inlineStr">
        <is>
          <t>LOW (40%)</t>
        </is>
      </c>
      <c r="U609" t="inlineStr">
        <is>
          <t>UNLIKELY</t>
        </is>
      </c>
      <c r="V609" t="inlineStr">
        <is>
          <t>CHECK_VENDOR</t>
        </is>
      </c>
      <c r="W609" t="inlineStr">
        <is>
          <t>https://nvd.nist.gov/vuln/detail/CVE-2026-2416</t>
        </is>
      </c>
      <c r="X609" t="inlineStr">
        <is>
          <t>NONE</t>
        </is>
      </c>
      <c r="Y609" t="n">
        <v>0</v>
      </c>
      <c r="Z609" t="inlineStr"/>
      <c r="AA609" t="inlineStr">
        <is>
          <t>https://nvd.nist.gov/vuln/detail/CVE-2026-2416</t>
        </is>
      </c>
    </row>
    <row r="610">
      <c r="A610" t="inlineStr">
        <is>
          <t>CVE</t>
        </is>
      </c>
      <c r="B610" t="inlineStr">
        <is>
          <t>CVE-2026-2479</t>
        </is>
      </c>
      <c r="C610"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610" t="n">
        <v>5</v>
      </c>
      <c r="E610" t="inlineStr">
        <is>
          <t>MEDIUM</t>
        </is>
      </c>
      <c r="F610" t="n">
        <v>2</v>
      </c>
      <c r="G610" t="n">
        <v>2</v>
      </c>
      <c r="H610" t="inlineStr">
        <is>
          <t>MEDIUM</t>
        </is>
      </c>
      <c r="I610" t="n">
        <v>9</v>
      </c>
      <c r="J610" t="inlineStr">
        <is>
          <t>NO</t>
        </is>
      </c>
      <c r="K610" t="inlineStr">
        <is>
          <t>2026-02-27 20:47</t>
        </is>
      </c>
      <c r="L610" t="inlineStr">
        <is>
          <t>CHECK_VENDOR</t>
        </is>
      </c>
      <c r="M610" t="inlineStr">
        <is>
          <t>See CVE details</t>
        </is>
      </c>
      <c r="N610" t="inlineStr">
        <is>
          <t>P4</t>
        </is>
      </c>
      <c r="O610" t="inlineStr">
        <is>
          <t>CVE - IP enrichment n/a</t>
        </is>
      </c>
      <c r="P610" t="n">
        <v>0.0003</v>
      </c>
      <c r="Q610" t="n">
        <v>0.0775</v>
      </c>
      <c r="R610" t="inlineStr">
        <is>
          <t>T1090:Proxy</t>
        </is>
      </c>
      <c r="S610" t="n">
        <v>1</v>
      </c>
      <c r="T610" t="inlineStr">
        <is>
          <t>LOW (40%)</t>
        </is>
      </c>
      <c r="U610" t="inlineStr">
        <is>
          <t>UNLIKELY</t>
        </is>
      </c>
      <c r="V610" t="inlineStr">
        <is>
          <t>CHECK_VENDOR</t>
        </is>
      </c>
      <c r="W610" t="inlineStr">
        <is>
          <t>https://nvd.nist.gov/vuln/detail/CVE-2026-2479</t>
        </is>
      </c>
      <c r="X610" t="inlineStr">
        <is>
          <t>NONE</t>
        </is>
      </c>
      <c r="Y610" t="n">
        <v>0</v>
      </c>
      <c r="Z610" t="inlineStr"/>
      <c r="AA610" t="inlineStr">
        <is>
          <t>https://nvd.nist.gov/vuln/detail/CVE-2026-2479</t>
        </is>
      </c>
    </row>
    <row r="611">
      <c r="A611" t="inlineStr">
        <is>
          <t>CVE</t>
        </is>
      </c>
      <c r="B611" t="inlineStr">
        <is>
          <t>CVE-2026-3171</t>
        </is>
      </c>
      <c r="C611"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611" t="n">
        <v>3.5</v>
      </c>
      <c r="E611" t="inlineStr">
        <is>
          <t>LOW</t>
        </is>
      </c>
      <c r="F611" t="n">
        <v>2</v>
      </c>
      <c r="G611" t="n">
        <v>1</v>
      </c>
      <c r="H611" t="inlineStr">
        <is>
          <t>LOW</t>
        </is>
      </c>
      <c r="I611" t="n">
        <v>5.5</v>
      </c>
      <c r="J611" t="inlineStr">
        <is>
          <t>NO</t>
        </is>
      </c>
      <c r="K611" t="inlineStr">
        <is>
          <t>2026-02-27 20:47</t>
        </is>
      </c>
      <c r="L611" t="inlineStr">
        <is>
          <t>CHECK_VENDOR</t>
        </is>
      </c>
      <c r="M611" t="inlineStr">
        <is>
          <t>pamzey patients_waiting_area_queue_management_system 1.0</t>
        </is>
      </c>
      <c r="N611" t="inlineStr">
        <is>
          <t>P4</t>
        </is>
      </c>
      <c r="O611" t="inlineStr">
        <is>
          <t>CVE - IP enrichment n/a</t>
        </is>
      </c>
      <c r="P611" t="n">
        <v>0.0003</v>
      </c>
      <c r="Q611" t="n">
        <v>0.07140000000000001</v>
      </c>
      <c r="R611" t="inlineStr">
        <is>
          <t>T1189:Drive-by Compromise | T1190:Exploit Public-Facing Application</t>
        </is>
      </c>
      <c r="S611" t="n">
        <v>1</v>
      </c>
      <c r="T611" t="inlineStr">
        <is>
          <t>LOW (40%)</t>
        </is>
      </c>
      <c r="U611" t="inlineStr">
        <is>
          <t>UNLIKELY</t>
        </is>
      </c>
      <c r="V611" t="inlineStr">
        <is>
          <t>CHECK_VENDOR</t>
        </is>
      </c>
      <c r="W611" t="inlineStr">
        <is>
          <t>https://nvd.nist.gov/vuln/detail/CVE-2026-3171</t>
        </is>
      </c>
      <c r="X611" t="inlineStr">
        <is>
          <t>NONE</t>
        </is>
      </c>
      <c r="Y611" t="n">
        <v>0</v>
      </c>
      <c r="Z611" t="inlineStr"/>
      <c r="AA611" t="inlineStr">
        <is>
          <t>https://nvd.nist.gov/vuln/detail/CVE-2026-3171</t>
        </is>
      </c>
    </row>
    <row r="612">
      <c r="A612" t="inlineStr">
        <is>
          <t>CVE</t>
        </is>
      </c>
      <c r="B612" t="inlineStr">
        <is>
          <t>CVE-2025-14742</t>
        </is>
      </c>
      <c r="C612"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612" t="n">
        <v>4.3</v>
      </c>
      <c r="E612" t="inlineStr">
        <is>
          <t>MEDIUM</t>
        </is>
      </c>
      <c r="F612" t="n">
        <v>2</v>
      </c>
      <c r="G612" t="n">
        <v>2</v>
      </c>
      <c r="H612" t="inlineStr">
        <is>
          <t>MEDIUM</t>
        </is>
      </c>
      <c r="I612" t="n">
        <v>8.300000000000001</v>
      </c>
      <c r="J612" t="inlineStr">
        <is>
          <t>NO</t>
        </is>
      </c>
      <c r="K612" t="inlineStr">
        <is>
          <t>2026-02-27 20:47</t>
        </is>
      </c>
      <c r="L612" t="inlineStr">
        <is>
          <t>CHECK_VENDOR</t>
        </is>
      </c>
      <c r="M612" t="inlineStr">
        <is>
          <t>See CVE details</t>
        </is>
      </c>
      <c r="N612" t="inlineStr">
        <is>
          <t>P4</t>
        </is>
      </c>
      <c r="O612" t="inlineStr">
        <is>
          <t>CVE - IP enrichment n/a</t>
        </is>
      </c>
      <c r="P612" t="n">
        <v>0.0003</v>
      </c>
      <c r="Q612" t="n">
        <v>0.0882</v>
      </c>
      <c r="R612" t="inlineStr">
        <is>
          <t>T1190:Exploit Public-Facing Application</t>
        </is>
      </c>
      <c r="S612" t="n">
        <v>1</v>
      </c>
      <c r="T612" t="inlineStr">
        <is>
          <t>LOW (40%)</t>
        </is>
      </c>
      <c r="U612" t="inlineStr">
        <is>
          <t>UNLIKELY</t>
        </is>
      </c>
      <c r="V612" t="inlineStr">
        <is>
          <t>CHECK_VENDOR</t>
        </is>
      </c>
      <c r="W612" t="inlineStr">
        <is>
          <t>https://nvd.nist.gov/vuln/detail/CVE-2025-14742</t>
        </is>
      </c>
      <c r="X612" t="inlineStr">
        <is>
          <t>NONE</t>
        </is>
      </c>
      <c r="Y612" t="n">
        <v>0</v>
      </c>
      <c r="Z612" t="inlineStr"/>
      <c r="AA612" t="inlineStr">
        <is>
          <t>https://nvd.nist.gov/vuln/detail/CVE-2025-14742</t>
        </is>
      </c>
    </row>
    <row r="613">
      <c r="A613" t="inlineStr">
        <is>
          <t>CVE</t>
        </is>
      </c>
      <c r="B613" t="inlineStr">
        <is>
          <t>CVE-2026-2301</t>
        </is>
      </c>
      <c r="C613"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613" t="n">
        <v>4.3</v>
      </c>
      <c r="E613" t="inlineStr">
        <is>
          <t>MEDIUM</t>
        </is>
      </c>
      <c r="F613" t="n">
        <v>2</v>
      </c>
      <c r="G613" t="n">
        <v>2</v>
      </c>
      <c r="H613" t="inlineStr">
        <is>
          <t>MEDIUM</t>
        </is>
      </c>
      <c r="I613" t="n">
        <v>8.300000000000001</v>
      </c>
      <c r="J613" t="inlineStr">
        <is>
          <t>NO</t>
        </is>
      </c>
      <c r="K613" t="inlineStr">
        <is>
          <t>2026-02-27 20:47</t>
        </is>
      </c>
      <c r="L613" t="inlineStr">
        <is>
          <t>CHECK_VENDOR</t>
        </is>
      </c>
      <c r="M613" t="inlineStr">
        <is>
          <t>See CVE details</t>
        </is>
      </c>
      <c r="N613" t="inlineStr">
        <is>
          <t>P4</t>
        </is>
      </c>
      <c r="O613" t="inlineStr">
        <is>
          <t>CVE - IP enrichment n/a</t>
        </is>
      </c>
      <c r="P613" t="n">
        <v>0.0003</v>
      </c>
      <c r="Q613" t="n">
        <v>0.0711</v>
      </c>
      <c r="R613" t="inlineStr">
        <is>
          <t>T1190:Exploit Public-Facing Application</t>
        </is>
      </c>
      <c r="S613" t="n">
        <v>1</v>
      </c>
      <c r="T613" t="inlineStr">
        <is>
          <t>LOW (40%)</t>
        </is>
      </c>
      <c r="U613" t="inlineStr">
        <is>
          <t>UNLIKELY</t>
        </is>
      </c>
      <c r="V613" t="inlineStr">
        <is>
          <t>CHECK_VENDOR</t>
        </is>
      </c>
      <c r="W613" t="inlineStr">
        <is>
          <t>https://nvd.nist.gov/vuln/detail/CVE-2026-2301</t>
        </is>
      </c>
      <c r="X613" t="inlineStr">
        <is>
          <t>NONE</t>
        </is>
      </c>
      <c r="Y613" t="n">
        <v>0</v>
      </c>
      <c r="Z613" t="inlineStr"/>
      <c r="AA613" t="inlineStr">
        <is>
          <t>https://nvd.nist.gov/vuln/detail/CVE-2026-2301</t>
        </is>
      </c>
    </row>
    <row r="614">
      <c r="A614" t="inlineStr">
        <is>
          <t>CVE</t>
        </is>
      </c>
      <c r="B614" t="inlineStr">
        <is>
          <t>CVE-2026-2367</t>
        </is>
      </c>
      <c r="C614"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614" t="n">
        <v>6.4</v>
      </c>
      <c r="E614" t="inlineStr">
        <is>
          <t>MEDIUM</t>
        </is>
      </c>
      <c r="F614" t="n">
        <v>2</v>
      </c>
      <c r="G614" t="n">
        <v>2</v>
      </c>
      <c r="H614" t="inlineStr">
        <is>
          <t>MEDIUM</t>
        </is>
      </c>
      <c r="I614" t="n">
        <v>10.4</v>
      </c>
      <c r="J614" t="inlineStr">
        <is>
          <t>NO</t>
        </is>
      </c>
      <c r="K614" t="inlineStr">
        <is>
          <t>2026-02-27 20:47</t>
        </is>
      </c>
      <c r="L614" t="inlineStr">
        <is>
          <t>CHECK_VENDOR</t>
        </is>
      </c>
      <c r="M614" t="inlineStr">
        <is>
          <t>See CVE details</t>
        </is>
      </c>
      <c r="N614" t="inlineStr">
        <is>
          <t>P4</t>
        </is>
      </c>
      <c r="O614" t="inlineStr">
        <is>
          <t>CVE - IP enrichment n/a</t>
        </is>
      </c>
      <c r="P614" t="n">
        <v>0.0003</v>
      </c>
      <c r="Q614" t="n">
        <v>0.08459999999999999</v>
      </c>
      <c r="R614" t="inlineStr">
        <is>
          <t>T1189:Drive-by Compromise</t>
        </is>
      </c>
      <c r="S614" t="n">
        <v>1</v>
      </c>
      <c r="T614" t="inlineStr">
        <is>
          <t>LOW (40%)</t>
        </is>
      </c>
      <c r="U614" t="inlineStr">
        <is>
          <t>UNLIKELY</t>
        </is>
      </c>
      <c r="V614" t="inlineStr">
        <is>
          <t>CHECK_VENDOR</t>
        </is>
      </c>
      <c r="W614" t="inlineStr">
        <is>
          <t>https://nvd.nist.gov/vuln/detail/CVE-2026-2367</t>
        </is>
      </c>
      <c r="X614" t="inlineStr">
        <is>
          <t>NONE</t>
        </is>
      </c>
      <c r="Y614" t="n">
        <v>0</v>
      </c>
      <c r="Z614" t="inlineStr"/>
      <c r="AA614" t="inlineStr">
        <is>
          <t>https://nvd.nist.gov/vuln/detail/CVE-2026-2367</t>
        </is>
      </c>
    </row>
    <row r="615">
      <c r="A615" t="inlineStr">
        <is>
          <t>CVE</t>
        </is>
      </c>
      <c r="B615" t="inlineStr">
        <is>
          <t>CVE-2026-2410</t>
        </is>
      </c>
      <c r="C615"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615" t="n">
        <v>4.3</v>
      </c>
      <c r="E615" t="inlineStr">
        <is>
          <t>MEDIUM</t>
        </is>
      </c>
      <c r="F615" t="n">
        <v>2</v>
      </c>
      <c r="G615" t="n">
        <v>2</v>
      </c>
      <c r="H615" t="inlineStr">
        <is>
          <t>MEDIUM</t>
        </is>
      </c>
      <c r="I615" t="n">
        <v>8.300000000000001</v>
      </c>
      <c r="J615" t="inlineStr">
        <is>
          <t>NO</t>
        </is>
      </c>
      <c r="K615" t="inlineStr">
        <is>
          <t>2026-02-27 20:47</t>
        </is>
      </c>
      <c r="L615" t="inlineStr">
        <is>
          <t>CHECK_VENDOR</t>
        </is>
      </c>
      <c r="M615" t="inlineStr">
        <is>
          <t>See CVE details</t>
        </is>
      </c>
      <c r="N615" t="inlineStr">
        <is>
          <t>P4</t>
        </is>
      </c>
      <c r="O615" t="inlineStr">
        <is>
          <t>CVE - IP enrichment n/a</t>
        </is>
      </c>
      <c r="P615" t="n">
        <v>0.0001</v>
      </c>
      <c r="Q615" t="n">
        <v>0.017</v>
      </c>
      <c r="R615" t="inlineStr">
        <is>
          <t>T1185:Browser Session Hijacking</t>
        </is>
      </c>
      <c r="S615" t="n">
        <v>1</v>
      </c>
      <c r="T615" t="inlineStr">
        <is>
          <t>LOW (40%)</t>
        </is>
      </c>
      <c r="U615" t="inlineStr">
        <is>
          <t>UNLIKELY</t>
        </is>
      </c>
      <c r="V615" t="inlineStr">
        <is>
          <t>CHECK_VENDOR</t>
        </is>
      </c>
      <c r="W615" t="inlineStr">
        <is>
          <t>https://nvd.nist.gov/vuln/detail/CVE-2026-2410</t>
        </is>
      </c>
      <c r="X615" t="inlineStr">
        <is>
          <t>NONE</t>
        </is>
      </c>
      <c r="Y615" t="n">
        <v>0</v>
      </c>
      <c r="Z615" t="inlineStr"/>
      <c r="AA615" t="inlineStr">
        <is>
          <t>https://nvd.nist.gov/vuln/detail/CVE-2026-2410</t>
        </is>
      </c>
    </row>
    <row r="616">
      <c r="A616" t="inlineStr">
        <is>
          <t>CVE</t>
        </is>
      </c>
      <c r="B616" t="inlineStr">
        <is>
          <t>CVE-2025-62878</t>
        </is>
      </c>
      <c r="C616" t="inlineStr">
        <is>
          <t>A malicious user can manipulate the parameters.pathPattern to create PersistentVolumes in arbitrary locations on the host node, potentially overwriting sensitive files or gaining access to unintended directories.</t>
        </is>
      </c>
      <c r="D616" t="n">
        <v>9.9</v>
      </c>
      <c r="E616" t="inlineStr">
        <is>
          <t>CRITICAL</t>
        </is>
      </c>
      <c r="F616" t="n">
        <v>2</v>
      </c>
      <c r="G616" t="n">
        <v>3</v>
      </c>
      <c r="H616" t="inlineStr">
        <is>
          <t>HIGH</t>
        </is>
      </c>
      <c r="I616" t="n">
        <v>15.9</v>
      </c>
      <c r="J616" t="inlineStr">
        <is>
          <t>NO</t>
        </is>
      </c>
      <c r="K616" t="inlineStr">
        <is>
          <t>2026-02-27 20:47</t>
        </is>
      </c>
      <c r="L616" t="inlineStr">
        <is>
          <t>CHECK_VENDOR</t>
        </is>
      </c>
      <c r="M616" t="inlineStr">
        <is>
          <t>See CVE details</t>
        </is>
      </c>
      <c r="N616" t="inlineStr">
        <is>
          <t>P3</t>
        </is>
      </c>
      <c r="O616" t="inlineStr">
        <is>
          <t>CVE - IP enrichment n/a</t>
        </is>
      </c>
      <c r="P616" t="n">
        <v>0.0002</v>
      </c>
      <c r="Q616" t="n">
        <v>0.0611</v>
      </c>
      <c r="R616" t="inlineStr">
        <is>
          <t>T1190:Exploit Public-Facing Application</t>
        </is>
      </c>
      <c r="S616" t="n">
        <v>1</v>
      </c>
      <c r="T616" t="inlineStr">
        <is>
          <t>LOW (40%)</t>
        </is>
      </c>
      <c r="U616" t="inlineStr">
        <is>
          <t>UNLIKELY</t>
        </is>
      </c>
      <c r="V616" t="inlineStr">
        <is>
          <t>CHECK_VENDOR</t>
        </is>
      </c>
      <c r="W616" t="inlineStr">
        <is>
          <t>https://nvd.nist.gov/vuln/detail/CVE-2025-62878</t>
        </is>
      </c>
      <c r="X616" t="inlineStr">
        <is>
          <t>NONE</t>
        </is>
      </c>
      <c r="Y616" t="n">
        <v>0</v>
      </c>
      <c r="Z616" t="inlineStr"/>
      <c r="AA616" t="inlineStr">
        <is>
          <t>https://nvd.nist.gov/vuln/detail/CVE-2025-62878</t>
        </is>
      </c>
    </row>
    <row r="617">
      <c r="A617" t="inlineStr">
        <is>
          <t>CVE</t>
        </is>
      </c>
      <c r="B617" t="inlineStr">
        <is>
          <t>CVE-2025-67601</t>
        </is>
      </c>
      <c r="C617"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617" t="n">
        <v>8.300000000000001</v>
      </c>
      <c r="E617" t="inlineStr">
        <is>
          <t>HIGH</t>
        </is>
      </c>
      <c r="F617" t="n">
        <v>2</v>
      </c>
      <c r="G617" t="n">
        <v>3</v>
      </c>
      <c r="H617" t="inlineStr">
        <is>
          <t>HIGH</t>
        </is>
      </c>
      <c r="I617" t="n">
        <v>14.3</v>
      </c>
      <c r="J617" t="inlineStr">
        <is>
          <t>NO</t>
        </is>
      </c>
      <c r="K617" t="inlineStr">
        <is>
          <t>2026-02-27 20:47</t>
        </is>
      </c>
      <c r="L617" t="inlineStr">
        <is>
          <t>CHECK_VENDOR</t>
        </is>
      </c>
      <c r="M617" t="inlineStr">
        <is>
          <t>See CVE details</t>
        </is>
      </c>
      <c r="N617" t="inlineStr">
        <is>
          <t>P3</t>
        </is>
      </c>
      <c r="O617" t="inlineStr">
        <is>
          <t>CVE - IP enrichment n/a</t>
        </is>
      </c>
      <c r="P617" t="n">
        <v>0.0001</v>
      </c>
      <c r="Q617" t="n">
        <v>0.0078</v>
      </c>
      <c r="R617" t="inlineStr">
        <is>
          <t>T1190:Exploit Public-Facing Application</t>
        </is>
      </c>
      <c r="S617" t="n">
        <v>1</v>
      </c>
      <c r="T617" t="inlineStr">
        <is>
          <t>LOW (40%)</t>
        </is>
      </c>
      <c r="U617" t="inlineStr">
        <is>
          <t>UNLIKELY</t>
        </is>
      </c>
      <c r="V617" t="inlineStr">
        <is>
          <t>CHECK_VENDOR</t>
        </is>
      </c>
      <c r="W617" t="inlineStr">
        <is>
          <t>https://nvd.nist.gov/vuln/detail/CVE-2025-67601</t>
        </is>
      </c>
      <c r="X617" t="inlineStr">
        <is>
          <t>NONE</t>
        </is>
      </c>
      <c r="Y617" t="n">
        <v>0</v>
      </c>
      <c r="Z617" t="inlineStr"/>
      <c r="AA617" t="inlineStr">
        <is>
          <t>https://nvd.nist.gov/vuln/detail/CVE-2025-67601</t>
        </is>
      </c>
    </row>
    <row r="618">
      <c r="A618" t="inlineStr">
        <is>
          <t>CVE</t>
        </is>
      </c>
      <c r="B618" t="inlineStr">
        <is>
          <t>CVE-2025-67860</t>
        </is>
      </c>
      <c r="C618" t="inlineStr">
        <is>
          <t>A vulnerability has been identified in the NeuVector scanner where the scanner process accepts registry and controller credentials as command-line arguments, potentially exposing sensitive credentials to local users.</t>
        </is>
      </c>
      <c r="D618" t="n">
        <v>3.8</v>
      </c>
      <c r="E618" t="inlineStr">
        <is>
          <t>LOW</t>
        </is>
      </c>
      <c r="F618" t="n">
        <v>2</v>
      </c>
      <c r="G618" t="n">
        <v>1</v>
      </c>
      <c r="H618" t="inlineStr">
        <is>
          <t>LOW</t>
        </is>
      </c>
      <c r="I618" t="n">
        <v>5.8</v>
      </c>
      <c r="J618" t="inlineStr">
        <is>
          <t>NO</t>
        </is>
      </c>
      <c r="K618" t="inlineStr">
        <is>
          <t>2026-02-27 20:47</t>
        </is>
      </c>
      <c r="L618" t="inlineStr">
        <is>
          <t>CHECK_VENDOR</t>
        </is>
      </c>
      <c r="M618" t="inlineStr">
        <is>
          <t>See CVE details</t>
        </is>
      </c>
      <c r="N618" t="inlineStr">
        <is>
          <t>P4</t>
        </is>
      </c>
      <c r="O618" t="inlineStr">
        <is>
          <t>CVE - IP enrichment n/a</t>
        </is>
      </c>
      <c r="P618" t="n">
        <v>0.0001</v>
      </c>
      <c r="Q618" t="n">
        <v>0.0125</v>
      </c>
      <c r="R618" t="inlineStr">
        <is>
          <t>T1552:Unsecured Credentials</t>
        </is>
      </c>
      <c r="S618" t="n">
        <v>1</v>
      </c>
      <c r="T618" t="inlineStr">
        <is>
          <t>LOW (40%)</t>
        </is>
      </c>
      <c r="U618" t="inlineStr">
        <is>
          <t>UNLIKELY</t>
        </is>
      </c>
      <c r="V618" t="inlineStr">
        <is>
          <t>CHECK_VENDOR</t>
        </is>
      </c>
      <c r="W618" t="inlineStr">
        <is>
          <t>https://nvd.nist.gov/vuln/detail/CVE-2025-67860</t>
        </is>
      </c>
      <c r="X618" t="inlineStr">
        <is>
          <t>NONE</t>
        </is>
      </c>
      <c r="Y618" t="n">
        <v>0</v>
      </c>
      <c r="Z618" t="inlineStr"/>
      <c r="AA618" t="inlineStr">
        <is>
          <t>https://nvd.nist.gov/vuln/detail/CVE-2025-67860</t>
        </is>
      </c>
    </row>
    <row r="619">
      <c r="A619" t="inlineStr">
        <is>
          <t>CVE</t>
        </is>
      </c>
      <c r="B619" t="inlineStr">
        <is>
          <t>CVE-2026-26103</t>
        </is>
      </c>
      <c r="C619"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619" t="n">
        <v>7.1</v>
      </c>
      <c r="E619" t="inlineStr">
        <is>
          <t>HIGH</t>
        </is>
      </c>
      <c r="F619" t="n">
        <v>2</v>
      </c>
      <c r="G619" t="n">
        <v>3</v>
      </c>
      <c r="H619" t="inlineStr">
        <is>
          <t>HIGH</t>
        </is>
      </c>
      <c r="I619" t="n">
        <v>13.1</v>
      </c>
      <c r="J619" t="inlineStr">
        <is>
          <t>NO</t>
        </is>
      </c>
      <c r="K619" t="inlineStr">
        <is>
          <t>2026-02-27 20:47</t>
        </is>
      </c>
      <c r="L619" t="inlineStr">
        <is>
          <t>YES</t>
        </is>
      </c>
      <c r="M619" t="inlineStr">
        <is>
          <t>freedesktop udisks 2.0.0 | redhat enterprise_linux 10.0</t>
        </is>
      </c>
      <c r="N619" t="inlineStr">
        <is>
          <t>P3</t>
        </is>
      </c>
      <c r="O619" t="inlineStr">
        <is>
          <t>CVE - IP enrichment n/a</t>
        </is>
      </c>
      <c r="P619" t="n">
        <v>0.0001</v>
      </c>
      <c r="Q619" t="n">
        <v>0.0049</v>
      </c>
      <c r="R619" t="inlineStr">
        <is>
          <t>T1190:Exploit Public-Facing Application</t>
        </is>
      </c>
      <c r="S619" t="n">
        <v>1</v>
      </c>
      <c r="T619" t="inlineStr">
        <is>
          <t>LOW (40%)</t>
        </is>
      </c>
      <c r="U619" t="inlineStr">
        <is>
          <t>UNLIKELY</t>
        </is>
      </c>
      <c r="V619" t="inlineStr">
        <is>
          <t>PATCH_AVAILABLE</t>
        </is>
      </c>
      <c r="W619" t="inlineStr">
        <is>
          <t>https://nvd.nist.gov/vuln/detail/CVE-2026-26103</t>
        </is>
      </c>
      <c r="X619" t="inlineStr">
        <is>
          <t>NONE</t>
        </is>
      </c>
      <c r="Y619" t="n">
        <v>0</v>
      </c>
      <c r="Z619" t="inlineStr"/>
      <c r="AA619" t="inlineStr">
        <is>
          <t>https://nvd.nist.gov/vuln/detail/CVE-2026-26103</t>
        </is>
      </c>
    </row>
    <row r="620">
      <c r="A620" t="inlineStr">
        <is>
          <t>CVE</t>
        </is>
      </c>
      <c r="B620" t="inlineStr">
        <is>
          <t>CVE-2026-26104</t>
        </is>
      </c>
      <c r="C620"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620" t="n">
        <v>5.5</v>
      </c>
      <c r="E620" t="inlineStr">
        <is>
          <t>MEDIUM</t>
        </is>
      </c>
      <c r="F620" t="n">
        <v>2</v>
      </c>
      <c r="G620" t="n">
        <v>2</v>
      </c>
      <c r="H620" t="inlineStr">
        <is>
          <t>MEDIUM</t>
        </is>
      </c>
      <c r="I620" t="n">
        <v>9.5</v>
      </c>
      <c r="J620" t="inlineStr">
        <is>
          <t>NO</t>
        </is>
      </c>
      <c r="K620" t="inlineStr">
        <is>
          <t>2026-02-27 20:47</t>
        </is>
      </c>
      <c r="L620" t="inlineStr">
        <is>
          <t>YES</t>
        </is>
      </c>
      <c r="M620" t="inlineStr">
        <is>
          <t>freedesktop udisks 2.0.0 | redhat enterprise_linux 10.0</t>
        </is>
      </c>
      <c r="N620" t="inlineStr">
        <is>
          <t>P4</t>
        </is>
      </c>
      <c r="O620" t="inlineStr">
        <is>
          <t>CVE - IP enrichment n/a</t>
        </is>
      </c>
      <c r="P620" t="n">
        <v>0.0001</v>
      </c>
      <c r="Q620" t="n">
        <v>0.0044</v>
      </c>
      <c r="R620" t="inlineStr">
        <is>
          <t>T1600:Weaken Encryption</t>
        </is>
      </c>
      <c r="S620" t="n">
        <v>1</v>
      </c>
      <c r="T620" t="inlineStr">
        <is>
          <t>LOW (40%)</t>
        </is>
      </c>
      <c r="U620" t="inlineStr">
        <is>
          <t>UNLIKELY</t>
        </is>
      </c>
      <c r="V620" t="inlineStr">
        <is>
          <t>PATCH_AVAILABLE</t>
        </is>
      </c>
      <c r="W620" t="inlineStr">
        <is>
          <t>https://nvd.nist.gov/vuln/detail/CVE-2026-26104</t>
        </is>
      </c>
      <c r="X620" t="inlineStr">
        <is>
          <t>NONE</t>
        </is>
      </c>
      <c r="Y620" t="n">
        <v>0</v>
      </c>
      <c r="Z620" t="inlineStr"/>
      <c r="AA620" t="inlineStr">
        <is>
          <t>https://nvd.nist.gov/vuln/detail/CVE-2026-26104</t>
        </is>
      </c>
    </row>
    <row r="621">
      <c r="A621" t="inlineStr">
        <is>
          <t>CVE</t>
        </is>
      </c>
      <c r="B621" t="inlineStr">
        <is>
          <t>CVE-2026-25701</t>
        </is>
      </c>
      <c r="C621"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621" t="n">
        <v>5</v>
      </c>
      <c r="E621" t="inlineStr">
        <is>
          <t>MEDIUM</t>
        </is>
      </c>
      <c r="F621" t="n">
        <v>2</v>
      </c>
      <c r="G621" t="n">
        <v>2</v>
      </c>
      <c r="H621" t="inlineStr">
        <is>
          <t>MEDIUM</t>
        </is>
      </c>
      <c r="I621" t="n">
        <v>9</v>
      </c>
      <c r="J621" t="inlineStr">
        <is>
          <t>NO</t>
        </is>
      </c>
      <c r="K621" t="inlineStr">
        <is>
          <t>2026-02-27 20:47</t>
        </is>
      </c>
      <c r="L621" t="inlineStr">
        <is>
          <t>CHECK_VENDOR</t>
        </is>
      </c>
      <c r="M621" t="inlineStr">
        <is>
          <t>See CVE details</t>
        </is>
      </c>
      <c r="N621" t="inlineStr">
        <is>
          <t>P4</t>
        </is>
      </c>
      <c r="O621" t="inlineStr">
        <is>
          <t>CVE - IP enrichment n/a</t>
        </is>
      </c>
      <c r="P621" t="n">
        <v>0.0001</v>
      </c>
      <c r="Q621" t="n">
        <v>0.0251</v>
      </c>
      <c r="R621" t="inlineStr">
        <is>
          <t>T1190:Exploit Public-Facing Application</t>
        </is>
      </c>
      <c r="S621" t="n">
        <v>1</v>
      </c>
      <c r="T621" t="inlineStr">
        <is>
          <t>LOW (40%)</t>
        </is>
      </c>
      <c r="U621" t="inlineStr">
        <is>
          <t>UNLIKELY</t>
        </is>
      </c>
      <c r="V621" t="inlineStr">
        <is>
          <t>CHECK_VENDOR</t>
        </is>
      </c>
      <c r="W621" t="inlineStr">
        <is>
          <t>https://nvd.nist.gov/vuln/detail/CVE-2026-25701</t>
        </is>
      </c>
      <c r="X621" t="inlineStr">
        <is>
          <t>NONE</t>
        </is>
      </c>
      <c r="Y621" t="n">
        <v>0</v>
      </c>
      <c r="Z621" t="inlineStr"/>
      <c r="AA621" t="inlineStr">
        <is>
          <t>https://nvd.nist.gov/vuln/detail/CVE-2026-25701</t>
        </is>
      </c>
    </row>
    <row r="622">
      <c r="A622" t="inlineStr">
        <is>
          <t>CVE</t>
        </is>
      </c>
      <c r="B622" t="inlineStr">
        <is>
          <t>CVE-2026-3118</t>
        </is>
      </c>
      <c r="C622"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622" t="n">
        <v>6.5</v>
      </c>
      <c r="E622" t="inlineStr">
        <is>
          <t>MEDIUM</t>
        </is>
      </c>
      <c r="F622" t="n">
        <v>2</v>
      </c>
      <c r="G622" t="n">
        <v>2</v>
      </c>
      <c r="H622" t="inlineStr">
        <is>
          <t>MEDIUM</t>
        </is>
      </c>
      <c r="I622" t="n">
        <v>10.5</v>
      </c>
      <c r="J622" t="inlineStr">
        <is>
          <t>NO</t>
        </is>
      </c>
      <c r="K622" t="inlineStr">
        <is>
          <t>2026-02-27 20:47</t>
        </is>
      </c>
      <c r="L622" t="inlineStr">
        <is>
          <t>YES</t>
        </is>
      </c>
      <c r="M622" t="inlineStr">
        <is>
          <t>redhat developer_hub -</t>
        </is>
      </c>
      <c r="N622" t="inlineStr">
        <is>
          <t>P4</t>
        </is>
      </c>
      <c r="O622" t="inlineStr">
        <is>
          <t>CVE - IP enrichment n/a</t>
        </is>
      </c>
      <c r="P622" t="n">
        <v>0.0004</v>
      </c>
      <c r="Q622" t="n">
        <v>0.1339</v>
      </c>
      <c r="R622" t="inlineStr">
        <is>
          <t>T1190:Exploit Public-Facing Application | T1499:Endpoint Denial of Service</t>
        </is>
      </c>
      <c r="S622" t="n">
        <v>1</v>
      </c>
      <c r="T622" t="inlineStr">
        <is>
          <t>LOW (40%)</t>
        </is>
      </c>
      <c r="U622" t="inlineStr">
        <is>
          <t>UNLIKELY</t>
        </is>
      </c>
      <c r="V622" t="inlineStr">
        <is>
          <t>PATCH_AVAILABLE</t>
        </is>
      </c>
      <c r="W622" t="inlineStr">
        <is>
          <t>https://nvd.nist.gov/vuln/detail/CVE-2026-3118</t>
        </is>
      </c>
      <c r="X622" t="inlineStr">
        <is>
          <t>NONE</t>
        </is>
      </c>
      <c r="Y622" t="n">
        <v>0</v>
      </c>
      <c r="Z622" t="inlineStr"/>
      <c r="AA622" t="inlineStr">
        <is>
          <t>https://nvd.nist.gov/vuln/detail/CVE-2026-3118</t>
        </is>
      </c>
    </row>
    <row r="623">
      <c r="A623" t="inlineStr">
        <is>
          <t>CVE</t>
        </is>
      </c>
      <c r="B623" t="inlineStr">
        <is>
          <t>CVE-2026-0704</t>
        </is>
      </c>
      <c r="C623" t="inlineStr">
        <is>
          <t>In affected version of Octopus Deploy it was possible to remove files and/or contents of files on the host using an API endpoint. The field lacked validation which could potentially result in ways to circumvent expected workflows.</t>
        </is>
      </c>
      <c r="D623" t="n">
        <v>9.1</v>
      </c>
      <c r="E623" t="inlineStr">
        <is>
          <t>CRITICAL</t>
        </is>
      </c>
      <c r="F623" t="n">
        <v>2</v>
      </c>
      <c r="G623" t="n">
        <v>3</v>
      </c>
      <c r="H623" t="inlineStr">
        <is>
          <t>HIGH</t>
        </is>
      </c>
      <c r="I623" t="n">
        <v>15.1</v>
      </c>
      <c r="J623" t="inlineStr">
        <is>
          <t>NO</t>
        </is>
      </c>
      <c r="K623" t="inlineStr">
        <is>
          <t>2026-02-27 20:47</t>
        </is>
      </c>
      <c r="L623" t="inlineStr">
        <is>
          <t>YES</t>
        </is>
      </c>
      <c r="M623" t="inlineStr">
        <is>
          <t>linux linux_kernel - | octopus octopus_server * | microsoft windows -</t>
        </is>
      </c>
      <c r="N623" t="inlineStr">
        <is>
          <t>P3</t>
        </is>
      </c>
      <c r="O623" t="inlineStr">
        <is>
          <t>CVE - IP enrichment n/a</t>
        </is>
      </c>
      <c r="P623" t="n">
        <v>0.0004</v>
      </c>
      <c r="Q623" t="n">
        <v>0.1142</v>
      </c>
      <c r="R623" t="inlineStr">
        <is>
          <t>T1083:File and Directory Discovery</t>
        </is>
      </c>
      <c r="S623" t="n">
        <v>1</v>
      </c>
      <c r="T623" t="inlineStr">
        <is>
          <t>LOW (40%)</t>
        </is>
      </c>
      <c r="U623" t="inlineStr">
        <is>
          <t>UNLIKELY</t>
        </is>
      </c>
      <c r="V623" t="inlineStr">
        <is>
          <t>PATCH_AVAILABLE</t>
        </is>
      </c>
      <c r="W623" t="inlineStr">
        <is>
          <t>https://nvd.nist.gov/vuln/detail/CVE-2026-0704</t>
        </is>
      </c>
      <c r="X623" t="inlineStr">
        <is>
          <t>NONE</t>
        </is>
      </c>
      <c r="Y623" t="n">
        <v>0</v>
      </c>
      <c r="Z623" t="inlineStr"/>
      <c r="AA623" t="inlineStr">
        <is>
          <t>https://nvd.nist.gov/vuln/detail/CVE-2026-0704</t>
        </is>
      </c>
    </row>
    <row r="624">
      <c r="A624" t="inlineStr">
        <is>
          <t>CVE</t>
        </is>
      </c>
      <c r="B624" t="inlineStr">
        <is>
          <t>CVE-2026-21725</t>
        </is>
      </c>
      <c r="C624"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624" t="n">
        <v>2.6</v>
      </c>
      <c r="E624" t="inlineStr">
        <is>
          <t>LOW</t>
        </is>
      </c>
      <c r="F624" t="n">
        <v>2</v>
      </c>
      <c r="G624" t="n">
        <v>1</v>
      </c>
      <c r="H624" t="inlineStr">
        <is>
          <t>LOW</t>
        </is>
      </c>
      <c r="I624" t="n">
        <v>4.6</v>
      </c>
      <c r="J624" t="inlineStr">
        <is>
          <t>NO</t>
        </is>
      </c>
      <c r="K624" t="inlineStr">
        <is>
          <t>2026-02-27 20:47</t>
        </is>
      </c>
      <c r="L624" t="inlineStr">
        <is>
          <t>YES</t>
        </is>
      </c>
      <c r="M624" t="inlineStr">
        <is>
          <t>grafana grafana *</t>
        </is>
      </c>
      <c r="N624" t="inlineStr">
        <is>
          <t>P4</t>
        </is>
      </c>
      <c r="O624" t="inlineStr">
        <is>
          <t>CVE - IP enrichment n/a</t>
        </is>
      </c>
      <c r="P624" t="n">
        <v>0.0003</v>
      </c>
      <c r="Q624" t="n">
        <v>0.0663</v>
      </c>
      <c r="R624" t="inlineStr">
        <is>
          <t>T1190:Exploit Public-Facing Application</t>
        </is>
      </c>
      <c r="S624" t="n">
        <v>1</v>
      </c>
      <c r="T624" t="inlineStr">
        <is>
          <t>LOW (40%)</t>
        </is>
      </c>
      <c r="U624" t="inlineStr">
        <is>
          <t>UNLIKELY</t>
        </is>
      </c>
      <c r="V624" t="inlineStr">
        <is>
          <t>PATCH_AVAILABLE</t>
        </is>
      </c>
      <c r="W624" t="inlineStr">
        <is>
          <t>https://nvd.nist.gov/vuln/detail/CVE-2026-21725</t>
        </is>
      </c>
      <c r="X624" t="inlineStr">
        <is>
          <t>NONE</t>
        </is>
      </c>
      <c r="Y624" t="n">
        <v>0</v>
      </c>
      <c r="Z624" t="inlineStr"/>
      <c r="AA624" t="inlineStr">
        <is>
          <t>https://nvd.nist.gov/vuln/detail/CVE-2026-21725</t>
        </is>
      </c>
    </row>
    <row r="625">
      <c r="A625" t="inlineStr">
        <is>
          <t>CVE</t>
        </is>
      </c>
      <c r="B625" t="inlineStr">
        <is>
          <t>CVE-2026-2624</t>
        </is>
      </c>
      <c r="C625" t="inlineStr">
        <is>
          <t>Missing Authentication for Critical Function vulnerability in ePati Cyber ​​Security Technologies Inc. Antikor Next Generation Firewall (NGFW) allows Authentication Bypass.This issue affects Antikor Next Generation Firewall (NGFW): from v.2.0.1298 before v.2.0.1301.</t>
        </is>
      </c>
      <c r="D625" t="n">
        <v>9.800000000000001</v>
      </c>
      <c r="E625" t="inlineStr">
        <is>
          <t>CRITICAL</t>
        </is>
      </c>
      <c r="F625" t="n">
        <v>2</v>
      </c>
      <c r="G625" t="n">
        <v>3</v>
      </c>
      <c r="H625" t="inlineStr">
        <is>
          <t>HIGH</t>
        </is>
      </c>
      <c r="I625" t="n">
        <v>15.8</v>
      </c>
      <c r="J625" t="inlineStr">
        <is>
          <t>NO</t>
        </is>
      </c>
      <c r="K625" t="inlineStr">
        <is>
          <t>2026-02-27 20:47</t>
        </is>
      </c>
      <c r="L625" t="inlineStr">
        <is>
          <t>CHECK_VENDOR</t>
        </is>
      </c>
      <c r="M625" t="inlineStr">
        <is>
          <t>epati antikor_next_generation_firewall *</t>
        </is>
      </c>
      <c r="N625" t="inlineStr">
        <is>
          <t>P3</t>
        </is>
      </c>
      <c r="O625" t="inlineStr">
        <is>
          <t>CVE - IP enrichment n/a</t>
        </is>
      </c>
      <c r="P625" t="n">
        <v>0.0008</v>
      </c>
      <c r="Q625" t="n">
        <v>0.2309</v>
      </c>
      <c r="R625" t="inlineStr">
        <is>
          <t>T1078:Valid Accounts | T1562:Impair Defenses</t>
        </is>
      </c>
      <c r="S625" t="n">
        <v>1</v>
      </c>
      <c r="T625" t="inlineStr">
        <is>
          <t>LOW (40%)</t>
        </is>
      </c>
      <c r="U625" t="inlineStr">
        <is>
          <t>UNLIKELY</t>
        </is>
      </c>
      <c r="V625" t="inlineStr">
        <is>
          <t>CHECK_VENDOR</t>
        </is>
      </c>
      <c r="W625" t="inlineStr">
        <is>
          <t>https://nvd.nist.gov/vuln/detail/CVE-2026-2624</t>
        </is>
      </c>
      <c r="X625" t="inlineStr">
        <is>
          <t>NONE</t>
        </is>
      </c>
      <c r="Y625" t="n">
        <v>0</v>
      </c>
      <c r="Z625" t="inlineStr"/>
      <c r="AA625" t="inlineStr">
        <is>
          <t>https://nvd.nist.gov/vuln/detail/CVE-2026-2624</t>
        </is>
      </c>
    </row>
    <row r="626">
      <c r="A626" t="inlineStr">
        <is>
          <t>CVE</t>
        </is>
      </c>
      <c r="B626" t="inlineStr">
        <is>
          <t>CVE-2026-28193</t>
        </is>
      </c>
      <c r="C626" t="inlineStr">
        <is>
          <t>In JetBrains YouTrack before 2025.3.121962 apps were able to send requests to the app permissions endpoint</t>
        </is>
      </c>
      <c r="D626" t="n">
        <v>8.800000000000001</v>
      </c>
      <c r="E626" t="inlineStr">
        <is>
          <t>HIGH</t>
        </is>
      </c>
      <c r="F626" t="n">
        <v>2</v>
      </c>
      <c r="G626" t="n">
        <v>3</v>
      </c>
      <c r="H626" t="inlineStr">
        <is>
          <t>HIGH</t>
        </is>
      </c>
      <c r="I626" t="n">
        <v>14.8</v>
      </c>
      <c r="J626" t="inlineStr">
        <is>
          <t>NO</t>
        </is>
      </c>
      <c r="K626" t="inlineStr">
        <is>
          <t>2026-02-27 20:47</t>
        </is>
      </c>
      <c r="L626" t="inlineStr">
        <is>
          <t>YES</t>
        </is>
      </c>
      <c r="M626" t="inlineStr">
        <is>
          <t>jetbrains youtrack *</t>
        </is>
      </c>
      <c r="N626" t="inlineStr">
        <is>
          <t>P3</t>
        </is>
      </c>
      <c r="O626" t="inlineStr">
        <is>
          <t>CVE - IP enrichment n/a</t>
        </is>
      </c>
      <c r="P626" t="n">
        <v>0</v>
      </c>
      <c r="Q626" t="n">
        <v>0.0002</v>
      </c>
      <c r="R626" t="inlineStr">
        <is>
          <t>T1190:Exploit Public-Facing Application</t>
        </is>
      </c>
      <c r="S626" t="n">
        <v>1</v>
      </c>
      <c r="T626" t="inlineStr">
        <is>
          <t>LOW (40%)</t>
        </is>
      </c>
      <c r="U626" t="inlineStr">
        <is>
          <t>UNLIKELY</t>
        </is>
      </c>
      <c r="V626" t="inlineStr">
        <is>
          <t>PATCH_AVAILABLE</t>
        </is>
      </c>
      <c r="W626" t="inlineStr">
        <is>
          <t>https://nvd.nist.gov/vuln/detail/CVE-2026-28193</t>
        </is>
      </c>
      <c r="X626" t="inlineStr">
        <is>
          <t>NONE</t>
        </is>
      </c>
      <c r="Y626" t="n">
        <v>0</v>
      </c>
      <c r="Z626" t="inlineStr"/>
      <c r="AA626" t="inlineStr">
        <is>
          <t>https://nvd.nist.gov/vuln/detail/CVE-2026-28193</t>
        </is>
      </c>
    </row>
    <row r="627">
      <c r="A627" t="inlineStr">
        <is>
          <t>CVE</t>
        </is>
      </c>
      <c r="B627" t="inlineStr">
        <is>
          <t>CVE-2026-28194</t>
        </is>
      </c>
      <c r="C627" t="inlineStr">
        <is>
          <t>In JetBrains TeamCity before 2025.11.3 open redirect was possible in the React project creation flow</t>
        </is>
      </c>
      <c r="D627" t="n">
        <v>4.3</v>
      </c>
      <c r="E627" t="inlineStr">
        <is>
          <t>MEDIUM</t>
        </is>
      </c>
      <c r="F627" t="n">
        <v>2</v>
      </c>
      <c r="G627" t="n">
        <v>2</v>
      </c>
      <c r="H627" t="inlineStr">
        <is>
          <t>MEDIUM</t>
        </is>
      </c>
      <c r="I627" t="n">
        <v>8.300000000000001</v>
      </c>
      <c r="J627" t="inlineStr">
        <is>
          <t>NO</t>
        </is>
      </c>
      <c r="K627" t="inlineStr">
        <is>
          <t>2026-02-27 20:47</t>
        </is>
      </c>
      <c r="L627" t="inlineStr">
        <is>
          <t>YES</t>
        </is>
      </c>
      <c r="M627" t="inlineStr">
        <is>
          <t>jetbrains teamcity *</t>
        </is>
      </c>
      <c r="N627" t="inlineStr">
        <is>
          <t>P4</t>
        </is>
      </c>
      <c r="O627" t="inlineStr">
        <is>
          <t>CVE - IP enrichment n/a</t>
        </is>
      </c>
      <c r="P627" t="n">
        <v>0</v>
      </c>
      <c r="Q627" t="n">
        <v>0.0005999999999999999</v>
      </c>
      <c r="R627" t="inlineStr">
        <is>
          <t>T1189:Drive-by Compromise</t>
        </is>
      </c>
      <c r="S627" t="n">
        <v>1</v>
      </c>
      <c r="T627" t="inlineStr">
        <is>
          <t>LOW (40%)</t>
        </is>
      </c>
      <c r="U627" t="inlineStr">
        <is>
          <t>UNLIKELY</t>
        </is>
      </c>
      <c r="V627" t="inlineStr">
        <is>
          <t>PATCH_AVAILABLE</t>
        </is>
      </c>
      <c r="W627" t="inlineStr">
        <is>
          <t>https://nvd.nist.gov/vuln/detail/CVE-2026-28194</t>
        </is>
      </c>
      <c r="X627" t="inlineStr">
        <is>
          <t>NONE</t>
        </is>
      </c>
      <c r="Y627" t="n">
        <v>0</v>
      </c>
      <c r="Z627" t="inlineStr"/>
      <c r="AA627" t="inlineStr">
        <is>
          <t>https://nvd.nist.gov/vuln/detail/CVE-2026-28194</t>
        </is>
      </c>
    </row>
    <row r="628">
      <c r="A628" t="inlineStr">
        <is>
          <t>CVE</t>
        </is>
      </c>
      <c r="B628" t="inlineStr">
        <is>
          <t>CVE-2026-28195</t>
        </is>
      </c>
      <c r="C628" t="inlineStr">
        <is>
          <t>In JetBrains TeamCity before 2025.11.3 missing authorization allowed project developers to add parameters to build configurations</t>
        </is>
      </c>
      <c r="D628" t="n">
        <v>4.3</v>
      </c>
      <c r="E628" t="inlineStr">
        <is>
          <t>MEDIUM</t>
        </is>
      </c>
      <c r="F628" t="n">
        <v>2</v>
      </c>
      <c r="G628" t="n">
        <v>2</v>
      </c>
      <c r="H628" t="inlineStr">
        <is>
          <t>MEDIUM</t>
        </is>
      </c>
      <c r="I628" t="n">
        <v>8.300000000000001</v>
      </c>
      <c r="J628" t="inlineStr">
        <is>
          <t>NO</t>
        </is>
      </c>
      <c r="K628" t="inlineStr">
        <is>
          <t>2026-02-27 20:47</t>
        </is>
      </c>
      <c r="L628" t="inlineStr">
        <is>
          <t>YES</t>
        </is>
      </c>
      <c r="M628" t="inlineStr">
        <is>
          <t>jetbrains teamcity *</t>
        </is>
      </c>
      <c r="N628" t="inlineStr">
        <is>
          <t>P4</t>
        </is>
      </c>
      <c r="O628" t="inlineStr">
        <is>
          <t>CVE - IP enrichment n/a</t>
        </is>
      </c>
      <c r="P628" t="n">
        <v>0</v>
      </c>
      <c r="Q628" t="n">
        <v>0.0002</v>
      </c>
      <c r="R628" t="inlineStr">
        <is>
          <t>T1190:Exploit Public-Facing Application</t>
        </is>
      </c>
      <c r="S628" t="n">
        <v>1</v>
      </c>
      <c r="T628" t="inlineStr">
        <is>
          <t>LOW (40%)</t>
        </is>
      </c>
      <c r="U628" t="inlineStr">
        <is>
          <t>UNLIKELY</t>
        </is>
      </c>
      <c r="V628" t="inlineStr">
        <is>
          <t>PATCH_AVAILABLE</t>
        </is>
      </c>
      <c r="W628" t="inlineStr">
        <is>
          <t>https://nvd.nist.gov/vuln/detail/CVE-2026-28195</t>
        </is>
      </c>
      <c r="X628" t="inlineStr">
        <is>
          <t>NONE</t>
        </is>
      </c>
      <c r="Y628" t="n">
        <v>0</v>
      </c>
      <c r="Z628" t="inlineStr"/>
      <c r="AA628" t="inlineStr">
        <is>
          <t>https://nvd.nist.gov/vuln/detail/CVE-2026-28195</t>
        </is>
      </c>
    </row>
    <row r="629">
      <c r="A629" t="inlineStr">
        <is>
          <t>CVE</t>
        </is>
      </c>
      <c r="B629" t="inlineStr">
        <is>
          <t>CVE-2026-28196</t>
        </is>
      </c>
      <c r="C629" t="inlineStr">
        <is>
          <t>In JetBrains TeamCity before 2025.11.3 disabling versioned settings left a credentials config on disk</t>
        </is>
      </c>
      <c r="D629" t="n">
        <v>2.3</v>
      </c>
      <c r="E629" t="inlineStr">
        <is>
          <t>LOW</t>
        </is>
      </c>
      <c r="F629" t="n">
        <v>2</v>
      </c>
      <c r="G629" t="n">
        <v>1</v>
      </c>
      <c r="H629" t="inlineStr">
        <is>
          <t>LOW</t>
        </is>
      </c>
      <c r="I629" t="n">
        <v>4.3</v>
      </c>
      <c r="J629" t="inlineStr">
        <is>
          <t>NO</t>
        </is>
      </c>
      <c r="K629" t="inlineStr">
        <is>
          <t>2026-02-27 20:47</t>
        </is>
      </c>
      <c r="L629" t="inlineStr">
        <is>
          <t>YES</t>
        </is>
      </c>
      <c r="M629" t="inlineStr">
        <is>
          <t>jetbrains teamcity *</t>
        </is>
      </c>
      <c r="N629" t="inlineStr">
        <is>
          <t>P4</t>
        </is>
      </c>
      <c r="O629" t="inlineStr">
        <is>
          <t>CVE - IP enrichment n/a</t>
        </is>
      </c>
      <c r="P629" t="n">
        <v>0</v>
      </c>
      <c r="Q629" t="n">
        <v>0.0001</v>
      </c>
      <c r="R629" t="inlineStr">
        <is>
          <t>T1552:Unsecured Credentials</t>
        </is>
      </c>
      <c r="S629" t="n">
        <v>1</v>
      </c>
      <c r="T629" t="inlineStr">
        <is>
          <t>LOW (40%)</t>
        </is>
      </c>
      <c r="U629" t="inlineStr">
        <is>
          <t>UNLIKELY</t>
        </is>
      </c>
      <c r="V629" t="inlineStr">
        <is>
          <t>PATCH_AVAILABLE</t>
        </is>
      </c>
      <c r="W629" t="inlineStr">
        <is>
          <t>https://nvd.nist.gov/vuln/detail/CVE-2026-28196</t>
        </is>
      </c>
      <c r="X629" t="inlineStr">
        <is>
          <t>NONE</t>
        </is>
      </c>
      <c r="Y629" t="n">
        <v>0</v>
      </c>
      <c r="Z629" t="inlineStr"/>
      <c r="AA629" t="inlineStr">
        <is>
          <t>https://nvd.nist.gov/vuln/detail/CVE-2026-28196</t>
        </is>
      </c>
    </row>
    <row r="630">
      <c r="A630" t="inlineStr">
        <is>
          <t>CVE</t>
        </is>
      </c>
      <c r="B630" t="inlineStr">
        <is>
          <t>CVE-2026-3185</t>
        </is>
      </c>
      <c r="C630"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630" t="n">
        <v>5.3</v>
      </c>
      <c r="E630" t="inlineStr">
        <is>
          <t>MEDIUM</t>
        </is>
      </c>
      <c r="F630" t="n">
        <v>2</v>
      </c>
      <c r="G630" t="n">
        <v>2</v>
      </c>
      <c r="H630" t="inlineStr">
        <is>
          <t>MEDIUM</t>
        </is>
      </c>
      <c r="I630" t="n">
        <v>9.300000000000001</v>
      </c>
      <c r="J630" t="inlineStr">
        <is>
          <t>NO</t>
        </is>
      </c>
      <c r="K630" t="inlineStr">
        <is>
          <t>2026-02-27 20:47</t>
        </is>
      </c>
      <c r="L630" t="inlineStr">
        <is>
          <t>YES</t>
        </is>
      </c>
      <c r="M630" t="inlineStr">
        <is>
          <t>szadmin sz-boot-parent * | szadmin sz-boot-parent 1.0.0 | szadmin sz-boot-parent 1.0.1</t>
        </is>
      </c>
      <c r="N630" t="inlineStr">
        <is>
          <t>P4</t>
        </is>
      </c>
      <c r="O630" t="inlineStr">
        <is>
          <t>CVE - IP enrichment n/a</t>
        </is>
      </c>
      <c r="P630" t="n">
        <v>0.0003</v>
      </c>
      <c r="Q630" t="n">
        <v>0.0964</v>
      </c>
      <c r="R630" t="inlineStr">
        <is>
          <t>T1190:Exploit Public-Facing Application</t>
        </is>
      </c>
      <c r="S630" t="n">
        <v>1</v>
      </c>
      <c r="T630" t="inlineStr">
        <is>
          <t>LOW (40%)</t>
        </is>
      </c>
      <c r="U630" t="inlineStr">
        <is>
          <t>UNLIKELY</t>
        </is>
      </c>
      <c r="V630" t="inlineStr">
        <is>
          <t>PATCH_AVAILABLE</t>
        </is>
      </c>
      <c r="W630" t="inlineStr">
        <is>
          <t>https://nvd.nist.gov/vuln/detail/CVE-2026-3185</t>
        </is>
      </c>
      <c r="X630" t="inlineStr">
        <is>
          <t>NONE</t>
        </is>
      </c>
      <c r="Y630" t="n">
        <v>0</v>
      </c>
      <c r="Z630" t="inlineStr"/>
      <c r="AA630" t="inlineStr">
        <is>
          <t>https://nvd.nist.gov/vuln/detail/CVE-2026-3185</t>
        </is>
      </c>
    </row>
    <row r="631">
      <c r="A631" t="inlineStr">
        <is>
          <t>CVE</t>
        </is>
      </c>
      <c r="B631" t="inlineStr">
        <is>
          <t>CVE-2026-3186</t>
        </is>
      </c>
      <c r="C631"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631" t="n">
        <v>6.3</v>
      </c>
      <c r="E631" t="inlineStr">
        <is>
          <t>MEDIUM</t>
        </is>
      </c>
      <c r="F631" t="n">
        <v>2</v>
      </c>
      <c r="G631" t="n">
        <v>2</v>
      </c>
      <c r="H631" t="inlineStr">
        <is>
          <t>MEDIUM</t>
        </is>
      </c>
      <c r="I631" t="n">
        <v>10.3</v>
      </c>
      <c r="J631" t="inlineStr">
        <is>
          <t>NO</t>
        </is>
      </c>
      <c r="K631" t="inlineStr">
        <is>
          <t>2026-02-27 20:47</t>
        </is>
      </c>
      <c r="L631" t="inlineStr">
        <is>
          <t>YES</t>
        </is>
      </c>
      <c r="M631" t="inlineStr">
        <is>
          <t>szadmin sz-boot-parent * | szadmin sz-boot-parent 1.0.0 | szadmin sz-boot-parent 1.0.1</t>
        </is>
      </c>
      <c r="N631" t="inlineStr">
        <is>
          <t>P4</t>
        </is>
      </c>
      <c r="O631" t="inlineStr">
        <is>
          <t>CVE - IP enrichment n/a</t>
        </is>
      </c>
      <c r="P631" t="n">
        <v>0.0003</v>
      </c>
      <c r="Q631" t="n">
        <v>0.07489999999999999</v>
      </c>
      <c r="R631" t="inlineStr">
        <is>
          <t>T1190:Exploit Public-Facing Application</t>
        </is>
      </c>
      <c r="S631" t="n">
        <v>1</v>
      </c>
      <c r="T631" t="inlineStr">
        <is>
          <t>LOW (40%)</t>
        </is>
      </c>
      <c r="U631" t="inlineStr">
        <is>
          <t>UNLIKELY</t>
        </is>
      </c>
      <c r="V631" t="inlineStr">
        <is>
          <t>PATCH_AVAILABLE</t>
        </is>
      </c>
      <c r="W631" t="inlineStr">
        <is>
          <t>https://nvd.nist.gov/vuln/detail/CVE-2026-3186</t>
        </is>
      </c>
      <c r="X631" t="inlineStr">
        <is>
          <t>NONE</t>
        </is>
      </c>
      <c r="Y631" t="n">
        <v>0</v>
      </c>
      <c r="Z631" t="inlineStr"/>
      <c r="AA631" t="inlineStr">
        <is>
          <t>https://nvd.nist.gov/vuln/detail/CVE-2026-3186</t>
        </is>
      </c>
    </row>
    <row r="632">
      <c r="A632" t="inlineStr">
        <is>
          <t>CVE</t>
        </is>
      </c>
      <c r="B632" t="inlineStr">
        <is>
          <t>CVE-2026-27691</t>
        </is>
      </c>
      <c r="C632"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632" t="n">
        <v>6.2</v>
      </c>
      <c r="E632" t="inlineStr">
        <is>
          <t>MEDIUM</t>
        </is>
      </c>
      <c r="F632" t="n">
        <v>2</v>
      </c>
      <c r="G632" t="n">
        <v>2</v>
      </c>
      <c r="H632" t="inlineStr">
        <is>
          <t>MEDIUM</t>
        </is>
      </c>
      <c r="I632" t="n">
        <v>10.2</v>
      </c>
      <c r="J632" t="inlineStr">
        <is>
          <t>NO</t>
        </is>
      </c>
      <c r="K632" t="inlineStr">
        <is>
          <t>2026-02-27 20:47</t>
        </is>
      </c>
      <c r="L632" t="inlineStr">
        <is>
          <t>YES</t>
        </is>
      </c>
      <c r="M632" t="inlineStr">
        <is>
          <t>color iccdev *</t>
        </is>
      </c>
      <c r="N632" t="inlineStr">
        <is>
          <t>P4</t>
        </is>
      </c>
      <c r="O632" t="inlineStr">
        <is>
          <t>CVE - IP enrichment n/a</t>
        </is>
      </c>
      <c r="P632" t="n">
        <v>0.0001</v>
      </c>
      <c r="Q632" t="n">
        <v>0.0122</v>
      </c>
      <c r="R632" t="inlineStr">
        <is>
          <t>T1190:Exploit Public-Facing Application | T1203:Exploitation for Client Execution</t>
        </is>
      </c>
      <c r="S632" t="n">
        <v>1</v>
      </c>
      <c r="T632" t="inlineStr">
        <is>
          <t>LOW (40%)</t>
        </is>
      </c>
      <c r="U632" t="inlineStr">
        <is>
          <t>UNLIKELY</t>
        </is>
      </c>
      <c r="V632" t="inlineStr">
        <is>
          <t>PATCH_AVAILABLE</t>
        </is>
      </c>
      <c r="W632" t="inlineStr">
        <is>
          <t>https://nvd.nist.gov/vuln/detail/CVE-2026-27691</t>
        </is>
      </c>
      <c r="X632" t="inlineStr">
        <is>
          <t>NONE</t>
        </is>
      </c>
      <c r="Y632" t="n">
        <v>0</v>
      </c>
      <c r="Z632" t="inlineStr"/>
      <c r="AA632" t="inlineStr">
        <is>
          <t>https://nvd.nist.gov/vuln/detail/CVE-2026-27691</t>
        </is>
      </c>
    </row>
    <row r="633">
      <c r="A633" t="inlineStr">
        <is>
          <t>CVE</t>
        </is>
      </c>
      <c r="B633" t="inlineStr">
        <is>
          <t>CVE-2026-27692</t>
        </is>
      </c>
      <c r="C633"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633" t="n">
        <v>7.1</v>
      </c>
      <c r="E633" t="inlineStr">
        <is>
          <t>HIGH</t>
        </is>
      </c>
      <c r="F633" t="n">
        <v>2</v>
      </c>
      <c r="G633" t="n">
        <v>3</v>
      </c>
      <c r="H633" t="inlineStr">
        <is>
          <t>HIGH</t>
        </is>
      </c>
      <c r="I633" t="n">
        <v>13.1</v>
      </c>
      <c r="J633" t="inlineStr">
        <is>
          <t>NO</t>
        </is>
      </c>
      <c r="K633" t="inlineStr">
        <is>
          <t>2026-02-27 20:47</t>
        </is>
      </c>
      <c r="L633" t="inlineStr">
        <is>
          <t>YES</t>
        </is>
      </c>
      <c r="M633" t="inlineStr">
        <is>
          <t>color iccdev *</t>
        </is>
      </c>
      <c r="N633" t="inlineStr">
        <is>
          <t>P3</t>
        </is>
      </c>
      <c r="O633" t="inlineStr">
        <is>
          <t>CVE - IP enrichment n/a</t>
        </is>
      </c>
      <c r="P633" t="n">
        <v>0.0001</v>
      </c>
      <c r="Q633" t="n">
        <v>0.0118</v>
      </c>
      <c r="R633" t="inlineStr">
        <is>
          <t>T1203:Exploitation for Client Execution</t>
        </is>
      </c>
      <c r="S633" t="n">
        <v>1</v>
      </c>
      <c r="T633" t="inlineStr">
        <is>
          <t>LOW (40%)</t>
        </is>
      </c>
      <c r="U633" t="inlineStr">
        <is>
          <t>UNLIKELY</t>
        </is>
      </c>
      <c r="V633" t="inlineStr">
        <is>
          <t>PATCH_AVAILABLE</t>
        </is>
      </c>
      <c r="W633" t="inlineStr">
        <is>
          <t>https://nvd.nist.gov/vuln/detail/CVE-2026-27692</t>
        </is>
      </c>
      <c r="X633" t="inlineStr">
        <is>
          <t>NONE</t>
        </is>
      </c>
      <c r="Y633" t="n">
        <v>0</v>
      </c>
      <c r="Z633" t="inlineStr"/>
      <c r="AA633" t="inlineStr">
        <is>
          <t>https://nvd.nist.gov/vuln/detail/CVE-2026-27692</t>
        </is>
      </c>
    </row>
    <row r="634">
      <c r="A634" t="inlineStr">
        <is>
          <t>CVE</t>
        </is>
      </c>
      <c r="B634" t="inlineStr">
        <is>
          <t>CVE-2026-27695</t>
        </is>
      </c>
      <c r="C634"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634" t="n">
        <v>4.3</v>
      </c>
      <c r="E634" t="inlineStr">
        <is>
          <t>MEDIUM</t>
        </is>
      </c>
      <c r="F634" t="n">
        <v>2</v>
      </c>
      <c r="G634" t="n">
        <v>2</v>
      </c>
      <c r="H634" t="inlineStr">
        <is>
          <t>MEDIUM</t>
        </is>
      </c>
      <c r="I634" t="n">
        <v>8.300000000000001</v>
      </c>
      <c r="J634" t="inlineStr">
        <is>
          <t>NO</t>
        </is>
      </c>
      <c r="K634" t="inlineStr">
        <is>
          <t>2026-02-27 20:47</t>
        </is>
      </c>
      <c r="L634" t="inlineStr">
        <is>
          <t>YES</t>
        </is>
      </c>
      <c r="M634" t="inlineStr">
        <is>
          <t>zeroae zae-limiter *</t>
        </is>
      </c>
      <c r="N634" t="inlineStr">
        <is>
          <t>P4</t>
        </is>
      </c>
      <c r="O634" t="inlineStr">
        <is>
          <t>CVE - IP enrichment n/a</t>
        </is>
      </c>
      <c r="P634" t="n">
        <v>0.0004</v>
      </c>
      <c r="Q634" t="n">
        <v>0.1221</v>
      </c>
      <c r="R634" t="inlineStr">
        <is>
          <t>T1190:Exploit Public-Facing Application</t>
        </is>
      </c>
      <c r="S634" t="n">
        <v>1</v>
      </c>
      <c r="T634" t="inlineStr">
        <is>
          <t>LOW (40%)</t>
        </is>
      </c>
      <c r="U634" t="inlineStr">
        <is>
          <t>UNLIKELY</t>
        </is>
      </c>
      <c r="V634" t="inlineStr">
        <is>
          <t>PATCH_AVAILABLE</t>
        </is>
      </c>
      <c r="W634" t="inlineStr">
        <is>
          <t>https://nvd.nist.gov/vuln/detail/CVE-2026-27695</t>
        </is>
      </c>
      <c r="X634" t="inlineStr">
        <is>
          <t>NONE</t>
        </is>
      </c>
      <c r="Y634" t="n">
        <v>0</v>
      </c>
      <c r="Z634" t="inlineStr"/>
      <c r="AA634" t="inlineStr">
        <is>
          <t>https://nvd.nist.gov/vuln/detail/CVE-2026-27695</t>
        </is>
      </c>
    </row>
    <row r="635">
      <c r="A635" t="inlineStr">
        <is>
          <t>CVE</t>
        </is>
      </c>
      <c r="B635" t="inlineStr">
        <is>
          <t>CVE-2026-27699</t>
        </is>
      </c>
      <c r="C635"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635" t="n">
        <v>9.1</v>
      </c>
      <c r="E635" t="inlineStr">
        <is>
          <t>CRITICAL</t>
        </is>
      </c>
      <c r="F635" t="n">
        <v>2</v>
      </c>
      <c r="G635" t="n">
        <v>3</v>
      </c>
      <c r="H635" t="inlineStr">
        <is>
          <t>HIGH</t>
        </is>
      </c>
      <c r="I635" t="n">
        <v>15.1</v>
      </c>
      <c r="J635" t="inlineStr">
        <is>
          <t>NO</t>
        </is>
      </c>
      <c r="K635" t="inlineStr">
        <is>
          <t>2026-02-27 20:47</t>
        </is>
      </c>
      <c r="L635" t="inlineStr">
        <is>
          <t>YES</t>
        </is>
      </c>
      <c r="M635" t="inlineStr">
        <is>
          <t>patrickjuchli basic-ftp *</t>
        </is>
      </c>
      <c r="N635" t="inlineStr">
        <is>
          <t>P3</t>
        </is>
      </c>
      <c r="O635" t="inlineStr">
        <is>
          <t>CVE - IP enrichment n/a</t>
        </is>
      </c>
      <c r="P635" t="n">
        <v>0.0005999999999999999</v>
      </c>
      <c r="Q635" t="n">
        <v>0.1742</v>
      </c>
      <c r="R635" t="inlineStr">
        <is>
          <t>T1083:File and Directory Discovery</t>
        </is>
      </c>
      <c r="S635" t="n">
        <v>1</v>
      </c>
      <c r="T635" t="inlineStr">
        <is>
          <t>LOW (40%)</t>
        </is>
      </c>
      <c r="U635" t="inlineStr">
        <is>
          <t>UNLIKELY</t>
        </is>
      </c>
      <c r="V635" t="inlineStr">
        <is>
          <t>PATCH_AVAILABLE</t>
        </is>
      </c>
      <c r="W635" t="inlineStr">
        <is>
          <t>https://nvd.nist.gov/vuln/detail/CVE-2026-27699</t>
        </is>
      </c>
      <c r="X635" t="inlineStr">
        <is>
          <t>NONE</t>
        </is>
      </c>
      <c r="Y635" t="n">
        <v>0</v>
      </c>
      <c r="Z635" t="inlineStr"/>
      <c r="AA635" t="inlineStr">
        <is>
          <t>https://nvd.nist.gov/vuln/detail/CVE-2026-27699</t>
        </is>
      </c>
    </row>
    <row r="636">
      <c r="A636" t="inlineStr">
        <is>
          <t>CVE</t>
        </is>
      </c>
      <c r="B636" t="inlineStr">
        <is>
          <t>CVE-2026-2878</t>
        </is>
      </c>
      <c r="C636" t="inlineStr">
        <is>
          <t>In Progress® Telerik® UI for AJAX, versions prior to 2026.1.225, an insufficient entropy vulnerability exists in RadAsyncUpload, where a predictable temporary identifier, based on timestamp and filename, can enable collisions and file content tampering.</t>
        </is>
      </c>
      <c r="D636" t="n">
        <v>5.3</v>
      </c>
      <c r="E636" t="inlineStr">
        <is>
          <t>MEDIUM</t>
        </is>
      </c>
      <c r="F636" t="n">
        <v>2</v>
      </c>
      <c r="G636" t="n">
        <v>2</v>
      </c>
      <c r="H636" t="inlineStr">
        <is>
          <t>MEDIUM</t>
        </is>
      </c>
      <c r="I636" t="n">
        <v>9.300000000000001</v>
      </c>
      <c r="J636" t="inlineStr">
        <is>
          <t>NO</t>
        </is>
      </c>
      <c r="K636" t="inlineStr">
        <is>
          <t>2026-02-27 20:47</t>
        </is>
      </c>
      <c r="L636" t="inlineStr">
        <is>
          <t>YES</t>
        </is>
      </c>
      <c r="M636" t="inlineStr">
        <is>
          <t>progress telerik_ui_for_asp.net_ajax *</t>
        </is>
      </c>
      <c r="N636" t="inlineStr">
        <is>
          <t>P4</t>
        </is>
      </c>
      <c r="O636" t="inlineStr">
        <is>
          <t>CVE - IP enrichment n/a</t>
        </is>
      </c>
      <c r="P636" t="n">
        <v>0.0001</v>
      </c>
      <c r="Q636" t="n">
        <v>0.008800000000000001</v>
      </c>
      <c r="R636" t="inlineStr">
        <is>
          <t>T1190:Exploit Public-Facing Application</t>
        </is>
      </c>
      <c r="S636" t="n">
        <v>1</v>
      </c>
      <c r="T636" t="inlineStr">
        <is>
          <t>LOW (40%)</t>
        </is>
      </c>
      <c r="U636" t="inlineStr">
        <is>
          <t>UNLIKELY</t>
        </is>
      </c>
      <c r="V636" t="inlineStr">
        <is>
          <t>PATCH_AVAILABLE</t>
        </is>
      </c>
      <c r="W636" t="inlineStr">
        <is>
          <t>https://nvd.nist.gov/vuln/detail/CVE-2026-2878</t>
        </is>
      </c>
      <c r="X636" t="inlineStr">
        <is>
          <t>NONE</t>
        </is>
      </c>
      <c r="Y636" t="n">
        <v>0</v>
      </c>
      <c r="Z636" t="inlineStr"/>
      <c r="AA636" t="inlineStr">
        <is>
          <t>https://nvd.nist.gov/vuln/detail/CVE-2026-2878</t>
        </is>
      </c>
    </row>
    <row r="637">
      <c r="A637" t="inlineStr">
        <is>
          <t>CVE</t>
        </is>
      </c>
      <c r="B637" t="inlineStr">
        <is>
          <t>CVE-2026-3187</t>
        </is>
      </c>
      <c r="C637"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637" t="n">
        <v>6.3</v>
      </c>
      <c r="E637" t="inlineStr">
        <is>
          <t>MEDIUM</t>
        </is>
      </c>
      <c r="F637" t="n">
        <v>2</v>
      </c>
      <c r="G637" t="n">
        <v>2</v>
      </c>
      <c r="H637" t="inlineStr">
        <is>
          <t>MEDIUM</t>
        </is>
      </c>
      <c r="I637" t="n">
        <v>10.3</v>
      </c>
      <c r="J637" t="inlineStr">
        <is>
          <t>NO</t>
        </is>
      </c>
      <c r="K637" t="inlineStr">
        <is>
          <t>2026-02-27 20:47</t>
        </is>
      </c>
      <c r="L637" t="inlineStr">
        <is>
          <t>YES</t>
        </is>
      </c>
      <c r="M637" t="inlineStr">
        <is>
          <t>szadmin sz-boot-parent * | szadmin sz-boot-parent 1.0.0 | szadmin sz-boot-parent 1.0.1</t>
        </is>
      </c>
      <c r="N637" t="inlineStr">
        <is>
          <t>P4</t>
        </is>
      </c>
      <c r="O637" t="inlineStr">
        <is>
          <t>CVE - IP enrichment n/a</t>
        </is>
      </c>
      <c r="P637" t="n">
        <v>0.0005999999999999999</v>
      </c>
      <c r="Q637" t="n">
        <v>0.1743</v>
      </c>
      <c r="R637" t="inlineStr">
        <is>
          <t>T1190:Exploit Public-Facing Application</t>
        </is>
      </c>
      <c r="S637" t="n">
        <v>1</v>
      </c>
      <c r="T637" t="inlineStr">
        <is>
          <t>LOW (40%)</t>
        </is>
      </c>
      <c r="U637" t="inlineStr">
        <is>
          <t>UNLIKELY</t>
        </is>
      </c>
      <c r="V637" t="inlineStr">
        <is>
          <t>PATCH_AVAILABLE</t>
        </is>
      </c>
      <c r="W637" t="inlineStr">
        <is>
          <t>https://nvd.nist.gov/vuln/detail/CVE-2026-3187</t>
        </is>
      </c>
      <c r="X637" t="inlineStr">
        <is>
          <t>NONE</t>
        </is>
      </c>
      <c r="Y637" t="n">
        <v>0</v>
      </c>
      <c r="Z637" t="inlineStr"/>
      <c r="AA637" t="inlineStr">
        <is>
          <t>https://nvd.nist.gov/vuln/detail/CVE-2026-3187</t>
        </is>
      </c>
    </row>
    <row r="638">
      <c r="A638" t="inlineStr">
        <is>
          <t>CVE</t>
        </is>
      </c>
      <c r="B638" t="inlineStr">
        <is>
          <t>CVE-2026-3197</t>
        </is>
      </c>
      <c r="C638" t="inlineStr">
        <is>
          <t>Rejected reason: ** REJECT ** DO NOT USE THIS CANDIDATE NUMBER. Reason: This candidate was issued in error. Notes: All references and descriptions in this candidate have been removed to prevent accidental usage.</t>
        </is>
      </c>
      <c r="D638" t="n">
        <v>5</v>
      </c>
      <c r="E638" t="inlineStr">
        <is>
          <t>MEDIUM</t>
        </is>
      </c>
      <c r="F638" t="n">
        <v>2</v>
      </c>
      <c r="G638" t="n">
        <v>2</v>
      </c>
      <c r="H638" t="inlineStr">
        <is>
          <t>MEDIUM</t>
        </is>
      </c>
      <c r="I638" t="n">
        <v>9</v>
      </c>
      <c r="J638" t="inlineStr">
        <is>
          <t>NO</t>
        </is>
      </c>
      <c r="K638" t="inlineStr">
        <is>
          <t>2026-02-27 20:47</t>
        </is>
      </c>
      <c r="L638" t="inlineStr">
        <is>
          <t>CHECK_VENDOR</t>
        </is>
      </c>
      <c r="M638" t="inlineStr">
        <is>
          <t>See CVE details</t>
        </is>
      </c>
      <c r="N638" t="inlineStr">
        <is>
          <t>P4</t>
        </is>
      </c>
      <c r="O638" t="inlineStr">
        <is>
          <t>CVE - IP enrichment n/a</t>
        </is>
      </c>
      <c r="P638" t="n">
        <v>0</v>
      </c>
      <c r="Q638" t="n">
        <v>0</v>
      </c>
      <c r="R638" t="inlineStr">
        <is>
          <t>T1190:Exploit Public-Facing Application</t>
        </is>
      </c>
      <c r="S638" t="n">
        <v>1</v>
      </c>
      <c r="T638" t="inlineStr">
        <is>
          <t>LOW (40%)</t>
        </is>
      </c>
      <c r="U638" t="inlineStr">
        <is>
          <t>UNLIKELY</t>
        </is>
      </c>
      <c r="V638" t="inlineStr">
        <is>
          <t>CHECK_VENDOR</t>
        </is>
      </c>
      <c r="W638" t="inlineStr">
        <is>
          <t>https://nvd.nist.gov/vuln/detail/CVE-2026-3197</t>
        </is>
      </c>
      <c r="X638" t="inlineStr">
        <is>
          <t>NONE</t>
        </is>
      </c>
      <c r="Y638" t="n">
        <v>0</v>
      </c>
      <c r="Z638" t="inlineStr"/>
      <c r="AA638" t="inlineStr">
        <is>
          <t>https://nvd.nist.gov/vuln/detail/CVE-2026-3197</t>
        </is>
      </c>
    </row>
    <row r="639">
      <c r="A639" t="inlineStr">
        <is>
          <t>CVE</t>
        </is>
      </c>
      <c r="B639" t="inlineStr">
        <is>
          <t>CVE-2026-3201</t>
        </is>
      </c>
      <c r="C639" t="inlineStr">
        <is>
          <t>USB HID protocol dissector memory exhaustion in Wireshark 4.6.0 to 4.6.3 and 4.4.0 to 4.4.13 allows denial of service</t>
        </is>
      </c>
      <c r="D639" t="n">
        <v>4.7</v>
      </c>
      <c r="E639" t="inlineStr">
        <is>
          <t>MEDIUM</t>
        </is>
      </c>
      <c r="F639" t="n">
        <v>2</v>
      </c>
      <c r="G639" t="n">
        <v>2</v>
      </c>
      <c r="H639" t="inlineStr">
        <is>
          <t>MEDIUM</t>
        </is>
      </c>
      <c r="I639" t="n">
        <v>8.699999999999999</v>
      </c>
      <c r="J639" t="inlineStr">
        <is>
          <t>NO</t>
        </is>
      </c>
      <c r="K639" t="inlineStr">
        <is>
          <t>2026-02-27 20:47</t>
        </is>
      </c>
      <c r="L639" t="inlineStr">
        <is>
          <t>YES</t>
        </is>
      </c>
      <c r="M639" t="inlineStr">
        <is>
          <t>wireshark wireshark *</t>
        </is>
      </c>
      <c r="N639" t="inlineStr">
        <is>
          <t>P4</t>
        </is>
      </c>
      <c r="O639" t="inlineStr">
        <is>
          <t>CVE - IP enrichment n/a</t>
        </is>
      </c>
      <c r="P639" t="n">
        <v>0.0001</v>
      </c>
      <c r="Q639" t="n">
        <v>0.0281</v>
      </c>
      <c r="R639" t="inlineStr">
        <is>
          <t>T1499:Endpoint Denial of Service</t>
        </is>
      </c>
      <c r="S639" t="n">
        <v>1</v>
      </c>
      <c r="T639" t="inlineStr">
        <is>
          <t>LOW (40%)</t>
        </is>
      </c>
      <c r="U639" t="inlineStr">
        <is>
          <t>UNLIKELY</t>
        </is>
      </c>
      <c r="V639" t="inlineStr">
        <is>
          <t>PATCH_AVAILABLE</t>
        </is>
      </c>
      <c r="W639" t="inlineStr">
        <is>
          <t>https://nvd.nist.gov/vuln/detail/CVE-2026-3201</t>
        </is>
      </c>
      <c r="X639" t="inlineStr">
        <is>
          <t>NONE</t>
        </is>
      </c>
      <c r="Y639" t="n">
        <v>0</v>
      </c>
      <c r="Z639" t="inlineStr"/>
      <c r="AA639" t="inlineStr">
        <is>
          <t>https://nvd.nist.gov/vuln/detail/CVE-2026-3201</t>
        </is>
      </c>
    </row>
    <row r="640">
      <c r="A640" t="inlineStr">
        <is>
          <t>CVE</t>
        </is>
      </c>
      <c r="B640" t="inlineStr">
        <is>
          <t>CVE-2026-3202</t>
        </is>
      </c>
      <c r="C640" t="inlineStr">
        <is>
          <t>NTS-KE protocol dissector crash in Wireshark 4.6.0 to 4.6.3 allows denial of service</t>
        </is>
      </c>
      <c r="D640" t="n">
        <v>4.7</v>
      </c>
      <c r="E640" t="inlineStr">
        <is>
          <t>MEDIUM</t>
        </is>
      </c>
      <c r="F640" t="n">
        <v>2</v>
      </c>
      <c r="G640" t="n">
        <v>2</v>
      </c>
      <c r="H640" t="inlineStr">
        <is>
          <t>MEDIUM</t>
        </is>
      </c>
      <c r="I640" t="n">
        <v>8.699999999999999</v>
      </c>
      <c r="J640" t="inlineStr">
        <is>
          <t>NO</t>
        </is>
      </c>
      <c r="K640" t="inlineStr">
        <is>
          <t>2026-02-27 20:47</t>
        </is>
      </c>
      <c r="L640" t="inlineStr">
        <is>
          <t>YES</t>
        </is>
      </c>
      <c r="M640" t="inlineStr">
        <is>
          <t>wireshark wireshark *</t>
        </is>
      </c>
      <c r="N640" t="inlineStr">
        <is>
          <t>P4</t>
        </is>
      </c>
      <c r="O640" t="inlineStr">
        <is>
          <t>CVE - IP enrichment n/a</t>
        </is>
      </c>
      <c r="P640" t="n">
        <v>0.0002</v>
      </c>
      <c r="Q640" t="n">
        <v>0.0324</v>
      </c>
      <c r="R640" t="inlineStr">
        <is>
          <t>T1499:Endpoint Denial of Service</t>
        </is>
      </c>
      <c r="S640" t="n">
        <v>1</v>
      </c>
      <c r="T640" t="inlineStr">
        <is>
          <t>LOW (40%)</t>
        </is>
      </c>
      <c r="U640" t="inlineStr">
        <is>
          <t>UNLIKELY</t>
        </is>
      </c>
      <c r="V640" t="inlineStr">
        <is>
          <t>PATCH_AVAILABLE</t>
        </is>
      </c>
      <c r="W640" t="inlineStr">
        <is>
          <t>https://nvd.nist.gov/vuln/detail/CVE-2026-3202</t>
        </is>
      </c>
      <c r="X640" t="inlineStr">
        <is>
          <t>NONE</t>
        </is>
      </c>
      <c r="Y640" t="n">
        <v>0</v>
      </c>
      <c r="Z640" t="inlineStr"/>
      <c r="AA640" t="inlineStr">
        <is>
          <t>https://nvd.nist.gov/vuln/detail/CVE-2026-3202</t>
        </is>
      </c>
    </row>
    <row r="641">
      <c r="A641" t="inlineStr">
        <is>
          <t>CVE</t>
        </is>
      </c>
      <c r="B641" t="inlineStr">
        <is>
          <t>CVE-2026-3203</t>
        </is>
      </c>
      <c r="C641" t="inlineStr">
        <is>
          <t>RF4CE Profile protocol dissector crash in Wireshark 4.6.0 to 4.6.3 and 4.4.0 to 4.4.13 allows denial of service</t>
        </is>
      </c>
      <c r="D641" t="n">
        <v>5.5</v>
      </c>
      <c r="E641" t="inlineStr">
        <is>
          <t>MEDIUM</t>
        </is>
      </c>
      <c r="F641" t="n">
        <v>2</v>
      </c>
      <c r="G641" t="n">
        <v>2</v>
      </c>
      <c r="H641" t="inlineStr">
        <is>
          <t>MEDIUM</t>
        </is>
      </c>
      <c r="I641" t="n">
        <v>9.5</v>
      </c>
      <c r="J641" t="inlineStr">
        <is>
          <t>NO</t>
        </is>
      </c>
      <c r="K641" t="inlineStr">
        <is>
          <t>2026-02-27 20:47</t>
        </is>
      </c>
      <c r="L641" t="inlineStr">
        <is>
          <t>YES</t>
        </is>
      </c>
      <c r="M641" t="inlineStr">
        <is>
          <t>wireshark wireshark *</t>
        </is>
      </c>
      <c r="N641" t="inlineStr">
        <is>
          <t>P4</t>
        </is>
      </c>
      <c r="O641" t="inlineStr">
        <is>
          <t>CVE - IP enrichment n/a</t>
        </is>
      </c>
      <c r="P641" t="n">
        <v>0.0002</v>
      </c>
      <c r="Q641" t="n">
        <v>0.0324</v>
      </c>
      <c r="R641" t="inlineStr">
        <is>
          <t>T1499:Endpoint Denial of Service</t>
        </is>
      </c>
      <c r="S641" t="n">
        <v>1</v>
      </c>
      <c r="T641" t="inlineStr">
        <is>
          <t>LOW (40%)</t>
        </is>
      </c>
      <c r="U641" t="inlineStr">
        <is>
          <t>UNLIKELY</t>
        </is>
      </c>
      <c r="V641" t="inlineStr">
        <is>
          <t>PATCH_AVAILABLE</t>
        </is>
      </c>
      <c r="W641" t="inlineStr">
        <is>
          <t>https://nvd.nist.gov/vuln/detail/CVE-2026-3203</t>
        </is>
      </c>
      <c r="X641" t="inlineStr">
        <is>
          <t>NONE</t>
        </is>
      </c>
      <c r="Y641" t="n">
        <v>0</v>
      </c>
      <c r="Z641" t="inlineStr"/>
      <c r="AA641" t="inlineStr">
        <is>
          <t>https://nvd.nist.gov/vuln/detail/CVE-2026-3203</t>
        </is>
      </c>
    </row>
    <row r="642">
      <c r="A642" t="inlineStr">
        <is>
          <t>CVE</t>
        </is>
      </c>
      <c r="B642" t="inlineStr">
        <is>
          <t>CVE-2025-1242</t>
        </is>
      </c>
      <c r="C642"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642" t="n">
        <v>9.1</v>
      </c>
      <c r="E642" t="inlineStr">
        <is>
          <t>CRITICAL</t>
        </is>
      </c>
      <c r="F642" t="n">
        <v>2</v>
      </c>
      <c r="G642" t="n">
        <v>3</v>
      </c>
      <c r="H642" t="inlineStr">
        <is>
          <t>HIGH</t>
        </is>
      </c>
      <c r="I642" t="n">
        <v>15.1</v>
      </c>
      <c r="J642" t="inlineStr">
        <is>
          <t>NO</t>
        </is>
      </c>
      <c r="K642" t="inlineStr">
        <is>
          <t>2026-02-27 20:47</t>
        </is>
      </c>
      <c r="L642" t="inlineStr">
        <is>
          <t>CHECK_VENDOR</t>
        </is>
      </c>
      <c r="M642" t="inlineStr">
        <is>
          <t>See CVE details</t>
        </is>
      </c>
      <c r="N642" t="inlineStr">
        <is>
          <t>P3</t>
        </is>
      </c>
      <c r="O642" t="inlineStr">
        <is>
          <t>CVE - IP enrichment n/a</t>
        </is>
      </c>
      <c r="P642" t="n">
        <v>0.0003</v>
      </c>
      <c r="Q642" t="n">
        <v>0.0775</v>
      </c>
      <c r="R642" t="inlineStr">
        <is>
          <t>T1552:Unsecured Credentials</t>
        </is>
      </c>
      <c r="S642" t="n">
        <v>1</v>
      </c>
      <c r="T642" t="inlineStr">
        <is>
          <t>LOW (40%)</t>
        </is>
      </c>
      <c r="U642" t="inlineStr">
        <is>
          <t>UNLIKELY</t>
        </is>
      </c>
      <c r="V642" t="inlineStr">
        <is>
          <t>CHECK_VENDOR</t>
        </is>
      </c>
      <c r="W642" t="inlineStr">
        <is>
          <t>https://nvd.nist.gov/vuln/detail/CVE-2025-1242</t>
        </is>
      </c>
      <c r="X642" t="inlineStr">
        <is>
          <t>NONE</t>
        </is>
      </c>
      <c r="Y642" t="n">
        <v>0</v>
      </c>
      <c r="Z642" t="inlineStr"/>
      <c r="AA642" t="inlineStr">
        <is>
          <t>https://nvd.nist.gov/vuln/detail/CVE-2025-1242</t>
        </is>
      </c>
    </row>
    <row r="643">
      <c r="A643" t="inlineStr">
        <is>
          <t>CVE</t>
        </is>
      </c>
      <c r="B643" t="inlineStr">
        <is>
          <t>CVE-2025-50180</t>
        </is>
      </c>
      <c r="C643"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643" t="n">
        <v>7.5</v>
      </c>
      <c r="E643" t="inlineStr">
        <is>
          <t>HIGH</t>
        </is>
      </c>
      <c r="F643" t="n">
        <v>2</v>
      </c>
      <c r="G643" t="n">
        <v>3</v>
      </c>
      <c r="H643" t="inlineStr">
        <is>
          <t>HIGH</t>
        </is>
      </c>
      <c r="I643" t="n">
        <v>13.5</v>
      </c>
      <c r="J643" t="inlineStr">
        <is>
          <t>NO</t>
        </is>
      </c>
      <c r="K643" t="inlineStr">
        <is>
          <t>2026-02-27 20:47</t>
        </is>
      </c>
      <c r="L643" t="inlineStr">
        <is>
          <t>YES</t>
        </is>
      </c>
      <c r="M643" t="inlineStr">
        <is>
          <t>esm esm.sh *</t>
        </is>
      </c>
      <c r="N643" t="inlineStr">
        <is>
          <t>P3</t>
        </is>
      </c>
      <c r="O643" t="inlineStr">
        <is>
          <t>CVE - IP enrichment n/a</t>
        </is>
      </c>
      <c r="P643" t="n">
        <v>0.0005</v>
      </c>
      <c r="Q643" t="n">
        <v>0.1509</v>
      </c>
      <c r="R643" t="inlineStr">
        <is>
          <t>T1090:Proxy</t>
        </is>
      </c>
      <c r="S643" t="n">
        <v>1</v>
      </c>
      <c r="T643" t="inlineStr">
        <is>
          <t>LOW (40%)</t>
        </is>
      </c>
      <c r="U643" t="inlineStr">
        <is>
          <t>UNLIKELY</t>
        </is>
      </c>
      <c r="V643" t="inlineStr">
        <is>
          <t>PATCH_AVAILABLE</t>
        </is>
      </c>
      <c r="W643" t="inlineStr">
        <is>
          <t>https://nvd.nist.gov/vuln/detail/CVE-2025-50180</t>
        </is>
      </c>
      <c r="X643" t="inlineStr">
        <is>
          <t>NONE</t>
        </is>
      </c>
      <c r="Y643" t="n">
        <v>0</v>
      </c>
      <c r="Z643" t="inlineStr"/>
      <c r="AA643" t="inlineStr">
        <is>
          <t>https://nvd.nist.gov/vuln/detail/CVE-2025-50180</t>
        </is>
      </c>
    </row>
    <row r="644">
      <c r="A644" t="inlineStr">
        <is>
          <t>CVE</t>
        </is>
      </c>
      <c r="B644" t="inlineStr">
        <is>
          <t>CVE-2025-69771</t>
        </is>
      </c>
      <c r="C644" t="inlineStr">
        <is>
          <t>An arbitrary file upload vulnerability in the subtitle loading function of asbplayer v1.13.0 allows attackers to execute arbitrary code via uploading a crafted subtitle file.</t>
        </is>
      </c>
      <c r="D644" t="n">
        <v>9.6</v>
      </c>
      <c r="E644" t="inlineStr">
        <is>
          <t>CRITICAL</t>
        </is>
      </c>
      <c r="F644" t="n">
        <v>2</v>
      </c>
      <c r="G644" t="n">
        <v>3</v>
      </c>
      <c r="H644" t="inlineStr">
        <is>
          <t>HIGH</t>
        </is>
      </c>
      <c r="I644" t="n">
        <v>15.6</v>
      </c>
      <c r="J644" t="inlineStr">
        <is>
          <t>NO</t>
        </is>
      </c>
      <c r="K644" t="inlineStr">
        <is>
          <t>2026-02-27 20:47</t>
        </is>
      </c>
      <c r="L644" t="inlineStr">
        <is>
          <t>CHECK_VENDOR</t>
        </is>
      </c>
      <c r="M644" t="inlineStr">
        <is>
          <t>See CVE details</t>
        </is>
      </c>
      <c r="N644" t="inlineStr">
        <is>
          <t>P3</t>
        </is>
      </c>
      <c r="O644" t="inlineStr">
        <is>
          <t>CVE - IP enrichment n/a</t>
        </is>
      </c>
      <c r="P644" t="n">
        <v>0.0004</v>
      </c>
      <c r="Q644" t="n">
        <v>0.1297</v>
      </c>
      <c r="R644" t="inlineStr">
        <is>
          <t>T1190:Exploit Public-Facing Application | T1203:Exploitation for Client Execution</t>
        </is>
      </c>
      <c r="S644" t="n">
        <v>1</v>
      </c>
      <c r="T644" t="inlineStr">
        <is>
          <t>LOW (40%)</t>
        </is>
      </c>
      <c r="U644" t="inlineStr">
        <is>
          <t>UNLIKELY</t>
        </is>
      </c>
      <c r="V644" t="inlineStr">
        <is>
          <t>CHECK_VENDOR</t>
        </is>
      </c>
      <c r="W644" t="inlineStr">
        <is>
          <t>https://nvd.nist.gov/vuln/detail/CVE-2025-69771</t>
        </is>
      </c>
      <c r="X644" t="inlineStr">
        <is>
          <t>NONE</t>
        </is>
      </c>
      <c r="Y644" t="n">
        <v>0</v>
      </c>
      <c r="Z644" t="inlineStr"/>
      <c r="AA644" t="inlineStr">
        <is>
          <t>https://nvd.nist.gov/vuln/detail/CVE-2025-69771</t>
        </is>
      </c>
    </row>
    <row r="645">
      <c r="A645" t="inlineStr">
        <is>
          <t>CVE</t>
        </is>
      </c>
      <c r="B645" t="inlineStr">
        <is>
          <t>CVE-2026-22866</t>
        </is>
      </c>
      <c r="C645"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645" t="n">
        <v>5</v>
      </c>
      <c r="E645" t="inlineStr">
        <is>
          <t>MEDIUM</t>
        </is>
      </c>
      <c r="F645" t="n">
        <v>2</v>
      </c>
      <c r="G645" t="n">
        <v>2</v>
      </c>
      <c r="H645" t="inlineStr">
        <is>
          <t>MEDIUM</t>
        </is>
      </c>
      <c r="I645" t="n">
        <v>9</v>
      </c>
      <c r="J645" t="inlineStr">
        <is>
          <t>NO</t>
        </is>
      </c>
      <c r="K645" t="inlineStr">
        <is>
          <t>2026-02-27 20:47</t>
        </is>
      </c>
      <c r="L645" t="inlineStr">
        <is>
          <t>CHECK_VENDOR</t>
        </is>
      </c>
      <c r="M645" t="inlineStr">
        <is>
          <t>See CVE details</t>
        </is>
      </c>
      <c r="N645" t="inlineStr">
        <is>
          <t>P4</t>
        </is>
      </c>
      <c r="O645" t="inlineStr">
        <is>
          <t>CVE - IP enrichment n/a</t>
        </is>
      </c>
      <c r="P645" t="n">
        <v>0.0003</v>
      </c>
      <c r="Q645" t="n">
        <v>0.0725</v>
      </c>
      <c r="R645" t="inlineStr">
        <is>
          <t>T1190:Exploit Public-Facing Application</t>
        </is>
      </c>
      <c r="S645" t="n">
        <v>1</v>
      </c>
      <c r="T645" t="inlineStr">
        <is>
          <t>LOW (40%)</t>
        </is>
      </c>
      <c r="U645" t="inlineStr">
        <is>
          <t>UNLIKELY</t>
        </is>
      </c>
      <c r="V645" t="inlineStr">
        <is>
          <t>CHECK_VENDOR</t>
        </is>
      </c>
      <c r="W645" t="inlineStr">
        <is>
          <t>https://nvd.nist.gov/vuln/detail/CVE-2026-22866</t>
        </is>
      </c>
      <c r="X645" t="inlineStr">
        <is>
          <t>NONE</t>
        </is>
      </c>
      <c r="Y645" t="n">
        <v>0</v>
      </c>
      <c r="Z645" t="inlineStr"/>
      <c r="AA645" t="inlineStr">
        <is>
          <t>https://nvd.nist.gov/vuln/detail/CVE-2026-22866</t>
        </is>
      </c>
    </row>
    <row r="646">
      <c r="A646" t="inlineStr">
        <is>
          <t>CVE</t>
        </is>
      </c>
      <c r="B646" t="inlineStr">
        <is>
          <t>CVE-2026-27700</t>
        </is>
      </c>
      <c r="C646"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646" t="n">
        <v>8.199999999999999</v>
      </c>
      <c r="E646" t="inlineStr">
        <is>
          <t>HIGH</t>
        </is>
      </c>
      <c r="F646" t="n">
        <v>2</v>
      </c>
      <c r="G646" t="n">
        <v>3</v>
      </c>
      <c r="H646" t="inlineStr">
        <is>
          <t>HIGH</t>
        </is>
      </c>
      <c r="I646" t="n">
        <v>14.2</v>
      </c>
      <c r="J646" t="inlineStr">
        <is>
          <t>NO</t>
        </is>
      </c>
      <c r="K646" t="inlineStr">
        <is>
          <t>2026-02-27 20:47</t>
        </is>
      </c>
      <c r="L646" t="inlineStr">
        <is>
          <t>CHECK_VENDOR</t>
        </is>
      </c>
      <c r="M646" t="inlineStr">
        <is>
          <t>See CVE details</t>
        </is>
      </c>
      <c r="N646" t="inlineStr">
        <is>
          <t>P3</t>
        </is>
      </c>
      <c r="O646" t="inlineStr">
        <is>
          <t>CVE - IP enrichment n/a</t>
        </is>
      </c>
      <c r="P646" t="n">
        <v>0.0001</v>
      </c>
      <c r="Q646" t="n">
        <v>0.0269</v>
      </c>
      <c r="R646" t="inlineStr">
        <is>
          <t>T1190:Exploit Public-Facing Application</t>
        </is>
      </c>
      <c r="S646" t="n">
        <v>1</v>
      </c>
      <c r="T646" t="inlineStr">
        <is>
          <t>LOW (40%)</t>
        </is>
      </c>
      <c r="U646" t="inlineStr">
        <is>
          <t>UNLIKELY</t>
        </is>
      </c>
      <c r="V646" t="inlineStr">
        <is>
          <t>CHECK_VENDOR</t>
        </is>
      </c>
      <c r="W646" t="inlineStr">
        <is>
          <t>https://nvd.nist.gov/vuln/detail/CVE-2026-27700</t>
        </is>
      </c>
      <c r="X646" t="inlineStr">
        <is>
          <t>NONE</t>
        </is>
      </c>
      <c r="Y646" t="n">
        <v>0</v>
      </c>
      <c r="Z646" t="inlineStr"/>
      <c r="AA646" t="inlineStr">
        <is>
          <t>https://nvd.nist.gov/vuln/detail/CVE-2026-27700</t>
        </is>
      </c>
    </row>
    <row r="647">
      <c r="A647" t="inlineStr">
        <is>
          <t>CVE</t>
        </is>
      </c>
      <c r="B647" t="inlineStr">
        <is>
          <t>CVE-2026-27701</t>
        </is>
      </c>
      <c r="C647"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647" t="n">
        <v>8.5</v>
      </c>
      <c r="E647" t="inlineStr">
        <is>
          <t>HIGH</t>
        </is>
      </c>
      <c r="F647" t="n">
        <v>2</v>
      </c>
      <c r="G647" t="n">
        <v>3</v>
      </c>
      <c r="H647" t="inlineStr">
        <is>
          <t>HIGH</t>
        </is>
      </c>
      <c r="I647" t="n">
        <v>14.5</v>
      </c>
      <c r="J647" t="inlineStr">
        <is>
          <t>NO</t>
        </is>
      </c>
      <c r="K647" t="inlineStr">
        <is>
          <t>2026-02-27 20:47</t>
        </is>
      </c>
      <c r="L647" t="inlineStr">
        <is>
          <t>CHECK_VENDOR</t>
        </is>
      </c>
      <c r="M647" t="inlineStr">
        <is>
          <t>See CVE details</t>
        </is>
      </c>
      <c r="N647" t="inlineStr">
        <is>
          <t>P3</t>
        </is>
      </c>
      <c r="O647" t="inlineStr">
        <is>
          <t>CVE - IP enrichment n/a</t>
        </is>
      </c>
      <c r="P647" t="n">
        <v>0.0005</v>
      </c>
      <c r="Q647" t="n">
        <v>0.1447</v>
      </c>
      <c r="R647" t="inlineStr">
        <is>
          <t>T1059:Command and Scripting Interpreter | T1190:Exploit Public-Facing Application</t>
        </is>
      </c>
      <c r="S647" t="n">
        <v>1</v>
      </c>
      <c r="T647" t="inlineStr">
        <is>
          <t>LOW (40%)</t>
        </is>
      </c>
      <c r="U647" t="inlineStr">
        <is>
          <t>UNLIKELY</t>
        </is>
      </c>
      <c r="V647" t="inlineStr">
        <is>
          <t>CHECK_VENDOR</t>
        </is>
      </c>
      <c r="W647" t="inlineStr">
        <is>
          <t>https://nvd.nist.gov/vuln/detail/CVE-2026-27701</t>
        </is>
      </c>
      <c r="X647" t="inlineStr">
        <is>
          <t>NONE</t>
        </is>
      </c>
      <c r="Y647" t="n">
        <v>0</v>
      </c>
      <c r="Z647" t="inlineStr"/>
      <c r="AA647" t="inlineStr">
        <is>
          <t>https://nvd.nist.gov/vuln/detail/CVE-2026-27701</t>
        </is>
      </c>
    </row>
    <row r="648">
      <c r="A648" t="inlineStr">
        <is>
          <t>CVE</t>
        </is>
      </c>
      <c r="B648" t="inlineStr">
        <is>
          <t>CVE-2026-27702</t>
        </is>
      </c>
      <c r="C648"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648" t="n">
        <v>9.9</v>
      </c>
      <c r="E648" t="inlineStr">
        <is>
          <t>CRITICAL</t>
        </is>
      </c>
      <c r="F648" t="n">
        <v>2</v>
      </c>
      <c r="G648" t="n">
        <v>3</v>
      </c>
      <c r="H648" t="inlineStr">
        <is>
          <t>HIGH</t>
        </is>
      </c>
      <c r="I648" t="n">
        <v>15.9</v>
      </c>
      <c r="J648" t="inlineStr">
        <is>
          <t>NO</t>
        </is>
      </c>
      <c r="K648" t="inlineStr">
        <is>
          <t>2026-02-27 20:47</t>
        </is>
      </c>
      <c r="L648" t="inlineStr">
        <is>
          <t>CHECK_VENDOR</t>
        </is>
      </c>
      <c r="M648" t="inlineStr">
        <is>
          <t>See CVE details</t>
        </is>
      </c>
      <c r="N648" t="inlineStr">
        <is>
          <t>P3</t>
        </is>
      </c>
      <c r="O648" t="inlineStr">
        <is>
          <t>CVE - IP enrichment n/a</t>
        </is>
      </c>
      <c r="P648" t="n">
        <v>0.0007</v>
      </c>
      <c r="Q648" t="n">
        <v>0.2078</v>
      </c>
      <c r="R648" t="inlineStr">
        <is>
          <t>T1552:Unsecured Credentials</t>
        </is>
      </c>
      <c r="S648" t="n">
        <v>1</v>
      </c>
      <c r="T648" t="inlineStr">
        <is>
          <t>LOW (40%)</t>
        </is>
      </c>
      <c r="U648" t="inlineStr">
        <is>
          <t>UNLIKELY</t>
        </is>
      </c>
      <c r="V648" t="inlineStr">
        <is>
          <t>CHECK_VENDOR</t>
        </is>
      </c>
      <c r="W648" t="inlineStr">
        <is>
          <t>https://nvd.nist.gov/vuln/detail/CVE-2026-27702</t>
        </is>
      </c>
      <c r="X648" t="inlineStr">
        <is>
          <t>NONE</t>
        </is>
      </c>
      <c r="Y648" t="n">
        <v>0</v>
      </c>
      <c r="Z648" t="inlineStr"/>
      <c r="AA648" t="inlineStr">
        <is>
          <t>https://nvd.nist.gov/vuln/detail/CVE-2026-27702</t>
        </is>
      </c>
    </row>
    <row r="649">
      <c r="A649" t="inlineStr">
        <is>
          <t>CVE</t>
        </is>
      </c>
      <c r="B649" t="inlineStr">
        <is>
          <t>CVE-2026-27704</t>
        </is>
      </c>
      <c r="C649"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649" t="n">
        <v>5</v>
      </c>
      <c r="E649" t="inlineStr">
        <is>
          <t>MEDIUM</t>
        </is>
      </c>
      <c r="F649" t="n">
        <v>2</v>
      </c>
      <c r="G649" t="n">
        <v>2</v>
      </c>
      <c r="H649" t="inlineStr">
        <is>
          <t>MEDIUM</t>
        </is>
      </c>
      <c r="I649" t="n">
        <v>9</v>
      </c>
      <c r="J649" t="inlineStr">
        <is>
          <t>NO</t>
        </is>
      </c>
      <c r="K649" t="inlineStr">
        <is>
          <t>2026-02-27 20:47</t>
        </is>
      </c>
      <c r="L649" t="inlineStr">
        <is>
          <t>CHECK_VENDOR</t>
        </is>
      </c>
      <c r="M649" t="inlineStr">
        <is>
          <t>See CVE details</t>
        </is>
      </c>
      <c r="N649" t="inlineStr">
        <is>
          <t>P4</t>
        </is>
      </c>
      <c r="O649" t="inlineStr">
        <is>
          <t>CVE - IP enrichment n/a</t>
        </is>
      </c>
      <c r="P649" t="n">
        <v>0.0005</v>
      </c>
      <c r="Q649" t="n">
        <v>0.1417</v>
      </c>
      <c r="R649" t="inlineStr">
        <is>
          <t>T1083:File and Directory Discovery</t>
        </is>
      </c>
      <c r="S649" t="n">
        <v>1</v>
      </c>
      <c r="T649" t="inlineStr">
        <is>
          <t>LOW (40%)</t>
        </is>
      </c>
      <c r="U649" t="inlineStr">
        <is>
          <t>UNLIKELY</t>
        </is>
      </c>
      <c r="V649" t="inlineStr">
        <is>
          <t>CHECK_VENDOR</t>
        </is>
      </c>
      <c r="W649" t="inlineStr">
        <is>
          <t>https://nvd.nist.gov/vuln/detail/CVE-2026-27704</t>
        </is>
      </c>
      <c r="X649" t="inlineStr">
        <is>
          <t>NONE</t>
        </is>
      </c>
      <c r="Y649" t="n">
        <v>0</v>
      </c>
      <c r="Z649" t="inlineStr"/>
      <c r="AA649" t="inlineStr">
        <is>
          <t>https://nvd.nist.gov/vuln/detail/CVE-2026-27704</t>
        </is>
      </c>
    </row>
    <row r="650">
      <c r="A650" t="inlineStr">
        <is>
          <t>CVE</t>
        </is>
      </c>
      <c r="B650" t="inlineStr">
        <is>
          <t>CVE-2026-27730</t>
        </is>
      </c>
      <c r="C650"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650" t="n">
        <v>7.5</v>
      </c>
      <c r="E650" t="inlineStr">
        <is>
          <t>HIGH</t>
        </is>
      </c>
      <c r="F650" t="n">
        <v>2</v>
      </c>
      <c r="G650" t="n">
        <v>3</v>
      </c>
      <c r="H650" t="inlineStr">
        <is>
          <t>HIGH</t>
        </is>
      </c>
      <c r="I650" t="n">
        <v>13.5</v>
      </c>
      <c r="J650" t="inlineStr">
        <is>
          <t>NO</t>
        </is>
      </c>
      <c r="K650" t="inlineStr">
        <is>
          <t>2026-02-27 20:47</t>
        </is>
      </c>
      <c r="L650" t="inlineStr">
        <is>
          <t>YES</t>
        </is>
      </c>
      <c r="M650" t="inlineStr">
        <is>
          <t>esm esm.sh *</t>
        </is>
      </c>
      <c r="N650" t="inlineStr">
        <is>
          <t>P3</t>
        </is>
      </c>
      <c r="O650" t="inlineStr">
        <is>
          <t>CVE - IP enrichment n/a</t>
        </is>
      </c>
      <c r="P650" t="n">
        <v>0.0003</v>
      </c>
      <c r="Q650" t="n">
        <v>0.09810000000000001</v>
      </c>
      <c r="R650" t="inlineStr">
        <is>
          <t>T1090:Proxy</t>
        </is>
      </c>
      <c r="S650" t="n">
        <v>1</v>
      </c>
      <c r="T650" t="inlineStr">
        <is>
          <t>LOW (40%)</t>
        </is>
      </c>
      <c r="U650" t="inlineStr">
        <is>
          <t>UNLIKELY</t>
        </is>
      </c>
      <c r="V650" t="inlineStr">
        <is>
          <t>PATCH_AVAILABLE</t>
        </is>
      </c>
      <c r="W650" t="inlineStr">
        <is>
          <t>https://nvd.nist.gov/vuln/detail/CVE-2026-27730</t>
        </is>
      </c>
      <c r="X650" t="inlineStr">
        <is>
          <t>NONE</t>
        </is>
      </c>
      <c r="Y650" t="n">
        <v>0</v>
      </c>
      <c r="Z650" t="inlineStr"/>
      <c r="AA650" t="inlineStr">
        <is>
          <t>https://nvd.nist.gov/vuln/detail/CVE-2026-27730</t>
        </is>
      </c>
    </row>
    <row r="651">
      <c r="A651" t="inlineStr">
        <is>
          <t>CVE</t>
        </is>
      </c>
      <c r="B651" t="inlineStr">
        <is>
          <t>CVE-2026-27846</t>
        </is>
      </c>
      <c r="C651"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651" t="n">
        <v>6.2</v>
      </c>
      <c r="E651" t="inlineStr">
        <is>
          <t>MEDIUM</t>
        </is>
      </c>
      <c r="F651" t="n">
        <v>2</v>
      </c>
      <c r="G651" t="n">
        <v>2</v>
      </c>
      <c r="H651" t="inlineStr">
        <is>
          <t>MEDIUM</t>
        </is>
      </c>
      <c r="I651" t="n">
        <v>10.2</v>
      </c>
      <c r="J651" t="inlineStr">
        <is>
          <t>NO</t>
        </is>
      </c>
      <c r="K651" t="inlineStr">
        <is>
          <t>2026-02-27 20:47</t>
        </is>
      </c>
      <c r="L651" t="inlineStr">
        <is>
          <t>CHECK_VENDOR</t>
        </is>
      </c>
      <c r="M651" t="inlineStr">
        <is>
          <t>See CVE details</t>
        </is>
      </c>
      <c r="N651" t="inlineStr">
        <is>
          <t>P4</t>
        </is>
      </c>
      <c r="O651" t="inlineStr">
        <is>
          <t>CVE - IP enrichment n/a</t>
        </is>
      </c>
      <c r="P651" t="n">
        <v>0.0002</v>
      </c>
      <c r="Q651" t="n">
        <v>0.0454</v>
      </c>
      <c r="R651" t="inlineStr">
        <is>
          <t>T1078:Valid Accounts</t>
        </is>
      </c>
      <c r="S651" t="n">
        <v>1</v>
      </c>
      <c r="T651" t="inlineStr">
        <is>
          <t>LOW (40%)</t>
        </is>
      </c>
      <c r="U651" t="inlineStr">
        <is>
          <t>UNLIKELY</t>
        </is>
      </c>
      <c r="V651" t="inlineStr">
        <is>
          <t>CHECK_VENDOR</t>
        </is>
      </c>
      <c r="W651" t="inlineStr">
        <is>
          <t>https://nvd.nist.gov/vuln/detail/CVE-2026-27846</t>
        </is>
      </c>
      <c r="X651" t="inlineStr">
        <is>
          <t>NONE</t>
        </is>
      </c>
      <c r="Y651" t="n">
        <v>0</v>
      </c>
      <c r="Z651" t="inlineStr"/>
      <c r="AA651" t="inlineStr">
        <is>
          <t>https://nvd.nist.gov/vuln/detail/CVE-2026-27846</t>
        </is>
      </c>
    </row>
    <row r="652">
      <c r="A652" t="inlineStr">
        <is>
          <t>CVE</t>
        </is>
      </c>
      <c r="B652" t="inlineStr">
        <is>
          <t>CVE-2026-27847</t>
        </is>
      </c>
      <c r="C652"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652" t="n">
        <v>9.800000000000001</v>
      </c>
      <c r="E652" t="inlineStr">
        <is>
          <t>CRITICAL</t>
        </is>
      </c>
      <c r="F652" t="n">
        <v>2</v>
      </c>
      <c r="G652" t="n">
        <v>3</v>
      </c>
      <c r="H652" t="inlineStr">
        <is>
          <t>HIGH</t>
        </is>
      </c>
      <c r="I652" t="n">
        <v>15.8</v>
      </c>
      <c r="J652" t="inlineStr">
        <is>
          <t>NO</t>
        </is>
      </c>
      <c r="K652" t="inlineStr">
        <is>
          <t>2026-02-27 20:47</t>
        </is>
      </c>
      <c r="L652" t="inlineStr">
        <is>
          <t>CHECK_VENDOR</t>
        </is>
      </c>
      <c r="M652" t="inlineStr">
        <is>
          <t>See CVE details</t>
        </is>
      </c>
      <c r="N652" t="inlineStr">
        <is>
          <t>P3</t>
        </is>
      </c>
      <c r="O652" t="inlineStr">
        <is>
          <t>CVE - IP enrichment n/a</t>
        </is>
      </c>
      <c r="P652" t="n">
        <v>0.0005</v>
      </c>
      <c r="Q652" t="n">
        <v>0.1468</v>
      </c>
      <c r="R652" t="inlineStr">
        <is>
          <t>T1190:Exploit Public-Facing Application | T1552:Unsecured Credentials</t>
        </is>
      </c>
      <c r="S652" t="n">
        <v>1</v>
      </c>
      <c r="T652" t="inlineStr">
        <is>
          <t>LOW (40%)</t>
        </is>
      </c>
      <c r="U652" t="inlineStr">
        <is>
          <t>UNLIKELY</t>
        </is>
      </c>
      <c r="V652" t="inlineStr">
        <is>
          <t>CHECK_VENDOR</t>
        </is>
      </c>
      <c r="W652" t="inlineStr">
        <is>
          <t>https://nvd.nist.gov/vuln/detail/CVE-2026-27847</t>
        </is>
      </c>
      <c r="X652" t="inlineStr">
        <is>
          <t>NONE</t>
        </is>
      </c>
      <c r="Y652" t="n">
        <v>0</v>
      </c>
      <c r="Z652" t="inlineStr"/>
      <c r="AA652" t="inlineStr">
        <is>
          <t>https://nvd.nist.gov/vuln/detail/CVE-2026-27847</t>
        </is>
      </c>
    </row>
    <row r="653">
      <c r="A653" t="inlineStr">
        <is>
          <t>CVE</t>
        </is>
      </c>
      <c r="B653" t="inlineStr">
        <is>
          <t>CVE-2026-27848</t>
        </is>
      </c>
      <c r="C653" t="inlineStr">
        <is>
          <t>Due to missing neutralization of special elements, OS commands can be injected via the handshake of a TLS-SRP connection, which are ultimately run as the root user.
This issue affects MR9600: 1.0.4.205530; MX4200: 1.0.13.210200.</t>
        </is>
      </c>
      <c r="D653" t="n">
        <v>9.800000000000001</v>
      </c>
      <c r="E653" t="inlineStr">
        <is>
          <t>CRITICAL</t>
        </is>
      </c>
      <c r="F653" t="n">
        <v>2</v>
      </c>
      <c r="G653" t="n">
        <v>3</v>
      </c>
      <c r="H653" t="inlineStr">
        <is>
          <t>HIGH</t>
        </is>
      </c>
      <c r="I653" t="n">
        <v>15.8</v>
      </c>
      <c r="J653" t="inlineStr">
        <is>
          <t>NO</t>
        </is>
      </c>
      <c r="K653" t="inlineStr">
        <is>
          <t>2026-02-27 20:47</t>
        </is>
      </c>
      <c r="L653" t="inlineStr">
        <is>
          <t>CHECK_VENDOR</t>
        </is>
      </c>
      <c r="M653" t="inlineStr">
        <is>
          <t>See CVE details</t>
        </is>
      </c>
      <c r="N653" t="inlineStr">
        <is>
          <t>P3</t>
        </is>
      </c>
      <c r="O653" t="inlineStr">
        <is>
          <t>CVE - IP enrichment n/a</t>
        </is>
      </c>
      <c r="P653" t="n">
        <v>0.0005</v>
      </c>
      <c r="Q653" t="n">
        <v>0.1468</v>
      </c>
      <c r="R653" t="inlineStr">
        <is>
          <t>T1059:Command and Scripting Interpreter</t>
        </is>
      </c>
      <c r="S653" t="n">
        <v>1</v>
      </c>
      <c r="T653" t="inlineStr">
        <is>
          <t>LOW (40%)</t>
        </is>
      </c>
      <c r="U653" t="inlineStr">
        <is>
          <t>UNLIKELY</t>
        </is>
      </c>
      <c r="V653" t="inlineStr">
        <is>
          <t>CHECK_VENDOR</t>
        </is>
      </c>
      <c r="W653" t="inlineStr">
        <is>
          <t>https://nvd.nist.gov/vuln/detail/CVE-2026-27848</t>
        </is>
      </c>
      <c r="X653" t="inlineStr">
        <is>
          <t>NONE</t>
        </is>
      </c>
      <c r="Y653" t="n">
        <v>0</v>
      </c>
      <c r="Z653" t="inlineStr"/>
      <c r="AA653" t="inlineStr">
        <is>
          <t>https://nvd.nist.gov/vuln/detail/CVE-2026-27848</t>
        </is>
      </c>
    </row>
    <row r="654">
      <c r="A654" t="inlineStr">
        <is>
          <t>CVE</t>
        </is>
      </c>
      <c r="B654" t="inlineStr">
        <is>
          <t>CVE-2026-3188</t>
        </is>
      </c>
      <c r="C654"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654" t="n">
        <v>4.3</v>
      </c>
      <c r="E654" t="inlineStr">
        <is>
          <t>MEDIUM</t>
        </is>
      </c>
      <c r="F654" t="n">
        <v>2</v>
      </c>
      <c r="G654" t="n">
        <v>2</v>
      </c>
      <c r="H654" t="inlineStr">
        <is>
          <t>MEDIUM</t>
        </is>
      </c>
      <c r="I654" t="n">
        <v>8.300000000000001</v>
      </c>
      <c r="J654" t="inlineStr">
        <is>
          <t>NO</t>
        </is>
      </c>
      <c r="K654" t="inlineStr">
        <is>
          <t>2026-02-27 20:47</t>
        </is>
      </c>
      <c r="L654" t="inlineStr">
        <is>
          <t>CHECK_VENDOR</t>
        </is>
      </c>
      <c r="M654" t="inlineStr">
        <is>
          <t>See CVE details</t>
        </is>
      </c>
      <c r="N654" t="inlineStr">
        <is>
          <t>P4</t>
        </is>
      </c>
      <c r="O654" t="inlineStr">
        <is>
          <t>CVE - IP enrichment n/a</t>
        </is>
      </c>
      <c r="P654" t="n">
        <v>0.0004</v>
      </c>
      <c r="Q654" t="n">
        <v>0.1381</v>
      </c>
      <c r="R654" t="inlineStr">
        <is>
          <t>T1083:File and Directory Discovery</t>
        </is>
      </c>
      <c r="S654" t="n">
        <v>1</v>
      </c>
      <c r="T654" t="inlineStr">
        <is>
          <t>LOW (40%)</t>
        </is>
      </c>
      <c r="U654" t="inlineStr">
        <is>
          <t>UNLIKELY</t>
        </is>
      </c>
      <c r="V654" t="inlineStr">
        <is>
          <t>CHECK_VENDOR</t>
        </is>
      </c>
      <c r="W654" t="inlineStr">
        <is>
          <t>https://nvd.nist.gov/vuln/detail/CVE-2026-3188</t>
        </is>
      </c>
      <c r="X654" t="inlineStr">
        <is>
          <t>NONE</t>
        </is>
      </c>
      <c r="Y654" t="n">
        <v>0</v>
      </c>
      <c r="Z654" t="inlineStr"/>
      <c r="AA654" t="inlineStr">
        <is>
          <t>https://nvd.nist.gov/vuln/detail/CVE-2026-3188</t>
        </is>
      </c>
    </row>
    <row r="655">
      <c r="A655" t="inlineStr">
        <is>
          <t>CVE</t>
        </is>
      </c>
      <c r="B655" t="inlineStr">
        <is>
          <t>CVE-2026-3206</t>
        </is>
      </c>
      <c r="C655" t="inlineStr">
        <is>
          <t>Improper Resource Shutdown or Release vulnerability in KrakenD, SLU KrakenD-CE (CircuitBreaker modules), KrakenD, SLU KrakenD-EE (CircuitBreaker modules). This issue affects KrakenD-CE: before 2.13.1; KrakenD-EE: before 2.12.5.</t>
        </is>
      </c>
      <c r="D655" t="n">
        <v>8.5</v>
      </c>
      <c r="E655" t="inlineStr">
        <is>
          <t>HIGH</t>
        </is>
      </c>
      <c r="F655" t="n">
        <v>2</v>
      </c>
      <c r="G655" t="n">
        <v>3</v>
      </c>
      <c r="H655" t="inlineStr">
        <is>
          <t>HIGH</t>
        </is>
      </c>
      <c r="I655" t="n">
        <v>14.5</v>
      </c>
      <c r="J655" t="inlineStr">
        <is>
          <t>NO</t>
        </is>
      </c>
      <c r="K655" t="inlineStr">
        <is>
          <t>2026-02-27 20:47</t>
        </is>
      </c>
      <c r="L655" t="inlineStr">
        <is>
          <t>CHECK_VENDOR</t>
        </is>
      </c>
      <c r="M655" t="inlineStr">
        <is>
          <t>See CVE details</t>
        </is>
      </c>
      <c r="N655" t="inlineStr">
        <is>
          <t>P3</t>
        </is>
      </c>
      <c r="O655" t="inlineStr">
        <is>
          <t>CVE - IP enrichment n/a</t>
        </is>
      </c>
      <c r="P655" t="n">
        <v>0.0004</v>
      </c>
      <c r="Q655" t="n">
        <v>0.1257</v>
      </c>
      <c r="R655" t="inlineStr">
        <is>
          <t>T1190:Exploit Public-Facing Application</t>
        </is>
      </c>
      <c r="S655" t="n">
        <v>1</v>
      </c>
      <c r="T655" t="inlineStr">
        <is>
          <t>LOW (40%)</t>
        </is>
      </c>
      <c r="U655" t="inlineStr">
        <is>
          <t>UNLIKELY</t>
        </is>
      </c>
      <c r="V655" t="inlineStr">
        <is>
          <t>CHECK_VENDOR</t>
        </is>
      </c>
      <c r="W655" t="inlineStr">
        <is>
          <t>https://nvd.nist.gov/vuln/detail/CVE-2026-3206</t>
        </is>
      </c>
      <c r="X655" t="inlineStr">
        <is>
          <t>NONE</t>
        </is>
      </c>
      <c r="Y655" t="n">
        <v>0</v>
      </c>
      <c r="Z655" t="inlineStr"/>
      <c r="AA655" t="inlineStr">
        <is>
          <t>https://nvd.nist.gov/vuln/detail/CVE-2026-3206</t>
        </is>
      </c>
    </row>
    <row r="656">
      <c r="A656" t="inlineStr">
        <is>
          <t>CVE</t>
        </is>
      </c>
      <c r="B656" t="inlineStr">
        <is>
          <t>CVE-2026-20010</t>
        </is>
      </c>
      <c r="C656"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656" t="n">
        <v>7.4</v>
      </c>
      <c r="E656" t="inlineStr">
        <is>
          <t>HIGH</t>
        </is>
      </c>
      <c r="F656" t="n">
        <v>2</v>
      </c>
      <c r="G656" t="n">
        <v>3</v>
      </c>
      <c r="H656" t="inlineStr">
        <is>
          <t>HIGH</t>
        </is>
      </c>
      <c r="I656" t="n">
        <v>13.4</v>
      </c>
      <c r="J656" t="inlineStr">
        <is>
          <t>NO</t>
        </is>
      </c>
      <c r="K656" t="inlineStr">
        <is>
          <t>2026-02-27 20:47</t>
        </is>
      </c>
      <c r="L656" t="inlineStr">
        <is>
          <t>CHECK_VENDOR</t>
        </is>
      </c>
      <c r="M656" t="inlineStr">
        <is>
          <t>See CVE details</t>
        </is>
      </c>
      <c r="N656" t="inlineStr">
        <is>
          <t>P3</t>
        </is>
      </c>
      <c r="O656" t="inlineStr">
        <is>
          <t>CVE - IP enrichment n/a</t>
        </is>
      </c>
      <c r="P656" t="n">
        <v>0.0001</v>
      </c>
      <c r="Q656" t="n">
        <v>0.0264</v>
      </c>
      <c r="R656" t="inlineStr">
        <is>
          <t>T1499:Endpoint Denial of Service</t>
        </is>
      </c>
      <c r="S656" t="n">
        <v>1</v>
      </c>
      <c r="T656" t="inlineStr">
        <is>
          <t>LOW (40%)</t>
        </is>
      </c>
      <c r="U656" t="inlineStr">
        <is>
          <t>UNLIKELY</t>
        </is>
      </c>
      <c r="V656" t="inlineStr">
        <is>
          <t>CHECK_VENDOR</t>
        </is>
      </c>
      <c r="W656" t="inlineStr">
        <is>
          <t>https://nvd.nist.gov/vuln/detail/CVE-2026-20010</t>
        </is>
      </c>
      <c r="X656" t="inlineStr">
        <is>
          <t>NONE</t>
        </is>
      </c>
      <c r="Y656" t="n">
        <v>0</v>
      </c>
      <c r="Z656" t="inlineStr"/>
      <c r="AA656" t="inlineStr">
        <is>
          <t>https://nvd.nist.gov/vuln/detail/CVE-2026-20010</t>
        </is>
      </c>
    </row>
    <row r="657">
      <c r="A657" t="inlineStr">
        <is>
          <t>CVE</t>
        </is>
      </c>
      <c r="B657" t="inlineStr">
        <is>
          <t>CVE-2026-20033</t>
        </is>
      </c>
      <c r="C657"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657" t="n">
        <v>7.4</v>
      </c>
      <c r="E657" t="inlineStr">
        <is>
          <t>HIGH</t>
        </is>
      </c>
      <c r="F657" t="n">
        <v>2</v>
      </c>
      <c r="G657" t="n">
        <v>3</v>
      </c>
      <c r="H657" t="inlineStr">
        <is>
          <t>HIGH</t>
        </is>
      </c>
      <c r="I657" t="n">
        <v>13.4</v>
      </c>
      <c r="J657" t="inlineStr">
        <is>
          <t>NO</t>
        </is>
      </c>
      <c r="K657" t="inlineStr">
        <is>
          <t>2026-02-27 20:47</t>
        </is>
      </c>
      <c r="L657" t="inlineStr">
        <is>
          <t>CHECK_VENDOR</t>
        </is>
      </c>
      <c r="M657" t="inlineStr">
        <is>
          <t>See CVE details</t>
        </is>
      </c>
      <c r="N657" t="inlineStr">
        <is>
          <t>P3</t>
        </is>
      </c>
      <c r="O657" t="inlineStr">
        <is>
          <t>CVE - IP enrichment n/a</t>
        </is>
      </c>
      <c r="P657" t="n">
        <v>0.0001</v>
      </c>
      <c r="Q657" t="n">
        <v>0.0264</v>
      </c>
      <c r="R657" t="inlineStr">
        <is>
          <t>T1499:Endpoint Denial of Service</t>
        </is>
      </c>
      <c r="S657" t="n">
        <v>1</v>
      </c>
      <c r="T657" t="inlineStr">
        <is>
          <t>LOW (40%)</t>
        </is>
      </c>
      <c r="U657" t="inlineStr">
        <is>
          <t>UNLIKELY</t>
        </is>
      </c>
      <c r="V657" t="inlineStr">
        <is>
          <t>CHECK_VENDOR</t>
        </is>
      </c>
      <c r="W657" t="inlineStr">
        <is>
          <t>https://nvd.nist.gov/vuln/detail/CVE-2026-20033</t>
        </is>
      </c>
      <c r="X657" t="inlineStr">
        <is>
          <t>NONE</t>
        </is>
      </c>
      <c r="Y657" t="n">
        <v>0</v>
      </c>
      <c r="Z657" t="inlineStr"/>
      <c r="AA657" t="inlineStr">
        <is>
          <t>https://nvd.nist.gov/vuln/detail/CVE-2026-20033</t>
        </is>
      </c>
    </row>
    <row r="658">
      <c r="A658" t="inlineStr">
        <is>
          <t>CVE</t>
        </is>
      </c>
      <c r="B658" t="inlineStr">
        <is>
          <t>CVE-2026-20036</t>
        </is>
      </c>
      <c r="C658"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658" t="n">
        <v>6.5</v>
      </c>
      <c r="E658" t="inlineStr">
        <is>
          <t>MEDIUM</t>
        </is>
      </c>
      <c r="F658" t="n">
        <v>2</v>
      </c>
      <c r="G658" t="n">
        <v>2</v>
      </c>
      <c r="H658" t="inlineStr">
        <is>
          <t>MEDIUM</t>
        </is>
      </c>
      <c r="I658" t="n">
        <v>10.5</v>
      </c>
      <c r="J658" t="inlineStr">
        <is>
          <t>NO</t>
        </is>
      </c>
      <c r="K658" t="inlineStr">
        <is>
          <t>2026-02-27 20:47</t>
        </is>
      </c>
      <c r="L658" t="inlineStr">
        <is>
          <t>CHECK_VENDOR</t>
        </is>
      </c>
      <c r="M658" t="inlineStr">
        <is>
          <t>See CVE details</t>
        </is>
      </c>
      <c r="N658" t="inlineStr">
        <is>
          <t>P4</t>
        </is>
      </c>
      <c r="O658" t="inlineStr">
        <is>
          <t>CVE - IP enrichment n/a</t>
        </is>
      </c>
      <c r="P658" t="n">
        <v>0.0005</v>
      </c>
      <c r="Q658" t="n">
        <v>0.1389</v>
      </c>
      <c r="R658" t="inlineStr">
        <is>
          <t>T1059:Command and Scripting Interpreter</t>
        </is>
      </c>
      <c r="S658" t="n">
        <v>1</v>
      </c>
      <c r="T658" t="inlineStr">
        <is>
          <t>LOW (40%)</t>
        </is>
      </c>
      <c r="U658" t="inlineStr">
        <is>
          <t>UNLIKELY</t>
        </is>
      </c>
      <c r="V658" t="inlineStr">
        <is>
          <t>CHECK_VENDOR</t>
        </is>
      </c>
      <c r="W658" t="inlineStr">
        <is>
          <t>https://nvd.nist.gov/vuln/detail/CVE-2026-20036</t>
        </is>
      </c>
      <c r="X658" t="inlineStr">
        <is>
          <t>NONE</t>
        </is>
      </c>
      <c r="Y658" t="n">
        <v>0</v>
      </c>
      <c r="Z658" t="inlineStr"/>
      <c r="AA658" t="inlineStr">
        <is>
          <t>https://nvd.nist.gov/vuln/detail/CVE-2026-20036</t>
        </is>
      </c>
    </row>
    <row r="659">
      <c r="A659" t="inlineStr">
        <is>
          <t>CVE</t>
        </is>
      </c>
      <c r="B659" t="inlineStr">
        <is>
          <t>CVE-2026-20037</t>
        </is>
      </c>
      <c r="C659"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659" t="n">
        <v>4.4</v>
      </c>
      <c r="E659" t="inlineStr">
        <is>
          <t>MEDIUM</t>
        </is>
      </c>
      <c r="F659" t="n">
        <v>2</v>
      </c>
      <c r="G659" t="n">
        <v>2</v>
      </c>
      <c r="H659" t="inlineStr">
        <is>
          <t>MEDIUM</t>
        </is>
      </c>
      <c r="I659" t="n">
        <v>8.4</v>
      </c>
      <c r="J659" t="inlineStr">
        <is>
          <t>NO</t>
        </is>
      </c>
      <c r="K659" t="inlineStr">
        <is>
          <t>2026-02-27 20:47</t>
        </is>
      </c>
      <c r="L659" t="inlineStr">
        <is>
          <t>CHECK_VENDOR</t>
        </is>
      </c>
      <c r="M659" t="inlineStr">
        <is>
          <t>See CVE details</t>
        </is>
      </c>
      <c r="N659" t="inlineStr">
        <is>
          <t>P4</t>
        </is>
      </c>
      <c r="O659" t="inlineStr">
        <is>
          <t>CVE - IP enrichment n/a</t>
        </is>
      </c>
      <c r="P659" t="n">
        <v>0.0001</v>
      </c>
      <c r="Q659" t="n">
        <v>0.0184</v>
      </c>
      <c r="R659" t="inlineStr">
        <is>
          <t>T1190:Exploit Public-Facing Application</t>
        </is>
      </c>
      <c r="S659" t="n">
        <v>1</v>
      </c>
      <c r="T659" t="inlineStr">
        <is>
          <t>LOW (40%)</t>
        </is>
      </c>
      <c r="U659" t="inlineStr">
        <is>
          <t>UNLIKELY</t>
        </is>
      </c>
      <c r="V659" t="inlineStr">
        <is>
          <t>CHECK_VENDOR</t>
        </is>
      </c>
      <c r="W659" t="inlineStr">
        <is>
          <t>https://nvd.nist.gov/vuln/detail/CVE-2026-20037</t>
        </is>
      </c>
      <c r="X659" t="inlineStr">
        <is>
          <t>NONE</t>
        </is>
      </c>
      <c r="Y659" t="n">
        <v>0</v>
      </c>
      <c r="Z659" t="inlineStr"/>
      <c r="AA659" t="inlineStr">
        <is>
          <t>https://nvd.nist.gov/vuln/detail/CVE-2026-20037</t>
        </is>
      </c>
    </row>
    <row r="660">
      <c r="A660" t="inlineStr">
        <is>
          <t>CVE</t>
        </is>
      </c>
      <c r="B660" t="inlineStr">
        <is>
          <t>CVE-2026-20048</t>
        </is>
      </c>
      <c r="C660"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660" t="n">
        <v>7.7</v>
      </c>
      <c r="E660" t="inlineStr">
        <is>
          <t>HIGH</t>
        </is>
      </c>
      <c r="F660" t="n">
        <v>2</v>
      </c>
      <c r="G660" t="n">
        <v>3</v>
      </c>
      <c r="H660" t="inlineStr">
        <is>
          <t>HIGH</t>
        </is>
      </c>
      <c r="I660" t="n">
        <v>13.7</v>
      </c>
      <c r="J660" t="inlineStr">
        <is>
          <t>NO</t>
        </is>
      </c>
      <c r="K660" t="inlineStr">
        <is>
          <t>2026-02-27 20:47</t>
        </is>
      </c>
      <c r="L660" t="inlineStr">
        <is>
          <t>CHECK_VENDOR</t>
        </is>
      </c>
      <c r="M660" t="inlineStr">
        <is>
          <t>See CVE details</t>
        </is>
      </c>
      <c r="N660" t="inlineStr">
        <is>
          <t>P3</t>
        </is>
      </c>
      <c r="O660" t="inlineStr">
        <is>
          <t>CVE - IP enrichment n/a</t>
        </is>
      </c>
      <c r="P660" t="n">
        <v>0.0017</v>
      </c>
      <c r="Q660" t="n">
        <v>0.3877</v>
      </c>
      <c r="R660" t="inlineStr">
        <is>
          <t>T1552:Unsecured Credentials | T1499:Endpoint Denial of Service</t>
        </is>
      </c>
      <c r="S660" t="n">
        <v>1</v>
      </c>
      <c r="T660" t="inlineStr">
        <is>
          <t>LOW (40%)</t>
        </is>
      </c>
      <c r="U660" t="inlineStr">
        <is>
          <t>UNLIKELY</t>
        </is>
      </c>
      <c r="V660" t="inlineStr">
        <is>
          <t>CHECK_VENDOR</t>
        </is>
      </c>
      <c r="W660" t="inlineStr">
        <is>
          <t>https://nvd.nist.gov/vuln/detail/CVE-2026-20048</t>
        </is>
      </c>
      <c r="X660" t="inlineStr">
        <is>
          <t>NONE</t>
        </is>
      </c>
      <c r="Y660" t="n">
        <v>0</v>
      </c>
      <c r="Z660" t="inlineStr"/>
      <c r="AA660" t="inlineStr">
        <is>
          <t>https://nvd.nist.gov/vuln/detail/CVE-2026-20048</t>
        </is>
      </c>
    </row>
    <row r="661">
      <c r="A661" t="inlineStr">
        <is>
          <t>CVE</t>
        </is>
      </c>
      <c r="B661" t="inlineStr">
        <is>
          <t>CVE-2026-20051</t>
        </is>
      </c>
      <c r="C661"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661" t="n">
        <v>7.4</v>
      </c>
      <c r="E661" t="inlineStr">
        <is>
          <t>HIGH</t>
        </is>
      </c>
      <c r="F661" t="n">
        <v>2</v>
      </c>
      <c r="G661" t="n">
        <v>3</v>
      </c>
      <c r="H661" t="inlineStr">
        <is>
          <t>HIGH</t>
        </is>
      </c>
      <c r="I661" t="n">
        <v>13.4</v>
      </c>
      <c r="J661" t="inlineStr">
        <is>
          <t>NO</t>
        </is>
      </c>
      <c r="K661" t="inlineStr">
        <is>
          <t>2026-02-27 20:47</t>
        </is>
      </c>
      <c r="L661" t="inlineStr">
        <is>
          <t>CHECK_VENDOR</t>
        </is>
      </c>
      <c r="M661" t="inlineStr">
        <is>
          <t>See CVE details</t>
        </is>
      </c>
      <c r="N661" t="inlineStr">
        <is>
          <t>P3</t>
        </is>
      </c>
      <c r="O661" t="inlineStr">
        <is>
          <t>CVE - IP enrichment n/a</t>
        </is>
      </c>
      <c r="P661" t="n">
        <v>0.0002</v>
      </c>
      <c r="Q661" t="n">
        <v>0.0487</v>
      </c>
      <c r="R661" t="inlineStr">
        <is>
          <t>T1499:Endpoint Denial of Service | T1133:External Remote Services</t>
        </is>
      </c>
      <c r="S661" t="n">
        <v>1</v>
      </c>
      <c r="T661" t="inlineStr">
        <is>
          <t>LOW (40%)</t>
        </is>
      </c>
      <c r="U661" t="inlineStr">
        <is>
          <t>UNLIKELY</t>
        </is>
      </c>
      <c r="V661" t="inlineStr">
        <is>
          <t>CHECK_VENDOR</t>
        </is>
      </c>
      <c r="W661" t="inlineStr">
        <is>
          <t>https://nvd.nist.gov/vuln/detail/CVE-2026-20051</t>
        </is>
      </c>
      <c r="X661" t="inlineStr">
        <is>
          <t>NONE</t>
        </is>
      </c>
      <c r="Y661" t="n">
        <v>0</v>
      </c>
      <c r="Z661" t="inlineStr"/>
      <c r="AA661" t="inlineStr">
        <is>
          <t>https://nvd.nist.gov/vuln/detail/CVE-2026-20051</t>
        </is>
      </c>
    </row>
    <row r="662">
      <c r="A662" t="inlineStr">
        <is>
          <t>CVE</t>
        </is>
      </c>
      <c r="B662" t="inlineStr">
        <is>
          <t>CVE-2026-20091</t>
        </is>
      </c>
      <c r="C662"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662" t="n">
        <v>4.8</v>
      </c>
      <c r="E662" t="inlineStr">
        <is>
          <t>MEDIUM</t>
        </is>
      </c>
      <c r="F662" t="n">
        <v>2</v>
      </c>
      <c r="G662" t="n">
        <v>2</v>
      </c>
      <c r="H662" t="inlineStr">
        <is>
          <t>MEDIUM</t>
        </is>
      </c>
      <c r="I662" t="n">
        <v>8.800000000000001</v>
      </c>
      <c r="J662" t="inlineStr">
        <is>
          <t>NO</t>
        </is>
      </c>
      <c r="K662" t="inlineStr">
        <is>
          <t>2026-02-27 20:47</t>
        </is>
      </c>
      <c r="L662" t="inlineStr">
        <is>
          <t>CHECK_VENDOR</t>
        </is>
      </c>
      <c r="M662" t="inlineStr">
        <is>
          <t>See CVE details</t>
        </is>
      </c>
      <c r="N662" t="inlineStr">
        <is>
          <t>P4</t>
        </is>
      </c>
      <c r="O662" t="inlineStr">
        <is>
          <t>CVE - IP enrichment n/a</t>
        </is>
      </c>
      <c r="P662" t="n">
        <v>0.0003</v>
      </c>
      <c r="Q662" t="n">
        <v>0.0949</v>
      </c>
      <c r="R662" t="inlineStr">
        <is>
          <t>T1189:Drive-by Compromise | T1552:Unsecured Credentials</t>
        </is>
      </c>
      <c r="S662" t="n">
        <v>1</v>
      </c>
      <c r="T662" t="inlineStr">
        <is>
          <t>LOW (40%)</t>
        </is>
      </c>
      <c r="U662" t="inlineStr">
        <is>
          <t>UNLIKELY</t>
        </is>
      </c>
      <c r="V662" t="inlineStr">
        <is>
          <t>CHECK_VENDOR</t>
        </is>
      </c>
      <c r="W662" t="inlineStr">
        <is>
          <t>https://nvd.nist.gov/vuln/detail/CVE-2026-20091</t>
        </is>
      </c>
      <c r="X662" t="inlineStr">
        <is>
          <t>NONE</t>
        </is>
      </c>
      <c r="Y662" t="n">
        <v>0</v>
      </c>
      <c r="Z662" t="inlineStr"/>
      <c r="AA662" t="inlineStr">
        <is>
          <t>https://nvd.nist.gov/vuln/detail/CVE-2026-20091</t>
        </is>
      </c>
    </row>
    <row r="663">
      <c r="A663" t="inlineStr">
        <is>
          <t>CVE</t>
        </is>
      </c>
      <c r="B663" t="inlineStr">
        <is>
          <t>CVE-2026-20099</t>
        </is>
      </c>
      <c r="C663"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663" t="n">
        <v>6.7</v>
      </c>
      <c r="E663" t="inlineStr">
        <is>
          <t>MEDIUM</t>
        </is>
      </c>
      <c r="F663" t="n">
        <v>2</v>
      </c>
      <c r="G663" t="n">
        <v>2</v>
      </c>
      <c r="H663" t="inlineStr">
        <is>
          <t>MEDIUM</t>
        </is>
      </c>
      <c r="I663" t="n">
        <v>10.7</v>
      </c>
      <c r="J663" t="inlineStr">
        <is>
          <t>NO</t>
        </is>
      </c>
      <c r="K663" t="inlineStr">
        <is>
          <t>2026-02-27 20:47</t>
        </is>
      </c>
      <c r="L663" t="inlineStr">
        <is>
          <t>CHECK_VENDOR</t>
        </is>
      </c>
      <c r="M663" t="inlineStr">
        <is>
          <t>See CVE details</t>
        </is>
      </c>
      <c r="N663" t="inlineStr">
        <is>
          <t>P4</t>
        </is>
      </c>
      <c r="O663" t="inlineStr">
        <is>
          <t>CVE - IP enrichment n/a</t>
        </is>
      </c>
      <c r="P663" t="n">
        <v>0.0004</v>
      </c>
      <c r="Q663" t="n">
        <v>0.1387</v>
      </c>
      <c r="R663" t="inlineStr">
        <is>
          <t>T1059:Command and Scripting Interpreter</t>
        </is>
      </c>
      <c r="S663" t="n">
        <v>1</v>
      </c>
      <c r="T663" t="inlineStr">
        <is>
          <t>LOW (40%)</t>
        </is>
      </c>
      <c r="U663" t="inlineStr">
        <is>
          <t>UNLIKELY</t>
        </is>
      </c>
      <c r="V663" t="inlineStr">
        <is>
          <t>CHECK_VENDOR</t>
        </is>
      </c>
      <c r="W663" t="inlineStr">
        <is>
          <t>https://nvd.nist.gov/vuln/detail/CVE-2026-20099</t>
        </is>
      </c>
      <c r="X663" t="inlineStr">
        <is>
          <t>NONE</t>
        </is>
      </c>
      <c r="Y663" t="n">
        <v>0</v>
      </c>
      <c r="Z663" t="inlineStr"/>
      <c r="AA663" t="inlineStr">
        <is>
          <t>https://nvd.nist.gov/vuln/detail/CVE-2026-20099</t>
        </is>
      </c>
    </row>
    <row r="664">
      <c r="A664" t="inlineStr">
        <is>
          <t>CVE</t>
        </is>
      </c>
      <c r="B664" t="inlineStr">
        <is>
          <t>CVE-2026-20107</t>
        </is>
      </c>
      <c r="C664"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664" t="n">
        <v>5.5</v>
      </c>
      <c r="E664" t="inlineStr">
        <is>
          <t>MEDIUM</t>
        </is>
      </c>
      <c r="F664" t="n">
        <v>2</v>
      </c>
      <c r="G664" t="n">
        <v>2</v>
      </c>
      <c r="H664" t="inlineStr">
        <is>
          <t>MEDIUM</t>
        </is>
      </c>
      <c r="I664" t="n">
        <v>9.5</v>
      </c>
      <c r="J664" t="inlineStr">
        <is>
          <t>NO</t>
        </is>
      </c>
      <c r="K664" t="inlineStr">
        <is>
          <t>2026-02-27 20:47</t>
        </is>
      </c>
      <c r="L664" t="inlineStr">
        <is>
          <t>CHECK_VENDOR</t>
        </is>
      </c>
      <c r="M664" t="inlineStr">
        <is>
          <t>See CVE details</t>
        </is>
      </c>
      <c r="N664" t="inlineStr">
        <is>
          <t>P4</t>
        </is>
      </c>
      <c r="O664" t="inlineStr">
        <is>
          <t>CVE - IP enrichment n/a</t>
        </is>
      </c>
      <c r="P664" t="n">
        <v>0.0002</v>
      </c>
      <c r="Q664" t="n">
        <v>0.0335</v>
      </c>
      <c r="R664" t="inlineStr">
        <is>
          <t>T1552:Unsecured Credentials | T1499:Endpoint Denial of Service</t>
        </is>
      </c>
      <c r="S664" t="n">
        <v>1</v>
      </c>
      <c r="T664" t="inlineStr">
        <is>
          <t>LOW (40%)</t>
        </is>
      </c>
      <c r="U664" t="inlineStr">
        <is>
          <t>UNLIKELY</t>
        </is>
      </c>
      <c r="V664" t="inlineStr">
        <is>
          <t>CHECK_VENDOR</t>
        </is>
      </c>
      <c r="W664" t="inlineStr">
        <is>
          <t>https://nvd.nist.gov/vuln/detail/CVE-2026-20107</t>
        </is>
      </c>
      <c r="X664" t="inlineStr">
        <is>
          <t>NONE</t>
        </is>
      </c>
      <c r="Y664" t="n">
        <v>0</v>
      </c>
      <c r="Z664" t="inlineStr"/>
      <c r="AA664" t="inlineStr">
        <is>
          <t>https://nvd.nist.gov/vuln/detail/CVE-2026-20107</t>
        </is>
      </c>
    </row>
    <row r="665">
      <c r="A665" t="inlineStr">
        <is>
          <t>CVE</t>
        </is>
      </c>
      <c r="B665" t="inlineStr">
        <is>
          <t>CVE-2026-20122</t>
        </is>
      </c>
      <c r="C665"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665" t="n">
        <v>5.4</v>
      </c>
      <c r="E665" t="inlineStr">
        <is>
          <t>MEDIUM</t>
        </is>
      </c>
      <c r="F665" t="n">
        <v>2</v>
      </c>
      <c r="G665" t="n">
        <v>2</v>
      </c>
      <c r="H665" t="inlineStr">
        <is>
          <t>MEDIUM</t>
        </is>
      </c>
      <c r="I665" t="n">
        <v>9.4</v>
      </c>
      <c r="J665" t="inlineStr">
        <is>
          <t>NO</t>
        </is>
      </c>
      <c r="K665" t="inlineStr">
        <is>
          <t>2026-02-27 20:47</t>
        </is>
      </c>
      <c r="L665" t="inlineStr">
        <is>
          <t>CHECK_VENDOR</t>
        </is>
      </c>
      <c r="M665" t="inlineStr">
        <is>
          <t>See CVE details</t>
        </is>
      </c>
      <c r="N665" t="inlineStr">
        <is>
          <t>P4</t>
        </is>
      </c>
      <c r="O665" t="inlineStr">
        <is>
          <t>CVE - IP enrichment n/a</t>
        </is>
      </c>
      <c r="P665" t="n">
        <v>0.0003</v>
      </c>
      <c r="Q665" t="n">
        <v>0.0977</v>
      </c>
      <c r="R665" t="inlineStr">
        <is>
          <t>T1552:Unsecured Credentials</t>
        </is>
      </c>
      <c r="S665" t="n">
        <v>1</v>
      </c>
      <c r="T665" t="inlineStr">
        <is>
          <t>LOW (40%)</t>
        </is>
      </c>
      <c r="U665" t="inlineStr">
        <is>
          <t>UNLIKELY</t>
        </is>
      </c>
      <c r="V665" t="inlineStr">
        <is>
          <t>CHECK_VENDOR</t>
        </is>
      </c>
      <c r="W665" t="inlineStr">
        <is>
          <t>https://nvd.nist.gov/vuln/detail/CVE-2026-20122</t>
        </is>
      </c>
      <c r="X665" t="inlineStr">
        <is>
          <t>NONE</t>
        </is>
      </c>
      <c r="Y665" t="n">
        <v>0</v>
      </c>
      <c r="Z665" t="inlineStr"/>
      <c r="AA665" t="inlineStr">
        <is>
          <t>https://nvd.nist.gov/vuln/detail/CVE-2026-20122</t>
        </is>
      </c>
    </row>
    <row r="666">
      <c r="A666" t="inlineStr">
        <is>
          <t>CVE</t>
        </is>
      </c>
      <c r="B666" t="inlineStr">
        <is>
          <t>CVE-2026-20126</t>
        </is>
      </c>
      <c r="C666"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666" t="n">
        <v>8.800000000000001</v>
      </c>
      <c r="E666" t="inlineStr">
        <is>
          <t>HIGH</t>
        </is>
      </c>
      <c r="F666" t="n">
        <v>2</v>
      </c>
      <c r="G666" t="n">
        <v>3</v>
      </c>
      <c r="H666" t="inlineStr">
        <is>
          <t>HIGH</t>
        </is>
      </c>
      <c r="I666" t="n">
        <v>14.8</v>
      </c>
      <c r="J666" t="inlineStr">
        <is>
          <t>NO</t>
        </is>
      </c>
      <c r="K666" t="inlineStr">
        <is>
          <t>2026-02-27 20:47</t>
        </is>
      </c>
      <c r="L666" t="inlineStr">
        <is>
          <t>CHECK_VENDOR</t>
        </is>
      </c>
      <c r="M666" t="inlineStr">
        <is>
          <t>See CVE details</t>
        </is>
      </c>
      <c r="N666" t="inlineStr">
        <is>
          <t>P3</t>
        </is>
      </c>
      <c r="O666" t="inlineStr">
        <is>
          <t>CVE - IP enrichment n/a</t>
        </is>
      </c>
      <c r="P666" t="n">
        <v>0.0005999999999999999</v>
      </c>
      <c r="Q666" t="n">
        <v>0.1933</v>
      </c>
      <c r="R666" t="inlineStr">
        <is>
          <t>T1190:Exploit Public-Facing Application</t>
        </is>
      </c>
      <c r="S666" t="n">
        <v>1</v>
      </c>
      <c r="T666" t="inlineStr">
        <is>
          <t>LOW (40%)</t>
        </is>
      </c>
      <c r="U666" t="inlineStr">
        <is>
          <t>UNLIKELY</t>
        </is>
      </c>
      <c r="V666" t="inlineStr">
        <is>
          <t>CHECK_VENDOR</t>
        </is>
      </c>
      <c r="W666" t="inlineStr">
        <is>
          <t>https://nvd.nist.gov/vuln/detail/CVE-2026-20126</t>
        </is>
      </c>
      <c r="X666" t="inlineStr">
        <is>
          <t>NONE</t>
        </is>
      </c>
      <c r="Y666" t="n">
        <v>0</v>
      </c>
      <c r="Z666" t="inlineStr"/>
      <c r="AA666" t="inlineStr">
        <is>
          <t>https://nvd.nist.gov/vuln/detail/CVE-2026-20126</t>
        </is>
      </c>
    </row>
    <row r="667">
      <c r="A667" t="inlineStr">
        <is>
          <t>CVE</t>
        </is>
      </c>
      <c r="B667" t="inlineStr">
        <is>
          <t>CVE-2026-20127</t>
        </is>
      </c>
      <c r="C667"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667" t="n">
        <v>10</v>
      </c>
      <c r="E667" t="inlineStr">
        <is>
          <t>CRITICAL</t>
        </is>
      </c>
      <c r="F667" t="n">
        <v>3</v>
      </c>
      <c r="G667" t="n">
        <v>3</v>
      </c>
      <c r="H667" t="inlineStr">
        <is>
          <t>CRITICAL</t>
        </is>
      </c>
      <c r="I667" t="n">
        <v>19</v>
      </c>
      <c r="J667" t="inlineStr">
        <is>
          <t>YES</t>
        </is>
      </c>
      <c r="K667" t="inlineStr">
        <is>
          <t>2026-02-27 20:47</t>
        </is>
      </c>
      <c r="L667" t="inlineStr">
        <is>
          <t>YES</t>
        </is>
      </c>
      <c r="M667" t="inlineStr">
        <is>
          <t>cisco catalyst_sd-wan_manager *</t>
        </is>
      </c>
      <c r="N667" t="inlineStr">
        <is>
          <t>P1</t>
        </is>
      </c>
      <c r="O667" t="inlineStr">
        <is>
          <t>CVE - IP enrichment n/a</t>
        </is>
      </c>
      <c r="P667" t="n">
        <v>0.0219</v>
      </c>
      <c r="Q667" t="n">
        <v>0.8414</v>
      </c>
      <c r="R667" t="inlineStr">
        <is>
          <t>T1078:Valid Accounts | T1110:Brute Force</t>
        </is>
      </c>
      <c r="S667" t="n">
        <v>2</v>
      </c>
      <c r="T667" t="inlineStr">
        <is>
          <t>HIGH (72%)</t>
        </is>
      </c>
      <c r="U667" t="inlineStr">
        <is>
          <t>CONFIRMED</t>
        </is>
      </c>
      <c r="V667" t="inlineStr">
        <is>
          <t>PATCH_AVAILABLE</t>
        </is>
      </c>
      <c r="W667" t="inlineStr">
        <is>
          <t>https://nvd.nist.gov/vuln/detail/CVE-2026-20127</t>
        </is>
      </c>
      <c r="X667" t="inlineStr">
        <is>
          <t>NONE</t>
        </is>
      </c>
      <c r="Y667" t="n">
        <v>0</v>
      </c>
      <c r="Z667" t="inlineStr">
        <is>
          <t>[SecurityAffairs] Hackers abused Cisco SD-WAN zero-day since 2023 to gain full admin con | [TheHackerNews] Cisco SD-WAN Zero-Day CVE-2026-20127 Exploited Since 2023 for Admin Ac</t>
        </is>
      </c>
      <c r="AA667" t="inlineStr">
        <is>
          <t>https://nvd.nist.gov/vuln/detail/CVE-2026-20127</t>
        </is>
      </c>
    </row>
    <row r="668">
      <c r="A668" t="inlineStr">
        <is>
          <t>CVE</t>
        </is>
      </c>
      <c r="B668" t="inlineStr">
        <is>
          <t>CVE-2026-20128</t>
        </is>
      </c>
      <c r="C668"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668" t="n">
        <v>7.5</v>
      </c>
      <c r="E668" t="inlineStr">
        <is>
          <t>HIGH</t>
        </is>
      </c>
      <c r="F668" t="n">
        <v>2</v>
      </c>
      <c r="G668" t="n">
        <v>3</v>
      </c>
      <c r="H668" t="inlineStr">
        <is>
          <t>HIGH</t>
        </is>
      </c>
      <c r="I668" t="n">
        <v>13.5</v>
      </c>
      <c r="J668" t="inlineStr">
        <is>
          <t>NO</t>
        </is>
      </c>
      <c r="K668" t="inlineStr">
        <is>
          <t>2026-02-27 20:47</t>
        </is>
      </c>
      <c r="L668" t="inlineStr">
        <is>
          <t>CHECK_VENDOR</t>
        </is>
      </c>
      <c r="M668" t="inlineStr">
        <is>
          <t>See CVE details</t>
        </is>
      </c>
      <c r="N668" t="inlineStr">
        <is>
          <t>P3</t>
        </is>
      </c>
      <c r="O668" t="inlineStr">
        <is>
          <t>CVE - IP enrichment n/a</t>
        </is>
      </c>
      <c r="P668" t="n">
        <v>0.0001</v>
      </c>
      <c r="Q668" t="n">
        <v>0.0247</v>
      </c>
      <c r="R668" t="inlineStr">
        <is>
          <t>T1552:Unsecured Credentials</t>
        </is>
      </c>
      <c r="S668" t="n">
        <v>1</v>
      </c>
      <c r="T668" t="inlineStr">
        <is>
          <t>LOW (40%)</t>
        </is>
      </c>
      <c r="U668" t="inlineStr">
        <is>
          <t>UNLIKELY</t>
        </is>
      </c>
      <c r="V668" t="inlineStr">
        <is>
          <t>CHECK_VENDOR</t>
        </is>
      </c>
      <c r="W668" t="inlineStr">
        <is>
          <t>https://nvd.nist.gov/vuln/detail/CVE-2026-20128</t>
        </is>
      </c>
      <c r="X668" t="inlineStr">
        <is>
          <t>NONE</t>
        </is>
      </c>
      <c r="Y668" t="n">
        <v>0</v>
      </c>
      <c r="Z668" t="inlineStr"/>
      <c r="AA668" t="inlineStr">
        <is>
          <t>https://nvd.nist.gov/vuln/detail/CVE-2026-20128</t>
        </is>
      </c>
    </row>
    <row r="669">
      <c r="A669" t="inlineStr">
        <is>
          <t>CVE</t>
        </is>
      </c>
      <c r="B669" t="inlineStr">
        <is>
          <t>CVE-2026-20129</t>
        </is>
      </c>
      <c r="C669"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669" t="n">
        <v>9.800000000000001</v>
      </c>
      <c r="E669" t="inlineStr">
        <is>
          <t>CRITICAL</t>
        </is>
      </c>
      <c r="F669" t="n">
        <v>2</v>
      </c>
      <c r="G669" t="n">
        <v>3</v>
      </c>
      <c r="H669" t="inlineStr">
        <is>
          <t>HIGH</t>
        </is>
      </c>
      <c r="I669" t="n">
        <v>15.8</v>
      </c>
      <c r="J669" t="inlineStr">
        <is>
          <t>NO</t>
        </is>
      </c>
      <c r="K669" t="inlineStr">
        <is>
          <t>2026-02-27 20:47</t>
        </is>
      </c>
      <c r="L669" t="inlineStr">
        <is>
          <t>CHECK_VENDOR</t>
        </is>
      </c>
      <c r="M669" t="inlineStr">
        <is>
          <t>See CVE details</t>
        </is>
      </c>
      <c r="N669" t="inlineStr">
        <is>
          <t>P3</t>
        </is>
      </c>
      <c r="O669" t="inlineStr">
        <is>
          <t>CVE - IP enrichment n/a</t>
        </is>
      </c>
      <c r="P669" t="n">
        <v>0.0012</v>
      </c>
      <c r="Q669" t="n">
        <v>0.3164</v>
      </c>
      <c r="R669" t="inlineStr">
        <is>
          <t>T1078:Valid Accounts | T1110:Brute Force</t>
        </is>
      </c>
      <c r="S669" t="n">
        <v>1</v>
      </c>
      <c r="T669" t="inlineStr">
        <is>
          <t>LOW (40%)</t>
        </is>
      </c>
      <c r="U669" t="inlineStr">
        <is>
          <t>UNLIKELY</t>
        </is>
      </c>
      <c r="V669" t="inlineStr">
        <is>
          <t>CHECK_VENDOR</t>
        </is>
      </c>
      <c r="W669" t="inlineStr">
        <is>
          <t>https://nvd.nist.gov/vuln/detail/CVE-2026-20129</t>
        </is>
      </c>
      <c r="X669" t="inlineStr">
        <is>
          <t>NONE</t>
        </is>
      </c>
      <c r="Y669" t="n">
        <v>0</v>
      </c>
      <c r="Z669" t="inlineStr"/>
      <c r="AA669" t="inlineStr">
        <is>
          <t>https://nvd.nist.gov/vuln/detail/CVE-2026-20129</t>
        </is>
      </c>
    </row>
    <row r="670">
      <c r="A670" t="inlineStr">
        <is>
          <t>CVE</t>
        </is>
      </c>
      <c r="B670" t="inlineStr">
        <is>
          <t>CVE-2026-20133</t>
        </is>
      </c>
      <c r="C670"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670" t="n">
        <v>6.5</v>
      </c>
      <c r="E670" t="inlineStr">
        <is>
          <t>MEDIUM</t>
        </is>
      </c>
      <c r="F670" t="n">
        <v>2</v>
      </c>
      <c r="G670" t="n">
        <v>2</v>
      </c>
      <c r="H670" t="inlineStr">
        <is>
          <t>MEDIUM</t>
        </is>
      </c>
      <c r="I670" t="n">
        <v>10.5</v>
      </c>
      <c r="J670" t="inlineStr">
        <is>
          <t>NO</t>
        </is>
      </c>
      <c r="K670" t="inlineStr">
        <is>
          <t>2026-02-27 20:47</t>
        </is>
      </c>
      <c r="L670" t="inlineStr">
        <is>
          <t>CHECK_VENDOR</t>
        </is>
      </c>
      <c r="M670" t="inlineStr">
        <is>
          <t>See CVE details</t>
        </is>
      </c>
      <c r="N670" t="inlineStr">
        <is>
          <t>P4</t>
        </is>
      </c>
      <c r="O670" t="inlineStr">
        <is>
          <t>CVE - IP enrichment n/a</t>
        </is>
      </c>
      <c r="P670" t="n">
        <v>0.0003</v>
      </c>
      <c r="Q670" t="n">
        <v>0.0916</v>
      </c>
      <c r="R670" t="inlineStr">
        <is>
          <t>T1213:Data from Information Repositories</t>
        </is>
      </c>
      <c r="S670" t="n">
        <v>1</v>
      </c>
      <c r="T670" t="inlineStr">
        <is>
          <t>LOW (40%)</t>
        </is>
      </c>
      <c r="U670" t="inlineStr">
        <is>
          <t>UNLIKELY</t>
        </is>
      </c>
      <c r="V670" t="inlineStr">
        <is>
          <t>CHECK_VENDOR</t>
        </is>
      </c>
      <c r="W670" t="inlineStr">
        <is>
          <t>https://nvd.nist.gov/vuln/detail/CVE-2026-20133</t>
        </is>
      </c>
      <c r="X670" t="inlineStr">
        <is>
          <t>NONE</t>
        </is>
      </c>
      <c r="Y670" t="n">
        <v>0</v>
      </c>
      <c r="Z670" t="inlineStr"/>
      <c r="AA670" t="inlineStr">
        <is>
          <t>https://nvd.nist.gov/vuln/detail/CVE-2026-20133</t>
        </is>
      </c>
    </row>
    <row r="671">
      <c r="A671" t="inlineStr">
        <is>
          <t>CVE</t>
        </is>
      </c>
      <c r="B671" t="inlineStr">
        <is>
          <t>CVE-2026-26717</t>
        </is>
      </c>
      <c r="C671"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671" t="n">
        <v>4.8</v>
      </c>
      <c r="E671" t="inlineStr">
        <is>
          <t>MEDIUM</t>
        </is>
      </c>
      <c r="F671" t="n">
        <v>2</v>
      </c>
      <c r="G671" t="n">
        <v>2</v>
      </c>
      <c r="H671" t="inlineStr">
        <is>
          <t>MEDIUM</t>
        </is>
      </c>
      <c r="I671" t="n">
        <v>8.800000000000001</v>
      </c>
      <c r="J671" t="inlineStr">
        <is>
          <t>NO</t>
        </is>
      </c>
      <c r="K671" t="inlineStr">
        <is>
          <t>2026-02-27 20:47</t>
        </is>
      </c>
      <c r="L671" t="inlineStr">
        <is>
          <t>CHECK_VENDOR</t>
        </is>
      </c>
      <c r="M671" t="inlineStr">
        <is>
          <t>See CVE details</t>
        </is>
      </c>
      <c r="N671" t="inlineStr">
        <is>
          <t>P4</t>
        </is>
      </c>
      <c r="O671" t="inlineStr">
        <is>
          <t>CVE - IP enrichment n/a</t>
        </is>
      </c>
      <c r="P671" t="n">
        <v>0.0005999999999999999</v>
      </c>
      <c r="Q671" t="n">
        <v>0.1764</v>
      </c>
      <c r="R671" t="inlineStr">
        <is>
          <t>T1190:Exploit Public-Facing Application</t>
        </is>
      </c>
      <c r="S671" t="n">
        <v>1</v>
      </c>
      <c r="T671" t="inlineStr">
        <is>
          <t>LOW (40%)</t>
        </is>
      </c>
      <c r="U671" t="inlineStr">
        <is>
          <t>UNLIKELY</t>
        </is>
      </c>
      <c r="V671" t="inlineStr">
        <is>
          <t>CHECK_VENDOR</t>
        </is>
      </c>
      <c r="W671" t="inlineStr">
        <is>
          <t>https://nvd.nist.gov/vuln/detail/CVE-2026-26717</t>
        </is>
      </c>
      <c r="X671" t="inlineStr">
        <is>
          <t>NONE</t>
        </is>
      </c>
      <c r="Y671" t="n">
        <v>0</v>
      </c>
      <c r="Z671" t="inlineStr"/>
      <c r="AA671" t="inlineStr">
        <is>
          <t>https://nvd.nist.gov/vuln/detail/CVE-2026-26717</t>
        </is>
      </c>
    </row>
    <row r="672">
      <c r="A672" t="inlineStr">
        <is>
          <t>CVE</t>
        </is>
      </c>
      <c r="B672" t="inlineStr">
        <is>
          <t>CVE-2026-27705</t>
        </is>
      </c>
      <c r="C672"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672" t="n">
        <v>6.5</v>
      </c>
      <c r="E672" t="inlineStr">
        <is>
          <t>MEDIUM</t>
        </is>
      </c>
      <c r="F672" t="n">
        <v>2</v>
      </c>
      <c r="G672" t="n">
        <v>2</v>
      </c>
      <c r="H672" t="inlineStr">
        <is>
          <t>MEDIUM</t>
        </is>
      </c>
      <c r="I672" t="n">
        <v>10.5</v>
      </c>
      <c r="J672" t="inlineStr">
        <is>
          <t>NO</t>
        </is>
      </c>
      <c r="K672" t="inlineStr">
        <is>
          <t>2026-02-27 20:47</t>
        </is>
      </c>
      <c r="L672" t="inlineStr">
        <is>
          <t>YES</t>
        </is>
      </c>
      <c r="M672" t="inlineStr">
        <is>
          <t>plane plane *</t>
        </is>
      </c>
      <c r="N672" t="inlineStr">
        <is>
          <t>P4</t>
        </is>
      </c>
      <c r="O672" t="inlineStr">
        <is>
          <t>CVE - IP enrichment n/a</t>
        </is>
      </c>
      <c r="P672" t="n">
        <v>0.0004</v>
      </c>
      <c r="Q672" t="n">
        <v>0.1063</v>
      </c>
      <c r="R672" t="inlineStr">
        <is>
          <t>T1190:Exploit Public-Facing Application</t>
        </is>
      </c>
      <c r="S672" t="n">
        <v>1</v>
      </c>
      <c r="T672" t="inlineStr">
        <is>
          <t>LOW (40%)</t>
        </is>
      </c>
      <c r="U672" t="inlineStr">
        <is>
          <t>UNLIKELY</t>
        </is>
      </c>
      <c r="V672" t="inlineStr">
        <is>
          <t>PATCH_AVAILABLE</t>
        </is>
      </c>
      <c r="W672" t="inlineStr">
        <is>
          <t>https://nvd.nist.gov/vuln/detail/CVE-2026-27705</t>
        </is>
      </c>
      <c r="X672" t="inlineStr">
        <is>
          <t>NONE</t>
        </is>
      </c>
      <c r="Y672" t="n">
        <v>0</v>
      </c>
      <c r="Z672" t="inlineStr"/>
      <c r="AA672" t="inlineStr">
        <is>
          <t>https://nvd.nist.gov/vuln/detail/CVE-2026-27705</t>
        </is>
      </c>
    </row>
    <row r="673">
      <c r="A673" t="inlineStr">
        <is>
          <t>CVE</t>
        </is>
      </c>
      <c r="B673" t="inlineStr">
        <is>
          <t>CVE-2026-27706</t>
        </is>
      </c>
      <c r="C673"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673" t="n">
        <v>7.7</v>
      </c>
      <c r="E673" t="inlineStr">
        <is>
          <t>HIGH</t>
        </is>
      </c>
      <c r="F673" t="n">
        <v>2</v>
      </c>
      <c r="G673" t="n">
        <v>3</v>
      </c>
      <c r="H673" t="inlineStr">
        <is>
          <t>HIGH</t>
        </is>
      </c>
      <c r="I673" t="n">
        <v>13.7</v>
      </c>
      <c r="J673" t="inlineStr">
        <is>
          <t>NO</t>
        </is>
      </c>
      <c r="K673" t="inlineStr">
        <is>
          <t>2026-02-27 20:47</t>
        </is>
      </c>
      <c r="L673" t="inlineStr">
        <is>
          <t>YES</t>
        </is>
      </c>
      <c r="M673" t="inlineStr">
        <is>
          <t>plane plane *</t>
        </is>
      </c>
      <c r="N673" t="inlineStr">
        <is>
          <t>P3</t>
        </is>
      </c>
      <c r="O673" t="inlineStr">
        <is>
          <t>CVE - IP enrichment n/a</t>
        </is>
      </c>
      <c r="P673" t="n">
        <v>0.0003</v>
      </c>
      <c r="Q673" t="n">
        <v>0.0772</v>
      </c>
      <c r="R673" t="inlineStr">
        <is>
          <t>T1090:Proxy | T1190:Exploit Public-Facing Application</t>
        </is>
      </c>
      <c r="S673" t="n">
        <v>1</v>
      </c>
      <c r="T673" t="inlineStr">
        <is>
          <t>LOW (40%)</t>
        </is>
      </c>
      <c r="U673" t="inlineStr">
        <is>
          <t>UNLIKELY</t>
        </is>
      </c>
      <c r="V673" t="inlineStr">
        <is>
          <t>PATCH_AVAILABLE</t>
        </is>
      </c>
      <c r="W673" t="inlineStr">
        <is>
          <t>https://nvd.nist.gov/vuln/detail/CVE-2026-27706</t>
        </is>
      </c>
      <c r="X673" t="inlineStr">
        <is>
          <t>NONE</t>
        </is>
      </c>
      <c r="Y673" t="n">
        <v>0</v>
      </c>
      <c r="Z673" t="inlineStr"/>
      <c r="AA673" t="inlineStr">
        <is>
          <t>https://nvd.nist.gov/vuln/detail/CVE-2026-27706</t>
        </is>
      </c>
    </row>
    <row r="674">
      <c r="A674" t="inlineStr">
        <is>
          <t>CVE</t>
        </is>
      </c>
      <c r="B674" t="inlineStr">
        <is>
          <t>CVE-2026-27727</t>
        </is>
      </c>
      <c r="C674"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674" t="n">
        <v>5</v>
      </c>
      <c r="E674" t="inlineStr">
        <is>
          <t>MEDIUM</t>
        </is>
      </c>
      <c r="F674" t="n">
        <v>2</v>
      </c>
      <c r="G674" t="n">
        <v>2</v>
      </c>
      <c r="H674" t="inlineStr">
        <is>
          <t>MEDIUM</t>
        </is>
      </c>
      <c r="I674" t="n">
        <v>9</v>
      </c>
      <c r="J674" t="inlineStr">
        <is>
          <t>NO</t>
        </is>
      </c>
      <c r="K674" t="inlineStr">
        <is>
          <t>2026-02-27 20:47</t>
        </is>
      </c>
      <c r="L674" t="inlineStr">
        <is>
          <t>CHECK_VENDOR</t>
        </is>
      </c>
      <c r="M674" t="inlineStr">
        <is>
          <t>See CVE details</t>
        </is>
      </c>
      <c r="N674" t="inlineStr">
        <is>
          <t>P4</t>
        </is>
      </c>
      <c r="O674" t="inlineStr">
        <is>
          <t>CVE - IP enrichment n/a</t>
        </is>
      </c>
      <c r="P674" t="n">
        <v>0.0005999999999999999</v>
      </c>
      <c r="Q674" t="n">
        <v>0.2019</v>
      </c>
      <c r="R674" t="inlineStr">
        <is>
          <t>T1190:Exploit Public-Facing Application</t>
        </is>
      </c>
      <c r="S674" t="n">
        <v>1</v>
      </c>
      <c r="T674" t="inlineStr">
        <is>
          <t>LOW (40%)</t>
        </is>
      </c>
      <c r="U674" t="inlineStr">
        <is>
          <t>UNLIKELY</t>
        </is>
      </c>
      <c r="V674" t="inlineStr">
        <is>
          <t>CHECK_VENDOR</t>
        </is>
      </c>
      <c r="W674" t="inlineStr">
        <is>
          <t>https://nvd.nist.gov/vuln/detail/CVE-2026-27727</t>
        </is>
      </c>
      <c r="X674" t="inlineStr">
        <is>
          <t>NONE</t>
        </is>
      </c>
      <c r="Y674" t="n">
        <v>0</v>
      </c>
      <c r="Z674" t="inlineStr"/>
      <c r="AA674" t="inlineStr">
        <is>
          <t>https://nvd.nist.gov/vuln/detail/CVE-2026-27727</t>
        </is>
      </c>
    </row>
    <row r="675">
      <c r="A675" t="inlineStr">
        <is>
          <t>CVE</t>
        </is>
      </c>
      <c r="B675" t="inlineStr">
        <is>
          <t>CVE-2026-27728</t>
        </is>
      </c>
      <c r="C675"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675" t="n">
        <v>9.9</v>
      </c>
      <c r="E675" t="inlineStr">
        <is>
          <t>CRITICAL</t>
        </is>
      </c>
      <c r="F675" t="n">
        <v>2</v>
      </c>
      <c r="G675" t="n">
        <v>3</v>
      </c>
      <c r="H675" t="inlineStr">
        <is>
          <t>HIGH</t>
        </is>
      </c>
      <c r="I675" t="n">
        <v>15.9</v>
      </c>
      <c r="J675" t="inlineStr">
        <is>
          <t>NO</t>
        </is>
      </c>
      <c r="K675" t="inlineStr">
        <is>
          <t>2026-02-27 20:47</t>
        </is>
      </c>
      <c r="L675" t="inlineStr">
        <is>
          <t>CHECK_VENDOR</t>
        </is>
      </c>
      <c r="M675" t="inlineStr">
        <is>
          <t>See CVE details</t>
        </is>
      </c>
      <c r="N675" t="inlineStr">
        <is>
          <t>P3</t>
        </is>
      </c>
      <c r="O675" t="inlineStr">
        <is>
          <t>CVE - IP enrichment n/a</t>
        </is>
      </c>
      <c r="P675" t="n">
        <v>0.0024</v>
      </c>
      <c r="Q675" t="n">
        <v>0.4755</v>
      </c>
      <c r="R675" t="inlineStr">
        <is>
          <t>T1059:Command and Scripting Interpreter</t>
        </is>
      </c>
      <c r="S675" t="n">
        <v>1</v>
      </c>
      <c r="T675" t="inlineStr">
        <is>
          <t>LOW (40%)</t>
        </is>
      </c>
      <c r="U675" t="inlineStr">
        <is>
          <t>UNLIKELY</t>
        </is>
      </c>
      <c r="V675" t="inlineStr">
        <is>
          <t>CHECK_VENDOR</t>
        </is>
      </c>
      <c r="W675" t="inlineStr">
        <is>
          <t>https://nvd.nist.gov/vuln/detail/CVE-2026-27728</t>
        </is>
      </c>
      <c r="X675" t="inlineStr">
        <is>
          <t>NONE</t>
        </is>
      </c>
      <c r="Y675" t="n">
        <v>0</v>
      </c>
      <c r="Z675" t="inlineStr"/>
      <c r="AA675" t="inlineStr">
        <is>
          <t>https://nvd.nist.gov/vuln/detail/CVE-2026-27728</t>
        </is>
      </c>
    </row>
    <row r="676">
      <c r="A676" t="inlineStr">
        <is>
          <t>CVE</t>
        </is>
      </c>
      <c r="B676" t="inlineStr">
        <is>
          <t>CVE-2026-27736</t>
        </is>
      </c>
      <c r="C676"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676" t="n">
        <v>6.1</v>
      </c>
      <c r="E676" t="inlineStr">
        <is>
          <t>MEDIUM</t>
        </is>
      </c>
      <c r="F676" t="n">
        <v>2</v>
      </c>
      <c r="G676" t="n">
        <v>2</v>
      </c>
      <c r="H676" t="inlineStr">
        <is>
          <t>MEDIUM</t>
        </is>
      </c>
      <c r="I676" t="n">
        <v>10.1</v>
      </c>
      <c r="J676" t="inlineStr">
        <is>
          <t>NO</t>
        </is>
      </c>
      <c r="K676" t="inlineStr">
        <is>
          <t>2026-02-27 20:47</t>
        </is>
      </c>
      <c r="L676" t="inlineStr">
        <is>
          <t>CHECK_VENDOR</t>
        </is>
      </c>
      <c r="M676" t="inlineStr">
        <is>
          <t>See CVE details</t>
        </is>
      </c>
      <c r="N676" t="inlineStr">
        <is>
          <t>P4</t>
        </is>
      </c>
      <c r="O676" t="inlineStr">
        <is>
          <t>CVE - IP enrichment n/a</t>
        </is>
      </c>
      <c r="P676" t="n">
        <v>0.0003</v>
      </c>
      <c r="Q676" t="n">
        <v>0.07190000000000001</v>
      </c>
      <c r="R676" t="inlineStr">
        <is>
          <t>T1189:Drive-by Compromise | T1190:Exploit Public-Facing Application</t>
        </is>
      </c>
      <c r="S676" t="n">
        <v>1</v>
      </c>
      <c r="T676" t="inlineStr">
        <is>
          <t>LOW (40%)</t>
        </is>
      </c>
      <c r="U676" t="inlineStr">
        <is>
          <t>UNLIKELY</t>
        </is>
      </c>
      <c r="V676" t="inlineStr">
        <is>
          <t>CHECK_VENDOR</t>
        </is>
      </c>
      <c r="W676" t="inlineStr">
        <is>
          <t>https://nvd.nist.gov/vuln/detail/CVE-2026-27736</t>
        </is>
      </c>
      <c r="X676" t="inlineStr">
        <is>
          <t>NONE</t>
        </is>
      </c>
      <c r="Y676" t="n">
        <v>0</v>
      </c>
      <c r="Z676" t="inlineStr"/>
      <c r="AA676" t="inlineStr">
        <is>
          <t>https://nvd.nist.gov/vuln/detail/CVE-2026-27736</t>
        </is>
      </c>
    </row>
    <row r="677">
      <c r="A677" t="inlineStr">
        <is>
          <t>CVE</t>
        </is>
      </c>
      <c r="B677" t="inlineStr">
        <is>
          <t>CVE-2026-27738</t>
        </is>
      </c>
      <c r="C677"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677" t="n">
        <v>5</v>
      </c>
      <c r="E677" t="inlineStr">
        <is>
          <t>MEDIUM</t>
        </is>
      </c>
      <c r="F677" t="n">
        <v>2</v>
      </c>
      <c r="G677" t="n">
        <v>2</v>
      </c>
      <c r="H677" t="inlineStr">
        <is>
          <t>MEDIUM</t>
        </is>
      </c>
      <c r="I677" t="n">
        <v>9</v>
      </c>
      <c r="J677" t="inlineStr">
        <is>
          <t>NO</t>
        </is>
      </c>
      <c r="K677" t="inlineStr">
        <is>
          <t>2026-02-27 20:47</t>
        </is>
      </c>
      <c r="L677" t="inlineStr">
        <is>
          <t>CHECK_VENDOR</t>
        </is>
      </c>
      <c r="M677" t="inlineStr">
        <is>
          <t>See CVE details</t>
        </is>
      </c>
      <c r="N677" t="inlineStr">
        <is>
          <t>P4</t>
        </is>
      </c>
      <c r="O677" t="inlineStr">
        <is>
          <t>CVE - IP enrichment n/a</t>
        </is>
      </c>
      <c r="P677" t="n">
        <v>0.0004</v>
      </c>
      <c r="Q677" t="n">
        <v>0.1234</v>
      </c>
      <c r="R677" t="inlineStr">
        <is>
          <t>T1189:Drive-by Compromise | T1566:Phishing</t>
        </is>
      </c>
      <c r="S677" t="n">
        <v>1</v>
      </c>
      <c r="T677" t="inlineStr">
        <is>
          <t>LOW (40%)</t>
        </is>
      </c>
      <c r="U677" t="inlineStr">
        <is>
          <t>UNLIKELY</t>
        </is>
      </c>
      <c r="V677" t="inlineStr">
        <is>
          <t>CHECK_VENDOR</t>
        </is>
      </c>
      <c r="W677" t="inlineStr">
        <is>
          <t>https://nvd.nist.gov/vuln/detail/CVE-2026-27738</t>
        </is>
      </c>
      <c r="X677" t="inlineStr">
        <is>
          <t>NONE</t>
        </is>
      </c>
      <c r="Y677" t="n">
        <v>0</v>
      </c>
      <c r="Z677" t="inlineStr"/>
      <c r="AA677" t="inlineStr">
        <is>
          <t>https://nvd.nist.gov/vuln/detail/CVE-2026-27738</t>
        </is>
      </c>
    </row>
    <row r="678">
      <c r="A678" t="inlineStr">
        <is>
          <t>CVE</t>
        </is>
      </c>
      <c r="B678" t="inlineStr">
        <is>
          <t>CVE-2026-27849</t>
        </is>
      </c>
      <c r="C678"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678" t="n">
        <v>9.800000000000001</v>
      </c>
      <c r="E678" t="inlineStr">
        <is>
          <t>CRITICAL</t>
        </is>
      </c>
      <c r="F678" t="n">
        <v>2</v>
      </c>
      <c r="G678" t="n">
        <v>3</v>
      </c>
      <c r="H678" t="inlineStr">
        <is>
          <t>HIGH</t>
        </is>
      </c>
      <c r="I678" t="n">
        <v>15.8</v>
      </c>
      <c r="J678" t="inlineStr">
        <is>
          <t>NO</t>
        </is>
      </c>
      <c r="K678" t="inlineStr">
        <is>
          <t>2026-02-27 20:47</t>
        </is>
      </c>
      <c r="L678" t="inlineStr">
        <is>
          <t>CHECK_VENDOR</t>
        </is>
      </c>
      <c r="M678" t="inlineStr">
        <is>
          <t>See CVE details</t>
        </is>
      </c>
      <c r="N678" t="inlineStr">
        <is>
          <t>P3</t>
        </is>
      </c>
      <c r="O678" t="inlineStr">
        <is>
          <t>CVE - IP enrichment n/a</t>
        </is>
      </c>
      <c r="P678" t="n">
        <v>0.0005</v>
      </c>
      <c r="Q678" t="n">
        <v>0.1468</v>
      </c>
      <c r="R678" t="inlineStr">
        <is>
          <t>T1059:Command and Scripting Interpreter</t>
        </is>
      </c>
      <c r="S678" t="n">
        <v>1</v>
      </c>
      <c r="T678" t="inlineStr">
        <is>
          <t>LOW (40%)</t>
        </is>
      </c>
      <c r="U678" t="inlineStr">
        <is>
          <t>UNLIKELY</t>
        </is>
      </c>
      <c r="V678" t="inlineStr">
        <is>
          <t>CHECK_VENDOR</t>
        </is>
      </c>
      <c r="W678" t="inlineStr">
        <is>
          <t>https://nvd.nist.gov/vuln/detail/CVE-2026-27849</t>
        </is>
      </c>
      <c r="X678" t="inlineStr">
        <is>
          <t>NONE</t>
        </is>
      </c>
      <c r="Y678" t="n">
        <v>0</v>
      </c>
      <c r="Z678" t="inlineStr"/>
      <c r="AA678" t="inlineStr">
        <is>
          <t>https://nvd.nist.gov/vuln/detail/CVE-2026-27849</t>
        </is>
      </c>
    </row>
    <row r="679">
      <c r="A679" t="inlineStr">
        <is>
          <t>CVE</t>
        </is>
      </c>
      <c r="B679" t="inlineStr">
        <is>
          <t>CVE-2026-3189</t>
        </is>
      </c>
      <c r="C679"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679" t="n">
        <v>3.1</v>
      </c>
      <c r="E679" t="inlineStr">
        <is>
          <t>LOW</t>
        </is>
      </c>
      <c r="F679" t="n">
        <v>2</v>
      </c>
      <c r="G679" t="n">
        <v>1</v>
      </c>
      <c r="H679" t="inlineStr">
        <is>
          <t>LOW</t>
        </is>
      </c>
      <c r="I679" t="n">
        <v>5.1</v>
      </c>
      <c r="J679" t="inlineStr">
        <is>
          <t>NO</t>
        </is>
      </c>
      <c r="K679" t="inlineStr">
        <is>
          <t>2026-02-27 20:47</t>
        </is>
      </c>
      <c r="L679" t="inlineStr">
        <is>
          <t>CHECK_VENDOR</t>
        </is>
      </c>
      <c r="M679" t="inlineStr">
        <is>
          <t>See CVE details</t>
        </is>
      </c>
      <c r="N679" t="inlineStr">
        <is>
          <t>P4</t>
        </is>
      </c>
      <c r="O679" t="inlineStr">
        <is>
          <t>CVE - IP enrichment n/a</t>
        </is>
      </c>
      <c r="P679" t="n">
        <v>0.0003</v>
      </c>
      <c r="Q679" t="n">
        <v>0.0828</v>
      </c>
      <c r="R679" t="inlineStr">
        <is>
          <t>T1090:Proxy</t>
        </is>
      </c>
      <c r="S679" t="n">
        <v>1</v>
      </c>
      <c r="T679" t="inlineStr">
        <is>
          <t>LOW (40%)</t>
        </is>
      </c>
      <c r="U679" t="inlineStr">
        <is>
          <t>UNLIKELY</t>
        </is>
      </c>
      <c r="V679" t="inlineStr">
        <is>
          <t>CHECK_VENDOR</t>
        </is>
      </c>
      <c r="W679" t="inlineStr">
        <is>
          <t>https://nvd.nist.gov/vuln/detail/CVE-2026-3189</t>
        </is>
      </c>
      <c r="X679" t="inlineStr">
        <is>
          <t>NONE</t>
        </is>
      </c>
      <c r="Y679" t="n">
        <v>0</v>
      </c>
      <c r="Z679" t="inlineStr"/>
      <c r="AA679" t="inlineStr">
        <is>
          <t>https://nvd.nist.gov/vuln/detail/CVE-2026-3189</t>
        </is>
      </c>
    </row>
    <row r="680">
      <c r="A680" t="inlineStr">
        <is>
          <t>CVE</t>
        </is>
      </c>
      <c r="B680" t="inlineStr">
        <is>
          <t>CVE-2026-3192</t>
        </is>
      </c>
      <c r="C680"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680" t="n">
        <v>5.6</v>
      </c>
      <c r="E680" t="inlineStr">
        <is>
          <t>MEDIUM</t>
        </is>
      </c>
      <c r="F680" t="n">
        <v>2</v>
      </c>
      <c r="G680" t="n">
        <v>2</v>
      </c>
      <c r="H680" t="inlineStr">
        <is>
          <t>MEDIUM</t>
        </is>
      </c>
      <c r="I680" t="n">
        <v>9.6</v>
      </c>
      <c r="J680" t="inlineStr">
        <is>
          <t>NO</t>
        </is>
      </c>
      <c r="K680" t="inlineStr">
        <is>
          <t>2026-02-27 20:47</t>
        </is>
      </c>
      <c r="L680" t="inlineStr">
        <is>
          <t>CHECK_VENDOR</t>
        </is>
      </c>
      <c r="M680" t="inlineStr">
        <is>
          <t>See CVE details</t>
        </is>
      </c>
      <c r="N680" t="inlineStr">
        <is>
          <t>P4</t>
        </is>
      </c>
      <c r="O680" t="inlineStr">
        <is>
          <t>CVE - IP enrichment n/a</t>
        </is>
      </c>
      <c r="P680" t="n">
        <v>0.0008</v>
      </c>
      <c r="Q680" t="n">
        <v>0.2293</v>
      </c>
      <c r="R680" t="inlineStr">
        <is>
          <t>T1078:Valid Accounts | T1110:Brute Force | T1552:Unsecured Credentials</t>
        </is>
      </c>
      <c r="S680" t="n">
        <v>1</v>
      </c>
      <c r="T680" t="inlineStr">
        <is>
          <t>LOW (40%)</t>
        </is>
      </c>
      <c r="U680" t="inlineStr">
        <is>
          <t>UNLIKELY</t>
        </is>
      </c>
      <c r="V680" t="inlineStr">
        <is>
          <t>CHECK_VENDOR</t>
        </is>
      </c>
      <c r="W680" t="inlineStr">
        <is>
          <t>https://nvd.nist.gov/vuln/detail/CVE-2026-3192</t>
        </is>
      </c>
      <c r="X680" t="inlineStr">
        <is>
          <t>NONE</t>
        </is>
      </c>
      <c r="Y680" t="n">
        <v>0</v>
      </c>
      <c r="Z680" t="inlineStr"/>
      <c r="AA680" t="inlineStr">
        <is>
          <t>https://nvd.nist.gov/vuln/detail/CVE-2026-3192</t>
        </is>
      </c>
    </row>
    <row r="681">
      <c r="A681" t="inlineStr">
        <is>
          <t>CVE</t>
        </is>
      </c>
      <c r="B681" t="inlineStr">
        <is>
          <t>CVE-2026-3193</t>
        </is>
      </c>
      <c r="C681"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681" t="n">
        <v>3.1</v>
      </c>
      <c r="E681" t="inlineStr">
        <is>
          <t>LOW</t>
        </is>
      </c>
      <c r="F681" t="n">
        <v>2</v>
      </c>
      <c r="G681" t="n">
        <v>1</v>
      </c>
      <c r="H681" t="inlineStr">
        <is>
          <t>LOW</t>
        </is>
      </c>
      <c r="I681" t="n">
        <v>5.1</v>
      </c>
      <c r="J681" t="inlineStr">
        <is>
          <t>NO</t>
        </is>
      </c>
      <c r="K681" t="inlineStr">
        <is>
          <t>2026-02-27 20:47</t>
        </is>
      </c>
      <c r="L681" t="inlineStr">
        <is>
          <t>CHECK_VENDOR</t>
        </is>
      </c>
      <c r="M681" t="inlineStr">
        <is>
          <t>See CVE details</t>
        </is>
      </c>
      <c r="N681" t="inlineStr">
        <is>
          <t>P4</t>
        </is>
      </c>
      <c r="O681" t="inlineStr">
        <is>
          <t>CVE - IP enrichment n/a</t>
        </is>
      </c>
      <c r="P681" t="n">
        <v>0.0001</v>
      </c>
      <c r="Q681" t="n">
        <v>0.0227</v>
      </c>
      <c r="R681" t="inlineStr">
        <is>
          <t>T1185:Browser Session Hijacking</t>
        </is>
      </c>
      <c r="S681" t="n">
        <v>1</v>
      </c>
      <c r="T681" t="inlineStr">
        <is>
          <t>LOW (40%)</t>
        </is>
      </c>
      <c r="U681" t="inlineStr">
        <is>
          <t>UNLIKELY</t>
        </is>
      </c>
      <c r="V681" t="inlineStr">
        <is>
          <t>CHECK_VENDOR</t>
        </is>
      </c>
      <c r="W681" t="inlineStr">
        <is>
          <t>https://nvd.nist.gov/vuln/detail/CVE-2026-3193</t>
        </is>
      </c>
      <c r="X681" t="inlineStr">
        <is>
          <t>NONE</t>
        </is>
      </c>
      <c r="Y681" t="n">
        <v>0</v>
      </c>
      <c r="Z681" t="inlineStr"/>
      <c r="AA681" t="inlineStr">
        <is>
          <t>https://nvd.nist.gov/vuln/detail/CVE-2026-3193</t>
        </is>
      </c>
    </row>
    <row r="682">
      <c r="A682" t="inlineStr">
        <is>
          <t>CVE</t>
        </is>
      </c>
      <c r="B682" t="inlineStr">
        <is>
          <t>CVE-2026-21902</t>
        </is>
      </c>
      <c r="C682"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682" t="n">
        <v>9.800000000000001</v>
      </c>
      <c r="E682" t="inlineStr">
        <is>
          <t>CRITICAL</t>
        </is>
      </c>
      <c r="F682" t="n">
        <v>2</v>
      </c>
      <c r="G682" t="n">
        <v>3</v>
      </c>
      <c r="H682" t="inlineStr">
        <is>
          <t>HIGH</t>
        </is>
      </c>
      <c r="I682" t="n">
        <v>15.8</v>
      </c>
      <c r="J682" t="inlineStr">
        <is>
          <t>NO</t>
        </is>
      </c>
      <c r="K682" t="inlineStr">
        <is>
          <t>2026-02-27 20:47</t>
        </is>
      </c>
      <c r="L682" t="inlineStr">
        <is>
          <t>CHECK_VENDOR</t>
        </is>
      </c>
      <c r="M682" t="inlineStr">
        <is>
          <t>See CVE details</t>
        </is>
      </c>
      <c r="N682" t="inlineStr">
        <is>
          <t>P3</t>
        </is>
      </c>
      <c r="O682" t="inlineStr">
        <is>
          <t>CVE - IP enrichment n/a</t>
        </is>
      </c>
      <c r="P682" t="n">
        <v>0.0025</v>
      </c>
      <c r="Q682" t="n">
        <v>0.4794</v>
      </c>
      <c r="R682" t="inlineStr">
        <is>
          <t>T1190:Exploit Public-Facing Application</t>
        </is>
      </c>
      <c r="S682" t="n">
        <v>1</v>
      </c>
      <c r="T682" t="inlineStr">
        <is>
          <t>LOW (40%)</t>
        </is>
      </c>
      <c r="U682" t="inlineStr">
        <is>
          <t>UNLIKELY</t>
        </is>
      </c>
      <c r="V682" t="inlineStr">
        <is>
          <t>CHECK_VENDOR</t>
        </is>
      </c>
      <c r="W682" t="inlineStr">
        <is>
          <t>https://nvd.nist.gov/vuln/detail/CVE-2026-21902</t>
        </is>
      </c>
      <c r="X682" t="inlineStr">
        <is>
          <t>NONE</t>
        </is>
      </c>
      <c r="Y682" t="n">
        <v>0</v>
      </c>
      <c r="Z682" t="inlineStr">
        <is>
          <t>[SecurityAffairs] Juniper issues emergency patch for critical PTX router RCE | [SecurityWeek] Juniper Networks PTX Routers Affected by Critical Vulnerability</t>
        </is>
      </c>
      <c r="AA682" t="inlineStr">
        <is>
          <t>https://nvd.nist.gov/vuln/detail/CVE-2026-21902</t>
        </is>
      </c>
    </row>
    <row r="683">
      <c r="A683" t="inlineStr">
        <is>
          <t>CVE</t>
        </is>
      </c>
      <c r="B683" t="inlineStr">
        <is>
          <t>CVE-2026-25554</t>
        </is>
      </c>
      <c r="C683"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683" t="n">
        <v>5</v>
      </c>
      <c r="E683" t="inlineStr">
        <is>
          <t>MEDIUM</t>
        </is>
      </c>
      <c r="F683" t="n">
        <v>2</v>
      </c>
      <c r="G683" t="n">
        <v>2</v>
      </c>
      <c r="H683" t="inlineStr">
        <is>
          <t>MEDIUM</t>
        </is>
      </c>
      <c r="I683" t="n">
        <v>9</v>
      </c>
      <c r="J683" t="inlineStr">
        <is>
          <t>NO</t>
        </is>
      </c>
      <c r="K683" t="inlineStr">
        <is>
          <t>2026-02-27 20:47</t>
        </is>
      </c>
      <c r="L683" t="inlineStr">
        <is>
          <t>CHECK_VENDOR</t>
        </is>
      </c>
      <c r="M683" t="inlineStr">
        <is>
          <t>See CVE details</t>
        </is>
      </c>
      <c r="N683" t="inlineStr">
        <is>
          <t>P3</t>
        </is>
      </c>
      <c r="O683" t="inlineStr">
        <is>
          <t>CVE - IP enrichment n/a</t>
        </is>
      </c>
      <c r="P683" t="n">
        <v>0.0013</v>
      </c>
      <c r="Q683" t="n">
        <v>0.3179</v>
      </c>
      <c r="R683" t="inlineStr">
        <is>
          <t>T1190:Exploit Public-Facing Application</t>
        </is>
      </c>
      <c r="S683" t="n">
        <v>2</v>
      </c>
      <c r="T683" t="inlineStr">
        <is>
          <t>MEDIUM (52%)</t>
        </is>
      </c>
      <c r="U683" t="inlineStr">
        <is>
          <t>UNLIKELY</t>
        </is>
      </c>
      <c r="V683" t="inlineStr">
        <is>
          <t>CHECK_VENDOR</t>
        </is>
      </c>
      <c r="W683" t="inlineStr">
        <is>
          <t>https://nvd.nist.gov/vuln/detail/CVE-2026-25554</t>
        </is>
      </c>
      <c r="X683" t="inlineStr">
        <is>
          <t>NONE</t>
        </is>
      </c>
      <c r="Y683" t="n">
        <v>0</v>
      </c>
      <c r="Z683" t="inlineStr"/>
      <c r="AA683" t="inlineStr">
        <is>
          <t>https://nvd.nist.gov/vuln/detail/CVE-2026-25554</t>
        </is>
      </c>
    </row>
    <row r="684">
      <c r="A684" t="inlineStr">
        <is>
          <t>CVE</t>
        </is>
      </c>
      <c r="B684" t="inlineStr">
        <is>
          <t>CVE-2026-27739</t>
        </is>
      </c>
      <c r="C684"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684" t="n">
        <v>8.5</v>
      </c>
      <c r="E684" t="inlineStr">
        <is>
          <t>HIGH</t>
        </is>
      </c>
      <c r="F684" t="n">
        <v>2</v>
      </c>
      <c r="G684" t="n">
        <v>3</v>
      </c>
      <c r="H684" t="inlineStr">
        <is>
          <t>HIGH</t>
        </is>
      </c>
      <c r="I684" t="n">
        <v>14.5</v>
      </c>
      <c r="J684" t="inlineStr">
        <is>
          <t>NO</t>
        </is>
      </c>
      <c r="K684" t="inlineStr">
        <is>
          <t>2026-02-27 20:47</t>
        </is>
      </c>
      <c r="L684" t="inlineStr">
        <is>
          <t>CHECK_VENDOR</t>
        </is>
      </c>
      <c r="M684" t="inlineStr">
        <is>
          <t>See CVE details</t>
        </is>
      </c>
      <c r="N684" t="inlineStr">
        <is>
          <t>P3</t>
        </is>
      </c>
      <c r="O684" t="inlineStr">
        <is>
          <t>CVE - IP enrichment n/a</t>
        </is>
      </c>
      <c r="P684" t="n">
        <v>0.0004</v>
      </c>
      <c r="Q684" t="n">
        <v>0.1234</v>
      </c>
      <c r="R684" t="inlineStr">
        <is>
          <t>T1090:Proxy | T1190:Exploit Public-Facing Application | T1552:Unsecured Credentials</t>
        </is>
      </c>
      <c r="S684" t="n">
        <v>1</v>
      </c>
      <c r="T684" t="inlineStr">
        <is>
          <t>LOW (40%)</t>
        </is>
      </c>
      <c r="U684" t="inlineStr">
        <is>
          <t>UNLIKELY</t>
        </is>
      </c>
      <c r="V684" t="inlineStr">
        <is>
          <t>CHECK_VENDOR</t>
        </is>
      </c>
      <c r="W684" t="inlineStr">
        <is>
          <t>https://nvd.nist.gov/vuln/detail/CVE-2026-27739</t>
        </is>
      </c>
      <c r="X684" t="inlineStr">
        <is>
          <t>NONE</t>
        </is>
      </c>
      <c r="Y684" t="n">
        <v>0</v>
      </c>
      <c r="Z684" t="inlineStr"/>
      <c r="AA684" t="inlineStr">
        <is>
          <t>https://nvd.nist.gov/vuln/detail/CVE-2026-27739</t>
        </is>
      </c>
    </row>
    <row r="685">
      <c r="A685" t="inlineStr">
        <is>
          <t>CVE</t>
        </is>
      </c>
      <c r="B685" t="inlineStr">
        <is>
          <t>CVE-2026-27794</t>
        </is>
      </c>
      <c r="C685"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685" t="n">
        <v>6.6</v>
      </c>
      <c r="E685" t="inlineStr">
        <is>
          <t>MEDIUM</t>
        </is>
      </c>
      <c r="F685" t="n">
        <v>2</v>
      </c>
      <c r="G685" t="n">
        <v>2</v>
      </c>
      <c r="H685" t="inlineStr">
        <is>
          <t>MEDIUM</t>
        </is>
      </c>
      <c r="I685" t="n">
        <v>10.6</v>
      </c>
      <c r="J685" t="inlineStr">
        <is>
          <t>NO</t>
        </is>
      </c>
      <c r="K685" t="inlineStr">
        <is>
          <t>2026-02-27 20:47</t>
        </is>
      </c>
      <c r="L685" t="inlineStr">
        <is>
          <t>CHECK_VENDOR</t>
        </is>
      </c>
      <c r="M685" t="inlineStr">
        <is>
          <t>See CVE details</t>
        </is>
      </c>
      <c r="N685" t="inlineStr">
        <is>
          <t>P3</t>
        </is>
      </c>
      <c r="O685" t="inlineStr">
        <is>
          <t>CVE - IP enrichment n/a</t>
        </is>
      </c>
      <c r="P685" t="n">
        <v>0.0024</v>
      </c>
      <c r="Q685" t="n">
        <v>0.4748</v>
      </c>
      <c r="R685" t="inlineStr">
        <is>
          <t>T1059:Command and Scripting Interpreter | T1190:Exploit Public-Facing Application | T1210:Exploitation of Remote Services</t>
        </is>
      </c>
      <c r="S685" t="n">
        <v>2</v>
      </c>
      <c r="T685" t="inlineStr">
        <is>
          <t>MEDIUM (52%)</t>
        </is>
      </c>
      <c r="U685" t="inlineStr">
        <is>
          <t>UNLIKELY</t>
        </is>
      </c>
      <c r="V685" t="inlineStr">
        <is>
          <t>CHECK_VENDOR</t>
        </is>
      </c>
      <c r="W685" t="inlineStr">
        <is>
          <t>https://nvd.nist.gov/vuln/detail/CVE-2026-27794</t>
        </is>
      </c>
      <c r="X685" t="inlineStr">
        <is>
          <t>NONE</t>
        </is>
      </c>
      <c r="Y685" t="n">
        <v>0</v>
      </c>
      <c r="Z685" t="inlineStr"/>
      <c r="AA685" t="inlineStr">
        <is>
          <t>https://nvd.nist.gov/vuln/detail/CVE-2026-27794</t>
        </is>
      </c>
    </row>
    <row r="686">
      <c r="A686" t="inlineStr">
        <is>
          <t>CVE</t>
        </is>
      </c>
      <c r="B686" t="inlineStr">
        <is>
          <t>CVE-2026-27795</t>
        </is>
      </c>
      <c r="C686"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686" t="n">
        <v>4.1</v>
      </c>
      <c r="E686" t="inlineStr">
        <is>
          <t>MEDIUM</t>
        </is>
      </c>
      <c r="F686" t="n">
        <v>2</v>
      </c>
      <c r="G686" t="n">
        <v>2</v>
      </c>
      <c r="H686" t="inlineStr">
        <is>
          <t>MEDIUM</t>
        </is>
      </c>
      <c r="I686" t="n">
        <v>9</v>
      </c>
      <c r="J686" t="inlineStr">
        <is>
          <t>NO</t>
        </is>
      </c>
      <c r="K686" t="inlineStr">
        <is>
          <t>2026-02-27 20:47</t>
        </is>
      </c>
      <c r="L686" t="inlineStr">
        <is>
          <t>CHECK_VENDOR</t>
        </is>
      </c>
      <c r="M686" t="inlineStr">
        <is>
          <t>See CVE details</t>
        </is>
      </c>
      <c r="N686" t="inlineStr">
        <is>
          <t>P3</t>
        </is>
      </c>
      <c r="O686" t="inlineStr">
        <is>
          <t>CVE - IP enrichment n/a</t>
        </is>
      </c>
      <c r="P686" t="n">
        <v>0.0003</v>
      </c>
      <c r="Q686" t="n">
        <v>0.0882</v>
      </c>
      <c r="R686" t="inlineStr">
        <is>
          <t>T1090:Proxy</t>
        </is>
      </c>
      <c r="S686" t="n">
        <v>2</v>
      </c>
      <c r="T686" t="inlineStr">
        <is>
          <t>MEDIUM (52%)</t>
        </is>
      </c>
      <c r="U686" t="inlineStr">
        <is>
          <t>UNLIKELY</t>
        </is>
      </c>
      <c r="V686" t="inlineStr">
        <is>
          <t>CHECK_VENDOR</t>
        </is>
      </c>
      <c r="W686" t="inlineStr">
        <is>
          <t>https://nvd.nist.gov/vuln/detail/CVE-2026-27795</t>
        </is>
      </c>
      <c r="X686" t="inlineStr">
        <is>
          <t>NONE</t>
        </is>
      </c>
      <c r="Y686" t="n">
        <v>0</v>
      </c>
      <c r="Z686" t="inlineStr"/>
      <c r="AA686" t="inlineStr">
        <is>
          <t>https://nvd.nist.gov/vuln/detail/CVE-2026-27795</t>
        </is>
      </c>
    </row>
    <row r="687">
      <c r="A687" t="inlineStr">
        <is>
          <t>CVE</t>
        </is>
      </c>
      <c r="B687" t="inlineStr">
        <is>
          <t>CVE-2026-27850</t>
        </is>
      </c>
      <c r="C687"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687" t="n">
        <v>7.5</v>
      </c>
      <c r="E687" t="inlineStr">
        <is>
          <t>HIGH</t>
        </is>
      </c>
      <c r="F687" t="n">
        <v>2</v>
      </c>
      <c r="G687" t="n">
        <v>3</v>
      </c>
      <c r="H687" t="inlineStr">
        <is>
          <t>HIGH</t>
        </is>
      </c>
      <c r="I687" t="n">
        <v>13.5</v>
      </c>
      <c r="J687" t="inlineStr">
        <is>
          <t>NO</t>
        </is>
      </c>
      <c r="K687" t="inlineStr">
        <is>
          <t>2026-02-27 20:47</t>
        </is>
      </c>
      <c r="L687" t="inlineStr">
        <is>
          <t>CHECK_VENDOR</t>
        </is>
      </c>
      <c r="M687" t="inlineStr">
        <is>
          <t>See CVE details</t>
        </is>
      </c>
      <c r="N687" t="inlineStr">
        <is>
          <t>P3</t>
        </is>
      </c>
      <c r="O687" t="inlineStr">
        <is>
          <t>CVE - IP enrichment n/a</t>
        </is>
      </c>
      <c r="P687" t="n">
        <v>0.0003</v>
      </c>
      <c r="Q687" t="n">
        <v>0.0861</v>
      </c>
      <c r="R687" t="inlineStr">
        <is>
          <t>T1190:Exploit Public-Facing Application | T1562:Impair Defenses</t>
        </is>
      </c>
      <c r="S687" t="n">
        <v>1</v>
      </c>
      <c r="T687" t="inlineStr">
        <is>
          <t>LOW (40%)</t>
        </is>
      </c>
      <c r="U687" t="inlineStr">
        <is>
          <t>UNLIKELY</t>
        </is>
      </c>
      <c r="V687" t="inlineStr">
        <is>
          <t>CHECK_VENDOR</t>
        </is>
      </c>
      <c r="W687" t="inlineStr">
        <is>
          <t>https://nvd.nist.gov/vuln/detail/CVE-2026-27850</t>
        </is>
      </c>
      <c r="X687" t="inlineStr">
        <is>
          <t>NONE</t>
        </is>
      </c>
      <c r="Y687" t="n">
        <v>0</v>
      </c>
      <c r="Z687" t="inlineStr"/>
      <c r="AA687" t="inlineStr">
        <is>
          <t>https://nvd.nist.gov/vuln/detail/CVE-2026-27850</t>
        </is>
      </c>
    </row>
    <row r="688">
      <c r="A688" t="inlineStr">
        <is>
          <t>CVE</t>
        </is>
      </c>
      <c r="B688" t="inlineStr">
        <is>
          <t>CVE-2026-3194</t>
        </is>
      </c>
      <c r="C688"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688" t="n">
        <v>4.5</v>
      </c>
      <c r="E688" t="inlineStr">
        <is>
          <t>MEDIUM</t>
        </is>
      </c>
      <c r="F688" t="n">
        <v>2</v>
      </c>
      <c r="G688" t="n">
        <v>2</v>
      </c>
      <c r="H688" t="inlineStr">
        <is>
          <t>MEDIUM</t>
        </is>
      </c>
      <c r="I688" t="n">
        <v>8.5</v>
      </c>
      <c r="J688" t="inlineStr">
        <is>
          <t>NO</t>
        </is>
      </c>
      <c r="K688" t="inlineStr">
        <is>
          <t>2026-02-27 20:47</t>
        </is>
      </c>
      <c r="L688" t="inlineStr">
        <is>
          <t>CHECK_VENDOR</t>
        </is>
      </c>
      <c r="M688" t="inlineStr">
        <is>
          <t>See CVE details</t>
        </is>
      </c>
      <c r="N688" t="inlineStr">
        <is>
          <t>P4</t>
        </is>
      </c>
      <c r="O688" t="inlineStr">
        <is>
          <t>CVE - IP enrichment n/a</t>
        </is>
      </c>
      <c r="P688" t="n">
        <v>0.0002</v>
      </c>
      <c r="Q688" t="n">
        <v>0.051</v>
      </c>
      <c r="R688" t="inlineStr">
        <is>
          <t>T1078:Valid Accounts | T1110:Brute Force</t>
        </is>
      </c>
      <c r="S688" t="n">
        <v>1</v>
      </c>
      <c r="T688" t="inlineStr">
        <is>
          <t>LOW (40%)</t>
        </is>
      </c>
      <c r="U688" t="inlineStr">
        <is>
          <t>UNLIKELY</t>
        </is>
      </c>
      <c r="V688" t="inlineStr">
        <is>
          <t>CHECK_VENDOR</t>
        </is>
      </c>
      <c r="W688" t="inlineStr">
        <is>
          <t>https://nvd.nist.gov/vuln/detail/CVE-2026-3194</t>
        </is>
      </c>
      <c r="X688" t="inlineStr">
        <is>
          <t>NONE</t>
        </is>
      </c>
      <c r="Y688" t="n">
        <v>0</v>
      </c>
      <c r="Z688" t="inlineStr"/>
      <c r="AA688" t="inlineStr">
        <is>
          <t>https://nvd.nist.gov/vuln/detail/CVE-2026-3194</t>
        </is>
      </c>
    </row>
    <row r="689">
      <c r="A689" t="inlineStr">
        <is>
          <t>CVE</t>
        </is>
      </c>
      <c r="B689" t="inlineStr">
        <is>
          <t>CVE-2026-23627</t>
        </is>
      </c>
      <c r="C689"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689" t="n">
        <v>8.800000000000001</v>
      </c>
      <c r="E689" t="inlineStr">
        <is>
          <t>HIGH</t>
        </is>
      </c>
      <c r="F689" t="n">
        <v>2</v>
      </c>
      <c r="G689" t="n">
        <v>3</v>
      </c>
      <c r="H689" t="inlineStr">
        <is>
          <t>HIGH</t>
        </is>
      </c>
      <c r="I689" t="n">
        <v>14.8</v>
      </c>
      <c r="J689" t="inlineStr">
        <is>
          <t>NO</t>
        </is>
      </c>
      <c r="K689" t="inlineStr">
        <is>
          <t>2026-02-27 20:47</t>
        </is>
      </c>
      <c r="L689" t="inlineStr">
        <is>
          <t>YES</t>
        </is>
      </c>
      <c r="M689" t="inlineStr">
        <is>
          <t>open-emr openemr *</t>
        </is>
      </c>
      <c r="N689" t="inlineStr">
        <is>
          <t>P3</t>
        </is>
      </c>
      <c r="O689" t="inlineStr">
        <is>
          <t>CVE - IP enrichment n/a</t>
        </is>
      </c>
      <c r="P689" t="n">
        <v>0.0022</v>
      </c>
      <c r="Q689" t="n">
        <v>0.441</v>
      </c>
      <c r="R689" t="inlineStr">
        <is>
          <t>T1190:Exploit Public-Facing Application | T1210:Exploitation of Remote Services | T1552:Unsecured Credentials</t>
        </is>
      </c>
      <c r="S689" t="n">
        <v>1</v>
      </c>
      <c r="T689" t="inlineStr">
        <is>
          <t>LOW (40%)</t>
        </is>
      </c>
      <c r="U689" t="inlineStr">
        <is>
          <t>UNLIKELY</t>
        </is>
      </c>
      <c r="V689" t="inlineStr">
        <is>
          <t>PATCH_AVAILABLE</t>
        </is>
      </c>
      <c r="W689" t="inlineStr">
        <is>
          <t>https://nvd.nist.gov/vuln/detail/CVE-2026-23627</t>
        </is>
      </c>
      <c r="X689" t="inlineStr">
        <is>
          <t>NONE</t>
        </is>
      </c>
      <c r="Y689" t="n">
        <v>0</v>
      </c>
      <c r="Z689" t="inlineStr"/>
      <c r="AA689" t="inlineStr">
        <is>
          <t>https://nvd.nist.gov/vuln/detail/CVE-2026-23627</t>
        </is>
      </c>
    </row>
    <row r="690">
      <c r="A690" t="inlineStr">
        <is>
          <t>CVE</t>
        </is>
      </c>
      <c r="B690" t="inlineStr">
        <is>
          <t>CVE-2026-24005</t>
        </is>
      </c>
      <c r="C690"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690" t="n">
        <v>0</v>
      </c>
      <c r="E690" t="inlineStr">
        <is>
          <t>NONE</t>
        </is>
      </c>
      <c r="F690" t="n">
        <v>2</v>
      </c>
      <c r="G690" t="n">
        <v>1</v>
      </c>
      <c r="H690" t="inlineStr">
        <is>
          <t>LOW</t>
        </is>
      </c>
      <c r="I690" t="n">
        <v>2</v>
      </c>
      <c r="J690" t="inlineStr">
        <is>
          <t>NO</t>
        </is>
      </c>
      <c r="K690" t="inlineStr">
        <is>
          <t>2026-02-27 20:47</t>
        </is>
      </c>
      <c r="L690" t="inlineStr">
        <is>
          <t>CHECK_VENDOR</t>
        </is>
      </c>
      <c r="M690" t="inlineStr">
        <is>
          <t>See CVE details</t>
        </is>
      </c>
      <c r="N690" t="inlineStr">
        <is>
          <t>P4</t>
        </is>
      </c>
      <c r="O690" t="inlineStr">
        <is>
          <t>CVE - IP enrichment n/a</t>
        </is>
      </c>
      <c r="P690" t="n">
        <v>0.0003</v>
      </c>
      <c r="Q690" t="n">
        <v>0.0711</v>
      </c>
      <c r="R690" t="inlineStr">
        <is>
          <t>T1090:Proxy</t>
        </is>
      </c>
      <c r="S690" t="n">
        <v>1</v>
      </c>
      <c r="T690" t="inlineStr">
        <is>
          <t>LOW (40%)</t>
        </is>
      </c>
      <c r="U690" t="inlineStr">
        <is>
          <t>UNLIKELY</t>
        </is>
      </c>
      <c r="V690" t="inlineStr">
        <is>
          <t>CHECK_VENDOR</t>
        </is>
      </c>
      <c r="W690" t="inlineStr">
        <is>
          <t>https://nvd.nist.gov/vuln/detail/CVE-2026-24005</t>
        </is>
      </c>
      <c r="X690" t="inlineStr">
        <is>
          <t>NONE</t>
        </is>
      </c>
      <c r="Y690" t="n">
        <v>0</v>
      </c>
      <c r="Z690" t="inlineStr"/>
      <c r="AA690" t="inlineStr">
        <is>
          <t>https://nvd.nist.gov/vuln/detail/CVE-2026-24005</t>
        </is>
      </c>
    </row>
    <row r="691">
      <c r="A691" t="inlineStr">
        <is>
          <t>CVE</t>
        </is>
      </c>
      <c r="B691" t="inlineStr">
        <is>
          <t>CVE-2026-24487</t>
        </is>
      </c>
      <c r="C691"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691" t="n">
        <v>6.5</v>
      </c>
      <c r="E691" t="inlineStr">
        <is>
          <t>MEDIUM</t>
        </is>
      </c>
      <c r="F691" t="n">
        <v>2</v>
      </c>
      <c r="G691" t="n">
        <v>2</v>
      </c>
      <c r="H691" t="inlineStr">
        <is>
          <t>MEDIUM</t>
        </is>
      </c>
      <c r="I691" t="n">
        <v>10.5</v>
      </c>
      <c r="J691" t="inlineStr">
        <is>
          <t>NO</t>
        </is>
      </c>
      <c r="K691" t="inlineStr">
        <is>
          <t>2026-02-27 20:47</t>
        </is>
      </c>
      <c r="L691" t="inlineStr">
        <is>
          <t>YES</t>
        </is>
      </c>
      <c r="M691" t="inlineStr">
        <is>
          <t>open-emr openemr *</t>
        </is>
      </c>
      <c r="N691" t="inlineStr">
        <is>
          <t>P4</t>
        </is>
      </c>
      <c r="O691" t="inlineStr">
        <is>
          <t>CVE - IP enrichment n/a</t>
        </is>
      </c>
      <c r="P691" t="n">
        <v>0.0004</v>
      </c>
      <c r="Q691" t="n">
        <v>0.1139</v>
      </c>
      <c r="R691" t="inlineStr">
        <is>
          <t>T1213:Data from Information Repositories | T1190:Exploit Public-Facing Application</t>
        </is>
      </c>
      <c r="S691" t="n">
        <v>1</v>
      </c>
      <c r="T691" t="inlineStr">
        <is>
          <t>LOW (40%)</t>
        </is>
      </c>
      <c r="U691" t="inlineStr">
        <is>
          <t>UNLIKELY</t>
        </is>
      </c>
      <c r="V691" t="inlineStr">
        <is>
          <t>PATCH_AVAILABLE</t>
        </is>
      </c>
      <c r="W691" t="inlineStr">
        <is>
          <t>https://nvd.nist.gov/vuln/detail/CVE-2026-24487</t>
        </is>
      </c>
      <c r="X691" t="inlineStr">
        <is>
          <t>NONE</t>
        </is>
      </c>
      <c r="Y691" t="n">
        <v>0</v>
      </c>
      <c r="Z691" t="inlineStr"/>
      <c r="AA691" t="inlineStr">
        <is>
          <t>https://nvd.nist.gov/vuln/detail/CVE-2026-24487</t>
        </is>
      </c>
    </row>
    <row r="692">
      <c r="A692" t="inlineStr">
        <is>
          <t>CVE</t>
        </is>
      </c>
      <c r="B692" t="inlineStr">
        <is>
          <t>CVE-2026-24890</t>
        </is>
      </c>
      <c r="C692"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692" t="n">
        <v>8.1</v>
      </c>
      <c r="E692" t="inlineStr">
        <is>
          <t>HIGH</t>
        </is>
      </c>
      <c r="F692" t="n">
        <v>2</v>
      </c>
      <c r="G692" t="n">
        <v>3</v>
      </c>
      <c r="H692" t="inlineStr">
        <is>
          <t>HIGH</t>
        </is>
      </c>
      <c r="I692" t="n">
        <v>14.1</v>
      </c>
      <c r="J692" t="inlineStr">
        <is>
          <t>NO</t>
        </is>
      </c>
      <c r="K692" t="inlineStr">
        <is>
          <t>2026-02-27 20:47</t>
        </is>
      </c>
      <c r="L692" t="inlineStr">
        <is>
          <t>YES</t>
        </is>
      </c>
      <c r="M692" t="inlineStr">
        <is>
          <t>open-emr openemr *</t>
        </is>
      </c>
      <c r="N692" t="inlineStr">
        <is>
          <t>P3</t>
        </is>
      </c>
      <c r="O692" t="inlineStr">
        <is>
          <t>CVE - IP enrichment n/a</t>
        </is>
      </c>
      <c r="P692" t="n">
        <v>0.0003</v>
      </c>
      <c r="Q692" t="n">
        <v>0.0772</v>
      </c>
      <c r="R692" t="inlineStr">
        <is>
          <t>T1190:Exploit Public-Facing Application</t>
        </is>
      </c>
      <c r="S692" t="n">
        <v>1</v>
      </c>
      <c r="T692" t="inlineStr">
        <is>
          <t>LOW (40%)</t>
        </is>
      </c>
      <c r="U692" t="inlineStr">
        <is>
          <t>UNLIKELY</t>
        </is>
      </c>
      <c r="V692" t="inlineStr">
        <is>
          <t>PATCH_AVAILABLE</t>
        </is>
      </c>
      <c r="W692" t="inlineStr">
        <is>
          <t>https://nvd.nist.gov/vuln/detail/CVE-2026-24890</t>
        </is>
      </c>
      <c r="X692" t="inlineStr">
        <is>
          <t>NONE</t>
        </is>
      </c>
      <c r="Y692" t="n">
        <v>0</v>
      </c>
      <c r="Z692" t="inlineStr"/>
      <c r="AA692" t="inlineStr">
        <is>
          <t>https://nvd.nist.gov/vuln/detail/CVE-2026-24890</t>
        </is>
      </c>
    </row>
    <row r="693">
      <c r="A693" t="inlineStr">
        <is>
          <t>CVE</t>
        </is>
      </c>
      <c r="B693" t="inlineStr">
        <is>
          <t>CVE-2026-24908</t>
        </is>
      </c>
      <c r="C693"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693" t="n">
        <v>9.9</v>
      </c>
      <c r="E693" t="inlineStr">
        <is>
          <t>CRITICAL</t>
        </is>
      </c>
      <c r="F693" t="n">
        <v>2</v>
      </c>
      <c r="G693" t="n">
        <v>3</v>
      </c>
      <c r="H693" t="inlineStr">
        <is>
          <t>HIGH</t>
        </is>
      </c>
      <c r="I693" t="n">
        <v>15.9</v>
      </c>
      <c r="J693" t="inlineStr">
        <is>
          <t>NO</t>
        </is>
      </c>
      <c r="K693" t="inlineStr">
        <is>
          <t>2026-02-27 20:47</t>
        </is>
      </c>
      <c r="L693" t="inlineStr">
        <is>
          <t>YES</t>
        </is>
      </c>
      <c r="M693" t="inlineStr">
        <is>
          <t>open-emr openemr *</t>
        </is>
      </c>
      <c r="N693" t="inlineStr">
        <is>
          <t>P3</t>
        </is>
      </c>
      <c r="O693" t="inlineStr">
        <is>
          <t>CVE - IP enrichment n/a</t>
        </is>
      </c>
      <c r="P693" t="n">
        <v>0.0003</v>
      </c>
      <c r="Q693" t="n">
        <v>0.0847</v>
      </c>
      <c r="R693" t="inlineStr">
        <is>
          <t>T1190:Exploit Public-Facing Application | T1552:Unsecured Credentials</t>
        </is>
      </c>
      <c r="S693" t="n">
        <v>1</v>
      </c>
      <c r="T693" t="inlineStr">
        <is>
          <t>LOW (40%)</t>
        </is>
      </c>
      <c r="U693" t="inlineStr">
        <is>
          <t>UNLIKELY</t>
        </is>
      </c>
      <c r="V693" t="inlineStr">
        <is>
          <t>PATCH_AVAILABLE</t>
        </is>
      </c>
      <c r="W693" t="inlineStr">
        <is>
          <t>https://nvd.nist.gov/vuln/detail/CVE-2026-24908</t>
        </is>
      </c>
      <c r="X693" t="inlineStr">
        <is>
          <t>NONE</t>
        </is>
      </c>
      <c r="Y693" t="n">
        <v>0</v>
      </c>
      <c r="Z693" t="inlineStr"/>
      <c r="AA693" t="inlineStr">
        <is>
          <t>https://nvd.nist.gov/vuln/detail/CVE-2026-24908</t>
        </is>
      </c>
    </row>
    <row r="694">
      <c r="A694" t="inlineStr">
        <is>
          <t>CVE</t>
        </is>
      </c>
      <c r="B694" t="inlineStr">
        <is>
          <t>CVE-2026-25164</t>
        </is>
      </c>
      <c r="C694"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694" t="n">
        <v>8.1</v>
      </c>
      <c r="E694" t="inlineStr">
        <is>
          <t>HIGH</t>
        </is>
      </c>
      <c r="F694" t="n">
        <v>2</v>
      </c>
      <c r="G694" t="n">
        <v>3</v>
      </c>
      <c r="H694" t="inlineStr">
        <is>
          <t>HIGH</t>
        </is>
      </c>
      <c r="I694" t="n">
        <v>14.1</v>
      </c>
      <c r="J694" t="inlineStr">
        <is>
          <t>NO</t>
        </is>
      </c>
      <c r="K694" t="inlineStr">
        <is>
          <t>2026-02-27 20:47</t>
        </is>
      </c>
      <c r="L694" t="inlineStr">
        <is>
          <t>YES</t>
        </is>
      </c>
      <c r="M694" t="inlineStr">
        <is>
          <t>open-emr openemr *</t>
        </is>
      </c>
      <c r="N694" t="inlineStr">
        <is>
          <t>P3</t>
        </is>
      </c>
      <c r="O694" t="inlineStr">
        <is>
          <t>CVE - IP enrichment n/a</t>
        </is>
      </c>
      <c r="P694" t="n">
        <v>0.0003</v>
      </c>
      <c r="Q694" t="n">
        <v>0.0772</v>
      </c>
      <c r="R694" t="inlineStr">
        <is>
          <t>T1190:Exploit Public-Facing Application</t>
        </is>
      </c>
      <c r="S694" t="n">
        <v>1</v>
      </c>
      <c r="T694" t="inlineStr">
        <is>
          <t>LOW (40%)</t>
        </is>
      </c>
      <c r="U694" t="inlineStr">
        <is>
          <t>UNLIKELY</t>
        </is>
      </c>
      <c r="V694" t="inlineStr">
        <is>
          <t>PATCH_AVAILABLE</t>
        </is>
      </c>
      <c r="W694" t="inlineStr">
        <is>
          <t>https://nvd.nist.gov/vuln/detail/CVE-2026-25164</t>
        </is>
      </c>
      <c r="X694" t="inlineStr">
        <is>
          <t>NONE</t>
        </is>
      </c>
      <c r="Y694" t="n">
        <v>0</v>
      </c>
      <c r="Z694" t="inlineStr"/>
      <c r="AA694" t="inlineStr">
        <is>
          <t>https://nvd.nist.gov/vuln/detail/CVE-2026-25164</t>
        </is>
      </c>
    </row>
    <row r="695">
      <c r="A695" t="inlineStr">
        <is>
          <t>CVE</t>
        </is>
      </c>
      <c r="B695" t="inlineStr">
        <is>
          <t>CVE-2026-25220</t>
        </is>
      </c>
      <c r="C695"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695" t="n">
        <v>6.5</v>
      </c>
      <c r="E695" t="inlineStr">
        <is>
          <t>MEDIUM</t>
        </is>
      </c>
      <c r="F695" t="n">
        <v>2</v>
      </c>
      <c r="G695" t="n">
        <v>2</v>
      </c>
      <c r="H695" t="inlineStr">
        <is>
          <t>MEDIUM</t>
        </is>
      </c>
      <c r="I695" t="n">
        <v>10.5</v>
      </c>
      <c r="J695" t="inlineStr">
        <is>
          <t>NO</t>
        </is>
      </c>
      <c r="K695" t="inlineStr">
        <is>
          <t>2026-02-27 20:47</t>
        </is>
      </c>
      <c r="L695" t="inlineStr">
        <is>
          <t>YES</t>
        </is>
      </c>
      <c r="M695" t="inlineStr">
        <is>
          <t>open-emr openemr *</t>
        </is>
      </c>
      <c r="N695" t="inlineStr">
        <is>
          <t>P4</t>
        </is>
      </c>
      <c r="O695" t="inlineStr">
        <is>
          <t>CVE - IP enrichment n/a</t>
        </is>
      </c>
      <c r="P695" t="n">
        <v>0.0004</v>
      </c>
      <c r="Q695" t="n">
        <v>0.1139</v>
      </c>
      <c r="R695" t="inlineStr">
        <is>
          <t>T1190:Exploit Public-Facing Application</t>
        </is>
      </c>
      <c r="S695" t="n">
        <v>1</v>
      </c>
      <c r="T695" t="inlineStr">
        <is>
          <t>LOW (40%)</t>
        </is>
      </c>
      <c r="U695" t="inlineStr">
        <is>
          <t>UNLIKELY</t>
        </is>
      </c>
      <c r="V695" t="inlineStr">
        <is>
          <t>PATCH_AVAILABLE</t>
        </is>
      </c>
      <c r="W695" t="inlineStr">
        <is>
          <t>https://nvd.nist.gov/vuln/detail/CVE-2026-25220</t>
        </is>
      </c>
      <c r="X695" t="inlineStr">
        <is>
          <t>NONE</t>
        </is>
      </c>
      <c r="Y695" t="n">
        <v>0</v>
      </c>
      <c r="Z695" t="inlineStr"/>
      <c r="AA695" t="inlineStr">
        <is>
          <t>https://nvd.nist.gov/vuln/detail/CVE-2026-25220</t>
        </is>
      </c>
    </row>
    <row r="696">
      <c r="A696" t="inlineStr">
        <is>
          <t>CVE</t>
        </is>
      </c>
      <c r="B696" t="inlineStr">
        <is>
          <t>CVE-2026-25476</t>
        </is>
      </c>
      <c r="C696"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696" t="n">
        <v>7.5</v>
      </c>
      <c r="E696" t="inlineStr">
        <is>
          <t>HIGH</t>
        </is>
      </c>
      <c r="F696" t="n">
        <v>2</v>
      </c>
      <c r="G696" t="n">
        <v>3</v>
      </c>
      <c r="H696" t="inlineStr">
        <is>
          <t>HIGH</t>
        </is>
      </c>
      <c r="I696" t="n">
        <v>13.5</v>
      </c>
      <c r="J696" t="inlineStr">
        <is>
          <t>NO</t>
        </is>
      </c>
      <c r="K696" t="inlineStr">
        <is>
          <t>2026-02-27 20:47</t>
        </is>
      </c>
      <c r="L696" t="inlineStr">
        <is>
          <t>CHECK_VENDOR</t>
        </is>
      </c>
      <c r="M696" t="inlineStr">
        <is>
          <t>See CVE details</t>
        </is>
      </c>
      <c r="N696" t="inlineStr">
        <is>
          <t>P3</t>
        </is>
      </c>
      <c r="O696" t="inlineStr">
        <is>
          <t>CVE - IP enrichment n/a</t>
        </is>
      </c>
      <c r="P696" t="n">
        <v>0.0003</v>
      </c>
      <c r="Q696" t="n">
        <v>0.0887</v>
      </c>
      <c r="R696" t="inlineStr">
        <is>
          <t>T1190:Exploit Public-Facing Application</t>
        </is>
      </c>
      <c r="S696" t="n">
        <v>1</v>
      </c>
      <c r="T696" t="inlineStr">
        <is>
          <t>LOW (40%)</t>
        </is>
      </c>
      <c r="U696" t="inlineStr">
        <is>
          <t>UNLIKELY</t>
        </is>
      </c>
      <c r="V696" t="inlineStr">
        <is>
          <t>CHECK_VENDOR</t>
        </is>
      </c>
      <c r="W696" t="inlineStr">
        <is>
          <t>https://nvd.nist.gov/vuln/detail/CVE-2026-25476</t>
        </is>
      </c>
      <c r="X696" t="inlineStr">
        <is>
          <t>NONE</t>
        </is>
      </c>
      <c r="Y696" t="n">
        <v>0</v>
      </c>
      <c r="Z696" t="inlineStr"/>
      <c r="AA696" t="inlineStr">
        <is>
          <t>https://nvd.nist.gov/vuln/detail/CVE-2026-25476</t>
        </is>
      </c>
    </row>
    <row r="697">
      <c r="A697" t="inlineStr">
        <is>
          <t>CVE</t>
        </is>
      </c>
      <c r="B697" t="inlineStr">
        <is>
          <t>CVE-2026-25743</t>
        </is>
      </c>
      <c r="C697"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697" t="n">
        <v>4.8</v>
      </c>
      <c r="E697" t="inlineStr">
        <is>
          <t>MEDIUM</t>
        </is>
      </c>
      <c r="F697" t="n">
        <v>2</v>
      </c>
      <c r="G697" t="n">
        <v>2</v>
      </c>
      <c r="H697" t="inlineStr">
        <is>
          <t>MEDIUM</t>
        </is>
      </c>
      <c r="I697" t="n">
        <v>8.800000000000001</v>
      </c>
      <c r="J697" t="inlineStr">
        <is>
          <t>NO</t>
        </is>
      </c>
      <c r="K697" t="inlineStr">
        <is>
          <t>2026-02-27 20:47</t>
        </is>
      </c>
      <c r="L697" t="inlineStr">
        <is>
          <t>YES</t>
        </is>
      </c>
      <c r="M697" t="inlineStr">
        <is>
          <t>open-emr openemr *</t>
        </is>
      </c>
      <c r="N697" t="inlineStr">
        <is>
          <t>P4</t>
        </is>
      </c>
      <c r="O697" t="inlineStr">
        <is>
          <t>CVE - IP enrichment n/a</t>
        </is>
      </c>
      <c r="P697" t="n">
        <v>0.0004</v>
      </c>
      <c r="Q697" t="n">
        <v>0.1314</v>
      </c>
      <c r="R697" t="inlineStr">
        <is>
          <t>T1189:Drive-by Compromise | T1190:Exploit Public-Facing Application</t>
        </is>
      </c>
      <c r="S697" t="n">
        <v>1</v>
      </c>
      <c r="T697" t="inlineStr">
        <is>
          <t>LOW (40%)</t>
        </is>
      </c>
      <c r="U697" t="inlineStr">
        <is>
          <t>UNLIKELY</t>
        </is>
      </c>
      <c r="V697" t="inlineStr">
        <is>
          <t>PATCH_AVAILABLE</t>
        </is>
      </c>
      <c r="W697" t="inlineStr">
        <is>
          <t>https://nvd.nist.gov/vuln/detail/CVE-2026-25743</t>
        </is>
      </c>
      <c r="X697" t="inlineStr">
        <is>
          <t>NONE</t>
        </is>
      </c>
      <c r="Y697" t="n">
        <v>0</v>
      </c>
      <c r="Z697" t="inlineStr"/>
      <c r="AA697" t="inlineStr">
        <is>
          <t>https://nvd.nist.gov/vuln/detail/CVE-2026-25743</t>
        </is>
      </c>
    </row>
    <row r="698">
      <c r="A698" t="inlineStr">
        <is>
          <t>CVE</t>
        </is>
      </c>
      <c r="B698" t="inlineStr">
        <is>
          <t>CVE-2026-25746</t>
        </is>
      </c>
      <c r="C698"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698" t="n">
        <v>8.800000000000001</v>
      </c>
      <c r="E698" t="inlineStr">
        <is>
          <t>HIGH</t>
        </is>
      </c>
      <c r="F698" t="n">
        <v>2</v>
      </c>
      <c r="G698" t="n">
        <v>3</v>
      </c>
      <c r="H698" t="inlineStr">
        <is>
          <t>HIGH</t>
        </is>
      </c>
      <c r="I698" t="n">
        <v>14.8</v>
      </c>
      <c r="J698" t="inlineStr">
        <is>
          <t>NO</t>
        </is>
      </c>
      <c r="K698" t="inlineStr">
        <is>
          <t>2026-02-27 20:47</t>
        </is>
      </c>
      <c r="L698" t="inlineStr">
        <is>
          <t>YES</t>
        </is>
      </c>
      <c r="M698" t="inlineStr">
        <is>
          <t>open-emr openemr *</t>
        </is>
      </c>
      <c r="N698" t="inlineStr">
        <is>
          <t>P3</t>
        </is>
      </c>
      <c r="O698" t="inlineStr">
        <is>
          <t>CVE - IP enrichment n/a</t>
        </is>
      </c>
      <c r="P698" t="n">
        <v>0.0004</v>
      </c>
      <c r="Q698" t="n">
        <v>0.1149</v>
      </c>
      <c r="R698" t="inlineStr">
        <is>
          <t>T1190:Exploit Public-Facing Application</t>
        </is>
      </c>
      <c r="S698" t="n">
        <v>1</v>
      </c>
      <c r="T698" t="inlineStr">
        <is>
          <t>LOW (40%)</t>
        </is>
      </c>
      <c r="U698" t="inlineStr">
        <is>
          <t>UNLIKELY</t>
        </is>
      </c>
      <c r="V698" t="inlineStr">
        <is>
          <t>PATCH_AVAILABLE</t>
        </is>
      </c>
      <c r="W698" t="inlineStr">
        <is>
          <t>https://nvd.nist.gov/vuln/detail/CVE-2026-25746</t>
        </is>
      </c>
      <c r="X698" t="inlineStr">
        <is>
          <t>NONE</t>
        </is>
      </c>
      <c r="Y698" t="n">
        <v>0</v>
      </c>
      <c r="Z698" t="inlineStr"/>
      <c r="AA698" t="inlineStr">
        <is>
          <t>https://nvd.nist.gov/vuln/detail/CVE-2026-25746</t>
        </is>
      </c>
    </row>
    <row r="699">
      <c r="A699" t="inlineStr">
        <is>
          <t>CVE</t>
        </is>
      </c>
      <c r="B699" t="inlineStr">
        <is>
          <t>CVE-2026-25927</t>
        </is>
      </c>
      <c r="C699"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699" t="n">
        <v>7.1</v>
      </c>
      <c r="E699" t="inlineStr">
        <is>
          <t>HIGH</t>
        </is>
      </c>
      <c r="F699" t="n">
        <v>2</v>
      </c>
      <c r="G699" t="n">
        <v>3</v>
      </c>
      <c r="H699" t="inlineStr">
        <is>
          <t>HIGH</t>
        </is>
      </c>
      <c r="I699" t="n">
        <v>13.1</v>
      </c>
      <c r="J699" t="inlineStr">
        <is>
          <t>NO</t>
        </is>
      </c>
      <c r="K699" t="inlineStr">
        <is>
          <t>2026-02-27 20:47</t>
        </is>
      </c>
      <c r="L699" t="inlineStr">
        <is>
          <t>YES</t>
        </is>
      </c>
      <c r="M699" t="inlineStr">
        <is>
          <t>open-emr openemr *</t>
        </is>
      </c>
      <c r="N699" t="inlineStr">
        <is>
          <t>P3</t>
        </is>
      </c>
      <c r="O699" t="inlineStr">
        <is>
          <t>CVE - IP enrichment n/a</t>
        </is>
      </c>
      <c r="P699" t="n">
        <v>0.0003</v>
      </c>
      <c r="Q699" t="n">
        <v>0.0772</v>
      </c>
      <c r="R699" t="inlineStr">
        <is>
          <t>T1190:Exploit Public-Facing Application</t>
        </is>
      </c>
      <c r="S699" t="n">
        <v>1</v>
      </c>
      <c r="T699" t="inlineStr">
        <is>
          <t>LOW (40%)</t>
        </is>
      </c>
      <c r="U699" t="inlineStr">
        <is>
          <t>UNLIKELY</t>
        </is>
      </c>
      <c r="V699" t="inlineStr">
        <is>
          <t>PATCH_AVAILABLE</t>
        </is>
      </c>
      <c r="W699" t="inlineStr">
        <is>
          <t>https://nvd.nist.gov/vuln/detail/CVE-2026-25927</t>
        </is>
      </c>
      <c r="X699" t="inlineStr">
        <is>
          <t>NONE</t>
        </is>
      </c>
      <c r="Y699" t="n">
        <v>0</v>
      </c>
      <c r="Z699" t="inlineStr"/>
      <c r="AA699" t="inlineStr">
        <is>
          <t>https://nvd.nist.gov/vuln/detail/CVE-2026-25927</t>
        </is>
      </c>
    </row>
    <row r="700">
      <c r="A700" t="inlineStr">
        <is>
          <t>CVE</t>
        </is>
      </c>
      <c r="B700" t="inlineStr">
        <is>
          <t>CVE-2026-25929</t>
        </is>
      </c>
      <c r="C700"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700" t="n">
        <v>6.5</v>
      </c>
      <c r="E700" t="inlineStr">
        <is>
          <t>MEDIUM</t>
        </is>
      </c>
      <c r="F700" t="n">
        <v>2</v>
      </c>
      <c r="G700" t="n">
        <v>2</v>
      </c>
      <c r="H700" t="inlineStr">
        <is>
          <t>MEDIUM</t>
        </is>
      </c>
      <c r="I700" t="n">
        <v>10.5</v>
      </c>
      <c r="J700" t="inlineStr">
        <is>
          <t>NO</t>
        </is>
      </c>
      <c r="K700" t="inlineStr">
        <is>
          <t>2026-02-27 20:47</t>
        </is>
      </c>
      <c r="L700" t="inlineStr">
        <is>
          <t>YES</t>
        </is>
      </c>
      <c r="M700" t="inlineStr">
        <is>
          <t>open-emr openemr *</t>
        </is>
      </c>
      <c r="N700" t="inlineStr">
        <is>
          <t>P4</t>
        </is>
      </c>
      <c r="O700" t="inlineStr">
        <is>
          <t>CVE - IP enrichment n/a</t>
        </is>
      </c>
      <c r="P700" t="n">
        <v>0.0003</v>
      </c>
      <c r="Q700" t="n">
        <v>0.0772</v>
      </c>
      <c r="R700" t="inlineStr">
        <is>
          <t>T1190:Exploit Public-Facing Application</t>
        </is>
      </c>
      <c r="S700" t="n">
        <v>1</v>
      </c>
      <c r="T700" t="inlineStr">
        <is>
          <t>LOW (40%)</t>
        </is>
      </c>
      <c r="U700" t="inlineStr">
        <is>
          <t>UNLIKELY</t>
        </is>
      </c>
      <c r="V700" t="inlineStr">
        <is>
          <t>PATCH_AVAILABLE</t>
        </is>
      </c>
      <c r="W700" t="inlineStr">
        <is>
          <t>https://nvd.nist.gov/vuln/detail/CVE-2026-25929</t>
        </is>
      </c>
      <c r="X700" t="inlineStr">
        <is>
          <t>NONE</t>
        </is>
      </c>
      <c r="Y700" t="n">
        <v>0</v>
      </c>
      <c r="Z700" t="inlineStr"/>
      <c r="AA700" t="inlineStr">
        <is>
          <t>https://nvd.nist.gov/vuln/detail/CVE-2026-25929</t>
        </is>
      </c>
    </row>
    <row r="701">
      <c r="A701" t="inlineStr">
        <is>
          <t>CVE</t>
        </is>
      </c>
      <c r="B701" t="inlineStr">
        <is>
          <t>CVE-2026-25930</t>
        </is>
      </c>
      <c r="C701"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701" t="n">
        <v>6.5</v>
      </c>
      <c r="E701" t="inlineStr">
        <is>
          <t>MEDIUM</t>
        </is>
      </c>
      <c r="F701" t="n">
        <v>2</v>
      </c>
      <c r="G701" t="n">
        <v>2</v>
      </c>
      <c r="H701" t="inlineStr">
        <is>
          <t>MEDIUM</t>
        </is>
      </c>
      <c r="I701" t="n">
        <v>10.5</v>
      </c>
      <c r="J701" t="inlineStr">
        <is>
          <t>NO</t>
        </is>
      </c>
      <c r="K701" t="inlineStr">
        <is>
          <t>2026-02-27 20:47</t>
        </is>
      </c>
      <c r="L701" t="inlineStr">
        <is>
          <t>YES</t>
        </is>
      </c>
      <c r="M701" t="inlineStr">
        <is>
          <t>open-emr openemr *</t>
        </is>
      </c>
      <c r="N701" t="inlineStr">
        <is>
          <t>P4</t>
        </is>
      </c>
      <c r="O701" t="inlineStr">
        <is>
          <t>CVE - IP enrichment n/a</t>
        </is>
      </c>
      <c r="P701" t="n">
        <v>0.0003</v>
      </c>
      <c r="Q701" t="n">
        <v>0.0772</v>
      </c>
      <c r="R701" t="inlineStr">
        <is>
          <t>T1190:Exploit Public-Facing Application</t>
        </is>
      </c>
      <c r="S701" t="n">
        <v>1</v>
      </c>
      <c r="T701" t="inlineStr">
        <is>
          <t>LOW (40%)</t>
        </is>
      </c>
      <c r="U701" t="inlineStr">
        <is>
          <t>UNLIKELY</t>
        </is>
      </c>
      <c r="V701" t="inlineStr">
        <is>
          <t>PATCH_AVAILABLE</t>
        </is>
      </c>
      <c r="W701" t="inlineStr">
        <is>
          <t>https://nvd.nist.gov/vuln/detail/CVE-2026-25930</t>
        </is>
      </c>
      <c r="X701" t="inlineStr">
        <is>
          <t>NONE</t>
        </is>
      </c>
      <c r="Y701" t="n">
        <v>0</v>
      </c>
      <c r="Z701" t="inlineStr"/>
      <c r="AA701" t="inlineStr">
        <is>
          <t>https://nvd.nist.gov/vuln/detail/CVE-2026-25930</t>
        </is>
      </c>
    </row>
    <row r="702">
      <c r="A702" t="inlineStr">
        <is>
          <t>CVE</t>
        </is>
      </c>
      <c r="B702" t="inlineStr">
        <is>
          <t>CVE-2026-3221</t>
        </is>
      </c>
      <c r="C702" t="inlineStr">
        <is>
          <t>Sensitive
 user account information is not encrypted in the database in Devolutions Server 2025.3.14 and earlier, which allows an attacker with 
access to the database to obtain sensitive user 
information via direct database access.</t>
        </is>
      </c>
      <c r="D702" t="n">
        <v>4.9</v>
      </c>
      <c r="E702" t="inlineStr">
        <is>
          <t>MEDIUM</t>
        </is>
      </c>
      <c r="F702" t="n">
        <v>2</v>
      </c>
      <c r="G702" t="n">
        <v>2</v>
      </c>
      <c r="H702" t="inlineStr">
        <is>
          <t>MEDIUM</t>
        </is>
      </c>
      <c r="I702" t="n">
        <v>8.9</v>
      </c>
      <c r="J702" t="inlineStr">
        <is>
          <t>NO</t>
        </is>
      </c>
      <c r="K702" t="inlineStr">
        <is>
          <t>2026-02-27 20:47</t>
        </is>
      </c>
      <c r="L702" t="inlineStr">
        <is>
          <t>CHECK_VENDOR</t>
        </is>
      </c>
      <c r="M702" t="inlineStr">
        <is>
          <t>See CVE details</t>
        </is>
      </c>
      <c r="N702" t="inlineStr">
        <is>
          <t>P4</t>
        </is>
      </c>
      <c r="O702" t="inlineStr">
        <is>
          <t>CVE - IP enrichment n/a</t>
        </is>
      </c>
      <c r="P702" t="n">
        <v>0.0002</v>
      </c>
      <c r="Q702" t="n">
        <v>0.0491</v>
      </c>
      <c r="R702" t="inlineStr">
        <is>
          <t>T1190:Exploit Public-Facing Application</t>
        </is>
      </c>
      <c r="S702" t="n">
        <v>1</v>
      </c>
      <c r="T702" t="inlineStr">
        <is>
          <t>LOW (40%)</t>
        </is>
      </c>
      <c r="U702" t="inlineStr">
        <is>
          <t>UNLIKELY</t>
        </is>
      </c>
      <c r="V702" t="inlineStr">
        <is>
          <t>CHECK_VENDOR</t>
        </is>
      </c>
      <c r="W702" t="inlineStr">
        <is>
          <t>https://nvd.nist.gov/vuln/detail/CVE-2026-3221</t>
        </is>
      </c>
      <c r="X702" t="inlineStr">
        <is>
          <t>NONE</t>
        </is>
      </c>
      <c r="Y702" t="n">
        <v>0</v>
      </c>
      <c r="Z702" t="inlineStr"/>
      <c r="AA702" t="inlineStr">
        <is>
          <t>https://nvd.nist.gov/vuln/detail/CVE-2026-3221</t>
        </is>
      </c>
    </row>
    <row r="703">
      <c r="A703" t="inlineStr">
        <is>
          <t>CVE</t>
        </is>
      </c>
      <c r="B703" t="inlineStr">
        <is>
          <t>CVE-2025-14103</t>
        </is>
      </c>
      <c r="C703"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703" t="n">
        <v>4.3</v>
      </c>
      <c r="E703" t="inlineStr">
        <is>
          <t>MEDIUM</t>
        </is>
      </c>
      <c r="F703" t="n">
        <v>2</v>
      </c>
      <c r="G703" t="n">
        <v>2</v>
      </c>
      <c r="H703" t="inlineStr">
        <is>
          <t>MEDIUM</t>
        </is>
      </c>
      <c r="I703" t="n">
        <v>8.300000000000001</v>
      </c>
      <c r="J703" t="inlineStr">
        <is>
          <t>NO</t>
        </is>
      </c>
      <c r="K703" t="inlineStr">
        <is>
          <t>2026-02-27 20:47</t>
        </is>
      </c>
      <c r="L703" t="inlineStr">
        <is>
          <t>YES</t>
        </is>
      </c>
      <c r="M703" t="inlineStr">
        <is>
          <t>gitlab gitlab *</t>
        </is>
      </c>
      <c r="N703" t="inlineStr">
        <is>
          <t>P4</t>
        </is>
      </c>
      <c r="O703" t="inlineStr">
        <is>
          <t>CVE - IP enrichment n/a</t>
        </is>
      </c>
      <c r="P703" t="n">
        <v>0.0001</v>
      </c>
      <c r="Q703" t="n">
        <v>0.0103</v>
      </c>
      <c r="R703" t="inlineStr">
        <is>
          <t>T1190:Exploit Public-Facing Application</t>
        </is>
      </c>
      <c r="S703" t="n">
        <v>1</v>
      </c>
      <c r="T703" t="inlineStr">
        <is>
          <t>LOW (40%)</t>
        </is>
      </c>
      <c r="U703" t="inlineStr">
        <is>
          <t>UNLIKELY</t>
        </is>
      </c>
      <c r="V703" t="inlineStr">
        <is>
          <t>PATCH_AVAILABLE</t>
        </is>
      </c>
      <c r="W703" t="inlineStr">
        <is>
          <t>https://nvd.nist.gov/vuln/detail/CVE-2025-14103</t>
        </is>
      </c>
      <c r="X703" t="inlineStr">
        <is>
          <t>NONE</t>
        </is>
      </c>
      <c r="Y703" t="n">
        <v>0</v>
      </c>
      <c r="Z703" t="inlineStr"/>
      <c r="AA703" t="inlineStr">
        <is>
          <t>https://nvd.nist.gov/vuln/detail/CVE-2025-14103</t>
        </is>
      </c>
    </row>
    <row r="704">
      <c r="A704" t="inlineStr">
        <is>
          <t>CVE</t>
        </is>
      </c>
      <c r="B704" t="inlineStr">
        <is>
          <t>CVE-2025-3525</t>
        </is>
      </c>
      <c r="C704"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704" t="n">
        <v>6.5</v>
      </c>
      <c r="E704" t="inlineStr">
        <is>
          <t>MEDIUM</t>
        </is>
      </c>
      <c r="F704" t="n">
        <v>2</v>
      </c>
      <c r="G704" t="n">
        <v>2</v>
      </c>
      <c r="H704" t="inlineStr">
        <is>
          <t>MEDIUM</t>
        </is>
      </c>
      <c r="I704" t="n">
        <v>10.5</v>
      </c>
      <c r="J704" t="inlineStr">
        <is>
          <t>NO</t>
        </is>
      </c>
      <c r="K704" t="inlineStr">
        <is>
          <t>2026-02-27 20:47</t>
        </is>
      </c>
      <c r="L704" t="inlineStr">
        <is>
          <t>YES</t>
        </is>
      </c>
      <c r="M704" t="inlineStr">
        <is>
          <t>gitlab gitlab *</t>
        </is>
      </c>
      <c r="N704" t="inlineStr">
        <is>
          <t>P4</t>
        </is>
      </c>
      <c r="O704" t="inlineStr">
        <is>
          <t>CVE - IP enrichment n/a</t>
        </is>
      </c>
      <c r="P704" t="n">
        <v>0.0003</v>
      </c>
      <c r="Q704" t="n">
        <v>0.0988</v>
      </c>
      <c r="R704" t="inlineStr">
        <is>
          <t>T1499:Endpoint Denial of Service</t>
        </is>
      </c>
      <c r="S704" t="n">
        <v>1</v>
      </c>
      <c r="T704" t="inlineStr">
        <is>
          <t>LOW (40%)</t>
        </is>
      </c>
      <c r="U704" t="inlineStr">
        <is>
          <t>UNLIKELY</t>
        </is>
      </c>
      <c r="V704" t="inlineStr">
        <is>
          <t>PATCH_AVAILABLE</t>
        </is>
      </c>
      <c r="W704" t="inlineStr">
        <is>
          <t>https://nvd.nist.gov/vuln/detail/CVE-2025-3525</t>
        </is>
      </c>
      <c r="X704" t="inlineStr">
        <is>
          <t>NONE</t>
        </is>
      </c>
      <c r="Y704" t="n">
        <v>0</v>
      </c>
      <c r="Z704" t="inlineStr"/>
      <c r="AA704" t="inlineStr">
        <is>
          <t>https://nvd.nist.gov/vuln/detail/CVE-2025-3525</t>
        </is>
      </c>
    </row>
    <row r="705">
      <c r="A705" t="inlineStr">
        <is>
          <t>CVE</t>
        </is>
      </c>
      <c r="B705" t="inlineStr">
        <is>
          <t>CVE-2026-22719</t>
        </is>
      </c>
      <c r="C705"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705" t="n">
        <v>8.1</v>
      </c>
      <c r="E705" t="inlineStr">
        <is>
          <t>HIGH</t>
        </is>
      </c>
      <c r="F705" t="n">
        <v>2</v>
      </c>
      <c r="G705" t="n">
        <v>3</v>
      </c>
      <c r="H705" t="inlineStr">
        <is>
          <t>HIGH</t>
        </is>
      </c>
      <c r="I705" t="n">
        <v>14.1</v>
      </c>
      <c r="J705" t="inlineStr">
        <is>
          <t>NO</t>
        </is>
      </c>
      <c r="K705" t="inlineStr">
        <is>
          <t>2026-02-27 20:47</t>
        </is>
      </c>
      <c r="L705" t="inlineStr">
        <is>
          <t>CHECK_VENDOR</t>
        </is>
      </c>
      <c r="M705" t="inlineStr">
        <is>
          <t>See CVE details</t>
        </is>
      </c>
      <c r="N705" t="inlineStr">
        <is>
          <t>P3</t>
        </is>
      </c>
      <c r="O705" t="inlineStr">
        <is>
          <t>CVE - IP enrichment n/a</t>
        </is>
      </c>
      <c r="P705" t="n">
        <v>0.0033</v>
      </c>
      <c r="Q705" t="n">
        <v>0.5569</v>
      </c>
      <c r="R705" t="inlineStr">
        <is>
          <t>T1059:Command and Scripting Interpreter | T1190:Exploit Public-Facing Application | T1210:Exploitation of Remote Services</t>
        </is>
      </c>
      <c r="S705" t="n">
        <v>1</v>
      </c>
      <c r="T705" t="inlineStr">
        <is>
          <t>LOW (40%)</t>
        </is>
      </c>
      <c r="U705" t="inlineStr">
        <is>
          <t>UNLIKELY</t>
        </is>
      </c>
      <c r="V705" t="inlineStr">
        <is>
          <t>CHECK_VENDOR</t>
        </is>
      </c>
      <c r="W705" t="inlineStr">
        <is>
          <t>https://nvd.nist.gov/vuln/detail/CVE-2026-22719</t>
        </is>
      </c>
      <c r="X705" t="inlineStr">
        <is>
          <t>NONE</t>
        </is>
      </c>
      <c r="Y705" t="n">
        <v>0</v>
      </c>
      <c r="Z705" t="inlineStr"/>
      <c r="AA705" t="inlineStr">
        <is>
          <t>https://nvd.nist.gov/vuln/detail/CVE-2026-22719</t>
        </is>
      </c>
    </row>
    <row r="706">
      <c r="A706" t="inlineStr">
        <is>
          <t>CVE</t>
        </is>
      </c>
      <c r="B706" t="inlineStr">
        <is>
          <t>CVE-2026-22720</t>
        </is>
      </c>
      <c r="C706"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706" t="n">
        <v>8</v>
      </c>
      <c r="E706" t="inlineStr">
        <is>
          <t>HIGH</t>
        </is>
      </c>
      <c r="F706" t="n">
        <v>2</v>
      </c>
      <c r="G706" t="n">
        <v>3</v>
      </c>
      <c r="H706" t="inlineStr">
        <is>
          <t>HIGH</t>
        </is>
      </c>
      <c r="I706" t="n">
        <v>14</v>
      </c>
      <c r="J706" t="inlineStr">
        <is>
          <t>NO</t>
        </is>
      </c>
      <c r="K706" t="inlineStr">
        <is>
          <t>2026-02-27 20:47</t>
        </is>
      </c>
      <c r="L706" t="inlineStr">
        <is>
          <t>CHECK_VENDOR</t>
        </is>
      </c>
      <c r="M706" t="inlineStr">
        <is>
          <t>See CVE details</t>
        </is>
      </c>
      <c r="N706" t="inlineStr">
        <is>
          <t>P3</t>
        </is>
      </c>
      <c r="O706" t="inlineStr">
        <is>
          <t>CVE - IP enrichment n/a</t>
        </is>
      </c>
      <c r="P706" t="n">
        <v>0.0008</v>
      </c>
      <c r="Q706" t="n">
        <v>0.2262</v>
      </c>
      <c r="R706" t="inlineStr">
        <is>
          <t>T1189:Drive-by Compromise</t>
        </is>
      </c>
      <c r="S706" t="n">
        <v>1</v>
      </c>
      <c r="T706" t="inlineStr">
        <is>
          <t>LOW (40%)</t>
        </is>
      </c>
      <c r="U706" t="inlineStr">
        <is>
          <t>UNLIKELY</t>
        </is>
      </c>
      <c r="V706" t="inlineStr">
        <is>
          <t>CHECK_VENDOR</t>
        </is>
      </c>
      <c r="W706" t="inlineStr">
        <is>
          <t>https://nvd.nist.gov/vuln/detail/CVE-2026-22720</t>
        </is>
      </c>
      <c r="X706" t="inlineStr">
        <is>
          <t>NONE</t>
        </is>
      </c>
      <c r="Y706" t="n">
        <v>0</v>
      </c>
      <c r="Z706" t="inlineStr"/>
      <c r="AA706" t="inlineStr">
        <is>
          <t>https://nvd.nist.gov/vuln/detail/CVE-2026-22720</t>
        </is>
      </c>
    </row>
    <row r="707">
      <c r="A707" t="inlineStr">
        <is>
          <t>CVE</t>
        </is>
      </c>
      <c r="B707" t="inlineStr">
        <is>
          <t>CVE-2026-25136</t>
        </is>
      </c>
      <c r="C707"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707" t="n">
        <v>8.1</v>
      </c>
      <c r="E707" t="inlineStr">
        <is>
          <t>HIGH</t>
        </is>
      </c>
      <c r="F707" t="n">
        <v>2</v>
      </c>
      <c r="G707" t="n">
        <v>3</v>
      </c>
      <c r="H707" t="inlineStr">
        <is>
          <t>HIGH</t>
        </is>
      </c>
      <c r="I707" t="n">
        <v>14.1</v>
      </c>
      <c r="J707" t="inlineStr">
        <is>
          <t>NO</t>
        </is>
      </c>
      <c r="K707" t="inlineStr">
        <is>
          <t>2026-02-27 20:47</t>
        </is>
      </c>
      <c r="L707" t="inlineStr">
        <is>
          <t>YES</t>
        </is>
      </c>
      <c r="M707" t="inlineStr">
        <is>
          <t>cern rucio *</t>
        </is>
      </c>
      <c r="N707" t="inlineStr">
        <is>
          <t>P3</t>
        </is>
      </c>
      <c r="O707" t="inlineStr">
        <is>
          <t>CVE - IP enrichment n/a</t>
        </is>
      </c>
      <c r="P707" t="n">
        <v>0.0003</v>
      </c>
      <c r="Q707" t="n">
        <v>0.093</v>
      </c>
      <c r="R707" t="inlineStr">
        <is>
          <t>T1189:Drive-by Compromise</t>
        </is>
      </c>
      <c r="S707" t="n">
        <v>1</v>
      </c>
      <c r="T707" t="inlineStr">
        <is>
          <t>LOW (40%)</t>
        </is>
      </c>
      <c r="U707" t="inlineStr">
        <is>
          <t>UNLIKELY</t>
        </is>
      </c>
      <c r="V707" t="inlineStr">
        <is>
          <t>PATCH_AVAILABLE</t>
        </is>
      </c>
      <c r="W707" t="inlineStr">
        <is>
          <t>https://nvd.nist.gov/vuln/detail/CVE-2026-25136</t>
        </is>
      </c>
      <c r="X707" t="inlineStr">
        <is>
          <t>NONE</t>
        </is>
      </c>
      <c r="Y707" t="n">
        <v>0</v>
      </c>
      <c r="Z707" t="inlineStr"/>
      <c r="AA707" t="inlineStr">
        <is>
          <t>https://nvd.nist.gov/vuln/detail/CVE-2026-25136</t>
        </is>
      </c>
    </row>
    <row r="708">
      <c r="A708" t="inlineStr">
        <is>
          <t>CVE</t>
        </is>
      </c>
      <c r="B708" t="inlineStr">
        <is>
          <t>CVE-2026-25138</t>
        </is>
      </c>
      <c r="C708"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708" t="n">
        <v>5.3</v>
      </c>
      <c r="E708" t="inlineStr">
        <is>
          <t>MEDIUM</t>
        </is>
      </c>
      <c r="F708" t="n">
        <v>2</v>
      </c>
      <c r="G708" t="n">
        <v>2</v>
      </c>
      <c r="H708" t="inlineStr">
        <is>
          <t>MEDIUM</t>
        </is>
      </c>
      <c r="I708" t="n">
        <v>9.300000000000001</v>
      </c>
      <c r="J708" t="inlineStr">
        <is>
          <t>NO</t>
        </is>
      </c>
      <c r="K708" t="inlineStr">
        <is>
          <t>2026-02-27 20:47</t>
        </is>
      </c>
      <c r="L708" t="inlineStr">
        <is>
          <t>YES</t>
        </is>
      </c>
      <c r="M708" t="inlineStr">
        <is>
          <t>cern rucio *</t>
        </is>
      </c>
      <c r="N708" t="inlineStr">
        <is>
          <t>P4</t>
        </is>
      </c>
      <c r="O708" t="inlineStr">
        <is>
          <t>CVE - IP enrichment n/a</t>
        </is>
      </c>
      <c r="P708" t="n">
        <v>0.0003</v>
      </c>
      <c r="Q708" t="n">
        <v>0.0922</v>
      </c>
      <c r="R708" t="inlineStr">
        <is>
          <t>T1190:Exploit Public-Facing Application</t>
        </is>
      </c>
      <c r="S708" t="n">
        <v>1</v>
      </c>
      <c r="T708" t="inlineStr">
        <is>
          <t>LOW (40%)</t>
        </is>
      </c>
      <c r="U708" t="inlineStr">
        <is>
          <t>UNLIKELY</t>
        </is>
      </c>
      <c r="V708" t="inlineStr">
        <is>
          <t>PATCH_AVAILABLE</t>
        </is>
      </c>
      <c r="W708" t="inlineStr">
        <is>
          <t>https://nvd.nist.gov/vuln/detail/CVE-2026-25138</t>
        </is>
      </c>
      <c r="X708" t="inlineStr">
        <is>
          <t>NONE</t>
        </is>
      </c>
      <c r="Y708" t="n">
        <v>0</v>
      </c>
      <c r="Z708" t="inlineStr"/>
      <c r="AA708" t="inlineStr">
        <is>
          <t>https://nvd.nist.gov/vuln/detail/CVE-2026-25138</t>
        </is>
      </c>
    </row>
    <row r="709">
      <c r="A709" t="inlineStr">
        <is>
          <t>CVE</t>
        </is>
      </c>
      <c r="B709" t="inlineStr">
        <is>
          <t>CVE-2026-25733</t>
        </is>
      </c>
      <c r="C709"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709" t="n">
        <v>7.3</v>
      </c>
      <c r="E709" t="inlineStr">
        <is>
          <t>HIGH</t>
        </is>
      </c>
      <c r="F709" t="n">
        <v>2</v>
      </c>
      <c r="G709" t="n">
        <v>3</v>
      </c>
      <c r="H709" t="inlineStr">
        <is>
          <t>HIGH</t>
        </is>
      </c>
      <c r="I709" t="n">
        <v>13.3</v>
      </c>
      <c r="J709" t="inlineStr">
        <is>
          <t>NO</t>
        </is>
      </c>
      <c r="K709" t="inlineStr">
        <is>
          <t>2026-02-27 20:47</t>
        </is>
      </c>
      <c r="L709" t="inlineStr">
        <is>
          <t>CHECK_VENDOR</t>
        </is>
      </c>
      <c r="M709" t="inlineStr">
        <is>
          <t>See CVE details</t>
        </is>
      </c>
      <c r="N709" t="inlineStr">
        <is>
          <t>P3</t>
        </is>
      </c>
      <c r="O709" t="inlineStr">
        <is>
          <t>CVE - IP enrichment n/a</t>
        </is>
      </c>
      <c r="P709" t="n">
        <v>0.0003</v>
      </c>
      <c r="Q709" t="n">
        <v>0.0867</v>
      </c>
      <c r="R709" t="inlineStr">
        <is>
          <t>T1189:Drive-by Compromise</t>
        </is>
      </c>
      <c r="S709" t="n">
        <v>1</v>
      </c>
      <c r="T709" t="inlineStr">
        <is>
          <t>LOW (40%)</t>
        </is>
      </c>
      <c r="U709" t="inlineStr">
        <is>
          <t>UNLIKELY</t>
        </is>
      </c>
      <c r="V709" t="inlineStr">
        <is>
          <t>CHECK_VENDOR</t>
        </is>
      </c>
      <c r="W709" t="inlineStr">
        <is>
          <t>https://nvd.nist.gov/vuln/detail/CVE-2026-25733</t>
        </is>
      </c>
      <c r="X709" t="inlineStr">
        <is>
          <t>NONE</t>
        </is>
      </c>
      <c r="Y709" t="n">
        <v>0</v>
      </c>
      <c r="Z709" t="inlineStr"/>
      <c r="AA709" t="inlineStr">
        <is>
          <t>https://nvd.nist.gov/vuln/detail/CVE-2026-25733</t>
        </is>
      </c>
    </row>
    <row r="710">
      <c r="A710" t="inlineStr">
        <is>
          <t>CVE</t>
        </is>
      </c>
      <c r="B710" t="inlineStr">
        <is>
          <t>CVE-2026-25734</t>
        </is>
      </c>
      <c r="C710"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710" t="n">
        <v>6.1</v>
      </c>
      <c r="E710" t="inlineStr">
        <is>
          <t>MEDIUM</t>
        </is>
      </c>
      <c r="F710" t="n">
        <v>2</v>
      </c>
      <c r="G710" t="n">
        <v>2</v>
      </c>
      <c r="H710" t="inlineStr">
        <is>
          <t>MEDIUM</t>
        </is>
      </c>
      <c r="I710" t="n">
        <v>10.1</v>
      </c>
      <c r="J710" t="inlineStr">
        <is>
          <t>NO</t>
        </is>
      </c>
      <c r="K710" t="inlineStr">
        <is>
          <t>2026-02-27 20:47</t>
        </is>
      </c>
      <c r="L710" t="inlineStr">
        <is>
          <t>CHECK_VENDOR</t>
        </is>
      </c>
      <c r="M710" t="inlineStr">
        <is>
          <t>See CVE details</t>
        </is>
      </c>
      <c r="N710" t="inlineStr">
        <is>
          <t>P4</t>
        </is>
      </c>
      <c r="O710" t="inlineStr">
        <is>
          <t>CVE - IP enrichment n/a</t>
        </is>
      </c>
      <c r="P710" t="n">
        <v>0.0003</v>
      </c>
      <c r="Q710" t="n">
        <v>0.08799999999999999</v>
      </c>
      <c r="R710" t="inlineStr">
        <is>
          <t>T1189:Drive-by Compromise</t>
        </is>
      </c>
      <c r="S710" t="n">
        <v>1</v>
      </c>
      <c r="T710" t="inlineStr">
        <is>
          <t>LOW (40%)</t>
        </is>
      </c>
      <c r="U710" t="inlineStr">
        <is>
          <t>UNLIKELY</t>
        </is>
      </c>
      <c r="V710" t="inlineStr">
        <is>
          <t>CHECK_VENDOR</t>
        </is>
      </c>
      <c r="W710" t="inlineStr">
        <is>
          <t>https://nvd.nist.gov/vuln/detail/CVE-2026-25734</t>
        </is>
      </c>
      <c r="X710" t="inlineStr">
        <is>
          <t>NONE</t>
        </is>
      </c>
      <c r="Y710" t="n">
        <v>0</v>
      </c>
      <c r="Z710" t="inlineStr"/>
      <c r="AA710" t="inlineStr">
        <is>
          <t>https://nvd.nist.gov/vuln/detail/CVE-2026-25734</t>
        </is>
      </c>
    </row>
    <row r="711">
      <c r="A711" t="inlineStr">
        <is>
          <t>CVE</t>
        </is>
      </c>
      <c r="B711" t="inlineStr">
        <is>
          <t>CVE-2026-25735</t>
        </is>
      </c>
      <c r="C711"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711" t="n">
        <v>6.1</v>
      </c>
      <c r="E711" t="inlineStr">
        <is>
          <t>MEDIUM</t>
        </is>
      </c>
      <c r="F711" t="n">
        <v>2</v>
      </c>
      <c r="G711" t="n">
        <v>2</v>
      </c>
      <c r="H711" t="inlineStr">
        <is>
          <t>MEDIUM</t>
        </is>
      </c>
      <c r="I711" t="n">
        <v>10.1</v>
      </c>
      <c r="J711" t="inlineStr">
        <is>
          <t>NO</t>
        </is>
      </c>
      <c r="K711" t="inlineStr">
        <is>
          <t>2026-02-27 20:47</t>
        </is>
      </c>
      <c r="L711" t="inlineStr">
        <is>
          <t>CHECK_VENDOR</t>
        </is>
      </c>
      <c r="M711" t="inlineStr">
        <is>
          <t>See CVE details</t>
        </is>
      </c>
      <c r="N711" t="inlineStr">
        <is>
          <t>P4</t>
        </is>
      </c>
      <c r="O711" t="inlineStr">
        <is>
          <t>CVE - IP enrichment n/a</t>
        </is>
      </c>
      <c r="P711" t="n">
        <v>0.0003</v>
      </c>
      <c r="Q711" t="n">
        <v>0.08799999999999999</v>
      </c>
      <c r="R711" t="inlineStr">
        <is>
          <t>T1189:Drive-by Compromise</t>
        </is>
      </c>
      <c r="S711" t="n">
        <v>1</v>
      </c>
      <c r="T711" t="inlineStr">
        <is>
          <t>LOW (40%)</t>
        </is>
      </c>
      <c r="U711" t="inlineStr">
        <is>
          <t>UNLIKELY</t>
        </is>
      </c>
      <c r="V711" t="inlineStr">
        <is>
          <t>CHECK_VENDOR</t>
        </is>
      </c>
      <c r="W711" t="inlineStr">
        <is>
          <t>https://nvd.nist.gov/vuln/detail/CVE-2026-25735</t>
        </is>
      </c>
      <c r="X711" t="inlineStr">
        <is>
          <t>NONE</t>
        </is>
      </c>
      <c r="Y711" t="n">
        <v>0</v>
      </c>
      <c r="Z711" t="inlineStr"/>
      <c r="AA711" t="inlineStr">
        <is>
          <t>https://nvd.nist.gov/vuln/detail/CVE-2026-25735</t>
        </is>
      </c>
    </row>
    <row r="712">
      <c r="A712" t="inlineStr">
        <is>
          <t>CVE</t>
        </is>
      </c>
      <c r="B712" t="inlineStr">
        <is>
          <t>CVE-2026-25736</t>
        </is>
      </c>
      <c r="C712"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712" t="n">
        <v>6.1</v>
      </c>
      <c r="E712" t="inlineStr">
        <is>
          <t>MEDIUM</t>
        </is>
      </c>
      <c r="F712" t="n">
        <v>2</v>
      </c>
      <c r="G712" t="n">
        <v>2</v>
      </c>
      <c r="H712" t="inlineStr">
        <is>
          <t>MEDIUM</t>
        </is>
      </c>
      <c r="I712" t="n">
        <v>10.1</v>
      </c>
      <c r="J712" t="inlineStr">
        <is>
          <t>NO</t>
        </is>
      </c>
      <c r="K712" t="inlineStr">
        <is>
          <t>2026-02-27 20:47</t>
        </is>
      </c>
      <c r="L712" t="inlineStr">
        <is>
          <t>CHECK_VENDOR</t>
        </is>
      </c>
      <c r="M712" t="inlineStr">
        <is>
          <t>See CVE details</t>
        </is>
      </c>
      <c r="N712" t="inlineStr">
        <is>
          <t>P4</t>
        </is>
      </c>
      <c r="O712" t="inlineStr">
        <is>
          <t>CVE - IP enrichment n/a</t>
        </is>
      </c>
      <c r="P712" t="n">
        <v>0.0003</v>
      </c>
      <c r="Q712" t="n">
        <v>0.08799999999999999</v>
      </c>
      <c r="R712" t="inlineStr">
        <is>
          <t>T1189:Drive-by Compromise</t>
        </is>
      </c>
      <c r="S712" t="n">
        <v>1</v>
      </c>
      <c r="T712" t="inlineStr">
        <is>
          <t>LOW (40%)</t>
        </is>
      </c>
      <c r="U712" t="inlineStr">
        <is>
          <t>UNLIKELY</t>
        </is>
      </c>
      <c r="V712" t="inlineStr">
        <is>
          <t>CHECK_VENDOR</t>
        </is>
      </c>
      <c r="W712" t="inlineStr">
        <is>
          <t>https://nvd.nist.gov/vuln/detail/CVE-2026-25736</t>
        </is>
      </c>
      <c r="X712" t="inlineStr">
        <is>
          <t>NONE</t>
        </is>
      </c>
      <c r="Y712" t="n">
        <v>0</v>
      </c>
      <c r="Z712" t="inlineStr"/>
      <c r="AA712" t="inlineStr">
        <is>
          <t>https://nvd.nist.gov/vuln/detail/CVE-2026-25736</t>
        </is>
      </c>
    </row>
    <row r="713">
      <c r="A713" t="inlineStr">
        <is>
          <t>CVE</t>
        </is>
      </c>
      <c r="B713" t="inlineStr">
        <is>
          <t>CVE-2026-25941</t>
        </is>
      </c>
      <c r="C713"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713" t="n">
        <v>4.3</v>
      </c>
      <c r="E713" t="inlineStr">
        <is>
          <t>MEDIUM</t>
        </is>
      </c>
      <c r="F713" t="n">
        <v>2</v>
      </c>
      <c r="G713" t="n">
        <v>2</v>
      </c>
      <c r="H713" t="inlineStr">
        <is>
          <t>MEDIUM</t>
        </is>
      </c>
      <c r="I713" t="n">
        <v>9</v>
      </c>
      <c r="J713" t="inlineStr">
        <is>
          <t>NO</t>
        </is>
      </c>
      <c r="K713" t="inlineStr">
        <is>
          <t>2026-02-27 20:47</t>
        </is>
      </c>
      <c r="L713" t="inlineStr">
        <is>
          <t>YES</t>
        </is>
      </c>
      <c r="M713" t="inlineStr">
        <is>
          <t>freerdp freerdp *</t>
        </is>
      </c>
      <c r="N713" t="inlineStr">
        <is>
          <t>P3</t>
        </is>
      </c>
      <c r="O713" t="inlineStr">
        <is>
          <t>CVE - IP enrichment n/a</t>
        </is>
      </c>
      <c r="P713" t="n">
        <v>0.0004</v>
      </c>
      <c r="Q713" t="n">
        <v>0.122</v>
      </c>
      <c r="R713" t="inlineStr">
        <is>
          <t>T1203:Exploitation for Client Execution | T1213:Data from Information Repositories</t>
        </is>
      </c>
      <c r="S713" t="n">
        <v>2</v>
      </c>
      <c r="T713" t="inlineStr">
        <is>
          <t>MEDIUM (52%)</t>
        </is>
      </c>
      <c r="U713" t="inlineStr">
        <is>
          <t>UNLIKELY</t>
        </is>
      </c>
      <c r="V713" t="inlineStr">
        <is>
          <t>PATCH_AVAILABLE</t>
        </is>
      </c>
      <c r="W713" t="inlineStr">
        <is>
          <t>https://nvd.nist.gov/vuln/detail/CVE-2026-25941</t>
        </is>
      </c>
      <c r="X713" t="inlineStr">
        <is>
          <t>NONE</t>
        </is>
      </c>
      <c r="Y713" t="n">
        <v>0</v>
      </c>
      <c r="Z713" t="inlineStr"/>
      <c r="AA713" t="inlineStr">
        <is>
          <t>https://nvd.nist.gov/vuln/detail/CVE-2026-25941</t>
        </is>
      </c>
    </row>
    <row r="714">
      <c r="A714" t="inlineStr">
        <is>
          <t>CVE</t>
        </is>
      </c>
      <c r="B714" t="inlineStr">
        <is>
          <t>CVE-2026-2636</t>
        </is>
      </c>
      <c r="C714"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714" t="n">
        <v>5.5</v>
      </c>
      <c r="E714" t="inlineStr">
        <is>
          <t>MEDIUM</t>
        </is>
      </c>
      <c r="F714" t="n">
        <v>2</v>
      </c>
      <c r="G714" t="n">
        <v>2</v>
      </c>
      <c r="H714" t="inlineStr">
        <is>
          <t>MEDIUM</t>
        </is>
      </c>
      <c r="I714" t="n">
        <v>9.5</v>
      </c>
      <c r="J714" t="inlineStr">
        <is>
          <t>NO</t>
        </is>
      </c>
      <c r="K714" t="inlineStr">
        <is>
          <t>2026-02-27 20:47</t>
        </is>
      </c>
      <c r="L714" t="inlineStr">
        <is>
          <t>CHECK_VENDOR</t>
        </is>
      </c>
      <c r="M714" t="inlineStr">
        <is>
          <t>See CVE details</t>
        </is>
      </c>
      <c r="N714" t="inlineStr">
        <is>
          <t>P3</t>
        </is>
      </c>
      <c r="O714" t="inlineStr">
        <is>
          <t>CVE - IP enrichment n/a</t>
        </is>
      </c>
      <c r="P714" t="n">
        <v>0.0004</v>
      </c>
      <c r="Q714" t="n">
        <v>0.111</v>
      </c>
      <c r="R714" t="inlineStr">
        <is>
          <t>T1190:Exploit Public-Facing Application</t>
        </is>
      </c>
      <c r="S714" t="n">
        <v>2</v>
      </c>
      <c r="T714" t="inlineStr">
        <is>
          <t>MEDIUM (52%)</t>
        </is>
      </c>
      <c r="U714" t="inlineStr">
        <is>
          <t>UNLIKELY</t>
        </is>
      </c>
      <c r="V714" t="inlineStr">
        <is>
          <t>CHECK_VENDOR</t>
        </is>
      </c>
      <c r="W714" t="inlineStr">
        <is>
          <t>https://nvd.nist.gov/vuln/detail/CVE-2026-2636</t>
        </is>
      </c>
      <c r="X714" t="inlineStr">
        <is>
          <t>NONE</t>
        </is>
      </c>
      <c r="Y714" t="n">
        <v>0</v>
      </c>
      <c r="Z714" t="inlineStr"/>
      <c r="AA714" t="inlineStr">
        <is>
          <t>https://nvd.nist.gov/vuln/detail/CVE-2026-2636</t>
        </is>
      </c>
    </row>
    <row r="715">
      <c r="A715" t="inlineStr">
        <is>
          <t>CVE</t>
        </is>
      </c>
      <c r="B715" t="inlineStr">
        <is>
          <t>CVE-2025-14511</t>
        </is>
      </c>
      <c r="C715"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715" t="n">
        <v>7.5</v>
      </c>
      <c r="E715" t="inlineStr">
        <is>
          <t>HIGH</t>
        </is>
      </c>
      <c r="F715" t="n">
        <v>2</v>
      </c>
      <c r="G715" t="n">
        <v>3</v>
      </c>
      <c r="H715" t="inlineStr">
        <is>
          <t>HIGH</t>
        </is>
      </c>
      <c r="I715" t="n">
        <v>13.5</v>
      </c>
      <c r="J715" t="inlineStr">
        <is>
          <t>NO</t>
        </is>
      </c>
      <c r="K715" t="inlineStr">
        <is>
          <t>2026-02-27 20:47</t>
        </is>
      </c>
      <c r="L715" t="inlineStr">
        <is>
          <t>CHECK_VENDOR</t>
        </is>
      </c>
      <c r="M715" t="inlineStr">
        <is>
          <t>See CVE details</t>
        </is>
      </c>
      <c r="N715" t="inlineStr">
        <is>
          <t>P3</t>
        </is>
      </c>
      <c r="O715" t="inlineStr">
        <is>
          <t>CVE - IP enrichment n/a</t>
        </is>
      </c>
      <c r="P715" t="n">
        <v>0.0003</v>
      </c>
      <c r="Q715" t="n">
        <v>0.0819</v>
      </c>
      <c r="R715" t="inlineStr">
        <is>
          <t>T1499:Endpoint Denial of Service</t>
        </is>
      </c>
      <c r="S715" t="n">
        <v>1</v>
      </c>
      <c r="T715" t="inlineStr">
        <is>
          <t>LOW (40%)</t>
        </is>
      </c>
      <c r="U715" t="inlineStr">
        <is>
          <t>UNLIKELY</t>
        </is>
      </c>
      <c r="V715" t="inlineStr">
        <is>
          <t>CHECK_VENDOR</t>
        </is>
      </c>
      <c r="W715" t="inlineStr">
        <is>
          <t>https://nvd.nist.gov/vuln/detail/CVE-2025-14511</t>
        </is>
      </c>
      <c r="X715" t="inlineStr">
        <is>
          <t>NONE</t>
        </is>
      </c>
      <c r="Y715" t="n">
        <v>0</v>
      </c>
      <c r="Z715" t="inlineStr"/>
      <c r="AA715" t="inlineStr">
        <is>
          <t>https://nvd.nist.gov/vuln/detail/CVE-2025-14511</t>
        </is>
      </c>
    </row>
    <row r="716">
      <c r="A716" t="inlineStr">
        <is>
          <t>CVE</t>
        </is>
      </c>
      <c r="B716" t="inlineStr">
        <is>
          <t>CVE-2026-0542</t>
        </is>
      </c>
      <c r="C716"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716" t="n">
        <v>8.5</v>
      </c>
      <c r="E716" t="inlineStr">
        <is>
          <t>HIGH</t>
        </is>
      </c>
      <c r="F716" t="n">
        <v>2</v>
      </c>
      <c r="G716" t="n">
        <v>3</v>
      </c>
      <c r="H716" t="inlineStr">
        <is>
          <t>HIGH</t>
        </is>
      </c>
      <c r="I716" t="n">
        <v>14.5</v>
      </c>
      <c r="J716" t="inlineStr">
        <is>
          <t>NO</t>
        </is>
      </c>
      <c r="K716" t="inlineStr">
        <is>
          <t>2026-02-27 20:47</t>
        </is>
      </c>
      <c r="L716" t="inlineStr">
        <is>
          <t>CHECK_VENDOR</t>
        </is>
      </c>
      <c r="M716" t="inlineStr">
        <is>
          <t>See CVE details</t>
        </is>
      </c>
      <c r="N716" t="inlineStr">
        <is>
          <t>P3</t>
        </is>
      </c>
      <c r="O716" t="inlineStr">
        <is>
          <t>CVE - IP enrichment n/a</t>
        </is>
      </c>
      <c r="P716" t="n">
        <v>0.0021</v>
      </c>
      <c r="Q716" t="n">
        <v>0.431</v>
      </c>
      <c r="R716" t="inlineStr">
        <is>
          <t>T1190:Exploit Public-Facing Application | T1210:Exploitation of Remote Services</t>
        </is>
      </c>
      <c r="S716" t="n">
        <v>1</v>
      </c>
      <c r="T716" t="inlineStr">
        <is>
          <t>LOW (40%)</t>
        </is>
      </c>
      <c r="U716" t="inlineStr">
        <is>
          <t>UNLIKELY</t>
        </is>
      </c>
      <c r="V716" t="inlineStr">
        <is>
          <t>CHECK_VENDOR</t>
        </is>
      </c>
      <c r="W716" t="inlineStr">
        <is>
          <t>https://nvd.nist.gov/vuln/detail/CVE-2026-0542</t>
        </is>
      </c>
      <c r="X716" t="inlineStr">
        <is>
          <t>NONE</t>
        </is>
      </c>
      <c r="Y716" t="n">
        <v>0</v>
      </c>
      <c r="Z716" t="inlineStr"/>
      <c r="AA716" t="inlineStr">
        <is>
          <t>https://nvd.nist.gov/vuln/detail/CVE-2026-0542</t>
        </is>
      </c>
    </row>
    <row r="717">
      <c r="A717" t="inlineStr">
        <is>
          <t>CVE</t>
        </is>
      </c>
      <c r="B717" t="inlineStr">
        <is>
          <t>CVE-2026-0752</t>
        </is>
      </c>
      <c r="C717"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717" t="n">
        <v>8</v>
      </c>
      <c r="E717" t="inlineStr">
        <is>
          <t>HIGH</t>
        </is>
      </c>
      <c r="F717" t="n">
        <v>2</v>
      </c>
      <c r="G717" t="n">
        <v>3</v>
      </c>
      <c r="H717" t="inlineStr">
        <is>
          <t>HIGH</t>
        </is>
      </c>
      <c r="I717" t="n">
        <v>14</v>
      </c>
      <c r="J717" t="inlineStr">
        <is>
          <t>NO</t>
        </is>
      </c>
      <c r="K717" t="inlineStr">
        <is>
          <t>2026-02-27 20:47</t>
        </is>
      </c>
      <c r="L717" t="inlineStr">
        <is>
          <t>CHECK_VENDOR</t>
        </is>
      </c>
      <c r="M717" t="inlineStr">
        <is>
          <t>See CVE details</t>
        </is>
      </c>
      <c r="N717" t="inlineStr">
        <is>
          <t>P3</t>
        </is>
      </c>
      <c r="O717" t="inlineStr">
        <is>
          <t>CVE - IP enrichment n/a</t>
        </is>
      </c>
      <c r="P717" t="n">
        <v>0.0004</v>
      </c>
      <c r="Q717" t="n">
        <v>0.1349</v>
      </c>
      <c r="R717" t="inlineStr">
        <is>
          <t>T1189:Drive-by Compromise</t>
        </is>
      </c>
      <c r="S717" t="n">
        <v>1</v>
      </c>
      <c r="T717" t="inlineStr">
        <is>
          <t>LOW (40%)</t>
        </is>
      </c>
      <c r="U717" t="inlineStr">
        <is>
          <t>UNLIKELY</t>
        </is>
      </c>
      <c r="V717" t="inlineStr">
        <is>
          <t>CHECK_VENDOR</t>
        </is>
      </c>
      <c r="W717" t="inlineStr">
        <is>
          <t>https://nvd.nist.gov/vuln/detail/CVE-2026-0752</t>
        </is>
      </c>
      <c r="X717" t="inlineStr">
        <is>
          <t>NONE</t>
        </is>
      </c>
      <c r="Y717" t="n">
        <v>0</v>
      </c>
      <c r="Z717" t="inlineStr"/>
      <c r="AA717" t="inlineStr">
        <is>
          <t>https://nvd.nist.gov/vuln/detail/CVE-2026-0752</t>
        </is>
      </c>
    </row>
    <row r="718">
      <c r="A718" t="inlineStr">
        <is>
          <t>CVE</t>
        </is>
      </c>
      <c r="B718" t="inlineStr">
        <is>
          <t>CVE-2026-1388</t>
        </is>
      </c>
      <c r="C718"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718" t="n">
        <v>7.5</v>
      </c>
      <c r="E718" t="inlineStr">
        <is>
          <t>HIGH</t>
        </is>
      </c>
      <c r="F718" t="n">
        <v>2</v>
      </c>
      <c r="G718" t="n">
        <v>3</v>
      </c>
      <c r="H718" t="inlineStr">
        <is>
          <t>HIGH</t>
        </is>
      </c>
      <c r="I718" t="n">
        <v>13.5</v>
      </c>
      <c r="J718" t="inlineStr">
        <is>
          <t>NO</t>
        </is>
      </c>
      <c r="K718" t="inlineStr">
        <is>
          <t>2026-02-27 20:47</t>
        </is>
      </c>
      <c r="L718" t="inlineStr">
        <is>
          <t>CHECK_VENDOR</t>
        </is>
      </c>
      <c r="M718" t="inlineStr">
        <is>
          <t>See CVE details</t>
        </is>
      </c>
      <c r="N718" t="inlineStr">
        <is>
          <t>P3</t>
        </is>
      </c>
      <c r="O718" t="inlineStr">
        <is>
          <t>CVE - IP enrichment n/a</t>
        </is>
      </c>
      <c r="P718" t="n">
        <v>0.0004</v>
      </c>
      <c r="Q718" t="n">
        <v>0.1241</v>
      </c>
      <c r="R718" t="inlineStr">
        <is>
          <t>T1499:Endpoint Denial of Service</t>
        </is>
      </c>
      <c r="S718" t="n">
        <v>1</v>
      </c>
      <c r="T718" t="inlineStr">
        <is>
          <t>LOW (40%)</t>
        </is>
      </c>
      <c r="U718" t="inlineStr">
        <is>
          <t>UNLIKELY</t>
        </is>
      </c>
      <c r="V718" t="inlineStr">
        <is>
          <t>CHECK_VENDOR</t>
        </is>
      </c>
      <c r="W718" t="inlineStr">
        <is>
          <t>https://nvd.nist.gov/vuln/detail/CVE-2026-1388</t>
        </is>
      </c>
      <c r="X718" t="inlineStr">
        <is>
          <t>NONE</t>
        </is>
      </c>
      <c r="Y718" t="n">
        <v>0</v>
      </c>
      <c r="Z718" t="inlineStr"/>
      <c r="AA718" t="inlineStr">
        <is>
          <t>https://nvd.nist.gov/vuln/detail/CVE-2026-1388</t>
        </is>
      </c>
    </row>
    <row r="719">
      <c r="A719" t="inlineStr">
        <is>
          <t>CVE</t>
        </is>
      </c>
      <c r="B719" t="inlineStr">
        <is>
          <t>CVE-2026-1662</t>
        </is>
      </c>
      <c r="C719"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719" t="n">
        <v>7.5</v>
      </c>
      <c r="E719" t="inlineStr">
        <is>
          <t>HIGH</t>
        </is>
      </c>
      <c r="F719" t="n">
        <v>2</v>
      </c>
      <c r="G719" t="n">
        <v>3</v>
      </c>
      <c r="H719" t="inlineStr">
        <is>
          <t>HIGH</t>
        </is>
      </c>
      <c r="I719" t="n">
        <v>13.5</v>
      </c>
      <c r="J719" t="inlineStr">
        <is>
          <t>NO</t>
        </is>
      </c>
      <c r="K719" t="inlineStr">
        <is>
          <t>2026-02-27 20:47</t>
        </is>
      </c>
      <c r="L719" t="inlineStr">
        <is>
          <t>CHECK_VENDOR</t>
        </is>
      </c>
      <c r="M719" t="inlineStr">
        <is>
          <t>See CVE details</t>
        </is>
      </c>
      <c r="N719" t="inlineStr">
        <is>
          <t>P3</t>
        </is>
      </c>
      <c r="O719" t="inlineStr">
        <is>
          <t>CVE - IP enrichment n/a</t>
        </is>
      </c>
      <c r="P719" t="n">
        <v>0.0004</v>
      </c>
      <c r="Q719" t="n">
        <v>0.1216</v>
      </c>
      <c r="R719" t="inlineStr">
        <is>
          <t>T1499:Endpoint Denial of Service</t>
        </is>
      </c>
      <c r="S719" t="n">
        <v>1</v>
      </c>
      <c r="T719" t="inlineStr">
        <is>
          <t>LOW (40%)</t>
        </is>
      </c>
      <c r="U719" t="inlineStr">
        <is>
          <t>UNLIKELY</t>
        </is>
      </c>
      <c r="V719" t="inlineStr">
        <is>
          <t>CHECK_VENDOR</t>
        </is>
      </c>
      <c r="W719" t="inlineStr">
        <is>
          <t>https://nvd.nist.gov/vuln/detail/CVE-2026-1662</t>
        </is>
      </c>
      <c r="X719" t="inlineStr">
        <is>
          <t>NONE</t>
        </is>
      </c>
      <c r="Y719" t="n">
        <v>0</v>
      </c>
      <c r="Z719" t="inlineStr"/>
      <c r="AA719" t="inlineStr">
        <is>
          <t>https://nvd.nist.gov/vuln/detail/CVE-2026-1662</t>
        </is>
      </c>
    </row>
    <row r="720">
      <c r="A720" t="inlineStr">
        <is>
          <t>CVE</t>
        </is>
      </c>
      <c r="B720" t="inlineStr">
        <is>
          <t>CVE-2026-1725</t>
        </is>
      </c>
      <c r="C720" t="inlineStr">
        <is>
          <t>GitLab has remediated an issue in GitLab CE/EE affecting versions from 18.9 before 18.9.1 that could have under certain conditions, allowed an unauthenticated user to cause denial of service by sending specially crafted requests to a CI jobs API endpoint.</t>
        </is>
      </c>
      <c r="D720" t="n">
        <v>5.3</v>
      </c>
      <c r="E720" t="inlineStr">
        <is>
          <t>MEDIUM</t>
        </is>
      </c>
      <c r="F720" t="n">
        <v>2</v>
      </c>
      <c r="G720" t="n">
        <v>2</v>
      </c>
      <c r="H720" t="inlineStr">
        <is>
          <t>MEDIUM</t>
        </is>
      </c>
      <c r="I720" t="n">
        <v>9.300000000000001</v>
      </c>
      <c r="J720" t="inlineStr">
        <is>
          <t>NO</t>
        </is>
      </c>
      <c r="K720" t="inlineStr">
        <is>
          <t>2026-02-27 20:47</t>
        </is>
      </c>
      <c r="L720" t="inlineStr">
        <is>
          <t>CHECK_VENDOR</t>
        </is>
      </c>
      <c r="M720" t="inlineStr">
        <is>
          <t>See CVE details</t>
        </is>
      </c>
      <c r="N720" t="inlineStr">
        <is>
          <t>P4</t>
        </is>
      </c>
      <c r="O720" t="inlineStr">
        <is>
          <t>CVE - IP enrichment n/a</t>
        </is>
      </c>
      <c r="P720" t="n">
        <v>0.0003</v>
      </c>
      <c r="Q720" t="n">
        <v>0.0974</v>
      </c>
      <c r="R720" t="inlineStr">
        <is>
          <t>T1499:Endpoint Denial of Service</t>
        </is>
      </c>
      <c r="S720" t="n">
        <v>1</v>
      </c>
      <c r="T720" t="inlineStr">
        <is>
          <t>LOW (40%)</t>
        </is>
      </c>
      <c r="U720" t="inlineStr">
        <is>
          <t>UNLIKELY</t>
        </is>
      </c>
      <c r="V720" t="inlineStr">
        <is>
          <t>CHECK_VENDOR</t>
        </is>
      </c>
      <c r="W720" t="inlineStr">
        <is>
          <t>https://nvd.nist.gov/vuln/detail/CVE-2026-1725</t>
        </is>
      </c>
      <c r="X720" t="inlineStr">
        <is>
          <t>NONE</t>
        </is>
      </c>
      <c r="Y720" t="n">
        <v>0</v>
      </c>
      <c r="Z720" t="inlineStr"/>
      <c r="AA720" t="inlineStr">
        <is>
          <t>https://nvd.nist.gov/vuln/detail/CVE-2026-1725</t>
        </is>
      </c>
    </row>
    <row r="721">
      <c r="A721" t="inlineStr">
        <is>
          <t>CVE</t>
        </is>
      </c>
      <c r="B721" t="inlineStr">
        <is>
          <t>CVE-2026-1747</t>
        </is>
      </c>
      <c r="C721"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721" t="n">
        <v>4.3</v>
      </c>
      <c r="E721" t="inlineStr">
        <is>
          <t>MEDIUM</t>
        </is>
      </c>
      <c r="F721" t="n">
        <v>2</v>
      </c>
      <c r="G721" t="n">
        <v>2</v>
      </c>
      <c r="H721" t="inlineStr">
        <is>
          <t>MEDIUM</t>
        </is>
      </c>
      <c r="I721" t="n">
        <v>8.300000000000001</v>
      </c>
      <c r="J721" t="inlineStr">
        <is>
          <t>NO</t>
        </is>
      </c>
      <c r="K721" t="inlineStr">
        <is>
          <t>2026-02-27 20:47</t>
        </is>
      </c>
      <c r="L721" t="inlineStr">
        <is>
          <t>CHECK_VENDOR</t>
        </is>
      </c>
      <c r="M721" t="inlineStr">
        <is>
          <t>See CVE details</t>
        </is>
      </c>
      <c r="N721" t="inlineStr">
        <is>
          <t>P4</t>
        </is>
      </c>
      <c r="O721" t="inlineStr">
        <is>
          <t>CVE - IP enrichment n/a</t>
        </is>
      </c>
      <c r="P721" t="n">
        <v>0.0001</v>
      </c>
      <c r="Q721" t="n">
        <v>0.017</v>
      </c>
      <c r="R721" t="inlineStr">
        <is>
          <t>T1190:Exploit Public-Facing Application</t>
        </is>
      </c>
      <c r="S721" t="n">
        <v>1</v>
      </c>
      <c r="T721" t="inlineStr">
        <is>
          <t>LOW (40%)</t>
        </is>
      </c>
      <c r="U721" t="inlineStr">
        <is>
          <t>UNLIKELY</t>
        </is>
      </c>
      <c r="V721" t="inlineStr">
        <is>
          <t>CHECK_VENDOR</t>
        </is>
      </c>
      <c r="W721" t="inlineStr">
        <is>
          <t>https://nvd.nist.gov/vuln/detail/CVE-2026-1747</t>
        </is>
      </c>
      <c r="X721" t="inlineStr">
        <is>
          <t>NONE</t>
        </is>
      </c>
      <c r="Y721" t="n">
        <v>0</v>
      </c>
      <c r="Z721" t="inlineStr"/>
      <c r="AA721" t="inlineStr">
        <is>
          <t>https://nvd.nist.gov/vuln/detail/CVE-2026-1747</t>
        </is>
      </c>
    </row>
    <row r="722">
      <c r="A722" t="inlineStr">
        <is>
          <t>CVE</t>
        </is>
      </c>
      <c r="B722" t="inlineStr">
        <is>
          <t>CVE-2026-22721</t>
        </is>
      </c>
      <c r="C722"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722" t="n">
        <v>6.2</v>
      </c>
      <c r="E722" t="inlineStr">
        <is>
          <t>MEDIUM</t>
        </is>
      </c>
      <c r="F722" t="n">
        <v>2</v>
      </c>
      <c r="G722" t="n">
        <v>2</v>
      </c>
      <c r="H722" t="inlineStr">
        <is>
          <t>MEDIUM</t>
        </is>
      </c>
      <c r="I722" t="n">
        <v>10.2</v>
      </c>
      <c r="J722" t="inlineStr">
        <is>
          <t>NO</t>
        </is>
      </c>
      <c r="K722" t="inlineStr">
        <is>
          <t>2026-02-27 20:47</t>
        </is>
      </c>
      <c r="L722" t="inlineStr">
        <is>
          <t>CHECK_VENDOR</t>
        </is>
      </c>
      <c r="M722" t="inlineStr">
        <is>
          <t>See CVE details</t>
        </is>
      </c>
      <c r="N722" t="inlineStr">
        <is>
          <t>P4</t>
        </is>
      </c>
      <c r="O722" t="inlineStr">
        <is>
          <t>CVE - IP enrichment n/a</t>
        </is>
      </c>
      <c r="P722" t="n">
        <v>0.0005</v>
      </c>
      <c r="Q722" t="n">
        <v>0.1593</v>
      </c>
      <c r="R722" t="inlineStr">
        <is>
          <t>T1068:Exploitation for Privilege Escalation</t>
        </is>
      </c>
      <c r="S722" t="n">
        <v>1</v>
      </c>
      <c r="T722" t="inlineStr">
        <is>
          <t>LOW (40%)</t>
        </is>
      </c>
      <c r="U722" t="inlineStr">
        <is>
          <t>UNLIKELY</t>
        </is>
      </c>
      <c r="V722" t="inlineStr">
        <is>
          <t>CHECK_VENDOR</t>
        </is>
      </c>
      <c r="W722" t="inlineStr">
        <is>
          <t>https://nvd.nist.gov/vuln/detail/CVE-2026-22721</t>
        </is>
      </c>
      <c r="X722" t="inlineStr">
        <is>
          <t>NONE</t>
        </is>
      </c>
      <c r="Y722" t="n">
        <v>0</v>
      </c>
      <c r="Z722" t="inlineStr"/>
      <c r="AA722" t="inlineStr">
        <is>
          <t>https://nvd.nist.gov/vuln/detail/CVE-2026-22721</t>
        </is>
      </c>
    </row>
    <row r="723">
      <c r="A723" t="inlineStr">
        <is>
          <t>CVE</t>
        </is>
      </c>
      <c r="B723" t="inlineStr">
        <is>
          <t>CVE-2026-25942</t>
        </is>
      </c>
      <c r="C723"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723" t="n">
        <v>7.5</v>
      </c>
      <c r="E723" t="inlineStr">
        <is>
          <t>HIGH</t>
        </is>
      </c>
      <c r="F723" t="n">
        <v>2</v>
      </c>
      <c r="G723" t="n">
        <v>3</v>
      </c>
      <c r="H723" t="inlineStr">
        <is>
          <t>HIGH</t>
        </is>
      </c>
      <c r="I723" t="n">
        <v>13.5</v>
      </c>
      <c r="J723" t="inlineStr">
        <is>
          <t>NO</t>
        </is>
      </c>
      <c r="K723" t="inlineStr">
        <is>
          <t>2026-02-27 20:47</t>
        </is>
      </c>
      <c r="L723" t="inlineStr">
        <is>
          <t>YES</t>
        </is>
      </c>
      <c r="M723" t="inlineStr">
        <is>
          <t>freerdp freerdp *</t>
        </is>
      </c>
      <c r="N723" t="inlineStr">
        <is>
          <t>P3</t>
        </is>
      </c>
      <c r="O723" t="inlineStr">
        <is>
          <t>CVE - IP enrichment n/a</t>
        </is>
      </c>
      <c r="P723" t="n">
        <v>0.0005</v>
      </c>
      <c r="Q723" t="n">
        <v>0.1559</v>
      </c>
      <c r="R723" t="inlineStr">
        <is>
          <t>T1203:Exploitation for Client Execution</t>
        </is>
      </c>
      <c r="S723" t="n">
        <v>2</v>
      </c>
      <c r="T723" t="inlineStr">
        <is>
          <t>MEDIUM (52%)</t>
        </is>
      </c>
      <c r="U723" t="inlineStr">
        <is>
          <t>UNLIKELY</t>
        </is>
      </c>
      <c r="V723" t="inlineStr">
        <is>
          <t>PATCH_AVAILABLE</t>
        </is>
      </c>
      <c r="W723" t="inlineStr">
        <is>
          <t>https://nvd.nist.gov/vuln/detail/CVE-2026-25942</t>
        </is>
      </c>
      <c r="X723" t="inlineStr">
        <is>
          <t>NONE</t>
        </is>
      </c>
      <c r="Y723" t="n">
        <v>0</v>
      </c>
      <c r="Z723" t="inlineStr"/>
      <c r="AA723" t="inlineStr">
        <is>
          <t>https://nvd.nist.gov/vuln/detail/CVE-2026-25942</t>
        </is>
      </c>
    </row>
    <row r="724">
      <c r="A724" t="inlineStr">
        <is>
          <t>CVE</t>
        </is>
      </c>
      <c r="B724" t="inlineStr">
        <is>
          <t>CVE-2026-25952</t>
        </is>
      </c>
      <c r="C724"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724" t="n">
        <v>9.800000000000001</v>
      </c>
      <c r="E724" t="inlineStr">
        <is>
          <t>CRITICAL</t>
        </is>
      </c>
      <c r="F724" t="n">
        <v>2</v>
      </c>
      <c r="G724" t="n">
        <v>3</v>
      </c>
      <c r="H724" t="inlineStr">
        <is>
          <t>HIGH</t>
        </is>
      </c>
      <c r="I724" t="n">
        <v>15.8</v>
      </c>
      <c r="J724" t="inlineStr">
        <is>
          <t>NO</t>
        </is>
      </c>
      <c r="K724" t="inlineStr">
        <is>
          <t>2026-02-27 20:47</t>
        </is>
      </c>
      <c r="L724" t="inlineStr">
        <is>
          <t>YES</t>
        </is>
      </c>
      <c r="M724" t="inlineStr">
        <is>
          <t>freerdp freerdp *</t>
        </is>
      </c>
      <c r="N724" t="inlineStr">
        <is>
          <t>P3</t>
        </is>
      </c>
      <c r="O724" t="inlineStr">
        <is>
          <t>CVE - IP enrichment n/a</t>
        </is>
      </c>
      <c r="P724" t="n">
        <v>0.0007</v>
      </c>
      <c r="Q724" t="n">
        <v>0.2027</v>
      </c>
      <c r="R724" t="inlineStr">
        <is>
          <t>T1203:Exploitation for Client Execution</t>
        </is>
      </c>
      <c r="S724" t="n">
        <v>2</v>
      </c>
      <c r="T724" t="inlineStr">
        <is>
          <t>MEDIUM (52%)</t>
        </is>
      </c>
      <c r="U724" t="inlineStr">
        <is>
          <t>UNLIKELY</t>
        </is>
      </c>
      <c r="V724" t="inlineStr">
        <is>
          <t>PATCH_AVAILABLE</t>
        </is>
      </c>
      <c r="W724" t="inlineStr">
        <is>
          <t>https://nvd.nist.gov/vuln/detail/CVE-2026-25952</t>
        </is>
      </c>
      <c r="X724" t="inlineStr">
        <is>
          <t>NONE</t>
        </is>
      </c>
      <c r="Y724" t="n">
        <v>0</v>
      </c>
      <c r="Z724" t="inlineStr"/>
      <c r="AA724" t="inlineStr">
        <is>
          <t>https://nvd.nist.gov/vuln/detail/CVE-2026-25952</t>
        </is>
      </c>
    </row>
    <row r="725">
      <c r="A725" t="inlineStr">
        <is>
          <t>CVE</t>
        </is>
      </c>
      <c r="B725" t="inlineStr">
        <is>
          <t>CVE-2026-25953</t>
        </is>
      </c>
      <c r="C725"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725" t="n">
        <v>9.800000000000001</v>
      </c>
      <c r="E725" t="inlineStr">
        <is>
          <t>CRITICAL</t>
        </is>
      </c>
      <c r="F725" t="n">
        <v>2</v>
      </c>
      <c r="G725" t="n">
        <v>3</v>
      </c>
      <c r="H725" t="inlineStr">
        <is>
          <t>HIGH</t>
        </is>
      </c>
      <c r="I725" t="n">
        <v>15.8</v>
      </c>
      <c r="J725" t="inlineStr">
        <is>
          <t>NO</t>
        </is>
      </c>
      <c r="K725" t="inlineStr">
        <is>
          <t>2026-02-27 20:47</t>
        </is>
      </c>
      <c r="L725" t="inlineStr">
        <is>
          <t>YES</t>
        </is>
      </c>
      <c r="M725" t="inlineStr">
        <is>
          <t>freerdp freerdp *</t>
        </is>
      </c>
      <c r="N725" t="inlineStr">
        <is>
          <t>P3</t>
        </is>
      </c>
      <c r="O725" t="inlineStr">
        <is>
          <t>CVE - IP enrichment n/a</t>
        </is>
      </c>
      <c r="P725" t="n">
        <v>0.0007</v>
      </c>
      <c r="Q725" t="n">
        <v>0.2027</v>
      </c>
      <c r="R725" t="inlineStr">
        <is>
          <t>T1203:Exploitation for Client Execution</t>
        </is>
      </c>
      <c r="S725" t="n">
        <v>2</v>
      </c>
      <c r="T725" t="inlineStr">
        <is>
          <t>MEDIUM (52%)</t>
        </is>
      </c>
      <c r="U725" t="inlineStr">
        <is>
          <t>UNLIKELY</t>
        </is>
      </c>
      <c r="V725" t="inlineStr">
        <is>
          <t>PATCH_AVAILABLE</t>
        </is>
      </c>
      <c r="W725" t="inlineStr">
        <is>
          <t>https://nvd.nist.gov/vuln/detail/CVE-2026-25953</t>
        </is>
      </c>
      <c r="X725" t="inlineStr">
        <is>
          <t>NONE</t>
        </is>
      </c>
      <c r="Y725" t="n">
        <v>0</v>
      </c>
      <c r="Z725" t="inlineStr"/>
      <c r="AA725" t="inlineStr">
        <is>
          <t>https://nvd.nist.gov/vuln/detail/CVE-2026-25953</t>
        </is>
      </c>
    </row>
    <row r="726">
      <c r="A726" t="inlineStr">
        <is>
          <t>CVE</t>
        </is>
      </c>
      <c r="B726" t="inlineStr">
        <is>
          <t>CVE-2026-25954</t>
        </is>
      </c>
      <c r="C726"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726" t="n">
        <v>7.5</v>
      </c>
      <c r="E726" t="inlineStr">
        <is>
          <t>HIGH</t>
        </is>
      </c>
      <c r="F726" t="n">
        <v>2</v>
      </c>
      <c r="G726" t="n">
        <v>3</v>
      </c>
      <c r="H726" t="inlineStr">
        <is>
          <t>HIGH</t>
        </is>
      </c>
      <c r="I726" t="n">
        <v>13.5</v>
      </c>
      <c r="J726" t="inlineStr">
        <is>
          <t>NO</t>
        </is>
      </c>
      <c r="K726" t="inlineStr">
        <is>
          <t>2026-02-27 20:47</t>
        </is>
      </c>
      <c r="L726" t="inlineStr">
        <is>
          <t>YES</t>
        </is>
      </c>
      <c r="M726" t="inlineStr">
        <is>
          <t>freerdp freerdp *</t>
        </is>
      </c>
      <c r="N726" t="inlineStr">
        <is>
          <t>P3</t>
        </is>
      </c>
      <c r="O726" t="inlineStr">
        <is>
          <t>CVE - IP enrichment n/a</t>
        </is>
      </c>
      <c r="P726" t="n">
        <v>0.0005</v>
      </c>
      <c r="Q726" t="n">
        <v>0.1521</v>
      </c>
      <c r="R726" t="inlineStr">
        <is>
          <t>T1203:Exploitation for Client Execution</t>
        </is>
      </c>
      <c r="S726" t="n">
        <v>2</v>
      </c>
      <c r="T726" t="inlineStr">
        <is>
          <t>MEDIUM (52%)</t>
        </is>
      </c>
      <c r="U726" t="inlineStr">
        <is>
          <t>UNLIKELY</t>
        </is>
      </c>
      <c r="V726" t="inlineStr">
        <is>
          <t>PATCH_AVAILABLE</t>
        </is>
      </c>
      <c r="W726" t="inlineStr">
        <is>
          <t>https://nvd.nist.gov/vuln/detail/CVE-2026-25954</t>
        </is>
      </c>
      <c r="X726" t="inlineStr">
        <is>
          <t>NONE</t>
        </is>
      </c>
      <c r="Y726" t="n">
        <v>0</v>
      </c>
      <c r="Z726" t="inlineStr"/>
      <c r="AA726" t="inlineStr">
        <is>
          <t>https://nvd.nist.gov/vuln/detail/CVE-2026-25954</t>
        </is>
      </c>
    </row>
    <row r="727">
      <c r="A727" t="inlineStr">
        <is>
          <t>CVE</t>
        </is>
      </c>
      <c r="B727" t="inlineStr">
        <is>
          <t>CVE-2026-25955</t>
        </is>
      </c>
      <c r="C727"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727" t="n">
        <v>9.800000000000001</v>
      </c>
      <c r="E727" t="inlineStr">
        <is>
          <t>CRITICAL</t>
        </is>
      </c>
      <c r="F727" t="n">
        <v>2</v>
      </c>
      <c r="G727" t="n">
        <v>3</v>
      </c>
      <c r="H727" t="inlineStr">
        <is>
          <t>HIGH</t>
        </is>
      </c>
      <c r="I727" t="n">
        <v>15.8</v>
      </c>
      <c r="J727" t="inlineStr">
        <is>
          <t>NO</t>
        </is>
      </c>
      <c r="K727" t="inlineStr">
        <is>
          <t>2026-02-27 20:47</t>
        </is>
      </c>
      <c r="L727" t="inlineStr">
        <is>
          <t>YES</t>
        </is>
      </c>
      <c r="M727" t="inlineStr">
        <is>
          <t>freerdp freerdp *</t>
        </is>
      </c>
      <c r="N727" t="inlineStr">
        <is>
          <t>P3</t>
        </is>
      </c>
      <c r="O727" t="inlineStr">
        <is>
          <t>CVE - IP enrichment n/a</t>
        </is>
      </c>
      <c r="P727" t="n">
        <v>0.0005</v>
      </c>
      <c r="Q727" t="n">
        <v>0.1559</v>
      </c>
      <c r="R727" t="inlineStr">
        <is>
          <t>T1203:Exploitation for Client Execution</t>
        </is>
      </c>
      <c r="S727" t="n">
        <v>2</v>
      </c>
      <c r="T727" t="inlineStr">
        <is>
          <t>MEDIUM (52%)</t>
        </is>
      </c>
      <c r="U727" t="inlineStr">
        <is>
          <t>UNLIKELY</t>
        </is>
      </c>
      <c r="V727" t="inlineStr">
        <is>
          <t>PATCH_AVAILABLE</t>
        </is>
      </c>
      <c r="W727" t="inlineStr">
        <is>
          <t>https://nvd.nist.gov/vuln/detail/CVE-2026-25955</t>
        </is>
      </c>
      <c r="X727" t="inlineStr">
        <is>
          <t>NONE</t>
        </is>
      </c>
      <c r="Y727" t="n">
        <v>0</v>
      </c>
      <c r="Z727" t="inlineStr"/>
      <c r="AA727" t="inlineStr">
        <is>
          <t>https://nvd.nist.gov/vuln/detail/CVE-2026-25955</t>
        </is>
      </c>
    </row>
    <row r="728">
      <c r="A728" t="inlineStr">
        <is>
          <t>CVE</t>
        </is>
      </c>
      <c r="B728" t="inlineStr">
        <is>
          <t>CVE-2026-25959</t>
        </is>
      </c>
      <c r="C728"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728" t="n">
        <v>9.800000000000001</v>
      </c>
      <c r="E728" t="inlineStr">
        <is>
          <t>CRITICAL</t>
        </is>
      </c>
      <c r="F728" t="n">
        <v>2</v>
      </c>
      <c r="G728" t="n">
        <v>3</v>
      </c>
      <c r="H728" t="inlineStr">
        <is>
          <t>HIGH</t>
        </is>
      </c>
      <c r="I728" t="n">
        <v>15.8</v>
      </c>
      <c r="J728" t="inlineStr">
        <is>
          <t>NO</t>
        </is>
      </c>
      <c r="K728" t="inlineStr">
        <is>
          <t>2026-02-27 20:47</t>
        </is>
      </c>
      <c r="L728" t="inlineStr">
        <is>
          <t>YES</t>
        </is>
      </c>
      <c r="M728" t="inlineStr">
        <is>
          <t>freerdp freerdp *</t>
        </is>
      </c>
      <c r="N728" t="inlineStr">
        <is>
          <t>P3</t>
        </is>
      </c>
      <c r="O728" t="inlineStr">
        <is>
          <t>CVE - IP enrichment n/a</t>
        </is>
      </c>
      <c r="P728" t="n">
        <v>0.0007</v>
      </c>
      <c r="Q728" t="n">
        <v>0.2027</v>
      </c>
      <c r="R728" t="inlineStr">
        <is>
          <t>T1203:Exploitation for Client Execution</t>
        </is>
      </c>
      <c r="S728" t="n">
        <v>2</v>
      </c>
      <c r="T728" t="inlineStr">
        <is>
          <t>MEDIUM (52%)</t>
        </is>
      </c>
      <c r="U728" t="inlineStr">
        <is>
          <t>UNLIKELY</t>
        </is>
      </c>
      <c r="V728" t="inlineStr">
        <is>
          <t>PATCH_AVAILABLE</t>
        </is>
      </c>
      <c r="W728" t="inlineStr">
        <is>
          <t>https://nvd.nist.gov/vuln/detail/CVE-2026-25959</t>
        </is>
      </c>
      <c r="X728" t="inlineStr">
        <is>
          <t>NONE</t>
        </is>
      </c>
      <c r="Y728" t="n">
        <v>0</v>
      </c>
      <c r="Z728" t="inlineStr"/>
      <c r="AA728" t="inlineStr">
        <is>
          <t>https://nvd.nist.gov/vuln/detail/CVE-2026-25959</t>
        </is>
      </c>
    </row>
    <row r="729">
      <c r="A729" t="inlineStr">
        <is>
          <t>CVE</t>
        </is>
      </c>
      <c r="B729" t="inlineStr">
        <is>
          <t>CVE-2026-25997</t>
        </is>
      </c>
      <c r="C729"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729" t="n">
        <v>9.800000000000001</v>
      </c>
      <c r="E729" t="inlineStr">
        <is>
          <t>CRITICAL</t>
        </is>
      </c>
      <c r="F729" t="n">
        <v>2</v>
      </c>
      <c r="G729" t="n">
        <v>3</v>
      </c>
      <c r="H729" t="inlineStr">
        <is>
          <t>HIGH</t>
        </is>
      </c>
      <c r="I729" t="n">
        <v>15.8</v>
      </c>
      <c r="J729" t="inlineStr">
        <is>
          <t>NO</t>
        </is>
      </c>
      <c r="K729" t="inlineStr">
        <is>
          <t>2026-02-27 20:47</t>
        </is>
      </c>
      <c r="L729" t="inlineStr">
        <is>
          <t>YES</t>
        </is>
      </c>
      <c r="M729" t="inlineStr">
        <is>
          <t>freerdp freerdp *</t>
        </is>
      </c>
      <c r="N729" t="inlineStr">
        <is>
          <t>P3</t>
        </is>
      </c>
      <c r="O729" t="inlineStr">
        <is>
          <t>CVE - IP enrichment n/a</t>
        </is>
      </c>
      <c r="P729" t="n">
        <v>0.0007</v>
      </c>
      <c r="Q729" t="n">
        <v>0.2027</v>
      </c>
      <c r="R729" t="inlineStr">
        <is>
          <t>T1203:Exploitation for Client Execution</t>
        </is>
      </c>
      <c r="S729" t="n">
        <v>2</v>
      </c>
      <c r="T729" t="inlineStr">
        <is>
          <t>MEDIUM (52%)</t>
        </is>
      </c>
      <c r="U729" t="inlineStr">
        <is>
          <t>UNLIKELY</t>
        </is>
      </c>
      <c r="V729" t="inlineStr">
        <is>
          <t>PATCH_AVAILABLE</t>
        </is>
      </c>
      <c r="W729" t="inlineStr">
        <is>
          <t>https://nvd.nist.gov/vuln/detail/CVE-2026-25997</t>
        </is>
      </c>
      <c r="X729" t="inlineStr">
        <is>
          <t>NONE</t>
        </is>
      </c>
      <c r="Y729" t="n">
        <v>0</v>
      </c>
      <c r="Z729" t="inlineStr"/>
      <c r="AA729" t="inlineStr">
        <is>
          <t>https://nvd.nist.gov/vuln/detail/CVE-2026-25997</t>
        </is>
      </c>
    </row>
    <row r="730">
      <c r="A730" t="inlineStr">
        <is>
          <t>CVE</t>
        </is>
      </c>
      <c r="B730" t="inlineStr">
        <is>
          <t>CVE-2026-26271</t>
        </is>
      </c>
      <c r="C730"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730" t="n">
        <v>5.3</v>
      </c>
      <c r="E730" t="inlineStr">
        <is>
          <t>MEDIUM</t>
        </is>
      </c>
      <c r="F730" t="n">
        <v>2</v>
      </c>
      <c r="G730" t="n">
        <v>2</v>
      </c>
      <c r="H730" t="inlineStr">
        <is>
          <t>MEDIUM</t>
        </is>
      </c>
      <c r="I730" t="n">
        <v>9.300000000000001</v>
      </c>
      <c r="J730" t="inlineStr">
        <is>
          <t>NO</t>
        </is>
      </c>
      <c r="K730" t="inlineStr">
        <is>
          <t>2026-02-27 20:47</t>
        </is>
      </c>
      <c r="L730" t="inlineStr">
        <is>
          <t>YES</t>
        </is>
      </c>
      <c r="M730" t="inlineStr">
        <is>
          <t>freerdp freerdp *</t>
        </is>
      </c>
      <c r="N730" t="inlineStr">
        <is>
          <t>P3</t>
        </is>
      </c>
      <c r="O730" t="inlineStr">
        <is>
          <t>CVE - IP enrichment n/a</t>
        </is>
      </c>
      <c r="P730" t="n">
        <v>0.0004</v>
      </c>
      <c r="Q730" t="n">
        <v>0.1273</v>
      </c>
      <c r="R730" t="inlineStr">
        <is>
          <t>T1557:Adversary-in-the-Middle</t>
        </is>
      </c>
      <c r="S730" t="n">
        <v>2</v>
      </c>
      <c r="T730" t="inlineStr">
        <is>
          <t>MEDIUM (52%)</t>
        </is>
      </c>
      <c r="U730" t="inlineStr">
        <is>
          <t>UNLIKELY</t>
        </is>
      </c>
      <c r="V730" t="inlineStr">
        <is>
          <t>PATCH_AVAILABLE</t>
        </is>
      </c>
      <c r="W730" t="inlineStr">
        <is>
          <t>https://nvd.nist.gov/vuln/detail/CVE-2026-26271</t>
        </is>
      </c>
      <c r="X730" t="inlineStr">
        <is>
          <t>NONE</t>
        </is>
      </c>
      <c r="Y730" t="n">
        <v>0</v>
      </c>
      <c r="Z730" t="inlineStr"/>
      <c r="AA730" t="inlineStr">
        <is>
          <t>https://nvd.nist.gov/vuln/detail/CVE-2026-26271</t>
        </is>
      </c>
    </row>
    <row r="731">
      <c r="A731" t="inlineStr">
        <is>
          <t>CVE</t>
        </is>
      </c>
      <c r="B731" t="inlineStr">
        <is>
          <t>CVE-2026-26955</t>
        </is>
      </c>
      <c r="C731"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731" t="n">
        <v>8.800000000000001</v>
      </c>
      <c r="E731" t="inlineStr">
        <is>
          <t>HIGH</t>
        </is>
      </c>
      <c r="F731" t="n">
        <v>2</v>
      </c>
      <c r="G731" t="n">
        <v>3</v>
      </c>
      <c r="H731" t="inlineStr">
        <is>
          <t>HIGH</t>
        </is>
      </c>
      <c r="I731" t="n">
        <v>14.8</v>
      </c>
      <c r="J731" t="inlineStr">
        <is>
          <t>NO</t>
        </is>
      </c>
      <c r="K731" t="inlineStr">
        <is>
          <t>2026-02-27 20:47</t>
        </is>
      </c>
      <c r="L731" t="inlineStr">
        <is>
          <t>YES</t>
        </is>
      </c>
      <c r="M731" t="inlineStr">
        <is>
          <t>freerdp freerdp *</t>
        </is>
      </c>
      <c r="N731" t="inlineStr">
        <is>
          <t>P3</t>
        </is>
      </c>
      <c r="O731" t="inlineStr">
        <is>
          <t>CVE - IP enrichment n/a</t>
        </is>
      </c>
      <c r="P731" t="n">
        <v>0.0004</v>
      </c>
      <c r="Q731" t="n">
        <v>0.1163</v>
      </c>
      <c r="R731" t="inlineStr">
        <is>
          <t>T1203:Exploitation for Client Execution | T1190:Exploit Public-Facing Application</t>
        </is>
      </c>
      <c r="S731" t="n">
        <v>1</v>
      </c>
      <c r="T731" t="inlineStr">
        <is>
          <t>LOW (40%)</t>
        </is>
      </c>
      <c r="U731" t="inlineStr">
        <is>
          <t>UNLIKELY</t>
        </is>
      </c>
      <c r="V731" t="inlineStr">
        <is>
          <t>PATCH_AVAILABLE</t>
        </is>
      </c>
      <c r="W731" t="inlineStr">
        <is>
          <t>https://nvd.nist.gov/vuln/detail/CVE-2026-26955</t>
        </is>
      </c>
      <c r="X731" t="inlineStr">
        <is>
          <t>NONE</t>
        </is>
      </c>
      <c r="Y731" t="n">
        <v>0</v>
      </c>
      <c r="Z731" t="inlineStr"/>
      <c r="AA731" t="inlineStr">
        <is>
          <t>https://nvd.nist.gov/vuln/detail/CVE-2026-26955</t>
        </is>
      </c>
    </row>
    <row r="732">
      <c r="A732" t="inlineStr">
        <is>
          <t>CVE</t>
        </is>
      </c>
      <c r="B732" t="inlineStr">
        <is>
          <t>CVE-2026-26965</t>
        </is>
      </c>
      <c r="C732"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732" t="n">
        <v>8.800000000000001</v>
      </c>
      <c r="E732" t="inlineStr">
        <is>
          <t>HIGH</t>
        </is>
      </c>
      <c r="F732" t="n">
        <v>2</v>
      </c>
      <c r="G732" t="n">
        <v>3</v>
      </c>
      <c r="H732" t="inlineStr">
        <is>
          <t>HIGH</t>
        </is>
      </c>
      <c r="I732" t="n">
        <v>14.8</v>
      </c>
      <c r="J732" t="inlineStr">
        <is>
          <t>NO</t>
        </is>
      </c>
      <c r="K732" t="inlineStr">
        <is>
          <t>2026-02-27 20:47</t>
        </is>
      </c>
      <c r="L732" t="inlineStr">
        <is>
          <t>YES</t>
        </is>
      </c>
      <c r="M732" t="inlineStr">
        <is>
          <t>freerdp freerdp *</t>
        </is>
      </c>
      <c r="N732" t="inlineStr">
        <is>
          <t>P3</t>
        </is>
      </c>
      <c r="O732" t="inlineStr">
        <is>
          <t>CVE - IP enrichment n/a</t>
        </is>
      </c>
      <c r="P732" t="n">
        <v>0.0004</v>
      </c>
      <c r="Q732" t="n">
        <v>0.1163</v>
      </c>
      <c r="R732" t="inlineStr">
        <is>
          <t>T1203:Exploitation for Client Execution</t>
        </is>
      </c>
      <c r="S732" t="n">
        <v>1</v>
      </c>
      <c r="T732" t="inlineStr">
        <is>
          <t>LOW (40%)</t>
        </is>
      </c>
      <c r="U732" t="inlineStr">
        <is>
          <t>UNLIKELY</t>
        </is>
      </c>
      <c r="V732" t="inlineStr">
        <is>
          <t>PATCH_AVAILABLE</t>
        </is>
      </c>
      <c r="W732" t="inlineStr">
        <is>
          <t>https://nvd.nist.gov/vuln/detail/CVE-2026-26965</t>
        </is>
      </c>
      <c r="X732" t="inlineStr">
        <is>
          <t>NONE</t>
        </is>
      </c>
      <c r="Y732" t="n">
        <v>0</v>
      </c>
      <c r="Z732" t="inlineStr"/>
      <c r="AA732" t="inlineStr">
        <is>
          <t>https://nvd.nist.gov/vuln/detail/CVE-2026-26965</t>
        </is>
      </c>
    </row>
    <row r="733">
      <c r="A733" t="inlineStr">
        <is>
          <t>CVE</t>
        </is>
      </c>
      <c r="B733" t="inlineStr">
        <is>
          <t>CVE-2026-27015</t>
        </is>
      </c>
      <c r="C733"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733" t="n">
        <v>6.5</v>
      </c>
      <c r="E733" t="inlineStr">
        <is>
          <t>MEDIUM</t>
        </is>
      </c>
      <c r="F733" t="n">
        <v>2</v>
      </c>
      <c r="G733" t="n">
        <v>2</v>
      </c>
      <c r="H733" t="inlineStr">
        <is>
          <t>MEDIUM</t>
        </is>
      </c>
      <c r="I733" t="n">
        <v>10.5</v>
      </c>
      <c r="J733" t="inlineStr">
        <is>
          <t>NO</t>
        </is>
      </c>
      <c r="K733" t="inlineStr">
        <is>
          <t>2026-02-27 20:47</t>
        </is>
      </c>
      <c r="L733" t="inlineStr">
        <is>
          <t>YES</t>
        </is>
      </c>
      <c r="M733" t="inlineStr">
        <is>
          <t>freerdp freerdp *</t>
        </is>
      </c>
      <c r="N733" t="inlineStr">
        <is>
          <t>P3</t>
        </is>
      </c>
      <c r="O733" t="inlineStr">
        <is>
          <t>CVE - IP enrichment n/a</t>
        </is>
      </c>
      <c r="P733" t="n">
        <v>0.0004</v>
      </c>
      <c r="Q733" t="n">
        <v>0.1273</v>
      </c>
      <c r="R733" t="inlineStr">
        <is>
          <t>T1190:Exploit Public-Facing Application</t>
        </is>
      </c>
      <c r="S733" t="n">
        <v>2</v>
      </c>
      <c r="T733" t="inlineStr">
        <is>
          <t>MEDIUM (52%)</t>
        </is>
      </c>
      <c r="U733" t="inlineStr">
        <is>
          <t>UNLIKELY</t>
        </is>
      </c>
      <c r="V733" t="inlineStr">
        <is>
          <t>PATCH_AVAILABLE</t>
        </is>
      </c>
      <c r="W733" t="inlineStr">
        <is>
          <t>https://nvd.nist.gov/vuln/detail/CVE-2026-27015</t>
        </is>
      </c>
      <c r="X733" t="inlineStr">
        <is>
          <t>NONE</t>
        </is>
      </c>
      <c r="Y733" t="n">
        <v>0</v>
      </c>
      <c r="Z733" t="inlineStr"/>
      <c r="AA733" t="inlineStr">
        <is>
          <t>https://nvd.nist.gov/vuln/detail/CVE-2026-27015</t>
        </is>
      </c>
    </row>
    <row r="734">
      <c r="A734" t="inlineStr">
        <is>
          <t>CVE</t>
        </is>
      </c>
      <c r="B734" t="inlineStr">
        <is>
          <t>CVE-2026-2845</t>
        </is>
      </c>
      <c r="C734"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734" t="n">
        <v>6.5</v>
      </c>
      <c r="E734" t="inlineStr">
        <is>
          <t>MEDIUM</t>
        </is>
      </c>
      <c r="F734" t="n">
        <v>2</v>
      </c>
      <c r="G734" t="n">
        <v>2</v>
      </c>
      <c r="H734" t="inlineStr">
        <is>
          <t>MEDIUM</t>
        </is>
      </c>
      <c r="I734" t="n">
        <v>10.5</v>
      </c>
      <c r="J734" t="inlineStr">
        <is>
          <t>NO</t>
        </is>
      </c>
      <c r="K734" t="inlineStr">
        <is>
          <t>2026-02-27 20:47</t>
        </is>
      </c>
      <c r="L734" t="inlineStr">
        <is>
          <t>CHECK_VENDOR</t>
        </is>
      </c>
      <c r="M734" t="inlineStr">
        <is>
          <t>See CVE details</t>
        </is>
      </c>
      <c r="N734" t="inlineStr">
        <is>
          <t>P4</t>
        </is>
      </c>
      <c r="O734" t="inlineStr">
        <is>
          <t>CVE - IP enrichment n/a</t>
        </is>
      </c>
      <c r="P734" t="n">
        <v>0.0003</v>
      </c>
      <c r="Q734" t="n">
        <v>0.08939999999999999</v>
      </c>
      <c r="R734" t="inlineStr">
        <is>
          <t>T1499:Endpoint Denial of Service</t>
        </is>
      </c>
      <c r="S734" t="n">
        <v>1</v>
      </c>
      <c r="T734" t="inlineStr">
        <is>
          <t>LOW (40%)</t>
        </is>
      </c>
      <c r="U734" t="inlineStr">
        <is>
          <t>UNLIKELY</t>
        </is>
      </c>
      <c r="V734" t="inlineStr">
        <is>
          <t>CHECK_VENDOR</t>
        </is>
      </c>
      <c r="W734" t="inlineStr">
        <is>
          <t>https://nvd.nist.gov/vuln/detail/CVE-2026-2845</t>
        </is>
      </c>
      <c r="X734" t="inlineStr">
        <is>
          <t>NONE</t>
        </is>
      </c>
      <c r="Y734" t="n">
        <v>0</v>
      </c>
      <c r="Z734" t="inlineStr"/>
      <c r="AA734" t="inlineStr">
        <is>
          <t>https://nvd.nist.gov/vuln/detail/CVE-2026-2845</t>
        </is>
      </c>
    </row>
    <row r="735">
      <c r="A735" t="inlineStr">
        <is>
          <t>CVE</t>
        </is>
      </c>
      <c r="B735" t="inlineStr">
        <is>
          <t>CVE-2026-3172</t>
        </is>
      </c>
      <c r="C735" t="inlineStr">
        <is>
          <t>Buffer overflow in parallel HNSW index build in pgvector 0.6.0 through 0.8.1 allows a database user to leak sensitive data from other relations or crash the database server.</t>
        </is>
      </c>
      <c r="D735" t="n">
        <v>8.1</v>
      </c>
      <c r="E735" t="inlineStr">
        <is>
          <t>HIGH</t>
        </is>
      </c>
      <c r="F735" t="n">
        <v>2</v>
      </c>
      <c r="G735" t="n">
        <v>3</v>
      </c>
      <c r="H735" t="inlineStr">
        <is>
          <t>HIGH</t>
        </is>
      </c>
      <c r="I735" t="n">
        <v>14.1</v>
      </c>
      <c r="J735" t="inlineStr">
        <is>
          <t>NO</t>
        </is>
      </c>
      <c r="K735" t="inlineStr">
        <is>
          <t>2026-02-27 20:47</t>
        </is>
      </c>
      <c r="L735" t="inlineStr">
        <is>
          <t>CHECK_VENDOR</t>
        </is>
      </c>
      <c r="M735" t="inlineStr">
        <is>
          <t>See CVE details</t>
        </is>
      </c>
      <c r="N735" t="inlineStr">
        <is>
          <t>P3</t>
        </is>
      </c>
      <c r="O735" t="inlineStr">
        <is>
          <t>CVE - IP enrichment n/a</t>
        </is>
      </c>
      <c r="P735" t="n">
        <v>0.0004</v>
      </c>
      <c r="Q735" t="n">
        <v>0.1279</v>
      </c>
      <c r="R735" t="inlineStr">
        <is>
          <t>T1203:Exploitation for Client Execution</t>
        </is>
      </c>
      <c r="S735" t="n">
        <v>1</v>
      </c>
      <c r="T735" t="inlineStr">
        <is>
          <t>LOW (40%)</t>
        </is>
      </c>
      <c r="U735" t="inlineStr">
        <is>
          <t>UNLIKELY</t>
        </is>
      </c>
      <c r="V735" t="inlineStr">
        <is>
          <t>CHECK_VENDOR</t>
        </is>
      </c>
      <c r="W735" t="inlineStr">
        <is>
          <t>https://nvd.nist.gov/vuln/detail/CVE-2026-3172</t>
        </is>
      </c>
      <c r="X735" t="inlineStr">
        <is>
          <t>NONE</t>
        </is>
      </c>
      <c r="Y735" t="n">
        <v>0</v>
      </c>
      <c r="Z735" t="inlineStr"/>
      <c r="AA735" t="inlineStr">
        <is>
          <t>https://nvd.nist.gov/vuln/detail/CVE-2026-3172</t>
        </is>
      </c>
    </row>
    <row r="736">
      <c r="A736" t="inlineStr">
        <is>
          <t>CVE</t>
        </is>
      </c>
      <c r="B736" t="inlineStr">
        <is>
          <t>CVE-2026-3200</t>
        </is>
      </c>
      <c r="C736"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736" t="n">
        <v>7.3</v>
      </c>
      <c r="E736" t="inlineStr">
        <is>
          <t>HIGH</t>
        </is>
      </c>
      <c r="F736" t="n">
        <v>2</v>
      </c>
      <c r="G736" t="n">
        <v>3</v>
      </c>
      <c r="H736" t="inlineStr">
        <is>
          <t>HIGH</t>
        </is>
      </c>
      <c r="I736" t="n">
        <v>13.3</v>
      </c>
      <c r="J736" t="inlineStr">
        <is>
          <t>NO</t>
        </is>
      </c>
      <c r="K736" t="inlineStr">
        <is>
          <t>2026-02-27 20:47</t>
        </is>
      </c>
      <c r="L736" t="inlineStr">
        <is>
          <t>CHECK_VENDOR</t>
        </is>
      </c>
      <c r="M736" t="inlineStr">
        <is>
          <t>See CVE details</t>
        </is>
      </c>
      <c r="N736" t="inlineStr">
        <is>
          <t>P3</t>
        </is>
      </c>
      <c r="O736" t="inlineStr">
        <is>
          <t>CVE - IP enrichment n/a</t>
        </is>
      </c>
      <c r="P736" t="n">
        <v>0.0005</v>
      </c>
      <c r="Q736" t="n">
        <v>0.1497</v>
      </c>
      <c r="R736" t="inlineStr">
        <is>
          <t>T1190:Exploit Public-Facing Application</t>
        </is>
      </c>
      <c r="S736" t="n">
        <v>1</v>
      </c>
      <c r="T736" t="inlineStr">
        <is>
          <t>LOW (40%)</t>
        </is>
      </c>
      <c r="U736" t="inlineStr">
        <is>
          <t>UNLIKELY</t>
        </is>
      </c>
      <c r="V736" t="inlineStr">
        <is>
          <t>CHECK_VENDOR</t>
        </is>
      </c>
      <c r="W736" t="inlineStr">
        <is>
          <t>https://nvd.nist.gov/vuln/detail/CVE-2026-3200</t>
        </is>
      </c>
      <c r="X736" t="inlineStr">
        <is>
          <t>NONE</t>
        </is>
      </c>
      <c r="Y736" t="n">
        <v>0</v>
      </c>
      <c r="Z736" t="inlineStr"/>
      <c r="AA736" t="inlineStr">
        <is>
          <t>https://nvd.nist.gov/vuln/detail/CVE-2026-3200</t>
        </is>
      </c>
    </row>
    <row r="737">
      <c r="A737" t="inlineStr">
        <is>
          <t>CVE</t>
        </is>
      </c>
      <c r="B737" t="inlineStr">
        <is>
          <t>CVE-2026-26984</t>
        </is>
      </c>
      <c r="C737"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737" t="n">
        <v>8.699999999999999</v>
      </c>
      <c r="E737" t="inlineStr">
        <is>
          <t>HIGH</t>
        </is>
      </c>
      <c r="F737" t="n">
        <v>2</v>
      </c>
      <c r="G737" t="n">
        <v>3</v>
      </c>
      <c r="H737" t="inlineStr">
        <is>
          <t>HIGH</t>
        </is>
      </c>
      <c r="I737" t="n">
        <v>14.7</v>
      </c>
      <c r="J737" t="inlineStr">
        <is>
          <t>NO</t>
        </is>
      </c>
      <c r="K737" t="inlineStr">
        <is>
          <t>2026-02-27 20:47</t>
        </is>
      </c>
      <c r="L737" t="inlineStr">
        <is>
          <t>CHECK_VENDOR</t>
        </is>
      </c>
      <c r="M737" t="inlineStr">
        <is>
          <t>See CVE details</t>
        </is>
      </c>
      <c r="N737" t="inlineStr">
        <is>
          <t>P3</t>
        </is>
      </c>
      <c r="O737" t="inlineStr">
        <is>
          <t>CVE - IP enrichment n/a</t>
        </is>
      </c>
      <c r="P737" t="n">
        <v>0.001</v>
      </c>
      <c r="Q737" t="n">
        <v>0.2766</v>
      </c>
      <c r="R737" t="inlineStr">
        <is>
          <t>T1083:File and Directory Discovery | T1190:Exploit Public-Facing Application | T1210:Exploitation of Remote Services</t>
        </is>
      </c>
      <c r="S737" t="n">
        <v>1</v>
      </c>
      <c r="T737" t="inlineStr">
        <is>
          <t>LOW (40%)</t>
        </is>
      </c>
      <c r="U737" t="inlineStr">
        <is>
          <t>UNLIKELY</t>
        </is>
      </c>
      <c r="V737" t="inlineStr">
        <is>
          <t>CHECK_VENDOR</t>
        </is>
      </c>
      <c r="W737" t="inlineStr">
        <is>
          <t>https://nvd.nist.gov/vuln/detail/CVE-2026-26984</t>
        </is>
      </c>
      <c r="X737" t="inlineStr">
        <is>
          <t>NONE</t>
        </is>
      </c>
      <c r="Y737" t="n">
        <v>0</v>
      </c>
      <c r="Z737" t="inlineStr"/>
      <c r="AA737" t="inlineStr">
        <is>
          <t>https://nvd.nist.gov/vuln/detail/CVE-2026-26984</t>
        </is>
      </c>
    </row>
    <row r="738">
      <c r="A738" t="inlineStr">
        <is>
          <t>CVE</t>
        </is>
      </c>
      <c r="B738" t="inlineStr">
        <is>
          <t>CVE-2026-26985</t>
        </is>
      </c>
      <c r="C738"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738" t="n">
        <v>8.1</v>
      </c>
      <c r="E738" t="inlineStr">
        <is>
          <t>HIGH</t>
        </is>
      </c>
      <c r="F738" t="n">
        <v>2</v>
      </c>
      <c r="G738" t="n">
        <v>3</v>
      </c>
      <c r="H738" t="inlineStr">
        <is>
          <t>HIGH</t>
        </is>
      </c>
      <c r="I738" t="n">
        <v>14.1</v>
      </c>
      <c r="J738" t="inlineStr">
        <is>
          <t>NO</t>
        </is>
      </c>
      <c r="K738" t="inlineStr">
        <is>
          <t>2026-02-27 20:47</t>
        </is>
      </c>
      <c r="L738" t="inlineStr">
        <is>
          <t>CHECK_VENDOR</t>
        </is>
      </c>
      <c r="M738" t="inlineStr">
        <is>
          <t>See CVE details</t>
        </is>
      </c>
      <c r="N738" t="inlineStr">
        <is>
          <t>P3</t>
        </is>
      </c>
      <c r="O738" t="inlineStr">
        <is>
          <t>CVE - IP enrichment n/a</t>
        </is>
      </c>
      <c r="P738" t="n">
        <v>0.0004</v>
      </c>
      <c r="Q738" t="n">
        <v>0.1138</v>
      </c>
      <c r="R738" t="inlineStr">
        <is>
          <t>T1083:File and Directory Discovery | T1190:Exploit Public-Facing Application | T1552:Unsecured Credentials</t>
        </is>
      </c>
      <c r="S738" t="n">
        <v>1</v>
      </c>
      <c r="T738" t="inlineStr">
        <is>
          <t>LOW (40%)</t>
        </is>
      </c>
      <c r="U738" t="inlineStr">
        <is>
          <t>UNLIKELY</t>
        </is>
      </c>
      <c r="V738" t="inlineStr">
        <is>
          <t>CHECK_VENDOR</t>
        </is>
      </c>
      <c r="W738" t="inlineStr">
        <is>
          <t>https://nvd.nist.gov/vuln/detail/CVE-2026-26985</t>
        </is>
      </c>
      <c r="X738" t="inlineStr">
        <is>
          <t>NONE</t>
        </is>
      </c>
      <c r="Y738" t="n">
        <v>0</v>
      </c>
      <c r="Z738" t="inlineStr"/>
      <c r="AA738" t="inlineStr">
        <is>
          <t>https://nvd.nist.gov/vuln/detail/CVE-2026-26985</t>
        </is>
      </c>
    </row>
    <row r="739">
      <c r="A739" t="inlineStr">
        <is>
          <t>CVE</t>
        </is>
      </c>
      <c r="B739" t="inlineStr">
        <is>
          <t>CVE-2026-26986</t>
        </is>
      </c>
      <c r="C739"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739" t="n">
        <v>5</v>
      </c>
      <c r="E739" t="inlineStr">
        <is>
          <t>MEDIUM</t>
        </is>
      </c>
      <c r="F739" t="n">
        <v>2</v>
      </c>
      <c r="G739" t="n">
        <v>2</v>
      </c>
      <c r="H739" t="inlineStr">
        <is>
          <t>MEDIUM</t>
        </is>
      </c>
      <c r="I739" t="n">
        <v>9</v>
      </c>
      <c r="J739" t="inlineStr">
        <is>
          <t>NO</t>
        </is>
      </c>
      <c r="K739" t="inlineStr">
        <is>
          <t>2026-02-27 20:47</t>
        </is>
      </c>
      <c r="L739" t="inlineStr">
        <is>
          <t>CHECK_VENDOR</t>
        </is>
      </c>
      <c r="M739" t="inlineStr">
        <is>
          <t>See CVE details</t>
        </is>
      </c>
      <c r="N739" t="inlineStr">
        <is>
          <t>P3</t>
        </is>
      </c>
      <c r="O739" t="inlineStr">
        <is>
          <t>CVE - IP enrichment n/a</t>
        </is>
      </c>
      <c r="P739" t="n">
        <v>0.0005</v>
      </c>
      <c r="Q739" t="n">
        <v>0.1521</v>
      </c>
      <c r="R739" t="inlineStr">
        <is>
          <t>T1203:Exploitation for Client Execution</t>
        </is>
      </c>
      <c r="S739" t="n">
        <v>2</v>
      </c>
      <c r="T739" t="inlineStr">
        <is>
          <t>MEDIUM (52%)</t>
        </is>
      </c>
      <c r="U739" t="inlineStr">
        <is>
          <t>UNLIKELY</t>
        </is>
      </c>
      <c r="V739" t="inlineStr">
        <is>
          <t>CHECK_VENDOR</t>
        </is>
      </c>
      <c r="W739" t="inlineStr">
        <is>
          <t>https://nvd.nist.gov/vuln/detail/CVE-2026-26986</t>
        </is>
      </c>
      <c r="X739" t="inlineStr">
        <is>
          <t>NONE</t>
        </is>
      </c>
      <c r="Y739" t="n">
        <v>0</v>
      </c>
      <c r="Z739" t="inlineStr"/>
      <c r="AA739" t="inlineStr">
        <is>
          <t>https://nvd.nist.gov/vuln/detail/CVE-2026-26986</t>
        </is>
      </c>
    </row>
    <row r="740">
      <c r="A740" t="inlineStr">
        <is>
          <t>CVE</t>
        </is>
      </c>
      <c r="B740" t="inlineStr">
        <is>
          <t>CVE-2026-27116</t>
        </is>
      </c>
      <c r="C740"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740" t="n">
        <v>6.1</v>
      </c>
      <c r="E740" t="inlineStr">
        <is>
          <t>MEDIUM</t>
        </is>
      </c>
      <c r="F740" t="n">
        <v>2</v>
      </c>
      <c r="G740" t="n">
        <v>2</v>
      </c>
      <c r="H740" t="inlineStr">
        <is>
          <t>MEDIUM</t>
        </is>
      </c>
      <c r="I740" t="n">
        <v>10.1</v>
      </c>
      <c r="J740" t="inlineStr">
        <is>
          <t>NO</t>
        </is>
      </c>
      <c r="K740" t="inlineStr">
        <is>
          <t>2026-02-27 20:47</t>
        </is>
      </c>
      <c r="L740" t="inlineStr">
        <is>
          <t>CHECK_VENDOR</t>
        </is>
      </c>
      <c r="M740" t="inlineStr">
        <is>
          <t>See CVE details</t>
        </is>
      </c>
      <c r="N740" t="inlineStr">
        <is>
          <t>P4</t>
        </is>
      </c>
      <c r="O740" t="inlineStr">
        <is>
          <t>CVE - IP enrichment n/a</t>
        </is>
      </c>
      <c r="P740" t="n">
        <v>0.0001</v>
      </c>
      <c r="Q740" t="n">
        <v>0.0089</v>
      </c>
      <c r="R740" t="inlineStr">
        <is>
          <t>T1189:Drive-by Compromise | T1190:Exploit Public-Facing Application | T1566:Phishing</t>
        </is>
      </c>
      <c r="S740" t="n">
        <v>1</v>
      </c>
      <c r="T740" t="inlineStr">
        <is>
          <t>LOW (40%)</t>
        </is>
      </c>
      <c r="U740" t="inlineStr">
        <is>
          <t>UNLIKELY</t>
        </is>
      </c>
      <c r="V740" t="inlineStr">
        <is>
          <t>CHECK_VENDOR</t>
        </is>
      </c>
      <c r="W740" t="inlineStr">
        <is>
          <t>https://nvd.nist.gov/vuln/detail/CVE-2026-27116</t>
        </is>
      </c>
      <c r="X740" t="inlineStr">
        <is>
          <t>NONE</t>
        </is>
      </c>
      <c r="Y740" t="n">
        <v>0</v>
      </c>
      <c r="Z740" t="inlineStr"/>
      <c r="AA740" t="inlineStr">
        <is>
          <t>https://nvd.nist.gov/vuln/detail/CVE-2026-27116</t>
        </is>
      </c>
    </row>
    <row r="741">
      <c r="A741" t="inlineStr">
        <is>
          <t>CVE</t>
        </is>
      </c>
      <c r="B741" t="inlineStr">
        <is>
          <t>CVE-2026-27148</t>
        </is>
      </c>
      <c r="C741"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741" t="n">
        <v>8.5</v>
      </c>
      <c r="E741" t="inlineStr">
        <is>
          <t>HIGH</t>
        </is>
      </c>
      <c r="F741" t="n">
        <v>2</v>
      </c>
      <c r="G741" t="n">
        <v>3</v>
      </c>
      <c r="H741" t="inlineStr">
        <is>
          <t>HIGH</t>
        </is>
      </c>
      <c r="I741" t="n">
        <v>14.5</v>
      </c>
      <c r="J741" t="inlineStr">
        <is>
          <t>NO</t>
        </is>
      </c>
      <c r="K741" t="inlineStr">
        <is>
          <t>2026-02-27 20:47</t>
        </is>
      </c>
      <c r="L741" t="inlineStr">
        <is>
          <t>CHECK_VENDOR</t>
        </is>
      </c>
      <c r="M741" t="inlineStr">
        <is>
          <t>See CVE details</t>
        </is>
      </c>
      <c r="N741" t="inlineStr">
        <is>
          <t>P3</t>
        </is>
      </c>
      <c r="O741" t="inlineStr">
        <is>
          <t>CVE - IP enrichment n/a</t>
        </is>
      </c>
      <c r="P741" t="n">
        <v>0.0036</v>
      </c>
      <c r="Q741" t="n">
        <v>0.5766</v>
      </c>
      <c r="R741" t="inlineStr">
        <is>
          <t>T1190:Exploit Public-Facing Application | T1210:Exploitation of Remote Services | T1189:Drive-by Compromise</t>
        </is>
      </c>
      <c r="S741" t="n">
        <v>2</v>
      </c>
      <c r="T741" t="inlineStr">
        <is>
          <t>MEDIUM (52%)</t>
        </is>
      </c>
      <c r="U741" t="inlineStr">
        <is>
          <t>UNLIKELY</t>
        </is>
      </c>
      <c r="V741" t="inlineStr">
        <is>
          <t>CHECK_VENDOR</t>
        </is>
      </c>
      <c r="W741" t="inlineStr">
        <is>
          <t>https://nvd.nist.gov/vuln/detail/CVE-2026-27148</t>
        </is>
      </c>
      <c r="X741" t="inlineStr">
        <is>
          <t>NONE</t>
        </is>
      </c>
      <c r="Y741" t="n">
        <v>0</v>
      </c>
      <c r="Z741" t="inlineStr"/>
      <c r="AA741" t="inlineStr">
        <is>
          <t>https://nvd.nist.gov/vuln/detail/CVE-2026-27148</t>
        </is>
      </c>
    </row>
    <row r="742">
      <c r="A742" t="inlineStr">
        <is>
          <t>CVE</t>
        </is>
      </c>
      <c r="B742" t="inlineStr">
        <is>
          <t>CVE-2026-27575</t>
        </is>
      </c>
      <c r="C742"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742" t="n">
        <v>9.1</v>
      </c>
      <c r="E742" t="inlineStr">
        <is>
          <t>CRITICAL</t>
        </is>
      </c>
      <c r="F742" t="n">
        <v>2</v>
      </c>
      <c r="G742" t="n">
        <v>3</v>
      </c>
      <c r="H742" t="inlineStr">
        <is>
          <t>HIGH</t>
        </is>
      </c>
      <c r="I742" t="n">
        <v>15.1</v>
      </c>
      <c r="J742" t="inlineStr">
        <is>
          <t>NO</t>
        </is>
      </c>
      <c r="K742" t="inlineStr">
        <is>
          <t>2026-02-27 20:47</t>
        </is>
      </c>
      <c r="L742" t="inlineStr">
        <is>
          <t>CHECK_VENDOR</t>
        </is>
      </c>
      <c r="M742" t="inlineStr">
        <is>
          <t>See CVE details</t>
        </is>
      </c>
      <c r="N742" t="inlineStr">
        <is>
          <t>P3</t>
        </is>
      </c>
      <c r="O742" t="inlineStr">
        <is>
          <t>CVE - IP enrichment n/a</t>
        </is>
      </c>
      <c r="P742" t="n">
        <v>0.0001</v>
      </c>
      <c r="Q742" t="n">
        <v>0.0183</v>
      </c>
      <c r="R742" t="inlineStr">
        <is>
          <t>T1190:Exploit Public-Facing Application | T1552:Unsecured Credentials</t>
        </is>
      </c>
      <c r="S742" t="n">
        <v>1</v>
      </c>
      <c r="T742" t="inlineStr">
        <is>
          <t>LOW (40%)</t>
        </is>
      </c>
      <c r="U742" t="inlineStr">
        <is>
          <t>UNLIKELY</t>
        </is>
      </c>
      <c r="V742" t="inlineStr">
        <is>
          <t>CHECK_VENDOR</t>
        </is>
      </c>
      <c r="W742" t="inlineStr">
        <is>
          <t>https://nvd.nist.gov/vuln/detail/CVE-2026-27575</t>
        </is>
      </c>
      <c r="X742" t="inlineStr">
        <is>
          <t>NONE</t>
        </is>
      </c>
      <c r="Y742" t="n">
        <v>0</v>
      </c>
      <c r="Z742" t="inlineStr"/>
      <c r="AA742" t="inlineStr">
        <is>
          <t>https://nvd.nist.gov/vuln/detail/CVE-2026-27575</t>
        </is>
      </c>
    </row>
    <row r="743">
      <c r="A743" t="inlineStr">
        <is>
          <t>CVE</t>
        </is>
      </c>
      <c r="B743" t="inlineStr">
        <is>
          <t>CVE-2026-27616</t>
        </is>
      </c>
      <c r="C743"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743" t="n">
        <v>7.3</v>
      </c>
      <c r="E743" t="inlineStr">
        <is>
          <t>HIGH</t>
        </is>
      </c>
      <c r="F743" t="n">
        <v>2</v>
      </c>
      <c r="G743" t="n">
        <v>3</v>
      </c>
      <c r="H743" t="inlineStr">
        <is>
          <t>HIGH</t>
        </is>
      </c>
      <c r="I743" t="n">
        <v>13.3</v>
      </c>
      <c r="J743" t="inlineStr">
        <is>
          <t>NO</t>
        </is>
      </c>
      <c r="K743" t="inlineStr">
        <is>
          <t>2026-02-27 20:47</t>
        </is>
      </c>
      <c r="L743" t="inlineStr">
        <is>
          <t>CHECK_VENDOR</t>
        </is>
      </c>
      <c r="M743" t="inlineStr">
        <is>
          <t>See CVE details</t>
        </is>
      </c>
      <c r="N743" t="inlineStr">
        <is>
          <t>P3</t>
        </is>
      </c>
      <c r="O743" t="inlineStr">
        <is>
          <t>CVE - IP enrichment n/a</t>
        </is>
      </c>
      <c r="P743" t="n">
        <v>0.0002</v>
      </c>
      <c r="Q743" t="n">
        <v>0.05</v>
      </c>
      <c r="R743" t="inlineStr">
        <is>
          <t>T1189:Drive-by Compromise | T1190:Exploit Public-Facing Application</t>
        </is>
      </c>
      <c r="S743" t="n">
        <v>1</v>
      </c>
      <c r="T743" t="inlineStr">
        <is>
          <t>LOW (40%)</t>
        </is>
      </c>
      <c r="U743" t="inlineStr">
        <is>
          <t>UNLIKELY</t>
        </is>
      </c>
      <c r="V743" t="inlineStr">
        <is>
          <t>CHECK_VENDOR</t>
        </is>
      </c>
      <c r="W743" t="inlineStr">
        <is>
          <t>https://nvd.nist.gov/vuln/detail/CVE-2026-27616</t>
        </is>
      </c>
      <c r="X743" t="inlineStr">
        <is>
          <t>NONE</t>
        </is>
      </c>
      <c r="Y743" t="n">
        <v>0</v>
      </c>
      <c r="Z743" t="inlineStr"/>
      <c r="AA743" t="inlineStr">
        <is>
          <t>https://nvd.nist.gov/vuln/detail/CVE-2026-27616</t>
        </is>
      </c>
    </row>
    <row r="744">
      <c r="A744" t="inlineStr">
        <is>
          <t>CVE</t>
        </is>
      </c>
      <c r="B744" t="inlineStr">
        <is>
          <t>CVE-2026-27819</t>
        </is>
      </c>
      <c r="C744"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744" t="n">
        <v>7.2</v>
      </c>
      <c r="E744" t="inlineStr">
        <is>
          <t>HIGH</t>
        </is>
      </c>
      <c r="F744" t="n">
        <v>2</v>
      </c>
      <c r="G744" t="n">
        <v>3</v>
      </c>
      <c r="H744" t="inlineStr">
        <is>
          <t>HIGH</t>
        </is>
      </c>
      <c r="I744" t="n">
        <v>13.2</v>
      </c>
      <c r="J744" t="inlineStr">
        <is>
          <t>NO</t>
        </is>
      </c>
      <c r="K744" t="inlineStr">
        <is>
          <t>2026-02-27 20:47</t>
        </is>
      </c>
      <c r="L744" t="inlineStr">
        <is>
          <t>CHECK_VENDOR</t>
        </is>
      </c>
      <c r="M744" t="inlineStr">
        <is>
          <t>See CVE details</t>
        </is>
      </c>
      <c r="N744" t="inlineStr">
        <is>
          <t>P3</t>
        </is>
      </c>
      <c r="O744" t="inlineStr">
        <is>
          <t>CVE - IP enrichment n/a</t>
        </is>
      </c>
      <c r="P744" t="n">
        <v>0.0005</v>
      </c>
      <c r="Q744" t="n">
        <v>0.1424</v>
      </c>
      <c r="R744" t="inlineStr">
        <is>
          <t>T1083:File and Directory Discovery | T1190:Exploit Public-Facing Application</t>
        </is>
      </c>
      <c r="S744" t="n">
        <v>1</v>
      </c>
      <c r="T744" t="inlineStr">
        <is>
          <t>LOW (40%)</t>
        </is>
      </c>
      <c r="U744" t="inlineStr">
        <is>
          <t>UNLIKELY</t>
        </is>
      </c>
      <c r="V744" t="inlineStr">
        <is>
          <t>CHECK_VENDOR</t>
        </is>
      </c>
      <c r="W744" t="inlineStr">
        <is>
          <t>https://nvd.nist.gov/vuln/detail/CVE-2026-27819</t>
        </is>
      </c>
      <c r="X744" t="inlineStr">
        <is>
          <t>NONE</t>
        </is>
      </c>
      <c r="Y744" t="n">
        <v>0</v>
      </c>
      <c r="Z744" t="inlineStr"/>
      <c r="AA744" t="inlineStr">
        <is>
          <t>https://nvd.nist.gov/vuln/detail/CVE-2026-27819</t>
        </is>
      </c>
    </row>
    <row r="745">
      <c r="A745" t="inlineStr">
        <is>
          <t>CVE</t>
        </is>
      </c>
      <c r="B745" t="inlineStr">
        <is>
          <t>CVE-2026-27950</t>
        </is>
      </c>
      <c r="C745"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745" t="n">
        <v>5</v>
      </c>
      <c r="E745" t="inlineStr">
        <is>
          <t>MEDIUM</t>
        </is>
      </c>
      <c r="F745" t="n">
        <v>2</v>
      </c>
      <c r="G745" t="n">
        <v>2</v>
      </c>
      <c r="H745" t="inlineStr">
        <is>
          <t>MEDIUM</t>
        </is>
      </c>
      <c r="I745" t="n">
        <v>9</v>
      </c>
      <c r="J745" t="inlineStr">
        <is>
          <t>NO</t>
        </is>
      </c>
      <c r="K745" t="inlineStr">
        <is>
          <t>2026-02-27 20:47</t>
        </is>
      </c>
      <c r="L745" t="inlineStr">
        <is>
          <t>CHECK_VENDOR</t>
        </is>
      </c>
      <c r="M745" t="inlineStr">
        <is>
          <t>See CVE details</t>
        </is>
      </c>
      <c r="N745" t="inlineStr">
        <is>
          <t>P2</t>
        </is>
      </c>
      <c r="O745" t="inlineStr">
        <is>
          <t>CVE - IP enrichment n/a</t>
        </is>
      </c>
      <c r="P745" t="n">
        <v>0.0008</v>
      </c>
      <c r="Q745" t="n">
        <v>0.2414</v>
      </c>
      <c r="R745" t="inlineStr">
        <is>
          <t>T1203:Exploitation for Client Execution</t>
        </is>
      </c>
      <c r="S745" t="n">
        <v>3</v>
      </c>
      <c r="T745" t="inlineStr">
        <is>
          <t>HIGH (85%)</t>
        </is>
      </c>
      <c r="U745" t="inlineStr">
        <is>
          <t>HIGH</t>
        </is>
      </c>
      <c r="V745" t="inlineStr">
        <is>
          <t>CHECK_VENDOR</t>
        </is>
      </c>
      <c r="W745" t="inlineStr">
        <is>
          <t>https://nvd.nist.gov/vuln/detail/CVE-2026-27950</t>
        </is>
      </c>
      <c r="X745" t="inlineStr">
        <is>
          <t>NONE</t>
        </is>
      </c>
      <c r="Y745" t="n">
        <v>0</v>
      </c>
      <c r="Z745" t="inlineStr"/>
      <c r="AA745" t="inlineStr">
        <is>
          <t>https://nvd.nist.gov/vuln/detail/CVE-2026-27950</t>
        </is>
      </c>
    </row>
    <row r="746">
      <c r="A746" t="inlineStr">
        <is>
          <t>CVE</t>
        </is>
      </c>
      <c r="B746" t="inlineStr">
        <is>
          <t>CVE-2026-27951</t>
        </is>
      </c>
      <c r="C746"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746" t="n">
        <v>5.3</v>
      </c>
      <c r="E746" t="inlineStr">
        <is>
          <t>MEDIUM</t>
        </is>
      </c>
      <c r="F746" t="n">
        <v>2</v>
      </c>
      <c r="G746" t="n">
        <v>2</v>
      </c>
      <c r="H746" t="inlineStr">
        <is>
          <t>MEDIUM</t>
        </is>
      </c>
      <c r="I746" t="n">
        <v>9.300000000000001</v>
      </c>
      <c r="J746" t="inlineStr">
        <is>
          <t>NO</t>
        </is>
      </c>
      <c r="K746" t="inlineStr">
        <is>
          <t>2026-02-27 20:47</t>
        </is>
      </c>
      <c r="L746" t="inlineStr">
        <is>
          <t>CHECK_VENDOR</t>
        </is>
      </c>
      <c r="M746" t="inlineStr">
        <is>
          <t>See CVE details</t>
        </is>
      </c>
      <c r="N746" t="inlineStr">
        <is>
          <t>P3</t>
        </is>
      </c>
      <c r="O746" t="inlineStr">
        <is>
          <t>CVE - IP enrichment n/a</t>
        </is>
      </c>
      <c r="P746" t="n">
        <v>0.0004</v>
      </c>
      <c r="Q746" t="n">
        <v>0.1156</v>
      </c>
      <c r="R746" t="inlineStr">
        <is>
          <t>T1190:Exploit Public-Facing Application</t>
        </is>
      </c>
      <c r="S746" t="n">
        <v>2</v>
      </c>
      <c r="T746" t="inlineStr">
        <is>
          <t>MEDIUM (52%)</t>
        </is>
      </c>
      <c r="U746" t="inlineStr">
        <is>
          <t>UNLIKELY</t>
        </is>
      </c>
      <c r="V746" t="inlineStr">
        <is>
          <t>CHECK_VENDOR</t>
        </is>
      </c>
      <c r="W746" t="inlineStr">
        <is>
          <t>https://nvd.nist.gov/vuln/detail/CVE-2026-27951</t>
        </is>
      </c>
      <c r="X746" t="inlineStr">
        <is>
          <t>NONE</t>
        </is>
      </c>
      <c r="Y746" t="n">
        <v>0</v>
      </c>
      <c r="Z746" t="inlineStr"/>
      <c r="AA746" t="inlineStr">
        <is>
          <t>https://nvd.nist.gov/vuln/detail/CVE-2026-27951</t>
        </is>
      </c>
    </row>
    <row r="747">
      <c r="A747" t="inlineStr">
        <is>
          <t>CVE</t>
        </is>
      </c>
      <c r="B747" t="inlineStr">
        <is>
          <t>CVE-2026-2694</t>
        </is>
      </c>
      <c r="C747"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747" t="n">
        <v>5.4</v>
      </c>
      <c r="E747" t="inlineStr">
        <is>
          <t>MEDIUM</t>
        </is>
      </c>
      <c r="F747" t="n">
        <v>2</v>
      </c>
      <c r="G747" t="n">
        <v>2</v>
      </c>
      <c r="H747" t="inlineStr">
        <is>
          <t>MEDIUM</t>
        </is>
      </c>
      <c r="I747" t="n">
        <v>9.4</v>
      </c>
      <c r="J747" t="inlineStr">
        <is>
          <t>NO</t>
        </is>
      </c>
      <c r="K747" t="inlineStr">
        <is>
          <t>2026-02-27 20:47</t>
        </is>
      </c>
      <c r="L747" t="inlineStr">
        <is>
          <t>CHECK_VENDOR</t>
        </is>
      </c>
      <c r="M747" t="inlineStr">
        <is>
          <t>See CVE details</t>
        </is>
      </c>
      <c r="N747" t="inlineStr">
        <is>
          <t>P4</t>
        </is>
      </c>
      <c r="O747" t="inlineStr">
        <is>
          <t>CVE - IP enrichment n/a</t>
        </is>
      </c>
      <c r="P747" t="n">
        <v>0.0004</v>
      </c>
      <c r="Q747" t="n">
        <v>0.1281</v>
      </c>
      <c r="R747" t="inlineStr">
        <is>
          <t>T1190:Exploit Public-Facing Application</t>
        </is>
      </c>
      <c r="S747" t="n">
        <v>1</v>
      </c>
      <c r="T747" t="inlineStr">
        <is>
          <t>LOW (40%)</t>
        </is>
      </c>
      <c r="U747" t="inlineStr">
        <is>
          <t>UNLIKELY</t>
        </is>
      </c>
      <c r="V747" t="inlineStr">
        <is>
          <t>CHECK_VENDOR</t>
        </is>
      </c>
      <c r="W747" t="inlineStr">
        <is>
          <t>https://nvd.nist.gov/vuln/detail/CVE-2026-2694</t>
        </is>
      </c>
      <c r="X747" t="inlineStr">
        <is>
          <t>NONE</t>
        </is>
      </c>
      <c r="Y747" t="n">
        <v>0</v>
      </c>
      <c r="Z747" t="inlineStr"/>
      <c r="AA747" t="inlineStr">
        <is>
          <t>https://nvd.nist.gov/vuln/detail/CVE-2026-2694</t>
        </is>
      </c>
    </row>
    <row r="748">
      <c r="A748" t="inlineStr">
        <is>
          <t>CVE</t>
        </is>
      </c>
      <c r="B748" t="inlineStr">
        <is>
          <t>CVE-2026-27493</t>
        </is>
      </c>
      <c r="C748"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748" t="n">
        <v>8.5</v>
      </c>
      <c r="E748" t="inlineStr">
        <is>
          <t>HIGH</t>
        </is>
      </c>
      <c r="F748" t="n">
        <v>2</v>
      </c>
      <c r="G748" t="n">
        <v>3</v>
      </c>
      <c r="H748" t="inlineStr">
        <is>
          <t>HIGH</t>
        </is>
      </c>
      <c r="I748" t="n">
        <v>14.5</v>
      </c>
      <c r="J748" t="inlineStr">
        <is>
          <t>NO</t>
        </is>
      </c>
      <c r="K748" t="inlineStr">
        <is>
          <t>2026-02-27 20:47</t>
        </is>
      </c>
      <c r="L748" t="inlineStr">
        <is>
          <t>CHECK_VENDOR</t>
        </is>
      </c>
      <c r="M748" t="inlineStr">
        <is>
          <t>See CVE details</t>
        </is>
      </c>
      <c r="N748" t="inlineStr">
        <is>
          <t>P3</t>
        </is>
      </c>
      <c r="O748" t="inlineStr">
        <is>
          <t>CVE - IP enrichment n/a</t>
        </is>
      </c>
      <c r="P748" t="n">
        <v>0.0014</v>
      </c>
      <c r="Q748" t="n">
        <v>0.3457</v>
      </c>
      <c r="R748" t="inlineStr">
        <is>
          <t>T1059:Command and Scripting Interpreter | T1190:Exploit Public-Facing Application | T1210:Exploitation of Remote Services</t>
        </is>
      </c>
      <c r="S748" t="n">
        <v>1</v>
      </c>
      <c r="T748" t="inlineStr">
        <is>
          <t>LOW (40%)</t>
        </is>
      </c>
      <c r="U748" t="inlineStr">
        <is>
          <t>UNLIKELY</t>
        </is>
      </c>
      <c r="V748" t="inlineStr">
        <is>
          <t>CHECK_VENDOR</t>
        </is>
      </c>
      <c r="W748" t="inlineStr">
        <is>
          <t>https://nvd.nist.gov/vuln/detail/CVE-2026-27493</t>
        </is>
      </c>
      <c r="X748" t="inlineStr">
        <is>
          <t>NONE</t>
        </is>
      </c>
      <c r="Y748" t="n">
        <v>0</v>
      </c>
      <c r="Z748" t="inlineStr"/>
      <c r="AA748" t="inlineStr">
        <is>
          <t>https://nvd.nist.gov/vuln/detail/CVE-2026-27493</t>
        </is>
      </c>
    </row>
    <row r="749">
      <c r="A749" t="inlineStr">
        <is>
          <t>CVE</t>
        </is>
      </c>
      <c r="B749" t="inlineStr">
        <is>
          <t>CVE-2026-27494</t>
        </is>
      </c>
      <c r="C749"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749" t="n">
        <v>8.5</v>
      </c>
      <c r="E749" t="inlineStr">
        <is>
          <t>HIGH</t>
        </is>
      </c>
      <c r="F749" t="n">
        <v>2</v>
      </c>
      <c r="G749" t="n">
        <v>3</v>
      </c>
      <c r="H749" t="inlineStr">
        <is>
          <t>HIGH</t>
        </is>
      </c>
      <c r="I749" t="n">
        <v>14.5</v>
      </c>
      <c r="J749" t="inlineStr">
        <is>
          <t>NO</t>
        </is>
      </c>
      <c r="K749" t="inlineStr">
        <is>
          <t>2026-02-27 20:47</t>
        </is>
      </c>
      <c r="L749" t="inlineStr">
        <is>
          <t>CHECK_VENDOR</t>
        </is>
      </c>
      <c r="M749" t="inlineStr">
        <is>
          <t>See CVE details</t>
        </is>
      </c>
      <c r="N749" t="inlineStr">
        <is>
          <t>P3</t>
        </is>
      </c>
      <c r="O749" t="inlineStr">
        <is>
          <t>CVE - IP enrichment n/a</t>
        </is>
      </c>
      <c r="P749" t="n">
        <v>0.0003</v>
      </c>
      <c r="Q749" t="n">
        <v>0.0891</v>
      </c>
      <c r="R749" t="inlineStr">
        <is>
          <t>T1190:Exploit Public-Facing Application</t>
        </is>
      </c>
      <c r="S749" t="n">
        <v>1</v>
      </c>
      <c r="T749" t="inlineStr">
        <is>
          <t>LOW (40%)</t>
        </is>
      </c>
      <c r="U749" t="inlineStr">
        <is>
          <t>UNLIKELY</t>
        </is>
      </c>
      <c r="V749" t="inlineStr">
        <is>
          <t>CHECK_VENDOR</t>
        </is>
      </c>
      <c r="W749" t="inlineStr">
        <is>
          <t>https://nvd.nist.gov/vuln/detail/CVE-2026-27494</t>
        </is>
      </c>
      <c r="X749" t="inlineStr">
        <is>
          <t>NONE</t>
        </is>
      </c>
      <c r="Y749" t="n">
        <v>0</v>
      </c>
      <c r="Z749" t="inlineStr"/>
      <c r="AA749" t="inlineStr">
        <is>
          <t>https://nvd.nist.gov/vuln/detail/CVE-2026-27494</t>
        </is>
      </c>
    </row>
    <row r="750">
      <c r="A750" t="inlineStr">
        <is>
          <t>CVE</t>
        </is>
      </c>
      <c r="B750" t="inlineStr">
        <is>
          <t>CVE-2026-27495</t>
        </is>
      </c>
      <c r="C750"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750" t="n">
        <v>8.5</v>
      </c>
      <c r="E750" t="inlineStr">
        <is>
          <t>HIGH</t>
        </is>
      </c>
      <c r="F750" t="n">
        <v>2</v>
      </c>
      <c r="G750" t="n">
        <v>3</v>
      </c>
      <c r="H750" t="inlineStr">
        <is>
          <t>HIGH</t>
        </is>
      </c>
      <c r="I750" t="n">
        <v>14.5</v>
      </c>
      <c r="J750" t="inlineStr">
        <is>
          <t>NO</t>
        </is>
      </c>
      <c r="K750" t="inlineStr">
        <is>
          <t>2026-02-27 20:47</t>
        </is>
      </c>
      <c r="L750" t="inlineStr">
        <is>
          <t>CHECK_VENDOR</t>
        </is>
      </c>
      <c r="M750" t="inlineStr">
        <is>
          <t>See CVE details</t>
        </is>
      </c>
      <c r="N750" t="inlineStr">
        <is>
          <t>P3</t>
        </is>
      </c>
      <c r="O750" t="inlineStr">
        <is>
          <t>CVE - IP enrichment n/a</t>
        </is>
      </c>
      <c r="P750" t="n">
        <v>0.0005999999999999999</v>
      </c>
      <c r="Q750" t="n">
        <v>0.1744</v>
      </c>
      <c r="R750" t="inlineStr">
        <is>
          <t>T1059:Command and Scripting Interpreter | T1190:Exploit Public-Facing Application | T1203:Exploitation for Client Execution</t>
        </is>
      </c>
      <c r="S750" t="n">
        <v>1</v>
      </c>
      <c r="T750" t="inlineStr">
        <is>
          <t>LOW (40%)</t>
        </is>
      </c>
      <c r="U750" t="inlineStr">
        <is>
          <t>UNLIKELY</t>
        </is>
      </c>
      <c r="V750" t="inlineStr">
        <is>
          <t>CHECK_VENDOR</t>
        </is>
      </c>
      <c r="W750" t="inlineStr">
        <is>
          <t>https://nvd.nist.gov/vuln/detail/CVE-2026-27495</t>
        </is>
      </c>
      <c r="X750" t="inlineStr">
        <is>
          <t>NONE</t>
        </is>
      </c>
      <c r="Y750" t="n">
        <v>0</v>
      </c>
      <c r="Z750" t="inlineStr"/>
      <c r="AA750" t="inlineStr">
        <is>
          <t>https://nvd.nist.gov/vuln/detail/CVE-2026-27495</t>
        </is>
      </c>
    </row>
    <row r="751">
      <c r="A751" t="inlineStr">
        <is>
          <t>CVE</t>
        </is>
      </c>
      <c r="B751" t="inlineStr">
        <is>
          <t>CVE-2026-27497</t>
        </is>
      </c>
      <c r="C751"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751" t="n">
        <v>8.5</v>
      </c>
      <c r="E751" t="inlineStr">
        <is>
          <t>HIGH</t>
        </is>
      </c>
      <c r="F751" t="n">
        <v>2</v>
      </c>
      <c r="G751" t="n">
        <v>3</v>
      </c>
      <c r="H751" t="inlineStr">
        <is>
          <t>HIGH</t>
        </is>
      </c>
      <c r="I751" t="n">
        <v>14.5</v>
      </c>
      <c r="J751" t="inlineStr">
        <is>
          <t>NO</t>
        </is>
      </c>
      <c r="K751" t="inlineStr">
        <is>
          <t>2026-02-27 20:47</t>
        </is>
      </c>
      <c r="L751" t="inlineStr">
        <is>
          <t>CHECK_VENDOR</t>
        </is>
      </c>
      <c r="M751" t="inlineStr">
        <is>
          <t>See CVE details</t>
        </is>
      </c>
      <c r="N751" t="inlineStr">
        <is>
          <t>P3</t>
        </is>
      </c>
      <c r="O751" t="inlineStr">
        <is>
          <t>CVE - IP enrichment n/a</t>
        </is>
      </c>
      <c r="P751" t="n">
        <v>0.0005999999999999999</v>
      </c>
      <c r="Q751" t="n">
        <v>0.1718</v>
      </c>
      <c r="R751" t="inlineStr">
        <is>
          <t>T1190:Exploit Public-Facing Application | T1203:Exploitation for Client Execution</t>
        </is>
      </c>
      <c r="S751" t="n">
        <v>1</v>
      </c>
      <c r="T751" t="inlineStr">
        <is>
          <t>LOW (40%)</t>
        </is>
      </c>
      <c r="U751" t="inlineStr">
        <is>
          <t>UNLIKELY</t>
        </is>
      </c>
      <c r="V751" t="inlineStr">
        <is>
          <t>CHECK_VENDOR</t>
        </is>
      </c>
      <c r="W751" t="inlineStr">
        <is>
          <t>https://nvd.nist.gov/vuln/detail/CVE-2026-27497</t>
        </is>
      </c>
      <c r="X751" t="inlineStr">
        <is>
          <t>NONE</t>
        </is>
      </c>
      <c r="Y751" t="n">
        <v>0</v>
      </c>
      <c r="Z751" t="inlineStr"/>
      <c r="AA751" t="inlineStr">
        <is>
          <t>https://nvd.nist.gov/vuln/detail/CVE-2026-27497</t>
        </is>
      </c>
    </row>
    <row r="752">
      <c r="A752" t="inlineStr">
        <is>
          <t>CVE</t>
        </is>
      </c>
      <c r="B752" t="inlineStr">
        <is>
          <t>CVE-2026-27498</t>
        </is>
      </c>
      <c r="C752"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752" t="n">
        <v>8.5</v>
      </c>
      <c r="E752" t="inlineStr">
        <is>
          <t>HIGH</t>
        </is>
      </c>
      <c r="F752" t="n">
        <v>2</v>
      </c>
      <c r="G752" t="n">
        <v>3</v>
      </c>
      <c r="H752" t="inlineStr">
        <is>
          <t>HIGH</t>
        </is>
      </c>
      <c r="I752" t="n">
        <v>14.5</v>
      </c>
      <c r="J752" t="inlineStr">
        <is>
          <t>NO</t>
        </is>
      </c>
      <c r="K752" t="inlineStr">
        <is>
          <t>2026-02-27 20:47</t>
        </is>
      </c>
      <c r="L752" t="inlineStr">
        <is>
          <t>CHECK_VENDOR</t>
        </is>
      </c>
      <c r="M752" t="inlineStr">
        <is>
          <t>See CVE details</t>
        </is>
      </c>
      <c r="N752" t="inlineStr">
        <is>
          <t>P3</t>
        </is>
      </c>
      <c r="O752" t="inlineStr">
        <is>
          <t>CVE - IP enrichment n/a</t>
        </is>
      </c>
      <c r="P752" t="n">
        <v>0.0059</v>
      </c>
      <c r="Q752" t="n">
        <v>0.6889</v>
      </c>
      <c r="R752" t="inlineStr">
        <is>
          <t>T1059:Command and Scripting Interpreter | T1190:Exploit Public-Facing Application | T1210:Exploitation of Remote Services</t>
        </is>
      </c>
      <c r="S752" t="n">
        <v>1</v>
      </c>
      <c r="T752" t="inlineStr">
        <is>
          <t>LOW (40%)</t>
        </is>
      </c>
      <c r="U752" t="inlineStr">
        <is>
          <t>UNLIKELY</t>
        </is>
      </c>
      <c r="V752" t="inlineStr">
        <is>
          <t>CHECK_VENDOR</t>
        </is>
      </c>
      <c r="W752" t="inlineStr">
        <is>
          <t>https://nvd.nist.gov/vuln/detail/CVE-2026-27498</t>
        </is>
      </c>
      <c r="X752" t="inlineStr">
        <is>
          <t>NONE</t>
        </is>
      </c>
      <c r="Y752" t="n">
        <v>0</v>
      </c>
      <c r="Z752" t="inlineStr"/>
      <c r="AA752" t="inlineStr">
        <is>
          <t>https://nvd.nist.gov/vuln/detail/CVE-2026-27498</t>
        </is>
      </c>
    </row>
    <row r="753">
      <c r="A753" t="inlineStr">
        <is>
          <t>CVE</t>
        </is>
      </c>
      <c r="B753" t="inlineStr">
        <is>
          <t>CVE-2026-27577</t>
        </is>
      </c>
      <c r="C753"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753" t="n">
        <v>8.5</v>
      </c>
      <c r="E753" t="inlineStr">
        <is>
          <t>HIGH</t>
        </is>
      </c>
      <c r="F753" t="n">
        <v>2</v>
      </c>
      <c r="G753" t="n">
        <v>3</v>
      </c>
      <c r="H753" t="inlineStr">
        <is>
          <t>HIGH</t>
        </is>
      </c>
      <c r="I753" t="n">
        <v>14.5</v>
      </c>
      <c r="J753" t="inlineStr">
        <is>
          <t>NO</t>
        </is>
      </c>
      <c r="K753" t="inlineStr">
        <is>
          <t>2026-02-27 20:47</t>
        </is>
      </c>
      <c r="L753" t="inlineStr">
        <is>
          <t>CHECK_VENDOR</t>
        </is>
      </c>
      <c r="M753" t="inlineStr">
        <is>
          <t>See CVE details</t>
        </is>
      </c>
      <c r="N753" t="inlineStr">
        <is>
          <t>P3</t>
        </is>
      </c>
      <c r="O753" t="inlineStr">
        <is>
          <t>CVE - IP enrichment n/a</t>
        </is>
      </c>
      <c r="P753" t="n">
        <v>0.0009</v>
      </c>
      <c r="Q753" t="n">
        <v>0.2542</v>
      </c>
      <c r="R753" t="inlineStr">
        <is>
          <t>T1059:Command and Scripting Interpreter | T1190:Exploit Public-Facing Application</t>
        </is>
      </c>
      <c r="S753" t="n">
        <v>1</v>
      </c>
      <c r="T753" t="inlineStr">
        <is>
          <t>LOW (40%)</t>
        </is>
      </c>
      <c r="U753" t="inlineStr">
        <is>
          <t>UNLIKELY</t>
        </is>
      </c>
      <c r="V753" t="inlineStr">
        <is>
          <t>CHECK_VENDOR</t>
        </is>
      </c>
      <c r="W753" t="inlineStr">
        <is>
          <t>https://nvd.nist.gov/vuln/detail/CVE-2026-27577</t>
        </is>
      </c>
      <c r="X753" t="inlineStr">
        <is>
          <t>NONE</t>
        </is>
      </c>
      <c r="Y753" t="n">
        <v>0</v>
      </c>
      <c r="Z753" t="inlineStr"/>
      <c r="AA753" t="inlineStr">
        <is>
          <t>https://nvd.nist.gov/vuln/detail/CVE-2026-27577</t>
        </is>
      </c>
    </row>
    <row r="754">
      <c r="A754" t="inlineStr">
        <is>
          <t>CVE</t>
        </is>
      </c>
      <c r="B754" t="inlineStr">
        <is>
          <t>CVE-2026-27578</t>
        </is>
      </c>
      <c r="C754"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754" t="n">
        <v>8.5</v>
      </c>
      <c r="E754" t="inlineStr">
        <is>
          <t>HIGH</t>
        </is>
      </c>
      <c r="F754" t="n">
        <v>2</v>
      </c>
      <c r="G754" t="n">
        <v>3</v>
      </c>
      <c r="H754" t="inlineStr">
        <is>
          <t>HIGH</t>
        </is>
      </c>
      <c r="I754" t="n">
        <v>14.5</v>
      </c>
      <c r="J754" t="inlineStr">
        <is>
          <t>NO</t>
        </is>
      </c>
      <c r="K754" t="inlineStr">
        <is>
          <t>2026-02-27 20:47</t>
        </is>
      </c>
      <c r="L754" t="inlineStr">
        <is>
          <t>CHECK_VENDOR</t>
        </is>
      </c>
      <c r="M754" t="inlineStr">
        <is>
          <t>See CVE details</t>
        </is>
      </c>
      <c r="N754" t="inlineStr">
        <is>
          <t>P3</t>
        </is>
      </c>
      <c r="O754" t="inlineStr">
        <is>
          <t>CVE - IP enrichment n/a</t>
        </is>
      </c>
      <c r="P754" t="n">
        <v>0.0003</v>
      </c>
      <c r="Q754" t="n">
        <v>0.1029</v>
      </c>
      <c r="R754" t="inlineStr">
        <is>
          <t>T1189:Drive-by Compromise | T1190:Exploit Public-Facing Application</t>
        </is>
      </c>
      <c r="S754" t="n">
        <v>1</v>
      </c>
      <c r="T754" t="inlineStr">
        <is>
          <t>LOW (40%)</t>
        </is>
      </c>
      <c r="U754" t="inlineStr">
        <is>
          <t>UNLIKELY</t>
        </is>
      </c>
      <c r="V754" t="inlineStr">
        <is>
          <t>CHECK_VENDOR</t>
        </is>
      </c>
      <c r="W754" t="inlineStr">
        <is>
          <t>https://nvd.nist.gov/vuln/detail/CVE-2026-27578</t>
        </is>
      </c>
      <c r="X754" t="inlineStr">
        <is>
          <t>NONE</t>
        </is>
      </c>
      <c r="Y754" t="n">
        <v>0</v>
      </c>
      <c r="Z754" t="inlineStr"/>
      <c r="AA754" t="inlineStr">
        <is>
          <t>https://nvd.nist.gov/vuln/detail/CVE-2026-27578</t>
        </is>
      </c>
    </row>
    <row r="755">
      <c r="A755" t="inlineStr">
        <is>
          <t>CVE</t>
        </is>
      </c>
      <c r="B755" t="inlineStr">
        <is>
          <t>CVE-2026-27613</t>
        </is>
      </c>
      <c r="C755"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755" t="n">
        <v>8.5</v>
      </c>
      <c r="E755" t="inlineStr">
        <is>
          <t>HIGH</t>
        </is>
      </c>
      <c r="F755" t="n">
        <v>2</v>
      </c>
      <c r="G755" t="n">
        <v>3</v>
      </c>
      <c r="H755" t="inlineStr">
        <is>
          <t>HIGH</t>
        </is>
      </c>
      <c r="I755" t="n">
        <v>14.5</v>
      </c>
      <c r="J755" t="inlineStr">
        <is>
          <t>NO</t>
        </is>
      </c>
      <c r="K755" t="inlineStr">
        <is>
          <t>2026-02-27 20:47</t>
        </is>
      </c>
      <c r="L755" t="inlineStr">
        <is>
          <t>CHECK_VENDOR</t>
        </is>
      </c>
      <c r="M755" t="inlineStr">
        <is>
          <t>See CVE details</t>
        </is>
      </c>
      <c r="N755" t="inlineStr">
        <is>
          <t>P3</t>
        </is>
      </c>
      <c r="O755" t="inlineStr">
        <is>
          <t>CVE - IP enrichment n/a</t>
        </is>
      </c>
      <c r="P755" t="n">
        <v>0.0021</v>
      </c>
      <c r="Q755" t="n">
        <v>0.4323</v>
      </c>
      <c r="R755" t="inlineStr">
        <is>
          <t>T1059:Command and Scripting Interpreter | T1190:Exploit Public-Facing Application | T1210:Exploitation of Remote Services</t>
        </is>
      </c>
      <c r="S755" t="n">
        <v>1</v>
      </c>
      <c r="T755" t="inlineStr">
        <is>
          <t>LOW (40%)</t>
        </is>
      </c>
      <c r="U755" t="inlineStr">
        <is>
          <t>UNLIKELY</t>
        </is>
      </c>
      <c r="V755" t="inlineStr">
        <is>
          <t>CHECK_VENDOR</t>
        </is>
      </c>
      <c r="W755" t="inlineStr">
        <is>
          <t>https://nvd.nist.gov/vuln/detail/CVE-2026-27613</t>
        </is>
      </c>
      <c r="X755" t="inlineStr">
        <is>
          <t>NONE</t>
        </is>
      </c>
      <c r="Y755" t="n">
        <v>0</v>
      </c>
      <c r="Z755" t="inlineStr"/>
      <c r="AA755" t="inlineStr">
        <is>
          <t>https://nvd.nist.gov/vuln/detail/CVE-2026-27613</t>
        </is>
      </c>
    </row>
    <row r="756">
      <c r="A756" t="inlineStr">
        <is>
          <t>CVE</t>
        </is>
      </c>
      <c r="B756" t="inlineStr">
        <is>
          <t>CVE-2026-3209</t>
        </is>
      </c>
      <c r="C756"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756" t="n">
        <v>6.3</v>
      </c>
      <c r="E756" t="inlineStr">
        <is>
          <t>MEDIUM</t>
        </is>
      </c>
      <c r="F756" t="n">
        <v>2</v>
      </c>
      <c r="G756" t="n">
        <v>2</v>
      </c>
      <c r="H756" t="inlineStr">
        <is>
          <t>MEDIUM</t>
        </is>
      </c>
      <c r="I756" t="n">
        <v>10.3</v>
      </c>
      <c r="J756" t="inlineStr">
        <is>
          <t>NO</t>
        </is>
      </c>
      <c r="K756" t="inlineStr">
        <is>
          <t>2026-02-27 20:47</t>
        </is>
      </c>
      <c r="L756" t="inlineStr">
        <is>
          <t>CHECK_VENDOR</t>
        </is>
      </c>
      <c r="M756" t="inlineStr">
        <is>
          <t>See CVE details</t>
        </is>
      </c>
      <c r="N756" t="inlineStr">
        <is>
          <t>P4</t>
        </is>
      </c>
      <c r="O756" t="inlineStr">
        <is>
          <t>CVE - IP enrichment n/a</t>
        </is>
      </c>
      <c r="P756" t="n">
        <v>0.0004</v>
      </c>
      <c r="Q756" t="n">
        <v>0.1254</v>
      </c>
      <c r="R756" t="inlineStr">
        <is>
          <t>T1190:Exploit Public-Facing Application</t>
        </is>
      </c>
      <c r="S756" t="n">
        <v>1</v>
      </c>
      <c r="T756" t="inlineStr">
        <is>
          <t>LOW (40%)</t>
        </is>
      </c>
      <c r="U756" t="inlineStr">
        <is>
          <t>UNLIKELY</t>
        </is>
      </c>
      <c r="V756" t="inlineStr">
        <is>
          <t>CHECK_VENDOR</t>
        </is>
      </c>
      <c r="W756" t="inlineStr">
        <is>
          <t>https://nvd.nist.gov/vuln/detail/CVE-2026-3209</t>
        </is>
      </c>
      <c r="X756" t="inlineStr">
        <is>
          <t>NONE</t>
        </is>
      </c>
      <c r="Y756" t="n">
        <v>0</v>
      </c>
      <c r="Z756" t="inlineStr"/>
      <c r="AA756" t="inlineStr">
        <is>
          <t>https://nvd.nist.gov/vuln/detail/CVE-2026-3209</t>
        </is>
      </c>
    </row>
    <row r="757">
      <c r="A757" t="inlineStr">
        <is>
          <t>CVE</t>
        </is>
      </c>
      <c r="B757" t="inlineStr">
        <is>
          <t>CVE-2026-26186</t>
        </is>
      </c>
      <c r="C757"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757" t="n">
        <v>8.5</v>
      </c>
      <c r="E757" t="inlineStr">
        <is>
          <t>HIGH</t>
        </is>
      </c>
      <c r="F757" t="n">
        <v>2</v>
      </c>
      <c r="G757" t="n">
        <v>3</v>
      </c>
      <c r="H757" t="inlineStr">
        <is>
          <t>HIGH</t>
        </is>
      </c>
      <c r="I757" t="n">
        <v>14.5</v>
      </c>
      <c r="J757" t="inlineStr">
        <is>
          <t>NO</t>
        </is>
      </c>
      <c r="K757" t="inlineStr">
        <is>
          <t>2026-02-27 20:47</t>
        </is>
      </c>
      <c r="L757" t="inlineStr">
        <is>
          <t>CHECK_VENDOR</t>
        </is>
      </c>
      <c r="M757" t="inlineStr">
        <is>
          <t>See CVE details</t>
        </is>
      </c>
      <c r="N757" t="inlineStr">
        <is>
          <t>P3</t>
        </is>
      </c>
      <c r="O757" t="inlineStr">
        <is>
          <t>CVE - IP enrichment n/a</t>
        </is>
      </c>
      <c r="P757" t="n">
        <v>0.0004</v>
      </c>
      <c r="Q757" t="n">
        <v>0.1366</v>
      </c>
      <c r="R757" t="inlineStr">
        <is>
          <t>T1190:Exploit Public-Facing Application | T1499:Endpoint Denial of Service</t>
        </is>
      </c>
      <c r="S757" t="n">
        <v>1</v>
      </c>
      <c r="T757" t="inlineStr">
        <is>
          <t>LOW (40%)</t>
        </is>
      </c>
      <c r="U757" t="inlineStr">
        <is>
          <t>UNLIKELY</t>
        </is>
      </c>
      <c r="V757" t="inlineStr">
        <is>
          <t>CHECK_VENDOR</t>
        </is>
      </c>
      <c r="W757" t="inlineStr">
        <is>
          <t>https://nvd.nist.gov/vuln/detail/CVE-2026-26186</t>
        </is>
      </c>
      <c r="X757" t="inlineStr">
        <is>
          <t>NONE</t>
        </is>
      </c>
      <c r="Y757" t="n">
        <v>0</v>
      </c>
      <c r="Z757" t="inlineStr"/>
      <c r="AA757" t="inlineStr">
        <is>
          <t>https://nvd.nist.gov/vuln/detail/CVE-2026-26186</t>
        </is>
      </c>
    </row>
    <row r="758">
      <c r="A758" t="inlineStr">
        <is>
          <t>CVE</t>
        </is>
      </c>
      <c r="B758" t="inlineStr">
        <is>
          <t>CVE-2026-27630</t>
        </is>
      </c>
      <c r="C758"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758" t="n">
        <v>8.5</v>
      </c>
      <c r="E758" t="inlineStr">
        <is>
          <t>HIGH</t>
        </is>
      </c>
      <c r="F758" t="n">
        <v>2</v>
      </c>
      <c r="G758" t="n">
        <v>3</v>
      </c>
      <c r="H758" t="inlineStr">
        <is>
          <t>HIGH</t>
        </is>
      </c>
      <c r="I758" t="n">
        <v>14.5</v>
      </c>
      <c r="J758" t="inlineStr">
        <is>
          <t>NO</t>
        </is>
      </c>
      <c r="K758" t="inlineStr">
        <is>
          <t>2026-02-27 20:47</t>
        </is>
      </c>
      <c r="L758" t="inlineStr">
        <is>
          <t>CHECK_VENDOR</t>
        </is>
      </c>
      <c r="M758" t="inlineStr">
        <is>
          <t>See CVE details</t>
        </is>
      </c>
      <c r="N758" t="inlineStr">
        <is>
          <t>P3</t>
        </is>
      </c>
      <c r="O758" t="inlineStr">
        <is>
          <t>CVE - IP enrichment n/a</t>
        </is>
      </c>
      <c r="P758" t="n">
        <v>0.0009</v>
      </c>
      <c r="Q758" t="n">
        <v>0.2587</v>
      </c>
      <c r="R758" t="inlineStr">
        <is>
          <t>T1190:Exploit Public-Facing Application | T1499:Endpoint Denial of Service | T1562:Impair Defenses</t>
        </is>
      </c>
      <c r="S758" t="n">
        <v>1</v>
      </c>
      <c r="T758" t="inlineStr">
        <is>
          <t>LOW (40%)</t>
        </is>
      </c>
      <c r="U758" t="inlineStr">
        <is>
          <t>UNLIKELY</t>
        </is>
      </c>
      <c r="V758" t="inlineStr">
        <is>
          <t>CHECK_VENDOR</t>
        </is>
      </c>
      <c r="W758" t="inlineStr">
        <is>
          <t>https://nvd.nist.gov/vuln/detail/CVE-2026-27630</t>
        </is>
      </c>
      <c r="X758" t="inlineStr">
        <is>
          <t>NONE</t>
        </is>
      </c>
      <c r="Y758" t="n">
        <v>0</v>
      </c>
      <c r="Z758" t="inlineStr"/>
      <c r="AA758" t="inlineStr">
        <is>
          <t>https://nvd.nist.gov/vuln/detail/CVE-2026-27630</t>
        </is>
      </c>
    </row>
    <row r="759">
      <c r="A759" t="inlineStr">
        <is>
          <t>CVE</t>
        </is>
      </c>
      <c r="B759" t="inlineStr">
        <is>
          <t>CVE-2026-27633</t>
        </is>
      </c>
      <c r="C759"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759" t="n">
        <v>8.5</v>
      </c>
      <c r="E759" t="inlineStr">
        <is>
          <t>HIGH</t>
        </is>
      </c>
      <c r="F759" t="n">
        <v>2</v>
      </c>
      <c r="G759" t="n">
        <v>3</v>
      </c>
      <c r="H759" t="inlineStr">
        <is>
          <t>HIGH</t>
        </is>
      </c>
      <c r="I759" t="n">
        <v>14.5</v>
      </c>
      <c r="J759" t="inlineStr">
        <is>
          <t>NO</t>
        </is>
      </c>
      <c r="K759" t="inlineStr">
        <is>
          <t>2026-02-27 20:47</t>
        </is>
      </c>
      <c r="L759" t="inlineStr">
        <is>
          <t>CHECK_VENDOR</t>
        </is>
      </c>
      <c r="M759" t="inlineStr">
        <is>
          <t>See CVE details</t>
        </is>
      </c>
      <c r="N759" t="inlineStr">
        <is>
          <t>P3</t>
        </is>
      </c>
      <c r="O759" t="inlineStr">
        <is>
          <t>CVE - IP enrichment n/a</t>
        </is>
      </c>
      <c r="P759" t="n">
        <v>0.0009</v>
      </c>
      <c r="Q759" t="n">
        <v>0.2587</v>
      </c>
      <c r="R759" t="inlineStr">
        <is>
          <t>T1499:Endpoint Denial of Service | T1562:Impair Defenses</t>
        </is>
      </c>
      <c r="S759" t="n">
        <v>1</v>
      </c>
      <c r="T759" t="inlineStr">
        <is>
          <t>LOW (40%)</t>
        </is>
      </c>
      <c r="U759" t="inlineStr">
        <is>
          <t>UNLIKELY</t>
        </is>
      </c>
      <c r="V759" t="inlineStr">
        <is>
          <t>CHECK_VENDOR</t>
        </is>
      </c>
      <c r="W759" t="inlineStr">
        <is>
          <t>https://nvd.nist.gov/vuln/detail/CVE-2026-27633</t>
        </is>
      </c>
      <c r="X759" t="inlineStr">
        <is>
          <t>NONE</t>
        </is>
      </c>
      <c r="Y759" t="n">
        <v>0</v>
      </c>
      <c r="Z759" t="inlineStr"/>
      <c r="AA759" t="inlineStr">
        <is>
          <t>https://nvd.nist.gov/vuln/detail/CVE-2026-27633</t>
        </is>
      </c>
    </row>
    <row r="760">
      <c r="A760" t="inlineStr">
        <is>
          <t>CVE</t>
        </is>
      </c>
      <c r="B760" t="inlineStr">
        <is>
          <t>CVE-2026-27635</t>
        </is>
      </c>
      <c r="C760"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760" t="n">
        <v>7.5</v>
      </c>
      <c r="E760" t="inlineStr">
        <is>
          <t>HIGH</t>
        </is>
      </c>
      <c r="F760" t="n">
        <v>2</v>
      </c>
      <c r="G760" t="n">
        <v>3</v>
      </c>
      <c r="H760" t="inlineStr">
        <is>
          <t>HIGH</t>
        </is>
      </c>
      <c r="I760" t="n">
        <v>13.5</v>
      </c>
      <c r="J760" t="inlineStr">
        <is>
          <t>NO</t>
        </is>
      </c>
      <c r="K760" t="inlineStr">
        <is>
          <t>2026-02-27 20:47</t>
        </is>
      </c>
      <c r="L760" t="inlineStr">
        <is>
          <t>CHECK_VENDOR</t>
        </is>
      </c>
      <c r="M760" t="inlineStr">
        <is>
          <t>See CVE details</t>
        </is>
      </c>
      <c r="N760" t="inlineStr">
        <is>
          <t>P3</t>
        </is>
      </c>
      <c r="O760" t="inlineStr">
        <is>
          <t>CVE - IP enrichment n/a</t>
        </is>
      </c>
      <c r="P760" t="n">
        <v>0.0005</v>
      </c>
      <c r="Q760" t="n">
        <v>0.1456</v>
      </c>
      <c r="R760" t="inlineStr">
        <is>
          <t>T1059:Command and Scripting Interpreter | T1190:Exploit Public-Facing Application</t>
        </is>
      </c>
      <c r="S760" t="n">
        <v>1</v>
      </c>
      <c r="T760" t="inlineStr">
        <is>
          <t>LOW (40%)</t>
        </is>
      </c>
      <c r="U760" t="inlineStr">
        <is>
          <t>UNLIKELY</t>
        </is>
      </c>
      <c r="V760" t="inlineStr">
        <is>
          <t>CHECK_VENDOR</t>
        </is>
      </c>
      <c r="W760" t="inlineStr">
        <is>
          <t>https://nvd.nist.gov/vuln/detail/CVE-2026-27635</t>
        </is>
      </c>
      <c r="X760" t="inlineStr">
        <is>
          <t>NONE</t>
        </is>
      </c>
      <c r="Y760" t="n">
        <v>0</v>
      </c>
      <c r="Z760" t="inlineStr"/>
      <c r="AA760" t="inlineStr">
        <is>
          <t>https://nvd.nist.gov/vuln/detail/CVE-2026-27635</t>
        </is>
      </c>
    </row>
    <row r="761">
      <c r="A761" t="inlineStr">
        <is>
          <t>CVE</t>
        </is>
      </c>
      <c r="B761" t="inlineStr">
        <is>
          <t>CVE-2026-27709</t>
        </is>
      </c>
      <c r="C761"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761" t="n">
        <v>6.6</v>
      </c>
      <c r="E761" t="inlineStr">
        <is>
          <t>MEDIUM</t>
        </is>
      </c>
      <c r="F761" t="n">
        <v>2</v>
      </c>
      <c r="G761" t="n">
        <v>2</v>
      </c>
      <c r="H761" t="inlineStr">
        <is>
          <t>MEDIUM</t>
        </is>
      </c>
      <c r="I761" t="n">
        <v>10.6</v>
      </c>
      <c r="J761" t="inlineStr">
        <is>
          <t>NO</t>
        </is>
      </c>
      <c r="K761" t="inlineStr">
        <is>
          <t>2026-02-27 20:47</t>
        </is>
      </c>
      <c r="L761" t="inlineStr">
        <is>
          <t>YES</t>
        </is>
      </c>
      <c r="M761" t="inlineStr">
        <is>
          <t>m2team nanazip *</t>
        </is>
      </c>
      <c r="N761" t="inlineStr">
        <is>
          <t>P4</t>
        </is>
      </c>
      <c r="O761" t="inlineStr">
        <is>
          <t>CVE - IP enrichment n/a</t>
        </is>
      </c>
      <c r="P761" t="n">
        <v>0.0001</v>
      </c>
      <c r="Q761" t="n">
        <v>0.0251</v>
      </c>
      <c r="R761" t="inlineStr">
        <is>
          <t>T1203:Exploitation for Client Execution | T1190:Exploit Public-Facing Application</t>
        </is>
      </c>
      <c r="S761" t="n">
        <v>1</v>
      </c>
      <c r="T761" t="inlineStr">
        <is>
          <t>LOW (40%)</t>
        </is>
      </c>
      <c r="U761" t="inlineStr">
        <is>
          <t>UNLIKELY</t>
        </is>
      </c>
      <c r="V761" t="inlineStr">
        <is>
          <t>PATCH_AVAILABLE</t>
        </is>
      </c>
      <c r="W761" t="inlineStr">
        <is>
          <t>https://nvd.nist.gov/vuln/detail/CVE-2026-27709</t>
        </is>
      </c>
      <c r="X761" t="inlineStr">
        <is>
          <t>NONE</t>
        </is>
      </c>
      <c r="Y761" t="n">
        <v>0</v>
      </c>
      <c r="Z761" t="inlineStr"/>
      <c r="AA761" t="inlineStr">
        <is>
          <t>https://nvd.nist.gov/vuln/detail/CVE-2026-27709</t>
        </is>
      </c>
    </row>
    <row r="762">
      <c r="A762" t="inlineStr">
        <is>
          <t>CVE</t>
        </is>
      </c>
      <c r="B762" t="inlineStr">
        <is>
          <t>CVE-2026-27710</t>
        </is>
      </c>
      <c r="C762"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762" t="n">
        <v>5</v>
      </c>
      <c r="E762" t="inlineStr">
        <is>
          <t>MEDIUM</t>
        </is>
      </c>
      <c r="F762" t="n">
        <v>2</v>
      </c>
      <c r="G762" t="n">
        <v>2</v>
      </c>
      <c r="H762" t="inlineStr">
        <is>
          <t>MEDIUM</t>
        </is>
      </c>
      <c r="I762" t="n">
        <v>9</v>
      </c>
      <c r="J762" t="inlineStr">
        <is>
          <t>NO</t>
        </is>
      </c>
      <c r="K762" t="inlineStr">
        <is>
          <t>2026-02-27 20:47</t>
        </is>
      </c>
      <c r="L762" t="inlineStr">
        <is>
          <t>YES</t>
        </is>
      </c>
      <c r="M762" t="inlineStr">
        <is>
          <t>m2team nanazip *</t>
        </is>
      </c>
      <c r="N762" t="inlineStr">
        <is>
          <t>P4</t>
        </is>
      </c>
      <c r="O762" t="inlineStr">
        <is>
          <t>CVE - IP enrichment n/a</t>
        </is>
      </c>
      <c r="P762" t="n">
        <v>0.0001</v>
      </c>
      <c r="Q762" t="n">
        <v>0.0251</v>
      </c>
      <c r="R762" t="inlineStr">
        <is>
          <t>T1190:Exploit Public-Facing Application</t>
        </is>
      </c>
      <c r="S762" t="n">
        <v>1</v>
      </c>
      <c r="T762" t="inlineStr">
        <is>
          <t>LOW (40%)</t>
        </is>
      </c>
      <c r="U762" t="inlineStr">
        <is>
          <t>UNLIKELY</t>
        </is>
      </c>
      <c r="V762" t="inlineStr">
        <is>
          <t>PATCH_AVAILABLE</t>
        </is>
      </c>
      <c r="W762" t="inlineStr">
        <is>
          <t>https://nvd.nist.gov/vuln/detail/CVE-2026-27710</t>
        </is>
      </c>
      <c r="X762" t="inlineStr">
        <is>
          <t>NONE</t>
        </is>
      </c>
      <c r="Y762" t="n">
        <v>0</v>
      </c>
      <c r="Z762" t="inlineStr"/>
      <c r="AA762" t="inlineStr">
        <is>
          <t>https://nvd.nist.gov/vuln/detail/CVE-2026-27710</t>
        </is>
      </c>
    </row>
    <row r="763">
      <c r="A763" t="inlineStr">
        <is>
          <t>CVE</t>
        </is>
      </c>
      <c r="B763" t="inlineStr">
        <is>
          <t>CVE-2026-27711</t>
        </is>
      </c>
      <c r="C763"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763" t="n">
        <v>6.6</v>
      </c>
      <c r="E763" t="inlineStr">
        <is>
          <t>MEDIUM</t>
        </is>
      </c>
      <c r="F763" t="n">
        <v>2</v>
      </c>
      <c r="G763" t="n">
        <v>2</v>
      </c>
      <c r="H763" t="inlineStr">
        <is>
          <t>MEDIUM</t>
        </is>
      </c>
      <c r="I763" t="n">
        <v>10.6</v>
      </c>
      <c r="J763" t="inlineStr">
        <is>
          <t>NO</t>
        </is>
      </c>
      <c r="K763" t="inlineStr">
        <is>
          <t>2026-02-27 20:47</t>
        </is>
      </c>
      <c r="L763" t="inlineStr">
        <is>
          <t>YES</t>
        </is>
      </c>
      <c r="M763" t="inlineStr">
        <is>
          <t>m2team nanazip *</t>
        </is>
      </c>
      <c r="N763" t="inlineStr">
        <is>
          <t>P4</t>
        </is>
      </c>
      <c r="O763" t="inlineStr">
        <is>
          <t>CVE - IP enrichment n/a</t>
        </is>
      </c>
      <c r="P763" t="n">
        <v>0.0002</v>
      </c>
      <c r="Q763" t="n">
        <v>0.0369</v>
      </c>
      <c r="R763" t="inlineStr">
        <is>
          <t>T1203:Exploitation for Client Execution | T1190:Exploit Public-Facing Application</t>
        </is>
      </c>
      <c r="S763" t="n">
        <v>1</v>
      </c>
      <c r="T763" t="inlineStr">
        <is>
          <t>LOW (40%)</t>
        </is>
      </c>
      <c r="U763" t="inlineStr">
        <is>
          <t>UNLIKELY</t>
        </is>
      </c>
      <c r="V763" t="inlineStr">
        <is>
          <t>PATCH_AVAILABLE</t>
        </is>
      </c>
      <c r="W763" t="inlineStr">
        <is>
          <t>https://nvd.nist.gov/vuln/detail/CVE-2026-27711</t>
        </is>
      </c>
      <c r="X763" t="inlineStr">
        <is>
          <t>NONE</t>
        </is>
      </c>
      <c r="Y763" t="n">
        <v>0</v>
      </c>
      <c r="Z763" t="inlineStr"/>
      <c r="AA763" t="inlineStr">
        <is>
          <t>https://nvd.nist.gov/vuln/detail/CVE-2026-27711</t>
        </is>
      </c>
    </row>
    <row r="764">
      <c r="A764" t="inlineStr">
        <is>
          <t>CVE</t>
        </is>
      </c>
      <c r="B764" t="inlineStr">
        <is>
          <t>CVE-2026-27735</t>
        </is>
      </c>
      <c r="C764"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764" t="n">
        <v>5</v>
      </c>
      <c r="E764" t="inlineStr">
        <is>
          <t>MEDIUM</t>
        </is>
      </c>
      <c r="F764" t="n">
        <v>2</v>
      </c>
      <c r="G764" t="n">
        <v>2</v>
      </c>
      <c r="H764" t="inlineStr">
        <is>
          <t>MEDIUM</t>
        </is>
      </c>
      <c r="I764" t="n">
        <v>9</v>
      </c>
      <c r="J764" t="inlineStr">
        <is>
          <t>NO</t>
        </is>
      </c>
      <c r="K764" t="inlineStr">
        <is>
          <t>2026-02-27 20:47</t>
        </is>
      </c>
      <c r="L764" t="inlineStr">
        <is>
          <t>CHECK_VENDOR</t>
        </is>
      </c>
      <c r="M764" t="inlineStr">
        <is>
          <t>See CVE details</t>
        </is>
      </c>
      <c r="N764" t="inlineStr">
        <is>
          <t>P4</t>
        </is>
      </c>
      <c r="O764" t="inlineStr">
        <is>
          <t>CVE - IP enrichment n/a</t>
        </is>
      </c>
      <c r="P764" t="n">
        <v>0.0005</v>
      </c>
      <c r="Q764" t="n">
        <v>0.1417</v>
      </c>
      <c r="R764" t="inlineStr">
        <is>
          <t>T1083:File and Directory Discovery</t>
        </is>
      </c>
      <c r="S764" t="n">
        <v>1</v>
      </c>
      <c r="T764" t="inlineStr">
        <is>
          <t>LOW (40%)</t>
        </is>
      </c>
      <c r="U764" t="inlineStr">
        <is>
          <t>UNLIKELY</t>
        </is>
      </c>
      <c r="V764" t="inlineStr">
        <is>
          <t>CHECK_VENDOR</t>
        </is>
      </c>
      <c r="W764" t="inlineStr">
        <is>
          <t>https://nvd.nist.gov/vuln/detail/CVE-2026-27735</t>
        </is>
      </c>
      <c r="X764" t="inlineStr">
        <is>
          <t>NONE</t>
        </is>
      </c>
      <c r="Y764" t="n">
        <v>0</v>
      </c>
      <c r="Z764" t="inlineStr"/>
      <c r="AA764" t="inlineStr">
        <is>
          <t>https://nvd.nist.gov/vuln/detail/CVE-2026-27735</t>
        </is>
      </c>
    </row>
    <row r="765">
      <c r="A765" t="inlineStr">
        <is>
          <t>CVE</t>
        </is>
      </c>
      <c r="B765" t="inlineStr">
        <is>
          <t>CVE-2026-27798</t>
        </is>
      </c>
      <c r="C765"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765" t="n">
        <v>4</v>
      </c>
      <c r="E765" t="inlineStr">
        <is>
          <t>MEDIUM</t>
        </is>
      </c>
      <c r="F765" t="n">
        <v>2</v>
      </c>
      <c r="G765" t="n">
        <v>2</v>
      </c>
      <c r="H765" t="inlineStr">
        <is>
          <t>MEDIUM</t>
        </is>
      </c>
      <c r="I765" t="n">
        <v>9</v>
      </c>
      <c r="J765" t="inlineStr">
        <is>
          <t>NO</t>
        </is>
      </c>
      <c r="K765" t="inlineStr">
        <is>
          <t>2026-02-27 20:47</t>
        </is>
      </c>
      <c r="L765" t="inlineStr">
        <is>
          <t>YES</t>
        </is>
      </c>
      <c r="M765" t="inlineStr">
        <is>
          <t>dlemstra magick.net * | imagemagick imagemagick *</t>
        </is>
      </c>
      <c r="N765" t="inlineStr">
        <is>
          <t>P3</t>
        </is>
      </c>
      <c r="O765" t="inlineStr">
        <is>
          <t>CVE - IP enrichment n/a</t>
        </is>
      </c>
      <c r="P765" t="n">
        <v>0.0001</v>
      </c>
      <c r="Q765" t="n">
        <v>0.0138</v>
      </c>
      <c r="R765" t="inlineStr">
        <is>
          <t>T1203:Exploitation for Client Execution | T1190:Exploit Public-Facing Application</t>
        </is>
      </c>
      <c r="S765" t="n">
        <v>2</v>
      </c>
      <c r="T765" t="inlineStr">
        <is>
          <t>MEDIUM (52%)</t>
        </is>
      </c>
      <c r="U765" t="inlineStr">
        <is>
          <t>UNLIKELY</t>
        </is>
      </c>
      <c r="V765" t="inlineStr">
        <is>
          <t>PATCH_AVAILABLE</t>
        </is>
      </c>
      <c r="W765" t="inlineStr">
        <is>
          <t>https://nvd.nist.gov/vuln/detail/CVE-2026-27798</t>
        </is>
      </c>
      <c r="X765" t="inlineStr">
        <is>
          <t>NONE</t>
        </is>
      </c>
      <c r="Y765" t="n">
        <v>0</v>
      </c>
      <c r="Z765" t="inlineStr"/>
      <c r="AA765" t="inlineStr">
        <is>
          <t>https://nvd.nist.gov/vuln/detail/CVE-2026-27798</t>
        </is>
      </c>
    </row>
    <row r="766">
      <c r="A766" t="inlineStr">
        <is>
          <t>CVE</t>
        </is>
      </c>
      <c r="B766" t="inlineStr">
        <is>
          <t>CVE-2026-27799</t>
        </is>
      </c>
      <c r="C766"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766" t="n">
        <v>4</v>
      </c>
      <c r="E766" t="inlineStr">
        <is>
          <t>MEDIUM</t>
        </is>
      </c>
      <c r="F766" t="n">
        <v>2</v>
      </c>
      <c r="G766" t="n">
        <v>2</v>
      </c>
      <c r="H766" t="inlineStr">
        <is>
          <t>MEDIUM</t>
        </is>
      </c>
      <c r="I766" t="n">
        <v>9</v>
      </c>
      <c r="J766" t="inlineStr">
        <is>
          <t>NO</t>
        </is>
      </c>
      <c r="K766" t="inlineStr">
        <is>
          <t>2026-02-27 20:47</t>
        </is>
      </c>
      <c r="L766" t="inlineStr">
        <is>
          <t>YES</t>
        </is>
      </c>
      <c r="M766" t="inlineStr">
        <is>
          <t>dlemstra magick.net * | imagemagick imagemagick *</t>
        </is>
      </c>
      <c r="N766" t="inlineStr">
        <is>
          <t>P3</t>
        </is>
      </c>
      <c r="O766" t="inlineStr">
        <is>
          <t>CVE - IP enrichment n/a</t>
        </is>
      </c>
      <c r="P766" t="n">
        <v>0.0001</v>
      </c>
      <c r="Q766" t="n">
        <v>0.0162</v>
      </c>
      <c r="R766" t="inlineStr">
        <is>
          <t>T1190:Exploit Public-Facing Application | T1203:Exploitation for Client Execution</t>
        </is>
      </c>
      <c r="S766" t="n">
        <v>2</v>
      </c>
      <c r="T766" t="inlineStr">
        <is>
          <t>MEDIUM (52%)</t>
        </is>
      </c>
      <c r="U766" t="inlineStr">
        <is>
          <t>UNLIKELY</t>
        </is>
      </c>
      <c r="V766" t="inlineStr">
        <is>
          <t>PATCH_AVAILABLE</t>
        </is>
      </c>
      <c r="W766" t="inlineStr">
        <is>
          <t>https://nvd.nist.gov/vuln/detail/CVE-2026-27799</t>
        </is>
      </c>
      <c r="X766" t="inlineStr">
        <is>
          <t>NONE</t>
        </is>
      </c>
      <c r="Y766" t="n">
        <v>0</v>
      </c>
      <c r="Z766" t="inlineStr"/>
      <c r="AA766" t="inlineStr">
        <is>
          <t>https://nvd.nist.gov/vuln/detail/CVE-2026-27799</t>
        </is>
      </c>
    </row>
    <row r="767">
      <c r="A767" t="inlineStr">
        <is>
          <t>CVE</t>
        </is>
      </c>
      <c r="B767" t="inlineStr">
        <is>
          <t>CVE-2026-27800</t>
        </is>
      </c>
      <c r="C767"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767" t="n">
        <v>7.4</v>
      </c>
      <c r="E767" t="inlineStr">
        <is>
          <t>HIGH</t>
        </is>
      </c>
      <c r="F767" t="n">
        <v>2</v>
      </c>
      <c r="G767" t="n">
        <v>3</v>
      </c>
      <c r="H767" t="inlineStr">
        <is>
          <t>HIGH</t>
        </is>
      </c>
      <c r="I767" t="n">
        <v>13.4</v>
      </c>
      <c r="J767" t="inlineStr">
        <is>
          <t>NO</t>
        </is>
      </c>
      <c r="K767" t="inlineStr">
        <is>
          <t>2026-02-27 20:47</t>
        </is>
      </c>
      <c r="L767" t="inlineStr">
        <is>
          <t>CHECK_VENDOR</t>
        </is>
      </c>
      <c r="M767" t="inlineStr">
        <is>
          <t>See CVE details</t>
        </is>
      </c>
      <c r="N767" t="inlineStr">
        <is>
          <t>P3</t>
        </is>
      </c>
      <c r="O767" t="inlineStr">
        <is>
          <t>CVE - IP enrichment n/a</t>
        </is>
      </c>
      <c r="P767" t="n">
        <v>0.0003</v>
      </c>
      <c r="Q767" t="n">
        <v>0.0873</v>
      </c>
      <c r="R767" t="inlineStr">
        <is>
          <t>T1083:File and Directory Discovery</t>
        </is>
      </c>
      <c r="S767" t="n">
        <v>1</v>
      </c>
      <c r="T767" t="inlineStr">
        <is>
          <t>LOW (40%)</t>
        </is>
      </c>
      <c r="U767" t="inlineStr">
        <is>
          <t>UNLIKELY</t>
        </is>
      </c>
      <c r="V767" t="inlineStr">
        <is>
          <t>CHECK_VENDOR</t>
        </is>
      </c>
      <c r="W767" t="inlineStr">
        <is>
          <t>https://nvd.nist.gov/vuln/detail/CVE-2026-27800</t>
        </is>
      </c>
      <c r="X767" t="inlineStr">
        <is>
          <t>NONE</t>
        </is>
      </c>
      <c r="Y767" t="n">
        <v>0</v>
      </c>
      <c r="Z767" t="inlineStr"/>
      <c r="AA767" t="inlineStr">
        <is>
          <t>https://nvd.nist.gov/vuln/detail/CVE-2026-27800</t>
        </is>
      </c>
    </row>
    <row r="768">
      <c r="A768" t="inlineStr">
        <is>
          <t>CVE</t>
        </is>
      </c>
      <c r="B768" t="inlineStr">
        <is>
          <t>CVE-2026-27804</t>
        </is>
      </c>
      <c r="C768"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768" t="n">
        <v>8.5</v>
      </c>
      <c r="E768" t="inlineStr">
        <is>
          <t>HIGH</t>
        </is>
      </c>
      <c r="F768" t="n">
        <v>2</v>
      </c>
      <c r="G768" t="n">
        <v>3</v>
      </c>
      <c r="H768" t="inlineStr">
        <is>
          <t>HIGH</t>
        </is>
      </c>
      <c r="I768" t="n">
        <v>14.5</v>
      </c>
      <c r="J768" t="inlineStr">
        <is>
          <t>NO</t>
        </is>
      </c>
      <c r="K768" t="inlineStr">
        <is>
          <t>2026-02-27 20:47</t>
        </is>
      </c>
      <c r="L768" t="inlineStr">
        <is>
          <t>CHECK_VENDOR</t>
        </is>
      </c>
      <c r="M768" t="inlineStr">
        <is>
          <t>See CVE details</t>
        </is>
      </c>
      <c r="N768" t="inlineStr">
        <is>
          <t>P3</t>
        </is>
      </c>
      <c r="O768" t="inlineStr">
        <is>
          <t>CVE - IP enrichment n/a</t>
        </is>
      </c>
      <c r="P768" t="n">
        <v>0.0004</v>
      </c>
      <c r="Q768" t="n">
        <v>0.1217</v>
      </c>
      <c r="R768" t="inlineStr">
        <is>
          <t>T1190:Exploit Public-Facing Application | T1552:Unsecured Credentials</t>
        </is>
      </c>
      <c r="S768" t="n">
        <v>1</v>
      </c>
      <c r="T768" t="inlineStr">
        <is>
          <t>LOW (40%)</t>
        </is>
      </c>
      <c r="U768" t="inlineStr">
        <is>
          <t>UNLIKELY</t>
        </is>
      </c>
      <c r="V768" t="inlineStr">
        <is>
          <t>CHECK_VENDOR</t>
        </is>
      </c>
      <c r="W768" t="inlineStr">
        <is>
          <t>https://nvd.nist.gov/vuln/detail/CVE-2026-27804</t>
        </is>
      </c>
      <c r="X768" t="inlineStr">
        <is>
          <t>NONE</t>
        </is>
      </c>
      <c r="Y768" t="n">
        <v>0</v>
      </c>
      <c r="Z768" t="inlineStr"/>
      <c r="AA768" t="inlineStr">
        <is>
          <t>https://nvd.nist.gov/vuln/detail/CVE-2026-27804</t>
        </is>
      </c>
    </row>
    <row r="769">
      <c r="A769" t="inlineStr">
        <is>
          <t>CVE</t>
        </is>
      </c>
      <c r="B769" t="inlineStr">
        <is>
          <t>CVE-2026-27808</t>
        </is>
      </c>
      <c r="C769"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769" t="n">
        <v>5.8</v>
      </c>
      <c r="E769" t="inlineStr">
        <is>
          <t>MEDIUM</t>
        </is>
      </c>
      <c r="F769" t="n">
        <v>2</v>
      </c>
      <c r="G769" t="n">
        <v>2</v>
      </c>
      <c r="H769" t="inlineStr">
        <is>
          <t>MEDIUM</t>
        </is>
      </c>
      <c r="I769" t="n">
        <v>9.800000000000001</v>
      </c>
      <c r="J769" t="inlineStr">
        <is>
          <t>NO</t>
        </is>
      </c>
      <c r="K769" t="inlineStr">
        <is>
          <t>2026-02-27 20:47</t>
        </is>
      </c>
      <c r="L769" t="inlineStr">
        <is>
          <t>CHECK_VENDOR</t>
        </is>
      </c>
      <c r="M769" t="inlineStr">
        <is>
          <t>See CVE details</t>
        </is>
      </c>
      <c r="N769" t="inlineStr">
        <is>
          <t>P4</t>
        </is>
      </c>
      <c r="O769" t="inlineStr">
        <is>
          <t>CVE - IP enrichment n/a</t>
        </is>
      </c>
      <c r="P769" t="n">
        <v>0.0005</v>
      </c>
      <c r="Q769" t="n">
        <v>0.1441</v>
      </c>
      <c r="R769" t="inlineStr">
        <is>
          <t>T1090:Proxy</t>
        </is>
      </c>
      <c r="S769" t="n">
        <v>1</v>
      </c>
      <c r="T769" t="inlineStr">
        <is>
          <t>LOW (40%)</t>
        </is>
      </c>
      <c r="U769" t="inlineStr">
        <is>
          <t>UNLIKELY</t>
        </is>
      </c>
      <c r="V769" t="inlineStr">
        <is>
          <t>CHECK_VENDOR</t>
        </is>
      </c>
      <c r="W769" t="inlineStr">
        <is>
          <t>https://nvd.nist.gov/vuln/detail/CVE-2026-27808</t>
        </is>
      </c>
      <c r="X769" t="inlineStr">
        <is>
          <t>NONE</t>
        </is>
      </c>
      <c r="Y769" t="n">
        <v>0</v>
      </c>
      <c r="Z769" t="inlineStr"/>
      <c r="AA769" t="inlineStr">
        <is>
          <t>https://nvd.nist.gov/vuln/detail/CVE-2026-27808</t>
        </is>
      </c>
    </row>
    <row r="770">
      <c r="A770" t="inlineStr">
        <is>
          <t>CVE</t>
        </is>
      </c>
      <c r="B770" t="inlineStr">
        <is>
          <t>CVE-2026-27809</t>
        </is>
      </c>
      <c r="C770"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770" t="n">
        <v>5</v>
      </c>
      <c r="E770" t="inlineStr">
        <is>
          <t>MEDIUM</t>
        </is>
      </c>
      <c r="F770" t="n">
        <v>2</v>
      </c>
      <c r="G770" t="n">
        <v>2</v>
      </c>
      <c r="H770" t="inlineStr">
        <is>
          <t>MEDIUM</t>
        </is>
      </c>
      <c r="I770" t="n">
        <v>9</v>
      </c>
      <c r="J770" t="inlineStr">
        <is>
          <t>NO</t>
        </is>
      </c>
      <c r="K770" t="inlineStr">
        <is>
          <t>2026-02-27 20:47</t>
        </is>
      </c>
      <c r="L770" t="inlineStr">
        <is>
          <t>CHECK_VENDOR</t>
        </is>
      </c>
      <c r="M770" t="inlineStr">
        <is>
          <t>See CVE details</t>
        </is>
      </c>
      <c r="N770" t="inlineStr">
        <is>
          <t>P4</t>
        </is>
      </c>
      <c r="O770" t="inlineStr">
        <is>
          <t>CVE - IP enrichment n/a</t>
        </is>
      </c>
      <c r="P770" t="n">
        <v>0.0004</v>
      </c>
      <c r="Q770" t="n">
        <v>0.1196</v>
      </c>
      <c r="R770" t="inlineStr">
        <is>
          <t>T1190:Exploit Public-Facing Application</t>
        </is>
      </c>
      <c r="S770" t="n">
        <v>1</v>
      </c>
      <c r="T770" t="inlineStr">
        <is>
          <t>LOW (40%)</t>
        </is>
      </c>
      <c r="U770" t="inlineStr">
        <is>
          <t>UNLIKELY</t>
        </is>
      </c>
      <c r="V770" t="inlineStr">
        <is>
          <t>CHECK_VENDOR</t>
        </is>
      </c>
      <c r="W770" t="inlineStr">
        <is>
          <t>https://nvd.nist.gov/vuln/detail/CVE-2026-27809</t>
        </is>
      </c>
      <c r="X770" t="inlineStr">
        <is>
          <t>NONE</t>
        </is>
      </c>
      <c r="Y770" t="n">
        <v>0</v>
      </c>
      <c r="Z770" t="inlineStr"/>
      <c r="AA770" t="inlineStr">
        <is>
          <t>https://nvd.nist.gov/vuln/detail/CVE-2026-27809</t>
        </is>
      </c>
    </row>
    <row r="771">
      <c r="A771" t="inlineStr">
        <is>
          <t>CVE</t>
        </is>
      </c>
      <c r="B771" t="inlineStr">
        <is>
          <t>CVE-2026-27812</t>
        </is>
      </c>
      <c r="C771"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771" t="n">
        <v>5</v>
      </c>
      <c r="E771" t="inlineStr">
        <is>
          <t>MEDIUM</t>
        </is>
      </c>
      <c r="F771" t="n">
        <v>2</v>
      </c>
      <c r="G771" t="n">
        <v>2</v>
      </c>
      <c r="H771" t="inlineStr">
        <is>
          <t>MEDIUM</t>
        </is>
      </c>
      <c r="I771" t="n">
        <v>9</v>
      </c>
      <c r="J771" t="inlineStr">
        <is>
          <t>NO</t>
        </is>
      </c>
      <c r="K771" t="inlineStr">
        <is>
          <t>2026-02-27 20:47</t>
        </is>
      </c>
      <c r="L771" t="inlineStr">
        <is>
          <t>CHECK_VENDOR</t>
        </is>
      </c>
      <c r="M771" t="inlineStr">
        <is>
          <t>See CVE details</t>
        </is>
      </c>
      <c r="N771" t="inlineStr">
        <is>
          <t>P4</t>
        </is>
      </c>
      <c r="O771" t="inlineStr">
        <is>
          <t>CVE - IP enrichment n/a</t>
        </is>
      </c>
      <c r="P771" t="n">
        <v>0.0004</v>
      </c>
      <c r="Q771" t="n">
        <v>0.1273</v>
      </c>
      <c r="R771" t="inlineStr">
        <is>
          <t>T1190:Exploit Public-Facing Application</t>
        </is>
      </c>
      <c r="S771" t="n">
        <v>1</v>
      </c>
      <c r="T771" t="inlineStr">
        <is>
          <t>LOW (40%)</t>
        </is>
      </c>
      <c r="U771" t="inlineStr">
        <is>
          <t>UNLIKELY</t>
        </is>
      </c>
      <c r="V771" t="inlineStr">
        <is>
          <t>CHECK_VENDOR</t>
        </is>
      </c>
      <c r="W771" t="inlineStr">
        <is>
          <t>https://nvd.nist.gov/vuln/detail/CVE-2026-27812</t>
        </is>
      </c>
      <c r="X771" t="inlineStr">
        <is>
          <t>NONE</t>
        </is>
      </c>
      <c r="Y771" t="n">
        <v>0</v>
      </c>
      <c r="Z771" t="inlineStr"/>
      <c r="AA771" t="inlineStr">
        <is>
          <t>https://nvd.nist.gov/vuln/detail/CVE-2026-27812</t>
        </is>
      </c>
    </row>
    <row r="772">
      <c r="A772" t="inlineStr">
        <is>
          <t>CVE</t>
        </is>
      </c>
      <c r="B772" t="inlineStr">
        <is>
          <t>CVE-2026-27818</t>
        </is>
      </c>
      <c r="C772"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772" t="n">
        <v>5</v>
      </c>
      <c r="E772" t="inlineStr">
        <is>
          <t>MEDIUM</t>
        </is>
      </c>
      <c r="F772" t="n">
        <v>2</v>
      </c>
      <c r="G772" t="n">
        <v>2</v>
      </c>
      <c r="H772" t="inlineStr">
        <is>
          <t>MEDIUM</t>
        </is>
      </c>
      <c r="I772" t="n">
        <v>9</v>
      </c>
      <c r="J772" t="inlineStr">
        <is>
          <t>NO</t>
        </is>
      </c>
      <c r="K772" t="inlineStr">
        <is>
          <t>2026-02-27 20:47</t>
        </is>
      </c>
      <c r="L772" t="inlineStr">
        <is>
          <t>CHECK_VENDOR</t>
        </is>
      </c>
      <c r="M772" t="inlineStr">
        <is>
          <t>See CVE details</t>
        </is>
      </c>
      <c r="N772" t="inlineStr">
        <is>
          <t>P4</t>
        </is>
      </c>
      <c r="O772" t="inlineStr">
        <is>
          <t>CVE - IP enrichment n/a</t>
        </is>
      </c>
      <c r="P772" t="n">
        <v>0.0008</v>
      </c>
      <c r="Q772" t="n">
        <v>0.2407</v>
      </c>
      <c r="R772" t="inlineStr">
        <is>
          <t>T1190:Exploit Public-Facing Application</t>
        </is>
      </c>
      <c r="S772" t="n">
        <v>1</v>
      </c>
      <c r="T772" t="inlineStr">
        <is>
          <t>LOW (40%)</t>
        </is>
      </c>
      <c r="U772" t="inlineStr">
        <is>
          <t>UNLIKELY</t>
        </is>
      </c>
      <c r="V772" t="inlineStr">
        <is>
          <t>CHECK_VENDOR</t>
        </is>
      </c>
      <c r="W772" t="inlineStr">
        <is>
          <t>https://nvd.nist.gov/vuln/detail/CVE-2026-27818</t>
        </is>
      </c>
      <c r="X772" t="inlineStr">
        <is>
          <t>NONE</t>
        </is>
      </c>
      <c r="Y772" t="n">
        <v>0</v>
      </c>
      <c r="Z772" t="inlineStr"/>
      <c r="AA772" t="inlineStr">
        <is>
          <t>https://nvd.nist.gov/vuln/detail/CVE-2026-27818</t>
        </is>
      </c>
    </row>
    <row r="773">
      <c r="A773" t="inlineStr">
        <is>
          <t>CVE</t>
        </is>
      </c>
      <c r="B773" t="inlineStr">
        <is>
          <t>CVE-2026-27821</t>
        </is>
      </c>
      <c r="C773"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773" t="n">
        <v>8.5</v>
      </c>
      <c r="E773" t="inlineStr">
        <is>
          <t>HIGH</t>
        </is>
      </c>
      <c r="F773" t="n">
        <v>2</v>
      </c>
      <c r="G773" t="n">
        <v>3</v>
      </c>
      <c r="H773" t="inlineStr">
        <is>
          <t>HIGH</t>
        </is>
      </c>
      <c r="I773" t="n">
        <v>14.5</v>
      </c>
      <c r="J773" t="inlineStr">
        <is>
          <t>NO</t>
        </is>
      </c>
      <c r="K773" t="inlineStr">
        <is>
          <t>2026-02-27 20:47</t>
        </is>
      </c>
      <c r="L773" t="inlineStr">
        <is>
          <t>CHECK_VENDOR</t>
        </is>
      </c>
      <c r="M773" t="inlineStr">
        <is>
          <t>See CVE details</t>
        </is>
      </c>
      <c r="N773" t="inlineStr">
        <is>
          <t>P3</t>
        </is>
      </c>
      <c r="O773" t="inlineStr">
        <is>
          <t>CVE - IP enrichment n/a</t>
        </is>
      </c>
      <c r="P773" t="n">
        <v>0.0005</v>
      </c>
      <c r="Q773" t="n">
        <v>0.1491</v>
      </c>
      <c r="R773" t="inlineStr">
        <is>
          <t>T1190:Exploit Public-Facing Application | T1203:Exploitation for Client Execution</t>
        </is>
      </c>
      <c r="S773" t="n">
        <v>1</v>
      </c>
      <c r="T773" t="inlineStr">
        <is>
          <t>LOW (40%)</t>
        </is>
      </c>
      <c r="U773" t="inlineStr">
        <is>
          <t>UNLIKELY</t>
        </is>
      </c>
      <c r="V773" t="inlineStr">
        <is>
          <t>CHECK_VENDOR</t>
        </is>
      </c>
      <c r="W773" t="inlineStr">
        <is>
          <t>https://nvd.nist.gov/vuln/detail/CVE-2026-27821</t>
        </is>
      </c>
      <c r="X773" t="inlineStr">
        <is>
          <t>NONE</t>
        </is>
      </c>
      <c r="Y773" t="n">
        <v>0</v>
      </c>
      <c r="Z773" t="inlineStr"/>
      <c r="AA773" t="inlineStr">
        <is>
          <t>https://nvd.nist.gov/vuln/detail/CVE-2026-27821</t>
        </is>
      </c>
    </row>
    <row r="774">
      <c r="A774" t="inlineStr">
        <is>
          <t>CVE</t>
        </is>
      </c>
      <c r="B774" t="inlineStr">
        <is>
          <t>CVE-2026-27933</t>
        </is>
      </c>
      <c r="C774" t="inlineStr">
        <is>
          <t>Manyfold is an open source, self-hosted web application for managing a collection of 3d models, particularly focused on 3d printing. Versions prior to 0.133.0 are vulnerable to session hijack via cookie leakage in proxy caches. Version 0.133.0 fixes the issue.</t>
        </is>
      </c>
      <c r="D774" t="n">
        <v>6.8</v>
      </c>
      <c r="E774" t="inlineStr">
        <is>
          <t>MEDIUM</t>
        </is>
      </c>
      <c r="F774" t="n">
        <v>2</v>
      </c>
      <c r="G774" t="n">
        <v>2</v>
      </c>
      <c r="H774" t="inlineStr">
        <is>
          <t>MEDIUM</t>
        </is>
      </c>
      <c r="I774" t="n">
        <v>10.8</v>
      </c>
      <c r="J774" t="inlineStr">
        <is>
          <t>NO</t>
        </is>
      </c>
      <c r="K774" t="inlineStr">
        <is>
          <t>2026-02-27 20:47</t>
        </is>
      </c>
      <c r="L774" t="inlineStr">
        <is>
          <t>YES</t>
        </is>
      </c>
      <c r="M774" t="inlineStr">
        <is>
          <t>manyfold manyfold *</t>
        </is>
      </c>
      <c r="N774" t="inlineStr">
        <is>
          <t>P4</t>
        </is>
      </c>
      <c r="O774" t="inlineStr">
        <is>
          <t>CVE - IP enrichment n/a</t>
        </is>
      </c>
      <c r="P774" t="n">
        <v>0.0003</v>
      </c>
      <c r="Q774" t="n">
        <v>0.0835</v>
      </c>
      <c r="R774" t="inlineStr">
        <is>
          <t>T1190:Exploit Public-Facing Application</t>
        </is>
      </c>
      <c r="S774" t="n">
        <v>1</v>
      </c>
      <c r="T774" t="inlineStr">
        <is>
          <t>LOW (40%)</t>
        </is>
      </c>
      <c r="U774" t="inlineStr">
        <is>
          <t>UNLIKELY</t>
        </is>
      </c>
      <c r="V774" t="inlineStr">
        <is>
          <t>PATCH_AVAILABLE</t>
        </is>
      </c>
      <c r="W774" t="inlineStr">
        <is>
          <t>https://nvd.nist.gov/vuln/detail/CVE-2026-27933</t>
        </is>
      </c>
      <c r="X774" t="inlineStr">
        <is>
          <t>NONE</t>
        </is>
      </c>
      <c r="Y774" t="n">
        <v>0</v>
      </c>
      <c r="Z774" t="inlineStr"/>
      <c r="AA774" t="inlineStr">
        <is>
          <t>https://nvd.nist.gov/vuln/detail/CVE-2026-27933</t>
        </is>
      </c>
    </row>
    <row r="775">
      <c r="A775" t="inlineStr">
        <is>
          <t>CVE</t>
        </is>
      </c>
      <c r="B775" t="inlineStr">
        <is>
          <t>CVE-2026-27967</t>
        </is>
      </c>
      <c r="C775"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775" t="n">
        <v>7.1</v>
      </c>
      <c r="E775" t="inlineStr">
        <is>
          <t>HIGH</t>
        </is>
      </c>
      <c r="F775" t="n">
        <v>2</v>
      </c>
      <c r="G775" t="n">
        <v>3</v>
      </c>
      <c r="H775" t="inlineStr">
        <is>
          <t>HIGH</t>
        </is>
      </c>
      <c r="I775" t="n">
        <v>13.1</v>
      </c>
      <c r="J775" t="inlineStr">
        <is>
          <t>NO</t>
        </is>
      </c>
      <c r="K775" t="inlineStr">
        <is>
          <t>2026-02-27 20:47</t>
        </is>
      </c>
      <c r="L775" t="inlineStr">
        <is>
          <t>CHECK_VENDOR</t>
        </is>
      </c>
      <c r="M775" t="inlineStr">
        <is>
          <t>See CVE details</t>
        </is>
      </c>
      <c r="N775" t="inlineStr">
        <is>
          <t>P3</t>
        </is>
      </c>
      <c r="O775" t="inlineStr">
        <is>
          <t>CVE - IP enrichment n/a</t>
        </is>
      </c>
      <c r="P775" t="n">
        <v>0.0001</v>
      </c>
      <c r="Q775" t="n">
        <v>0.0145</v>
      </c>
      <c r="R775" t="inlineStr">
        <is>
          <t>T1190:Exploit Public-Facing Application</t>
        </is>
      </c>
      <c r="S775" t="n">
        <v>1</v>
      </c>
      <c r="T775" t="inlineStr">
        <is>
          <t>LOW (40%)</t>
        </is>
      </c>
      <c r="U775" t="inlineStr">
        <is>
          <t>UNLIKELY</t>
        </is>
      </c>
      <c r="V775" t="inlineStr">
        <is>
          <t>CHECK_VENDOR</t>
        </is>
      </c>
      <c r="W775" t="inlineStr">
        <is>
          <t>https://nvd.nist.gov/vuln/detail/CVE-2026-27967</t>
        </is>
      </c>
      <c r="X775" t="inlineStr">
        <is>
          <t>NONE</t>
        </is>
      </c>
      <c r="Y775" t="n">
        <v>0</v>
      </c>
      <c r="Z775" t="inlineStr"/>
      <c r="AA775" t="inlineStr">
        <is>
          <t>https://nvd.nist.gov/vuln/detail/CVE-2026-27967</t>
        </is>
      </c>
    </row>
    <row r="776">
      <c r="A776" t="inlineStr">
        <is>
          <t>CVE</t>
        </is>
      </c>
      <c r="B776" t="inlineStr">
        <is>
          <t>CVE-2026-27976</t>
        </is>
      </c>
      <c r="C776"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776" t="n">
        <v>8.800000000000001</v>
      </c>
      <c r="E776" t="inlineStr">
        <is>
          <t>HIGH</t>
        </is>
      </c>
      <c r="F776" t="n">
        <v>2</v>
      </c>
      <c r="G776" t="n">
        <v>3</v>
      </c>
      <c r="H776" t="inlineStr">
        <is>
          <t>HIGH</t>
        </is>
      </c>
      <c r="I776" t="n">
        <v>14.8</v>
      </c>
      <c r="J776" t="inlineStr">
        <is>
          <t>NO</t>
        </is>
      </c>
      <c r="K776" t="inlineStr">
        <is>
          <t>2026-02-27 20:47</t>
        </is>
      </c>
      <c r="L776" t="inlineStr">
        <is>
          <t>CHECK_VENDOR</t>
        </is>
      </c>
      <c r="M776" t="inlineStr">
        <is>
          <t>See CVE details</t>
        </is>
      </c>
      <c r="N776" t="inlineStr">
        <is>
          <t>P3</t>
        </is>
      </c>
      <c r="O776" t="inlineStr">
        <is>
          <t>CVE - IP enrichment n/a</t>
        </is>
      </c>
      <c r="P776" t="n">
        <v>0.0004</v>
      </c>
      <c r="Q776" t="n">
        <v>0.1277</v>
      </c>
      <c r="R776" t="inlineStr">
        <is>
          <t>T1190:Exploit Public-Facing Application</t>
        </is>
      </c>
      <c r="S776" t="n">
        <v>1</v>
      </c>
      <c r="T776" t="inlineStr">
        <is>
          <t>LOW (40%)</t>
        </is>
      </c>
      <c r="U776" t="inlineStr">
        <is>
          <t>UNLIKELY</t>
        </is>
      </c>
      <c r="V776" t="inlineStr">
        <is>
          <t>CHECK_VENDOR</t>
        </is>
      </c>
      <c r="W776" t="inlineStr">
        <is>
          <t>https://nvd.nist.gov/vuln/detail/CVE-2026-27976</t>
        </is>
      </c>
      <c r="X776" t="inlineStr">
        <is>
          <t>NONE</t>
        </is>
      </c>
      <c r="Y776" t="n">
        <v>0</v>
      </c>
      <c r="Z776" t="inlineStr"/>
      <c r="AA776" t="inlineStr">
        <is>
          <t>https://nvd.nist.gov/vuln/detail/CVE-2026-27976</t>
        </is>
      </c>
    </row>
    <row r="777">
      <c r="A777" t="inlineStr">
        <is>
          <t>CVE</t>
        </is>
      </c>
      <c r="B777" t="inlineStr">
        <is>
          <t>CVE-2026-27829</t>
        </is>
      </c>
      <c r="C777"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777" t="n">
        <v>6.5</v>
      </c>
      <c r="E777" t="inlineStr">
        <is>
          <t>MEDIUM</t>
        </is>
      </c>
      <c r="F777" t="n">
        <v>2</v>
      </c>
      <c r="G777" t="n">
        <v>2</v>
      </c>
      <c r="H777" t="inlineStr">
        <is>
          <t>MEDIUM</t>
        </is>
      </c>
      <c r="I777" t="n">
        <v>10.5</v>
      </c>
      <c r="J777" t="inlineStr">
        <is>
          <t>NO</t>
        </is>
      </c>
      <c r="K777" t="inlineStr">
        <is>
          <t>2026-02-27 20:47</t>
        </is>
      </c>
      <c r="L777" t="inlineStr">
        <is>
          <t>CHECK_VENDOR</t>
        </is>
      </c>
      <c r="M777" t="inlineStr">
        <is>
          <t>See CVE details</t>
        </is>
      </c>
      <c r="N777" t="inlineStr">
        <is>
          <t>P4</t>
        </is>
      </c>
      <c r="O777" t="inlineStr">
        <is>
          <t>CVE - IP enrichment n/a</t>
        </is>
      </c>
      <c r="P777" t="n">
        <v>0.0004</v>
      </c>
      <c r="Q777" t="n">
        <v>0.1114</v>
      </c>
      <c r="R777" t="inlineStr">
        <is>
          <t>T1090:Proxy</t>
        </is>
      </c>
      <c r="S777" t="n">
        <v>1</v>
      </c>
      <c r="T777" t="inlineStr">
        <is>
          <t>LOW (40%)</t>
        </is>
      </c>
      <c r="U777" t="inlineStr">
        <is>
          <t>UNLIKELY</t>
        </is>
      </c>
      <c r="V777" t="inlineStr">
        <is>
          <t>CHECK_VENDOR</t>
        </is>
      </c>
      <c r="W777" t="inlineStr">
        <is>
          <t>https://nvd.nist.gov/vuln/detail/CVE-2026-27829</t>
        </is>
      </c>
      <c r="X777" t="inlineStr">
        <is>
          <t>NONE</t>
        </is>
      </c>
      <c r="Y777" t="n">
        <v>0</v>
      </c>
      <c r="Z777" t="inlineStr"/>
      <c r="AA777" t="inlineStr">
        <is>
          <t>https://nvd.nist.gov/vuln/detail/CVE-2026-27829</t>
        </is>
      </c>
    </row>
    <row r="778">
      <c r="A778" t="inlineStr">
        <is>
          <t>CVE</t>
        </is>
      </c>
      <c r="B778" t="inlineStr">
        <is>
          <t>CVE-2026-27830</t>
        </is>
      </c>
      <c r="C778"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778" t="n">
        <v>8.5</v>
      </c>
      <c r="E778" t="inlineStr">
        <is>
          <t>HIGH</t>
        </is>
      </c>
      <c r="F778" t="n">
        <v>2</v>
      </c>
      <c r="G778" t="n">
        <v>3</v>
      </c>
      <c r="H778" t="inlineStr">
        <is>
          <t>HIGH</t>
        </is>
      </c>
      <c r="I778" t="n">
        <v>14.5</v>
      </c>
      <c r="J778" t="inlineStr">
        <is>
          <t>NO</t>
        </is>
      </c>
      <c r="K778" t="inlineStr">
        <is>
          <t>2026-02-27 20:47</t>
        </is>
      </c>
      <c r="L778" t="inlineStr">
        <is>
          <t>CHECK_VENDOR</t>
        </is>
      </c>
      <c r="M778" t="inlineStr">
        <is>
          <t>See CVE details</t>
        </is>
      </c>
      <c r="N778" t="inlineStr">
        <is>
          <t>P3</t>
        </is>
      </c>
      <c r="O778" t="inlineStr">
        <is>
          <t>CVE - IP enrichment n/a</t>
        </is>
      </c>
      <c r="P778" t="n">
        <v>0.0009</v>
      </c>
      <c r="Q778" t="n">
        <v>0.2611</v>
      </c>
      <c r="R778" t="inlineStr">
        <is>
          <t>T1059:Command and Scripting Interpreter | T1190:Exploit Public-Facing Application</t>
        </is>
      </c>
      <c r="S778" t="n">
        <v>1</v>
      </c>
      <c r="T778" t="inlineStr">
        <is>
          <t>LOW (40%)</t>
        </is>
      </c>
      <c r="U778" t="inlineStr">
        <is>
          <t>UNLIKELY</t>
        </is>
      </c>
      <c r="V778" t="inlineStr">
        <is>
          <t>CHECK_VENDOR</t>
        </is>
      </c>
      <c r="W778" t="inlineStr">
        <is>
          <t>https://nvd.nist.gov/vuln/detail/CVE-2026-27830</t>
        </is>
      </c>
      <c r="X778" t="inlineStr">
        <is>
          <t>NONE</t>
        </is>
      </c>
      <c r="Y778" t="n">
        <v>0</v>
      </c>
      <c r="Z778" t="inlineStr"/>
      <c r="AA778" t="inlineStr">
        <is>
          <t>https://nvd.nist.gov/vuln/detail/CVE-2026-27830</t>
        </is>
      </c>
    </row>
    <row r="779">
      <c r="A779" t="inlineStr">
        <is>
          <t>CVE</t>
        </is>
      </c>
      <c r="B779" t="inlineStr">
        <is>
          <t>CVE-2026-27831</t>
        </is>
      </c>
      <c r="C779" t="inlineStr">
        <is>
          <t>rldns is an open source DNS server. Version 1.3 has a heap-based out-of-bounds read that leads to denial of service. Version 1.4 contains a patch for the issue.</t>
        </is>
      </c>
      <c r="D779" t="n">
        <v>7.5</v>
      </c>
      <c r="E779" t="inlineStr">
        <is>
          <t>HIGH</t>
        </is>
      </c>
      <c r="F779" t="n">
        <v>2</v>
      </c>
      <c r="G779" t="n">
        <v>3</v>
      </c>
      <c r="H779" t="inlineStr">
        <is>
          <t>HIGH</t>
        </is>
      </c>
      <c r="I779" t="n">
        <v>13.5</v>
      </c>
      <c r="J779" t="inlineStr">
        <is>
          <t>NO</t>
        </is>
      </c>
      <c r="K779" t="inlineStr">
        <is>
          <t>2026-02-27 20:47</t>
        </is>
      </c>
      <c r="L779" t="inlineStr">
        <is>
          <t>CHECK_VENDOR</t>
        </is>
      </c>
      <c r="M779" t="inlineStr">
        <is>
          <t>See CVE details</t>
        </is>
      </c>
      <c r="N779" t="inlineStr">
        <is>
          <t>P3</t>
        </is>
      </c>
      <c r="O779" t="inlineStr">
        <is>
          <t>CVE - IP enrichment n/a</t>
        </is>
      </c>
      <c r="P779" t="n">
        <v>0.0004</v>
      </c>
      <c r="Q779" t="n">
        <v>0.1242</v>
      </c>
      <c r="R779" t="inlineStr">
        <is>
          <t>T1203:Exploitation for Client Execution | T1190:Exploit Public-Facing Application | T1499:Endpoint Denial of Service</t>
        </is>
      </c>
      <c r="S779" t="n">
        <v>1</v>
      </c>
      <c r="T779" t="inlineStr">
        <is>
          <t>LOW (40%)</t>
        </is>
      </c>
      <c r="U779" t="inlineStr">
        <is>
          <t>UNLIKELY</t>
        </is>
      </c>
      <c r="V779" t="inlineStr">
        <is>
          <t>CHECK_VENDOR</t>
        </is>
      </c>
      <c r="W779" t="inlineStr">
        <is>
          <t>https://nvd.nist.gov/vuln/detail/CVE-2026-27831</t>
        </is>
      </c>
      <c r="X779" t="inlineStr">
        <is>
          <t>NONE</t>
        </is>
      </c>
      <c r="Y779" t="n">
        <v>0</v>
      </c>
      <c r="Z779" t="inlineStr"/>
      <c r="AA779" t="inlineStr">
        <is>
          <t>https://nvd.nist.gov/vuln/detail/CVE-2026-27831</t>
        </is>
      </c>
    </row>
    <row r="780">
      <c r="A780" t="inlineStr">
        <is>
          <t>CVE</t>
        </is>
      </c>
      <c r="B780" t="inlineStr">
        <is>
          <t>CVE-2026-27837</t>
        </is>
      </c>
      <c r="C780"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780" t="n">
        <v>6.3</v>
      </c>
      <c r="E780" t="inlineStr">
        <is>
          <t>MEDIUM</t>
        </is>
      </c>
      <c r="F780" t="n">
        <v>2</v>
      </c>
      <c r="G780" t="n">
        <v>2</v>
      </c>
      <c r="H780" t="inlineStr">
        <is>
          <t>MEDIUM</t>
        </is>
      </c>
      <c r="I780" t="n">
        <v>10.3</v>
      </c>
      <c r="J780" t="inlineStr">
        <is>
          <t>NO</t>
        </is>
      </c>
      <c r="K780" t="inlineStr">
        <is>
          <t>2026-02-27 20:47</t>
        </is>
      </c>
      <c r="L780" t="inlineStr">
        <is>
          <t>CHECK_VENDOR</t>
        </is>
      </c>
      <c r="M780" t="inlineStr">
        <is>
          <t>See CVE details</t>
        </is>
      </c>
      <c r="N780" t="inlineStr">
        <is>
          <t>P3</t>
        </is>
      </c>
      <c r="O780" t="inlineStr">
        <is>
          <t>CVE - IP enrichment n/a</t>
        </is>
      </c>
      <c r="P780" t="n">
        <v>0.0003</v>
      </c>
      <c r="Q780" t="n">
        <v>0.0959</v>
      </c>
      <c r="R780" t="inlineStr">
        <is>
          <t>T1190:Exploit Public-Facing Application</t>
        </is>
      </c>
      <c r="S780" t="n">
        <v>2</v>
      </c>
      <c r="T780" t="inlineStr">
        <is>
          <t>MEDIUM (52%)</t>
        </is>
      </c>
      <c r="U780" t="inlineStr">
        <is>
          <t>UNLIKELY</t>
        </is>
      </c>
      <c r="V780" t="inlineStr">
        <is>
          <t>CHECK_VENDOR</t>
        </is>
      </c>
      <c r="W780" t="inlineStr">
        <is>
          <t>https://nvd.nist.gov/vuln/detail/CVE-2026-27837</t>
        </is>
      </c>
      <c r="X780" t="inlineStr">
        <is>
          <t>NONE</t>
        </is>
      </c>
      <c r="Y780" t="n">
        <v>0</v>
      </c>
      <c r="Z780" t="inlineStr"/>
      <c r="AA780" t="inlineStr">
        <is>
          <t>https://nvd.nist.gov/vuln/detail/CVE-2026-27837</t>
        </is>
      </c>
    </row>
    <row r="781">
      <c r="A781" t="inlineStr">
        <is>
          <t>CVE</t>
        </is>
      </c>
      <c r="B781" t="inlineStr">
        <is>
          <t>CVE-2026-27840</t>
        </is>
      </c>
      <c r="C781"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781" t="n">
        <v>4.3</v>
      </c>
      <c r="E781" t="inlineStr">
        <is>
          <t>MEDIUM</t>
        </is>
      </c>
      <c r="F781" t="n">
        <v>2</v>
      </c>
      <c r="G781" t="n">
        <v>2</v>
      </c>
      <c r="H781" t="inlineStr">
        <is>
          <t>MEDIUM</t>
        </is>
      </c>
      <c r="I781" t="n">
        <v>8.300000000000001</v>
      </c>
      <c r="J781" t="inlineStr">
        <is>
          <t>NO</t>
        </is>
      </c>
      <c r="K781" t="inlineStr">
        <is>
          <t>2026-02-27 20:47</t>
        </is>
      </c>
      <c r="L781" t="inlineStr">
        <is>
          <t>CHECK_VENDOR</t>
        </is>
      </c>
      <c r="M781" t="inlineStr">
        <is>
          <t>See CVE details</t>
        </is>
      </c>
      <c r="N781" t="inlineStr">
        <is>
          <t>P4</t>
        </is>
      </c>
      <c r="O781" t="inlineStr">
        <is>
          <t>CVE - IP enrichment n/a</t>
        </is>
      </c>
      <c r="P781" t="n">
        <v>0.0001</v>
      </c>
      <c r="Q781" t="n">
        <v>0.03</v>
      </c>
      <c r="R781" t="inlineStr">
        <is>
          <t>T1190:Exploit Public-Facing Application</t>
        </is>
      </c>
      <c r="S781" t="n">
        <v>1</v>
      </c>
      <c r="T781" t="inlineStr">
        <is>
          <t>LOW (40%)</t>
        </is>
      </c>
      <c r="U781" t="inlineStr">
        <is>
          <t>UNLIKELY</t>
        </is>
      </c>
      <c r="V781" t="inlineStr">
        <is>
          <t>CHECK_VENDOR</t>
        </is>
      </c>
      <c r="W781" t="inlineStr">
        <is>
          <t>https://nvd.nist.gov/vuln/detail/CVE-2026-27840</t>
        </is>
      </c>
      <c r="X781" t="inlineStr">
        <is>
          <t>NONE</t>
        </is>
      </c>
      <c r="Y781" t="n">
        <v>0</v>
      </c>
      <c r="Z781" t="inlineStr"/>
      <c r="AA781" t="inlineStr">
        <is>
          <t>https://nvd.nist.gov/vuln/detail/CVE-2026-27840</t>
        </is>
      </c>
    </row>
    <row r="782">
      <c r="A782" t="inlineStr">
        <is>
          <t>CVE</t>
        </is>
      </c>
      <c r="B782" t="inlineStr">
        <is>
          <t>CVE-2026-27884</t>
        </is>
      </c>
      <c r="C782"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782" t="n">
        <v>5.3</v>
      </c>
      <c r="E782" t="inlineStr">
        <is>
          <t>MEDIUM</t>
        </is>
      </c>
      <c r="F782" t="n">
        <v>2</v>
      </c>
      <c r="G782" t="n">
        <v>2</v>
      </c>
      <c r="H782" t="inlineStr">
        <is>
          <t>MEDIUM</t>
        </is>
      </c>
      <c r="I782" t="n">
        <v>9.300000000000001</v>
      </c>
      <c r="J782" t="inlineStr">
        <is>
          <t>NO</t>
        </is>
      </c>
      <c r="K782" t="inlineStr">
        <is>
          <t>2026-02-27 20:47</t>
        </is>
      </c>
      <c r="L782" t="inlineStr">
        <is>
          <t>CHECK_VENDOR</t>
        </is>
      </c>
      <c r="M782" t="inlineStr">
        <is>
          <t>See CVE details</t>
        </is>
      </c>
      <c r="N782" t="inlineStr">
        <is>
          <t>P4</t>
        </is>
      </c>
      <c r="O782" t="inlineStr">
        <is>
          <t>CVE - IP enrichment n/a</t>
        </is>
      </c>
      <c r="P782" t="n">
        <v>0.0004</v>
      </c>
      <c r="Q782" t="n">
        <v>0.1054</v>
      </c>
      <c r="R782" t="inlineStr">
        <is>
          <t>T1083:File and Directory Discovery</t>
        </is>
      </c>
      <c r="S782" t="n">
        <v>1</v>
      </c>
      <c r="T782" t="inlineStr">
        <is>
          <t>LOW (40%)</t>
        </is>
      </c>
      <c r="U782" t="inlineStr">
        <is>
          <t>UNLIKELY</t>
        </is>
      </c>
      <c r="V782" t="inlineStr">
        <is>
          <t>CHECK_VENDOR</t>
        </is>
      </c>
      <c r="W782" t="inlineStr">
        <is>
          <t>https://nvd.nist.gov/vuln/detail/CVE-2026-27884</t>
        </is>
      </c>
      <c r="X782" t="inlineStr">
        <is>
          <t>NONE</t>
        </is>
      </c>
      <c r="Y782" t="n">
        <v>0</v>
      </c>
      <c r="Z782" t="inlineStr"/>
      <c r="AA782" t="inlineStr">
        <is>
          <t>https://nvd.nist.gov/vuln/detail/CVE-2026-27884</t>
        </is>
      </c>
    </row>
    <row r="783">
      <c r="A783" t="inlineStr">
        <is>
          <t>CVE</t>
        </is>
      </c>
      <c r="B783" t="inlineStr">
        <is>
          <t>CVE-2026-27888</t>
        </is>
      </c>
      <c r="C783"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783" t="n">
        <v>7.5</v>
      </c>
      <c r="E783" t="inlineStr">
        <is>
          <t>HIGH</t>
        </is>
      </c>
      <c r="F783" t="n">
        <v>2</v>
      </c>
      <c r="G783" t="n">
        <v>3</v>
      </c>
      <c r="H783" t="inlineStr">
        <is>
          <t>HIGH</t>
        </is>
      </c>
      <c r="I783" t="n">
        <v>13.5</v>
      </c>
      <c r="J783" t="inlineStr">
        <is>
          <t>NO</t>
        </is>
      </c>
      <c r="K783" t="inlineStr">
        <is>
          <t>2026-02-27 20:47</t>
        </is>
      </c>
      <c r="L783" t="inlineStr">
        <is>
          <t>YES</t>
        </is>
      </c>
      <c r="M783" t="inlineStr">
        <is>
          <t>pypdf_project pypdf *</t>
        </is>
      </c>
      <c r="N783" t="inlineStr">
        <is>
          <t>P3</t>
        </is>
      </c>
      <c r="O783" t="inlineStr">
        <is>
          <t>CVE - IP enrichment n/a</t>
        </is>
      </c>
      <c r="P783" t="n">
        <v>0.0004</v>
      </c>
      <c r="Q783" t="n">
        <v>0.128</v>
      </c>
      <c r="R783" t="inlineStr">
        <is>
          <t>T1190:Exploit Public-Facing Application</t>
        </is>
      </c>
      <c r="S783" t="n">
        <v>1</v>
      </c>
      <c r="T783" t="inlineStr">
        <is>
          <t>LOW (40%)</t>
        </is>
      </c>
      <c r="U783" t="inlineStr">
        <is>
          <t>UNLIKELY</t>
        </is>
      </c>
      <c r="V783" t="inlineStr">
        <is>
          <t>PATCH_AVAILABLE</t>
        </is>
      </c>
      <c r="W783" t="inlineStr">
        <is>
          <t>https://nvd.nist.gov/vuln/detail/CVE-2026-27888</t>
        </is>
      </c>
      <c r="X783" t="inlineStr">
        <is>
          <t>NONE</t>
        </is>
      </c>
      <c r="Y783" t="n">
        <v>0</v>
      </c>
      <c r="Z783" t="inlineStr"/>
      <c r="AA783" t="inlineStr">
        <is>
          <t>https://nvd.nist.gov/vuln/detail/CVE-2026-27888</t>
        </is>
      </c>
    </row>
    <row r="784">
      <c r="A784" t="inlineStr">
        <is>
          <t>CVE</t>
        </is>
      </c>
      <c r="B784" t="inlineStr">
        <is>
          <t>CVE-2026-27896</t>
        </is>
      </c>
      <c r="C784"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784" t="n">
        <v>5</v>
      </c>
      <c r="E784" t="inlineStr">
        <is>
          <t>MEDIUM</t>
        </is>
      </c>
      <c r="F784" t="n">
        <v>2</v>
      </c>
      <c r="G784" t="n">
        <v>2</v>
      </c>
      <c r="H784" t="inlineStr">
        <is>
          <t>MEDIUM</t>
        </is>
      </c>
      <c r="I784" t="n">
        <v>9</v>
      </c>
      <c r="J784" t="inlineStr">
        <is>
          <t>NO</t>
        </is>
      </c>
      <c r="K784" t="inlineStr">
        <is>
          <t>2026-02-27 20:47</t>
        </is>
      </c>
      <c r="L784" t="inlineStr">
        <is>
          <t>CHECK_VENDOR</t>
        </is>
      </c>
      <c r="M784" t="inlineStr">
        <is>
          <t>See CVE details</t>
        </is>
      </c>
      <c r="N784" t="inlineStr">
        <is>
          <t>P4</t>
        </is>
      </c>
      <c r="O784" t="inlineStr">
        <is>
          <t>CVE - IP enrichment n/a</t>
        </is>
      </c>
      <c r="P784" t="n">
        <v>0.0005</v>
      </c>
      <c r="Q784" t="n">
        <v>0.1491</v>
      </c>
      <c r="R784" t="inlineStr">
        <is>
          <t>T1190:Exploit Public-Facing Application</t>
        </is>
      </c>
      <c r="S784" t="n">
        <v>1</v>
      </c>
      <c r="T784" t="inlineStr">
        <is>
          <t>LOW (40%)</t>
        </is>
      </c>
      <c r="U784" t="inlineStr">
        <is>
          <t>UNLIKELY</t>
        </is>
      </c>
      <c r="V784" t="inlineStr">
        <is>
          <t>CHECK_VENDOR</t>
        </is>
      </c>
      <c r="W784" t="inlineStr">
        <is>
          <t>https://nvd.nist.gov/vuln/detail/CVE-2026-27896</t>
        </is>
      </c>
      <c r="X784" t="inlineStr">
        <is>
          <t>NONE</t>
        </is>
      </c>
      <c r="Y784" t="n">
        <v>0</v>
      </c>
      <c r="Z784" t="inlineStr"/>
      <c r="AA784" t="inlineStr">
        <is>
          <t>https://nvd.nist.gov/vuln/detail/CVE-2026-27896</t>
        </is>
      </c>
    </row>
    <row r="785">
      <c r="A785" t="inlineStr">
        <is>
          <t>CVE</t>
        </is>
      </c>
      <c r="B785" t="inlineStr">
        <is>
          <t>CVE-2026-27945</t>
        </is>
      </c>
      <c r="C785"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785" t="n">
        <v>8.5</v>
      </c>
      <c r="E785" t="inlineStr">
        <is>
          <t>HIGH</t>
        </is>
      </c>
      <c r="F785" t="n">
        <v>2</v>
      </c>
      <c r="G785" t="n">
        <v>3</v>
      </c>
      <c r="H785" t="inlineStr">
        <is>
          <t>HIGH</t>
        </is>
      </c>
      <c r="I785" t="n">
        <v>14.5</v>
      </c>
      <c r="J785" t="inlineStr">
        <is>
          <t>NO</t>
        </is>
      </c>
      <c r="K785" t="inlineStr">
        <is>
          <t>2026-02-27 20:47</t>
        </is>
      </c>
      <c r="L785" t="inlineStr">
        <is>
          <t>CHECK_VENDOR</t>
        </is>
      </c>
      <c r="M785" t="inlineStr">
        <is>
          <t>See CVE details</t>
        </is>
      </c>
      <c r="N785" t="inlineStr">
        <is>
          <t>P3</t>
        </is>
      </c>
      <c r="O785" t="inlineStr">
        <is>
          <t>CVE - IP enrichment n/a</t>
        </is>
      </c>
      <c r="P785" t="n">
        <v>0.0003</v>
      </c>
      <c r="Q785" t="n">
        <v>0.0956</v>
      </c>
      <c r="R785" t="inlineStr">
        <is>
          <t>T1090:Proxy | T1190:Exploit Public-Facing Application | T1562:Impair Defenses</t>
        </is>
      </c>
      <c r="S785" t="n">
        <v>1</v>
      </c>
      <c r="T785" t="inlineStr">
        <is>
          <t>LOW (40%)</t>
        </is>
      </c>
      <c r="U785" t="inlineStr">
        <is>
          <t>UNLIKELY</t>
        </is>
      </c>
      <c r="V785" t="inlineStr">
        <is>
          <t>CHECK_VENDOR</t>
        </is>
      </c>
      <c r="W785" t="inlineStr">
        <is>
          <t>https://nvd.nist.gov/vuln/detail/CVE-2026-27945</t>
        </is>
      </c>
      <c r="X785" t="inlineStr">
        <is>
          <t>NONE</t>
        </is>
      </c>
      <c r="Y785" t="n">
        <v>0</v>
      </c>
      <c r="Z785" t="inlineStr"/>
      <c r="AA785" t="inlineStr">
        <is>
          <t>https://nvd.nist.gov/vuln/detail/CVE-2026-27945</t>
        </is>
      </c>
    </row>
    <row r="786">
      <c r="A786" t="inlineStr">
        <is>
          <t>CVE</t>
        </is>
      </c>
      <c r="B786" t="inlineStr">
        <is>
          <t>CVE-2026-27946</t>
        </is>
      </c>
      <c r="C786"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786" t="n">
        <v>8.5</v>
      </c>
      <c r="E786" t="inlineStr">
        <is>
          <t>HIGH</t>
        </is>
      </c>
      <c r="F786" t="n">
        <v>2</v>
      </c>
      <c r="G786" t="n">
        <v>3</v>
      </c>
      <c r="H786" t="inlineStr">
        <is>
          <t>HIGH</t>
        </is>
      </c>
      <c r="I786" t="n">
        <v>14.5</v>
      </c>
      <c r="J786" t="inlineStr">
        <is>
          <t>NO</t>
        </is>
      </c>
      <c r="K786" t="inlineStr">
        <is>
          <t>2026-02-27 20:47</t>
        </is>
      </c>
      <c r="L786" t="inlineStr">
        <is>
          <t>CHECK_VENDOR</t>
        </is>
      </c>
      <c r="M786" t="inlineStr">
        <is>
          <t>See CVE details</t>
        </is>
      </c>
      <c r="N786" t="inlineStr">
        <is>
          <t>P3</t>
        </is>
      </c>
      <c r="O786" t="inlineStr">
        <is>
          <t>CVE - IP enrichment n/a</t>
        </is>
      </c>
      <c r="P786" t="n">
        <v>0.0004</v>
      </c>
      <c r="Q786" t="n">
        <v>0.1229</v>
      </c>
      <c r="R786" t="inlineStr">
        <is>
          <t>T1190:Exploit Public-Facing Application</t>
        </is>
      </c>
      <c r="S786" t="n">
        <v>1</v>
      </c>
      <c r="T786" t="inlineStr">
        <is>
          <t>LOW (40%)</t>
        </is>
      </c>
      <c r="U786" t="inlineStr">
        <is>
          <t>UNLIKELY</t>
        </is>
      </c>
      <c r="V786" t="inlineStr">
        <is>
          <t>CHECK_VENDOR</t>
        </is>
      </c>
      <c r="W786" t="inlineStr">
        <is>
          <t>https://nvd.nist.gov/vuln/detail/CVE-2026-27946</t>
        </is>
      </c>
      <c r="X786" t="inlineStr">
        <is>
          <t>NONE</t>
        </is>
      </c>
      <c r="Y786" t="n">
        <v>0</v>
      </c>
      <c r="Z786" t="inlineStr"/>
      <c r="AA786" t="inlineStr">
        <is>
          <t>https://nvd.nist.gov/vuln/detail/CVE-2026-27946</t>
        </is>
      </c>
    </row>
    <row r="787">
      <c r="A787" t="inlineStr">
        <is>
          <t>CVE</t>
        </is>
      </c>
      <c r="B787" t="inlineStr">
        <is>
          <t>CVE-2026-1557</t>
        </is>
      </c>
      <c r="C787"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787" t="n">
        <v>7.5</v>
      </c>
      <c r="E787" t="inlineStr">
        <is>
          <t>HIGH</t>
        </is>
      </c>
      <c r="F787" t="n">
        <v>2</v>
      </c>
      <c r="G787" t="n">
        <v>3</v>
      </c>
      <c r="H787" t="inlineStr">
        <is>
          <t>HIGH</t>
        </is>
      </c>
      <c r="I787" t="n">
        <v>13.5</v>
      </c>
      <c r="J787" t="inlineStr">
        <is>
          <t>NO</t>
        </is>
      </c>
      <c r="K787" t="inlineStr">
        <is>
          <t>2026-02-27 20:47</t>
        </is>
      </c>
      <c r="L787" t="inlineStr">
        <is>
          <t>CHECK_VENDOR</t>
        </is>
      </c>
      <c r="M787" t="inlineStr">
        <is>
          <t>See CVE details</t>
        </is>
      </c>
      <c r="N787" t="inlineStr">
        <is>
          <t>P3</t>
        </is>
      </c>
      <c r="O787" t="inlineStr">
        <is>
          <t>CVE - IP enrichment n/a</t>
        </is>
      </c>
      <c r="P787" t="n">
        <v>0.0011</v>
      </c>
      <c r="Q787" t="n">
        <v>0.2992</v>
      </c>
      <c r="R787" t="inlineStr">
        <is>
          <t>T1083:File and Directory Discovery</t>
        </is>
      </c>
      <c r="S787" t="n">
        <v>1</v>
      </c>
      <c r="T787" t="inlineStr">
        <is>
          <t>LOW (40%)</t>
        </is>
      </c>
      <c r="U787" t="inlineStr">
        <is>
          <t>UNLIKELY</t>
        </is>
      </c>
      <c r="V787" t="inlineStr">
        <is>
          <t>CHECK_VENDOR</t>
        </is>
      </c>
      <c r="W787" t="inlineStr">
        <is>
          <t>https://nvd.nist.gov/vuln/detail/CVE-2026-1557</t>
        </is>
      </c>
      <c r="X787" t="inlineStr">
        <is>
          <t>NONE</t>
        </is>
      </c>
      <c r="Y787" t="n">
        <v>0</v>
      </c>
      <c r="Z787" t="inlineStr"/>
      <c r="AA787" t="inlineStr">
        <is>
          <t>https://nvd.nist.gov/vuln/detail/CVE-2026-1557</t>
        </is>
      </c>
    </row>
    <row r="788">
      <c r="A788" t="inlineStr">
        <is>
          <t>CVE</t>
        </is>
      </c>
      <c r="B788" t="inlineStr">
        <is>
          <t>CVE-2026-22728</t>
        </is>
      </c>
      <c r="C788"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788" t="n">
        <v>4.9</v>
      </c>
      <c r="E788" t="inlineStr">
        <is>
          <t>MEDIUM</t>
        </is>
      </c>
      <c r="F788" t="n">
        <v>2</v>
      </c>
      <c r="G788" t="n">
        <v>2</v>
      </c>
      <c r="H788" t="inlineStr">
        <is>
          <t>MEDIUM</t>
        </is>
      </c>
      <c r="I788" t="n">
        <v>8.9</v>
      </c>
      <c r="J788" t="inlineStr">
        <is>
          <t>NO</t>
        </is>
      </c>
      <c r="K788" t="inlineStr">
        <is>
          <t>2026-02-27 20:47</t>
        </is>
      </c>
      <c r="L788" t="inlineStr">
        <is>
          <t>CHECK_VENDOR</t>
        </is>
      </c>
      <c r="M788" t="inlineStr">
        <is>
          <t>See CVE details</t>
        </is>
      </c>
      <c r="N788" t="inlineStr">
        <is>
          <t>P4</t>
        </is>
      </c>
      <c r="O788" t="inlineStr">
        <is>
          <t>CVE - IP enrichment n/a</t>
        </is>
      </c>
      <c r="P788" t="n">
        <v>0.0004</v>
      </c>
      <c r="Q788" t="n">
        <v>0.112</v>
      </c>
      <c r="R788" t="inlineStr">
        <is>
          <t>T1552:Unsecured Credentials</t>
        </is>
      </c>
      <c r="S788" t="n">
        <v>1</v>
      </c>
      <c r="T788" t="inlineStr">
        <is>
          <t>LOW (40%)</t>
        </is>
      </c>
      <c r="U788" t="inlineStr">
        <is>
          <t>UNLIKELY</t>
        </is>
      </c>
      <c r="V788" t="inlineStr">
        <is>
          <t>CHECK_VENDOR</t>
        </is>
      </c>
      <c r="W788" t="inlineStr">
        <is>
          <t>https://nvd.nist.gov/vuln/detail/CVE-2026-22728</t>
        </is>
      </c>
      <c r="X788" t="inlineStr">
        <is>
          <t>NONE</t>
        </is>
      </c>
      <c r="Y788" t="n">
        <v>0</v>
      </c>
      <c r="Z788" t="inlineStr"/>
      <c r="AA788" t="inlineStr">
        <is>
          <t>https://nvd.nist.gov/vuln/detail/CVE-2026-22728</t>
        </is>
      </c>
    </row>
    <row r="789">
      <c r="A789" t="inlineStr">
        <is>
          <t>CVE</t>
        </is>
      </c>
      <c r="B789" t="inlineStr">
        <is>
          <t>CVE-2026-27887</t>
        </is>
      </c>
      <c r="C789"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789" t="n">
        <v>8.5</v>
      </c>
      <c r="E789" t="inlineStr">
        <is>
          <t>HIGH</t>
        </is>
      </c>
      <c r="F789" t="n">
        <v>2</v>
      </c>
      <c r="G789" t="n">
        <v>3</v>
      </c>
      <c r="H789" t="inlineStr">
        <is>
          <t>HIGH</t>
        </is>
      </c>
      <c r="I789" t="n">
        <v>14.5</v>
      </c>
      <c r="J789" t="inlineStr">
        <is>
          <t>NO</t>
        </is>
      </c>
      <c r="K789" t="inlineStr">
        <is>
          <t>2026-02-27 20:47</t>
        </is>
      </c>
      <c r="L789" t="inlineStr">
        <is>
          <t>CHECK_VENDOR</t>
        </is>
      </c>
      <c r="M789" t="inlineStr">
        <is>
          <t>See CVE details</t>
        </is>
      </c>
      <c r="N789" t="inlineStr">
        <is>
          <t>P3</t>
        </is>
      </c>
      <c r="O789" t="inlineStr">
        <is>
          <t>CVE - IP enrichment n/a</t>
        </is>
      </c>
      <c r="P789" t="n">
        <v>0.0004</v>
      </c>
      <c r="Q789" t="n">
        <v>0.1257</v>
      </c>
      <c r="R789" t="inlineStr">
        <is>
          <t>T1190:Exploit Public-Facing Application</t>
        </is>
      </c>
      <c r="S789" t="n">
        <v>1</v>
      </c>
      <c r="T789" t="inlineStr">
        <is>
          <t>LOW (40%)</t>
        </is>
      </c>
      <c r="U789" t="inlineStr">
        <is>
          <t>UNLIKELY</t>
        </is>
      </c>
      <c r="V789" t="inlineStr">
        <is>
          <t>CHECK_VENDOR</t>
        </is>
      </c>
      <c r="W789" t="inlineStr">
        <is>
          <t>https://nvd.nist.gov/vuln/detail/CVE-2026-27887</t>
        </is>
      </c>
      <c r="X789" t="inlineStr">
        <is>
          <t>NONE</t>
        </is>
      </c>
      <c r="Y789" t="n">
        <v>0</v>
      </c>
      <c r="Z789" t="inlineStr"/>
      <c r="AA789" t="inlineStr">
        <is>
          <t>https://nvd.nist.gov/vuln/detail/CVE-2026-27887</t>
        </is>
      </c>
    </row>
    <row r="790">
      <c r="A790" t="inlineStr">
        <is>
          <t>CVE</t>
        </is>
      </c>
      <c r="B790" t="inlineStr">
        <is>
          <t>CVE-2026-27899</t>
        </is>
      </c>
      <c r="C790"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790" t="n">
        <v>8.800000000000001</v>
      </c>
      <c r="E790" t="inlineStr">
        <is>
          <t>HIGH</t>
        </is>
      </c>
      <c r="F790" t="n">
        <v>2</v>
      </c>
      <c r="G790" t="n">
        <v>3</v>
      </c>
      <c r="H790" t="inlineStr">
        <is>
          <t>HIGH</t>
        </is>
      </c>
      <c r="I790" t="n">
        <v>14.8</v>
      </c>
      <c r="J790" t="inlineStr">
        <is>
          <t>NO</t>
        </is>
      </c>
      <c r="K790" t="inlineStr">
        <is>
          <t>2026-02-27 20:47</t>
        </is>
      </c>
      <c r="L790" t="inlineStr">
        <is>
          <t>CHECK_VENDOR</t>
        </is>
      </c>
      <c r="M790" t="inlineStr">
        <is>
          <t>See CVE details</t>
        </is>
      </c>
      <c r="N790" t="inlineStr">
        <is>
          <t>P3</t>
        </is>
      </c>
      <c r="O790" t="inlineStr">
        <is>
          <t>CVE - IP enrichment n/a</t>
        </is>
      </c>
      <c r="P790" t="n">
        <v>0.0007</v>
      </c>
      <c r="Q790" t="n">
        <v>0.2055</v>
      </c>
      <c r="R790" t="inlineStr">
        <is>
          <t>T1133:External Remote Services</t>
        </is>
      </c>
      <c r="S790" t="n">
        <v>1</v>
      </c>
      <c r="T790" t="inlineStr">
        <is>
          <t>LOW (40%)</t>
        </is>
      </c>
      <c r="U790" t="inlineStr">
        <is>
          <t>UNLIKELY</t>
        </is>
      </c>
      <c r="V790" t="inlineStr">
        <is>
          <t>CHECK_VENDOR</t>
        </is>
      </c>
      <c r="W790" t="inlineStr">
        <is>
          <t>https://nvd.nist.gov/vuln/detail/CVE-2026-27899</t>
        </is>
      </c>
      <c r="X790" t="inlineStr">
        <is>
          <t>NONE</t>
        </is>
      </c>
      <c r="Y790" t="n">
        <v>0</v>
      </c>
      <c r="Z790" t="inlineStr"/>
      <c r="AA790" t="inlineStr">
        <is>
          <t>https://nvd.nist.gov/vuln/detail/CVE-2026-27899</t>
        </is>
      </c>
    </row>
    <row r="791">
      <c r="A791" t="inlineStr">
        <is>
          <t>CVE</t>
        </is>
      </c>
      <c r="B791" t="inlineStr">
        <is>
          <t>CVE-2026-27900</t>
        </is>
      </c>
      <c r="C791"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791" t="n">
        <v>5</v>
      </c>
      <c r="E791" t="inlineStr">
        <is>
          <t>MEDIUM</t>
        </is>
      </c>
      <c r="F791" t="n">
        <v>2</v>
      </c>
      <c r="G791" t="n">
        <v>2</v>
      </c>
      <c r="H791" t="inlineStr">
        <is>
          <t>MEDIUM</t>
        </is>
      </c>
      <c r="I791" t="n">
        <v>9</v>
      </c>
      <c r="J791" t="inlineStr">
        <is>
          <t>NO</t>
        </is>
      </c>
      <c r="K791" t="inlineStr">
        <is>
          <t>2026-02-27 20:47</t>
        </is>
      </c>
      <c r="L791" t="inlineStr">
        <is>
          <t>CHECK_VENDOR</t>
        </is>
      </c>
      <c r="M791" t="inlineStr">
        <is>
          <t>See CVE details</t>
        </is>
      </c>
      <c r="N791" t="inlineStr">
        <is>
          <t>P4</t>
        </is>
      </c>
      <c r="O791" t="inlineStr">
        <is>
          <t>CVE - IP enrichment n/a</t>
        </is>
      </c>
      <c r="P791" t="n">
        <v>0.0004</v>
      </c>
      <c r="Q791" t="n">
        <v>0.1204</v>
      </c>
      <c r="R791" t="inlineStr">
        <is>
          <t>T1190:Exploit Public-Facing Application | T1552:Unsecured Credentials</t>
        </is>
      </c>
      <c r="S791" t="n">
        <v>1</v>
      </c>
      <c r="T791" t="inlineStr">
        <is>
          <t>LOW (40%)</t>
        </is>
      </c>
      <c r="U791" t="inlineStr">
        <is>
          <t>UNLIKELY</t>
        </is>
      </c>
      <c r="V791" t="inlineStr">
        <is>
          <t>CHECK_VENDOR</t>
        </is>
      </c>
      <c r="W791" t="inlineStr">
        <is>
          <t>https://nvd.nist.gov/vuln/detail/CVE-2026-27900</t>
        </is>
      </c>
      <c r="X791" t="inlineStr">
        <is>
          <t>NONE</t>
        </is>
      </c>
      <c r="Y791" t="n">
        <v>0</v>
      </c>
      <c r="Z791" t="inlineStr"/>
      <c r="AA791" t="inlineStr">
        <is>
          <t>https://nvd.nist.gov/vuln/detail/CVE-2026-27900</t>
        </is>
      </c>
    </row>
    <row r="792">
      <c r="A792" t="inlineStr">
        <is>
          <t>CVE</t>
        </is>
      </c>
      <c r="B792" t="inlineStr">
        <is>
          <t>CVE-2026-27901</t>
        </is>
      </c>
      <c r="C792"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792" t="n">
        <v>5</v>
      </c>
      <c r="E792" t="inlineStr">
        <is>
          <t>MEDIUM</t>
        </is>
      </c>
      <c r="F792" t="n">
        <v>2</v>
      </c>
      <c r="G792" t="n">
        <v>2</v>
      </c>
      <c r="H792" t="inlineStr">
        <is>
          <t>MEDIUM</t>
        </is>
      </c>
      <c r="I792" t="n">
        <v>9</v>
      </c>
      <c r="J792" t="inlineStr">
        <is>
          <t>NO</t>
        </is>
      </c>
      <c r="K792" t="inlineStr">
        <is>
          <t>2026-02-27 20:47</t>
        </is>
      </c>
      <c r="L792" t="inlineStr">
        <is>
          <t>CHECK_VENDOR</t>
        </is>
      </c>
      <c r="M792" t="inlineStr">
        <is>
          <t>See CVE details</t>
        </is>
      </c>
      <c r="N792" t="inlineStr">
        <is>
          <t>P4</t>
        </is>
      </c>
      <c r="O792" t="inlineStr">
        <is>
          <t>CVE - IP enrichment n/a</t>
        </is>
      </c>
      <c r="P792" t="n">
        <v>0.0004</v>
      </c>
      <c r="Q792" t="n">
        <v>0.1355</v>
      </c>
      <c r="R792" t="inlineStr">
        <is>
          <t>T1189:Drive-by Compromise</t>
        </is>
      </c>
      <c r="S792" t="n">
        <v>1</v>
      </c>
      <c r="T792" t="inlineStr">
        <is>
          <t>LOW (40%)</t>
        </is>
      </c>
      <c r="U792" t="inlineStr">
        <is>
          <t>UNLIKELY</t>
        </is>
      </c>
      <c r="V792" t="inlineStr">
        <is>
          <t>CHECK_VENDOR</t>
        </is>
      </c>
      <c r="W792" t="inlineStr">
        <is>
          <t>https://nvd.nist.gov/vuln/detail/CVE-2026-27901</t>
        </is>
      </c>
      <c r="X792" t="inlineStr">
        <is>
          <t>NONE</t>
        </is>
      </c>
      <c r="Y792" t="n">
        <v>0</v>
      </c>
      <c r="Z792" t="inlineStr"/>
      <c r="AA792" t="inlineStr">
        <is>
          <t>https://nvd.nist.gov/vuln/detail/CVE-2026-27901</t>
        </is>
      </c>
    </row>
    <row r="793">
      <c r="A793" t="inlineStr">
        <is>
          <t>CVE</t>
        </is>
      </c>
      <c r="B793" t="inlineStr">
        <is>
          <t>CVE-2026-27902</t>
        </is>
      </c>
      <c r="C793"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793" t="n">
        <v>5</v>
      </c>
      <c r="E793" t="inlineStr">
        <is>
          <t>MEDIUM</t>
        </is>
      </c>
      <c r="F793" t="n">
        <v>2</v>
      </c>
      <c r="G793" t="n">
        <v>2</v>
      </c>
      <c r="H793" t="inlineStr">
        <is>
          <t>MEDIUM</t>
        </is>
      </c>
      <c r="I793" t="n">
        <v>9</v>
      </c>
      <c r="J793" t="inlineStr">
        <is>
          <t>NO</t>
        </is>
      </c>
      <c r="K793" t="inlineStr">
        <is>
          <t>2026-02-27 20:47</t>
        </is>
      </c>
      <c r="L793" t="inlineStr">
        <is>
          <t>CHECK_VENDOR</t>
        </is>
      </c>
      <c r="M793" t="inlineStr">
        <is>
          <t>See CVE details</t>
        </is>
      </c>
      <c r="N793" t="inlineStr">
        <is>
          <t>P4</t>
        </is>
      </c>
      <c r="O793" t="inlineStr">
        <is>
          <t>CVE - IP enrichment n/a</t>
        </is>
      </c>
      <c r="P793" t="n">
        <v>0.0004</v>
      </c>
      <c r="Q793" t="n">
        <v>0.1355</v>
      </c>
      <c r="R793" t="inlineStr">
        <is>
          <t>T1189:Drive-by Compromise</t>
        </is>
      </c>
      <c r="S793" t="n">
        <v>1</v>
      </c>
      <c r="T793" t="inlineStr">
        <is>
          <t>LOW (40%)</t>
        </is>
      </c>
      <c r="U793" t="inlineStr">
        <is>
          <t>UNLIKELY</t>
        </is>
      </c>
      <c r="V793" t="inlineStr">
        <is>
          <t>CHECK_VENDOR</t>
        </is>
      </c>
      <c r="W793" t="inlineStr">
        <is>
          <t>https://nvd.nist.gov/vuln/detail/CVE-2026-27902</t>
        </is>
      </c>
      <c r="X793" t="inlineStr">
        <is>
          <t>NONE</t>
        </is>
      </c>
      <c r="Y793" t="n">
        <v>0</v>
      </c>
      <c r="Z793" t="inlineStr"/>
      <c r="AA793" t="inlineStr">
        <is>
          <t>https://nvd.nist.gov/vuln/detail/CVE-2026-27902</t>
        </is>
      </c>
    </row>
    <row r="794">
      <c r="A794" t="inlineStr">
        <is>
          <t>CVE</t>
        </is>
      </c>
      <c r="B794" t="inlineStr">
        <is>
          <t>CVE-2026-27903</t>
        </is>
      </c>
      <c r="C794"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794" t="n">
        <v>7.5</v>
      </c>
      <c r="E794" t="inlineStr">
        <is>
          <t>HIGH</t>
        </is>
      </c>
      <c r="F794" t="n">
        <v>2</v>
      </c>
      <c r="G794" t="n">
        <v>3</v>
      </c>
      <c r="H794" t="inlineStr">
        <is>
          <t>HIGH</t>
        </is>
      </c>
      <c r="I794" t="n">
        <v>13.5</v>
      </c>
      <c r="J794" t="inlineStr">
        <is>
          <t>NO</t>
        </is>
      </c>
      <c r="K794" t="inlineStr">
        <is>
          <t>2026-02-27 20:47</t>
        </is>
      </c>
      <c r="L794" t="inlineStr">
        <is>
          <t>YES</t>
        </is>
      </c>
      <c r="M794" t="inlineStr">
        <is>
          <t>minimatch_project minimatch *</t>
        </is>
      </c>
      <c r="N794" t="inlineStr">
        <is>
          <t>P3</t>
        </is>
      </c>
      <c r="O794" t="inlineStr">
        <is>
          <t>CVE - IP enrichment n/a</t>
        </is>
      </c>
      <c r="P794" t="n">
        <v>0.0005</v>
      </c>
      <c r="Q794" t="n">
        <v>0.1447</v>
      </c>
      <c r="R794" t="inlineStr">
        <is>
          <t>T1190:Exploit Public-Facing Application</t>
        </is>
      </c>
      <c r="S794" t="n">
        <v>1</v>
      </c>
      <c r="T794" t="inlineStr">
        <is>
          <t>LOW (40%)</t>
        </is>
      </c>
      <c r="U794" t="inlineStr">
        <is>
          <t>UNLIKELY</t>
        </is>
      </c>
      <c r="V794" t="inlineStr">
        <is>
          <t>PATCH_AVAILABLE</t>
        </is>
      </c>
      <c r="W794" t="inlineStr">
        <is>
          <t>https://nvd.nist.gov/vuln/detail/CVE-2026-27903</t>
        </is>
      </c>
      <c r="X794" t="inlineStr">
        <is>
          <t>NONE</t>
        </is>
      </c>
      <c r="Y794" t="n">
        <v>0</v>
      </c>
      <c r="Z794" t="inlineStr"/>
      <c r="AA794" t="inlineStr">
        <is>
          <t>https://nvd.nist.gov/vuln/detail/CVE-2026-27903</t>
        </is>
      </c>
    </row>
    <row r="795">
      <c r="A795" t="inlineStr">
        <is>
          <t>CVE</t>
        </is>
      </c>
      <c r="B795" t="inlineStr">
        <is>
          <t>CVE-2026-27904</t>
        </is>
      </c>
      <c r="C795"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795" t="n">
        <v>7.5</v>
      </c>
      <c r="E795" t="inlineStr">
        <is>
          <t>HIGH</t>
        </is>
      </c>
      <c r="F795" t="n">
        <v>2</v>
      </c>
      <c r="G795" t="n">
        <v>3</v>
      </c>
      <c r="H795" t="inlineStr">
        <is>
          <t>HIGH</t>
        </is>
      </c>
      <c r="I795" t="n">
        <v>13.5</v>
      </c>
      <c r="J795" t="inlineStr">
        <is>
          <t>NO</t>
        </is>
      </c>
      <c r="K795" t="inlineStr">
        <is>
          <t>2026-02-27 20:47</t>
        </is>
      </c>
      <c r="L795" t="inlineStr">
        <is>
          <t>YES</t>
        </is>
      </c>
      <c r="M795" t="inlineStr">
        <is>
          <t>minimatch_project minimatch *</t>
        </is>
      </c>
      <c r="N795" t="inlineStr">
        <is>
          <t>P3</t>
        </is>
      </c>
      <c r="O795" t="inlineStr">
        <is>
          <t>CVE - IP enrichment n/a</t>
        </is>
      </c>
      <c r="P795" t="n">
        <v>0.0004</v>
      </c>
      <c r="Q795" t="n">
        <v>0.1198</v>
      </c>
      <c r="R795" t="inlineStr">
        <is>
          <t>T1190:Exploit Public-Facing Application</t>
        </is>
      </c>
      <c r="S795" t="n">
        <v>1</v>
      </c>
      <c r="T795" t="inlineStr">
        <is>
          <t>LOW (40%)</t>
        </is>
      </c>
      <c r="U795" t="inlineStr">
        <is>
          <t>UNLIKELY</t>
        </is>
      </c>
      <c r="V795" t="inlineStr">
        <is>
          <t>PATCH_AVAILABLE</t>
        </is>
      </c>
      <c r="W795" t="inlineStr">
        <is>
          <t>https://nvd.nist.gov/vuln/detail/CVE-2026-27904</t>
        </is>
      </c>
      <c r="X795" t="inlineStr">
        <is>
          <t>NONE</t>
        </is>
      </c>
      <c r="Y795" t="n">
        <v>0</v>
      </c>
      <c r="Z795" t="inlineStr"/>
      <c r="AA795" t="inlineStr">
        <is>
          <t>https://nvd.nist.gov/vuln/detail/CVE-2026-27904</t>
        </is>
      </c>
    </row>
    <row r="796">
      <c r="A796" t="inlineStr">
        <is>
          <t>CVE</t>
        </is>
      </c>
      <c r="B796" t="inlineStr">
        <is>
          <t>CVE-2026-27938</t>
        </is>
      </c>
      <c r="C796"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796" t="n">
        <v>7.7</v>
      </c>
      <c r="E796" t="inlineStr">
        <is>
          <t>HIGH</t>
        </is>
      </c>
      <c r="F796" t="n">
        <v>2</v>
      </c>
      <c r="G796" t="n">
        <v>3</v>
      </c>
      <c r="H796" t="inlineStr">
        <is>
          <t>HIGH</t>
        </is>
      </c>
      <c r="I796" t="n">
        <v>13.7</v>
      </c>
      <c r="J796" t="inlineStr">
        <is>
          <t>NO</t>
        </is>
      </c>
      <c r="K796" t="inlineStr">
        <is>
          <t>2026-02-27 20:47</t>
        </is>
      </c>
      <c r="L796" t="inlineStr">
        <is>
          <t>CHECK_VENDOR</t>
        </is>
      </c>
      <c r="M796" t="inlineStr">
        <is>
          <t>See CVE details</t>
        </is>
      </c>
      <c r="N796" t="inlineStr">
        <is>
          <t>P3</t>
        </is>
      </c>
      <c r="O796" t="inlineStr">
        <is>
          <t>CVE - IP enrichment n/a</t>
        </is>
      </c>
      <c r="P796" t="n">
        <v>0.0005999999999999999</v>
      </c>
      <c r="Q796" t="n">
        <v>0.1733</v>
      </c>
      <c r="R796" t="inlineStr">
        <is>
          <t>T1059:Command and Scripting Interpreter</t>
        </is>
      </c>
      <c r="S796" t="n">
        <v>1</v>
      </c>
      <c r="T796" t="inlineStr">
        <is>
          <t>LOW (40%)</t>
        </is>
      </c>
      <c r="U796" t="inlineStr">
        <is>
          <t>UNLIKELY</t>
        </is>
      </c>
      <c r="V796" t="inlineStr">
        <is>
          <t>CHECK_VENDOR</t>
        </is>
      </c>
      <c r="W796" t="inlineStr">
        <is>
          <t>https://nvd.nist.gov/vuln/detail/CVE-2026-27938</t>
        </is>
      </c>
      <c r="X796" t="inlineStr">
        <is>
          <t>NONE</t>
        </is>
      </c>
      <c r="Y796" t="n">
        <v>0</v>
      </c>
      <c r="Z796" t="inlineStr"/>
      <c r="AA796" t="inlineStr">
        <is>
          <t>https://nvd.nist.gov/vuln/detail/CVE-2026-27938</t>
        </is>
      </c>
    </row>
    <row r="797">
      <c r="A797" t="inlineStr">
        <is>
          <t>CVE</t>
        </is>
      </c>
      <c r="B797" t="inlineStr">
        <is>
          <t>CVE-2026-27941</t>
        </is>
      </c>
      <c r="C797"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797" t="n">
        <v>9.9</v>
      </c>
      <c r="E797" t="inlineStr">
        <is>
          <t>CRITICAL</t>
        </is>
      </c>
      <c r="F797" t="n">
        <v>2</v>
      </c>
      <c r="G797" t="n">
        <v>3</v>
      </c>
      <c r="H797" t="inlineStr">
        <is>
          <t>HIGH</t>
        </is>
      </c>
      <c r="I797" t="n">
        <v>15.9</v>
      </c>
      <c r="J797" t="inlineStr">
        <is>
          <t>NO</t>
        </is>
      </c>
      <c r="K797" t="inlineStr">
        <is>
          <t>2026-02-27 20:47</t>
        </is>
      </c>
      <c r="L797" t="inlineStr">
        <is>
          <t>CHECK_VENDOR</t>
        </is>
      </c>
      <c r="M797" t="inlineStr">
        <is>
          <t>See CVE details</t>
        </is>
      </c>
      <c r="N797" t="inlineStr">
        <is>
          <t>P3</t>
        </is>
      </c>
      <c r="O797" t="inlineStr">
        <is>
          <t>CVE - IP enrichment n/a</t>
        </is>
      </c>
      <c r="P797" t="n">
        <v>0.0004</v>
      </c>
      <c r="Q797" t="n">
        <v>0.1279</v>
      </c>
      <c r="R797" t="inlineStr">
        <is>
          <t>T1190:Exploit Public-Facing Application</t>
        </is>
      </c>
      <c r="S797" t="n">
        <v>1</v>
      </c>
      <c r="T797" t="inlineStr">
        <is>
          <t>LOW (40%)</t>
        </is>
      </c>
      <c r="U797" t="inlineStr">
        <is>
          <t>UNLIKELY</t>
        </is>
      </c>
      <c r="V797" t="inlineStr">
        <is>
          <t>CHECK_VENDOR</t>
        </is>
      </c>
      <c r="W797" t="inlineStr">
        <is>
          <t>https://nvd.nist.gov/vuln/detail/CVE-2026-27941</t>
        </is>
      </c>
      <c r="X797" t="inlineStr">
        <is>
          <t>NONE</t>
        </is>
      </c>
      <c r="Y797" t="n">
        <v>0</v>
      </c>
      <c r="Z797" t="inlineStr"/>
      <c r="AA797" t="inlineStr">
        <is>
          <t>https://nvd.nist.gov/vuln/detail/CVE-2026-27941</t>
        </is>
      </c>
    </row>
    <row r="798">
      <c r="A798" t="inlineStr">
        <is>
          <t>CVE</t>
        </is>
      </c>
      <c r="B798" t="inlineStr">
        <is>
          <t>CVE-2026-27942</t>
        </is>
      </c>
      <c r="C798"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798" t="n">
        <v>7.5</v>
      </c>
      <c r="E798" t="inlineStr">
        <is>
          <t>HIGH</t>
        </is>
      </c>
      <c r="F798" t="n">
        <v>2</v>
      </c>
      <c r="G798" t="n">
        <v>3</v>
      </c>
      <c r="H798" t="inlineStr">
        <is>
          <t>HIGH</t>
        </is>
      </c>
      <c r="I798" t="n">
        <v>13.5</v>
      </c>
      <c r="J798" t="inlineStr">
        <is>
          <t>NO</t>
        </is>
      </c>
      <c r="K798" t="inlineStr">
        <is>
          <t>2026-02-27 20:47</t>
        </is>
      </c>
      <c r="L798" t="inlineStr">
        <is>
          <t>YES</t>
        </is>
      </c>
      <c r="M798" t="inlineStr">
        <is>
          <t>fast-xml-parser_project fast-xml-parser *</t>
        </is>
      </c>
      <c r="N798" t="inlineStr">
        <is>
          <t>P3</t>
        </is>
      </c>
      <c r="O798" t="inlineStr">
        <is>
          <t>CVE - IP enrichment n/a</t>
        </is>
      </c>
      <c r="P798" t="n">
        <v>0.0004</v>
      </c>
      <c r="Q798" t="n">
        <v>0.1196</v>
      </c>
      <c r="R798" t="inlineStr">
        <is>
          <t>T1203:Exploitation for Client Execution</t>
        </is>
      </c>
      <c r="S798" t="n">
        <v>1</v>
      </c>
      <c r="T798" t="inlineStr">
        <is>
          <t>LOW (40%)</t>
        </is>
      </c>
      <c r="U798" t="inlineStr">
        <is>
          <t>UNLIKELY</t>
        </is>
      </c>
      <c r="V798" t="inlineStr">
        <is>
          <t>PATCH_AVAILABLE</t>
        </is>
      </c>
      <c r="W798" t="inlineStr">
        <is>
          <t>https://nvd.nist.gov/vuln/detail/CVE-2026-27942</t>
        </is>
      </c>
      <c r="X798" t="inlineStr">
        <is>
          <t>NONE</t>
        </is>
      </c>
      <c r="Y798" t="n">
        <v>0</v>
      </c>
      <c r="Z798" t="inlineStr"/>
      <c r="AA798" t="inlineStr">
        <is>
          <t>https://nvd.nist.gov/vuln/detail/CVE-2026-27942</t>
        </is>
      </c>
    </row>
    <row r="799">
      <c r="A799" t="inlineStr">
        <is>
          <t>CVE</t>
        </is>
      </c>
      <c r="B799" t="inlineStr">
        <is>
          <t>CVE-2026-27943</t>
        </is>
      </c>
      <c r="C799"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799" t="n">
        <v>6.5</v>
      </c>
      <c r="E799" t="inlineStr">
        <is>
          <t>MEDIUM</t>
        </is>
      </c>
      <c r="F799" t="n">
        <v>2</v>
      </c>
      <c r="G799" t="n">
        <v>2</v>
      </c>
      <c r="H799" t="inlineStr">
        <is>
          <t>MEDIUM</t>
        </is>
      </c>
      <c r="I799" t="n">
        <v>10.5</v>
      </c>
      <c r="J799" t="inlineStr">
        <is>
          <t>NO</t>
        </is>
      </c>
      <c r="K799" t="inlineStr">
        <is>
          <t>2026-02-27 20:47</t>
        </is>
      </c>
      <c r="L799" t="inlineStr">
        <is>
          <t>YES</t>
        </is>
      </c>
      <c r="M799" t="inlineStr">
        <is>
          <t>open-emr openemr *</t>
        </is>
      </c>
      <c r="N799" t="inlineStr">
        <is>
          <t>P4</t>
        </is>
      </c>
      <c r="O799" t="inlineStr">
        <is>
          <t>CVE - IP enrichment n/a</t>
        </is>
      </c>
      <c r="P799" t="n">
        <v>0.0003</v>
      </c>
      <c r="Q799" t="n">
        <v>0.0772</v>
      </c>
      <c r="R799" t="inlineStr">
        <is>
          <t>T1190:Exploit Public-Facing Application</t>
        </is>
      </c>
      <c r="S799" t="n">
        <v>1</v>
      </c>
      <c r="T799" t="inlineStr">
        <is>
          <t>LOW (40%)</t>
        </is>
      </c>
      <c r="U799" t="inlineStr">
        <is>
          <t>UNLIKELY</t>
        </is>
      </c>
      <c r="V799" t="inlineStr">
        <is>
          <t>PATCH_AVAILABLE</t>
        </is>
      </c>
      <c r="W799" t="inlineStr">
        <is>
          <t>https://nvd.nist.gov/vuln/detail/CVE-2026-27943</t>
        </is>
      </c>
      <c r="X799" t="inlineStr">
        <is>
          <t>NONE</t>
        </is>
      </c>
      <c r="Y799" t="n">
        <v>0</v>
      </c>
      <c r="Z799" t="inlineStr"/>
      <c r="AA799" t="inlineStr">
        <is>
          <t>https://nvd.nist.gov/vuln/detail/CVE-2026-27943</t>
        </is>
      </c>
    </row>
    <row r="800">
      <c r="A800" t="inlineStr">
        <is>
          <t>CVE</t>
        </is>
      </c>
      <c r="B800" t="inlineStr">
        <is>
          <t>CVE-2026-27948</t>
        </is>
      </c>
      <c r="C800" t="inlineStr">
        <is>
          <t>Copyparty is a portable file server. In versions prior to 1.20.9, an XSS allows for reflected cross-site scripting via URL-parameter `?setck=...`. Version 1.20.9 fixes the issue.</t>
        </is>
      </c>
      <c r="D800" t="n">
        <v>5.4</v>
      </c>
      <c r="E800" t="inlineStr">
        <is>
          <t>MEDIUM</t>
        </is>
      </c>
      <c r="F800" t="n">
        <v>2</v>
      </c>
      <c r="G800" t="n">
        <v>2</v>
      </c>
      <c r="H800" t="inlineStr">
        <is>
          <t>MEDIUM</t>
        </is>
      </c>
      <c r="I800" t="n">
        <v>9.4</v>
      </c>
      <c r="J800" t="inlineStr">
        <is>
          <t>NO</t>
        </is>
      </c>
      <c r="K800" t="inlineStr">
        <is>
          <t>2026-02-27 20:47</t>
        </is>
      </c>
      <c r="L800" t="inlineStr">
        <is>
          <t>CHECK_VENDOR</t>
        </is>
      </c>
      <c r="M800" t="inlineStr">
        <is>
          <t>See CVE details</t>
        </is>
      </c>
      <c r="N800" t="inlineStr">
        <is>
          <t>P4</t>
        </is>
      </c>
      <c r="O800" t="inlineStr">
        <is>
          <t>CVE - IP enrichment n/a</t>
        </is>
      </c>
      <c r="P800" t="n">
        <v>0.0003</v>
      </c>
      <c r="Q800" t="n">
        <v>0.0799</v>
      </c>
      <c r="R800" t="inlineStr">
        <is>
          <t>T1189:Drive-by Compromise</t>
        </is>
      </c>
      <c r="S800" t="n">
        <v>1</v>
      </c>
      <c r="T800" t="inlineStr">
        <is>
          <t>LOW (40%)</t>
        </is>
      </c>
      <c r="U800" t="inlineStr">
        <is>
          <t>UNLIKELY</t>
        </is>
      </c>
      <c r="V800" t="inlineStr">
        <is>
          <t>CHECK_VENDOR</t>
        </is>
      </c>
      <c r="W800" t="inlineStr">
        <is>
          <t>https://nvd.nist.gov/vuln/detail/CVE-2026-27948</t>
        </is>
      </c>
      <c r="X800" t="inlineStr">
        <is>
          <t>NONE</t>
        </is>
      </c>
      <c r="Y800" t="n">
        <v>0</v>
      </c>
      <c r="Z800" t="inlineStr"/>
      <c r="AA800" t="inlineStr">
        <is>
          <t>https://nvd.nist.gov/vuln/detail/CVE-2026-27948</t>
        </is>
      </c>
    </row>
    <row r="801">
      <c r="A801" t="inlineStr">
        <is>
          <t>CVE</t>
        </is>
      </c>
      <c r="B801" t="inlineStr">
        <is>
          <t>CVE-2026-27952</t>
        </is>
      </c>
      <c r="C801"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801" t="n">
        <v>8.800000000000001</v>
      </c>
      <c r="E801" t="inlineStr">
        <is>
          <t>HIGH</t>
        </is>
      </c>
      <c r="F801" t="n">
        <v>2</v>
      </c>
      <c r="G801" t="n">
        <v>3</v>
      </c>
      <c r="H801" t="inlineStr">
        <is>
          <t>HIGH</t>
        </is>
      </c>
      <c r="I801" t="n">
        <v>14.8</v>
      </c>
      <c r="J801" t="inlineStr">
        <is>
          <t>NO</t>
        </is>
      </c>
      <c r="K801" t="inlineStr">
        <is>
          <t>2026-02-27 20:47</t>
        </is>
      </c>
      <c r="L801" t="inlineStr">
        <is>
          <t>CHECK_VENDOR</t>
        </is>
      </c>
      <c r="M801" t="inlineStr">
        <is>
          <t>See CVE details</t>
        </is>
      </c>
      <c r="N801" t="inlineStr">
        <is>
          <t>P3</t>
        </is>
      </c>
      <c r="O801" t="inlineStr">
        <is>
          <t>CVE - IP enrichment n/a</t>
        </is>
      </c>
      <c r="P801" t="n">
        <v>0.0007</v>
      </c>
      <c r="Q801" t="n">
        <v>0.217</v>
      </c>
      <c r="R801" t="inlineStr">
        <is>
          <t>T1059:Command and Scripting Interpreter | T1190:Exploit Public-Facing Application | T1203:Exploitation for Client Execution</t>
        </is>
      </c>
      <c r="S801" t="n">
        <v>1</v>
      </c>
      <c r="T801" t="inlineStr">
        <is>
          <t>LOW (40%)</t>
        </is>
      </c>
      <c r="U801" t="inlineStr">
        <is>
          <t>UNLIKELY</t>
        </is>
      </c>
      <c r="V801" t="inlineStr">
        <is>
          <t>CHECK_VENDOR</t>
        </is>
      </c>
      <c r="W801" t="inlineStr">
        <is>
          <t>https://nvd.nist.gov/vuln/detail/CVE-2026-27952</t>
        </is>
      </c>
      <c r="X801" t="inlineStr">
        <is>
          <t>NONE</t>
        </is>
      </c>
      <c r="Y801" t="n">
        <v>0</v>
      </c>
      <c r="Z801" t="inlineStr"/>
      <c r="AA801" t="inlineStr">
        <is>
          <t>https://nvd.nist.gov/vuln/detail/CVE-2026-27952</t>
        </is>
      </c>
    </row>
    <row r="802">
      <c r="A802" t="inlineStr">
        <is>
          <t>CVE</t>
        </is>
      </c>
      <c r="B802" t="inlineStr">
        <is>
          <t>CVE-2026-27954</t>
        </is>
      </c>
      <c r="C802"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802" t="n">
        <v>8.5</v>
      </c>
      <c r="E802" t="inlineStr">
        <is>
          <t>HIGH</t>
        </is>
      </c>
      <c r="F802" t="n">
        <v>2</v>
      </c>
      <c r="G802" t="n">
        <v>3</v>
      </c>
      <c r="H802" t="inlineStr">
        <is>
          <t>HIGH</t>
        </is>
      </c>
      <c r="I802" t="n">
        <v>14.5</v>
      </c>
      <c r="J802" t="inlineStr">
        <is>
          <t>NO</t>
        </is>
      </c>
      <c r="K802" t="inlineStr">
        <is>
          <t>2026-02-27 20:47</t>
        </is>
      </c>
      <c r="L802" t="inlineStr">
        <is>
          <t>CHECK_VENDOR</t>
        </is>
      </c>
      <c r="M802" t="inlineStr">
        <is>
          <t>See CVE details</t>
        </is>
      </c>
      <c r="N802" t="inlineStr">
        <is>
          <t>P3</t>
        </is>
      </c>
      <c r="O802" t="inlineStr">
        <is>
          <t>CVE - IP enrichment n/a</t>
        </is>
      </c>
      <c r="P802" t="n">
        <v>0.0003</v>
      </c>
      <c r="Q802" t="n">
        <v>0.0883</v>
      </c>
      <c r="R802" t="inlineStr">
        <is>
          <t>T1190:Exploit Public-Facing Application | T1068:Exploitation for Privilege Escalation</t>
        </is>
      </c>
      <c r="S802" t="n">
        <v>1</v>
      </c>
      <c r="T802" t="inlineStr">
        <is>
          <t>LOW (40%)</t>
        </is>
      </c>
      <c r="U802" t="inlineStr">
        <is>
          <t>UNLIKELY</t>
        </is>
      </c>
      <c r="V802" t="inlineStr">
        <is>
          <t>CHECK_VENDOR</t>
        </is>
      </c>
      <c r="W802" t="inlineStr">
        <is>
          <t>https://nvd.nist.gov/vuln/detail/CVE-2026-27954</t>
        </is>
      </c>
      <c r="X802" t="inlineStr">
        <is>
          <t>NONE</t>
        </is>
      </c>
      <c r="Y802" t="n">
        <v>0</v>
      </c>
      <c r="Z802" t="inlineStr"/>
      <c r="AA802" t="inlineStr">
        <is>
          <t>https://nvd.nist.gov/vuln/detail/CVE-2026-27954</t>
        </is>
      </c>
    </row>
    <row r="803">
      <c r="A803" t="inlineStr">
        <is>
          <t>CVE</t>
        </is>
      </c>
      <c r="B803" t="inlineStr">
        <is>
          <t>CVE-2026-27959</t>
        </is>
      </c>
      <c r="C803"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803" t="n">
        <v>7.5</v>
      </c>
      <c r="E803" t="inlineStr">
        <is>
          <t>HIGH</t>
        </is>
      </c>
      <c r="F803" t="n">
        <v>2</v>
      </c>
      <c r="G803" t="n">
        <v>3</v>
      </c>
      <c r="H803" t="inlineStr">
        <is>
          <t>HIGH</t>
        </is>
      </c>
      <c r="I803" t="n">
        <v>13.5</v>
      </c>
      <c r="J803" t="inlineStr">
        <is>
          <t>NO</t>
        </is>
      </c>
      <c r="K803" t="inlineStr">
        <is>
          <t>2026-02-27 20:47</t>
        </is>
      </c>
      <c r="L803" t="inlineStr">
        <is>
          <t>CHECK_VENDOR</t>
        </is>
      </c>
      <c r="M803" t="inlineStr">
        <is>
          <t>See CVE details</t>
        </is>
      </c>
      <c r="N803" t="inlineStr">
        <is>
          <t>P3</t>
        </is>
      </c>
      <c r="O803" t="inlineStr">
        <is>
          <t>CVE - IP enrichment n/a</t>
        </is>
      </c>
      <c r="P803" t="n">
        <v>0.0005</v>
      </c>
      <c r="Q803" t="n">
        <v>0.168</v>
      </c>
      <c r="R803" t="inlineStr">
        <is>
          <t>T1190:Exploit Public-Facing Application</t>
        </is>
      </c>
      <c r="S803" t="n">
        <v>1</v>
      </c>
      <c r="T803" t="inlineStr">
        <is>
          <t>LOW (40%)</t>
        </is>
      </c>
      <c r="U803" t="inlineStr">
        <is>
          <t>UNLIKELY</t>
        </is>
      </c>
      <c r="V803" t="inlineStr">
        <is>
          <t>CHECK_VENDOR</t>
        </is>
      </c>
      <c r="W803" t="inlineStr">
        <is>
          <t>https://nvd.nist.gov/vuln/detail/CVE-2026-27959</t>
        </is>
      </c>
      <c r="X803" t="inlineStr">
        <is>
          <t>NONE</t>
        </is>
      </c>
      <c r="Y803" t="n">
        <v>0</v>
      </c>
      <c r="Z803" t="inlineStr"/>
      <c r="AA803" t="inlineStr">
        <is>
          <t>https://nvd.nist.gov/vuln/detail/CVE-2026-27959</t>
        </is>
      </c>
    </row>
    <row r="804">
      <c r="A804" t="inlineStr">
        <is>
          <t>CVE</t>
        </is>
      </c>
      <c r="B804" t="inlineStr">
        <is>
          <t>CVE-2026-27961</t>
        </is>
      </c>
      <c r="C804"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804" t="n">
        <v>8.800000000000001</v>
      </c>
      <c r="E804" t="inlineStr">
        <is>
          <t>HIGH</t>
        </is>
      </c>
      <c r="F804" t="n">
        <v>2</v>
      </c>
      <c r="G804" t="n">
        <v>3</v>
      </c>
      <c r="H804" t="inlineStr">
        <is>
          <t>HIGH</t>
        </is>
      </c>
      <c r="I804" t="n">
        <v>14.8</v>
      </c>
      <c r="J804" t="inlineStr">
        <is>
          <t>NO</t>
        </is>
      </c>
      <c r="K804" t="inlineStr">
        <is>
          <t>2026-02-27 20:47</t>
        </is>
      </c>
      <c r="L804" t="inlineStr">
        <is>
          <t>CHECK_VENDOR</t>
        </is>
      </c>
      <c r="M804" t="inlineStr">
        <is>
          <t>See CVE details</t>
        </is>
      </c>
      <c r="N804" t="inlineStr">
        <is>
          <t>P3</t>
        </is>
      </c>
      <c r="O804" t="inlineStr">
        <is>
          <t>CVE - IP enrichment n/a</t>
        </is>
      </c>
      <c r="P804" t="n">
        <v>0.0005</v>
      </c>
      <c r="Q804" t="n">
        <v>0.1456</v>
      </c>
      <c r="R804" t="inlineStr">
        <is>
          <t>T1190:Exploit Public-Facing Application</t>
        </is>
      </c>
      <c r="S804" t="n">
        <v>1</v>
      </c>
      <c r="T804" t="inlineStr">
        <is>
          <t>LOW (40%)</t>
        </is>
      </c>
      <c r="U804" t="inlineStr">
        <is>
          <t>UNLIKELY</t>
        </is>
      </c>
      <c r="V804" t="inlineStr">
        <is>
          <t>CHECK_VENDOR</t>
        </is>
      </c>
      <c r="W804" t="inlineStr">
        <is>
          <t>https://nvd.nist.gov/vuln/detail/CVE-2026-27961</t>
        </is>
      </c>
      <c r="X804" t="inlineStr">
        <is>
          <t>NONE</t>
        </is>
      </c>
      <c r="Y804" t="n">
        <v>0</v>
      </c>
      <c r="Z804" t="inlineStr"/>
      <c r="AA804" t="inlineStr">
        <is>
          <t>https://nvd.nist.gov/vuln/detail/CVE-2026-27961</t>
        </is>
      </c>
    </row>
    <row r="805">
      <c r="A805" t="inlineStr">
        <is>
          <t>CVE</t>
        </is>
      </c>
      <c r="B805" t="inlineStr">
        <is>
          <t>CVE-2026-27965</t>
        </is>
      </c>
      <c r="C805"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805" t="n">
        <v>5</v>
      </c>
      <c r="E805" t="inlineStr">
        <is>
          <t>MEDIUM</t>
        </is>
      </c>
      <c r="F805" t="n">
        <v>2</v>
      </c>
      <c r="G805" t="n">
        <v>2</v>
      </c>
      <c r="H805" t="inlineStr">
        <is>
          <t>MEDIUM</t>
        </is>
      </c>
      <c r="I805" t="n">
        <v>9</v>
      </c>
      <c r="J805" t="inlineStr">
        <is>
          <t>NO</t>
        </is>
      </c>
      <c r="K805" t="inlineStr">
        <is>
          <t>2026-02-27 20:47</t>
        </is>
      </c>
      <c r="L805" t="inlineStr">
        <is>
          <t>CHECK_VENDOR</t>
        </is>
      </c>
      <c r="M805" t="inlineStr">
        <is>
          <t>See CVE details</t>
        </is>
      </c>
      <c r="N805" t="inlineStr">
        <is>
          <t>P4</t>
        </is>
      </c>
      <c r="O805" t="inlineStr">
        <is>
          <t>CVE - IP enrichment n/a</t>
        </is>
      </c>
      <c r="P805" t="n">
        <v>0.0004</v>
      </c>
      <c r="Q805" t="n">
        <v>0.132</v>
      </c>
      <c r="R805" t="inlineStr">
        <is>
          <t>T1059:Command and Scripting Interpreter | T1203:Exploitation for Client Execution</t>
        </is>
      </c>
      <c r="S805" t="n">
        <v>1</v>
      </c>
      <c r="T805" t="inlineStr">
        <is>
          <t>LOW (40%)</t>
        </is>
      </c>
      <c r="U805" t="inlineStr">
        <is>
          <t>UNLIKELY</t>
        </is>
      </c>
      <c r="V805" t="inlineStr">
        <is>
          <t>CHECK_VENDOR</t>
        </is>
      </c>
      <c r="W805" t="inlineStr">
        <is>
          <t>https://nvd.nist.gov/vuln/detail/CVE-2026-27965</t>
        </is>
      </c>
      <c r="X805" t="inlineStr">
        <is>
          <t>NONE</t>
        </is>
      </c>
      <c r="Y805" t="n">
        <v>0</v>
      </c>
      <c r="Z805" t="inlineStr"/>
      <c r="AA805" t="inlineStr">
        <is>
          <t>https://nvd.nist.gov/vuln/detail/CVE-2026-27965</t>
        </is>
      </c>
    </row>
    <row r="806">
      <c r="A806" t="inlineStr">
        <is>
          <t>CVE</t>
        </is>
      </c>
      <c r="B806" t="inlineStr">
        <is>
          <t>CVE-2026-27966</t>
        </is>
      </c>
      <c r="C806"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806" t="n">
        <v>9.800000000000001</v>
      </c>
      <c r="E806" t="inlineStr">
        <is>
          <t>CRITICAL</t>
        </is>
      </c>
      <c r="F806" t="n">
        <v>2</v>
      </c>
      <c r="G806" t="n">
        <v>3</v>
      </c>
      <c r="H806" t="inlineStr">
        <is>
          <t>HIGH</t>
        </is>
      </c>
      <c r="I806" t="n">
        <v>15.8</v>
      </c>
      <c r="J806" t="inlineStr">
        <is>
          <t>NO</t>
        </is>
      </c>
      <c r="K806" t="inlineStr">
        <is>
          <t>2026-02-27 20:47</t>
        </is>
      </c>
      <c r="L806" t="inlineStr">
        <is>
          <t>CHECK_VENDOR</t>
        </is>
      </c>
      <c r="M806" t="inlineStr">
        <is>
          <t>See CVE details</t>
        </is>
      </c>
      <c r="N806" t="inlineStr">
        <is>
          <t>P3</t>
        </is>
      </c>
      <c r="O806" t="inlineStr">
        <is>
          <t>CVE - IP enrichment n/a</t>
        </is>
      </c>
      <c r="P806" t="n">
        <v>0.0029</v>
      </c>
      <c r="Q806" t="n">
        <v>0.5182</v>
      </c>
      <c r="R806" t="inlineStr">
        <is>
          <t>T1059:Command and Scripting Interpreter | T1190:Exploit Public-Facing Application | T1210:Exploitation of Remote Services</t>
        </is>
      </c>
      <c r="S806" t="n">
        <v>1</v>
      </c>
      <c r="T806" t="inlineStr">
        <is>
          <t>LOW (40%)</t>
        </is>
      </c>
      <c r="U806" t="inlineStr">
        <is>
          <t>UNLIKELY</t>
        </is>
      </c>
      <c r="V806" t="inlineStr">
        <is>
          <t>CHECK_VENDOR</t>
        </is>
      </c>
      <c r="W806" t="inlineStr">
        <is>
          <t>https://nvd.nist.gov/vuln/detail/CVE-2026-27966</t>
        </is>
      </c>
      <c r="X806" t="inlineStr">
        <is>
          <t>NONE</t>
        </is>
      </c>
      <c r="Y806" t="n">
        <v>0</v>
      </c>
      <c r="Z806" t="inlineStr"/>
      <c r="AA806" t="inlineStr">
        <is>
          <t>https://nvd.nist.gov/vuln/detail/CVE-2026-27966</t>
        </is>
      </c>
    </row>
    <row r="807">
      <c r="A807" t="inlineStr">
        <is>
          <t>CVE</t>
        </is>
      </c>
      <c r="B807" t="inlineStr">
        <is>
          <t>CVE-2026-27968</t>
        </is>
      </c>
      <c r="C807"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807" t="n">
        <v>4.3</v>
      </c>
      <c r="E807" t="inlineStr">
        <is>
          <t>MEDIUM</t>
        </is>
      </c>
      <c r="F807" t="n">
        <v>2</v>
      </c>
      <c r="G807" t="n">
        <v>2</v>
      </c>
      <c r="H807" t="inlineStr">
        <is>
          <t>MEDIUM</t>
        </is>
      </c>
      <c r="I807" t="n">
        <v>8.300000000000001</v>
      </c>
      <c r="J807" t="inlineStr">
        <is>
          <t>NO</t>
        </is>
      </c>
      <c r="K807" t="inlineStr">
        <is>
          <t>2026-02-27 20:47</t>
        </is>
      </c>
      <c r="L807" t="inlineStr">
        <is>
          <t>CHECK_VENDOR</t>
        </is>
      </c>
      <c r="M807" t="inlineStr">
        <is>
          <t>See CVE details</t>
        </is>
      </c>
      <c r="N807" t="inlineStr">
        <is>
          <t>P4</t>
        </is>
      </c>
      <c r="O807" t="inlineStr">
        <is>
          <t>CVE - IP enrichment n/a</t>
        </is>
      </c>
      <c r="P807" t="n">
        <v>0.0003</v>
      </c>
      <c r="Q807" t="n">
        <v>0.0659</v>
      </c>
      <c r="R807" t="inlineStr">
        <is>
          <t>T1078:Valid Accounts | T1110:Brute Force | T1190:Exploit Public-Facing Application</t>
        </is>
      </c>
      <c r="S807" t="n">
        <v>1</v>
      </c>
      <c r="T807" t="inlineStr">
        <is>
          <t>LOW (40%)</t>
        </is>
      </c>
      <c r="U807" t="inlineStr">
        <is>
          <t>UNLIKELY</t>
        </is>
      </c>
      <c r="V807" t="inlineStr">
        <is>
          <t>CHECK_VENDOR</t>
        </is>
      </c>
      <c r="W807" t="inlineStr">
        <is>
          <t>https://nvd.nist.gov/vuln/detail/CVE-2026-27968</t>
        </is>
      </c>
      <c r="X807" t="inlineStr">
        <is>
          <t>NONE</t>
        </is>
      </c>
      <c r="Y807" t="n">
        <v>0</v>
      </c>
      <c r="Z807" t="inlineStr"/>
      <c r="AA807" t="inlineStr">
        <is>
          <t>https://nvd.nist.gov/vuln/detail/CVE-2026-27968</t>
        </is>
      </c>
    </row>
    <row r="808">
      <c r="A808" t="inlineStr">
        <is>
          <t>CVE</t>
        </is>
      </c>
      <c r="B808" t="inlineStr">
        <is>
          <t>CVE-2026-27969</t>
        </is>
      </c>
      <c r="C808"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808" t="n">
        <v>5</v>
      </c>
      <c r="E808" t="inlineStr">
        <is>
          <t>MEDIUM</t>
        </is>
      </c>
      <c r="F808" t="n">
        <v>2</v>
      </c>
      <c r="G808" t="n">
        <v>2</v>
      </c>
      <c r="H808" t="inlineStr">
        <is>
          <t>MEDIUM</t>
        </is>
      </c>
      <c r="I808" t="n">
        <v>9</v>
      </c>
      <c r="J808" t="inlineStr">
        <is>
          <t>NO</t>
        </is>
      </c>
      <c r="K808" t="inlineStr">
        <is>
          <t>2026-02-27 20:47</t>
        </is>
      </c>
      <c r="L808" t="inlineStr">
        <is>
          <t>CHECK_VENDOR</t>
        </is>
      </c>
      <c r="M808" t="inlineStr">
        <is>
          <t>See CVE details</t>
        </is>
      </c>
      <c r="N808" t="inlineStr">
        <is>
          <t>P4</t>
        </is>
      </c>
      <c r="O808" t="inlineStr">
        <is>
          <t>CVE - IP enrichment n/a</t>
        </is>
      </c>
      <c r="P808" t="n">
        <v>0.0004</v>
      </c>
      <c r="Q808" t="n">
        <v>0.1204</v>
      </c>
      <c r="R808" t="inlineStr">
        <is>
          <t>T1083:File and Directory Discovery</t>
        </is>
      </c>
      <c r="S808" t="n">
        <v>1</v>
      </c>
      <c r="T808" t="inlineStr">
        <is>
          <t>LOW (40%)</t>
        </is>
      </c>
      <c r="U808" t="inlineStr">
        <is>
          <t>UNLIKELY</t>
        </is>
      </c>
      <c r="V808" t="inlineStr">
        <is>
          <t>CHECK_VENDOR</t>
        </is>
      </c>
      <c r="W808" t="inlineStr">
        <is>
          <t>https://nvd.nist.gov/vuln/detail/CVE-2026-27969</t>
        </is>
      </c>
      <c r="X808" t="inlineStr">
        <is>
          <t>NONE</t>
        </is>
      </c>
      <c r="Y808" t="n">
        <v>0</v>
      </c>
      <c r="Z808" t="inlineStr"/>
      <c r="AA808" t="inlineStr">
        <is>
          <t>https://nvd.nist.gov/vuln/detail/CVE-2026-27969</t>
        </is>
      </c>
    </row>
    <row r="809">
      <c r="A809" t="inlineStr">
        <is>
          <t>CVE</t>
        </is>
      </c>
      <c r="B809" t="inlineStr">
        <is>
          <t>CVE-2026-27970</t>
        </is>
      </c>
      <c r="C809"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809" t="n">
        <v>6.1</v>
      </c>
      <c r="E809" t="inlineStr">
        <is>
          <t>MEDIUM</t>
        </is>
      </c>
      <c r="F809" t="n">
        <v>2</v>
      </c>
      <c r="G809" t="n">
        <v>2</v>
      </c>
      <c r="H809" t="inlineStr">
        <is>
          <t>MEDIUM</t>
        </is>
      </c>
      <c r="I809" t="n">
        <v>10.1</v>
      </c>
      <c r="J809" t="inlineStr">
        <is>
          <t>NO</t>
        </is>
      </c>
      <c r="K809" t="inlineStr">
        <is>
          <t>2026-02-27 20:47</t>
        </is>
      </c>
      <c r="L809" t="inlineStr">
        <is>
          <t>YES</t>
        </is>
      </c>
      <c r="M809" t="inlineStr">
        <is>
          <t>angular angular *</t>
        </is>
      </c>
      <c r="N809" t="inlineStr">
        <is>
          <t>P4</t>
        </is>
      </c>
      <c r="O809" t="inlineStr">
        <is>
          <t>CVE - IP enrichment n/a</t>
        </is>
      </c>
      <c r="P809" t="n">
        <v>0.0007</v>
      </c>
      <c r="Q809" t="n">
        <v>0.2201</v>
      </c>
      <c r="R809" t="inlineStr">
        <is>
          <t>T1189:Drive-by Compromise | T1190:Exploit Public-Facing Application | T1552:Unsecured Credentials</t>
        </is>
      </c>
      <c r="S809" t="n">
        <v>1</v>
      </c>
      <c r="T809" t="inlineStr">
        <is>
          <t>LOW (40%)</t>
        </is>
      </c>
      <c r="U809" t="inlineStr">
        <is>
          <t>UNLIKELY</t>
        </is>
      </c>
      <c r="V809" t="inlineStr">
        <is>
          <t>PATCH_AVAILABLE</t>
        </is>
      </c>
      <c r="W809" t="inlineStr">
        <is>
          <t>https://nvd.nist.gov/vuln/detail/CVE-2026-27970</t>
        </is>
      </c>
      <c r="X809" t="inlineStr">
        <is>
          <t>NONE</t>
        </is>
      </c>
      <c r="Y809" t="n">
        <v>0</v>
      </c>
      <c r="Z809" t="inlineStr"/>
      <c r="AA809" t="inlineStr">
        <is>
          <t>https://nvd.nist.gov/vuln/detail/CVE-2026-27970</t>
        </is>
      </c>
    </row>
    <row r="810">
      <c r="A810" t="inlineStr">
        <is>
          <t>CVE</t>
        </is>
      </c>
      <c r="B810" t="inlineStr">
        <is>
          <t>CVE-2026-27973</t>
        </is>
      </c>
      <c r="C810"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810" t="n">
        <v>4</v>
      </c>
      <c r="E810" t="inlineStr">
        <is>
          <t>MEDIUM</t>
        </is>
      </c>
      <c r="F810" t="n">
        <v>2</v>
      </c>
      <c r="G810" t="n">
        <v>2</v>
      </c>
      <c r="H810" t="inlineStr">
        <is>
          <t>MEDIUM</t>
        </is>
      </c>
      <c r="I810" t="n">
        <v>8</v>
      </c>
      <c r="J810" t="inlineStr">
        <is>
          <t>NO</t>
        </is>
      </c>
      <c r="K810" t="inlineStr">
        <is>
          <t>2026-02-27 20:47</t>
        </is>
      </c>
      <c r="L810" t="inlineStr">
        <is>
          <t>CHECK_VENDOR</t>
        </is>
      </c>
      <c r="M810" t="inlineStr">
        <is>
          <t>See CVE details</t>
        </is>
      </c>
      <c r="N810" t="inlineStr">
        <is>
          <t>P4</t>
        </is>
      </c>
      <c r="O810" t="inlineStr">
        <is>
          <t>CVE - IP enrichment n/a</t>
        </is>
      </c>
      <c r="P810" t="n">
        <v>0.0004</v>
      </c>
      <c r="Q810" t="n">
        <v>0.1185</v>
      </c>
      <c r="R810" t="inlineStr">
        <is>
          <t>T1189:Drive-by Compromise | T1041:Exfiltration Over C2 Channel</t>
        </is>
      </c>
      <c r="S810" t="n">
        <v>1</v>
      </c>
      <c r="T810" t="inlineStr">
        <is>
          <t>LOW (40%)</t>
        </is>
      </c>
      <c r="U810" t="inlineStr">
        <is>
          <t>UNLIKELY</t>
        </is>
      </c>
      <c r="V810" t="inlineStr">
        <is>
          <t>CHECK_VENDOR</t>
        </is>
      </c>
      <c r="W810" t="inlineStr">
        <is>
          <t>https://nvd.nist.gov/vuln/detail/CVE-2026-27973</t>
        </is>
      </c>
      <c r="X810" t="inlineStr">
        <is>
          <t>NONE</t>
        </is>
      </c>
      <c r="Y810" t="n">
        <v>0</v>
      </c>
      <c r="Z810" t="inlineStr"/>
      <c r="AA810" t="inlineStr">
        <is>
          <t>https://nvd.nist.gov/vuln/detail/CVE-2026-27973</t>
        </is>
      </c>
    </row>
    <row r="811">
      <c r="A811" t="inlineStr">
        <is>
          <t>CVE</t>
        </is>
      </c>
      <c r="B811" t="inlineStr">
        <is>
          <t>CVE-2026-2029</t>
        </is>
      </c>
      <c r="C811"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811" t="n">
        <v>6.4</v>
      </c>
      <c r="E811" t="inlineStr">
        <is>
          <t>MEDIUM</t>
        </is>
      </c>
      <c r="F811" t="n">
        <v>2</v>
      </c>
      <c r="G811" t="n">
        <v>2</v>
      </c>
      <c r="H811" t="inlineStr">
        <is>
          <t>MEDIUM</t>
        </is>
      </c>
      <c r="I811" t="n">
        <v>10.4</v>
      </c>
      <c r="J811" t="inlineStr">
        <is>
          <t>NO</t>
        </is>
      </c>
      <c r="K811" t="inlineStr">
        <is>
          <t>2026-02-27 20:47</t>
        </is>
      </c>
      <c r="L811" t="inlineStr">
        <is>
          <t>CHECK_VENDOR</t>
        </is>
      </c>
      <c r="M811" t="inlineStr">
        <is>
          <t>See CVE details</t>
        </is>
      </c>
      <c r="N811" t="inlineStr">
        <is>
          <t>P4</t>
        </is>
      </c>
      <c r="O811" t="inlineStr">
        <is>
          <t>CVE - IP enrichment n/a</t>
        </is>
      </c>
      <c r="P811" t="n">
        <v>0.0003</v>
      </c>
      <c r="Q811" t="n">
        <v>0.07820000000000001</v>
      </c>
      <c r="R811" t="inlineStr">
        <is>
          <t>T1189:Drive-by Compromise</t>
        </is>
      </c>
      <c r="S811" t="n">
        <v>1</v>
      </c>
      <c r="T811" t="inlineStr">
        <is>
          <t>LOW (40%)</t>
        </is>
      </c>
      <c r="U811" t="inlineStr">
        <is>
          <t>UNLIKELY</t>
        </is>
      </c>
      <c r="V811" t="inlineStr">
        <is>
          <t>CHECK_VENDOR</t>
        </is>
      </c>
      <c r="W811" t="inlineStr">
        <is>
          <t>https://nvd.nist.gov/vuln/detail/CVE-2026-2029</t>
        </is>
      </c>
      <c r="X811" t="inlineStr">
        <is>
          <t>NONE</t>
        </is>
      </c>
      <c r="Y811" t="n">
        <v>0</v>
      </c>
      <c r="Z811" t="inlineStr"/>
      <c r="AA811" t="inlineStr">
        <is>
          <t>https://nvd.nist.gov/vuln/detail/CVE-2026-2029</t>
        </is>
      </c>
    </row>
    <row r="812">
      <c r="A812" t="inlineStr">
        <is>
          <t>CVE</t>
        </is>
      </c>
      <c r="B812" t="inlineStr">
        <is>
          <t>CVE-2026-2489</t>
        </is>
      </c>
      <c r="C812"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812" t="n">
        <v>4.4</v>
      </c>
      <c r="E812" t="inlineStr">
        <is>
          <t>MEDIUM</t>
        </is>
      </c>
      <c r="F812" t="n">
        <v>2</v>
      </c>
      <c r="G812" t="n">
        <v>2</v>
      </c>
      <c r="H812" t="inlineStr">
        <is>
          <t>MEDIUM</t>
        </is>
      </c>
      <c r="I812" t="n">
        <v>8.4</v>
      </c>
      <c r="J812" t="inlineStr">
        <is>
          <t>NO</t>
        </is>
      </c>
      <c r="K812" t="inlineStr">
        <is>
          <t>2026-02-27 20:47</t>
        </is>
      </c>
      <c r="L812" t="inlineStr">
        <is>
          <t>CHECK_VENDOR</t>
        </is>
      </c>
      <c r="M812" t="inlineStr">
        <is>
          <t>See CVE details</t>
        </is>
      </c>
      <c r="N812" t="inlineStr">
        <is>
          <t>P4</t>
        </is>
      </c>
      <c r="O812" t="inlineStr">
        <is>
          <t>CVE - IP enrichment n/a</t>
        </is>
      </c>
      <c r="P812" t="n">
        <v>0.0003</v>
      </c>
      <c r="Q812" t="n">
        <v>0.0706</v>
      </c>
      <c r="R812" t="inlineStr">
        <is>
          <t>T1189:Drive-by Compromise</t>
        </is>
      </c>
      <c r="S812" t="n">
        <v>1</v>
      </c>
      <c r="T812" t="inlineStr">
        <is>
          <t>LOW (40%)</t>
        </is>
      </c>
      <c r="U812" t="inlineStr">
        <is>
          <t>UNLIKELY</t>
        </is>
      </c>
      <c r="V812" t="inlineStr">
        <is>
          <t>CHECK_VENDOR</t>
        </is>
      </c>
      <c r="W812" t="inlineStr">
        <is>
          <t>https://nvd.nist.gov/vuln/detail/CVE-2026-2489</t>
        </is>
      </c>
      <c r="X812" t="inlineStr">
        <is>
          <t>NONE</t>
        </is>
      </c>
      <c r="Y812" t="n">
        <v>0</v>
      </c>
      <c r="Z812" t="inlineStr"/>
      <c r="AA812" t="inlineStr">
        <is>
          <t>https://nvd.nist.gov/vuln/detail/CVE-2026-2489</t>
        </is>
      </c>
    </row>
    <row r="813">
      <c r="A813" t="inlineStr">
        <is>
          <t>CVE</t>
        </is>
      </c>
      <c r="B813" t="inlineStr">
        <is>
          <t>CVE-2026-2498</t>
        </is>
      </c>
      <c r="C813"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813" t="n">
        <v>4.4</v>
      </c>
      <c r="E813" t="inlineStr">
        <is>
          <t>MEDIUM</t>
        </is>
      </c>
      <c r="F813" t="n">
        <v>2</v>
      </c>
      <c r="G813" t="n">
        <v>2</v>
      </c>
      <c r="H813" t="inlineStr">
        <is>
          <t>MEDIUM</t>
        </is>
      </c>
      <c r="I813" t="n">
        <v>8.4</v>
      </c>
      <c r="J813" t="inlineStr">
        <is>
          <t>NO</t>
        </is>
      </c>
      <c r="K813" t="inlineStr">
        <is>
          <t>2026-02-27 20:47</t>
        </is>
      </c>
      <c r="L813" t="inlineStr">
        <is>
          <t>CHECK_VENDOR</t>
        </is>
      </c>
      <c r="M813" t="inlineStr">
        <is>
          <t>See CVE details</t>
        </is>
      </c>
      <c r="N813" t="inlineStr">
        <is>
          <t>P4</t>
        </is>
      </c>
      <c r="O813" t="inlineStr">
        <is>
          <t>CVE - IP enrichment n/a</t>
        </is>
      </c>
      <c r="P813" t="n">
        <v>0.0002</v>
      </c>
      <c r="Q813" t="n">
        <v>0.0583</v>
      </c>
      <c r="R813" t="inlineStr">
        <is>
          <t>T1189:Drive-by Compromise</t>
        </is>
      </c>
      <c r="S813" t="n">
        <v>1</v>
      </c>
      <c r="T813" t="inlineStr">
        <is>
          <t>LOW (40%)</t>
        </is>
      </c>
      <c r="U813" t="inlineStr">
        <is>
          <t>UNLIKELY</t>
        </is>
      </c>
      <c r="V813" t="inlineStr">
        <is>
          <t>CHECK_VENDOR</t>
        </is>
      </c>
      <c r="W813" t="inlineStr">
        <is>
          <t>https://nvd.nist.gov/vuln/detail/CVE-2026-2498</t>
        </is>
      </c>
      <c r="X813" t="inlineStr">
        <is>
          <t>NONE</t>
        </is>
      </c>
      <c r="Y813" t="n">
        <v>0</v>
      </c>
      <c r="Z813" t="inlineStr"/>
      <c r="AA813" t="inlineStr">
        <is>
          <t>https://nvd.nist.gov/vuln/detail/CVE-2026-2498</t>
        </is>
      </c>
    </row>
    <row r="814">
      <c r="A814" t="inlineStr">
        <is>
          <t>CVE</t>
        </is>
      </c>
      <c r="B814" t="inlineStr">
        <is>
          <t>CVE-2026-2499</t>
        </is>
      </c>
      <c r="C814"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814" t="n">
        <v>4.4</v>
      </c>
      <c r="E814" t="inlineStr">
        <is>
          <t>MEDIUM</t>
        </is>
      </c>
      <c r="F814" t="n">
        <v>2</v>
      </c>
      <c r="G814" t="n">
        <v>2</v>
      </c>
      <c r="H814" t="inlineStr">
        <is>
          <t>MEDIUM</t>
        </is>
      </c>
      <c r="I814" t="n">
        <v>8.4</v>
      </c>
      <c r="J814" t="inlineStr">
        <is>
          <t>NO</t>
        </is>
      </c>
      <c r="K814" t="inlineStr">
        <is>
          <t>2026-02-27 20:47</t>
        </is>
      </c>
      <c r="L814" t="inlineStr">
        <is>
          <t>CHECK_VENDOR</t>
        </is>
      </c>
      <c r="M814" t="inlineStr">
        <is>
          <t>See CVE details</t>
        </is>
      </c>
      <c r="N814" t="inlineStr">
        <is>
          <t>P4</t>
        </is>
      </c>
      <c r="O814" t="inlineStr">
        <is>
          <t>CVE - IP enrichment n/a</t>
        </is>
      </c>
      <c r="P814" t="n">
        <v>0.0002</v>
      </c>
      <c r="Q814" t="n">
        <v>0.0547</v>
      </c>
      <c r="R814" t="inlineStr">
        <is>
          <t>T1189:Drive-by Compromise</t>
        </is>
      </c>
      <c r="S814" t="n">
        <v>1</v>
      </c>
      <c r="T814" t="inlineStr">
        <is>
          <t>LOW (40%)</t>
        </is>
      </c>
      <c r="U814" t="inlineStr">
        <is>
          <t>UNLIKELY</t>
        </is>
      </c>
      <c r="V814" t="inlineStr">
        <is>
          <t>CHECK_VENDOR</t>
        </is>
      </c>
      <c r="W814" t="inlineStr">
        <is>
          <t>https://nvd.nist.gov/vuln/detail/CVE-2026-2499</t>
        </is>
      </c>
      <c r="X814" t="inlineStr">
        <is>
          <t>NONE</t>
        </is>
      </c>
      <c r="Y814" t="n">
        <v>0</v>
      </c>
      <c r="Z814" t="inlineStr"/>
      <c r="AA814" t="inlineStr">
        <is>
          <t>https://nvd.nist.gov/vuln/detail/CVE-2026-2499</t>
        </is>
      </c>
    </row>
    <row r="815">
      <c r="A815" t="inlineStr">
        <is>
          <t>CVE</t>
        </is>
      </c>
      <c r="B815" t="inlineStr">
        <is>
          <t>CVE-2026-2506</t>
        </is>
      </c>
      <c r="C815"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815" t="n">
        <v>6.1</v>
      </c>
      <c r="E815" t="inlineStr">
        <is>
          <t>MEDIUM</t>
        </is>
      </c>
      <c r="F815" t="n">
        <v>2</v>
      </c>
      <c r="G815" t="n">
        <v>2</v>
      </c>
      <c r="H815" t="inlineStr">
        <is>
          <t>MEDIUM</t>
        </is>
      </c>
      <c r="I815" t="n">
        <v>10.1</v>
      </c>
      <c r="J815" t="inlineStr">
        <is>
          <t>NO</t>
        </is>
      </c>
      <c r="K815" t="inlineStr">
        <is>
          <t>2026-02-27 20:47</t>
        </is>
      </c>
      <c r="L815" t="inlineStr">
        <is>
          <t>CHECK_VENDOR</t>
        </is>
      </c>
      <c r="M815" t="inlineStr">
        <is>
          <t>See CVE details</t>
        </is>
      </c>
      <c r="N815" t="inlineStr">
        <is>
          <t>P4</t>
        </is>
      </c>
      <c r="O815" t="inlineStr">
        <is>
          <t>CVE - IP enrichment n/a</t>
        </is>
      </c>
      <c r="P815" t="n">
        <v>0.0007</v>
      </c>
      <c r="Q815" t="n">
        <v>0.2129</v>
      </c>
      <c r="R815" t="inlineStr">
        <is>
          <t>T1189:Drive-by Compromise</t>
        </is>
      </c>
      <c r="S815" t="n">
        <v>1</v>
      </c>
      <c r="T815" t="inlineStr">
        <is>
          <t>LOW (40%)</t>
        </is>
      </c>
      <c r="U815" t="inlineStr">
        <is>
          <t>UNLIKELY</t>
        </is>
      </c>
      <c r="V815" t="inlineStr">
        <is>
          <t>CHECK_VENDOR</t>
        </is>
      </c>
      <c r="W815" t="inlineStr">
        <is>
          <t>https://nvd.nist.gov/vuln/detail/CVE-2026-2506</t>
        </is>
      </c>
      <c r="X815" t="inlineStr">
        <is>
          <t>NONE</t>
        </is>
      </c>
      <c r="Y815" t="n">
        <v>0</v>
      </c>
      <c r="Z815" t="inlineStr"/>
      <c r="AA815" t="inlineStr">
        <is>
          <t>https://nvd.nist.gov/vuln/detail/CVE-2026-2506</t>
        </is>
      </c>
    </row>
    <row r="816">
      <c r="A816" t="inlineStr">
        <is>
          <t>CVE</t>
        </is>
      </c>
      <c r="B816" t="inlineStr">
        <is>
          <t>CVE-2026-1779</t>
        </is>
      </c>
      <c r="C816"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816" t="n">
        <v>8.1</v>
      </c>
      <c r="E816" t="inlineStr">
        <is>
          <t>HIGH</t>
        </is>
      </c>
      <c r="F816" t="n">
        <v>2</v>
      </c>
      <c r="G816" t="n">
        <v>3</v>
      </c>
      <c r="H816" t="inlineStr">
        <is>
          <t>HIGH</t>
        </is>
      </c>
      <c r="I816" t="n">
        <v>14.1</v>
      </c>
      <c r="J816" t="inlineStr">
        <is>
          <t>NO</t>
        </is>
      </c>
      <c r="K816" t="inlineStr">
        <is>
          <t>2026-02-27 20:47</t>
        </is>
      </c>
      <c r="L816" t="inlineStr">
        <is>
          <t>CHECK_VENDOR</t>
        </is>
      </c>
      <c r="M816" t="inlineStr">
        <is>
          <t>See CVE details</t>
        </is>
      </c>
      <c r="N816" t="inlineStr">
        <is>
          <t>P3</t>
        </is>
      </c>
      <c r="O816" t="inlineStr">
        <is>
          <t>CVE - IP enrichment n/a</t>
        </is>
      </c>
      <c r="P816" t="n">
        <v>0.0011</v>
      </c>
      <c r="Q816" t="n">
        <v>0.2948</v>
      </c>
      <c r="R816" t="inlineStr">
        <is>
          <t>T1078:Valid Accounts</t>
        </is>
      </c>
      <c r="S816" t="n">
        <v>1</v>
      </c>
      <c r="T816" t="inlineStr">
        <is>
          <t>LOW (40%)</t>
        </is>
      </c>
      <c r="U816" t="inlineStr">
        <is>
          <t>UNLIKELY</t>
        </is>
      </c>
      <c r="V816" t="inlineStr">
        <is>
          <t>CHECK_VENDOR</t>
        </is>
      </c>
      <c r="W816" t="inlineStr">
        <is>
          <t>https://nvd.nist.gov/vuln/detail/CVE-2026-1779</t>
        </is>
      </c>
      <c r="X816" t="inlineStr">
        <is>
          <t>NONE</t>
        </is>
      </c>
      <c r="Y816" t="n">
        <v>0</v>
      </c>
      <c r="Z816" t="inlineStr"/>
      <c r="AA816" t="inlineStr">
        <is>
          <t>https://nvd.nist.gov/vuln/detail/CVE-2026-1779</t>
        </is>
      </c>
    </row>
    <row r="817">
      <c r="A817" t="inlineStr">
        <is>
          <t>CVE</t>
        </is>
      </c>
      <c r="B817" t="inlineStr">
        <is>
          <t>CVE-2026-23999</t>
        </is>
      </c>
      <c r="C817"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817" t="n">
        <v>8.5</v>
      </c>
      <c r="E817" t="inlineStr">
        <is>
          <t>HIGH</t>
        </is>
      </c>
      <c r="F817" t="n">
        <v>2</v>
      </c>
      <c r="G817" t="n">
        <v>3</v>
      </c>
      <c r="H817" t="inlineStr">
        <is>
          <t>HIGH</t>
        </is>
      </c>
      <c r="I817" t="n">
        <v>14.5</v>
      </c>
      <c r="J817" t="inlineStr">
        <is>
          <t>NO</t>
        </is>
      </c>
      <c r="K817" t="inlineStr">
        <is>
          <t>2026-02-27 20:47</t>
        </is>
      </c>
      <c r="L817" t="inlineStr">
        <is>
          <t>CHECK_VENDOR</t>
        </is>
      </c>
      <c r="M817" t="inlineStr">
        <is>
          <t>See CVE details</t>
        </is>
      </c>
      <c r="N817" t="inlineStr">
        <is>
          <t>P3</t>
        </is>
      </c>
      <c r="O817" t="inlineStr">
        <is>
          <t>CVE - IP enrichment n/a</t>
        </is>
      </c>
      <c r="P817" t="n">
        <v>0.0004</v>
      </c>
      <c r="Q817" t="n">
        <v>0.1107</v>
      </c>
      <c r="R817" t="inlineStr">
        <is>
          <t>T1600:Weaken Encryption | T1190:Exploit Public-Facing Application</t>
        </is>
      </c>
      <c r="S817" t="n">
        <v>1</v>
      </c>
      <c r="T817" t="inlineStr">
        <is>
          <t>LOW (40%)</t>
        </is>
      </c>
      <c r="U817" t="inlineStr">
        <is>
          <t>UNLIKELY</t>
        </is>
      </c>
      <c r="V817" t="inlineStr">
        <is>
          <t>CHECK_VENDOR</t>
        </is>
      </c>
      <c r="W817" t="inlineStr">
        <is>
          <t>https://nvd.nist.gov/vuln/detail/CVE-2026-23999</t>
        </is>
      </c>
      <c r="X817" t="inlineStr">
        <is>
          <t>NONE</t>
        </is>
      </c>
      <c r="Y817" t="n">
        <v>0</v>
      </c>
      <c r="Z817" t="inlineStr"/>
      <c r="AA817" t="inlineStr">
        <is>
          <t>https://nvd.nist.gov/vuln/detail/CVE-2026-23999</t>
        </is>
      </c>
    </row>
    <row r="818">
      <c r="A818" t="inlineStr">
        <is>
          <t>CVE</t>
        </is>
      </c>
      <c r="B818" t="inlineStr">
        <is>
          <t>CVE-2026-24004</t>
        </is>
      </c>
      <c r="C818"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818" t="n">
        <v>8.5</v>
      </c>
      <c r="E818" t="inlineStr">
        <is>
          <t>HIGH</t>
        </is>
      </c>
      <c r="F818" t="n">
        <v>2</v>
      </c>
      <c r="G818" t="n">
        <v>3</v>
      </c>
      <c r="H818" t="inlineStr">
        <is>
          <t>HIGH</t>
        </is>
      </c>
      <c r="I818" t="n">
        <v>14.5</v>
      </c>
      <c r="J818" t="inlineStr">
        <is>
          <t>NO</t>
        </is>
      </c>
      <c r="K818" t="inlineStr">
        <is>
          <t>2026-02-27 20:47</t>
        </is>
      </c>
      <c r="L818" t="inlineStr">
        <is>
          <t>CHECK_VENDOR</t>
        </is>
      </c>
      <c r="M818" t="inlineStr">
        <is>
          <t>See CVE details</t>
        </is>
      </c>
      <c r="N818" t="inlineStr">
        <is>
          <t>P3</t>
        </is>
      </c>
      <c r="O818" t="inlineStr">
        <is>
          <t>CVE - IP enrichment n/a</t>
        </is>
      </c>
      <c r="P818" t="n">
        <v>0.001</v>
      </c>
      <c r="Q818" t="n">
        <v>0.2796</v>
      </c>
      <c r="R818" t="inlineStr">
        <is>
          <t>T1190:Exploit Public-Facing Application</t>
        </is>
      </c>
      <c r="S818" t="n">
        <v>1</v>
      </c>
      <c r="T818" t="inlineStr">
        <is>
          <t>LOW (40%)</t>
        </is>
      </c>
      <c r="U818" t="inlineStr">
        <is>
          <t>UNLIKELY</t>
        </is>
      </c>
      <c r="V818" t="inlineStr">
        <is>
          <t>CHECK_VENDOR</t>
        </is>
      </c>
      <c r="W818" t="inlineStr">
        <is>
          <t>https://nvd.nist.gov/vuln/detail/CVE-2026-24004</t>
        </is>
      </c>
      <c r="X818" t="inlineStr">
        <is>
          <t>NONE</t>
        </is>
      </c>
      <c r="Y818" t="n">
        <v>0</v>
      </c>
      <c r="Z818" t="inlineStr"/>
      <c r="AA818" t="inlineStr">
        <is>
          <t>https://nvd.nist.gov/vuln/detail/CVE-2026-24004</t>
        </is>
      </c>
    </row>
    <row r="819">
      <c r="A819" t="inlineStr">
        <is>
          <t>CVE</t>
        </is>
      </c>
      <c r="B819" t="inlineStr">
        <is>
          <t>CVE-2026-25963</t>
        </is>
      </c>
      <c r="C819"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819" t="n">
        <v>6.5</v>
      </c>
      <c r="E819" t="inlineStr">
        <is>
          <t>MEDIUM</t>
        </is>
      </c>
      <c r="F819" t="n">
        <v>2</v>
      </c>
      <c r="G819" t="n">
        <v>2</v>
      </c>
      <c r="H819" t="inlineStr">
        <is>
          <t>MEDIUM</t>
        </is>
      </c>
      <c r="I819" t="n">
        <v>10.5</v>
      </c>
      <c r="J819" t="inlineStr">
        <is>
          <t>NO</t>
        </is>
      </c>
      <c r="K819" t="inlineStr">
        <is>
          <t>2026-02-27 20:47</t>
        </is>
      </c>
      <c r="L819" t="inlineStr">
        <is>
          <t>YES</t>
        </is>
      </c>
      <c r="M819" t="inlineStr">
        <is>
          <t>fleetdm fleet *</t>
        </is>
      </c>
      <c r="N819" t="inlineStr">
        <is>
          <t>P4</t>
        </is>
      </c>
      <c r="O819" t="inlineStr">
        <is>
          <t>CVE - IP enrichment n/a</t>
        </is>
      </c>
      <c r="P819" t="n">
        <v>0.0003</v>
      </c>
      <c r="Q819" t="n">
        <v>0.08110000000000001</v>
      </c>
      <c r="R819" t="inlineStr">
        <is>
          <t>T1190:Exploit Public-Facing Application | T1068:Exploitation for Privilege Escalation | T1133:External Remote Services</t>
        </is>
      </c>
      <c r="S819" t="n">
        <v>1</v>
      </c>
      <c r="T819" t="inlineStr">
        <is>
          <t>LOW (40%)</t>
        </is>
      </c>
      <c r="U819" t="inlineStr">
        <is>
          <t>UNLIKELY</t>
        </is>
      </c>
      <c r="V819" t="inlineStr">
        <is>
          <t>PATCH_AVAILABLE</t>
        </is>
      </c>
      <c r="W819" t="inlineStr">
        <is>
          <t>https://nvd.nist.gov/vuln/detail/CVE-2026-25963</t>
        </is>
      </c>
      <c r="X819" t="inlineStr">
        <is>
          <t>NONE</t>
        </is>
      </c>
      <c r="Y819" t="n">
        <v>0</v>
      </c>
      <c r="Z819" t="inlineStr"/>
      <c r="AA819" t="inlineStr">
        <is>
          <t>https://nvd.nist.gov/vuln/detail/CVE-2026-25963</t>
        </is>
      </c>
    </row>
    <row r="820">
      <c r="A820" t="inlineStr">
        <is>
          <t>CVE</t>
        </is>
      </c>
      <c r="B820" t="inlineStr">
        <is>
          <t>CVE-2026-27465</t>
        </is>
      </c>
      <c r="C820"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820" t="n">
        <v>8.5</v>
      </c>
      <c r="E820" t="inlineStr">
        <is>
          <t>HIGH</t>
        </is>
      </c>
      <c r="F820" t="n">
        <v>2</v>
      </c>
      <c r="G820" t="n">
        <v>3</v>
      </c>
      <c r="H820" t="inlineStr">
        <is>
          <t>HIGH</t>
        </is>
      </c>
      <c r="I820" t="n">
        <v>14.5</v>
      </c>
      <c r="J820" t="inlineStr">
        <is>
          <t>NO</t>
        </is>
      </c>
      <c r="K820" t="inlineStr">
        <is>
          <t>2026-02-27 20:47</t>
        </is>
      </c>
      <c r="L820" t="inlineStr">
        <is>
          <t>CHECK_VENDOR</t>
        </is>
      </c>
      <c r="M820" t="inlineStr">
        <is>
          <t>See CVE details</t>
        </is>
      </c>
      <c r="N820" t="inlineStr">
        <is>
          <t>P3</t>
        </is>
      </c>
      <c r="O820" t="inlineStr">
        <is>
          <t>CVE - IP enrichment n/a</t>
        </is>
      </c>
      <c r="P820" t="n">
        <v>0.0005</v>
      </c>
      <c r="Q820" t="n">
        <v>0.1536</v>
      </c>
      <c r="R820" t="inlineStr">
        <is>
          <t>T1190:Exploit Public-Facing Application | T1552:Unsecured Credentials</t>
        </is>
      </c>
      <c r="S820" t="n">
        <v>1</v>
      </c>
      <c r="T820" t="inlineStr">
        <is>
          <t>LOW (40%)</t>
        </is>
      </c>
      <c r="U820" t="inlineStr">
        <is>
          <t>UNLIKELY</t>
        </is>
      </c>
      <c r="V820" t="inlineStr">
        <is>
          <t>CHECK_VENDOR</t>
        </is>
      </c>
      <c r="W820" t="inlineStr">
        <is>
          <t>https://nvd.nist.gov/vuln/detail/CVE-2026-27465</t>
        </is>
      </c>
      <c r="X820" t="inlineStr">
        <is>
          <t>NONE</t>
        </is>
      </c>
      <c r="Y820" t="n">
        <v>0</v>
      </c>
      <c r="Z820" t="inlineStr"/>
      <c r="AA820" t="inlineStr">
        <is>
          <t>https://nvd.nist.gov/vuln/detail/CVE-2026-27465</t>
        </is>
      </c>
    </row>
    <row r="821">
      <c r="A821" t="inlineStr">
        <is>
          <t>CVE</t>
        </is>
      </c>
      <c r="B821" t="inlineStr">
        <is>
          <t>CVE-2026-27963</t>
        </is>
      </c>
      <c r="C821"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821" t="n">
        <v>4.8</v>
      </c>
      <c r="E821" t="inlineStr">
        <is>
          <t>MEDIUM</t>
        </is>
      </c>
      <c r="F821" t="n">
        <v>2</v>
      </c>
      <c r="G821" t="n">
        <v>2</v>
      </c>
      <c r="H821" t="inlineStr">
        <is>
          <t>MEDIUM</t>
        </is>
      </c>
      <c r="I821" t="n">
        <v>8.800000000000001</v>
      </c>
      <c r="J821" t="inlineStr">
        <is>
          <t>NO</t>
        </is>
      </c>
      <c r="K821" t="inlineStr">
        <is>
          <t>2026-02-27 20:47</t>
        </is>
      </c>
      <c r="L821" t="inlineStr">
        <is>
          <t>YES</t>
        </is>
      </c>
      <c r="M821" t="inlineStr">
        <is>
          <t>audiobookshelf audiobookshelf *</t>
        </is>
      </c>
      <c r="N821" t="inlineStr">
        <is>
          <t>P4</t>
        </is>
      </c>
      <c r="O821" t="inlineStr">
        <is>
          <t>CVE - IP enrichment n/a</t>
        </is>
      </c>
      <c r="P821" t="n">
        <v>0.0003</v>
      </c>
      <c r="Q821" t="n">
        <v>0.09429999999999999</v>
      </c>
      <c r="R821" t="inlineStr">
        <is>
          <t>T1189:Drive-by Compromise | T1041:Exfiltration Over C2 Channel</t>
        </is>
      </c>
      <c r="S821" t="n">
        <v>1</v>
      </c>
      <c r="T821" t="inlineStr">
        <is>
          <t>LOW (40%)</t>
        </is>
      </c>
      <c r="U821" t="inlineStr">
        <is>
          <t>UNLIKELY</t>
        </is>
      </c>
      <c r="V821" t="inlineStr">
        <is>
          <t>PATCH_AVAILABLE</t>
        </is>
      </c>
      <c r="W821" t="inlineStr">
        <is>
          <t>https://nvd.nist.gov/vuln/detail/CVE-2026-27963</t>
        </is>
      </c>
      <c r="X821" t="inlineStr">
        <is>
          <t>NONE</t>
        </is>
      </c>
      <c r="Y821" t="n">
        <v>0</v>
      </c>
      <c r="Z821" t="inlineStr"/>
      <c r="AA821" t="inlineStr">
        <is>
          <t>https://nvd.nist.gov/vuln/detail/CVE-2026-27963</t>
        </is>
      </c>
    </row>
    <row r="822">
      <c r="A822" t="inlineStr">
        <is>
          <t>CVE</t>
        </is>
      </c>
      <c r="B822" t="inlineStr">
        <is>
          <t>CVE-2026-27974</t>
        </is>
      </c>
      <c r="C822"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822" t="n">
        <v>4.8</v>
      </c>
      <c r="E822" t="inlineStr">
        <is>
          <t>MEDIUM</t>
        </is>
      </c>
      <c r="F822" t="n">
        <v>2</v>
      </c>
      <c r="G822" t="n">
        <v>2</v>
      </c>
      <c r="H822" t="inlineStr">
        <is>
          <t>MEDIUM</t>
        </is>
      </c>
      <c r="I822" t="n">
        <v>8.800000000000001</v>
      </c>
      <c r="J822" t="inlineStr">
        <is>
          <t>NO</t>
        </is>
      </c>
      <c r="K822" t="inlineStr">
        <is>
          <t>2026-02-27 20:47</t>
        </is>
      </c>
      <c r="L822" t="inlineStr">
        <is>
          <t>CHECK_VENDOR</t>
        </is>
      </c>
      <c r="M822" t="inlineStr">
        <is>
          <t>See CVE details</t>
        </is>
      </c>
      <c r="N822" t="inlineStr">
        <is>
          <t>P4</t>
        </is>
      </c>
      <c r="O822" t="inlineStr">
        <is>
          <t>CVE - IP enrichment n/a</t>
        </is>
      </c>
      <c r="P822" t="n">
        <v>0.0004</v>
      </c>
      <c r="Q822" t="n">
        <v>0.1185</v>
      </c>
      <c r="R822" t="inlineStr">
        <is>
          <t>T1189:Drive-by Compromise | T1041:Exfiltration Over C2 Channel</t>
        </is>
      </c>
      <c r="S822" t="n">
        <v>1</v>
      </c>
      <c r="T822" t="inlineStr">
        <is>
          <t>LOW (40%)</t>
        </is>
      </c>
      <c r="U822" t="inlineStr">
        <is>
          <t>UNLIKELY</t>
        </is>
      </c>
      <c r="V822" t="inlineStr">
        <is>
          <t>CHECK_VENDOR</t>
        </is>
      </c>
      <c r="W822" t="inlineStr">
        <is>
          <t>https://nvd.nist.gov/vuln/detail/CVE-2026-27974</t>
        </is>
      </c>
      <c r="X822" t="inlineStr">
        <is>
          <t>NONE</t>
        </is>
      </c>
      <c r="Y822" t="n">
        <v>0</v>
      </c>
      <c r="Z822" t="inlineStr"/>
      <c r="AA822" t="inlineStr">
        <is>
          <t>https://nvd.nist.gov/vuln/detail/CVE-2026-27974</t>
        </is>
      </c>
    </row>
    <row r="823">
      <c r="A823" t="inlineStr">
        <is>
          <t>CVE</t>
        </is>
      </c>
      <c r="B823" t="inlineStr">
        <is>
          <t>CVE-2026-27975</t>
        </is>
      </c>
      <c r="C823" t="inlineStr">
        <is>
          <t>Ajenti is a Linux and BSD modular server admin panel. Prior to version 2.2.13, an unauthenticated user could gain access to a server to execute arbitrary code on this server. This is fixed in the version 2.2.13.</t>
        </is>
      </c>
      <c r="D823" t="n">
        <v>8.5</v>
      </c>
      <c r="E823" t="inlineStr">
        <is>
          <t>HIGH</t>
        </is>
      </c>
      <c r="F823" t="n">
        <v>2</v>
      </c>
      <c r="G823" t="n">
        <v>3</v>
      </c>
      <c r="H823" t="inlineStr">
        <is>
          <t>HIGH</t>
        </is>
      </c>
      <c r="I823" t="n">
        <v>14.5</v>
      </c>
      <c r="J823" t="inlineStr">
        <is>
          <t>NO</t>
        </is>
      </c>
      <c r="K823" t="inlineStr">
        <is>
          <t>2026-02-27 20:47</t>
        </is>
      </c>
      <c r="L823" t="inlineStr">
        <is>
          <t>CHECK_VENDOR</t>
        </is>
      </c>
      <c r="M823" t="inlineStr">
        <is>
          <t>See CVE details</t>
        </is>
      </c>
      <c r="N823" t="inlineStr">
        <is>
          <t>P3</t>
        </is>
      </c>
      <c r="O823" t="inlineStr">
        <is>
          <t>CVE - IP enrichment n/a</t>
        </is>
      </c>
      <c r="P823" t="n">
        <v>0.0008</v>
      </c>
      <c r="Q823" t="n">
        <v>0.2388</v>
      </c>
      <c r="R823" t="inlineStr">
        <is>
          <t>T1203:Exploitation for Client Execution</t>
        </is>
      </c>
      <c r="S823" t="n">
        <v>1</v>
      </c>
      <c r="T823" t="inlineStr">
        <is>
          <t>LOW (40%)</t>
        </is>
      </c>
      <c r="U823" t="inlineStr">
        <is>
          <t>UNLIKELY</t>
        </is>
      </c>
      <c r="V823" t="inlineStr">
        <is>
          <t>CHECK_VENDOR</t>
        </is>
      </c>
      <c r="W823" t="inlineStr">
        <is>
          <t>https://nvd.nist.gov/vuln/detail/CVE-2026-27975</t>
        </is>
      </c>
      <c r="X823" t="inlineStr">
        <is>
          <t>NONE</t>
        </is>
      </c>
      <c r="Y823" t="n">
        <v>0</v>
      </c>
      <c r="Z823" t="inlineStr"/>
      <c r="AA823" t="inlineStr">
        <is>
          <t>https://nvd.nist.gov/vuln/detail/CVE-2026-27975</t>
        </is>
      </c>
    </row>
    <row r="824">
      <c r="A824" t="inlineStr">
        <is>
          <t>CVE</t>
        </is>
      </c>
      <c r="B824" t="inlineStr">
        <is>
          <t>CVE-2026-2356</t>
        </is>
      </c>
      <c r="C824"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824" t="n">
        <v>5.3</v>
      </c>
      <c r="E824" t="inlineStr">
        <is>
          <t>MEDIUM</t>
        </is>
      </c>
      <c r="F824" t="n">
        <v>2</v>
      </c>
      <c r="G824" t="n">
        <v>2</v>
      </c>
      <c r="H824" t="inlineStr">
        <is>
          <t>MEDIUM</t>
        </is>
      </c>
      <c r="I824" t="n">
        <v>9.300000000000001</v>
      </c>
      <c r="J824" t="inlineStr">
        <is>
          <t>NO</t>
        </is>
      </c>
      <c r="K824" t="inlineStr">
        <is>
          <t>2026-02-27 20:47</t>
        </is>
      </c>
      <c r="L824" t="inlineStr">
        <is>
          <t>CHECK_VENDOR</t>
        </is>
      </c>
      <c r="M824" t="inlineStr">
        <is>
          <t>See CVE details</t>
        </is>
      </c>
      <c r="N824" t="inlineStr">
        <is>
          <t>P4</t>
        </is>
      </c>
      <c r="O824" t="inlineStr">
        <is>
          <t>CVE - IP enrichment n/a</t>
        </is>
      </c>
      <c r="P824" t="n">
        <v>0.0003</v>
      </c>
      <c r="Q824" t="n">
        <v>0.0757</v>
      </c>
      <c r="R824" t="inlineStr">
        <is>
          <t>T1190:Exploit Public-Facing Application</t>
        </is>
      </c>
      <c r="S824" t="n">
        <v>1</v>
      </c>
      <c r="T824" t="inlineStr">
        <is>
          <t>LOW (40%)</t>
        </is>
      </c>
      <c r="U824" t="inlineStr">
        <is>
          <t>UNLIKELY</t>
        </is>
      </c>
      <c r="V824" t="inlineStr">
        <is>
          <t>CHECK_VENDOR</t>
        </is>
      </c>
      <c r="W824" t="inlineStr">
        <is>
          <t>https://nvd.nist.gov/vuln/detail/CVE-2026-2356</t>
        </is>
      </c>
      <c r="X824" t="inlineStr">
        <is>
          <t>NONE</t>
        </is>
      </c>
      <c r="Y824" t="n">
        <v>0</v>
      </c>
      <c r="Z824" t="inlineStr"/>
      <c r="AA824" t="inlineStr">
        <is>
          <t>https://nvd.nist.gov/vuln/detail/CVE-2026-2356</t>
        </is>
      </c>
    </row>
    <row r="825">
      <c r="A825" t="inlineStr">
        <is>
          <t>CVE</t>
        </is>
      </c>
      <c r="B825" t="inlineStr">
        <is>
          <t>CVE-2026-1311</t>
        </is>
      </c>
      <c r="C825"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825" t="n">
        <v>8.800000000000001</v>
      </c>
      <c r="E825" t="inlineStr">
        <is>
          <t>HIGH</t>
        </is>
      </c>
      <c r="F825" t="n">
        <v>2</v>
      </c>
      <c r="G825" t="n">
        <v>3</v>
      </c>
      <c r="H825" t="inlineStr">
        <is>
          <t>HIGH</t>
        </is>
      </c>
      <c r="I825" t="n">
        <v>14.8</v>
      </c>
      <c r="J825" t="inlineStr">
        <is>
          <t>NO</t>
        </is>
      </c>
      <c r="K825" t="inlineStr">
        <is>
          <t>2026-02-27 20:47</t>
        </is>
      </c>
      <c r="L825" t="inlineStr">
        <is>
          <t>CHECK_VENDOR</t>
        </is>
      </c>
      <c r="M825" t="inlineStr">
        <is>
          <t>See CVE details</t>
        </is>
      </c>
      <c r="N825" t="inlineStr">
        <is>
          <t>P3</t>
        </is>
      </c>
      <c r="O825" t="inlineStr">
        <is>
          <t>CVE - IP enrichment n/a</t>
        </is>
      </c>
      <c r="P825" t="n">
        <v>0.0023</v>
      </c>
      <c r="Q825" t="n">
        <v>0.4525</v>
      </c>
      <c r="R825" t="inlineStr">
        <is>
          <t>T1083:File and Directory Discovery | T1190:Exploit Public-Facing Application | T1210:Exploitation of Remote Services</t>
        </is>
      </c>
      <c r="S825" t="n">
        <v>1</v>
      </c>
      <c r="T825" t="inlineStr">
        <is>
          <t>LOW (40%)</t>
        </is>
      </c>
      <c r="U825" t="inlineStr">
        <is>
          <t>UNLIKELY</t>
        </is>
      </c>
      <c r="V825" t="inlineStr">
        <is>
          <t>CHECK_VENDOR</t>
        </is>
      </c>
      <c r="W825" t="inlineStr">
        <is>
          <t>https://nvd.nist.gov/vuln/detail/CVE-2026-1311</t>
        </is>
      </c>
      <c r="X825" t="inlineStr">
        <is>
          <t>NONE</t>
        </is>
      </c>
      <c r="Y825" t="n">
        <v>0</v>
      </c>
      <c r="Z825" t="inlineStr"/>
      <c r="AA825" t="inlineStr">
        <is>
          <t>https://nvd.nist.gov/vuln/detail/CVE-2026-1311</t>
        </is>
      </c>
    </row>
    <row r="826">
      <c r="A826" t="inlineStr">
        <is>
          <t>CVE</t>
        </is>
      </c>
      <c r="B826" t="inlineStr">
        <is>
          <t>CVE-2026-23703</t>
        </is>
      </c>
      <c r="C826" t="inlineStr">
        <is>
          <t>The installer of FinalCode Client provided by Digital Arts Inc. contains an incorrect default permissions vulnerability. A non-administrative user may execute arbitrary code with SYSTEM privilege.</t>
        </is>
      </c>
      <c r="D826" t="n">
        <v>7.8</v>
      </c>
      <c r="E826" t="inlineStr">
        <is>
          <t>HIGH</t>
        </is>
      </c>
      <c r="F826" t="n">
        <v>2</v>
      </c>
      <c r="G826" t="n">
        <v>3</v>
      </c>
      <c r="H826" t="inlineStr">
        <is>
          <t>HIGH</t>
        </is>
      </c>
      <c r="I826" t="n">
        <v>13.8</v>
      </c>
      <c r="J826" t="inlineStr">
        <is>
          <t>NO</t>
        </is>
      </c>
      <c r="K826" t="inlineStr">
        <is>
          <t>2026-02-27 20:47</t>
        </is>
      </c>
      <c r="L826" t="inlineStr">
        <is>
          <t>CHECK_VENDOR</t>
        </is>
      </c>
      <c r="M826" t="inlineStr">
        <is>
          <t>See CVE details</t>
        </is>
      </c>
      <c r="N826" t="inlineStr">
        <is>
          <t>P3</t>
        </is>
      </c>
      <c r="O826" t="inlineStr">
        <is>
          <t>CVE - IP enrichment n/a</t>
        </is>
      </c>
      <c r="P826" t="n">
        <v>0.0001</v>
      </c>
      <c r="Q826" t="n">
        <v>0.0142</v>
      </c>
      <c r="R826" t="inlineStr">
        <is>
          <t>T1222:File and Directory Permissions Modification | T1203:Exploitation for Client Execution</t>
        </is>
      </c>
      <c r="S826" t="n">
        <v>1</v>
      </c>
      <c r="T826" t="inlineStr">
        <is>
          <t>LOW (40%)</t>
        </is>
      </c>
      <c r="U826" t="inlineStr">
        <is>
          <t>UNLIKELY</t>
        </is>
      </c>
      <c r="V826" t="inlineStr">
        <is>
          <t>CHECK_VENDOR</t>
        </is>
      </c>
      <c r="W826" t="inlineStr">
        <is>
          <t>https://nvd.nist.gov/vuln/detail/CVE-2026-23703</t>
        </is>
      </c>
      <c r="X826" t="inlineStr">
        <is>
          <t>NONE</t>
        </is>
      </c>
      <c r="Y826" t="n">
        <v>0</v>
      </c>
      <c r="Z826" t="inlineStr"/>
      <c r="AA826" t="inlineStr">
        <is>
          <t>https://nvd.nist.gov/vuln/detail/CVE-2026-23703</t>
        </is>
      </c>
    </row>
    <row r="827">
      <c r="A827" t="inlineStr">
        <is>
          <t>CVE</t>
        </is>
      </c>
      <c r="B827" t="inlineStr">
        <is>
          <t>CVE-2026-25191</t>
        </is>
      </c>
      <c r="C827"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827" t="n">
        <v>7.8</v>
      </c>
      <c r="E827" t="inlineStr">
        <is>
          <t>HIGH</t>
        </is>
      </c>
      <c r="F827" t="n">
        <v>2</v>
      </c>
      <c r="G827" t="n">
        <v>3</v>
      </c>
      <c r="H827" t="inlineStr">
        <is>
          <t>HIGH</t>
        </is>
      </c>
      <c r="I827" t="n">
        <v>13.8</v>
      </c>
      <c r="J827" t="inlineStr">
        <is>
          <t>NO</t>
        </is>
      </c>
      <c r="K827" t="inlineStr">
        <is>
          <t>2026-02-27 20:47</t>
        </is>
      </c>
      <c r="L827" t="inlineStr">
        <is>
          <t>CHECK_VENDOR</t>
        </is>
      </c>
      <c r="M827" t="inlineStr">
        <is>
          <t>See CVE details</t>
        </is>
      </c>
      <c r="N827" t="inlineStr">
        <is>
          <t>P3</t>
        </is>
      </c>
      <c r="O827" t="inlineStr">
        <is>
          <t>CVE - IP enrichment n/a</t>
        </is>
      </c>
      <c r="P827" t="n">
        <v>0.0002</v>
      </c>
      <c r="Q827" t="n">
        <v>0.0316</v>
      </c>
      <c r="R827" t="inlineStr">
        <is>
          <t>T1203:Exploitation for Client Execution</t>
        </is>
      </c>
      <c r="S827" t="n">
        <v>1</v>
      </c>
      <c r="T827" t="inlineStr">
        <is>
          <t>LOW (40%)</t>
        </is>
      </c>
      <c r="U827" t="inlineStr">
        <is>
          <t>UNLIKELY</t>
        </is>
      </c>
      <c r="V827" t="inlineStr">
        <is>
          <t>CHECK_VENDOR</t>
        </is>
      </c>
      <c r="W827" t="inlineStr">
        <is>
          <t>https://nvd.nist.gov/vuln/detail/CVE-2026-25191</t>
        </is>
      </c>
      <c r="X827" t="inlineStr">
        <is>
          <t>NONE</t>
        </is>
      </c>
      <c r="Y827" t="n">
        <v>0</v>
      </c>
      <c r="Z827" t="inlineStr"/>
      <c r="AA827" t="inlineStr">
        <is>
          <t>https://nvd.nist.gov/vuln/detail/CVE-2026-25191</t>
        </is>
      </c>
    </row>
    <row r="828">
      <c r="A828" t="inlineStr">
        <is>
          <t>CVE</t>
        </is>
      </c>
      <c r="B828" t="inlineStr">
        <is>
          <t>CVE-2026-1692</t>
        </is>
      </c>
      <c r="C828"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828" t="n">
        <v>5</v>
      </c>
      <c r="E828" t="inlineStr">
        <is>
          <t>MEDIUM</t>
        </is>
      </c>
      <c r="F828" t="n">
        <v>2</v>
      </c>
      <c r="G828" t="n">
        <v>2</v>
      </c>
      <c r="H828" t="inlineStr">
        <is>
          <t>MEDIUM</t>
        </is>
      </c>
      <c r="I828" t="n">
        <v>9</v>
      </c>
      <c r="J828" t="inlineStr">
        <is>
          <t>NO</t>
        </is>
      </c>
      <c r="K828" t="inlineStr">
        <is>
          <t>2026-02-27 20:47</t>
        </is>
      </c>
      <c r="L828" t="inlineStr">
        <is>
          <t>CHECK_VENDOR</t>
        </is>
      </c>
      <c r="M828" t="inlineStr">
        <is>
          <t>See CVE details</t>
        </is>
      </c>
      <c r="N828" t="inlineStr">
        <is>
          <t>P4</t>
        </is>
      </c>
      <c r="O828" t="inlineStr">
        <is>
          <t>CVE - IP enrichment n/a</t>
        </is>
      </c>
      <c r="P828" t="n">
        <v>0.0004</v>
      </c>
      <c r="Q828" t="n">
        <v>0.1363</v>
      </c>
      <c r="R828" t="inlineStr">
        <is>
          <t>T1190:Exploit Public-Facing Application</t>
        </is>
      </c>
      <c r="S828" t="n">
        <v>1</v>
      </c>
      <c r="T828" t="inlineStr">
        <is>
          <t>LOW (40%)</t>
        </is>
      </c>
      <c r="U828" t="inlineStr">
        <is>
          <t>UNLIKELY</t>
        </is>
      </c>
      <c r="V828" t="inlineStr">
        <is>
          <t>CHECK_VENDOR</t>
        </is>
      </c>
      <c r="W828" t="inlineStr">
        <is>
          <t>https://nvd.nist.gov/vuln/detail/CVE-2026-1692</t>
        </is>
      </c>
      <c r="X828" t="inlineStr">
        <is>
          <t>NONE</t>
        </is>
      </c>
      <c r="Y828" t="n">
        <v>0</v>
      </c>
      <c r="Z828" t="inlineStr"/>
      <c r="AA828" t="inlineStr">
        <is>
          <t>https://nvd.nist.gov/vuln/detail/CVE-2026-1692</t>
        </is>
      </c>
    </row>
    <row r="829">
      <c r="A829" t="inlineStr">
        <is>
          <t>CVE</t>
        </is>
      </c>
      <c r="B829" t="inlineStr">
        <is>
          <t>CVE-2026-1693</t>
        </is>
      </c>
      <c r="C829"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829" t="n">
        <v>8.5</v>
      </c>
      <c r="E829" t="inlineStr">
        <is>
          <t>HIGH</t>
        </is>
      </c>
      <c r="F829" t="n">
        <v>2</v>
      </c>
      <c r="G829" t="n">
        <v>3</v>
      </c>
      <c r="H829" t="inlineStr">
        <is>
          <t>HIGH</t>
        </is>
      </c>
      <c r="I829" t="n">
        <v>14.5</v>
      </c>
      <c r="J829" t="inlineStr">
        <is>
          <t>NO</t>
        </is>
      </c>
      <c r="K829" t="inlineStr">
        <is>
          <t>2026-02-27 20:47</t>
        </is>
      </c>
      <c r="L829" t="inlineStr">
        <is>
          <t>CHECK_VENDOR</t>
        </is>
      </c>
      <c r="M829" t="inlineStr">
        <is>
          <t>See CVE details</t>
        </is>
      </c>
      <c r="N829" t="inlineStr">
        <is>
          <t>P3</t>
        </is>
      </c>
      <c r="O829" t="inlineStr">
        <is>
          <t>CVE - IP enrichment n/a</t>
        </is>
      </c>
      <c r="P829" t="n">
        <v>0.0014</v>
      </c>
      <c r="Q829" t="n">
        <v>0.3357</v>
      </c>
      <c r="R829" t="inlineStr">
        <is>
          <t>T1190:Exploit Public-Facing Application | T1552:Unsecured Credentials</t>
        </is>
      </c>
      <c r="S829" t="n">
        <v>1</v>
      </c>
      <c r="T829" t="inlineStr">
        <is>
          <t>LOW (40%)</t>
        </is>
      </c>
      <c r="U829" t="inlineStr">
        <is>
          <t>UNLIKELY</t>
        </is>
      </c>
      <c r="V829" t="inlineStr">
        <is>
          <t>CHECK_VENDOR</t>
        </is>
      </c>
      <c r="W829" t="inlineStr">
        <is>
          <t>https://nvd.nist.gov/vuln/detail/CVE-2026-1693</t>
        </is>
      </c>
      <c r="X829" t="inlineStr">
        <is>
          <t>NONE</t>
        </is>
      </c>
      <c r="Y829" t="n">
        <v>0</v>
      </c>
      <c r="Z829" t="inlineStr"/>
      <c r="AA829" t="inlineStr">
        <is>
          <t>https://nvd.nist.gov/vuln/detail/CVE-2026-1693</t>
        </is>
      </c>
    </row>
    <row r="830">
      <c r="A830" t="inlineStr">
        <is>
          <t>CVE</t>
        </is>
      </c>
      <c r="B830" t="inlineStr">
        <is>
          <t>CVE-2026-1694</t>
        </is>
      </c>
      <c r="C830"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830" t="n">
        <v>5</v>
      </c>
      <c r="E830" t="inlineStr">
        <is>
          <t>MEDIUM</t>
        </is>
      </c>
      <c r="F830" t="n">
        <v>2</v>
      </c>
      <c r="G830" t="n">
        <v>2</v>
      </c>
      <c r="H830" t="inlineStr">
        <is>
          <t>MEDIUM</t>
        </is>
      </c>
      <c r="I830" t="n">
        <v>9</v>
      </c>
      <c r="J830" t="inlineStr">
        <is>
          <t>NO</t>
        </is>
      </c>
      <c r="K830" t="inlineStr">
        <is>
          <t>2026-02-27 20:47</t>
        </is>
      </c>
      <c r="L830" t="inlineStr">
        <is>
          <t>CHECK_VENDOR</t>
        </is>
      </c>
      <c r="M830" t="inlineStr">
        <is>
          <t>See CVE details</t>
        </is>
      </c>
      <c r="N830" t="inlineStr">
        <is>
          <t>P4</t>
        </is>
      </c>
      <c r="O830" t="inlineStr">
        <is>
          <t>CVE - IP enrichment n/a</t>
        </is>
      </c>
      <c r="P830" t="n">
        <v>0.0004</v>
      </c>
      <c r="Q830" t="n">
        <v>0.1273</v>
      </c>
      <c r="R830" t="inlineStr">
        <is>
          <t>T1190:Exploit Public-Facing Application</t>
        </is>
      </c>
      <c r="S830" t="n">
        <v>1</v>
      </c>
      <c r="T830" t="inlineStr">
        <is>
          <t>LOW (40%)</t>
        </is>
      </c>
      <c r="U830" t="inlineStr">
        <is>
          <t>UNLIKELY</t>
        </is>
      </c>
      <c r="V830" t="inlineStr">
        <is>
          <t>CHECK_VENDOR</t>
        </is>
      </c>
      <c r="W830" t="inlineStr">
        <is>
          <t>https://nvd.nist.gov/vuln/detail/CVE-2026-1694</t>
        </is>
      </c>
      <c r="X830" t="inlineStr">
        <is>
          <t>NONE</t>
        </is>
      </c>
      <c r="Y830" t="n">
        <v>0</v>
      </c>
      <c r="Z830" t="inlineStr"/>
      <c r="AA830" t="inlineStr">
        <is>
          <t>https://nvd.nist.gov/vuln/detail/CVE-2026-1694</t>
        </is>
      </c>
    </row>
    <row r="831">
      <c r="A831" t="inlineStr">
        <is>
          <t>CVE</t>
        </is>
      </c>
      <c r="B831" t="inlineStr">
        <is>
          <t>CVE-2026-1695</t>
        </is>
      </c>
      <c r="C831"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831" t="n">
        <v>5</v>
      </c>
      <c r="E831" t="inlineStr">
        <is>
          <t>MEDIUM</t>
        </is>
      </c>
      <c r="F831" t="n">
        <v>2</v>
      </c>
      <c r="G831" t="n">
        <v>2</v>
      </c>
      <c r="H831" t="inlineStr">
        <is>
          <t>MEDIUM</t>
        </is>
      </c>
      <c r="I831" t="n">
        <v>9</v>
      </c>
      <c r="J831" t="inlineStr">
        <is>
          <t>NO</t>
        </is>
      </c>
      <c r="K831" t="inlineStr">
        <is>
          <t>2026-02-27 20:47</t>
        </is>
      </c>
      <c r="L831" t="inlineStr">
        <is>
          <t>CHECK_VENDOR</t>
        </is>
      </c>
      <c r="M831" t="inlineStr">
        <is>
          <t>See CVE details</t>
        </is>
      </c>
      <c r="N831" t="inlineStr">
        <is>
          <t>P4</t>
        </is>
      </c>
      <c r="O831" t="inlineStr">
        <is>
          <t>CVE - IP enrichment n/a</t>
        </is>
      </c>
      <c r="P831" t="n">
        <v>0.0021</v>
      </c>
      <c r="Q831" t="n">
        <v>0.4374</v>
      </c>
      <c r="R831" t="inlineStr">
        <is>
          <t>T1189:Drive-by Compromise</t>
        </is>
      </c>
      <c r="S831" t="n">
        <v>1</v>
      </c>
      <c r="T831" t="inlineStr">
        <is>
          <t>LOW (40%)</t>
        </is>
      </c>
      <c r="U831" t="inlineStr">
        <is>
          <t>UNLIKELY</t>
        </is>
      </c>
      <c r="V831" t="inlineStr">
        <is>
          <t>CHECK_VENDOR</t>
        </is>
      </c>
      <c r="W831" t="inlineStr">
        <is>
          <t>https://nvd.nist.gov/vuln/detail/CVE-2026-1695</t>
        </is>
      </c>
      <c r="X831" t="inlineStr">
        <is>
          <t>NONE</t>
        </is>
      </c>
      <c r="Y831" t="n">
        <v>0</v>
      </c>
      <c r="Z831" t="inlineStr"/>
      <c r="AA831" t="inlineStr">
        <is>
          <t>https://nvd.nist.gov/vuln/detail/CVE-2026-1695</t>
        </is>
      </c>
    </row>
    <row r="832">
      <c r="A832" t="inlineStr">
        <is>
          <t>CVE</t>
        </is>
      </c>
      <c r="B832" t="inlineStr">
        <is>
          <t>CVE-2026-1696</t>
        </is>
      </c>
      <c r="C832" t="inlineStr">
        <is>
          <t>Some HTTP security headers are not properly set by the web server when sending responses to the client application.</t>
        </is>
      </c>
      <c r="D832" t="n">
        <v>5</v>
      </c>
      <c r="E832" t="inlineStr">
        <is>
          <t>MEDIUM</t>
        </is>
      </c>
      <c r="F832" t="n">
        <v>2</v>
      </c>
      <c r="G832" t="n">
        <v>2</v>
      </c>
      <c r="H832" t="inlineStr">
        <is>
          <t>MEDIUM</t>
        </is>
      </c>
      <c r="I832" t="n">
        <v>9</v>
      </c>
      <c r="J832" t="inlineStr">
        <is>
          <t>NO</t>
        </is>
      </c>
      <c r="K832" t="inlineStr">
        <is>
          <t>2026-02-27 20:47</t>
        </is>
      </c>
      <c r="L832" t="inlineStr">
        <is>
          <t>CHECK_VENDOR</t>
        </is>
      </c>
      <c r="M832" t="inlineStr">
        <is>
          <t>See CVE details</t>
        </is>
      </c>
      <c r="N832" t="inlineStr">
        <is>
          <t>P4</t>
        </is>
      </c>
      <c r="O832" t="inlineStr">
        <is>
          <t>CVE - IP enrichment n/a</t>
        </is>
      </c>
      <c r="P832" t="n">
        <v>0.0005</v>
      </c>
      <c r="Q832" t="n">
        <v>0.1447</v>
      </c>
      <c r="R832" t="inlineStr">
        <is>
          <t>T1189:Drive-by Compromise</t>
        </is>
      </c>
      <c r="S832" t="n">
        <v>1</v>
      </c>
      <c r="T832" t="inlineStr">
        <is>
          <t>LOW (40%)</t>
        </is>
      </c>
      <c r="U832" t="inlineStr">
        <is>
          <t>UNLIKELY</t>
        </is>
      </c>
      <c r="V832" t="inlineStr">
        <is>
          <t>CHECK_VENDOR</t>
        </is>
      </c>
      <c r="W832" t="inlineStr">
        <is>
          <t>https://nvd.nist.gov/vuln/detail/CVE-2026-1696</t>
        </is>
      </c>
      <c r="X832" t="inlineStr">
        <is>
          <t>NONE</t>
        </is>
      </c>
      <c r="Y832" t="n">
        <v>0</v>
      </c>
      <c r="Z832" t="inlineStr"/>
      <c r="AA832" t="inlineStr">
        <is>
          <t>https://nvd.nist.gov/vuln/detail/CVE-2026-1696</t>
        </is>
      </c>
    </row>
    <row r="833">
      <c r="A833" t="inlineStr">
        <is>
          <t>CVE</t>
        </is>
      </c>
      <c r="B833" t="inlineStr">
        <is>
          <t>CVE-2026-1697</t>
        </is>
      </c>
      <c r="C833" t="inlineStr">
        <is>
          <t>The Secure and SameSite attribute are missing in the GraphicalData web services and WebClient web app of PcVue in version 12.0.0 through 16.3.3 included.</t>
        </is>
      </c>
      <c r="D833" t="n">
        <v>5</v>
      </c>
      <c r="E833" t="inlineStr">
        <is>
          <t>MEDIUM</t>
        </is>
      </c>
      <c r="F833" t="n">
        <v>2</v>
      </c>
      <c r="G833" t="n">
        <v>2</v>
      </c>
      <c r="H833" t="inlineStr">
        <is>
          <t>MEDIUM</t>
        </is>
      </c>
      <c r="I833" t="n">
        <v>9</v>
      </c>
      <c r="J833" t="inlineStr">
        <is>
          <t>NO</t>
        </is>
      </c>
      <c r="K833" t="inlineStr">
        <is>
          <t>2026-02-27 20:47</t>
        </is>
      </c>
      <c r="L833" t="inlineStr">
        <is>
          <t>CHECK_VENDOR</t>
        </is>
      </c>
      <c r="M833" t="inlineStr">
        <is>
          <t>See CVE details</t>
        </is>
      </c>
      <c r="N833" t="inlineStr">
        <is>
          <t>P4</t>
        </is>
      </c>
      <c r="O833" t="inlineStr">
        <is>
          <t>CVE - IP enrichment n/a</t>
        </is>
      </c>
      <c r="P833" t="n">
        <v>0.0003</v>
      </c>
      <c r="Q833" t="n">
        <v>0.0776</v>
      </c>
      <c r="R833" t="inlineStr">
        <is>
          <t>T1190:Exploit Public-Facing Application</t>
        </is>
      </c>
      <c r="S833" t="n">
        <v>1</v>
      </c>
      <c r="T833" t="inlineStr">
        <is>
          <t>LOW (40%)</t>
        </is>
      </c>
      <c r="U833" t="inlineStr">
        <is>
          <t>UNLIKELY</t>
        </is>
      </c>
      <c r="V833" t="inlineStr">
        <is>
          <t>CHECK_VENDOR</t>
        </is>
      </c>
      <c r="W833" t="inlineStr">
        <is>
          <t>https://nvd.nist.gov/vuln/detail/CVE-2026-1697</t>
        </is>
      </c>
      <c r="X833" t="inlineStr">
        <is>
          <t>NONE</t>
        </is>
      </c>
      <c r="Y833" t="n">
        <v>0</v>
      </c>
      <c r="Z833" t="inlineStr"/>
      <c r="AA833" t="inlineStr">
        <is>
          <t>https://nvd.nist.gov/vuln/detail/CVE-2026-1697</t>
        </is>
      </c>
    </row>
    <row r="834">
      <c r="A834" t="inlineStr">
        <is>
          <t>CVE</t>
        </is>
      </c>
      <c r="B834" t="inlineStr">
        <is>
          <t>CVE-2026-1698</t>
        </is>
      </c>
      <c r="C834"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834" t="n">
        <v>5</v>
      </c>
      <c r="E834" t="inlineStr">
        <is>
          <t>MEDIUM</t>
        </is>
      </c>
      <c r="F834" t="n">
        <v>2</v>
      </c>
      <c r="G834" t="n">
        <v>2</v>
      </c>
      <c r="H834" t="inlineStr">
        <is>
          <t>MEDIUM</t>
        </is>
      </c>
      <c r="I834" t="n">
        <v>9</v>
      </c>
      <c r="J834" t="inlineStr">
        <is>
          <t>NO</t>
        </is>
      </c>
      <c r="K834" t="inlineStr">
        <is>
          <t>2026-02-27 20:47</t>
        </is>
      </c>
      <c r="L834" t="inlineStr">
        <is>
          <t>CHECK_VENDOR</t>
        </is>
      </c>
      <c r="M834" t="inlineStr">
        <is>
          <t>See CVE details</t>
        </is>
      </c>
      <c r="N834" t="inlineStr">
        <is>
          <t>P4</t>
        </is>
      </c>
      <c r="O834" t="inlineStr">
        <is>
          <t>CVE - IP enrichment n/a</t>
        </is>
      </c>
      <c r="P834" t="n">
        <v>0.0021</v>
      </c>
      <c r="Q834" t="n">
        <v>0.4371</v>
      </c>
      <c r="R834" t="inlineStr">
        <is>
          <t>T1190:Exploit Public-Facing Application</t>
        </is>
      </c>
      <c r="S834" t="n">
        <v>1</v>
      </c>
      <c r="T834" t="inlineStr">
        <is>
          <t>LOW (40%)</t>
        </is>
      </c>
      <c r="U834" t="inlineStr">
        <is>
          <t>UNLIKELY</t>
        </is>
      </c>
      <c r="V834" t="inlineStr">
        <is>
          <t>CHECK_VENDOR</t>
        </is>
      </c>
      <c r="W834" t="inlineStr">
        <is>
          <t>https://nvd.nist.gov/vuln/detail/CVE-2026-1698</t>
        </is>
      </c>
      <c r="X834" t="inlineStr">
        <is>
          <t>NONE</t>
        </is>
      </c>
      <c r="Y834" t="n">
        <v>0</v>
      </c>
      <c r="Z834" t="inlineStr"/>
      <c r="AA834" t="inlineStr">
        <is>
          <t>https://nvd.nist.gov/vuln/detail/CVE-2026-1698</t>
        </is>
      </c>
    </row>
    <row r="835">
      <c r="A835" t="inlineStr">
        <is>
          <t>CVE</t>
        </is>
      </c>
      <c r="B835" t="inlineStr">
        <is>
          <t>CVE-2026-28083</t>
        </is>
      </c>
      <c r="C835" t="inlineStr">
        <is>
          <t>Improper Neutralization of Input During Web Page Generation ('Cross-site Scripting') vulnerability in UX-themes Flatsome flatsome allows Stored XSS.This issue affects Flatsome: from n/a through &lt;= 3.20.1.</t>
        </is>
      </c>
      <c r="D835" t="n">
        <v>6.5</v>
      </c>
      <c r="E835" t="inlineStr">
        <is>
          <t>MEDIUM</t>
        </is>
      </c>
      <c r="F835" t="n">
        <v>2</v>
      </c>
      <c r="G835" t="n">
        <v>2</v>
      </c>
      <c r="H835" t="inlineStr">
        <is>
          <t>MEDIUM</t>
        </is>
      </c>
      <c r="I835" t="n">
        <v>10.5</v>
      </c>
      <c r="J835" t="inlineStr">
        <is>
          <t>NO</t>
        </is>
      </c>
      <c r="K835" t="inlineStr">
        <is>
          <t>2026-02-27 20:47</t>
        </is>
      </c>
      <c r="L835" t="inlineStr">
        <is>
          <t>CHECK_VENDOR</t>
        </is>
      </c>
      <c r="M835" t="inlineStr">
        <is>
          <t>See CVE details</t>
        </is>
      </c>
      <c r="N835" t="inlineStr">
        <is>
          <t>P4</t>
        </is>
      </c>
      <c r="O835" t="inlineStr">
        <is>
          <t>CVE - IP enrichment n/a</t>
        </is>
      </c>
      <c r="P835" t="n">
        <v>0.0003</v>
      </c>
      <c r="Q835" t="n">
        <v>0.0939</v>
      </c>
      <c r="R835" t="inlineStr">
        <is>
          <t>T1189:Drive-by Compromise</t>
        </is>
      </c>
      <c r="S835" t="n">
        <v>1</v>
      </c>
      <c r="T835" t="inlineStr">
        <is>
          <t>LOW (40%)</t>
        </is>
      </c>
      <c r="U835" t="inlineStr">
        <is>
          <t>UNLIKELY</t>
        </is>
      </c>
      <c r="V835" t="inlineStr">
        <is>
          <t>CHECK_VENDOR</t>
        </is>
      </c>
      <c r="W835" t="inlineStr">
        <is>
          <t>https://nvd.nist.gov/vuln/detail/CVE-2026-28083</t>
        </is>
      </c>
      <c r="X835" t="inlineStr">
        <is>
          <t>NONE</t>
        </is>
      </c>
      <c r="Y835" t="n">
        <v>0</v>
      </c>
      <c r="Z835" t="inlineStr"/>
      <c r="AA835" t="inlineStr">
        <is>
          <t>https://nvd.nist.gov/vuln/detail/CVE-2026-28083</t>
        </is>
      </c>
    </row>
    <row r="836">
      <c r="A836" t="inlineStr">
        <is>
          <t>CVE</t>
        </is>
      </c>
      <c r="B836" t="inlineStr">
        <is>
          <t>CVE-2026-28131</t>
        </is>
      </c>
      <c r="C836" t="inlineStr">
        <is>
          <t>Insertion of Sensitive Information Into Sent Data vulnerability in WPVibes Elementor Addon Elements addon-elements-for-elementor-page-builder allows Retrieve Embedded Sensitive Data.This issue affects Elementor Addon Elements: from n/a through &lt;= 1.14.4.</t>
        </is>
      </c>
      <c r="D836" t="n">
        <v>6.5</v>
      </c>
      <c r="E836" t="inlineStr">
        <is>
          <t>MEDIUM</t>
        </is>
      </c>
      <c r="F836" t="n">
        <v>2</v>
      </c>
      <c r="G836" t="n">
        <v>2</v>
      </c>
      <c r="H836" t="inlineStr">
        <is>
          <t>MEDIUM</t>
        </is>
      </c>
      <c r="I836" t="n">
        <v>10.5</v>
      </c>
      <c r="J836" t="inlineStr">
        <is>
          <t>NO</t>
        </is>
      </c>
      <c r="K836" t="inlineStr">
        <is>
          <t>2026-02-27 20:47</t>
        </is>
      </c>
      <c r="L836" t="inlineStr">
        <is>
          <t>CHECK_VENDOR</t>
        </is>
      </c>
      <c r="M836" t="inlineStr">
        <is>
          <t>See CVE details</t>
        </is>
      </c>
      <c r="N836" t="inlineStr">
        <is>
          <t>P4</t>
        </is>
      </c>
      <c r="O836" t="inlineStr">
        <is>
          <t>CVE - IP enrichment n/a</t>
        </is>
      </c>
      <c r="P836" t="n">
        <v>0.0002</v>
      </c>
      <c r="Q836" t="n">
        <v>0.0449</v>
      </c>
      <c r="R836" t="inlineStr">
        <is>
          <t>T1190:Exploit Public-Facing Application</t>
        </is>
      </c>
      <c r="S836" t="n">
        <v>1</v>
      </c>
      <c r="T836" t="inlineStr">
        <is>
          <t>LOW (40%)</t>
        </is>
      </c>
      <c r="U836" t="inlineStr">
        <is>
          <t>UNLIKELY</t>
        </is>
      </c>
      <c r="V836" t="inlineStr">
        <is>
          <t>CHECK_VENDOR</t>
        </is>
      </c>
      <c r="W836" t="inlineStr">
        <is>
          <t>https://nvd.nist.gov/vuln/detail/CVE-2026-28131</t>
        </is>
      </c>
      <c r="X836" t="inlineStr">
        <is>
          <t>NONE</t>
        </is>
      </c>
      <c r="Y836" t="n">
        <v>0</v>
      </c>
      <c r="Z836" t="inlineStr"/>
      <c r="AA836" t="inlineStr">
        <is>
          <t>https://nvd.nist.gov/vuln/detail/CVE-2026-28131</t>
        </is>
      </c>
    </row>
    <row r="837">
      <c r="A837" t="inlineStr">
        <is>
          <t>CVE</t>
        </is>
      </c>
      <c r="B837" t="inlineStr">
        <is>
          <t>CVE-2026-28132</t>
        </is>
      </c>
      <c r="C837" t="inlineStr">
        <is>
          <t>Improper Neutralization of Script-Related HTML Tags in a Web Page (Basic XSS) vulnerability in villatheme WooCommerce Photo Reviews woocommerce-photo-reviews allows Code Injection.This issue affects WooCommerce Photo Reviews: from n/a through &lt;= 1.4.4.</t>
        </is>
      </c>
      <c r="D837" t="n">
        <v>5.3</v>
      </c>
      <c r="E837" t="inlineStr">
        <is>
          <t>MEDIUM</t>
        </is>
      </c>
      <c r="F837" t="n">
        <v>2</v>
      </c>
      <c r="G837" t="n">
        <v>2</v>
      </c>
      <c r="H837" t="inlineStr">
        <is>
          <t>MEDIUM</t>
        </is>
      </c>
      <c r="I837" t="n">
        <v>9.300000000000001</v>
      </c>
      <c r="J837" t="inlineStr">
        <is>
          <t>NO</t>
        </is>
      </c>
      <c r="K837" t="inlineStr">
        <is>
          <t>2026-02-27 20:47</t>
        </is>
      </c>
      <c r="L837" t="inlineStr">
        <is>
          <t>CHECK_VENDOR</t>
        </is>
      </c>
      <c r="M837" t="inlineStr">
        <is>
          <t>See CVE details</t>
        </is>
      </c>
      <c r="N837" t="inlineStr">
        <is>
          <t>P4</t>
        </is>
      </c>
      <c r="O837" t="inlineStr">
        <is>
          <t>CVE - IP enrichment n/a</t>
        </is>
      </c>
      <c r="P837" t="n">
        <v>0.0004</v>
      </c>
      <c r="Q837" t="n">
        <v>0.1221</v>
      </c>
      <c r="R837" t="inlineStr">
        <is>
          <t>T1190:Exploit Public-Facing Application | T1189:Drive-by Compromise</t>
        </is>
      </c>
      <c r="S837" t="n">
        <v>1</v>
      </c>
      <c r="T837" t="inlineStr">
        <is>
          <t>LOW (40%)</t>
        </is>
      </c>
      <c r="U837" t="inlineStr">
        <is>
          <t>UNLIKELY</t>
        </is>
      </c>
      <c r="V837" t="inlineStr">
        <is>
          <t>CHECK_VENDOR</t>
        </is>
      </c>
      <c r="W837" t="inlineStr">
        <is>
          <t>https://nvd.nist.gov/vuln/detail/CVE-2026-28132</t>
        </is>
      </c>
      <c r="X837" t="inlineStr">
        <is>
          <t>NONE</t>
        </is>
      </c>
      <c r="Y837" t="n">
        <v>0</v>
      </c>
      <c r="Z837" t="inlineStr"/>
      <c r="AA837" t="inlineStr">
        <is>
          <t>https://nvd.nist.gov/vuln/detail/CVE-2026-28132</t>
        </is>
      </c>
    </row>
    <row r="838">
      <c r="A838" t="inlineStr">
        <is>
          <t>CVE</t>
        </is>
      </c>
      <c r="B838" t="inlineStr">
        <is>
          <t>CVE-2026-28136</t>
        </is>
      </c>
      <c r="C838" t="inlineStr">
        <is>
          <t>Improper Neutralization of Special Elements used in an SQL Command ('SQL Injection') vulnerability in VeronaLabs WP SMS wp-sms allows SQL Injection.This issue affects WP SMS: from n/a through &lt;= 6.9.12.</t>
        </is>
      </c>
      <c r="D838" t="n">
        <v>7.6</v>
      </c>
      <c r="E838" t="inlineStr">
        <is>
          <t>HIGH</t>
        </is>
      </c>
      <c r="F838" t="n">
        <v>2</v>
      </c>
      <c r="G838" t="n">
        <v>3</v>
      </c>
      <c r="H838" t="inlineStr">
        <is>
          <t>HIGH</t>
        </is>
      </c>
      <c r="I838" t="n">
        <v>13.6</v>
      </c>
      <c r="J838" t="inlineStr">
        <is>
          <t>NO</t>
        </is>
      </c>
      <c r="K838" t="inlineStr">
        <is>
          <t>2026-02-27 20:47</t>
        </is>
      </c>
      <c r="L838" t="inlineStr">
        <is>
          <t>CHECK_VENDOR</t>
        </is>
      </c>
      <c r="M838" t="inlineStr">
        <is>
          <t>See CVE details</t>
        </is>
      </c>
      <c r="N838" t="inlineStr">
        <is>
          <t>P3</t>
        </is>
      </c>
      <c r="O838" t="inlineStr">
        <is>
          <t>CVE - IP enrichment n/a</t>
        </is>
      </c>
      <c r="P838" t="n">
        <v>0.0003</v>
      </c>
      <c r="Q838" t="n">
        <v>0.074</v>
      </c>
      <c r="R838" t="inlineStr">
        <is>
          <t>T1190:Exploit Public-Facing Application</t>
        </is>
      </c>
      <c r="S838" t="n">
        <v>1</v>
      </c>
      <c r="T838" t="inlineStr">
        <is>
          <t>LOW (40%)</t>
        </is>
      </c>
      <c r="U838" t="inlineStr">
        <is>
          <t>UNLIKELY</t>
        </is>
      </c>
      <c r="V838" t="inlineStr">
        <is>
          <t>CHECK_VENDOR</t>
        </is>
      </c>
      <c r="W838" t="inlineStr">
        <is>
          <t>https://nvd.nist.gov/vuln/detail/CVE-2026-28136</t>
        </is>
      </c>
      <c r="X838" t="inlineStr">
        <is>
          <t>NONE</t>
        </is>
      </c>
      <c r="Y838" t="n">
        <v>0</v>
      </c>
      <c r="Z838" t="inlineStr"/>
      <c r="AA838" t="inlineStr">
        <is>
          <t>https://nvd.nist.gov/vuln/detail/CVE-2026-28136</t>
        </is>
      </c>
    </row>
    <row r="839">
      <c r="A839" t="inlineStr">
        <is>
          <t>CVE</t>
        </is>
      </c>
      <c r="B839" t="inlineStr">
        <is>
          <t>CVE-2026-28138</t>
        </is>
      </c>
      <c r="C839" t="inlineStr">
        <is>
          <t>Deserialization of Untrusted Data vulnerability in Stylemix uListing ulisting allows Object Injection.This issue affects uListing: from n/a through &lt;= 2.2.0.</t>
        </is>
      </c>
      <c r="D839" t="n">
        <v>7.2</v>
      </c>
      <c r="E839" t="inlineStr">
        <is>
          <t>HIGH</t>
        </is>
      </c>
      <c r="F839" t="n">
        <v>2</v>
      </c>
      <c r="G839" t="n">
        <v>3</v>
      </c>
      <c r="H839" t="inlineStr">
        <is>
          <t>HIGH</t>
        </is>
      </c>
      <c r="I839" t="n">
        <v>13.2</v>
      </c>
      <c r="J839" t="inlineStr">
        <is>
          <t>NO</t>
        </is>
      </c>
      <c r="K839" t="inlineStr">
        <is>
          <t>2026-02-27 20:47</t>
        </is>
      </c>
      <c r="L839" t="inlineStr">
        <is>
          <t>CHECK_VENDOR</t>
        </is>
      </c>
      <c r="M839" t="inlineStr">
        <is>
          <t>See CVE details</t>
        </is>
      </c>
      <c r="N839" t="inlineStr">
        <is>
          <t>P3</t>
        </is>
      </c>
      <c r="O839" t="inlineStr">
        <is>
          <t>CVE - IP enrichment n/a</t>
        </is>
      </c>
      <c r="P839" t="n">
        <v>0.0004</v>
      </c>
      <c r="Q839" t="n">
        <v>0.1348</v>
      </c>
      <c r="R839" t="inlineStr">
        <is>
          <t>T1059:Command and Scripting Interpreter</t>
        </is>
      </c>
      <c r="S839" t="n">
        <v>1</v>
      </c>
      <c r="T839" t="inlineStr">
        <is>
          <t>LOW (40%)</t>
        </is>
      </c>
      <c r="U839" t="inlineStr">
        <is>
          <t>UNLIKELY</t>
        </is>
      </c>
      <c r="V839" t="inlineStr">
        <is>
          <t>CHECK_VENDOR</t>
        </is>
      </c>
      <c r="W839" t="inlineStr">
        <is>
          <t>https://nvd.nist.gov/vuln/detail/CVE-2026-28138</t>
        </is>
      </c>
      <c r="X839" t="inlineStr">
        <is>
          <t>NONE</t>
        </is>
      </c>
      <c r="Y839" t="n">
        <v>0</v>
      </c>
      <c r="Z839" t="inlineStr"/>
      <c r="AA839" t="inlineStr">
        <is>
          <t>https://nvd.nist.gov/vuln/detail/CVE-2026-28138</t>
        </is>
      </c>
    </row>
    <row r="840">
      <c r="A840" t="inlineStr">
        <is>
          <t>CVE</t>
        </is>
      </c>
      <c r="B840" t="inlineStr">
        <is>
          <t>CVE-2025-64999</t>
        </is>
      </c>
      <c r="C840"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840" t="n">
        <v>5</v>
      </c>
      <c r="E840" t="inlineStr">
        <is>
          <t>MEDIUM</t>
        </is>
      </c>
      <c r="F840" t="n">
        <v>2</v>
      </c>
      <c r="G840" t="n">
        <v>2</v>
      </c>
      <c r="H840" t="inlineStr">
        <is>
          <t>MEDIUM</t>
        </is>
      </c>
      <c r="I840" t="n">
        <v>9</v>
      </c>
      <c r="J840" t="inlineStr">
        <is>
          <t>NO</t>
        </is>
      </c>
      <c r="K840" t="inlineStr">
        <is>
          <t>2026-02-27 20:47</t>
        </is>
      </c>
      <c r="L840" t="inlineStr">
        <is>
          <t>CHECK_VENDOR</t>
        </is>
      </c>
      <c r="M840" t="inlineStr">
        <is>
          <t>See CVE details</t>
        </is>
      </c>
      <c r="N840" t="inlineStr">
        <is>
          <t>P4</t>
        </is>
      </c>
      <c r="O840" t="inlineStr">
        <is>
          <t>CVE - IP enrichment n/a</t>
        </is>
      </c>
      <c r="P840" t="n">
        <v>0.0005</v>
      </c>
      <c r="Q840" t="n">
        <v>0.143</v>
      </c>
      <c r="R840" t="inlineStr">
        <is>
          <t>T1189:Drive-by Compromise | T1566:Phishing</t>
        </is>
      </c>
      <c r="S840" t="n">
        <v>1</v>
      </c>
      <c r="T840" t="inlineStr">
        <is>
          <t>LOW (40%)</t>
        </is>
      </c>
      <c r="U840" t="inlineStr">
        <is>
          <t>UNLIKELY</t>
        </is>
      </c>
      <c r="V840" t="inlineStr">
        <is>
          <t>CHECK_VENDOR</t>
        </is>
      </c>
      <c r="W840" t="inlineStr">
        <is>
          <t>https://nvd.nist.gov/vuln/detail/CVE-2025-64999</t>
        </is>
      </c>
      <c r="X840" t="inlineStr">
        <is>
          <t>NONE</t>
        </is>
      </c>
      <c r="Y840" t="n">
        <v>0</v>
      </c>
      <c r="Z840" t="inlineStr"/>
      <c r="AA840" t="inlineStr">
        <is>
          <t>https://nvd.nist.gov/vuln/detail/CVE-2025-64999</t>
        </is>
      </c>
    </row>
    <row r="841">
      <c r="A841" t="inlineStr">
        <is>
          <t>CVE</t>
        </is>
      </c>
      <c r="B841" t="inlineStr">
        <is>
          <t>CVE-2026-1198</t>
        </is>
      </c>
      <c r="C841"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841" t="n">
        <v>5</v>
      </c>
      <c r="E841" t="inlineStr">
        <is>
          <t>MEDIUM</t>
        </is>
      </c>
      <c r="F841" t="n">
        <v>2</v>
      </c>
      <c r="G841" t="n">
        <v>2</v>
      </c>
      <c r="H841" t="inlineStr">
        <is>
          <t>MEDIUM</t>
        </is>
      </c>
      <c r="I841" t="n">
        <v>9</v>
      </c>
      <c r="J841" t="inlineStr">
        <is>
          <t>NO</t>
        </is>
      </c>
      <c r="K841" t="inlineStr">
        <is>
          <t>2026-02-27 20:47</t>
        </is>
      </c>
      <c r="L841" t="inlineStr">
        <is>
          <t>CHECK_VENDOR</t>
        </is>
      </c>
      <c r="M841" t="inlineStr">
        <is>
          <t>See CVE details</t>
        </is>
      </c>
      <c r="N841" t="inlineStr">
        <is>
          <t>P4</t>
        </is>
      </c>
      <c r="O841" t="inlineStr">
        <is>
          <t>CVE - IP enrichment n/a</t>
        </is>
      </c>
      <c r="P841" t="n">
        <v>0.0003</v>
      </c>
      <c r="Q841" t="n">
        <v>0.0837</v>
      </c>
      <c r="R841" t="inlineStr">
        <is>
          <t>T1190:Exploit Public-Facing Application</t>
        </is>
      </c>
      <c r="S841" t="n">
        <v>1</v>
      </c>
      <c r="T841" t="inlineStr">
        <is>
          <t>LOW (40%)</t>
        </is>
      </c>
      <c r="U841" t="inlineStr">
        <is>
          <t>UNLIKELY</t>
        </is>
      </c>
      <c r="V841" t="inlineStr">
        <is>
          <t>CHECK_VENDOR</t>
        </is>
      </c>
      <c r="W841" t="inlineStr">
        <is>
          <t>https://nvd.nist.gov/vuln/detail/CVE-2026-1198</t>
        </is>
      </c>
      <c r="X841" t="inlineStr">
        <is>
          <t>NONE</t>
        </is>
      </c>
      <c r="Y841" t="n">
        <v>0</v>
      </c>
      <c r="Z841" t="inlineStr"/>
      <c r="AA841" t="inlineStr">
        <is>
          <t>https://nvd.nist.gov/vuln/detail/CVE-2026-1198</t>
        </is>
      </c>
    </row>
    <row r="842">
      <c r="A842" t="inlineStr">
        <is>
          <t>CVE</t>
        </is>
      </c>
      <c r="B842" t="inlineStr">
        <is>
          <t>CVE-2025-14343</t>
        </is>
      </c>
      <c r="C842" t="inlineStr">
        <is>
          <t>Improper Neutralization of Input During Web Page Generation (XSS or 'Cross-site Scripting') vulnerability in Dokuzsoft Technology Ltd. E-Commerce Product allows Reflected XSS.This issue affects E-Commerce Product: through 10122025.</t>
        </is>
      </c>
      <c r="D842" t="n">
        <v>7.6</v>
      </c>
      <c r="E842" t="inlineStr">
        <is>
          <t>HIGH</t>
        </is>
      </c>
      <c r="F842" t="n">
        <v>2</v>
      </c>
      <c r="G842" t="n">
        <v>3</v>
      </c>
      <c r="H842" t="inlineStr">
        <is>
          <t>HIGH</t>
        </is>
      </c>
      <c r="I842" t="n">
        <v>13.6</v>
      </c>
      <c r="J842" t="inlineStr">
        <is>
          <t>NO</t>
        </is>
      </c>
      <c r="K842" t="inlineStr">
        <is>
          <t>2026-02-27 20:47</t>
        </is>
      </c>
      <c r="L842" t="inlineStr">
        <is>
          <t>CHECK_VENDOR</t>
        </is>
      </c>
      <c r="M842" t="inlineStr">
        <is>
          <t>See CVE details</t>
        </is>
      </c>
      <c r="N842" t="inlineStr">
        <is>
          <t>P3</t>
        </is>
      </c>
      <c r="O842" t="inlineStr">
        <is>
          <t>CVE - IP enrichment n/a</t>
        </is>
      </c>
      <c r="P842" t="n">
        <v>0.0003</v>
      </c>
      <c r="Q842" t="n">
        <v>0.0979</v>
      </c>
      <c r="R842" t="inlineStr">
        <is>
          <t>T1189:Drive-by Compromise | T1190:Exploit Public-Facing Application</t>
        </is>
      </c>
      <c r="S842" t="n">
        <v>1</v>
      </c>
      <c r="T842" t="inlineStr">
        <is>
          <t>LOW (40%)</t>
        </is>
      </c>
      <c r="U842" t="inlineStr">
        <is>
          <t>UNLIKELY</t>
        </is>
      </c>
      <c r="V842" t="inlineStr">
        <is>
          <t>CHECK_VENDOR</t>
        </is>
      </c>
      <c r="W842" t="inlineStr">
        <is>
          <t>https://nvd.nist.gov/vuln/detail/CVE-2025-14343</t>
        </is>
      </c>
      <c r="X842" t="inlineStr">
        <is>
          <t>NONE</t>
        </is>
      </c>
      <c r="Y842" t="n">
        <v>0</v>
      </c>
      <c r="Z842" t="inlineStr"/>
      <c r="AA842" t="inlineStr">
        <is>
          <t>https://nvd.nist.gov/vuln/detail/CVE-2025-14343</t>
        </is>
      </c>
    </row>
    <row r="843">
      <c r="A843" t="inlineStr">
        <is>
          <t>CVE</t>
        </is>
      </c>
      <c r="B843" t="inlineStr">
        <is>
          <t>CVE-2026-2677</t>
        </is>
      </c>
      <c r="C843" t="inlineStr">
        <is>
          <t>Reflected Cross-Site Scripting (XSS) on the A3factura web platform, in parameter 'name', in 'a3factura-app.wolterskluwer.es/#/incomes/representatives-management' endpoint, which could allow an attacker to execute arbitrary code in the victim's browser.</t>
        </is>
      </c>
      <c r="D843" t="n">
        <v>5</v>
      </c>
      <c r="E843" t="inlineStr">
        <is>
          <t>MEDIUM</t>
        </is>
      </c>
      <c r="F843" t="n">
        <v>2</v>
      </c>
      <c r="G843" t="n">
        <v>2</v>
      </c>
      <c r="H843" t="inlineStr">
        <is>
          <t>MEDIUM</t>
        </is>
      </c>
      <c r="I843" t="n">
        <v>9</v>
      </c>
      <c r="J843" t="inlineStr">
        <is>
          <t>NO</t>
        </is>
      </c>
      <c r="K843" t="inlineStr">
        <is>
          <t>2026-02-27 20:47</t>
        </is>
      </c>
      <c r="L843" t="inlineStr">
        <is>
          <t>CHECK_VENDOR</t>
        </is>
      </c>
      <c r="M843" t="inlineStr">
        <is>
          <t>See CVE details</t>
        </is>
      </c>
      <c r="N843" t="inlineStr">
        <is>
          <t>P4</t>
        </is>
      </c>
      <c r="O843" t="inlineStr">
        <is>
          <t>CVE - IP enrichment n/a</t>
        </is>
      </c>
      <c r="P843" t="n">
        <v>0.0007</v>
      </c>
      <c r="Q843" t="n">
        <v>0.2145</v>
      </c>
      <c r="R843" t="inlineStr">
        <is>
          <t>T1189:Drive-by Compromise | T1203:Exploitation for Client Execution</t>
        </is>
      </c>
      <c r="S843" t="n">
        <v>1</v>
      </c>
      <c r="T843" t="inlineStr">
        <is>
          <t>LOW (40%)</t>
        </is>
      </c>
      <c r="U843" t="inlineStr">
        <is>
          <t>UNLIKELY</t>
        </is>
      </c>
      <c r="V843" t="inlineStr">
        <is>
          <t>CHECK_VENDOR</t>
        </is>
      </c>
      <c r="W843" t="inlineStr">
        <is>
          <t>https://nvd.nist.gov/vuln/detail/CVE-2026-2677</t>
        </is>
      </c>
      <c r="X843" t="inlineStr">
        <is>
          <t>NONE</t>
        </is>
      </c>
      <c r="Y843" t="n">
        <v>0</v>
      </c>
      <c r="Z843" t="inlineStr"/>
      <c r="AA843" t="inlineStr">
        <is>
          <t>https://nvd.nist.gov/vuln/detail/CVE-2026-2677</t>
        </is>
      </c>
    </row>
    <row r="844">
      <c r="A844" t="inlineStr">
        <is>
          <t>CVE</t>
        </is>
      </c>
      <c r="B844" t="inlineStr">
        <is>
          <t>CVE-2026-2678</t>
        </is>
      </c>
      <c r="C844" t="inlineStr">
        <is>
          <t>Reflected Cross-Site Scripting (XSS) on the A3factura web platform, in parameter 'name', parameter 'name', in 'a3factura-app.wolterskluwer.es/#/incomes/customers' endpoint, which could allow an attacker to execute arbitrary code in the victim's browser.</t>
        </is>
      </c>
      <c r="D844" t="n">
        <v>5</v>
      </c>
      <c r="E844" t="inlineStr">
        <is>
          <t>MEDIUM</t>
        </is>
      </c>
      <c r="F844" t="n">
        <v>2</v>
      </c>
      <c r="G844" t="n">
        <v>2</v>
      </c>
      <c r="H844" t="inlineStr">
        <is>
          <t>MEDIUM</t>
        </is>
      </c>
      <c r="I844" t="n">
        <v>9</v>
      </c>
      <c r="J844" t="inlineStr">
        <is>
          <t>NO</t>
        </is>
      </c>
      <c r="K844" t="inlineStr">
        <is>
          <t>2026-02-27 20:47</t>
        </is>
      </c>
      <c r="L844" t="inlineStr">
        <is>
          <t>CHECK_VENDOR</t>
        </is>
      </c>
      <c r="M844" t="inlineStr">
        <is>
          <t>See CVE details</t>
        </is>
      </c>
      <c r="N844" t="inlineStr">
        <is>
          <t>P4</t>
        </is>
      </c>
      <c r="O844" t="inlineStr">
        <is>
          <t>CVE - IP enrichment n/a</t>
        </is>
      </c>
      <c r="P844" t="n">
        <v>0.0007</v>
      </c>
      <c r="Q844" t="n">
        <v>0.2145</v>
      </c>
      <c r="R844" t="inlineStr">
        <is>
          <t>T1189:Drive-by Compromise | T1203:Exploitation for Client Execution</t>
        </is>
      </c>
      <c r="S844" t="n">
        <v>1</v>
      </c>
      <c r="T844" t="inlineStr">
        <is>
          <t>LOW (40%)</t>
        </is>
      </c>
      <c r="U844" t="inlineStr">
        <is>
          <t>UNLIKELY</t>
        </is>
      </c>
      <c r="V844" t="inlineStr">
        <is>
          <t>CHECK_VENDOR</t>
        </is>
      </c>
      <c r="W844" t="inlineStr">
        <is>
          <t>https://nvd.nist.gov/vuln/detail/CVE-2026-2678</t>
        </is>
      </c>
      <c r="X844" t="inlineStr">
        <is>
          <t>NONE</t>
        </is>
      </c>
      <c r="Y844" t="n">
        <v>0</v>
      </c>
      <c r="Z844" t="inlineStr"/>
      <c r="AA844" t="inlineStr">
        <is>
          <t>https://nvd.nist.gov/vuln/detail/CVE-2026-2678</t>
        </is>
      </c>
    </row>
    <row r="845">
      <c r="A845" t="inlineStr">
        <is>
          <t>CVE</t>
        </is>
      </c>
      <c r="B845" t="inlineStr">
        <is>
          <t>CVE-2026-2679</t>
        </is>
      </c>
      <c r="C845" t="inlineStr">
        <is>
          <t>Reflected Cross-Site Scripting (XSS) on the A3factura web platform, in parameter 'customerName', in 'a3factura-app.wolterskluwer.es/#/incomes/salesInvoices' endpoint, which could allow an attacker to execute arbitrary code in the victim's browser.</t>
        </is>
      </c>
      <c r="D845" t="n">
        <v>5</v>
      </c>
      <c r="E845" t="inlineStr">
        <is>
          <t>MEDIUM</t>
        </is>
      </c>
      <c r="F845" t="n">
        <v>2</v>
      </c>
      <c r="G845" t="n">
        <v>2</v>
      </c>
      <c r="H845" t="inlineStr">
        <is>
          <t>MEDIUM</t>
        </is>
      </c>
      <c r="I845" t="n">
        <v>9</v>
      </c>
      <c r="J845" t="inlineStr">
        <is>
          <t>NO</t>
        </is>
      </c>
      <c r="K845" t="inlineStr">
        <is>
          <t>2026-02-27 20:47</t>
        </is>
      </c>
      <c r="L845" t="inlineStr">
        <is>
          <t>CHECK_VENDOR</t>
        </is>
      </c>
      <c r="M845" t="inlineStr">
        <is>
          <t>See CVE details</t>
        </is>
      </c>
      <c r="N845" t="inlineStr">
        <is>
          <t>P4</t>
        </is>
      </c>
      <c r="O845" t="inlineStr">
        <is>
          <t>CVE - IP enrichment n/a</t>
        </is>
      </c>
      <c r="P845" t="n">
        <v>0.0007</v>
      </c>
      <c r="Q845" t="n">
        <v>0.2145</v>
      </c>
      <c r="R845" t="inlineStr">
        <is>
          <t>T1189:Drive-by Compromise | T1203:Exploitation for Client Execution</t>
        </is>
      </c>
      <c r="S845" t="n">
        <v>1</v>
      </c>
      <c r="T845" t="inlineStr">
        <is>
          <t>LOW (40%)</t>
        </is>
      </c>
      <c r="U845" t="inlineStr">
        <is>
          <t>UNLIKELY</t>
        </is>
      </c>
      <c r="V845" t="inlineStr">
        <is>
          <t>CHECK_VENDOR</t>
        </is>
      </c>
      <c r="W845" t="inlineStr">
        <is>
          <t>https://nvd.nist.gov/vuln/detail/CVE-2026-2679</t>
        </is>
      </c>
      <c r="X845" t="inlineStr">
        <is>
          <t>NONE</t>
        </is>
      </c>
      <c r="Y845" t="n">
        <v>0</v>
      </c>
      <c r="Z845" t="inlineStr"/>
      <c r="AA845" t="inlineStr">
        <is>
          <t>https://nvd.nist.gov/vuln/detail/CVE-2026-2679</t>
        </is>
      </c>
    </row>
    <row r="846">
      <c r="A846" t="inlineStr">
        <is>
          <t>CVE</t>
        </is>
      </c>
      <c r="B846" t="inlineStr">
        <is>
          <t>CVE-2026-2680</t>
        </is>
      </c>
      <c r="C846" t="inlineStr">
        <is>
          <t>Reflected Cross-Site Scripting (XSS) on the A3factura web platform, in parameter 'customerVATNumber', in 'a3factura-app.wolterskluwer.es/#/incomes/salesDeliveryNotes' endpoint, which could allow an attacker to execute arbitrary code in the victim's browser.</t>
        </is>
      </c>
      <c r="D846" t="n">
        <v>5</v>
      </c>
      <c r="E846" t="inlineStr">
        <is>
          <t>MEDIUM</t>
        </is>
      </c>
      <c r="F846" t="n">
        <v>2</v>
      </c>
      <c r="G846" t="n">
        <v>2</v>
      </c>
      <c r="H846" t="inlineStr">
        <is>
          <t>MEDIUM</t>
        </is>
      </c>
      <c r="I846" t="n">
        <v>9</v>
      </c>
      <c r="J846" t="inlineStr">
        <is>
          <t>NO</t>
        </is>
      </c>
      <c r="K846" t="inlineStr">
        <is>
          <t>2026-02-27 20:47</t>
        </is>
      </c>
      <c r="L846" t="inlineStr">
        <is>
          <t>CHECK_VENDOR</t>
        </is>
      </c>
      <c r="M846" t="inlineStr">
        <is>
          <t>See CVE details</t>
        </is>
      </c>
      <c r="N846" t="inlineStr">
        <is>
          <t>P4</t>
        </is>
      </c>
      <c r="O846" t="inlineStr">
        <is>
          <t>CVE - IP enrichment n/a</t>
        </is>
      </c>
      <c r="P846" t="n">
        <v>0.0007</v>
      </c>
      <c r="Q846" t="n">
        <v>0.2145</v>
      </c>
      <c r="R846" t="inlineStr">
        <is>
          <t>T1189:Drive-by Compromise | T1203:Exploitation for Client Execution</t>
        </is>
      </c>
      <c r="S846" t="n">
        <v>1</v>
      </c>
      <c r="T846" t="inlineStr">
        <is>
          <t>LOW (40%)</t>
        </is>
      </c>
      <c r="U846" t="inlineStr">
        <is>
          <t>UNLIKELY</t>
        </is>
      </c>
      <c r="V846" t="inlineStr">
        <is>
          <t>CHECK_VENDOR</t>
        </is>
      </c>
      <c r="W846" t="inlineStr">
        <is>
          <t>https://nvd.nist.gov/vuln/detail/CVE-2026-2680</t>
        </is>
      </c>
      <c r="X846" t="inlineStr">
        <is>
          <t>NONE</t>
        </is>
      </c>
      <c r="Y846" t="n">
        <v>0</v>
      </c>
      <c r="Z846" t="inlineStr"/>
      <c r="AA846" t="inlineStr">
        <is>
          <t>https://nvd.nist.gov/vuln/detail/CVE-2026-2680</t>
        </is>
      </c>
    </row>
    <row r="847">
      <c r="A847" t="inlineStr">
        <is>
          <t>CVE</t>
        </is>
      </c>
      <c r="B847" t="inlineStr">
        <is>
          <t>CVE-2026-26077</t>
        </is>
      </c>
      <c r="C847"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847" t="n">
        <v>6.5</v>
      </c>
      <c r="E847" t="inlineStr">
        <is>
          <t>MEDIUM</t>
        </is>
      </c>
      <c r="F847" t="n">
        <v>2</v>
      </c>
      <c r="G847" t="n">
        <v>2</v>
      </c>
      <c r="H847" t="inlineStr">
        <is>
          <t>MEDIUM</t>
        </is>
      </c>
      <c r="I847" t="n">
        <v>10.5</v>
      </c>
      <c r="J847" t="inlineStr">
        <is>
          <t>NO</t>
        </is>
      </c>
      <c r="K847" t="inlineStr">
        <is>
          <t>2026-02-27 20:47</t>
        </is>
      </c>
      <c r="L847" t="inlineStr">
        <is>
          <t>CHECK_VENDOR</t>
        </is>
      </c>
      <c r="M847" t="inlineStr">
        <is>
          <t>See CVE details</t>
        </is>
      </c>
      <c r="N847" t="inlineStr">
        <is>
          <t>P4</t>
        </is>
      </c>
      <c r="O847" t="inlineStr">
        <is>
          <t>CVE - IP enrichment n/a</t>
        </is>
      </c>
      <c r="P847" t="n">
        <v>0.0004</v>
      </c>
      <c r="Q847" t="n">
        <v>0.1235</v>
      </c>
      <c r="R847" t="inlineStr">
        <is>
          <t>T1078:Valid Accounts | T1110:Brute Force | T1190:Exploit Public-Facing Application</t>
        </is>
      </c>
      <c r="S847" t="n">
        <v>1</v>
      </c>
      <c r="T847" t="inlineStr">
        <is>
          <t>LOW (40%)</t>
        </is>
      </c>
      <c r="U847" t="inlineStr">
        <is>
          <t>UNLIKELY</t>
        </is>
      </c>
      <c r="V847" t="inlineStr">
        <is>
          <t>CHECK_VENDOR</t>
        </is>
      </c>
      <c r="W847" t="inlineStr">
        <is>
          <t>https://nvd.nist.gov/vuln/detail/CVE-2026-26077</t>
        </is>
      </c>
      <c r="X847" t="inlineStr">
        <is>
          <t>NONE</t>
        </is>
      </c>
      <c r="Y847" t="n">
        <v>0</v>
      </c>
      <c r="Z847" t="inlineStr"/>
      <c r="AA847" t="inlineStr">
        <is>
          <t>https://nvd.nist.gov/vuln/detail/CVE-2026-26077</t>
        </is>
      </c>
    </row>
    <row r="848">
      <c r="A848" t="inlineStr">
        <is>
          <t>CVE</t>
        </is>
      </c>
      <c r="B848" t="inlineStr">
        <is>
          <t>CVE-2026-2244</t>
        </is>
      </c>
      <c r="C848"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848" t="n">
        <v>5</v>
      </c>
      <c r="E848" t="inlineStr">
        <is>
          <t>MEDIUM</t>
        </is>
      </c>
      <c r="F848" t="n">
        <v>2</v>
      </c>
      <c r="G848" t="n">
        <v>2</v>
      </c>
      <c r="H848" t="inlineStr">
        <is>
          <t>MEDIUM</t>
        </is>
      </c>
      <c r="I848" t="n">
        <v>9</v>
      </c>
      <c r="J848" t="inlineStr">
        <is>
          <t>NO</t>
        </is>
      </c>
      <c r="K848" t="inlineStr">
        <is>
          <t>2026-02-27 20:47</t>
        </is>
      </c>
      <c r="L848" t="inlineStr">
        <is>
          <t>CHECK_VENDOR</t>
        </is>
      </c>
      <c r="M848" t="inlineStr">
        <is>
          <t>See CVE details</t>
        </is>
      </c>
      <c r="N848" t="inlineStr">
        <is>
          <t>P4</t>
        </is>
      </c>
      <c r="O848" t="inlineStr">
        <is>
          <t>CVE - IP enrichment n/a</t>
        </is>
      </c>
      <c r="P848" t="n">
        <v>0.0004</v>
      </c>
      <c r="Q848" t="n">
        <v>0.1257</v>
      </c>
      <c r="R848" t="inlineStr">
        <is>
          <t>T1213:Data from Information Repositories</t>
        </is>
      </c>
      <c r="S848" t="n">
        <v>1</v>
      </c>
      <c r="T848" t="inlineStr">
        <is>
          <t>LOW (40%)</t>
        </is>
      </c>
      <c r="U848" t="inlineStr">
        <is>
          <t>UNLIKELY</t>
        </is>
      </c>
      <c r="V848" t="inlineStr">
        <is>
          <t>CHECK_VENDOR</t>
        </is>
      </c>
      <c r="W848" t="inlineStr">
        <is>
          <t>https://nvd.nist.gov/vuln/detail/CVE-2026-2244</t>
        </is>
      </c>
      <c r="X848" t="inlineStr">
        <is>
          <t>NONE</t>
        </is>
      </c>
      <c r="Y848" t="n">
        <v>0</v>
      </c>
      <c r="Z848" t="inlineStr"/>
      <c r="AA848" t="inlineStr">
        <is>
          <t>https://nvd.nist.gov/vuln/detail/CVE-2026-2244</t>
        </is>
      </c>
    </row>
    <row r="849">
      <c r="A849" t="inlineStr">
        <is>
          <t>CVE</t>
        </is>
      </c>
      <c r="B849" t="inlineStr">
        <is>
          <t>CVE-2026-3071</t>
        </is>
      </c>
      <c r="C849" t="inlineStr">
        <is>
          <t>Deserialization of untrusted data in the LanguageModel class of Flair from versions 0.4.1 to latest are vulnerable to arbitrary code execution when loading a malicious model.</t>
        </is>
      </c>
      <c r="D849" t="n">
        <v>8.4</v>
      </c>
      <c r="E849" t="inlineStr">
        <is>
          <t>HIGH</t>
        </is>
      </c>
      <c r="F849" t="n">
        <v>2</v>
      </c>
      <c r="G849" t="n">
        <v>3</v>
      </c>
      <c r="H849" t="inlineStr">
        <is>
          <t>HIGH</t>
        </is>
      </c>
      <c r="I849" t="n">
        <v>14.4</v>
      </c>
      <c r="J849" t="inlineStr">
        <is>
          <t>NO</t>
        </is>
      </c>
      <c r="K849" t="inlineStr">
        <is>
          <t>2026-02-27 20:47</t>
        </is>
      </c>
      <c r="L849" t="inlineStr">
        <is>
          <t>CHECK_VENDOR</t>
        </is>
      </c>
      <c r="M849" t="inlineStr">
        <is>
          <t>See CVE details</t>
        </is>
      </c>
      <c r="N849" t="inlineStr">
        <is>
          <t>P3</t>
        </is>
      </c>
      <c r="O849" t="inlineStr">
        <is>
          <t>CVE - IP enrichment n/a</t>
        </is>
      </c>
      <c r="P849" t="n">
        <v>0.0005999999999999999</v>
      </c>
      <c r="Q849" t="n">
        <v>0.1747</v>
      </c>
      <c r="R849" t="inlineStr">
        <is>
          <t>T1059:Command and Scripting Interpreter | T1203:Exploitation for Client Execution</t>
        </is>
      </c>
      <c r="S849" t="n">
        <v>1</v>
      </c>
      <c r="T849" t="inlineStr">
        <is>
          <t>LOW (40%)</t>
        </is>
      </c>
      <c r="U849" t="inlineStr">
        <is>
          <t>UNLIKELY</t>
        </is>
      </c>
      <c r="V849" t="inlineStr">
        <is>
          <t>CHECK_VENDOR</t>
        </is>
      </c>
      <c r="W849" t="inlineStr">
        <is>
          <t>https://nvd.nist.gov/vuln/detail/CVE-2026-3071</t>
        </is>
      </c>
      <c r="X849" t="inlineStr">
        <is>
          <t>NONE</t>
        </is>
      </c>
      <c r="Y849" t="n">
        <v>0</v>
      </c>
      <c r="Z849" t="inlineStr"/>
      <c r="AA849" t="inlineStr">
        <is>
          <t>https://nvd.nist.gov/vuln/detail/CVE-2026-3071</t>
        </is>
      </c>
    </row>
    <row r="850">
      <c r="A850" t="inlineStr">
        <is>
          <t>CVE</t>
        </is>
      </c>
      <c r="B850" t="inlineStr">
        <is>
          <t>CVE-2025-56605</t>
        </is>
      </c>
      <c r="C850"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850" t="n">
        <v>5.4</v>
      </c>
      <c r="E850" t="inlineStr">
        <is>
          <t>MEDIUM</t>
        </is>
      </c>
      <c r="F850" t="n">
        <v>2</v>
      </c>
      <c r="G850" t="n">
        <v>2</v>
      </c>
      <c r="H850" t="inlineStr">
        <is>
          <t>MEDIUM</t>
        </is>
      </c>
      <c r="I850" t="n">
        <v>9.4</v>
      </c>
      <c r="J850" t="inlineStr">
        <is>
          <t>NO</t>
        </is>
      </c>
      <c r="K850" t="inlineStr">
        <is>
          <t>2026-02-27 20:47</t>
        </is>
      </c>
      <c r="L850" t="inlineStr">
        <is>
          <t>CHECK_VENDOR</t>
        </is>
      </c>
      <c r="M850" t="inlineStr">
        <is>
          <t>See CVE details</t>
        </is>
      </c>
      <c r="N850" t="inlineStr">
        <is>
          <t>P4</t>
        </is>
      </c>
      <c r="O850" t="inlineStr">
        <is>
          <t>CVE - IP enrichment n/a</t>
        </is>
      </c>
      <c r="P850" t="n">
        <v>0.0001</v>
      </c>
      <c r="Q850" t="n">
        <v>0.0266</v>
      </c>
      <c r="R850" t="inlineStr">
        <is>
          <t>T1189:Drive-by Compromise</t>
        </is>
      </c>
      <c r="S850" t="n">
        <v>1</v>
      </c>
      <c r="T850" t="inlineStr">
        <is>
          <t>LOW (40%)</t>
        </is>
      </c>
      <c r="U850" t="inlineStr">
        <is>
          <t>UNLIKELY</t>
        </is>
      </c>
      <c r="V850" t="inlineStr">
        <is>
          <t>CHECK_VENDOR</t>
        </is>
      </c>
      <c r="W850" t="inlineStr">
        <is>
          <t>https://nvd.nist.gov/vuln/detail/CVE-2025-56605</t>
        </is>
      </c>
      <c r="X850" t="inlineStr">
        <is>
          <t>NONE</t>
        </is>
      </c>
      <c r="Y850" t="n">
        <v>0</v>
      </c>
      <c r="Z850" t="inlineStr"/>
      <c r="AA850" t="inlineStr">
        <is>
          <t>https://nvd.nist.gov/vuln/detail/CVE-2025-56605</t>
        </is>
      </c>
    </row>
    <row r="851">
      <c r="A851" t="inlineStr">
        <is>
          <t>CVE</t>
        </is>
      </c>
      <c r="B851" t="inlineStr">
        <is>
          <t>CVE-2025-71057</t>
        </is>
      </c>
      <c r="C851" t="inlineStr">
        <is>
          <t>Improper session management in D-Link Wireless N 300 ADSL2+ Modem Router DSL-124 ME_1.00 allows attackers to execute a session hijacking attack via spoofing the IP address of an authenticated user.</t>
        </is>
      </c>
      <c r="D851" t="n">
        <v>8.199999999999999</v>
      </c>
      <c r="E851" t="inlineStr">
        <is>
          <t>HIGH</t>
        </is>
      </c>
      <c r="F851" t="n">
        <v>2</v>
      </c>
      <c r="G851" t="n">
        <v>3</v>
      </c>
      <c r="H851" t="inlineStr">
        <is>
          <t>HIGH</t>
        </is>
      </c>
      <c r="I851" t="n">
        <v>14.2</v>
      </c>
      <c r="J851" t="inlineStr">
        <is>
          <t>NO</t>
        </is>
      </c>
      <c r="K851" t="inlineStr">
        <is>
          <t>2026-02-27 20:47</t>
        </is>
      </c>
      <c r="L851" t="inlineStr">
        <is>
          <t>CHECK_VENDOR</t>
        </is>
      </c>
      <c r="M851" t="inlineStr">
        <is>
          <t>See CVE details</t>
        </is>
      </c>
      <c r="N851" t="inlineStr">
        <is>
          <t>P3</t>
        </is>
      </c>
      <c r="O851" t="inlineStr">
        <is>
          <t>CVE - IP enrichment n/a</t>
        </is>
      </c>
      <c r="P851" t="n">
        <v>0.0001</v>
      </c>
      <c r="Q851" t="n">
        <v>0.0227</v>
      </c>
      <c r="R851" t="inlineStr">
        <is>
          <t>T1078:Valid Accounts | T1110:Brute Force</t>
        </is>
      </c>
      <c r="S851" t="n">
        <v>1</v>
      </c>
      <c r="T851" t="inlineStr">
        <is>
          <t>LOW (40%)</t>
        </is>
      </c>
      <c r="U851" t="inlineStr">
        <is>
          <t>UNLIKELY</t>
        </is>
      </c>
      <c r="V851" t="inlineStr">
        <is>
          <t>CHECK_VENDOR</t>
        </is>
      </c>
      <c r="W851" t="inlineStr">
        <is>
          <t>https://nvd.nist.gov/vuln/detail/CVE-2025-71057</t>
        </is>
      </c>
      <c r="X851" t="inlineStr">
        <is>
          <t>NONE</t>
        </is>
      </c>
      <c r="Y851" t="n">
        <v>0</v>
      </c>
      <c r="Z851" t="inlineStr"/>
      <c r="AA851" t="inlineStr">
        <is>
          <t>https://nvd.nist.gov/vuln/detail/CVE-2025-71057</t>
        </is>
      </c>
    </row>
    <row r="852">
      <c r="A852" t="inlineStr">
        <is>
          <t>CVE</t>
        </is>
      </c>
      <c r="B852" t="inlineStr">
        <is>
          <t>CVE-2026-26078</t>
        </is>
      </c>
      <c r="C852"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852" t="n">
        <v>7.5</v>
      </c>
      <c r="E852" t="inlineStr">
        <is>
          <t>HIGH</t>
        </is>
      </c>
      <c r="F852" t="n">
        <v>2</v>
      </c>
      <c r="G852" t="n">
        <v>3</v>
      </c>
      <c r="H852" t="inlineStr">
        <is>
          <t>HIGH</t>
        </is>
      </c>
      <c r="I852" t="n">
        <v>13.5</v>
      </c>
      <c r="J852" t="inlineStr">
        <is>
          <t>NO</t>
        </is>
      </c>
      <c r="K852" t="inlineStr">
        <is>
          <t>2026-02-27 20:47</t>
        </is>
      </c>
      <c r="L852" t="inlineStr">
        <is>
          <t>CHECK_VENDOR</t>
        </is>
      </c>
      <c r="M852" t="inlineStr">
        <is>
          <t>See CVE details</t>
        </is>
      </c>
      <c r="N852" t="inlineStr">
        <is>
          <t>P3</t>
        </is>
      </c>
      <c r="O852" t="inlineStr">
        <is>
          <t>CVE - IP enrichment n/a</t>
        </is>
      </c>
      <c r="P852" t="n">
        <v>0.0003</v>
      </c>
      <c r="Q852" t="n">
        <v>0.0762</v>
      </c>
      <c r="R852" t="inlineStr">
        <is>
          <t>T1190:Exploit Public-Facing Application</t>
        </is>
      </c>
      <c r="S852" t="n">
        <v>1</v>
      </c>
      <c r="T852" t="inlineStr">
        <is>
          <t>LOW (40%)</t>
        </is>
      </c>
      <c r="U852" t="inlineStr">
        <is>
          <t>UNLIKELY</t>
        </is>
      </c>
      <c r="V852" t="inlineStr">
        <is>
          <t>CHECK_VENDOR</t>
        </is>
      </c>
      <c r="W852" t="inlineStr">
        <is>
          <t>https://nvd.nist.gov/vuln/detail/CVE-2026-26078</t>
        </is>
      </c>
      <c r="X852" t="inlineStr">
        <is>
          <t>NONE</t>
        </is>
      </c>
      <c r="Y852" t="n">
        <v>0</v>
      </c>
      <c r="Z852" t="inlineStr"/>
      <c r="AA852" t="inlineStr">
        <is>
          <t>https://nvd.nist.gov/vuln/detail/CVE-2026-26078</t>
        </is>
      </c>
    </row>
    <row r="853">
      <c r="A853" t="inlineStr">
        <is>
          <t>CVE</t>
        </is>
      </c>
      <c r="B853" t="inlineStr">
        <is>
          <t>CVE-2026-26207</t>
        </is>
      </c>
      <c r="C853"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853" t="n">
        <v>5.4</v>
      </c>
      <c r="E853" t="inlineStr">
        <is>
          <t>MEDIUM</t>
        </is>
      </c>
      <c r="F853" t="n">
        <v>2</v>
      </c>
      <c r="G853" t="n">
        <v>2</v>
      </c>
      <c r="H853" t="inlineStr">
        <is>
          <t>MEDIUM</t>
        </is>
      </c>
      <c r="I853" t="n">
        <v>9.4</v>
      </c>
      <c r="J853" t="inlineStr">
        <is>
          <t>NO</t>
        </is>
      </c>
      <c r="K853" t="inlineStr">
        <is>
          <t>2026-02-27 20:47</t>
        </is>
      </c>
      <c r="L853" t="inlineStr">
        <is>
          <t>CHECK_VENDOR</t>
        </is>
      </c>
      <c r="M853" t="inlineStr">
        <is>
          <t>See CVE details</t>
        </is>
      </c>
      <c r="N853" t="inlineStr">
        <is>
          <t>P1</t>
        </is>
      </c>
      <c r="O853" t="inlineStr">
        <is>
          <t>CVE - IP enrichment n/a</t>
        </is>
      </c>
      <c r="P853" t="n">
        <v>0.0003</v>
      </c>
      <c r="Q853" t="n">
        <v>0.0665</v>
      </c>
      <c r="R853" t="inlineStr">
        <is>
          <t>T1190:Exploit Public-Facing Application | T1213:Data from Information Repositories</t>
        </is>
      </c>
      <c r="S853" t="n">
        <v>2</v>
      </c>
      <c r="T853" t="inlineStr">
        <is>
          <t>HIGH (72%)</t>
        </is>
      </c>
      <c r="U853" t="inlineStr">
        <is>
          <t>HIGH</t>
        </is>
      </c>
      <c r="V853" t="inlineStr">
        <is>
          <t>CHECK_VENDOR</t>
        </is>
      </c>
      <c r="W853" t="inlineStr">
        <is>
          <t>https://nvd.nist.gov/vuln/detail/CVE-2026-26207</t>
        </is>
      </c>
      <c r="X853" t="inlineStr">
        <is>
          <t>http://www.zerodayinitiative.com/advisories/ZDI-26-123/</t>
        </is>
      </c>
      <c r="Y853" t="n">
        <v>0</v>
      </c>
      <c r="Z853" t="inlineStr"/>
      <c r="AA853" t="inlineStr">
        <is>
          <t>https://nvd.nist.gov/vuln/detail/CVE-2026-26207</t>
        </is>
      </c>
    </row>
    <row r="854">
      <c r="A854" t="inlineStr">
        <is>
          <t>CVE</t>
        </is>
      </c>
      <c r="B854" t="inlineStr">
        <is>
          <t>CVE-2026-26228</t>
        </is>
      </c>
      <c r="C854"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854" t="n">
        <v>5</v>
      </c>
      <c r="E854" t="inlineStr">
        <is>
          <t>MEDIUM</t>
        </is>
      </c>
      <c r="F854" t="n">
        <v>2</v>
      </c>
      <c r="G854" t="n">
        <v>2</v>
      </c>
      <c r="H854" t="inlineStr">
        <is>
          <t>MEDIUM</t>
        </is>
      </c>
      <c r="I854" t="n">
        <v>9</v>
      </c>
      <c r="J854" t="inlineStr">
        <is>
          <t>NO</t>
        </is>
      </c>
      <c r="K854" t="inlineStr">
        <is>
          <t>2026-02-27 20:47</t>
        </is>
      </c>
      <c r="L854" t="inlineStr">
        <is>
          <t>CHECK_VENDOR</t>
        </is>
      </c>
      <c r="M854" t="inlineStr">
        <is>
          <t>See CVE details</t>
        </is>
      </c>
      <c r="N854" t="inlineStr">
        <is>
          <t>P4</t>
        </is>
      </c>
      <c r="O854" t="inlineStr">
        <is>
          <t>CVE - IP enrichment n/a</t>
        </is>
      </c>
      <c r="P854" t="n">
        <v>0.0004</v>
      </c>
      <c r="Q854" t="n">
        <v>0.1308</v>
      </c>
      <c r="R854" t="inlineStr">
        <is>
          <t>T1083:File and Directory Discovery</t>
        </is>
      </c>
      <c r="S854" t="n">
        <v>1</v>
      </c>
      <c r="T854" t="inlineStr">
        <is>
          <t>LOW (40%)</t>
        </is>
      </c>
      <c r="U854" t="inlineStr">
        <is>
          <t>UNLIKELY</t>
        </is>
      </c>
      <c r="V854" t="inlineStr">
        <is>
          <t>CHECK_VENDOR</t>
        </is>
      </c>
      <c r="W854" t="inlineStr">
        <is>
          <t>https://nvd.nist.gov/vuln/detail/CVE-2026-26228</t>
        </is>
      </c>
      <c r="X854" t="inlineStr">
        <is>
          <t>NONE</t>
        </is>
      </c>
      <c r="Y854" t="n">
        <v>0</v>
      </c>
      <c r="Z854" t="inlineStr"/>
      <c r="AA854" t="inlineStr">
        <is>
          <t>https://nvd.nist.gov/vuln/detail/CVE-2026-26228</t>
        </is>
      </c>
    </row>
    <row r="855">
      <c r="A855" t="inlineStr">
        <is>
          <t>CVE</t>
        </is>
      </c>
      <c r="B855" t="inlineStr">
        <is>
          <t>CVE-2026-26265</t>
        </is>
      </c>
      <c r="C855"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855" t="n">
        <v>7.5</v>
      </c>
      <c r="E855" t="inlineStr">
        <is>
          <t>HIGH</t>
        </is>
      </c>
      <c r="F855" t="n">
        <v>2</v>
      </c>
      <c r="G855" t="n">
        <v>3</v>
      </c>
      <c r="H855" t="inlineStr">
        <is>
          <t>HIGH</t>
        </is>
      </c>
      <c r="I855" t="n">
        <v>13.5</v>
      </c>
      <c r="J855" t="inlineStr">
        <is>
          <t>NO</t>
        </is>
      </c>
      <c r="K855" t="inlineStr">
        <is>
          <t>2026-02-27 20:47</t>
        </is>
      </c>
      <c r="L855" t="inlineStr">
        <is>
          <t>CHECK_VENDOR</t>
        </is>
      </c>
      <c r="M855" t="inlineStr">
        <is>
          <t>See CVE details</t>
        </is>
      </c>
      <c r="N855" t="inlineStr">
        <is>
          <t>P3</t>
        </is>
      </c>
      <c r="O855" t="inlineStr">
        <is>
          <t>CVE - IP enrichment n/a</t>
        </is>
      </c>
      <c r="P855" t="n">
        <v>0.0003</v>
      </c>
      <c r="Q855" t="n">
        <v>0.0887</v>
      </c>
      <c r="R855" t="inlineStr">
        <is>
          <t>T1190:Exploit Public-Facing Application</t>
        </is>
      </c>
      <c r="S855" t="n">
        <v>1</v>
      </c>
      <c r="T855" t="inlineStr">
        <is>
          <t>LOW (40%)</t>
        </is>
      </c>
      <c r="U855" t="inlineStr">
        <is>
          <t>UNLIKELY</t>
        </is>
      </c>
      <c r="V855" t="inlineStr">
        <is>
          <t>CHECK_VENDOR</t>
        </is>
      </c>
      <c r="W855" t="inlineStr">
        <is>
          <t>https://nvd.nist.gov/vuln/detail/CVE-2026-26265</t>
        </is>
      </c>
      <c r="X855" t="inlineStr">
        <is>
          <t>NONE</t>
        </is>
      </c>
      <c r="Y855" t="n">
        <v>0</v>
      </c>
      <c r="Z855" t="inlineStr"/>
      <c r="AA855" t="inlineStr">
        <is>
          <t>https://nvd.nist.gov/vuln/detail/CVE-2026-26265</t>
        </is>
      </c>
    </row>
    <row r="856">
      <c r="A856" t="inlineStr">
        <is>
          <t>CVE</t>
        </is>
      </c>
      <c r="B856" t="inlineStr">
        <is>
          <t>CVE-2026-28295</t>
        </is>
      </c>
      <c r="C856"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856" t="n">
        <v>4.3</v>
      </c>
      <c r="E856" t="inlineStr">
        <is>
          <t>MEDIUM</t>
        </is>
      </c>
      <c r="F856" t="n">
        <v>2</v>
      </c>
      <c r="G856" t="n">
        <v>2</v>
      </c>
      <c r="H856" t="inlineStr">
        <is>
          <t>MEDIUM</t>
        </is>
      </c>
      <c r="I856" t="n">
        <v>8.300000000000001</v>
      </c>
      <c r="J856" t="inlineStr">
        <is>
          <t>NO</t>
        </is>
      </c>
      <c r="K856" t="inlineStr">
        <is>
          <t>2026-02-27 20:47</t>
        </is>
      </c>
      <c r="L856" t="inlineStr">
        <is>
          <t>CHECK_VENDOR</t>
        </is>
      </c>
      <c r="M856" t="inlineStr">
        <is>
          <t>See CVE details</t>
        </is>
      </c>
      <c r="N856" t="inlineStr">
        <is>
          <t>P4</t>
        </is>
      </c>
      <c r="O856" t="inlineStr">
        <is>
          <t>CVE - IP enrichment n/a</t>
        </is>
      </c>
      <c r="P856" t="n">
        <v>0.0003</v>
      </c>
      <c r="Q856" t="n">
        <v>0.0772</v>
      </c>
      <c r="R856" t="inlineStr">
        <is>
          <t>T1090:Proxy</t>
        </is>
      </c>
      <c r="S856" t="n">
        <v>1</v>
      </c>
      <c r="T856" t="inlineStr">
        <is>
          <t>LOW (40%)</t>
        </is>
      </c>
      <c r="U856" t="inlineStr">
        <is>
          <t>UNLIKELY</t>
        </is>
      </c>
      <c r="V856" t="inlineStr">
        <is>
          <t>CHECK_VENDOR</t>
        </is>
      </c>
      <c r="W856" t="inlineStr">
        <is>
          <t>https://nvd.nist.gov/vuln/detail/CVE-2026-28295</t>
        </is>
      </c>
      <c r="X856" t="inlineStr">
        <is>
          <t>NONE</t>
        </is>
      </c>
      <c r="Y856" t="n">
        <v>0</v>
      </c>
      <c r="Z856" t="inlineStr"/>
      <c r="AA856" t="inlineStr">
        <is>
          <t>https://nvd.nist.gov/vuln/detail/CVE-2026-28295</t>
        </is>
      </c>
    </row>
    <row r="857">
      <c r="A857" t="inlineStr">
        <is>
          <t>CVE</t>
        </is>
      </c>
      <c r="B857" t="inlineStr">
        <is>
          <t>CVE-2026-28296</t>
        </is>
      </c>
      <c r="C857"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857" t="n">
        <v>4.3</v>
      </c>
      <c r="E857" t="inlineStr">
        <is>
          <t>MEDIUM</t>
        </is>
      </c>
      <c r="F857" t="n">
        <v>2</v>
      </c>
      <c r="G857" t="n">
        <v>2</v>
      </c>
      <c r="H857" t="inlineStr">
        <is>
          <t>MEDIUM</t>
        </is>
      </c>
      <c r="I857" t="n">
        <v>8.300000000000001</v>
      </c>
      <c r="J857" t="inlineStr">
        <is>
          <t>NO</t>
        </is>
      </c>
      <c r="K857" t="inlineStr">
        <is>
          <t>2026-02-27 20:47</t>
        </is>
      </c>
      <c r="L857" t="inlineStr">
        <is>
          <t>CHECK_VENDOR</t>
        </is>
      </c>
      <c r="M857" t="inlineStr">
        <is>
          <t>See CVE details</t>
        </is>
      </c>
      <c r="N857" t="inlineStr">
        <is>
          <t>P4</t>
        </is>
      </c>
      <c r="O857" t="inlineStr">
        <is>
          <t>CVE - IP enrichment n/a</t>
        </is>
      </c>
      <c r="P857" t="n">
        <v>0.0005999999999999999</v>
      </c>
      <c r="Q857" t="n">
        <v>0.1726</v>
      </c>
      <c r="R857" t="inlineStr">
        <is>
          <t>T1203:Exploitation for Client Execution</t>
        </is>
      </c>
      <c r="S857" t="n">
        <v>1</v>
      </c>
      <c r="T857" t="inlineStr">
        <is>
          <t>LOW (40%)</t>
        </is>
      </c>
      <c r="U857" t="inlineStr">
        <is>
          <t>UNLIKELY</t>
        </is>
      </c>
      <c r="V857" t="inlineStr">
        <is>
          <t>CHECK_VENDOR</t>
        </is>
      </c>
      <c r="W857" t="inlineStr">
        <is>
          <t>https://nvd.nist.gov/vuln/detail/CVE-2026-28296</t>
        </is>
      </c>
      <c r="X857" t="inlineStr">
        <is>
          <t>NONE</t>
        </is>
      </c>
      <c r="Y857" t="n">
        <v>0</v>
      </c>
      <c r="Z857" t="inlineStr"/>
      <c r="AA857" t="inlineStr">
        <is>
          <t>https://nvd.nist.gov/vuln/detail/CVE-2026-28296</t>
        </is>
      </c>
    </row>
    <row r="858">
      <c r="A858" t="inlineStr">
        <is>
          <t>CVE</t>
        </is>
      </c>
      <c r="B858" t="inlineStr">
        <is>
          <t>CVE-2025-50857</t>
        </is>
      </c>
      <c r="C858" t="inlineStr">
        <is>
          <t>ZenTaoPMS v18.11 through v21.6.beta is vulnerable to Directory Traversal in /module/ai/control.php. This allows attackers to execute arbitrary code via a crafted file upload</t>
        </is>
      </c>
      <c r="D858" t="n">
        <v>9.800000000000001</v>
      </c>
      <c r="E858" t="inlineStr">
        <is>
          <t>CRITICAL</t>
        </is>
      </c>
      <c r="F858" t="n">
        <v>2</v>
      </c>
      <c r="G858" t="n">
        <v>3</v>
      </c>
      <c r="H858" t="inlineStr">
        <is>
          <t>HIGH</t>
        </is>
      </c>
      <c r="I858" t="n">
        <v>15.8</v>
      </c>
      <c r="J858" t="inlineStr">
        <is>
          <t>NO</t>
        </is>
      </c>
      <c r="K858" t="inlineStr">
        <is>
          <t>2026-02-27 20:47</t>
        </is>
      </c>
      <c r="L858" t="inlineStr">
        <is>
          <t>CHECK_VENDOR</t>
        </is>
      </c>
      <c r="M858" t="inlineStr">
        <is>
          <t>See CVE details</t>
        </is>
      </c>
      <c r="N858" t="inlineStr">
        <is>
          <t>P3</t>
        </is>
      </c>
      <c r="O858" t="inlineStr">
        <is>
          <t>CVE - IP enrichment n/a</t>
        </is>
      </c>
      <c r="P858" t="n">
        <v>0.0058</v>
      </c>
      <c r="Q858" t="n">
        <v>0.6846</v>
      </c>
      <c r="R858" t="inlineStr">
        <is>
          <t>T1083:File and Directory Discovery | T1203:Exploitation for Client Execution</t>
        </is>
      </c>
      <c r="S858" t="n">
        <v>1</v>
      </c>
      <c r="T858" t="inlineStr">
        <is>
          <t>LOW (40%)</t>
        </is>
      </c>
      <c r="U858" t="inlineStr">
        <is>
          <t>UNLIKELY</t>
        </is>
      </c>
      <c r="V858" t="inlineStr">
        <is>
          <t>CHECK_VENDOR</t>
        </is>
      </c>
      <c r="W858" t="inlineStr">
        <is>
          <t>https://nvd.nist.gov/vuln/detail/CVE-2025-50857</t>
        </is>
      </c>
      <c r="X858" t="inlineStr">
        <is>
          <t>NONE</t>
        </is>
      </c>
      <c r="Y858" t="n">
        <v>0</v>
      </c>
      <c r="Z858" t="inlineStr"/>
      <c r="AA858" t="inlineStr">
        <is>
          <t>https://nvd.nist.gov/vuln/detail/CVE-2025-50857</t>
        </is>
      </c>
    </row>
    <row r="859">
      <c r="A859" t="inlineStr">
        <is>
          <t>CVE</t>
        </is>
      </c>
      <c r="B859" t="inlineStr">
        <is>
          <t>CVE-2026-23747</t>
        </is>
      </c>
      <c r="C859"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859" t="n">
        <v>3.7</v>
      </c>
      <c r="E859" t="inlineStr">
        <is>
          <t>LOW</t>
        </is>
      </c>
      <c r="F859" t="n">
        <v>2</v>
      </c>
      <c r="G859" t="n">
        <v>1</v>
      </c>
      <c r="H859" t="inlineStr">
        <is>
          <t>LOW</t>
        </is>
      </c>
      <c r="I859" t="n">
        <v>5.7</v>
      </c>
      <c r="J859" t="inlineStr">
        <is>
          <t>NO</t>
        </is>
      </c>
      <c r="K859" t="inlineStr">
        <is>
          <t>2026-02-27 20:47</t>
        </is>
      </c>
      <c r="L859" t="inlineStr">
        <is>
          <t>CHECK_VENDOR</t>
        </is>
      </c>
      <c r="M859" t="inlineStr">
        <is>
          <t>See CVE details</t>
        </is>
      </c>
      <c r="N859" t="inlineStr">
        <is>
          <t>P4</t>
        </is>
      </c>
      <c r="O859" t="inlineStr">
        <is>
          <t>CVE - IP enrichment n/a</t>
        </is>
      </c>
      <c r="P859" t="n">
        <v>0.0004</v>
      </c>
      <c r="Q859" t="n">
        <v>0.1157</v>
      </c>
      <c r="R859" t="inlineStr">
        <is>
          <t>T1190:Exploit Public-Facing Application | T1203:Exploitation for Client Execution | T1499:Endpoint Denial of Service</t>
        </is>
      </c>
      <c r="S859" t="n">
        <v>1</v>
      </c>
      <c r="T859" t="inlineStr">
        <is>
          <t>LOW (40%)</t>
        </is>
      </c>
      <c r="U859" t="inlineStr">
        <is>
          <t>UNLIKELY</t>
        </is>
      </c>
      <c r="V859" t="inlineStr">
        <is>
          <t>CHECK_VENDOR</t>
        </is>
      </c>
      <c r="W859" t="inlineStr">
        <is>
          <t>https://nvd.nist.gov/vuln/detail/CVE-2026-23747</t>
        </is>
      </c>
      <c r="X859" t="inlineStr">
        <is>
          <t>NONE</t>
        </is>
      </c>
      <c r="Y859" t="n">
        <v>0</v>
      </c>
      <c r="Z859" t="inlineStr"/>
      <c r="AA859" t="inlineStr">
        <is>
          <t>https://nvd.nist.gov/vuln/detail/CVE-2026-23747</t>
        </is>
      </c>
    </row>
    <row r="860">
      <c r="A860" t="inlineStr">
        <is>
          <t>CVE</t>
        </is>
      </c>
      <c r="B860" t="inlineStr">
        <is>
          <t>CVE-2026-23748</t>
        </is>
      </c>
      <c r="C860"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860" t="n">
        <v>3.7</v>
      </c>
      <c r="E860" t="inlineStr">
        <is>
          <t>LOW</t>
        </is>
      </c>
      <c r="F860" t="n">
        <v>2</v>
      </c>
      <c r="G860" t="n">
        <v>1</v>
      </c>
      <c r="H860" t="inlineStr">
        <is>
          <t>LOW</t>
        </is>
      </c>
      <c r="I860" t="n">
        <v>5.7</v>
      </c>
      <c r="J860" t="inlineStr">
        <is>
          <t>NO</t>
        </is>
      </c>
      <c r="K860" t="inlineStr">
        <is>
          <t>2026-02-27 20:47</t>
        </is>
      </c>
      <c r="L860" t="inlineStr">
        <is>
          <t>CHECK_VENDOR</t>
        </is>
      </c>
      <c r="M860" t="inlineStr">
        <is>
          <t>See CVE details</t>
        </is>
      </c>
      <c r="N860" t="inlineStr">
        <is>
          <t>P4</t>
        </is>
      </c>
      <c r="O860" t="inlineStr">
        <is>
          <t>CVE - IP enrichment n/a</t>
        </is>
      </c>
      <c r="P860" t="n">
        <v>0.0003</v>
      </c>
      <c r="Q860" t="n">
        <v>0.09329999999999999</v>
      </c>
      <c r="R860" t="inlineStr">
        <is>
          <t>T1499:Endpoint Denial of Service | T1203:Exploitation for Client Execution | T1557:Adversary-in-the-Middle</t>
        </is>
      </c>
      <c r="S860" t="n">
        <v>1</v>
      </c>
      <c r="T860" t="inlineStr">
        <is>
          <t>LOW (40%)</t>
        </is>
      </c>
      <c r="U860" t="inlineStr">
        <is>
          <t>UNLIKELY</t>
        </is>
      </c>
      <c r="V860" t="inlineStr">
        <is>
          <t>CHECK_VENDOR</t>
        </is>
      </c>
      <c r="W860" t="inlineStr">
        <is>
          <t>https://nvd.nist.gov/vuln/detail/CVE-2026-23748</t>
        </is>
      </c>
      <c r="X860" t="inlineStr">
        <is>
          <t>NONE</t>
        </is>
      </c>
      <c r="Y860" t="n">
        <v>0</v>
      </c>
      <c r="Z860" t="inlineStr"/>
      <c r="AA860" t="inlineStr">
        <is>
          <t>https://nvd.nist.gov/vuln/detail/CVE-2026-23748</t>
        </is>
      </c>
    </row>
    <row r="861">
      <c r="A861" t="inlineStr">
        <is>
          <t>CVE</t>
        </is>
      </c>
      <c r="B861" t="inlineStr">
        <is>
          <t>CVE-2026-23749</t>
        </is>
      </c>
      <c r="C861"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861" t="n">
        <v>2.9</v>
      </c>
      <c r="E861" t="inlineStr">
        <is>
          <t>LOW</t>
        </is>
      </c>
      <c r="F861" t="n">
        <v>2</v>
      </c>
      <c r="G861" t="n">
        <v>1</v>
      </c>
      <c r="H861" t="inlineStr">
        <is>
          <t>LOW</t>
        </is>
      </c>
      <c r="I861" t="n">
        <v>4.9</v>
      </c>
      <c r="J861" t="inlineStr">
        <is>
          <t>NO</t>
        </is>
      </c>
      <c r="K861" t="inlineStr">
        <is>
          <t>2026-02-27 20:47</t>
        </is>
      </c>
      <c r="L861" t="inlineStr">
        <is>
          <t>CHECK_VENDOR</t>
        </is>
      </c>
      <c r="M861" t="inlineStr">
        <is>
          <t>See CVE details</t>
        </is>
      </c>
      <c r="N861" t="inlineStr">
        <is>
          <t>P4</t>
        </is>
      </c>
      <c r="O861" t="inlineStr">
        <is>
          <t>CVE - IP enrichment n/a</t>
        </is>
      </c>
      <c r="P861" t="n">
        <v>0.0001</v>
      </c>
      <c r="Q861" t="n">
        <v>0.0189</v>
      </c>
      <c r="R861" t="inlineStr">
        <is>
          <t>T1499:Endpoint Denial of Service | T1203:Exploitation for Client Execution</t>
        </is>
      </c>
      <c r="S861" t="n">
        <v>1</v>
      </c>
      <c r="T861" t="inlineStr">
        <is>
          <t>LOW (40%)</t>
        </is>
      </c>
      <c r="U861" t="inlineStr">
        <is>
          <t>UNLIKELY</t>
        </is>
      </c>
      <c r="V861" t="inlineStr">
        <is>
          <t>CHECK_VENDOR</t>
        </is>
      </c>
      <c r="W861" t="inlineStr">
        <is>
          <t>https://nvd.nist.gov/vuln/detail/CVE-2026-23749</t>
        </is>
      </c>
      <c r="X861" t="inlineStr">
        <is>
          <t>NONE</t>
        </is>
      </c>
      <c r="Y861" t="n">
        <v>0</v>
      </c>
      <c r="Z861" t="inlineStr"/>
      <c r="AA861" t="inlineStr">
        <is>
          <t>https://nvd.nist.gov/vuln/detail/CVE-2026-23749</t>
        </is>
      </c>
    </row>
    <row r="862">
      <c r="A862" t="inlineStr">
        <is>
          <t>CVE</t>
        </is>
      </c>
      <c r="B862" t="inlineStr">
        <is>
          <t>CVE-2026-23750</t>
        </is>
      </c>
      <c r="C862"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862" t="n">
        <v>8.1</v>
      </c>
      <c r="E862" t="inlineStr">
        <is>
          <t>HIGH</t>
        </is>
      </c>
      <c r="F862" t="n">
        <v>2</v>
      </c>
      <c r="G862" t="n">
        <v>3</v>
      </c>
      <c r="H862" t="inlineStr">
        <is>
          <t>HIGH</t>
        </is>
      </c>
      <c r="I862" t="n">
        <v>14.1</v>
      </c>
      <c r="J862" t="inlineStr">
        <is>
          <t>NO</t>
        </is>
      </c>
      <c r="K862" t="inlineStr">
        <is>
          <t>2026-02-27 20:47</t>
        </is>
      </c>
      <c r="L862" t="inlineStr">
        <is>
          <t>CHECK_VENDOR</t>
        </is>
      </c>
      <c r="M862" t="inlineStr">
        <is>
          <t>See CVE details</t>
        </is>
      </c>
      <c r="N862" t="inlineStr">
        <is>
          <t>P3</t>
        </is>
      </c>
      <c r="O862" t="inlineStr">
        <is>
          <t>CVE - IP enrichment n/a</t>
        </is>
      </c>
      <c r="P862" t="n">
        <v>0.0001</v>
      </c>
      <c r="Q862" t="n">
        <v>0.0127</v>
      </c>
      <c r="R862" t="inlineStr">
        <is>
          <t>T1203:Exploitation for Client Execution</t>
        </is>
      </c>
      <c r="S862" t="n">
        <v>1</v>
      </c>
      <c r="T862" t="inlineStr">
        <is>
          <t>LOW (40%)</t>
        </is>
      </c>
      <c r="U862" t="inlineStr">
        <is>
          <t>UNLIKELY</t>
        </is>
      </c>
      <c r="V862" t="inlineStr">
        <is>
          <t>CHECK_VENDOR</t>
        </is>
      </c>
      <c r="W862" t="inlineStr">
        <is>
          <t>https://nvd.nist.gov/vuln/detail/CVE-2026-23750</t>
        </is>
      </c>
      <c r="X862" t="inlineStr">
        <is>
          <t>NONE</t>
        </is>
      </c>
      <c r="Y862" t="n">
        <v>0</v>
      </c>
      <c r="Z862" t="inlineStr"/>
      <c r="AA862" t="inlineStr">
        <is>
          <t>https://nvd.nist.gov/vuln/detail/CVE-2026-23750</t>
        </is>
      </c>
    </row>
    <row r="863">
      <c r="A863" t="inlineStr">
        <is>
          <t>CVE</t>
        </is>
      </c>
      <c r="B863" t="inlineStr">
        <is>
          <t>CVE-2026-26227</t>
        </is>
      </c>
      <c r="C863"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863" t="n">
        <v>8.5</v>
      </c>
      <c r="E863" t="inlineStr">
        <is>
          <t>HIGH</t>
        </is>
      </c>
      <c r="F863" t="n">
        <v>2</v>
      </c>
      <c r="G863" t="n">
        <v>3</v>
      </c>
      <c r="H863" t="inlineStr">
        <is>
          <t>HIGH</t>
        </is>
      </c>
      <c r="I863" t="n">
        <v>14.5</v>
      </c>
      <c r="J863" t="inlineStr">
        <is>
          <t>NO</t>
        </is>
      </c>
      <c r="K863" t="inlineStr">
        <is>
          <t>2026-02-27 20:47</t>
        </is>
      </c>
      <c r="L863" t="inlineStr">
        <is>
          <t>CHECK_VENDOR</t>
        </is>
      </c>
      <c r="M863" t="inlineStr">
        <is>
          <t>See CVE details</t>
        </is>
      </c>
      <c r="N863" t="inlineStr">
        <is>
          <t>P3</t>
        </is>
      </c>
      <c r="O863" t="inlineStr">
        <is>
          <t>CVE - IP enrichment n/a</t>
        </is>
      </c>
      <c r="P863" t="n">
        <v>0.0013</v>
      </c>
      <c r="Q863" t="n">
        <v>0.321</v>
      </c>
      <c r="R863" t="inlineStr">
        <is>
          <t>T1190:Exploit Public-Facing Application | T1078:Valid Accounts</t>
        </is>
      </c>
      <c r="S863" t="n">
        <v>1</v>
      </c>
      <c r="T863" t="inlineStr">
        <is>
          <t>LOW (40%)</t>
        </is>
      </c>
      <c r="U863" t="inlineStr">
        <is>
          <t>UNLIKELY</t>
        </is>
      </c>
      <c r="V863" t="inlineStr">
        <is>
          <t>CHECK_VENDOR</t>
        </is>
      </c>
      <c r="W863" t="inlineStr">
        <is>
          <t>https://nvd.nist.gov/vuln/detail/CVE-2026-26227</t>
        </is>
      </c>
      <c r="X863" t="inlineStr">
        <is>
          <t>NONE</t>
        </is>
      </c>
      <c r="Y863" t="n">
        <v>0</v>
      </c>
      <c r="Z863" t="inlineStr"/>
      <c r="AA863" t="inlineStr">
        <is>
          <t>https://nvd.nist.gov/vuln/detail/CVE-2026-26227</t>
        </is>
      </c>
    </row>
    <row r="864">
      <c r="A864" t="inlineStr">
        <is>
          <t>CVE</t>
        </is>
      </c>
      <c r="B864" t="inlineStr">
        <is>
          <t>CVE-2026-26682</t>
        </is>
      </c>
      <c r="C864" t="inlineStr">
        <is>
          <t>An issue in fastCMS before v.0.1.6 allows a local attacker to execute arbitrary code via the PluginController.java component</t>
        </is>
      </c>
      <c r="D864" t="n">
        <v>7.8</v>
      </c>
      <c r="E864" t="inlineStr">
        <is>
          <t>HIGH</t>
        </is>
      </c>
      <c r="F864" t="n">
        <v>2</v>
      </c>
      <c r="G864" t="n">
        <v>3</v>
      </c>
      <c r="H864" t="inlineStr">
        <is>
          <t>HIGH</t>
        </is>
      </c>
      <c r="I864" t="n">
        <v>13.8</v>
      </c>
      <c r="J864" t="inlineStr">
        <is>
          <t>NO</t>
        </is>
      </c>
      <c r="K864" t="inlineStr">
        <is>
          <t>2026-02-27 20:47</t>
        </is>
      </c>
      <c r="L864" t="inlineStr">
        <is>
          <t>CHECK_VENDOR</t>
        </is>
      </c>
      <c r="M864" t="inlineStr">
        <is>
          <t>See CVE details</t>
        </is>
      </c>
      <c r="N864" t="inlineStr">
        <is>
          <t>P3</t>
        </is>
      </c>
      <c r="O864" t="inlineStr">
        <is>
          <t>CVE - IP enrichment n/a</t>
        </is>
      </c>
      <c r="P864" t="n">
        <v>0.0002</v>
      </c>
      <c r="Q864" t="n">
        <v>0.0532</v>
      </c>
      <c r="R864" t="inlineStr">
        <is>
          <t>T1059:Command and Scripting Interpreter | T1203:Exploitation for Client Execution</t>
        </is>
      </c>
      <c r="S864" t="n">
        <v>1</v>
      </c>
      <c r="T864" t="inlineStr">
        <is>
          <t>LOW (40%)</t>
        </is>
      </c>
      <c r="U864" t="inlineStr">
        <is>
          <t>UNLIKELY</t>
        </is>
      </c>
      <c r="V864" t="inlineStr">
        <is>
          <t>CHECK_VENDOR</t>
        </is>
      </c>
      <c r="W864" t="inlineStr">
        <is>
          <t>https://nvd.nist.gov/vuln/detail/CVE-2026-26682</t>
        </is>
      </c>
      <c r="X864" t="inlineStr">
        <is>
          <t>NONE</t>
        </is>
      </c>
      <c r="Y864" t="n">
        <v>0</v>
      </c>
      <c r="Z864" t="inlineStr"/>
      <c r="AA864" t="inlineStr">
        <is>
          <t>https://nvd.nist.gov/vuln/detail/CVE-2026-26682</t>
        </is>
      </c>
    </row>
    <row r="865">
      <c r="A865" t="inlineStr">
        <is>
          <t>CVE</t>
        </is>
      </c>
      <c r="B865" t="inlineStr">
        <is>
          <t>CVE-2026-26932</t>
        </is>
      </c>
      <c r="C865"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865" t="n">
        <v>5.7</v>
      </c>
      <c r="E865" t="inlineStr">
        <is>
          <t>MEDIUM</t>
        </is>
      </c>
      <c r="F865" t="n">
        <v>2</v>
      </c>
      <c r="G865" t="n">
        <v>2</v>
      </c>
      <c r="H865" t="inlineStr">
        <is>
          <t>MEDIUM</t>
        </is>
      </c>
      <c r="I865" t="n">
        <v>9.699999999999999</v>
      </c>
      <c r="J865" t="inlineStr">
        <is>
          <t>NO</t>
        </is>
      </c>
      <c r="K865" t="inlineStr">
        <is>
          <t>2026-02-27 20:47</t>
        </is>
      </c>
      <c r="L865" t="inlineStr">
        <is>
          <t>CHECK_VENDOR</t>
        </is>
      </c>
      <c r="M865" t="inlineStr">
        <is>
          <t>See CVE details</t>
        </is>
      </c>
      <c r="N865" t="inlineStr">
        <is>
          <t>P4</t>
        </is>
      </c>
      <c r="O865" t="inlineStr">
        <is>
          <t>CVE - IP enrichment n/a</t>
        </is>
      </c>
      <c r="P865" t="n">
        <v>0.0001</v>
      </c>
      <c r="Q865" t="n">
        <v>0.007900000000000001</v>
      </c>
      <c r="R865" t="inlineStr">
        <is>
          <t>T1499:Endpoint Denial of Service</t>
        </is>
      </c>
      <c r="S865" t="n">
        <v>1</v>
      </c>
      <c r="T865" t="inlineStr">
        <is>
          <t>LOW (40%)</t>
        </is>
      </c>
      <c r="U865" t="inlineStr">
        <is>
          <t>UNLIKELY</t>
        </is>
      </c>
      <c r="V865" t="inlineStr">
        <is>
          <t>CHECK_VENDOR</t>
        </is>
      </c>
      <c r="W865" t="inlineStr">
        <is>
          <t>https://nvd.nist.gov/vuln/detail/CVE-2026-26932</t>
        </is>
      </c>
      <c r="X865" t="inlineStr">
        <is>
          <t>NONE</t>
        </is>
      </c>
      <c r="Y865" t="n">
        <v>0</v>
      </c>
      <c r="Z865" t="inlineStr"/>
      <c r="AA865" t="inlineStr">
        <is>
          <t>https://nvd.nist.gov/vuln/detail/CVE-2026-26932</t>
        </is>
      </c>
    </row>
    <row r="866">
      <c r="A866" t="inlineStr">
        <is>
          <t>CVE</t>
        </is>
      </c>
      <c r="B866" t="inlineStr">
        <is>
          <t>CVE-2026-26934</t>
        </is>
      </c>
      <c r="C866"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866" t="n">
        <v>6.5</v>
      </c>
      <c r="E866" t="inlineStr">
        <is>
          <t>MEDIUM</t>
        </is>
      </c>
      <c r="F866" t="n">
        <v>2</v>
      </c>
      <c r="G866" t="n">
        <v>2</v>
      </c>
      <c r="H866" t="inlineStr">
        <is>
          <t>MEDIUM</t>
        </is>
      </c>
      <c r="I866" t="n">
        <v>10.5</v>
      </c>
      <c r="J866" t="inlineStr">
        <is>
          <t>NO</t>
        </is>
      </c>
      <c r="K866" t="inlineStr">
        <is>
          <t>2026-02-27 20:47</t>
        </is>
      </c>
      <c r="L866" t="inlineStr">
        <is>
          <t>CHECK_VENDOR</t>
        </is>
      </c>
      <c r="M866" t="inlineStr">
        <is>
          <t>See CVE details</t>
        </is>
      </c>
      <c r="N866" t="inlineStr">
        <is>
          <t>P4</t>
        </is>
      </c>
      <c r="O866" t="inlineStr">
        <is>
          <t>CVE - IP enrichment n/a</t>
        </is>
      </c>
      <c r="P866" t="n">
        <v>0.0004</v>
      </c>
      <c r="Q866" t="n">
        <v>0.1335</v>
      </c>
      <c r="R866" t="inlineStr">
        <is>
          <t>T1190:Exploit Public-Facing Application | T1499:Endpoint Denial of Service</t>
        </is>
      </c>
      <c r="S866" t="n">
        <v>1</v>
      </c>
      <c r="T866" t="inlineStr">
        <is>
          <t>LOW (40%)</t>
        </is>
      </c>
      <c r="U866" t="inlineStr">
        <is>
          <t>UNLIKELY</t>
        </is>
      </c>
      <c r="V866" t="inlineStr">
        <is>
          <t>CHECK_VENDOR</t>
        </is>
      </c>
      <c r="W866" t="inlineStr">
        <is>
          <t>https://nvd.nist.gov/vuln/detail/CVE-2026-26934</t>
        </is>
      </c>
      <c r="X866" t="inlineStr">
        <is>
          <t>NONE</t>
        </is>
      </c>
      <c r="Y866" t="n">
        <v>0</v>
      </c>
      <c r="Z866" t="inlineStr"/>
      <c r="AA866" t="inlineStr">
        <is>
          <t>https://nvd.nist.gov/vuln/detail/CVE-2026-26934</t>
        </is>
      </c>
    </row>
    <row r="867">
      <c r="A867" t="inlineStr">
        <is>
          <t>CVE</t>
        </is>
      </c>
      <c r="B867" t="inlineStr">
        <is>
          <t>CVE-2026-26935</t>
        </is>
      </c>
      <c r="C867" t="inlineStr">
        <is>
          <t>Improper Input Validation (CWE-20) in the internal Content Connectors search endpoint in Kibana can lead Denial of Service via Input Data Manipulation (CAPEC-153)</t>
        </is>
      </c>
      <c r="D867" t="n">
        <v>6.5</v>
      </c>
      <c r="E867" t="inlineStr">
        <is>
          <t>MEDIUM</t>
        </is>
      </c>
      <c r="F867" t="n">
        <v>2</v>
      </c>
      <c r="G867" t="n">
        <v>2</v>
      </c>
      <c r="H867" t="inlineStr">
        <is>
          <t>MEDIUM</t>
        </is>
      </c>
      <c r="I867" t="n">
        <v>10.5</v>
      </c>
      <c r="J867" t="inlineStr">
        <is>
          <t>NO</t>
        </is>
      </c>
      <c r="K867" t="inlineStr">
        <is>
          <t>2026-02-27 20:47</t>
        </is>
      </c>
      <c r="L867" t="inlineStr">
        <is>
          <t>CHECK_VENDOR</t>
        </is>
      </c>
      <c r="M867" t="inlineStr">
        <is>
          <t>See CVE details</t>
        </is>
      </c>
      <c r="N867" t="inlineStr">
        <is>
          <t>P4</t>
        </is>
      </c>
      <c r="O867" t="inlineStr">
        <is>
          <t>CVE - IP enrichment n/a</t>
        </is>
      </c>
      <c r="P867" t="n">
        <v>0.0004</v>
      </c>
      <c r="Q867" t="n">
        <v>0.1335</v>
      </c>
      <c r="R867" t="inlineStr">
        <is>
          <t>T1499:Endpoint Denial of Service</t>
        </is>
      </c>
      <c r="S867" t="n">
        <v>1</v>
      </c>
      <c r="T867" t="inlineStr">
        <is>
          <t>LOW (40%)</t>
        </is>
      </c>
      <c r="U867" t="inlineStr">
        <is>
          <t>UNLIKELY</t>
        </is>
      </c>
      <c r="V867" t="inlineStr">
        <is>
          <t>CHECK_VENDOR</t>
        </is>
      </c>
      <c r="W867" t="inlineStr">
        <is>
          <t>https://nvd.nist.gov/vuln/detail/CVE-2026-26935</t>
        </is>
      </c>
      <c r="X867" t="inlineStr">
        <is>
          <t>NONE</t>
        </is>
      </c>
      <c r="Y867" t="n">
        <v>0</v>
      </c>
      <c r="Z867" t="inlineStr"/>
      <c r="AA867" t="inlineStr">
        <is>
          <t>https://nvd.nist.gov/vuln/detail/CVE-2026-26935</t>
        </is>
      </c>
    </row>
    <row r="868">
      <c r="A868" t="inlineStr">
        <is>
          <t>CVE</t>
        </is>
      </c>
      <c r="B868" t="inlineStr">
        <is>
          <t>CVE-2026-26936</t>
        </is>
      </c>
      <c r="C868" t="inlineStr">
        <is>
          <t>Inefficient Regular Expression Complexity (CWE-1333) in the AI Inference Anonymization Engine in Kibana can lead Denial of Service via Regular Expression Exponential Blowup (CAPEC-492).</t>
        </is>
      </c>
      <c r="D868" t="n">
        <v>4.9</v>
      </c>
      <c r="E868" t="inlineStr">
        <is>
          <t>MEDIUM</t>
        </is>
      </c>
      <c r="F868" t="n">
        <v>2</v>
      </c>
      <c r="G868" t="n">
        <v>2</v>
      </c>
      <c r="H868" t="inlineStr">
        <is>
          <t>MEDIUM</t>
        </is>
      </c>
      <c r="I868" t="n">
        <v>8.9</v>
      </c>
      <c r="J868" t="inlineStr">
        <is>
          <t>NO</t>
        </is>
      </c>
      <c r="K868" t="inlineStr">
        <is>
          <t>2026-02-27 20:47</t>
        </is>
      </c>
      <c r="L868" t="inlineStr">
        <is>
          <t>CHECK_VENDOR</t>
        </is>
      </c>
      <c r="M868" t="inlineStr">
        <is>
          <t>See CVE details</t>
        </is>
      </c>
      <c r="N868" t="inlineStr">
        <is>
          <t>P4</t>
        </is>
      </c>
      <c r="O868" t="inlineStr">
        <is>
          <t>CVE - IP enrichment n/a</t>
        </is>
      </c>
      <c r="P868" t="n">
        <v>0.0004</v>
      </c>
      <c r="Q868" t="n">
        <v>0.1065</v>
      </c>
      <c r="R868" t="inlineStr">
        <is>
          <t>T1499:Endpoint Denial of Service</t>
        </is>
      </c>
      <c r="S868" t="n">
        <v>1</v>
      </c>
      <c r="T868" t="inlineStr">
        <is>
          <t>LOW (40%)</t>
        </is>
      </c>
      <c r="U868" t="inlineStr">
        <is>
          <t>UNLIKELY</t>
        </is>
      </c>
      <c r="V868" t="inlineStr">
        <is>
          <t>CHECK_VENDOR</t>
        </is>
      </c>
      <c r="W868" t="inlineStr">
        <is>
          <t>https://nvd.nist.gov/vuln/detail/CVE-2026-26936</t>
        </is>
      </c>
      <c r="X868" t="inlineStr">
        <is>
          <t>NONE</t>
        </is>
      </c>
      <c r="Y868" t="n">
        <v>0</v>
      </c>
      <c r="Z868" t="inlineStr"/>
      <c r="AA868" t="inlineStr">
        <is>
          <t>https://nvd.nist.gov/vuln/detail/CVE-2026-26936</t>
        </is>
      </c>
    </row>
    <row r="869">
      <c r="A869" t="inlineStr">
        <is>
          <t>CVE</t>
        </is>
      </c>
      <c r="B869" t="inlineStr">
        <is>
          <t>CVE-2026-22715</t>
        </is>
      </c>
      <c r="C869"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869" t="n">
        <v>5.9</v>
      </c>
      <c r="E869" t="inlineStr">
        <is>
          <t>MEDIUM</t>
        </is>
      </c>
      <c r="F869" t="n">
        <v>2</v>
      </c>
      <c r="G869" t="n">
        <v>2</v>
      </c>
      <c r="H869" t="inlineStr">
        <is>
          <t>MEDIUM</t>
        </is>
      </c>
      <c r="I869" t="n">
        <v>9.9</v>
      </c>
      <c r="J869" t="inlineStr">
        <is>
          <t>NO</t>
        </is>
      </c>
      <c r="K869" t="inlineStr">
        <is>
          <t>2026-02-27 20:47</t>
        </is>
      </c>
      <c r="L869" t="inlineStr">
        <is>
          <t>CHECK_VENDOR</t>
        </is>
      </c>
      <c r="M869" t="inlineStr">
        <is>
          <t>See CVE details</t>
        </is>
      </c>
      <c r="N869" t="inlineStr">
        <is>
          <t>P4</t>
        </is>
      </c>
      <c r="O869" t="inlineStr">
        <is>
          <t>CVE - IP enrichment n/a</t>
        </is>
      </c>
      <c r="P869" t="n">
        <v>0.0002</v>
      </c>
      <c r="Q869" t="n">
        <v>0.0416</v>
      </c>
      <c r="R869" t="inlineStr">
        <is>
          <t>T1190:Exploit Public-Facing Application</t>
        </is>
      </c>
      <c r="S869" t="n">
        <v>1</v>
      </c>
      <c r="T869" t="inlineStr">
        <is>
          <t>LOW (40%)</t>
        </is>
      </c>
      <c r="U869" t="inlineStr">
        <is>
          <t>UNLIKELY</t>
        </is>
      </c>
      <c r="V869" t="inlineStr">
        <is>
          <t>CHECK_VENDOR</t>
        </is>
      </c>
      <c r="W869" t="inlineStr">
        <is>
          <t>https://nvd.nist.gov/vuln/detail/CVE-2026-22715</t>
        </is>
      </c>
      <c r="X869" t="inlineStr">
        <is>
          <t>NONE</t>
        </is>
      </c>
      <c r="Y869" t="n">
        <v>0</v>
      </c>
      <c r="Z869" t="inlineStr"/>
      <c r="AA869" t="inlineStr">
        <is>
          <t>https://nvd.nist.gov/vuln/detail/CVE-2026-22715</t>
        </is>
      </c>
    </row>
    <row r="870">
      <c r="A870" t="inlineStr">
        <is>
          <t>CVE</t>
        </is>
      </c>
      <c r="B870" t="inlineStr">
        <is>
          <t>CVE-2026-22722</t>
        </is>
      </c>
      <c r="C870" t="inlineStr">
        <is>
          <t>A malicious actor with authenticated user privileges on a Windows based Workstation host may be able to cause a null pointer dereference error. To Remediate CVE-2026-22722, apply the patches listed in the "Fixed version" column of the 'Response Matrix'</t>
        </is>
      </c>
      <c r="D870" t="n">
        <v>6.1</v>
      </c>
      <c r="E870" t="inlineStr">
        <is>
          <t>MEDIUM</t>
        </is>
      </c>
      <c r="F870" t="n">
        <v>2</v>
      </c>
      <c r="G870" t="n">
        <v>2</v>
      </c>
      <c r="H870" t="inlineStr">
        <is>
          <t>MEDIUM</t>
        </is>
      </c>
      <c r="I870" t="n">
        <v>10.1</v>
      </c>
      <c r="J870" t="inlineStr">
        <is>
          <t>NO</t>
        </is>
      </c>
      <c r="K870" t="inlineStr">
        <is>
          <t>2026-02-27 20:47</t>
        </is>
      </c>
      <c r="L870" t="inlineStr">
        <is>
          <t>CHECK_VENDOR</t>
        </is>
      </c>
      <c r="M870" t="inlineStr">
        <is>
          <t>See CVE details</t>
        </is>
      </c>
      <c r="N870" t="inlineStr">
        <is>
          <t>P4</t>
        </is>
      </c>
      <c r="O870" t="inlineStr">
        <is>
          <t>CVE - IP enrichment n/a</t>
        </is>
      </c>
      <c r="P870" t="n">
        <v>0.0001</v>
      </c>
      <c r="Q870" t="n">
        <v>0.0257</v>
      </c>
      <c r="R870" t="inlineStr">
        <is>
          <t>T1499:Endpoint Denial of Service</t>
        </is>
      </c>
      <c r="S870" t="n">
        <v>1</v>
      </c>
      <c r="T870" t="inlineStr">
        <is>
          <t>LOW (40%)</t>
        </is>
      </c>
      <c r="U870" t="inlineStr">
        <is>
          <t>UNLIKELY</t>
        </is>
      </c>
      <c r="V870" t="inlineStr">
        <is>
          <t>CHECK_VENDOR</t>
        </is>
      </c>
      <c r="W870" t="inlineStr">
        <is>
          <t>https://nvd.nist.gov/vuln/detail/CVE-2026-22722</t>
        </is>
      </c>
      <c r="X870" t="inlineStr">
        <is>
          <t>NONE</t>
        </is>
      </c>
      <c r="Y870" t="n">
        <v>0</v>
      </c>
      <c r="Z870" t="inlineStr"/>
      <c r="AA870" t="inlineStr">
        <is>
          <t>https://nvd.nist.gov/vuln/detail/CVE-2026-22722</t>
        </is>
      </c>
    </row>
    <row r="871">
      <c r="A871" t="inlineStr">
        <is>
          <t>CVE</t>
        </is>
      </c>
      <c r="B871" t="inlineStr">
        <is>
          <t>CVE-2026-26937</t>
        </is>
      </c>
      <c r="C871" t="inlineStr">
        <is>
          <t>Uncontrolled Resource Consumption (CWE-400) in the Timelion component in Kibana can lead Denial of Service via Input Data Manipulation (CAPEC-153)</t>
        </is>
      </c>
      <c r="D871" t="n">
        <v>6.5</v>
      </c>
      <c r="E871" t="inlineStr">
        <is>
          <t>MEDIUM</t>
        </is>
      </c>
      <c r="F871" t="n">
        <v>2</v>
      </c>
      <c r="G871" t="n">
        <v>2</v>
      </c>
      <c r="H871" t="inlineStr">
        <is>
          <t>MEDIUM</t>
        </is>
      </c>
      <c r="I871" t="n">
        <v>10.5</v>
      </c>
      <c r="J871" t="inlineStr">
        <is>
          <t>NO</t>
        </is>
      </c>
      <c r="K871" t="inlineStr">
        <is>
          <t>2026-02-27 20:47</t>
        </is>
      </c>
      <c r="L871" t="inlineStr">
        <is>
          <t>CHECK_VENDOR</t>
        </is>
      </c>
      <c r="M871" t="inlineStr">
        <is>
          <t>See CVE details</t>
        </is>
      </c>
      <c r="N871" t="inlineStr">
        <is>
          <t>P4</t>
        </is>
      </c>
      <c r="O871" t="inlineStr">
        <is>
          <t>CVE - IP enrichment n/a</t>
        </is>
      </c>
      <c r="P871" t="n">
        <v>0.0004</v>
      </c>
      <c r="Q871" t="n">
        <v>0.1178</v>
      </c>
      <c r="R871" t="inlineStr">
        <is>
          <t>T1190:Exploit Public-Facing Application | T1499:Endpoint Denial of Service</t>
        </is>
      </c>
      <c r="S871" t="n">
        <v>1</v>
      </c>
      <c r="T871" t="inlineStr">
        <is>
          <t>LOW (40%)</t>
        </is>
      </c>
      <c r="U871" t="inlineStr">
        <is>
          <t>UNLIKELY</t>
        </is>
      </c>
      <c r="V871" t="inlineStr">
        <is>
          <t>CHECK_VENDOR</t>
        </is>
      </c>
      <c r="W871" t="inlineStr">
        <is>
          <t>https://nvd.nist.gov/vuln/detail/CVE-2026-26937</t>
        </is>
      </c>
      <c r="X871" t="inlineStr">
        <is>
          <t>NONE</t>
        </is>
      </c>
      <c r="Y871" t="n">
        <v>0</v>
      </c>
      <c r="Z871" t="inlineStr"/>
      <c r="AA871" t="inlineStr">
        <is>
          <t>https://nvd.nist.gov/vuln/detail/CVE-2026-26937</t>
        </is>
      </c>
    </row>
    <row r="872">
      <c r="A872" t="inlineStr">
        <is>
          <t>CVE</t>
        </is>
      </c>
      <c r="B872" t="inlineStr">
        <is>
          <t>CVE-2026-26938</t>
        </is>
      </c>
      <c r="C872"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872" t="n">
        <v>8.6</v>
      </c>
      <c r="E872" t="inlineStr">
        <is>
          <t>HIGH</t>
        </is>
      </c>
      <c r="F872" t="n">
        <v>2</v>
      </c>
      <c r="G872" t="n">
        <v>3</v>
      </c>
      <c r="H872" t="inlineStr">
        <is>
          <t>HIGH</t>
        </is>
      </c>
      <c r="I872" t="n">
        <v>14.6</v>
      </c>
      <c r="J872" t="inlineStr">
        <is>
          <t>NO</t>
        </is>
      </c>
      <c r="K872" t="inlineStr">
        <is>
          <t>2026-02-27 20:47</t>
        </is>
      </c>
      <c r="L872" t="inlineStr">
        <is>
          <t>CHECK_VENDOR</t>
        </is>
      </c>
      <c r="M872" t="inlineStr">
        <is>
          <t>See CVE details</t>
        </is>
      </c>
      <c r="N872" t="inlineStr">
        <is>
          <t>P3</t>
        </is>
      </c>
      <c r="O872" t="inlineStr">
        <is>
          <t>CVE - IP enrichment n/a</t>
        </is>
      </c>
      <c r="P872" t="n">
        <v>0.0004</v>
      </c>
      <c r="Q872" t="n">
        <v>0.1326</v>
      </c>
      <c r="R872" t="inlineStr">
        <is>
          <t>T1090:Proxy</t>
        </is>
      </c>
      <c r="S872" t="n">
        <v>1</v>
      </c>
      <c r="T872" t="inlineStr">
        <is>
          <t>LOW (40%)</t>
        </is>
      </c>
      <c r="U872" t="inlineStr">
        <is>
          <t>UNLIKELY</t>
        </is>
      </c>
      <c r="V872" t="inlineStr">
        <is>
          <t>CHECK_VENDOR</t>
        </is>
      </c>
      <c r="W872" t="inlineStr">
        <is>
          <t>https://nvd.nist.gov/vuln/detail/CVE-2026-26938</t>
        </is>
      </c>
      <c r="X872" t="inlineStr">
        <is>
          <t>NONE</t>
        </is>
      </c>
      <c r="Y872" t="n">
        <v>0</v>
      </c>
      <c r="Z872" t="inlineStr"/>
      <c r="AA872" t="inlineStr">
        <is>
          <t>https://nvd.nist.gov/vuln/detail/CVE-2026-26938</t>
        </is>
      </c>
    </row>
    <row r="873">
      <c r="A873" t="inlineStr">
        <is>
          <t>CVE</t>
        </is>
      </c>
      <c r="B873" t="inlineStr">
        <is>
          <t>CVE-2025-11381</t>
        </is>
      </c>
      <c r="C873" t="inlineStr">
        <is>
          <t>Rejected reason: This CVE ID has been rejected or withdrawn by its CVE Numbering Authority.</t>
        </is>
      </c>
      <c r="D873" t="n">
        <v>5</v>
      </c>
      <c r="E873" t="inlineStr">
        <is>
          <t>MEDIUM</t>
        </is>
      </c>
      <c r="F873" t="n">
        <v>2</v>
      </c>
      <c r="G873" t="n">
        <v>2</v>
      </c>
      <c r="H873" t="inlineStr">
        <is>
          <t>MEDIUM</t>
        </is>
      </c>
      <c r="I873" t="n">
        <v>9</v>
      </c>
      <c r="J873" t="inlineStr">
        <is>
          <t>NO</t>
        </is>
      </c>
      <c r="K873" t="inlineStr">
        <is>
          <t>2026-02-27 20:47</t>
        </is>
      </c>
      <c r="L873" t="inlineStr">
        <is>
          <t>CHECK_VENDOR</t>
        </is>
      </c>
      <c r="M873" t="inlineStr">
        <is>
          <t>See CVE details</t>
        </is>
      </c>
      <c r="N873" t="inlineStr">
        <is>
          <t>P4</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https://nvd.nist.gov/vuln/detail/CVE-2025-11381</t>
        </is>
      </c>
      <c r="X873" t="inlineStr">
        <is>
          <t>NONE</t>
        </is>
      </c>
      <c r="Y873" t="n">
        <v>0</v>
      </c>
      <c r="Z873" t="inlineStr"/>
      <c r="AA873" t="inlineStr">
        <is>
          <t>https://nvd.nist.gov/vuln/detail/CVE-2025-11381</t>
        </is>
      </c>
    </row>
    <row r="874">
      <c r="A874" t="inlineStr">
        <is>
          <t>CVE</t>
        </is>
      </c>
      <c r="B874" t="inlineStr">
        <is>
          <t>CVE-2025-11382</t>
        </is>
      </c>
      <c r="C874" t="inlineStr">
        <is>
          <t>Rejected reason: This CVE ID has been rejected or withdrawn by its CVE Numbering Authority.</t>
        </is>
      </c>
      <c r="D874" t="n">
        <v>5</v>
      </c>
      <c r="E874" t="inlineStr">
        <is>
          <t>MEDIUM</t>
        </is>
      </c>
      <c r="F874" t="n">
        <v>2</v>
      </c>
      <c r="G874" t="n">
        <v>2</v>
      </c>
      <c r="H874" t="inlineStr">
        <is>
          <t>MEDIUM</t>
        </is>
      </c>
      <c r="I874" t="n">
        <v>9</v>
      </c>
      <c r="J874" t="inlineStr">
        <is>
          <t>NO</t>
        </is>
      </c>
      <c r="K874" t="inlineStr">
        <is>
          <t>2026-02-27 20:47</t>
        </is>
      </c>
      <c r="L874" t="inlineStr">
        <is>
          <t>CHECK_VENDOR</t>
        </is>
      </c>
      <c r="M874" t="inlineStr">
        <is>
          <t>See CVE details</t>
        </is>
      </c>
      <c r="N874" t="inlineStr">
        <is>
          <t>P4</t>
        </is>
      </c>
      <c r="O874" t="inlineStr">
        <is>
          <t>CVE - IP enrichment n/a</t>
        </is>
      </c>
      <c r="P874" t="n">
        <v>0</v>
      </c>
      <c r="Q874" t="n">
        <v>0</v>
      </c>
      <c r="R874" t="inlineStr">
        <is>
          <t>T1190:Exploit Public-Facing Application</t>
        </is>
      </c>
      <c r="S874" t="n">
        <v>1</v>
      </c>
      <c r="T874" t="inlineStr">
        <is>
          <t>LOW (40%)</t>
        </is>
      </c>
      <c r="U874" t="inlineStr">
        <is>
          <t>UNLIKELY</t>
        </is>
      </c>
      <c r="V874" t="inlineStr">
        <is>
          <t>CHECK_VENDOR</t>
        </is>
      </c>
      <c r="W874" t="inlineStr">
        <is>
          <t>https://nvd.nist.gov/vuln/detail/CVE-2025-11382</t>
        </is>
      </c>
      <c r="X874" t="inlineStr">
        <is>
          <t>NONE</t>
        </is>
      </c>
      <c r="Y874" t="n">
        <v>0</v>
      </c>
      <c r="Z874" t="inlineStr"/>
      <c r="AA874" t="inlineStr">
        <is>
          <t>https://nvd.nist.gov/vuln/detail/CVE-2025-11382</t>
        </is>
      </c>
    </row>
    <row r="875">
      <c r="A875" t="inlineStr">
        <is>
          <t>CVE</t>
        </is>
      </c>
      <c r="B875" t="inlineStr">
        <is>
          <t>CVE-2025-11383</t>
        </is>
      </c>
      <c r="C875" t="inlineStr">
        <is>
          <t>Rejected reason: This CVE ID has been rejected or withdrawn by its CVE Numbering Authority.</t>
        </is>
      </c>
      <c r="D875" t="n">
        <v>5</v>
      </c>
      <c r="E875" t="inlineStr">
        <is>
          <t>MEDIUM</t>
        </is>
      </c>
      <c r="F875" t="n">
        <v>2</v>
      </c>
      <c r="G875" t="n">
        <v>2</v>
      </c>
      <c r="H875" t="inlineStr">
        <is>
          <t>MEDIUM</t>
        </is>
      </c>
      <c r="I875" t="n">
        <v>9</v>
      </c>
      <c r="J875" t="inlineStr">
        <is>
          <t>NO</t>
        </is>
      </c>
      <c r="K875" t="inlineStr">
        <is>
          <t>2026-02-27 20:47</t>
        </is>
      </c>
      <c r="L875" t="inlineStr">
        <is>
          <t>CHECK_VENDOR</t>
        </is>
      </c>
      <c r="M875" t="inlineStr">
        <is>
          <t>See CVE details</t>
        </is>
      </c>
      <c r="N875" t="inlineStr">
        <is>
          <t>P4</t>
        </is>
      </c>
      <c r="O875" t="inlineStr">
        <is>
          <t>CVE - IP enrichment n/a</t>
        </is>
      </c>
      <c r="P875" t="n">
        <v>0</v>
      </c>
      <c r="Q875" t="n">
        <v>0</v>
      </c>
      <c r="R875" t="inlineStr">
        <is>
          <t>T1190:Exploit Public-Facing Application</t>
        </is>
      </c>
      <c r="S875" t="n">
        <v>1</v>
      </c>
      <c r="T875" t="inlineStr">
        <is>
          <t>LOW (40%)</t>
        </is>
      </c>
      <c r="U875" t="inlineStr">
        <is>
          <t>UNLIKELY</t>
        </is>
      </c>
      <c r="V875" t="inlineStr">
        <is>
          <t>CHECK_VENDOR</t>
        </is>
      </c>
      <c r="W875" t="inlineStr">
        <is>
          <t>https://nvd.nist.gov/vuln/detail/CVE-2025-11383</t>
        </is>
      </c>
      <c r="X875" t="inlineStr">
        <is>
          <t>NONE</t>
        </is>
      </c>
      <c r="Y875" t="n">
        <v>0</v>
      </c>
      <c r="Z875" t="inlineStr"/>
      <c r="AA875" t="inlineStr">
        <is>
          <t>https://nvd.nist.gov/vuln/detail/CVE-2025-11383</t>
        </is>
      </c>
    </row>
    <row r="876">
      <c r="A876" t="inlineStr">
        <is>
          <t>CVE</t>
        </is>
      </c>
      <c r="B876" t="inlineStr">
        <is>
          <t>CVE-2025-11384</t>
        </is>
      </c>
      <c r="C876" t="inlineStr">
        <is>
          <t>Rejected reason: This CVE ID has been rejected or withdrawn by its CVE Numbering Authority.</t>
        </is>
      </c>
      <c r="D876" t="n">
        <v>5</v>
      </c>
      <c r="E876" t="inlineStr">
        <is>
          <t>MEDIUM</t>
        </is>
      </c>
      <c r="F876" t="n">
        <v>2</v>
      </c>
      <c r="G876" t="n">
        <v>2</v>
      </c>
      <c r="H876" t="inlineStr">
        <is>
          <t>MEDIUM</t>
        </is>
      </c>
      <c r="I876" t="n">
        <v>9</v>
      </c>
      <c r="J876" t="inlineStr">
        <is>
          <t>NO</t>
        </is>
      </c>
      <c r="K876" t="inlineStr">
        <is>
          <t>2026-02-27 20:47</t>
        </is>
      </c>
      <c r="L876" t="inlineStr">
        <is>
          <t>CHECK_VENDOR</t>
        </is>
      </c>
      <c r="M876" t="inlineStr">
        <is>
          <t>See CVE details</t>
        </is>
      </c>
      <c r="N876" t="inlineStr">
        <is>
          <t>P4</t>
        </is>
      </c>
      <c r="O876" t="inlineStr">
        <is>
          <t>CVE - IP enrichment n/a</t>
        </is>
      </c>
      <c r="P876" t="n">
        <v>0</v>
      </c>
      <c r="Q876" t="n">
        <v>0</v>
      </c>
      <c r="R876" t="inlineStr">
        <is>
          <t>T1190:Exploit Public-Facing Application</t>
        </is>
      </c>
      <c r="S876" t="n">
        <v>1</v>
      </c>
      <c r="T876" t="inlineStr">
        <is>
          <t>LOW (40%)</t>
        </is>
      </c>
      <c r="U876" t="inlineStr">
        <is>
          <t>UNLIKELY</t>
        </is>
      </c>
      <c r="V876" t="inlineStr">
        <is>
          <t>CHECK_VENDOR</t>
        </is>
      </c>
      <c r="W876" t="inlineStr">
        <is>
          <t>https://nvd.nist.gov/vuln/detail/CVE-2025-11384</t>
        </is>
      </c>
      <c r="X876" t="inlineStr">
        <is>
          <t>NONE</t>
        </is>
      </c>
      <c r="Y876" t="n">
        <v>0</v>
      </c>
      <c r="Z876" t="inlineStr"/>
      <c r="AA876" t="inlineStr">
        <is>
          <t>https://nvd.nist.gov/vuln/detail/CVE-2025-11384</t>
        </is>
      </c>
    </row>
    <row r="877">
      <c r="A877" t="inlineStr">
        <is>
          <t>CVE</t>
        </is>
      </c>
      <c r="B877" t="inlineStr">
        <is>
          <t>CVE-2026-1241</t>
        </is>
      </c>
      <c r="C877"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877" t="n">
        <v>8.5</v>
      </c>
      <c r="E877" t="inlineStr">
        <is>
          <t>HIGH</t>
        </is>
      </c>
      <c r="F877" t="n">
        <v>2</v>
      </c>
      <c r="G877" t="n">
        <v>3</v>
      </c>
      <c r="H877" t="inlineStr">
        <is>
          <t>HIGH</t>
        </is>
      </c>
      <c r="I877" t="n">
        <v>14.5</v>
      </c>
      <c r="J877" t="inlineStr">
        <is>
          <t>NO</t>
        </is>
      </c>
      <c r="K877" t="inlineStr">
        <is>
          <t>2026-02-27 20:47</t>
        </is>
      </c>
      <c r="L877" t="inlineStr">
        <is>
          <t>CHECK_VENDOR</t>
        </is>
      </c>
      <c r="M877" t="inlineStr">
        <is>
          <t>See CVE details</t>
        </is>
      </c>
      <c r="N877" t="inlineStr">
        <is>
          <t>P3</t>
        </is>
      </c>
      <c r="O877" t="inlineStr">
        <is>
          <t>CVE - IP enrichment n/a</t>
        </is>
      </c>
      <c r="P877" t="n">
        <v>0.0007</v>
      </c>
      <c r="Q877" t="n">
        <v>0.2201</v>
      </c>
      <c r="R877" t="inlineStr">
        <is>
          <t>T1190:Exploit Public-Facing Application | T1078:Valid Accounts</t>
        </is>
      </c>
      <c r="S877" t="n">
        <v>1</v>
      </c>
      <c r="T877" t="inlineStr">
        <is>
          <t>LOW (40%)</t>
        </is>
      </c>
      <c r="U877" t="inlineStr">
        <is>
          <t>UNLIKELY</t>
        </is>
      </c>
      <c r="V877" t="inlineStr">
        <is>
          <t>CHECK_VENDOR</t>
        </is>
      </c>
      <c r="W877" t="inlineStr">
        <is>
          <t>https://nvd.nist.gov/vuln/detail/CVE-2026-1241</t>
        </is>
      </c>
      <c r="X877" t="inlineStr">
        <is>
          <t>NONE</t>
        </is>
      </c>
      <c r="Y877" t="n">
        <v>0</v>
      </c>
      <c r="Z877" t="inlineStr"/>
      <c r="AA877" t="inlineStr">
        <is>
          <t>https://nvd.nist.gov/vuln/detail/CVE-2026-1241</t>
        </is>
      </c>
    </row>
    <row r="878">
      <c r="A878" t="inlineStr">
        <is>
          <t>CVE</t>
        </is>
      </c>
      <c r="B878" t="inlineStr">
        <is>
          <t>CVE-2026-1565</t>
        </is>
      </c>
      <c r="C878"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878" t="n">
        <v>8.800000000000001</v>
      </c>
      <c r="E878" t="inlineStr">
        <is>
          <t>HIGH</t>
        </is>
      </c>
      <c r="F878" t="n">
        <v>2</v>
      </c>
      <c r="G878" t="n">
        <v>3</v>
      </c>
      <c r="H878" t="inlineStr">
        <is>
          <t>HIGH</t>
        </is>
      </c>
      <c r="I878" t="n">
        <v>14.8</v>
      </c>
      <c r="J878" t="inlineStr">
        <is>
          <t>NO</t>
        </is>
      </c>
      <c r="K878" t="inlineStr">
        <is>
          <t>2026-02-27 20:47</t>
        </is>
      </c>
      <c r="L878" t="inlineStr">
        <is>
          <t>CHECK_VENDOR</t>
        </is>
      </c>
      <c r="M878" t="inlineStr">
        <is>
          <t>See CVE details</t>
        </is>
      </c>
      <c r="N878" t="inlineStr">
        <is>
          <t>P3</t>
        </is>
      </c>
      <c r="O878" t="inlineStr">
        <is>
          <t>CVE - IP enrichment n/a</t>
        </is>
      </c>
      <c r="P878" t="n">
        <v>0.0028</v>
      </c>
      <c r="Q878" t="n">
        <v>0.5067</v>
      </c>
      <c r="R878" t="inlineStr">
        <is>
          <t>T1190:Exploit Public-Facing Application | T1210:Exploitation of Remote Services</t>
        </is>
      </c>
      <c r="S878" t="n">
        <v>1</v>
      </c>
      <c r="T878" t="inlineStr">
        <is>
          <t>LOW (40%)</t>
        </is>
      </c>
      <c r="U878" t="inlineStr">
        <is>
          <t>UNLIKELY</t>
        </is>
      </c>
      <c r="V878" t="inlineStr">
        <is>
          <t>CHECK_VENDOR</t>
        </is>
      </c>
      <c r="W878" t="inlineStr">
        <is>
          <t>https://nvd.nist.gov/vuln/detail/CVE-2026-1565</t>
        </is>
      </c>
      <c r="X878" t="inlineStr">
        <is>
          <t>NONE</t>
        </is>
      </c>
      <c r="Y878" t="n">
        <v>0</v>
      </c>
      <c r="Z878" t="inlineStr"/>
      <c r="AA878" t="inlineStr">
        <is>
          <t>https://nvd.nist.gov/vuln/detail/CVE-2026-1565</t>
        </is>
      </c>
    </row>
    <row r="879">
      <c r="A879" t="inlineStr">
        <is>
          <t>CVE</t>
        </is>
      </c>
      <c r="B879" t="inlineStr">
        <is>
          <t>CVE-2026-23939</t>
        </is>
      </c>
      <c r="C879"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879" t="n">
        <v>5</v>
      </c>
      <c r="E879" t="inlineStr">
        <is>
          <t>MEDIUM</t>
        </is>
      </c>
      <c r="F879" t="n">
        <v>2</v>
      </c>
      <c r="G879" t="n">
        <v>2</v>
      </c>
      <c r="H879" t="inlineStr">
        <is>
          <t>MEDIUM</t>
        </is>
      </c>
      <c r="I879" t="n">
        <v>9</v>
      </c>
      <c r="J879" t="inlineStr">
        <is>
          <t>NO</t>
        </is>
      </c>
      <c r="K879" t="inlineStr">
        <is>
          <t>2026-02-27 20:47</t>
        </is>
      </c>
      <c r="L879" t="inlineStr">
        <is>
          <t>CHECK_VENDOR</t>
        </is>
      </c>
      <c r="M879" t="inlineStr">
        <is>
          <t>See CVE details</t>
        </is>
      </c>
      <c r="N879" t="inlineStr">
        <is>
          <t>P4</t>
        </is>
      </c>
      <c r="O879" t="inlineStr">
        <is>
          <t>CVE - IP enrichment n/a</t>
        </is>
      </c>
      <c r="P879" t="n">
        <v>0.0005999999999999999</v>
      </c>
      <c r="Q879" t="n">
        <v>0.1942</v>
      </c>
      <c r="R879" t="inlineStr">
        <is>
          <t>T1083:File and Directory Discovery</t>
        </is>
      </c>
      <c r="S879" t="n">
        <v>1</v>
      </c>
      <c r="T879" t="inlineStr">
        <is>
          <t>LOW (40%)</t>
        </is>
      </c>
      <c r="U879" t="inlineStr">
        <is>
          <t>UNLIKELY</t>
        </is>
      </c>
      <c r="V879" t="inlineStr">
        <is>
          <t>CHECK_VENDOR</t>
        </is>
      </c>
      <c r="W879" t="inlineStr">
        <is>
          <t>https://nvd.nist.gov/vuln/detail/CVE-2026-23939</t>
        </is>
      </c>
      <c r="X879" t="inlineStr">
        <is>
          <t>NONE</t>
        </is>
      </c>
      <c r="Y879" t="n">
        <v>0</v>
      </c>
      <c r="Z879" t="inlineStr"/>
      <c r="AA879" t="inlineStr">
        <is>
          <t>https://nvd.nist.gov/vuln/detail/CVE-2026-23939</t>
        </is>
      </c>
    </row>
    <row r="880">
      <c r="A880" t="inlineStr">
        <is>
          <t>CVE</t>
        </is>
      </c>
      <c r="B880" t="inlineStr">
        <is>
          <t>CVE-2026-26973</t>
        </is>
      </c>
      <c r="C880"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880" t="n">
        <v>4.3</v>
      </c>
      <c r="E880" t="inlineStr">
        <is>
          <t>MEDIUM</t>
        </is>
      </c>
      <c r="F880" t="n">
        <v>2</v>
      </c>
      <c r="G880" t="n">
        <v>2</v>
      </c>
      <c r="H880" t="inlineStr">
        <is>
          <t>MEDIUM</t>
        </is>
      </c>
      <c r="I880" t="n">
        <v>8.300000000000001</v>
      </c>
      <c r="J880" t="inlineStr">
        <is>
          <t>NO</t>
        </is>
      </c>
      <c r="K880" t="inlineStr">
        <is>
          <t>2026-02-27 20:47</t>
        </is>
      </c>
      <c r="L880" t="inlineStr">
        <is>
          <t>CHECK_VENDOR</t>
        </is>
      </c>
      <c r="M880" t="inlineStr">
        <is>
          <t>See CVE details</t>
        </is>
      </c>
      <c r="N880" t="inlineStr">
        <is>
          <t>P1</t>
        </is>
      </c>
      <c r="O880" t="inlineStr">
        <is>
          <t>CVE - IP enrichment n/a</t>
        </is>
      </c>
      <c r="P880" t="n">
        <v>0.0003</v>
      </c>
      <c r="Q880" t="n">
        <v>0.07049999999999999</v>
      </c>
      <c r="R880" t="inlineStr">
        <is>
          <t>T1190:Exploit Public-Facing Application</t>
        </is>
      </c>
      <c r="S880" t="n">
        <v>2</v>
      </c>
      <c r="T880" t="inlineStr">
        <is>
          <t>HIGH (72%)</t>
        </is>
      </c>
      <c r="U880" t="inlineStr">
        <is>
          <t>HIGH</t>
        </is>
      </c>
      <c r="V880" t="inlineStr">
        <is>
          <t>CHECK_VENDOR</t>
        </is>
      </c>
      <c r="W880" t="inlineStr">
        <is>
          <t>https://nvd.nist.gov/vuln/detail/CVE-2026-26973</t>
        </is>
      </c>
      <c r="X880" t="inlineStr">
        <is>
          <t>http://www.zerodayinitiative.com/advisories/ZDI-26-123/</t>
        </is>
      </c>
      <c r="Y880" t="n">
        <v>0</v>
      </c>
      <c r="Z880" t="inlineStr"/>
      <c r="AA880" t="inlineStr">
        <is>
          <t>https://nvd.nist.gov/vuln/detail/CVE-2026-26973</t>
        </is>
      </c>
    </row>
    <row r="881">
      <c r="A881" t="inlineStr">
        <is>
          <t>CVE</t>
        </is>
      </c>
      <c r="B881" t="inlineStr">
        <is>
          <t>CVE-2026-26979</t>
        </is>
      </c>
      <c r="C881"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881" t="n">
        <v>8.5</v>
      </c>
      <c r="E881" t="inlineStr">
        <is>
          <t>HIGH</t>
        </is>
      </c>
      <c r="F881" t="n">
        <v>2</v>
      </c>
      <c r="G881" t="n">
        <v>3</v>
      </c>
      <c r="H881" t="inlineStr">
        <is>
          <t>HIGH</t>
        </is>
      </c>
      <c r="I881" t="n">
        <v>14.5</v>
      </c>
      <c r="J881" t="inlineStr">
        <is>
          <t>NO</t>
        </is>
      </c>
      <c r="K881" t="inlineStr">
        <is>
          <t>2026-02-27 20:47</t>
        </is>
      </c>
      <c r="L881" t="inlineStr">
        <is>
          <t>CHECK_VENDOR</t>
        </is>
      </c>
      <c r="M881" t="inlineStr">
        <is>
          <t>See CVE details</t>
        </is>
      </c>
      <c r="N881" t="inlineStr">
        <is>
          <t>P3</t>
        </is>
      </c>
      <c r="O881" t="inlineStr">
        <is>
          <t>CVE - IP enrichment n/a</t>
        </is>
      </c>
      <c r="P881" t="n">
        <v>0.0004</v>
      </c>
      <c r="Q881" t="n">
        <v>0.1033</v>
      </c>
      <c r="R881" t="inlineStr">
        <is>
          <t>T1190:Exploit Public-Facing Application</t>
        </is>
      </c>
      <c r="S881" t="n">
        <v>1</v>
      </c>
      <c r="T881" t="inlineStr">
        <is>
          <t>LOW (40%)</t>
        </is>
      </c>
      <c r="U881" t="inlineStr">
        <is>
          <t>UNLIKELY</t>
        </is>
      </c>
      <c r="V881" t="inlineStr">
        <is>
          <t>CHECK_VENDOR</t>
        </is>
      </c>
      <c r="W881" t="inlineStr">
        <is>
          <t>https://nvd.nist.gov/vuln/detail/CVE-2026-26979</t>
        </is>
      </c>
      <c r="X881" t="inlineStr">
        <is>
          <t>NONE</t>
        </is>
      </c>
      <c r="Y881" t="n">
        <v>0</v>
      </c>
      <c r="Z881" t="inlineStr"/>
      <c r="AA881" t="inlineStr">
        <is>
          <t>https://nvd.nist.gov/vuln/detail/CVE-2026-26979</t>
        </is>
      </c>
    </row>
    <row r="882">
      <c r="A882" t="inlineStr">
        <is>
          <t>CVE</t>
        </is>
      </c>
      <c r="B882" t="inlineStr">
        <is>
          <t>CVE-2026-27141</t>
        </is>
      </c>
      <c r="C882" t="inlineStr">
        <is>
          <t>Due to missing nil check, sending 0x0a-0x0f HTTP/2 frames will cause a running server to panic</t>
        </is>
      </c>
      <c r="D882" t="n">
        <v>5</v>
      </c>
      <c r="E882" t="inlineStr">
        <is>
          <t>MEDIUM</t>
        </is>
      </c>
      <c r="F882" t="n">
        <v>2</v>
      </c>
      <c r="G882" t="n">
        <v>2</v>
      </c>
      <c r="H882" t="inlineStr">
        <is>
          <t>MEDIUM</t>
        </is>
      </c>
      <c r="I882" t="n">
        <v>9</v>
      </c>
      <c r="J882" t="inlineStr">
        <is>
          <t>NO</t>
        </is>
      </c>
      <c r="K882" t="inlineStr">
        <is>
          <t>2026-02-27 20:47</t>
        </is>
      </c>
      <c r="L882" t="inlineStr">
        <is>
          <t>CHECK_VENDOR</t>
        </is>
      </c>
      <c r="M882" t="inlineStr">
        <is>
          <t>See CVE details</t>
        </is>
      </c>
      <c r="N882" t="inlineStr">
        <is>
          <t>P4</t>
        </is>
      </c>
      <c r="O882" t="inlineStr">
        <is>
          <t>CVE - IP enrichment n/a</t>
        </is>
      </c>
      <c r="P882" t="n">
        <v>0.0002</v>
      </c>
      <c r="Q882" t="n">
        <v>0.0449</v>
      </c>
      <c r="R882" t="inlineStr">
        <is>
          <t>T1190:Exploit Public-Facing Application</t>
        </is>
      </c>
      <c r="S882" t="n">
        <v>1</v>
      </c>
      <c r="T882" t="inlineStr">
        <is>
          <t>LOW (40%)</t>
        </is>
      </c>
      <c r="U882" t="inlineStr">
        <is>
          <t>UNLIKELY</t>
        </is>
      </c>
      <c r="V882" t="inlineStr">
        <is>
          <t>CHECK_VENDOR</t>
        </is>
      </c>
      <c r="W882" t="inlineStr">
        <is>
          <t>https://nvd.nist.gov/vuln/detail/CVE-2026-27141</t>
        </is>
      </c>
      <c r="X882" t="inlineStr">
        <is>
          <t>NONE</t>
        </is>
      </c>
      <c r="Y882" t="n">
        <v>0</v>
      </c>
      <c r="Z882" t="inlineStr"/>
      <c r="AA882" t="inlineStr">
        <is>
          <t>https://nvd.nist.gov/vuln/detail/CVE-2026-27141</t>
        </is>
      </c>
    </row>
    <row r="883">
      <c r="A883" t="inlineStr">
        <is>
          <t>CVE</t>
        </is>
      </c>
      <c r="B883" t="inlineStr">
        <is>
          <t>CVE-2026-27509</t>
        </is>
      </c>
      <c r="C883"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883" t="n">
        <v>8.5</v>
      </c>
      <c r="E883" t="inlineStr">
        <is>
          <t>HIGH</t>
        </is>
      </c>
      <c r="F883" t="n">
        <v>2</v>
      </c>
      <c r="G883" t="n">
        <v>3</v>
      </c>
      <c r="H883" t="inlineStr">
        <is>
          <t>HIGH</t>
        </is>
      </c>
      <c r="I883" t="n">
        <v>14.5</v>
      </c>
      <c r="J883" t="inlineStr">
        <is>
          <t>NO</t>
        </is>
      </c>
      <c r="K883" t="inlineStr">
        <is>
          <t>2026-02-27 20:47</t>
        </is>
      </c>
      <c r="L883" t="inlineStr">
        <is>
          <t>CHECK_VENDOR</t>
        </is>
      </c>
      <c r="M883" t="inlineStr">
        <is>
          <t>See CVE details</t>
        </is>
      </c>
      <c r="N883" t="inlineStr">
        <is>
          <t>P3</t>
        </is>
      </c>
      <c r="O883" t="inlineStr">
        <is>
          <t>CVE - IP enrichment n/a</t>
        </is>
      </c>
      <c r="P883" t="n">
        <v>0.0004</v>
      </c>
      <c r="Q883" t="n">
        <v>0.1347</v>
      </c>
      <c r="R883" t="inlineStr">
        <is>
          <t>T1078:Valid Accounts</t>
        </is>
      </c>
      <c r="S883" t="n">
        <v>1</v>
      </c>
      <c r="T883" t="inlineStr">
        <is>
          <t>LOW (40%)</t>
        </is>
      </c>
      <c r="U883" t="inlineStr">
        <is>
          <t>UNLIKELY</t>
        </is>
      </c>
      <c r="V883" t="inlineStr">
        <is>
          <t>CHECK_VENDOR</t>
        </is>
      </c>
      <c r="W883" t="inlineStr">
        <is>
          <t>https://nvd.nist.gov/vuln/detail/CVE-2026-27509</t>
        </is>
      </c>
      <c r="X883" t="inlineStr">
        <is>
          <t>NONE</t>
        </is>
      </c>
      <c r="Y883" t="n">
        <v>0</v>
      </c>
      <c r="Z883" t="inlineStr"/>
      <c r="AA883" t="inlineStr">
        <is>
          <t>https://nvd.nist.gov/vuln/detail/CVE-2026-27509</t>
        </is>
      </c>
    </row>
    <row r="884">
      <c r="A884" t="inlineStr">
        <is>
          <t>CVE</t>
        </is>
      </c>
      <c r="B884" t="inlineStr">
        <is>
          <t>CVE-2026-27510</t>
        </is>
      </c>
      <c r="C884"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884" t="n">
        <v>8.5</v>
      </c>
      <c r="E884" t="inlineStr">
        <is>
          <t>HIGH</t>
        </is>
      </c>
      <c r="F884" t="n">
        <v>2</v>
      </c>
      <c r="G884" t="n">
        <v>3</v>
      </c>
      <c r="H884" t="inlineStr">
        <is>
          <t>HIGH</t>
        </is>
      </c>
      <c r="I884" t="n">
        <v>14.5</v>
      </c>
      <c r="J884" t="inlineStr">
        <is>
          <t>NO</t>
        </is>
      </c>
      <c r="K884" t="inlineStr">
        <is>
          <t>2026-02-27 20:47</t>
        </is>
      </c>
      <c r="L884" t="inlineStr">
        <is>
          <t>CHECK_VENDOR</t>
        </is>
      </c>
      <c r="M884" t="inlineStr">
        <is>
          <t>See CVE details</t>
        </is>
      </c>
      <c r="N884" t="inlineStr">
        <is>
          <t>P3</t>
        </is>
      </c>
      <c r="O884" t="inlineStr">
        <is>
          <t>CVE - IP enrichment n/a</t>
        </is>
      </c>
      <c r="P884" t="n">
        <v>0.001</v>
      </c>
      <c r="Q884" t="n">
        <v>0.2682</v>
      </c>
      <c r="R884" t="inlineStr">
        <is>
          <t>T1190:Exploit Public-Facing Application | T1210:Exploitation of Remote Services | T1203:Exploitation for Client Execution</t>
        </is>
      </c>
      <c r="S884" t="n">
        <v>1</v>
      </c>
      <c r="T884" t="inlineStr">
        <is>
          <t>LOW (40%)</t>
        </is>
      </c>
      <c r="U884" t="inlineStr">
        <is>
          <t>UNLIKELY</t>
        </is>
      </c>
      <c r="V884" t="inlineStr">
        <is>
          <t>CHECK_VENDOR</t>
        </is>
      </c>
      <c r="W884" t="inlineStr">
        <is>
          <t>https://nvd.nist.gov/vuln/detail/CVE-2026-27510</t>
        </is>
      </c>
      <c r="X884" t="inlineStr">
        <is>
          <t>NONE</t>
        </is>
      </c>
      <c r="Y884" t="n">
        <v>0</v>
      </c>
      <c r="Z884" t="inlineStr"/>
      <c r="AA884" t="inlineStr">
        <is>
          <t>https://nvd.nist.gov/vuln/detail/CVE-2026-27510</t>
        </is>
      </c>
    </row>
    <row r="885">
      <c r="A885" t="inlineStr">
        <is>
          <t>CVE</t>
        </is>
      </c>
      <c r="B885" t="inlineStr">
        <is>
          <t>CVE-2023-31364</t>
        </is>
      </c>
      <c r="C885" t="inlineStr">
        <is>
          <t>Improper handling of direct memory writes in the input-output memory management unit could allow a malicious guest virtual machine (VM) to flood a host with writes, potentially causing a fatal machine check error resulting in denial of service.</t>
        </is>
      </c>
      <c r="D885" t="n">
        <v>5</v>
      </c>
      <c r="E885" t="inlineStr">
        <is>
          <t>MEDIUM</t>
        </is>
      </c>
      <c r="F885" t="n">
        <v>2</v>
      </c>
      <c r="G885" t="n">
        <v>2</v>
      </c>
      <c r="H885" t="inlineStr">
        <is>
          <t>MEDIUM</t>
        </is>
      </c>
      <c r="I885" t="n">
        <v>9</v>
      </c>
      <c r="J885" t="inlineStr">
        <is>
          <t>NO</t>
        </is>
      </c>
      <c r="K885" t="inlineStr">
        <is>
          <t>2026-02-27 20:47</t>
        </is>
      </c>
      <c r="L885" t="inlineStr">
        <is>
          <t>CHECK_VENDOR</t>
        </is>
      </c>
      <c r="M885" t="inlineStr">
        <is>
          <t>See CVE details</t>
        </is>
      </c>
      <c r="N885" t="inlineStr">
        <is>
          <t>P4</t>
        </is>
      </c>
      <c r="O885" t="inlineStr">
        <is>
          <t>CVE - IP enrichment n/a</t>
        </is>
      </c>
      <c r="P885" t="n">
        <v>0.0004</v>
      </c>
      <c r="Q885" t="n">
        <v>0.1252</v>
      </c>
      <c r="R885" t="inlineStr">
        <is>
          <t>T1203:Exploitation for Client Execution | T1499:Endpoint Denial of Service</t>
        </is>
      </c>
      <c r="S885" t="n">
        <v>1</v>
      </c>
      <c r="T885" t="inlineStr">
        <is>
          <t>LOW (40%)</t>
        </is>
      </c>
      <c r="U885" t="inlineStr">
        <is>
          <t>UNLIKELY</t>
        </is>
      </c>
      <c r="V885" t="inlineStr">
        <is>
          <t>CHECK_VENDOR</t>
        </is>
      </c>
      <c r="W885" t="inlineStr">
        <is>
          <t>https://nvd.nist.gov/vuln/detail/CVE-2023-31364</t>
        </is>
      </c>
      <c r="X885" t="inlineStr">
        <is>
          <t>NONE</t>
        </is>
      </c>
      <c r="Y885" t="n">
        <v>0</v>
      </c>
      <c r="Z885" t="inlineStr"/>
      <c r="AA885" t="inlineStr">
        <is>
          <t>https://nvd.nist.gov/vuln/detail/CVE-2023-31364</t>
        </is>
      </c>
    </row>
    <row r="886">
      <c r="A886" t="inlineStr">
        <is>
          <t>CVE</t>
        </is>
      </c>
      <c r="B886" t="inlineStr">
        <is>
          <t>CVE-2026-22205</t>
        </is>
      </c>
      <c r="C886"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886" t="n">
        <v>8.5</v>
      </c>
      <c r="E886" t="inlineStr">
        <is>
          <t>HIGH</t>
        </is>
      </c>
      <c r="F886" t="n">
        <v>2</v>
      </c>
      <c r="G886" t="n">
        <v>3</v>
      </c>
      <c r="H886" t="inlineStr">
        <is>
          <t>HIGH</t>
        </is>
      </c>
      <c r="I886" t="n">
        <v>14.5</v>
      </c>
      <c r="J886" t="inlineStr">
        <is>
          <t>NO</t>
        </is>
      </c>
      <c r="K886" t="inlineStr">
        <is>
          <t>2026-02-27 20:47</t>
        </is>
      </c>
      <c r="L886" t="inlineStr">
        <is>
          <t>CHECK_VENDOR</t>
        </is>
      </c>
      <c r="M886" t="inlineStr">
        <is>
          <t>See CVE details</t>
        </is>
      </c>
      <c r="N886" t="inlineStr">
        <is>
          <t>P3</t>
        </is>
      </c>
      <c r="O886" t="inlineStr">
        <is>
          <t>CVE - IP enrichment n/a</t>
        </is>
      </c>
      <c r="P886" t="n">
        <v>0.003</v>
      </c>
      <c r="Q886" t="n">
        <v>0.5249</v>
      </c>
      <c r="R886" t="inlineStr">
        <is>
          <t>T1078:Valid Accounts</t>
        </is>
      </c>
      <c r="S886" t="n">
        <v>1</v>
      </c>
      <c r="T886" t="inlineStr">
        <is>
          <t>LOW (40%)</t>
        </is>
      </c>
      <c r="U886" t="inlineStr">
        <is>
          <t>UNLIKELY</t>
        </is>
      </c>
      <c r="V886" t="inlineStr">
        <is>
          <t>CHECK_VENDOR</t>
        </is>
      </c>
      <c r="W886" t="inlineStr">
        <is>
          <t>https://nvd.nist.gov/vuln/detail/CVE-2026-22205</t>
        </is>
      </c>
      <c r="X886" t="inlineStr">
        <is>
          <t>NONE</t>
        </is>
      </c>
      <c r="Y886" t="n">
        <v>0</v>
      </c>
      <c r="Z886" t="inlineStr"/>
      <c r="AA886" t="inlineStr">
        <is>
          <t>https://nvd.nist.gov/vuln/detail/CVE-2026-22205</t>
        </is>
      </c>
    </row>
    <row r="887">
      <c r="A887" t="inlineStr">
        <is>
          <t>CVE</t>
        </is>
      </c>
      <c r="B887" t="inlineStr">
        <is>
          <t>CVE-2026-22206</t>
        </is>
      </c>
      <c r="C887"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887" t="n">
        <v>8.5</v>
      </c>
      <c r="E887" t="inlineStr">
        <is>
          <t>HIGH</t>
        </is>
      </c>
      <c r="F887" t="n">
        <v>2</v>
      </c>
      <c r="G887" t="n">
        <v>3</v>
      </c>
      <c r="H887" t="inlineStr">
        <is>
          <t>HIGH</t>
        </is>
      </c>
      <c r="I887" t="n">
        <v>14.5</v>
      </c>
      <c r="J887" t="inlineStr">
        <is>
          <t>NO</t>
        </is>
      </c>
      <c r="K887" t="inlineStr">
        <is>
          <t>2026-02-27 20:47</t>
        </is>
      </c>
      <c r="L887" t="inlineStr">
        <is>
          <t>CHECK_VENDOR</t>
        </is>
      </c>
      <c r="M887" t="inlineStr">
        <is>
          <t>See CVE details</t>
        </is>
      </c>
      <c r="N887" t="inlineStr">
        <is>
          <t>P3</t>
        </is>
      </c>
      <c r="O887" t="inlineStr">
        <is>
          <t>CVE - IP enrichment n/a</t>
        </is>
      </c>
      <c r="P887" t="n">
        <v>0.0019</v>
      </c>
      <c r="Q887" t="n">
        <v>0.408</v>
      </c>
      <c r="R887" t="inlineStr">
        <is>
          <t>T1190:Exploit Public-Facing Application | T1210:Exploitation of Remote Services</t>
        </is>
      </c>
      <c r="S887" t="n">
        <v>1</v>
      </c>
      <c r="T887" t="inlineStr">
        <is>
          <t>LOW (40%)</t>
        </is>
      </c>
      <c r="U887" t="inlineStr">
        <is>
          <t>UNLIKELY</t>
        </is>
      </c>
      <c r="V887" t="inlineStr">
        <is>
          <t>CHECK_VENDOR</t>
        </is>
      </c>
      <c r="W887" t="inlineStr">
        <is>
          <t>https://nvd.nist.gov/vuln/detail/CVE-2026-22206</t>
        </is>
      </c>
      <c r="X887" t="inlineStr">
        <is>
          <t>NONE</t>
        </is>
      </c>
      <c r="Y887" t="n">
        <v>0</v>
      </c>
      <c r="Z887" t="inlineStr"/>
      <c r="AA887" t="inlineStr">
        <is>
          <t>https://nvd.nist.gov/vuln/detail/CVE-2026-22206</t>
        </is>
      </c>
    </row>
    <row r="888">
      <c r="A888" t="inlineStr">
        <is>
          <t>CVE</t>
        </is>
      </c>
      <c r="B888" t="inlineStr">
        <is>
          <t>CVE-2026-22207</t>
        </is>
      </c>
      <c r="C888"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888" t="n">
        <v>8.5</v>
      </c>
      <c r="E888" t="inlineStr">
        <is>
          <t>HIGH</t>
        </is>
      </c>
      <c r="F888" t="n">
        <v>2</v>
      </c>
      <c r="G888" t="n">
        <v>3</v>
      </c>
      <c r="H888" t="inlineStr">
        <is>
          <t>HIGH</t>
        </is>
      </c>
      <c r="I888" t="n">
        <v>14.5</v>
      </c>
      <c r="J888" t="inlineStr">
        <is>
          <t>NO</t>
        </is>
      </c>
      <c r="K888" t="inlineStr">
        <is>
          <t>2026-02-27 20:47</t>
        </is>
      </c>
      <c r="L888" t="inlineStr">
        <is>
          <t>CHECK_VENDOR</t>
        </is>
      </c>
      <c r="M888" t="inlineStr">
        <is>
          <t>See CVE details</t>
        </is>
      </c>
      <c r="N888" t="inlineStr">
        <is>
          <t>P3</t>
        </is>
      </c>
      <c r="O888" t="inlineStr">
        <is>
          <t>CVE - IP enrichment n/a</t>
        </is>
      </c>
      <c r="P888" t="n">
        <v>0.0022</v>
      </c>
      <c r="Q888" t="n">
        <v>0.4435</v>
      </c>
      <c r="R888" t="inlineStr">
        <is>
          <t>T1078:Valid Accounts | T1190:Exploit Public-Facing Application</t>
        </is>
      </c>
      <c r="S888" t="n">
        <v>1</v>
      </c>
      <c r="T888" t="inlineStr">
        <is>
          <t>LOW (40%)</t>
        </is>
      </c>
      <c r="U888" t="inlineStr">
        <is>
          <t>UNLIKELY</t>
        </is>
      </c>
      <c r="V888" t="inlineStr">
        <is>
          <t>CHECK_VENDOR</t>
        </is>
      </c>
      <c r="W888" t="inlineStr">
        <is>
          <t>https://nvd.nist.gov/vuln/detail/CVE-2026-22207</t>
        </is>
      </c>
      <c r="X888" t="inlineStr">
        <is>
          <t>NONE</t>
        </is>
      </c>
      <c r="Y888" t="n">
        <v>0</v>
      </c>
      <c r="Z888" t="inlineStr"/>
      <c r="AA888" t="inlineStr">
        <is>
          <t>https://nvd.nist.gov/vuln/detail/CVE-2026-22207</t>
        </is>
      </c>
    </row>
    <row r="889">
      <c r="A889" t="inlineStr">
        <is>
          <t>CVE</t>
        </is>
      </c>
      <c r="B889" t="inlineStr">
        <is>
          <t>CVE-2026-27021</t>
        </is>
      </c>
      <c r="C889"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889" t="n">
        <v>8.5</v>
      </c>
      <c r="E889" t="inlineStr">
        <is>
          <t>HIGH</t>
        </is>
      </c>
      <c r="F889" t="n">
        <v>2</v>
      </c>
      <c r="G889" t="n">
        <v>3</v>
      </c>
      <c r="H889" t="inlineStr">
        <is>
          <t>HIGH</t>
        </is>
      </c>
      <c r="I889" t="n">
        <v>14.5</v>
      </c>
      <c r="J889" t="inlineStr">
        <is>
          <t>NO</t>
        </is>
      </c>
      <c r="K889" t="inlineStr">
        <is>
          <t>2026-02-27 20:47</t>
        </is>
      </c>
      <c r="L889" t="inlineStr">
        <is>
          <t>CHECK_VENDOR</t>
        </is>
      </c>
      <c r="M889" t="inlineStr">
        <is>
          <t>See CVE details</t>
        </is>
      </c>
      <c r="N889" t="inlineStr">
        <is>
          <t>P3</t>
        </is>
      </c>
      <c r="O889" t="inlineStr">
        <is>
          <t>CVE - IP enrichment n/a</t>
        </is>
      </c>
      <c r="P889" t="n">
        <v>0.0005</v>
      </c>
      <c r="Q889" t="n">
        <v>0.1504</v>
      </c>
      <c r="R889" t="inlineStr">
        <is>
          <t>T1190:Exploit Public-Facing Application</t>
        </is>
      </c>
      <c r="S889" t="n">
        <v>1</v>
      </c>
      <c r="T889" t="inlineStr">
        <is>
          <t>LOW (40%)</t>
        </is>
      </c>
      <c r="U889" t="inlineStr">
        <is>
          <t>UNLIKELY</t>
        </is>
      </c>
      <c r="V889" t="inlineStr">
        <is>
          <t>CHECK_VENDOR</t>
        </is>
      </c>
      <c r="W889" t="inlineStr">
        <is>
          <t>https://nvd.nist.gov/vuln/detail/CVE-2026-27021</t>
        </is>
      </c>
      <c r="X889" t="inlineStr">
        <is>
          <t>NONE</t>
        </is>
      </c>
      <c r="Y889" t="n">
        <v>0</v>
      </c>
      <c r="Z889" t="inlineStr"/>
      <c r="AA889" t="inlineStr">
        <is>
          <t>https://nvd.nist.gov/vuln/detail/CVE-2026-27021</t>
        </is>
      </c>
    </row>
    <row r="890">
      <c r="A890" t="inlineStr">
        <is>
          <t>CVE</t>
        </is>
      </c>
      <c r="B890" t="inlineStr">
        <is>
          <t>CVE-2026-27149</t>
        </is>
      </c>
      <c r="C890"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890" t="n">
        <v>8.5</v>
      </c>
      <c r="E890" t="inlineStr">
        <is>
          <t>HIGH</t>
        </is>
      </c>
      <c r="F890" t="n">
        <v>2</v>
      </c>
      <c r="G890" t="n">
        <v>3</v>
      </c>
      <c r="H890" t="inlineStr">
        <is>
          <t>HIGH</t>
        </is>
      </c>
      <c r="I890" t="n">
        <v>14.5</v>
      </c>
      <c r="J890" t="inlineStr">
        <is>
          <t>NO</t>
        </is>
      </c>
      <c r="K890" t="inlineStr">
        <is>
          <t>2026-02-27 20:47</t>
        </is>
      </c>
      <c r="L890" t="inlineStr">
        <is>
          <t>CHECK_VENDOR</t>
        </is>
      </c>
      <c r="M890" t="inlineStr">
        <is>
          <t>See CVE details</t>
        </is>
      </c>
      <c r="N890" t="inlineStr">
        <is>
          <t>P3</t>
        </is>
      </c>
      <c r="O890" t="inlineStr">
        <is>
          <t>CVE - IP enrichment n/a</t>
        </is>
      </c>
      <c r="P890" t="n">
        <v>0.0003</v>
      </c>
      <c r="Q890" t="n">
        <v>0.0837</v>
      </c>
      <c r="R890" t="inlineStr">
        <is>
          <t>T1190:Exploit Public-Facing Application</t>
        </is>
      </c>
      <c r="S890" t="n">
        <v>1</v>
      </c>
      <c r="T890" t="inlineStr">
        <is>
          <t>LOW (40%)</t>
        </is>
      </c>
      <c r="U890" t="inlineStr">
        <is>
          <t>UNLIKELY</t>
        </is>
      </c>
      <c r="V890" t="inlineStr">
        <is>
          <t>CHECK_VENDOR</t>
        </is>
      </c>
      <c r="W890" t="inlineStr">
        <is>
          <t>https://nvd.nist.gov/vuln/detail/CVE-2026-27149</t>
        </is>
      </c>
      <c r="X890" t="inlineStr">
        <is>
          <t>NONE</t>
        </is>
      </c>
      <c r="Y890" t="n">
        <v>0</v>
      </c>
      <c r="Z890" t="inlineStr"/>
      <c r="AA890" t="inlineStr">
        <is>
          <t>https://nvd.nist.gov/vuln/detail/CVE-2026-27149</t>
        </is>
      </c>
    </row>
    <row r="891">
      <c r="A891" t="inlineStr">
        <is>
          <t>CVE</t>
        </is>
      </c>
      <c r="B891" t="inlineStr">
        <is>
          <t>CVE-2026-27150</t>
        </is>
      </c>
      <c r="C891"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891" t="n">
        <v>8.5</v>
      </c>
      <c r="E891" t="inlineStr">
        <is>
          <t>HIGH</t>
        </is>
      </c>
      <c r="F891" t="n">
        <v>2</v>
      </c>
      <c r="G891" t="n">
        <v>3</v>
      </c>
      <c r="H891" t="inlineStr">
        <is>
          <t>HIGH</t>
        </is>
      </c>
      <c r="I891" t="n">
        <v>14.5</v>
      </c>
      <c r="J891" t="inlineStr">
        <is>
          <t>NO</t>
        </is>
      </c>
      <c r="K891" t="inlineStr">
        <is>
          <t>2026-02-27 20:47</t>
        </is>
      </c>
      <c r="L891" t="inlineStr">
        <is>
          <t>CHECK_VENDOR</t>
        </is>
      </c>
      <c r="M891" t="inlineStr">
        <is>
          <t>See CVE details</t>
        </is>
      </c>
      <c r="N891" t="inlineStr">
        <is>
          <t>P3</t>
        </is>
      </c>
      <c r="O891" t="inlineStr">
        <is>
          <t>CVE - IP enrichment n/a</t>
        </is>
      </c>
      <c r="P891" t="n">
        <v>0.0004</v>
      </c>
      <c r="Q891" t="n">
        <v>0.1139</v>
      </c>
      <c r="R891" t="inlineStr">
        <is>
          <t>T1190:Exploit Public-Facing Application</t>
        </is>
      </c>
      <c r="S891" t="n">
        <v>1</v>
      </c>
      <c r="T891" t="inlineStr">
        <is>
          <t>LOW (40%)</t>
        </is>
      </c>
      <c r="U891" t="inlineStr">
        <is>
          <t>UNLIKELY</t>
        </is>
      </c>
      <c r="V891" t="inlineStr">
        <is>
          <t>CHECK_VENDOR</t>
        </is>
      </c>
      <c r="W891" t="inlineStr">
        <is>
          <t>https://nvd.nist.gov/vuln/detail/CVE-2026-27150</t>
        </is>
      </c>
      <c r="X891" t="inlineStr">
        <is>
          <t>NONE</t>
        </is>
      </c>
      <c r="Y891" t="n">
        <v>0</v>
      </c>
      <c r="Z891" t="inlineStr"/>
      <c r="AA891" t="inlineStr">
        <is>
          <t>https://nvd.nist.gov/vuln/detail/CVE-2026-27150</t>
        </is>
      </c>
    </row>
    <row r="892">
      <c r="A892" t="inlineStr">
        <is>
          <t>CVE</t>
        </is>
      </c>
      <c r="B892" t="inlineStr">
        <is>
          <t>CVE-2026-27151</t>
        </is>
      </c>
      <c r="C892"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892" t="n">
        <v>8.5</v>
      </c>
      <c r="E892" t="inlineStr">
        <is>
          <t>HIGH</t>
        </is>
      </c>
      <c r="F892" t="n">
        <v>2</v>
      </c>
      <c r="G892" t="n">
        <v>3</v>
      </c>
      <c r="H892" t="inlineStr">
        <is>
          <t>HIGH</t>
        </is>
      </c>
      <c r="I892" t="n">
        <v>14.5</v>
      </c>
      <c r="J892" t="inlineStr">
        <is>
          <t>NO</t>
        </is>
      </c>
      <c r="K892" t="inlineStr">
        <is>
          <t>2026-02-27 20:47</t>
        </is>
      </c>
      <c r="L892" t="inlineStr">
        <is>
          <t>CHECK_VENDOR</t>
        </is>
      </c>
      <c r="M892" t="inlineStr">
        <is>
          <t>See CVE details</t>
        </is>
      </c>
      <c r="N892" t="inlineStr">
        <is>
          <t>P3</t>
        </is>
      </c>
      <c r="O892" t="inlineStr">
        <is>
          <t>CVE - IP enrichment n/a</t>
        </is>
      </c>
      <c r="P892" t="n">
        <v>0.0003</v>
      </c>
      <c r="Q892" t="n">
        <v>0.0883</v>
      </c>
      <c r="R892" t="inlineStr">
        <is>
          <t>T1190:Exploit Public-Facing Application</t>
        </is>
      </c>
      <c r="S892" t="n">
        <v>1</v>
      </c>
      <c r="T892" t="inlineStr">
        <is>
          <t>LOW (40%)</t>
        </is>
      </c>
      <c r="U892" t="inlineStr">
        <is>
          <t>UNLIKELY</t>
        </is>
      </c>
      <c r="V892" t="inlineStr">
        <is>
          <t>CHECK_VENDOR</t>
        </is>
      </c>
      <c r="W892" t="inlineStr">
        <is>
          <t>https://nvd.nist.gov/vuln/detail/CVE-2026-27151</t>
        </is>
      </c>
      <c r="X892" t="inlineStr">
        <is>
          <t>NONE</t>
        </is>
      </c>
      <c r="Y892" t="n">
        <v>0</v>
      </c>
      <c r="Z892" t="inlineStr"/>
      <c r="AA892" t="inlineStr">
        <is>
          <t>https://nvd.nist.gov/vuln/detail/CVE-2026-27151</t>
        </is>
      </c>
    </row>
    <row r="893">
      <c r="A893" t="inlineStr">
        <is>
          <t>CVE</t>
        </is>
      </c>
      <c r="B893" t="inlineStr">
        <is>
          <t>CVE-2026-27152</t>
        </is>
      </c>
      <c r="C893"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893" t="n">
        <v>8.5</v>
      </c>
      <c r="E893" t="inlineStr">
        <is>
          <t>HIGH</t>
        </is>
      </c>
      <c r="F893" t="n">
        <v>2</v>
      </c>
      <c r="G893" t="n">
        <v>3</v>
      </c>
      <c r="H893" t="inlineStr">
        <is>
          <t>HIGH</t>
        </is>
      </c>
      <c r="I893" t="n">
        <v>14.5</v>
      </c>
      <c r="J893" t="inlineStr">
        <is>
          <t>NO</t>
        </is>
      </c>
      <c r="K893" t="inlineStr">
        <is>
          <t>2026-02-27 20:47</t>
        </is>
      </c>
      <c r="L893" t="inlineStr">
        <is>
          <t>CHECK_VENDOR</t>
        </is>
      </c>
      <c r="M893" t="inlineStr">
        <is>
          <t>See CVE details</t>
        </is>
      </c>
      <c r="N893" t="inlineStr">
        <is>
          <t>P3</t>
        </is>
      </c>
      <c r="O893" t="inlineStr">
        <is>
          <t>CVE - IP enrichment n/a</t>
        </is>
      </c>
      <c r="P893" t="n">
        <v>0.0004</v>
      </c>
      <c r="Q893" t="n">
        <v>0.1139</v>
      </c>
      <c r="R893" t="inlineStr">
        <is>
          <t>T1190:Exploit Public-Facing Application</t>
        </is>
      </c>
      <c r="S893" t="n">
        <v>1</v>
      </c>
      <c r="T893" t="inlineStr">
        <is>
          <t>LOW (40%)</t>
        </is>
      </c>
      <c r="U893" t="inlineStr">
        <is>
          <t>UNLIKELY</t>
        </is>
      </c>
      <c r="V893" t="inlineStr">
        <is>
          <t>CHECK_VENDOR</t>
        </is>
      </c>
      <c r="W893" t="inlineStr">
        <is>
          <t>https://nvd.nist.gov/vuln/detail/CVE-2026-27152</t>
        </is>
      </c>
      <c r="X893" t="inlineStr">
        <is>
          <t>NONE</t>
        </is>
      </c>
      <c r="Y893" t="n">
        <v>0</v>
      </c>
      <c r="Z893" t="inlineStr"/>
      <c r="AA893" t="inlineStr">
        <is>
          <t>https://nvd.nist.gov/vuln/detail/CVE-2026-27152</t>
        </is>
      </c>
    </row>
    <row r="894">
      <c r="A894" t="inlineStr">
        <is>
          <t>CVE</t>
        </is>
      </c>
      <c r="B894" t="inlineStr">
        <is>
          <t>CVE-2026-27162</t>
        </is>
      </c>
      <c r="C894"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894" t="n">
        <v>8.5</v>
      </c>
      <c r="E894" t="inlineStr">
        <is>
          <t>HIGH</t>
        </is>
      </c>
      <c r="F894" t="n">
        <v>2</v>
      </c>
      <c r="G894" t="n">
        <v>3</v>
      </c>
      <c r="H894" t="inlineStr">
        <is>
          <t>HIGH</t>
        </is>
      </c>
      <c r="I894" t="n">
        <v>14.5</v>
      </c>
      <c r="J894" t="inlineStr">
        <is>
          <t>NO</t>
        </is>
      </c>
      <c r="K894" t="inlineStr">
        <is>
          <t>2026-02-27 20:47</t>
        </is>
      </c>
      <c r="L894" t="inlineStr">
        <is>
          <t>CHECK_VENDOR</t>
        </is>
      </c>
      <c r="M894" t="inlineStr">
        <is>
          <t>See CVE details</t>
        </is>
      </c>
      <c r="N894" t="inlineStr">
        <is>
          <t>P3</t>
        </is>
      </c>
      <c r="O894" t="inlineStr">
        <is>
          <t>CVE - IP enrichment n/a</t>
        </is>
      </c>
      <c r="P894" t="n">
        <v>0.0003</v>
      </c>
      <c r="Q894" t="n">
        <v>0.0977</v>
      </c>
      <c r="R894" t="inlineStr">
        <is>
          <t>T1213:Data from Information Repositories | T1190:Exploit Public-Facing Application</t>
        </is>
      </c>
      <c r="S894" t="n">
        <v>1</v>
      </c>
      <c r="T894" t="inlineStr">
        <is>
          <t>LOW (40%)</t>
        </is>
      </c>
      <c r="U894" t="inlineStr">
        <is>
          <t>UNLIKELY</t>
        </is>
      </c>
      <c r="V894" t="inlineStr">
        <is>
          <t>CHECK_VENDOR</t>
        </is>
      </c>
      <c r="W894" t="inlineStr">
        <is>
          <t>https://nvd.nist.gov/vuln/detail/CVE-2026-27162</t>
        </is>
      </c>
      <c r="X894" t="inlineStr">
        <is>
          <t>NONE</t>
        </is>
      </c>
      <c r="Y894" t="n">
        <v>0</v>
      </c>
      <c r="Z894" t="inlineStr"/>
      <c r="AA894" t="inlineStr">
        <is>
          <t>https://nvd.nist.gov/vuln/detail/CVE-2026-27162</t>
        </is>
      </c>
    </row>
    <row r="895">
      <c r="A895" t="inlineStr">
        <is>
          <t>CVE</t>
        </is>
      </c>
      <c r="B895" t="inlineStr">
        <is>
          <t>CVE-2026-25741</t>
        </is>
      </c>
      <c r="C895"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895" t="n">
        <v>7.1</v>
      </c>
      <c r="E895" t="inlineStr">
        <is>
          <t>HIGH</t>
        </is>
      </c>
      <c r="F895" t="n">
        <v>2</v>
      </c>
      <c r="G895" t="n">
        <v>3</v>
      </c>
      <c r="H895" t="inlineStr">
        <is>
          <t>HIGH</t>
        </is>
      </c>
      <c r="I895" t="n">
        <v>13.1</v>
      </c>
      <c r="J895" t="inlineStr">
        <is>
          <t>NO</t>
        </is>
      </c>
      <c r="K895" t="inlineStr">
        <is>
          <t>2026-02-27 20:47</t>
        </is>
      </c>
      <c r="L895" t="inlineStr">
        <is>
          <t>CHECK_VENDOR</t>
        </is>
      </c>
      <c r="M895" t="inlineStr">
        <is>
          <t>See CVE details</t>
        </is>
      </c>
      <c r="N895" t="inlineStr">
        <is>
          <t>P3</t>
        </is>
      </c>
      <c r="O895" t="inlineStr">
        <is>
          <t>CVE - IP enrichment n/a</t>
        </is>
      </c>
      <c r="P895" t="n">
        <v>0.0004</v>
      </c>
      <c r="Q895" t="n">
        <v>0.103</v>
      </c>
      <c r="R895" t="inlineStr">
        <is>
          <t>T1190:Exploit Public-Facing Application</t>
        </is>
      </c>
      <c r="S895" t="n">
        <v>1</v>
      </c>
      <c r="T895" t="inlineStr">
        <is>
          <t>LOW (40%)</t>
        </is>
      </c>
      <c r="U895" t="inlineStr">
        <is>
          <t>UNLIKELY</t>
        </is>
      </c>
      <c r="V895" t="inlineStr">
        <is>
          <t>CHECK_VENDOR</t>
        </is>
      </c>
      <c r="W895" t="inlineStr">
        <is>
          <t>https://nvd.nist.gov/vuln/detail/CVE-2026-25741</t>
        </is>
      </c>
      <c r="X895" t="inlineStr">
        <is>
          <t>NONE</t>
        </is>
      </c>
      <c r="Y895" t="n">
        <v>0</v>
      </c>
      <c r="Z895" t="inlineStr"/>
      <c r="AA895" t="inlineStr">
        <is>
          <t>https://nvd.nist.gov/vuln/detail/CVE-2026-25741</t>
        </is>
      </c>
    </row>
    <row r="896">
      <c r="A896" t="inlineStr">
        <is>
          <t>CVE</t>
        </is>
      </c>
      <c r="B896" t="inlineStr">
        <is>
          <t>CVE-2026-27153</t>
        </is>
      </c>
      <c r="C896"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896" t="n">
        <v>8.5</v>
      </c>
      <c r="E896" t="inlineStr">
        <is>
          <t>HIGH</t>
        </is>
      </c>
      <c r="F896" t="n">
        <v>2</v>
      </c>
      <c r="G896" t="n">
        <v>3</v>
      </c>
      <c r="H896" t="inlineStr">
        <is>
          <t>HIGH</t>
        </is>
      </c>
      <c r="I896" t="n">
        <v>14.5</v>
      </c>
      <c r="J896" t="inlineStr">
        <is>
          <t>NO</t>
        </is>
      </c>
      <c r="K896" t="inlineStr">
        <is>
          <t>2026-02-27 20:47</t>
        </is>
      </c>
      <c r="L896" t="inlineStr">
        <is>
          <t>CHECK_VENDOR</t>
        </is>
      </c>
      <c r="M896" t="inlineStr">
        <is>
          <t>See CVE details</t>
        </is>
      </c>
      <c r="N896" t="inlineStr">
        <is>
          <t>P3</t>
        </is>
      </c>
      <c r="O896" t="inlineStr">
        <is>
          <t>CVE - IP enrichment n/a</t>
        </is>
      </c>
      <c r="P896" t="n">
        <v>0.0004</v>
      </c>
      <c r="Q896" t="n">
        <v>0.1139</v>
      </c>
      <c r="R896" t="inlineStr">
        <is>
          <t>T1190:Exploit Public-Facing Application</t>
        </is>
      </c>
      <c r="S896" t="n">
        <v>1</v>
      </c>
      <c r="T896" t="inlineStr">
        <is>
          <t>LOW (40%)</t>
        </is>
      </c>
      <c r="U896" t="inlineStr">
        <is>
          <t>UNLIKELY</t>
        </is>
      </c>
      <c r="V896" t="inlineStr">
        <is>
          <t>CHECK_VENDOR</t>
        </is>
      </c>
      <c r="W896" t="inlineStr">
        <is>
          <t>https://nvd.nist.gov/vuln/detail/CVE-2026-27153</t>
        </is>
      </c>
      <c r="X896" t="inlineStr">
        <is>
          <t>NONE</t>
        </is>
      </c>
      <c r="Y896" t="n">
        <v>0</v>
      </c>
      <c r="Z896" t="inlineStr"/>
      <c r="AA896" t="inlineStr">
        <is>
          <t>https://nvd.nist.gov/vuln/detail/CVE-2026-27153</t>
        </is>
      </c>
    </row>
    <row r="897">
      <c r="A897" t="inlineStr">
        <is>
          <t>CVE</t>
        </is>
      </c>
      <c r="B897" t="inlineStr">
        <is>
          <t>CVE-2026-27154</t>
        </is>
      </c>
      <c r="C897"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897" t="n">
        <v>8.5</v>
      </c>
      <c r="E897" t="inlineStr">
        <is>
          <t>HIGH</t>
        </is>
      </c>
      <c r="F897" t="n">
        <v>2</v>
      </c>
      <c r="G897" t="n">
        <v>3</v>
      </c>
      <c r="H897" t="inlineStr">
        <is>
          <t>HIGH</t>
        </is>
      </c>
      <c r="I897" t="n">
        <v>14.5</v>
      </c>
      <c r="J897" t="inlineStr">
        <is>
          <t>NO</t>
        </is>
      </c>
      <c r="K897" t="inlineStr">
        <is>
          <t>2026-02-27 20:47</t>
        </is>
      </c>
      <c r="L897" t="inlineStr">
        <is>
          <t>CHECK_VENDOR</t>
        </is>
      </c>
      <c r="M897" t="inlineStr">
        <is>
          <t>See CVE details</t>
        </is>
      </c>
      <c r="N897" t="inlineStr">
        <is>
          <t>P3</t>
        </is>
      </c>
      <c r="O897" t="inlineStr">
        <is>
          <t>CVE - IP enrichment n/a</t>
        </is>
      </c>
      <c r="P897" t="n">
        <v>0.0005</v>
      </c>
      <c r="Q897" t="n">
        <v>0.143</v>
      </c>
      <c r="R897" t="inlineStr">
        <is>
          <t>T1189:Drive-by Compromise | T1190:Exploit Public-Facing Application</t>
        </is>
      </c>
      <c r="S897" t="n">
        <v>1</v>
      </c>
      <c r="T897" t="inlineStr">
        <is>
          <t>LOW (40%)</t>
        </is>
      </c>
      <c r="U897" t="inlineStr">
        <is>
          <t>UNLIKELY</t>
        </is>
      </c>
      <c r="V897" t="inlineStr">
        <is>
          <t>CHECK_VENDOR</t>
        </is>
      </c>
      <c r="W897" t="inlineStr">
        <is>
          <t>https://nvd.nist.gov/vuln/detail/CVE-2026-27154</t>
        </is>
      </c>
      <c r="X897" t="inlineStr">
        <is>
          <t>NONE</t>
        </is>
      </c>
      <c r="Y897" t="n">
        <v>0</v>
      </c>
      <c r="Z897" t="inlineStr"/>
      <c r="AA897" t="inlineStr">
        <is>
          <t>https://nvd.nist.gov/vuln/detail/CVE-2026-27154</t>
        </is>
      </c>
    </row>
    <row r="898">
      <c r="A898" t="inlineStr">
        <is>
          <t>CVE</t>
        </is>
      </c>
      <c r="B898" t="inlineStr">
        <is>
          <t>CVE-2026-27449</t>
        </is>
      </c>
      <c r="C898"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898" t="n">
        <v>7.5</v>
      </c>
      <c r="E898" t="inlineStr">
        <is>
          <t>HIGH</t>
        </is>
      </c>
      <c r="F898" t="n">
        <v>2</v>
      </c>
      <c r="G898" t="n">
        <v>3</v>
      </c>
      <c r="H898" t="inlineStr">
        <is>
          <t>HIGH</t>
        </is>
      </c>
      <c r="I898" t="n">
        <v>13.5</v>
      </c>
      <c r="J898" t="inlineStr">
        <is>
          <t>NO</t>
        </is>
      </c>
      <c r="K898" t="inlineStr">
        <is>
          <t>2026-02-27 20:47</t>
        </is>
      </c>
      <c r="L898" t="inlineStr">
        <is>
          <t>CHECK_VENDOR</t>
        </is>
      </c>
      <c r="M898" t="inlineStr">
        <is>
          <t>See CVE details</t>
        </is>
      </c>
      <c r="N898" t="inlineStr">
        <is>
          <t>P3</t>
        </is>
      </c>
      <c r="O898" t="inlineStr">
        <is>
          <t>CVE - IP enrichment n/a</t>
        </is>
      </c>
      <c r="P898" t="n">
        <v>0.0005</v>
      </c>
      <c r="Q898" t="n">
        <v>0.1613</v>
      </c>
      <c r="R898" t="inlineStr">
        <is>
          <t>T1552:Unsecured Credentials</t>
        </is>
      </c>
      <c r="S898" t="n">
        <v>1</v>
      </c>
      <c r="T898" t="inlineStr">
        <is>
          <t>LOW (40%)</t>
        </is>
      </c>
      <c r="U898" t="inlineStr">
        <is>
          <t>UNLIKELY</t>
        </is>
      </c>
      <c r="V898" t="inlineStr">
        <is>
          <t>CHECK_VENDOR</t>
        </is>
      </c>
      <c r="W898" t="inlineStr">
        <is>
          <t>https://nvd.nist.gov/vuln/detail/CVE-2026-27449</t>
        </is>
      </c>
      <c r="X898" t="inlineStr">
        <is>
          <t>NONE</t>
        </is>
      </c>
      <c r="Y898" t="n">
        <v>0</v>
      </c>
      <c r="Z898" t="inlineStr"/>
      <c r="AA898" t="inlineStr">
        <is>
          <t>https://nvd.nist.gov/vuln/detail/CVE-2026-27449</t>
        </is>
      </c>
    </row>
    <row r="899">
      <c r="A899" t="inlineStr">
        <is>
          <t>CVE</t>
        </is>
      </c>
      <c r="B899" t="inlineStr">
        <is>
          <t>CVE-2026-27457</t>
        </is>
      </c>
      <c r="C899"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899" t="n">
        <v>4.3</v>
      </c>
      <c r="E899" t="inlineStr">
        <is>
          <t>MEDIUM</t>
        </is>
      </c>
      <c r="F899" t="n">
        <v>2</v>
      </c>
      <c r="G899" t="n">
        <v>2</v>
      </c>
      <c r="H899" t="inlineStr">
        <is>
          <t>MEDIUM</t>
        </is>
      </c>
      <c r="I899" t="n">
        <v>8.300000000000001</v>
      </c>
      <c r="J899" t="inlineStr">
        <is>
          <t>NO</t>
        </is>
      </c>
      <c r="K899" t="inlineStr">
        <is>
          <t>2026-02-27 20:47</t>
        </is>
      </c>
      <c r="L899" t="inlineStr">
        <is>
          <t>YES</t>
        </is>
      </c>
      <c r="M899" t="inlineStr">
        <is>
          <t>weblate weblate *</t>
        </is>
      </c>
      <c r="N899" t="inlineStr">
        <is>
          <t>P4</t>
        </is>
      </c>
      <c r="O899" t="inlineStr">
        <is>
          <t>CVE - IP enrichment n/a</t>
        </is>
      </c>
      <c r="P899" t="n">
        <v>0.0002</v>
      </c>
      <c r="Q899" t="n">
        <v>0.062</v>
      </c>
      <c r="R899" t="inlineStr">
        <is>
          <t>T1213:Data from Information Repositories</t>
        </is>
      </c>
      <c r="S899" t="n">
        <v>1</v>
      </c>
      <c r="T899" t="inlineStr">
        <is>
          <t>LOW (40%)</t>
        </is>
      </c>
      <c r="U899" t="inlineStr">
        <is>
          <t>UNLIKELY</t>
        </is>
      </c>
      <c r="V899" t="inlineStr">
        <is>
          <t>PATCH_AVAILABLE</t>
        </is>
      </c>
      <c r="W899" t="inlineStr">
        <is>
          <t>https://nvd.nist.gov/vuln/detail/CVE-2026-27457</t>
        </is>
      </c>
      <c r="X899" t="inlineStr">
        <is>
          <t>NONE</t>
        </is>
      </c>
      <c r="Y899" t="n">
        <v>0</v>
      </c>
      <c r="Z899" t="inlineStr"/>
      <c r="AA899" t="inlineStr">
        <is>
          <t>https://nvd.nist.gov/vuln/detail/CVE-2026-27457</t>
        </is>
      </c>
    </row>
    <row r="900">
      <c r="A900" t="inlineStr">
        <is>
          <t>CVE</t>
        </is>
      </c>
      <c r="B900" t="inlineStr">
        <is>
          <t>CVE-2026-27835</t>
        </is>
      </c>
      <c r="C900"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900" t="n">
        <v>4.3</v>
      </c>
      <c r="E900" t="inlineStr">
        <is>
          <t>MEDIUM</t>
        </is>
      </c>
      <c r="F900" t="n">
        <v>2</v>
      </c>
      <c r="G900" t="n">
        <v>2</v>
      </c>
      <c r="H900" t="inlineStr">
        <is>
          <t>MEDIUM</t>
        </is>
      </c>
      <c r="I900" t="n">
        <v>8.300000000000001</v>
      </c>
      <c r="J900" t="inlineStr">
        <is>
          <t>NO</t>
        </is>
      </c>
      <c r="K900" t="inlineStr">
        <is>
          <t>2026-02-27 20:47</t>
        </is>
      </c>
      <c r="L900" t="inlineStr">
        <is>
          <t>CHECK_VENDOR</t>
        </is>
      </c>
      <c r="M900" t="inlineStr">
        <is>
          <t>See CVE details</t>
        </is>
      </c>
      <c r="N900" t="inlineStr">
        <is>
          <t>P4</t>
        </is>
      </c>
      <c r="O900" t="inlineStr">
        <is>
          <t>CVE - IP enrichment n/a</t>
        </is>
      </c>
      <c r="P900" t="n">
        <v>0.0003</v>
      </c>
      <c r="Q900" t="n">
        <v>0.0665</v>
      </c>
      <c r="R900" t="inlineStr">
        <is>
          <t>T1190:Exploit Public-Facing Application</t>
        </is>
      </c>
      <c r="S900" t="n">
        <v>1</v>
      </c>
      <c r="T900" t="inlineStr">
        <is>
          <t>LOW (40%)</t>
        </is>
      </c>
      <c r="U900" t="inlineStr">
        <is>
          <t>UNLIKELY</t>
        </is>
      </c>
      <c r="V900" t="inlineStr">
        <is>
          <t>CHECK_VENDOR</t>
        </is>
      </c>
      <c r="W900" t="inlineStr">
        <is>
          <t>https://nvd.nist.gov/vuln/detail/CVE-2026-27835</t>
        </is>
      </c>
      <c r="X900" t="inlineStr">
        <is>
          <t>NONE</t>
        </is>
      </c>
      <c r="Y900" t="n">
        <v>0</v>
      </c>
      <c r="Z900" t="inlineStr"/>
      <c r="AA900" t="inlineStr">
        <is>
          <t>https://nvd.nist.gov/vuln/detail/CVE-2026-27835</t>
        </is>
      </c>
    </row>
    <row r="901">
      <c r="A901" t="inlineStr">
        <is>
          <t>CVE</t>
        </is>
      </c>
      <c r="B901" t="inlineStr">
        <is>
          <t>CVE-2026-28218</t>
        </is>
      </c>
      <c r="C901"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901" t="n">
        <v>8.5</v>
      </c>
      <c r="E901" t="inlineStr">
        <is>
          <t>HIGH</t>
        </is>
      </c>
      <c r="F901" t="n">
        <v>2</v>
      </c>
      <c r="G901" t="n">
        <v>3</v>
      </c>
      <c r="H901" t="inlineStr">
        <is>
          <t>HIGH</t>
        </is>
      </c>
      <c r="I901" t="n">
        <v>14.5</v>
      </c>
      <c r="J901" t="inlineStr">
        <is>
          <t>NO</t>
        </is>
      </c>
      <c r="K901" t="inlineStr">
        <is>
          <t>2026-02-27 20:47</t>
        </is>
      </c>
      <c r="L901" t="inlineStr">
        <is>
          <t>CHECK_VENDOR</t>
        </is>
      </c>
      <c r="M901" t="inlineStr">
        <is>
          <t>See CVE details</t>
        </is>
      </c>
      <c r="N901" t="inlineStr">
        <is>
          <t>P3</t>
        </is>
      </c>
      <c r="O901" t="inlineStr">
        <is>
          <t>CVE - IP enrichment n/a</t>
        </is>
      </c>
      <c r="P901" t="n">
        <v>0.0003</v>
      </c>
      <c r="Q901" t="n">
        <v>0.0883</v>
      </c>
      <c r="R901" t="inlineStr">
        <is>
          <t>T1190:Exploit Public-Facing Application</t>
        </is>
      </c>
      <c r="S901" t="n">
        <v>1</v>
      </c>
      <c r="T901" t="inlineStr">
        <is>
          <t>LOW (40%)</t>
        </is>
      </c>
      <c r="U901" t="inlineStr">
        <is>
          <t>UNLIKELY</t>
        </is>
      </c>
      <c r="V901" t="inlineStr">
        <is>
          <t>CHECK_VENDOR</t>
        </is>
      </c>
      <c r="W901" t="inlineStr">
        <is>
          <t>https://nvd.nist.gov/vuln/detail/CVE-2026-28218</t>
        </is>
      </c>
      <c r="X901" t="inlineStr">
        <is>
          <t>NONE</t>
        </is>
      </c>
      <c r="Y901" t="n">
        <v>0</v>
      </c>
      <c r="Z901" t="inlineStr"/>
      <c r="AA901" t="inlineStr">
        <is>
          <t>https://nvd.nist.gov/vuln/detail/CVE-2026-28218</t>
        </is>
      </c>
    </row>
    <row r="902">
      <c r="A902" t="inlineStr">
        <is>
          <t>CVE</t>
        </is>
      </c>
      <c r="B902" t="inlineStr">
        <is>
          <t>CVE-2026-28219</t>
        </is>
      </c>
      <c r="C902"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902" t="n">
        <v>8.5</v>
      </c>
      <c r="E902" t="inlineStr">
        <is>
          <t>HIGH</t>
        </is>
      </c>
      <c r="F902" t="n">
        <v>2</v>
      </c>
      <c r="G902" t="n">
        <v>3</v>
      </c>
      <c r="H902" t="inlineStr">
        <is>
          <t>HIGH</t>
        </is>
      </c>
      <c r="I902" t="n">
        <v>14.5</v>
      </c>
      <c r="J902" t="inlineStr">
        <is>
          <t>NO</t>
        </is>
      </c>
      <c r="K902" t="inlineStr">
        <is>
          <t>2026-02-27 20:47</t>
        </is>
      </c>
      <c r="L902" t="inlineStr">
        <is>
          <t>CHECK_VENDOR</t>
        </is>
      </c>
      <c r="M902" t="inlineStr">
        <is>
          <t>See CVE details</t>
        </is>
      </c>
      <c r="N902" t="inlineStr">
        <is>
          <t>P3</t>
        </is>
      </c>
      <c r="O902" t="inlineStr">
        <is>
          <t>CVE - IP enrichment n/a</t>
        </is>
      </c>
      <c r="P902" t="n">
        <v>0.0005</v>
      </c>
      <c r="Q902" t="n">
        <v>0.1648</v>
      </c>
      <c r="R902" t="inlineStr">
        <is>
          <t>T1190:Exploit Public-Facing Application</t>
        </is>
      </c>
      <c r="S902" t="n">
        <v>1</v>
      </c>
      <c r="T902" t="inlineStr">
        <is>
          <t>LOW (40%)</t>
        </is>
      </c>
      <c r="U902" t="inlineStr">
        <is>
          <t>UNLIKELY</t>
        </is>
      </c>
      <c r="V902" t="inlineStr">
        <is>
          <t>CHECK_VENDOR</t>
        </is>
      </c>
      <c r="W902" t="inlineStr">
        <is>
          <t>https://nvd.nist.gov/vuln/detail/CVE-2026-28219</t>
        </is>
      </c>
      <c r="X902" t="inlineStr">
        <is>
          <t>NONE</t>
        </is>
      </c>
      <c r="Y902" t="n">
        <v>0</v>
      </c>
      <c r="Z902" t="inlineStr"/>
      <c r="AA902" t="inlineStr">
        <is>
          <t>https://nvd.nist.gov/vuln/detail/CVE-2026-28219</t>
        </is>
      </c>
    </row>
    <row r="903">
      <c r="A903" t="inlineStr">
        <is>
          <t>CVE</t>
        </is>
      </c>
      <c r="B903" t="inlineStr">
        <is>
          <t>CVE-2026-28227</t>
        </is>
      </c>
      <c r="C903"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903" t="n">
        <v>8.5</v>
      </c>
      <c r="E903" t="inlineStr">
        <is>
          <t>HIGH</t>
        </is>
      </c>
      <c r="F903" t="n">
        <v>2</v>
      </c>
      <c r="G903" t="n">
        <v>3</v>
      </c>
      <c r="H903" t="inlineStr">
        <is>
          <t>HIGH</t>
        </is>
      </c>
      <c r="I903" t="n">
        <v>14.5</v>
      </c>
      <c r="J903" t="inlineStr">
        <is>
          <t>NO</t>
        </is>
      </c>
      <c r="K903" t="inlineStr">
        <is>
          <t>2026-02-27 20:47</t>
        </is>
      </c>
      <c r="L903" t="inlineStr">
        <is>
          <t>CHECK_VENDOR</t>
        </is>
      </c>
      <c r="M903" t="inlineStr">
        <is>
          <t>See CVE details</t>
        </is>
      </c>
      <c r="N903" t="inlineStr">
        <is>
          <t>P3</t>
        </is>
      </c>
      <c r="O903" t="inlineStr">
        <is>
          <t>CVE - IP enrichment n/a</t>
        </is>
      </c>
      <c r="P903" t="n">
        <v>0.0004</v>
      </c>
      <c r="Q903" t="n">
        <v>0.1033</v>
      </c>
      <c r="R903" t="inlineStr">
        <is>
          <t>T1190:Exploit Public-Facing Application</t>
        </is>
      </c>
      <c r="S903" t="n">
        <v>1</v>
      </c>
      <c r="T903" t="inlineStr">
        <is>
          <t>LOW (40%)</t>
        </is>
      </c>
      <c r="U903" t="inlineStr">
        <is>
          <t>UNLIKELY</t>
        </is>
      </c>
      <c r="V903" t="inlineStr">
        <is>
          <t>CHECK_VENDOR</t>
        </is>
      </c>
      <c r="W903" t="inlineStr">
        <is>
          <t>https://nvd.nist.gov/vuln/detail/CVE-2026-28227</t>
        </is>
      </c>
      <c r="X903" t="inlineStr">
        <is>
          <t>NONE</t>
        </is>
      </c>
      <c r="Y903" t="n">
        <v>0</v>
      </c>
      <c r="Z903" t="inlineStr"/>
      <c r="AA903" t="inlineStr">
        <is>
          <t>https://nvd.nist.gov/vuln/detail/CVE-2026-28227</t>
        </is>
      </c>
    </row>
    <row r="904">
      <c r="A904" t="inlineStr">
        <is>
          <t>CVE</t>
        </is>
      </c>
      <c r="B904" t="inlineStr">
        <is>
          <t>CVE-2026-3261</t>
        </is>
      </c>
      <c r="C904"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904" t="n">
        <v>7.3</v>
      </c>
      <c r="E904" t="inlineStr">
        <is>
          <t>HIGH</t>
        </is>
      </c>
      <c r="F904" t="n">
        <v>2</v>
      </c>
      <c r="G904" t="n">
        <v>3</v>
      </c>
      <c r="H904" t="inlineStr">
        <is>
          <t>HIGH</t>
        </is>
      </c>
      <c r="I904" t="n">
        <v>13.3</v>
      </c>
      <c r="J904" t="inlineStr">
        <is>
          <t>NO</t>
        </is>
      </c>
      <c r="K904" t="inlineStr">
        <is>
          <t>2026-02-27 20:47</t>
        </is>
      </c>
      <c r="L904" t="inlineStr">
        <is>
          <t>YES</t>
        </is>
      </c>
      <c r="M904" t="inlineStr">
        <is>
          <t>itsourcecode school_management_system 1.0</t>
        </is>
      </c>
      <c r="N904" t="inlineStr">
        <is>
          <t>P3</t>
        </is>
      </c>
      <c r="O904" t="inlineStr">
        <is>
          <t>CVE - IP enrichment n/a</t>
        </is>
      </c>
      <c r="P904" t="n">
        <v>0.0003</v>
      </c>
      <c r="Q904" t="n">
        <v>0.0838</v>
      </c>
      <c r="R904" t="inlineStr">
        <is>
          <t>T1190:Exploit Public-Facing Application</t>
        </is>
      </c>
      <c r="S904" t="n">
        <v>1</v>
      </c>
      <c r="T904" t="inlineStr">
        <is>
          <t>LOW (40%)</t>
        </is>
      </c>
      <c r="U904" t="inlineStr">
        <is>
          <t>UNLIKELY</t>
        </is>
      </c>
      <c r="V904" t="inlineStr">
        <is>
          <t>PATCH_AVAILABLE</t>
        </is>
      </c>
      <c r="W904" t="inlineStr">
        <is>
          <t>https://nvd.nist.gov/vuln/detail/CVE-2026-3261</t>
        </is>
      </c>
      <c r="X904" t="inlineStr">
        <is>
          <t>NONE</t>
        </is>
      </c>
      <c r="Y904" t="n">
        <v>0</v>
      </c>
      <c r="Z904" t="inlineStr"/>
      <c r="AA904" t="inlineStr">
        <is>
          <t>https://nvd.nist.gov/vuln/detail/CVE-2026-3261</t>
        </is>
      </c>
    </row>
    <row r="905">
      <c r="A905" t="inlineStr">
        <is>
          <t>CVE</t>
        </is>
      </c>
      <c r="B905" t="inlineStr">
        <is>
          <t>CVE-2026-3262</t>
        </is>
      </c>
      <c r="C905"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905" t="n">
        <v>6.3</v>
      </c>
      <c r="E905" t="inlineStr">
        <is>
          <t>MEDIUM</t>
        </is>
      </c>
      <c r="F905" t="n">
        <v>2</v>
      </c>
      <c r="G905" t="n">
        <v>2</v>
      </c>
      <c r="H905" t="inlineStr">
        <is>
          <t>MEDIUM</t>
        </is>
      </c>
      <c r="I905" t="n">
        <v>10.3</v>
      </c>
      <c r="J905" t="inlineStr">
        <is>
          <t>NO</t>
        </is>
      </c>
      <c r="K905" t="inlineStr">
        <is>
          <t>2026-02-27 20:47</t>
        </is>
      </c>
      <c r="L905" t="inlineStr">
        <is>
          <t>CHECK_VENDOR</t>
        </is>
      </c>
      <c r="M905" t="inlineStr">
        <is>
          <t>See CVE details</t>
        </is>
      </c>
      <c r="N905" t="inlineStr">
        <is>
          <t>P4</t>
        </is>
      </c>
      <c r="O905" t="inlineStr">
        <is>
          <t>CVE - IP enrichment n/a</t>
        </is>
      </c>
      <c r="P905" t="n">
        <v>0.0005</v>
      </c>
      <c r="Q905" t="n">
        <v>0.1553</v>
      </c>
      <c r="R905" t="inlineStr">
        <is>
          <t>T1190:Exploit Public-Facing Application</t>
        </is>
      </c>
      <c r="S905" t="n">
        <v>1</v>
      </c>
      <c r="T905" t="inlineStr">
        <is>
          <t>LOW (40%)</t>
        </is>
      </c>
      <c r="U905" t="inlineStr">
        <is>
          <t>UNLIKELY</t>
        </is>
      </c>
      <c r="V905" t="inlineStr">
        <is>
          <t>CHECK_VENDOR</t>
        </is>
      </c>
      <c r="W905" t="inlineStr">
        <is>
          <t>https://nvd.nist.gov/vuln/detail/CVE-2026-3262</t>
        </is>
      </c>
      <c r="X905" t="inlineStr">
        <is>
          <t>NONE</t>
        </is>
      </c>
      <c r="Y905" t="n">
        <v>0</v>
      </c>
      <c r="Z905" t="inlineStr"/>
      <c r="AA905" t="inlineStr">
        <is>
          <t>https://nvd.nist.gov/vuln/detail/CVE-2026-3262</t>
        </is>
      </c>
    </row>
    <row r="906">
      <c r="A906" t="inlineStr">
        <is>
          <t>CVE</t>
        </is>
      </c>
      <c r="B906" t="inlineStr">
        <is>
          <t>CVE-2026-3263</t>
        </is>
      </c>
      <c r="C906"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906" t="n">
        <v>6.3</v>
      </c>
      <c r="E906" t="inlineStr">
        <is>
          <t>MEDIUM</t>
        </is>
      </c>
      <c r="F906" t="n">
        <v>2</v>
      </c>
      <c r="G906" t="n">
        <v>2</v>
      </c>
      <c r="H906" t="inlineStr">
        <is>
          <t>MEDIUM</t>
        </is>
      </c>
      <c r="I906" t="n">
        <v>10.3</v>
      </c>
      <c r="J906" t="inlineStr">
        <is>
          <t>NO</t>
        </is>
      </c>
      <c r="K906" t="inlineStr">
        <is>
          <t>2026-02-27 20:47</t>
        </is>
      </c>
      <c r="L906" t="inlineStr">
        <is>
          <t>CHECK_VENDOR</t>
        </is>
      </c>
      <c r="M906" t="inlineStr">
        <is>
          <t>See CVE details</t>
        </is>
      </c>
      <c r="N906" t="inlineStr">
        <is>
          <t>P4</t>
        </is>
      </c>
      <c r="O906" t="inlineStr">
        <is>
          <t>CVE - IP enrichment n/a</t>
        </is>
      </c>
      <c r="P906" t="n">
        <v>0.0003</v>
      </c>
      <c r="Q906" t="n">
        <v>0.0959</v>
      </c>
      <c r="R906" t="inlineStr">
        <is>
          <t>T1190:Exploit Public-Facing Application</t>
        </is>
      </c>
      <c r="S906" t="n">
        <v>1</v>
      </c>
      <c r="T906" t="inlineStr">
        <is>
          <t>LOW (40%)</t>
        </is>
      </c>
      <c r="U906" t="inlineStr">
        <is>
          <t>UNLIKELY</t>
        </is>
      </c>
      <c r="V906" t="inlineStr">
        <is>
          <t>CHECK_VENDOR</t>
        </is>
      </c>
      <c r="W906" t="inlineStr">
        <is>
          <t>https://nvd.nist.gov/vuln/detail/CVE-2026-3263</t>
        </is>
      </c>
      <c r="X906" t="inlineStr">
        <is>
          <t>NONE</t>
        </is>
      </c>
      <c r="Y906" t="n">
        <v>0</v>
      </c>
      <c r="Z906" t="inlineStr"/>
      <c r="AA906" t="inlineStr">
        <is>
          <t>https://nvd.nist.gov/vuln/detail/CVE-2026-3263</t>
        </is>
      </c>
    </row>
    <row r="907">
      <c r="A907" t="inlineStr">
        <is>
          <t>CVE</t>
        </is>
      </c>
      <c r="B907" t="inlineStr">
        <is>
          <t>CVE-2026-27638</t>
        </is>
      </c>
      <c r="C907"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907" t="n">
        <v>7.1</v>
      </c>
      <c r="E907" t="inlineStr">
        <is>
          <t>HIGH</t>
        </is>
      </c>
      <c r="F907" t="n">
        <v>2</v>
      </c>
      <c r="G907" t="n">
        <v>3</v>
      </c>
      <c r="H907" t="inlineStr">
        <is>
          <t>HIGH</t>
        </is>
      </c>
      <c r="I907" t="n">
        <v>13.1</v>
      </c>
      <c r="J907" t="inlineStr">
        <is>
          <t>NO</t>
        </is>
      </c>
      <c r="K907" t="inlineStr">
        <is>
          <t>2026-02-27 20:47</t>
        </is>
      </c>
      <c r="L907" t="inlineStr">
        <is>
          <t>YES</t>
        </is>
      </c>
      <c r="M907" t="inlineStr">
        <is>
          <t>actualbudget actual *</t>
        </is>
      </c>
      <c r="N907" t="inlineStr">
        <is>
          <t>P3</t>
        </is>
      </c>
      <c r="O907" t="inlineStr">
        <is>
          <t>CVE - IP enrichment n/a</t>
        </is>
      </c>
      <c r="P907" t="n">
        <v>0.0004</v>
      </c>
      <c r="Q907" t="n">
        <v>0.1063</v>
      </c>
      <c r="R907" t="inlineStr">
        <is>
          <t>T1190:Exploit Public-Facing Application</t>
        </is>
      </c>
      <c r="S907" t="n">
        <v>1</v>
      </c>
      <c r="T907" t="inlineStr">
        <is>
          <t>LOW (40%)</t>
        </is>
      </c>
      <c r="U907" t="inlineStr">
        <is>
          <t>UNLIKELY</t>
        </is>
      </c>
      <c r="V907" t="inlineStr">
        <is>
          <t>PATCH_AVAILABLE</t>
        </is>
      </c>
      <c r="W907" t="inlineStr">
        <is>
          <t>https://nvd.nist.gov/vuln/detail/CVE-2026-27638</t>
        </is>
      </c>
      <c r="X907" t="inlineStr">
        <is>
          <t>NONE</t>
        </is>
      </c>
      <c r="Y907" t="n">
        <v>0</v>
      </c>
      <c r="Z907" t="inlineStr"/>
      <c r="AA907" t="inlineStr">
        <is>
          <t>https://nvd.nist.gov/vuln/detail/CVE-2026-27638</t>
        </is>
      </c>
    </row>
    <row r="908">
      <c r="A908" t="inlineStr">
        <is>
          <t>CVE</t>
        </is>
      </c>
      <c r="B908" t="inlineStr">
        <is>
          <t>CVE-2026-27838</t>
        </is>
      </c>
      <c r="C908"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908" t="n">
        <v>3.1</v>
      </c>
      <c r="E908" t="inlineStr">
        <is>
          <t>LOW</t>
        </is>
      </c>
      <c r="F908" t="n">
        <v>2</v>
      </c>
      <c r="G908" t="n">
        <v>1</v>
      </c>
      <c r="H908" t="inlineStr">
        <is>
          <t>LOW</t>
        </is>
      </c>
      <c r="I908" t="n">
        <v>5.1</v>
      </c>
      <c r="J908" t="inlineStr">
        <is>
          <t>NO</t>
        </is>
      </c>
      <c r="K908" t="inlineStr">
        <is>
          <t>2026-02-27 20:47</t>
        </is>
      </c>
      <c r="L908" t="inlineStr">
        <is>
          <t>CHECK_VENDOR</t>
        </is>
      </c>
      <c r="M908" t="inlineStr">
        <is>
          <t>See CVE details</t>
        </is>
      </c>
      <c r="N908" t="inlineStr">
        <is>
          <t>P4</t>
        </is>
      </c>
      <c r="O908" t="inlineStr">
        <is>
          <t>CVE - IP enrichment n/a</t>
        </is>
      </c>
      <c r="P908" t="n">
        <v>0.0003</v>
      </c>
      <c r="Q908" t="n">
        <v>0.0665</v>
      </c>
      <c r="R908" t="inlineStr">
        <is>
          <t>T1190:Exploit Public-Facing Application</t>
        </is>
      </c>
      <c r="S908" t="n">
        <v>1</v>
      </c>
      <c r="T908" t="inlineStr">
        <is>
          <t>LOW (40%)</t>
        </is>
      </c>
      <c r="U908" t="inlineStr">
        <is>
          <t>UNLIKELY</t>
        </is>
      </c>
      <c r="V908" t="inlineStr">
        <is>
          <t>CHECK_VENDOR</t>
        </is>
      </c>
      <c r="W908" t="inlineStr">
        <is>
          <t>https://nvd.nist.gov/vuln/detail/CVE-2026-27838</t>
        </is>
      </c>
      <c r="X908" t="inlineStr">
        <is>
          <t>NONE</t>
        </is>
      </c>
      <c r="Y908" t="n">
        <v>0</v>
      </c>
      <c r="Z908" t="inlineStr"/>
      <c r="AA908" t="inlineStr">
        <is>
          <t>https://nvd.nist.gov/vuln/detail/CVE-2026-27838</t>
        </is>
      </c>
    </row>
    <row r="909">
      <c r="A909" t="inlineStr">
        <is>
          <t>CVE</t>
        </is>
      </c>
      <c r="B909" t="inlineStr">
        <is>
          <t>CVE-2026-27839</t>
        </is>
      </c>
      <c r="C909"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909" t="n">
        <v>4.3</v>
      </c>
      <c r="E909" t="inlineStr">
        <is>
          <t>MEDIUM</t>
        </is>
      </c>
      <c r="F909" t="n">
        <v>2</v>
      </c>
      <c r="G909" t="n">
        <v>2</v>
      </c>
      <c r="H909" t="inlineStr">
        <is>
          <t>MEDIUM</t>
        </is>
      </c>
      <c r="I909" t="n">
        <v>8.300000000000001</v>
      </c>
      <c r="J909" t="inlineStr">
        <is>
          <t>NO</t>
        </is>
      </c>
      <c r="K909" t="inlineStr">
        <is>
          <t>2026-02-27 20:47</t>
        </is>
      </c>
      <c r="L909" t="inlineStr">
        <is>
          <t>CHECK_VENDOR</t>
        </is>
      </c>
      <c r="M909" t="inlineStr">
        <is>
          <t>See CVE details</t>
        </is>
      </c>
      <c r="N909" t="inlineStr">
        <is>
          <t>P4</t>
        </is>
      </c>
      <c r="O909" t="inlineStr">
        <is>
          <t>CVE - IP enrichment n/a</t>
        </is>
      </c>
      <c r="P909" t="n">
        <v>0.0003</v>
      </c>
      <c r="Q909" t="n">
        <v>0.0665</v>
      </c>
      <c r="R909" t="inlineStr">
        <is>
          <t>T1190:Exploit Public-Facing Application</t>
        </is>
      </c>
      <c r="S909" t="n">
        <v>1</v>
      </c>
      <c r="T909" t="inlineStr">
        <is>
          <t>LOW (40%)</t>
        </is>
      </c>
      <c r="U909" t="inlineStr">
        <is>
          <t>UNLIKELY</t>
        </is>
      </c>
      <c r="V909" t="inlineStr">
        <is>
          <t>CHECK_VENDOR</t>
        </is>
      </c>
      <c r="W909" t="inlineStr">
        <is>
          <t>https://nvd.nist.gov/vuln/detail/CVE-2026-27839</t>
        </is>
      </c>
      <c r="X909" t="inlineStr">
        <is>
          <t>NONE</t>
        </is>
      </c>
      <c r="Y909" t="n">
        <v>0</v>
      </c>
      <c r="Z909" t="inlineStr"/>
      <c r="AA909" t="inlineStr">
        <is>
          <t>https://nvd.nist.gov/vuln/detail/CVE-2026-27839</t>
        </is>
      </c>
    </row>
    <row r="910">
      <c r="A910" t="inlineStr">
        <is>
          <t>CVE</t>
        </is>
      </c>
      <c r="B910" t="inlineStr">
        <is>
          <t>CVE-2026-28207</t>
        </is>
      </c>
      <c r="C910"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910" t="n">
        <v>6.6</v>
      </c>
      <c r="E910" t="inlineStr">
        <is>
          <t>MEDIUM</t>
        </is>
      </c>
      <c r="F910" t="n">
        <v>2</v>
      </c>
      <c r="G910" t="n">
        <v>2</v>
      </c>
      <c r="H910" t="inlineStr">
        <is>
          <t>MEDIUM</t>
        </is>
      </c>
      <c r="I910" t="n">
        <v>10.6</v>
      </c>
      <c r="J910" t="inlineStr">
        <is>
          <t>NO</t>
        </is>
      </c>
      <c r="K910" t="inlineStr">
        <is>
          <t>2026-02-27 20:47</t>
        </is>
      </c>
      <c r="L910" t="inlineStr">
        <is>
          <t>CHECK_VENDOR</t>
        </is>
      </c>
      <c r="M910" t="inlineStr">
        <is>
          <t>See CVE details</t>
        </is>
      </c>
      <c r="N910" t="inlineStr">
        <is>
          <t>P4</t>
        </is>
      </c>
      <c r="O910" t="inlineStr">
        <is>
          <t>CVE - IP enrichment n/a</t>
        </is>
      </c>
      <c r="P910" t="n">
        <v>0.0005</v>
      </c>
      <c r="Q910" t="n">
        <v>0.1561</v>
      </c>
      <c r="R910" t="inlineStr">
        <is>
          <t>T1059:Command and Scripting Interpreter</t>
        </is>
      </c>
      <c r="S910" t="n">
        <v>1</v>
      </c>
      <c r="T910" t="inlineStr">
        <is>
          <t>LOW (40%)</t>
        </is>
      </c>
      <c r="U910" t="inlineStr">
        <is>
          <t>UNLIKELY</t>
        </is>
      </c>
      <c r="V910" t="inlineStr">
        <is>
          <t>CHECK_VENDOR</t>
        </is>
      </c>
      <c r="W910" t="inlineStr">
        <is>
          <t>https://nvd.nist.gov/vuln/detail/CVE-2026-28207</t>
        </is>
      </c>
      <c r="X910" t="inlineStr">
        <is>
          <t>NONE</t>
        </is>
      </c>
      <c r="Y910" t="n">
        <v>0</v>
      </c>
      <c r="Z910" t="inlineStr"/>
      <c r="AA910" t="inlineStr">
        <is>
          <t>https://nvd.nist.gov/vuln/detail/CVE-2026-28207</t>
        </is>
      </c>
    </row>
    <row r="911">
      <c r="A911" t="inlineStr">
        <is>
          <t>CVE</t>
        </is>
      </c>
      <c r="B911" t="inlineStr">
        <is>
          <t>CVE-2026-28208</t>
        </is>
      </c>
      <c r="C911"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911" t="n">
        <v>5.9</v>
      </c>
      <c r="E911" t="inlineStr">
        <is>
          <t>MEDIUM</t>
        </is>
      </c>
      <c r="F911" t="n">
        <v>2</v>
      </c>
      <c r="G911" t="n">
        <v>2</v>
      </c>
      <c r="H911" t="inlineStr">
        <is>
          <t>MEDIUM</t>
        </is>
      </c>
      <c r="I911" t="n">
        <v>9.9</v>
      </c>
      <c r="J911" t="inlineStr">
        <is>
          <t>NO</t>
        </is>
      </c>
      <c r="K911" t="inlineStr">
        <is>
          <t>2026-02-27 20:47</t>
        </is>
      </c>
      <c r="L911" t="inlineStr">
        <is>
          <t>YES</t>
        </is>
      </c>
      <c r="M911" t="inlineStr">
        <is>
          <t>junrar_project junrar *</t>
        </is>
      </c>
      <c r="N911" t="inlineStr">
        <is>
          <t>P4</t>
        </is>
      </c>
      <c r="O911" t="inlineStr">
        <is>
          <t>CVE - IP enrichment n/a</t>
        </is>
      </c>
      <c r="P911" t="n">
        <v>0.0011</v>
      </c>
      <c r="Q911" t="n">
        <v>0.2904</v>
      </c>
      <c r="R911" t="inlineStr">
        <is>
          <t>T1083:File and Directory Discovery | T1190:Exploit Public-Facing Application | T1210:Exploitation of Remote Services</t>
        </is>
      </c>
      <c r="S911" t="n">
        <v>1</v>
      </c>
      <c r="T911" t="inlineStr">
        <is>
          <t>LOW (40%)</t>
        </is>
      </c>
      <c r="U911" t="inlineStr">
        <is>
          <t>UNLIKELY</t>
        </is>
      </c>
      <c r="V911" t="inlineStr">
        <is>
          <t>PATCH_AVAILABLE</t>
        </is>
      </c>
      <c r="W911" t="inlineStr">
        <is>
          <t>https://nvd.nist.gov/vuln/detail/CVE-2026-28208</t>
        </is>
      </c>
      <c r="X911" t="inlineStr">
        <is>
          <t>NONE</t>
        </is>
      </c>
      <c r="Y911" t="n">
        <v>0</v>
      </c>
      <c r="Z911" t="inlineStr"/>
      <c r="AA911" t="inlineStr">
        <is>
          <t>https://nvd.nist.gov/vuln/detail/CVE-2026-28208</t>
        </is>
      </c>
    </row>
    <row r="912">
      <c r="A912" t="inlineStr">
        <is>
          <t>CVE</t>
        </is>
      </c>
      <c r="B912" t="inlineStr">
        <is>
          <t>CVE-2026-28211</t>
        </is>
      </c>
      <c r="C912"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912" t="n">
        <v>7.8</v>
      </c>
      <c r="E912" t="inlineStr">
        <is>
          <t>HIGH</t>
        </is>
      </c>
      <c r="F912" t="n">
        <v>2</v>
      </c>
      <c r="G912" t="n">
        <v>3</v>
      </c>
      <c r="H912" t="inlineStr">
        <is>
          <t>HIGH</t>
        </is>
      </c>
      <c r="I912" t="n">
        <v>13.8</v>
      </c>
      <c r="J912" t="inlineStr">
        <is>
          <t>NO</t>
        </is>
      </c>
      <c r="K912" t="inlineStr">
        <is>
          <t>2026-02-27 20:47</t>
        </is>
      </c>
      <c r="L912" t="inlineStr">
        <is>
          <t>CHECK_VENDOR</t>
        </is>
      </c>
      <c r="M912" t="inlineStr">
        <is>
          <t>See CVE details</t>
        </is>
      </c>
      <c r="N912" t="inlineStr">
        <is>
          <t>P3</t>
        </is>
      </c>
      <c r="O912" t="inlineStr">
        <is>
          <t>CVE - IP enrichment n/a</t>
        </is>
      </c>
      <c r="P912" t="n">
        <v>0.0001</v>
      </c>
      <c r="Q912" t="n">
        <v>0.0058</v>
      </c>
      <c r="R912" t="inlineStr">
        <is>
          <t>T1203:Exploitation for Client Execution</t>
        </is>
      </c>
      <c r="S912" t="n">
        <v>1</v>
      </c>
      <c r="T912" t="inlineStr">
        <is>
          <t>LOW (40%)</t>
        </is>
      </c>
      <c r="U912" t="inlineStr">
        <is>
          <t>UNLIKELY</t>
        </is>
      </c>
      <c r="V912" t="inlineStr">
        <is>
          <t>CHECK_VENDOR</t>
        </is>
      </c>
      <c r="W912" t="inlineStr">
        <is>
          <t>https://nvd.nist.gov/vuln/detail/CVE-2026-28211</t>
        </is>
      </c>
      <c r="X912" t="inlineStr">
        <is>
          <t>NONE</t>
        </is>
      </c>
      <c r="Y912" t="n">
        <v>0</v>
      </c>
      <c r="Z912" t="inlineStr"/>
      <c r="AA912" t="inlineStr">
        <is>
          <t>https://nvd.nist.gov/vuln/detail/CVE-2026-28211</t>
        </is>
      </c>
    </row>
    <row r="913">
      <c r="A913" t="inlineStr">
        <is>
          <t>CVE</t>
        </is>
      </c>
      <c r="B913" t="inlineStr">
        <is>
          <t>CVE-2026-28213</t>
        </is>
      </c>
      <c r="C913"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913" t="n">
        <v>9.800000000000001</v>
      </c>
      <c r="E913" t="inlineStr">
        <is>
          <t>CRITICAL</t>
        </is>
      </c>
      <c r="F913" t="n">
        <v>2</v>
      </c>
      <c r="G913" t="n">
        <v>3</v>
      </c>
      <c r="H913" t="inlineStr">
        <is>
          <t>HIGH</t>
        </is>
      </c>
      <c r="I913" t="n">
        <v>15.8</v>
      </c>
      <c r="J913" t="inlineStr">
        <is>
          <t>NO</t>
        </is>
      </c>
      <c r="K913" t="inlineStr">
        <is>
          <t>2026-02-27 20:47</t>
        </is>
      </c>
      <c r="L913" t="inlineStr">
        <is>
          <t>CHECK_VENDOR</t>
        </is>
      </c>
      <c r="M913" t="inlineStr">
        <is>
          <t>See CVE details</t>
        </is>
      </c>
      <c r="N913" t="inlineStr">
        <is>
          <t>P3</t>
        </is>
      </c>
      <c r="O913" t="inlineStr">
        <is>
          <t>CVE - IP enrichment n/a</t>
        </is>
      </c>
      <c r="P913" t="n">
        <v>0.0004</v>
      </c>
      <c r="Q913" t="n">
        <v>0.1245</v>
      </c>
      <c r="R913" t="inlineStr">
        <is>
          <t>T1213:Data from Information Repositories | T1190:Exploit Public-Facing Application</t>
        </is>
      </c>
      <c r="S913" t="n">
        <v>1</v>
      </c>
      <c r="T913" t="inlineStr">
        <is>
          <t>LOW (40%)</t>
        </is>
      </c>
      <c r="U913" t="inlineStr">
        <is>
          <t>UNLIKELY</t>
        </is>
      </c>
      <c r="V913" t="inlineStr">
        <is>
          <t>CHECK_VENDOR</t>
        </is>
      </c>
      <c r="W913" t="inlineStr">
        <is>
          <t>https://nvd.nist.gov/vuln/detail/CVE-2026-28213</t>
        </is>
      </c>
      <c r="X913" t="inlineStr">
        <is>
          <t>NONE</t>
        </is>
      </c>
      <c r="Y913" t="n">
        <v>0</v>
      </c>
      <c r="Z913" t="inlineStr"/>
      <c r="AA913" t="inlineStr">
        <is>
          <t>https://nvd.nist.gov/vuln/detail/CVE-2026-28213</t>
        </is>
      </c>
    </row>
    <row r="914">
      <c r="A914" t="inlineStr">
        <is>
          <t>CVE</t>
        </is>
      </c>
      <c r="B914" t="inlineStr">
        <is>
          <t>CVE-2026-28215</t>
        </is>
      </c>
      <c r="C914"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914" t="n">
        <v>9.1</v>
      </c>
      <c r="E914" t="inlineStr">
        <is>
          <t>CRITICAL</t>
        </is>
      </c>
      <c r="F914" t="n">
        <v>2</v>
      </c>
      <c r="G914" t="n">
        <v>3</v>
      </c>
      <c r="H914" t="inlineStr">
        <is>
          <t>HIGH</t>
        </is>
      </c>
      <c r="I914" t="n">
        <v>15.1</v>
      </c>
      <c r="J914" t="inlineStr">
        <is>
          <t>NO</t>
        </is>
      </c>
      <c r="K914" t="inlineStr">
        <is>
          <t>2026-02-27 20:47</t>
        </is>
      </c>
      <c r="L914" t="inlineStr">
        <is>
          <t>YES</t>
        </is>
      </c>
      <c r="M914" t="inlineStr">
        <is>
          <t>hoppscotch hoppscotch *</t>
        </is>
      </c>
      <c r="N914" t="inlineStr">
        <is>
          <t>P3</t>
        </is>
      </c>
      <c r="O914" t="inlineStr">
        <is>
          <t>CVE - IP enrichment n/a</t>
        </is>
      </c>
      <c r="P914" t="n">
        <v>0.0009</v>
      </c>
      <c r="Q914" t="n">
        <v>0.2471</v>
      </c>
      <c r="R914" t="inlineStr">
        <is>
          <t>T1190:Exploit Public-Facing Application | T1552:Unsecured Credentials</t>
        </is>
      </c>
      <c r="S914" t="n">
        <v>1</v>
      </c>
      <c r="T914" t="inlineStr">
        <is>
          <t>LOW (40%)</t>
        </is>
      </c>
      <c r="U914" t="inlineStr">
        <is>
          <t>UNLIKELY</t>
        </is>
      </c>
      <c r="V914" t="inlineStr">
        <is>
          <t>PATCH_AVAILABLE</t>
        </is>
      </c>
      <c r="W914" t="inlineStr">
        <is>
          <t>https://nvd.nist.gov/vuln/detail/CVE-2026-28215</t>
        </is>
      </c>
      <c r="X914" t="inlineStr">
        <is>
          <t>NONE</t>
        </is>
      </c>
      <c r="Y914" t="n">
        <v>0</v>
      </c>
      <c r="Z914" t="inlineStr"/>
      <c r="AA914" t="inlineStr">
        <is>
          <t>https://nvd.nist.gov/vuln/detail/CVE-2026-28215</t>
        </is>
      </c>
    </row>
    <row r="915">
      <c r="A915" t="inlineStr">
        <is>
          <t>CVE</t>
        </is>
      </c>
      <c r="B915" t="inlineStr">
        <is>
          <t>CVE-2026-28216</t>
        </is>
      </c>
      <c r="C915"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915" t="n">
        <v>8.300000000000001</v>
      </c>
      <c r="E915" t="inlineStr">
        <is>
          <t>HIGH</t>
        </is>
      </c>
      <c r="F915" t="n">
        <v>2</v>
      </c>
      <c r="G915" t="n">
        <v>3</v>
      </c>
      <c r="H915" t="inlineStr">
        <is>
          <t>HIGH</t>
        </is>
      </c>
      <c r="I915" t="n">
        <v>14.3</v>
      </c>
      <c r="J915" t="inlineStr">
        <is>
          <t>NO</t>
        </is>
      </c>
      <c r="K915" t="inlineStr">
        <is>
          <t>2026-02-27 20:47</t>
        </is>
      </c>
      <c r="L915" t="inlineStr">
        <is>
          <t>YES</t>
        </is>
      </c>
      <c r="M915" t="inlineStr">
        <is>
          <t>hoppscotch hoppscotch *</t>
        </is>
      </c>
      <c r="N915" t="inlineStr">
        <is>
          <t>P3</t>
        </is>
      </c>
      <c r="O915" t="inlineStr">
        <is>
          <t>CVE - IP enrichment n/a</t>
        </is>
      </c>
      <c r="P915" t="n">
        <v>0.0004</v>
      </c>
      <c r="Q915" t="n">
        <v>0.1121</v>
      </c>
      <c r="R915" t="inlineStr">
        <is>
          <t>T1190:Exploit Public-Facing Application</t>
        </is>
      </c>
      <c r="S915" t="n">
        <v>1</v>
      </c>
      <c r="T915" t="inlineStr">
        <is>
          <t>LOW (40%)</t>
        </is>
      </c>
      <c r="U915" t="inlineStr">
        <is>
          <t>UNLIKELY</t>
        </is>
      </c>
      <c r="V915" t="inlineStr">
        <is>
          <t>PATCH_AVAILABLE</t>
        </is>
      </c>
      <c r="W915" t="inlineStr">
        <is>
          <t>https://nvd.nist.gov/vuln/detail/CVE-2026-28216</t>
        </is>
      </c>
      <c r="X915" t="inlineStr">
        <is>
          <t>NONE</t>
        </is>
      </c>
      <c r="Y915" t="n">
        <v>0</v>
      </c>
      <c r="Z915" t="inlineStr"/>
      <c r="AA915" t="inlineStr">
        <is>
          <t>https://nvd.nist.gov/vuln/detail/CVE-2026-28216</t>
        </is>
      </c>
    </row>
    <row r="916">
      <c r="A916" t="inlineStr">
        <is>
          <t>CVE</t>
        </is>
      </c>
      <c r="B916" t="inlineStr">
        <is>
          <t>CVE-2026-28217</t>
        </is>
      </c>
      <c r="C916"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916" t="n">
        <v>6.5</v>
      </c>
      <c r="E916" t="inlineStr">
        <is>
          <t>MEDIUM</t>
        </is>
      </c>
      <c r="F916" t="n">
        <v>2</v>
      </c>
      <c r="G916" t="n">
        <v>2</v>
      </c>
      <c r="H916" t="inlineStr">
        <is>
          <t>MEDIUM</t>
        </is>
      </c>
      <c r="I916" t="n">
        <v>10.5</v>
      </c>
      <c r="J916" t="inlineStr">
        <is>
          <t>NO</t>
        </is>
      </c>
      <c r="K916" t="inlineStr">
        <is>
          <t>2026-02-27 20:47</t>
        </is>
      </c>
      <c r="L916" t="inlineStr">
        <is>
          <t>YES</t>
        </is>
      </c>
      <c r="M916" t="inlineStr">
        <is>
          <t>hoppscotch hoppscotch *</t>
        </is>
      </c>
      <c r="N916" t="inlineStr">
        <is>
          <t>P4</t>
        </is>
      </c>
      <c r="O916" t="inlineStr">
        <is>
          <t>CVE - IP enrichment n/a</t>
        </is>
      </c>
      <c r="P916" t="n">
        <v>0.0003</v>
      </c>
      <c r="Q916" t="n">
        <v>0.0772</v>
      </c>
      <c r="R916" t="inlineStr">
        <is>
          <t>T1190:Exploit Public-Facing Application</t>
        </is>
      </c>
      <c r="S916" t="n">
        <v>1</v>
      </c>
      <c r="T916" t="inlineStr">
        <is>
          <t>LOW (40%)</t>
        </is>
      </c>
      <c r="U916" t="inlineStr">
        <is>
          <t>UNLIKELY</t>
        </is>
      </c>
      <c r="V916" t="inlineStr">
        <is>
          <t>PATCH_AVAILABLE</t>
        </is>
      </c>
      <c r="W916" t="inlineStr">
        <is>
          <t>https://nvd.nist.gov/vuln/detail/CVE-2026-28217</t>
        </is>
      </c>
      <c r="X916" t="inlineStr">
        <is>
          <t>NONE</t>
        </is>
      </c>
      <c r="Y916" t="n">
        <v>0</v>
      </c>
      <c r="Z916" t="inlineStr"/>
      <c r="AA916" t="inlineStr">
        <is>
          <t>https://nvd.nist.gov/vuln/detail/CVE-2026-28217</t>
        </is>
      </c>
    </row>
    <row r="917">
      <c r="A917" t="inlineStr">
        <is>
          <t>CVE</t>
        </is>
      </c>
      <c r="B917" t="inlineStr">
        <is>
          <t>CVE-2026-28225</t>
        </is>
      </c>
      <c r="C917"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917" t="n">
        <v>5.3</v>
      </c>
      <c r="E917" t="inlineStr">
        <is>
          <t>MEDIUM</t>
        </is>
      </c>
      <c r="F917" t="n">
        <v>2</v>
      </c>
      <c r="G917" t="n">
        <v>2</v>
      </c>
      <c r="H917" t="inlineStr">
        <is>
          <t>MEDIUM</t>
        </is>
      </c>
      <c r="I917" t="n">
        <v>9.300000000000001</v>
      </c>
      <c r="J917" t="inlineStr">
        <is>
          <t>NO</t>
        </is>
      </c>
      <c r="K917" t="inlineStr">
        <is>
          <t>2026-02-27 20:47</t>
        </is>
      </c>
      <c r="L917" t="inlineStr">
        <is>
          <t>YES</t>
        </is>
      </c>
      <c r="M917" t="inlineStr">
        <is>
          <t>manyfold manyfold *</t>
        </is>
      </c>
      <c r="N917" t="inlineStr">
        <is>
          <t>P4</t>
        </is>
      </c>
      <c r="O917" t="inlineStr">
        <is>
          <t>CVE - IP enrichment n/a</t>
        </is>
      </c>
      <c r="P917" t="n">
        <v>0.0003</v>
      </c>
      <c r="Q917" t="n">
        <v>0.0762</v>
      </c>
      <c r="R917" t="inlineStr">
        <is>
          <t>T1190:Exploit Public-Facing Application</t>
        </is>
      </c>
      <c r="S917" t="n">
        <v>1</v>
      </c>
      <c r="T917" t="inlineStr">
        <is>
          <t>LOW (40%)</t>
        </is>
      </c>
      <c r="U917" t="inlineStr">
        <is>
          <t>UNLIKELY</t>
        </is>
      </c>
      <c r="V917" t="inlineStr">
        <is>
          <t>PATCH_AVAILABLE</t>
        </is>
      </c>
      <c r="W917" t="inlineStr">
        <is>
          <t>https://nvd.nist.gov/vuln/detail/CVE-2026-28225</t>
        </is>
      </c>
      <c r="X917" t="inlineStr">
        <is>
          <t>NONE</t>
        </is>
      </c>
      <c r="Y917" t="n">
        <v>0</v>
      </c>
      <c r="Z917" t="inlineStr"/>
      <c r="AA917" t="inlineStr">
        <is>
          <t>https://nvd.nist.gov/vuln/detail/CVE-2026-28225</t>
        </is>
      </c>
    </row>
    <row r="918">
      <c r="A918" t="inlineStr">
        <is>
          <t>CVE</t>
        </is>
      </c>
      <c r="B918" t="inlineStr">
        <is>
          <t>CVE-2026-28226</t>
        </is>
      </c>
      <c r="C918"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918" t="n">
        <v>6.5</v>
      </c>
      <c r="E918" t="inlineStr">
        <is>
          <t>MEDIUM</t>
        </is>
      </c>
      <c r="F918" t="n">
        <v>2</v>
      </c>
      <c r="G918" t="n">
        <v>2</v>
      </c>
      <c r="H918" t="inlineStr">
        <is>
          <t>MEDIUM</t>
        </is>
      </c>
      <c r="I918" t="n">
        <v>10.5</v>
      </c>
      <c r="J918" t="inlineStr">
        <is>
          <t>NO</t>
        </is>
      </c>
      <c r="K918" t="inlineStr">
        <is>
          <t>2026-02-27 20:47</t>
        </is>
      </c>
      <c r="L918" t="inlineStr">
        <is>
          <t>CHECK_VENDOR</t>
        </is>
      </c>
      <c r="M918" t="inlineStr">
        <is>
          <t>See CVE details</t>
        </is>
      </c>
      <c r="N918" t="inlineStr">
        <is>
          <t>P4</t>
        </is>
      </c>
      <c r="O918" t="inlineStr">
        <is>
          <t>CVE - IP enrichment n/a</t>
        </is>
      </c>
      <c r="P918" t="n">
        <v>0.0002</v>
      </c>
      <c r="Q918" t="n">
        <v>0.0574</v>
      </c>
      <c r="R918" t="inlineStr">
        <is>
          <t>T1190:Exploit Public-Facing Application | T1566:Phishing | T1557:Adversary-in-the-Middle</t>
        </is>
      </c>
      <c r="S918" t="n">
        <v>1</v>
      </c>
      <c r="T918" t="inlineStr">
        <is>
          <t>LOW (40%)</t>
        </is>
      </c>
      <c r="U918" t="inlineStr">
        <is>
          <t>UNLIKELY</t>
        </is>
      </c>
      <c r="V918" t="inlineStr">
        <is>
          <t>CHECK_VENDOR</t>
        </is>
      </c>
      <c r="W918" t="inlineStr">
        <is>
          <t>https://nvd.nist.gov/vuln/detail/CVE-2026-28226</t>
        </is>
      </c>
      <c r="X918" t="inlineStr">
        <is>
          <t>NONE</t>
        </is>
      </c>
      <c r="Y918" t="n">
        <v>0</v>
      </c>
      <c r="Z918" t="inlineStr"/>
      <c r="AA918" t="inlineStr">
        <is>
          <t>https://nvd.nist.gov/vuln/detail/CVE-2026-28226</t>
        </is>
      </c>
    </row>
    <row r="919">
      <c r="A919" t="inlineStr">
        <is>
          <t>CVE</t>
        </is>
      </c>
      <c r="B919" t="inlineStr">
        <is>
          <t>CVE-2026-28230</t>
        </is>
      </c>
      <c r="C919"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919" t="n">
        <v>8.5</v>
      </c>
      <c r="E919" t="inlineStr">
        <is>
          <t>HIGH</t>
        </is>
      </c>
      <c r="F919" t="n">
        <v>2</v>
      </c>
      <c r="G919" t="n">
        <v>3</v>
      </c>
      <c r="H919" t="inlineStr">
        <is>
          <t>HIGH</t>
        </is>
      </c>
      <c r="I919" t="n">
        <v>14.5</v>
      </c>
      <c r="J919" t="inlineStr">
        <is>
          <t>NO</t>
        </is>
      </c>
      <c r="K919" t="inlineStr">
        <is>
          <t>2026-02-27 20:47</t>
        </is>
      </c>
      <c r="L919" t="inlineStr">
        <is>
          <t>CHECK_VENDOR</t>
        </is>
      </c>
      <c r="M919" t="inlineStr">
        <is>
          <t>See CVE details</t>
        </is>
      </c>
      <c r="N919" t="inlineStr">
        <is>
          <t>P3</t>
        </is>
      </c>
      <c r="O919" t="inlineStr">
        <is>
          <t>CVE - IP enrichment n/a</t>
        </is>
      </c>
      <c r="P919" t="n">
        <v>0.0004</v>
      </c>
      <c r="Q919" t="n">
        <v>0.1139</v>
      </c>
      <c r="R919" t="inlineStr">
        <is>
          <t>T1190:Exploit Public-Facing Application</t>
        </is>
      </c>
      <c r="S919" t="n">
        <v>1</v>
      </c>
      <c r="T919" t="inlineStr">
        <is>
          <t>LOW (40%)</t>
        </is>
      </c>
      <c r="U919" t="inlineStr">
        <is>
          <t>UNLIKELY</t>
        </is>
      </c>
      <c r="V919" t="inlineStr">
        <is>
          <t>CHECK_VENDOR</t>
        </is>
      </c>
      <c r="W919" t="inlineStr">
        <is>
          <t>https://nvd.nist.gov/vuln/detail/CVE-2026-28230</t>
        </is>
      </c>
      <c r="X919" t="inlineStr">
        <is>
          <t>NONE</t>
        </is>
      </c>
      <c r="Y919" t="n">
        <v>0</v>
      </c>
      <c r="Z919" t="inlineStr"/>
      <c r="AA919" t="inlineStr">
        <is>
          <t>https://nvd.nist.gov/vuln/detail/CVE-2026-28230</t>
        </is>
      </c>
    </row>
    <row r="920">
      <c r="A920" t="inlineStr">
        <is>
          <t>CVE</t>
        </is>
      </c>
      <c r="B920" t="inlineStr">
        <is>
          <t>CVE-2026-28269</t>
        </is>
      </c>
      <c r="C920"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920" t="n">
        <v>5.9</v>
      </c>
      <c r="E920" t="inlineStr">
        <is>
          <t>MEDIUM</t>
        </is>
      </c>
      <c r="F920" t="n">
        <v>2</v>
      </c>
      <c r="G920" t="n">
        <v>2</v>
      </c>
      <c r="H920" t="inlineStr">
        <is>
          <t>MEDIUM</t>
        </is>
      </c>
      <c r="I920" t="n">
        <v>9.9</v>
      </c>
      <c r="J920" t="inlineStr">
        <is>
          <t>NO</t>
        </is>
      </c>
      <c r="K920" t="inlineStr">
        <is>
          <t>2026-02-27 20:47</t>
        </is>
      </c>
      <c r="L920" t="inlineStr">
        <is>
          <t>CHECK_VENDOR</t>
        </is>
      </c>
      <c r="M920" t="inlineStr">
        <is>
          <t>See CVE details</t>
        </is>
      </c>
      <c r="N920" t="inlineStr">
        <is>
          <t>P4</t>
        </is>
      </c>
      <c r="O920" t="inlineStr">
        <is>
          <t>CVE - IP enrichment n/a</t>
        </is>
      </c>
      <c r="P920" t="n">
        <v>0.0003</v>
      </c>
      <c r="Q920" t="n">
        <v>0.0983</v>
      </c>
      <c r="R920" t="inlineStr">
        <is>
          <t>T1059:Command and Scripting Interpreter</t>
        </is>
      </c>
      <c r="S920" t="n">
        <v>1</v>
      </c>
      <c r="T920" t="inlineStr">
        <is>
          <t>LOW (40%)</t>
        </is>
      </c>
      <c r="U920" t="inlineStr">
        <is>
          <t>UNLIKELY</t>
        </is>
      </c>
      <c r="V920" t="inlineStr">
        <is>
          <t>CHECK_VENDOR</t>
        </is>
      </c>
      <c r="W920" t="inlineStr">
        <is>
          <t>https://nvd.nist.gov/vuln/detail/CVE-2026-28269</t>
        </is>
      </c>
      <c r="X920" t="inlineStr">
        <is>
          <t>NONE</t>
        </is>
      </c>
      <c r="Y920" t="n">
        <v>0</v>
      </c>
      <c r="Z920" t="inlineStr"/>
      <c r="AA920" t="inlineStr">
        <is>
          <t>https://nvd.nist.gov/vuln/detail/CVE-2026-28269</t>
        </is>
      </c>
    </row>
    <row r="921">
      <c r="A921" t="inlineStr">
        <is>
          <t>CVE</t>
        </is>
      </c>
      <c r="B921" t="inlineStr">
        <is>
          <t>CVE-2026-28274</t>
        </is>
      </c>
      <c r="C921"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921" t="n">
        <v>8.699999999999999</v>
      </c>
      <c r="E921" t="inlineStr">
        <is>
          <t>HIGH</t>
        </is>
      </c>
      <c r="F921" t="n">
        <v>2</v>
      </c>
      <c r="G921" t="n">
        <v>3</v>
      </c>
      <c r="H921" t="inlineStr">
        <is>
          <t>HIGH</t>
        </is>
      </c>
      <c r="I921" t="n">
        <v>14.7</v>
      </c>
      <c r="J921" t="inlineStr">
        <is>
          <t>NO</t>
        </is>
      </c>
      <c r="K921" t="inlineStr">
        <is>
          <t>2026-02-27 20:47</t>
        </is>
      </c>
      <c r="L921" t="inlineStr">
        <is>
          <t>CHECK_VENDOR</t>
        </is>
      </c>
      <c r="M921" t="inlineStr">
        <is>
          <t>See CVE details</t>
        </is>
      </c>
      <c r="N921" t="inlineStr">
        <is>
          <t>P3</t>
        </is>
      </c>
      <c r="O921" t="inlineStr">
        <is>
          <t>CVE - IP enrichment n/a</t>
        </is>
      </c>
      <c r="P921" t="n">
        <v>0.0005999999999999999</v>
      </c>
      <c r="Q921" t="n">
        <v>0.1911</v>
      </c>
      <c r="R921" t="inlineStr">
        <is>
          <t>T1189:Drive-by Compromise</t>
        </is>
      </c>
      <c r="S921" t="n">
        <v>1</v>
      </c>
      <c r="T921" t="inlineStr">
        <is>
          <t>LOW (40%)</t>
        </is>
      </c>
      <c r="U921" t="inlineStr">
        <is>
          <t>UNLIKELY</t>
        </is>
      </c>
      <c r="V921" t="inlineStr">
        <is>
          <t>CHECK_VENDOR</t>
        </is>
      </c>
      <c r="W921" t="inlineStr">
        <is>
          <t>https://nvd.nist.gov/vuln/detail/CVE-2026-28274</t>
        </is>
      </c>
      <c r="X921" t="inlineStr">
        <is>
          <t>NONE</t>
        </is>
      </c>
      <c r="Y921" t="n">
        <v>0</v>
      </c>
      <c r="Z921" t="inlineStr"/>
      <c r="AA921" t="inlineStr">
        <is>
          <t>https://nvd.nist.gov/vuln/detail/CVE-2026-28274</t>
        </is>
      </c>
    </row>
    <row r="922">
      <c r="A922" t="inlineStr">
        <is>
          <t>CVE</t>
        </is>
      </c>
      <c r="B922" t="inlineStr">
        <is>
          <t>CVE-2026-28275</t>
        </is>
      </c>
      <c r="C922"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922" t="n">
        <v>8.1</v>
      </c>
      <c r="E922" t="inlineStr">
        <is>
          <t>HIGH</t>
        </is>
      </c>
      <c r="F922" t="n">
        <v>2</v>
      </c>
      <c r="G922" t="n">
        <v>3</v>
      </c>
      <c r="H922" t="inlineStr">
        <is>
          <t>HIGH</t>
        </is>
      </c>
      <c r="I922" t="n">
        <v>14.1</v>
      </c>
      <c r="J922" t="inlineStr">
        <is>
          <t>NO</t>
        </is>
      </c>
      <c r="K922" t="inlineStr">
        <is>
          <t>2026-02-27 20:47</t>
        </is>
      </c>
      <c r="L922" t="inlineStr">
        <is>
          <t>CHECK_VENDOR</t>
        </is>
      </c>
      <c r="M922" t="inlineStr">
        <is>
          <t>See CVE details</t>
        </is>
      </c>
      <c r="N922" t="inlineStr">
        <is>
          <t>P3</t>
        </is>
      </c>
      <c r="O922" t="inlineStr">
        <is>
          <t>CVE - IP enrichment n/a</t>
        </is>
      </c>
      <c r="P922" t="n">
        <v>0.0003</v>
      </c>
      <c r="Q922" t="n">
        <v>0.0772</v>
      </c>
      <c r="R922" t="inlineStr">
        <is>
          <t>T1190:Exploit Public-Facing Application</t>
        </is>
      </c>
      <c r="S922" t="n">
        <v>1</v>
      </c>
      <c r="T922" t="inlineStr">
        <is>
          <t>LOW (40%)</t>
        </is>
      </c>
      <c r="U922" t="inlineStr">
        <is>
          <t>UNLIKELY</t>
        </is>
      </c>
      <c r="V922" t="inlineStr">
        <is>
          <t>CHECK_VENDOR</t>
        </is>
      </c>
      <c r="W922" t="inlineStr">
        <is>
          <t>https://nvd.nist.gov/vuln/detail/CVE-2026-28275</t>
        </is>
      </c>
      <c r="X922" t="inlineStr">
        <is>
          <t>NONE</t>
        </is>
      </c>
      <c r="Y922" t="n">
        <v>0</v>
      </c>
      <c r="Z922" t="inlineStr"/>
      <c r="AA922" t="inlineStr">
        <is>
          <t>https://nvd.nist.gov/vuln/detail/CVE-2026-28275</t>
        </is>
      </c>
    </row>
    <row r="923">
      <c r="A923" t="inlineStr">
        <is>
          <t>CVE</t>
        </is>
      </c>
      <c r="B923" t="inlineStr">
        <is>
          <t>CVE-2026-28276</t>
        </is>
      </c>
      <c r="C923"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923" t="n">
        <v>7.5</v>
      </c>
      <c r="E923" t="inlineStr">
        <is>
          <t>HIGH</t>
        </is>
      </c>
      <c r="F923" t="n">
        <v>2</v>
      </c>
      <c r="G923" t="n">
        <v>3</v>
      </c>
      <c r="H923" t="inlineStr">
        <is>
          <t>HIGH</t>
        </is>
      </c>
      <c r="I923" t="n">
        <v>13.5</v>
      </c>
      <c r="J923" t="inlineStr">
        <is>
          <t>NO</t>
        </is>
      </c>
      <c r="K923" t="inlineStr">
        <is>
          <t>2026-02-27 20:47</t>
        </is>
      </c>
      <c r="L923" t="inlineStr">
        <is>
          <t>CHECK_VENDOR</t>
        </is>
      </c>
      <c r="M923" t="inlineStr">
        <is>
          <t>See CVE details</t>
        </is>
      </c>
      <c r="N923" t="inlineStr">
        <is>
          <t>P3</t>
        </is>
      </c>
      <c r="O923" t="inlineStr">
        <is>
          <t>CVE - IP enrichment n/a</t>
        </is>
      </c>
      <c r="P923" t="n">
        <v>0.0012</v>
      </c>
      <c r="Q923" t="n">
        <v>0.3051</v>
      </c>
      <c r="R923" t="inlineStr">
        <is>
          <t>T1213:Data from Information Repositories</t>
        </is>
      </c>
      <c r="S923" t="n">
        <v>1</v>
      </c>
      <c r="T923" t="inlineStr">
        <is>
          <t>LOW (40%)</t>
        </is>
      </c>
      <c r="U923" t="inlineStr">
        <is>
          <t>UNLIKELY</t>
        </is>
      </c>
      <c r="V923" t="inlineStr">
        <is>
          <t>CHECK_VENDOR</t>
        </is>
      </c>
      <c r="W923" t="inlineStr">
        <is>
          <t>https://nvd.nist.gov/vuln/detail/CVE-2026-28276</t>
        </is>
      </c>
      <c r="X923" t="inlineStr">
        <is>
          <t>NONE</t>
        </is>
      </c>
      <c r="Y923" t="n">
        <v>0</v>
      </c>
      <c r="Z923" t="inlineStr"/>
      <c r="AA923" t="inlineStr">
        <is>
          <t>https://nvd.nist.gov/vuln/detail/CVE-2026-28276</t>
        </is>
      </c>
    </row>
    <row r="924">
      <c r="A924" t="inlineStr">
        <is>
          <t>CVE</t>
        </is>
      </c>
      <c r="B924" t="inlineStr">
        <is>
          <t>CVE-2026-28279</t>
        </is>
      </c>
      <c r="C924"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924" t="n">
        <v>7.3</v>
      </c>
      <c r="E924" t="inlineStr">
        <is>
          <t>HIGH</t>
        </is>
      </c>
      <c r="F924" t="n">
        <v>2</v>
      </c>
      <c r="G924" t="n">
        <v>3</v>
      </c>
      <c r="H924" t="inlineStr">
        <is>
          <t>HIGH</t>
        </is>
      </c>
      <c r="I924" t="n">
        <v>13.3</v>
      </c>
      <c r="J924" t="inlineStr">
        <is>
          <t>NO</t>
        </is>
      </c>
      <c r="K924" t="inlineStr">
        <is>
          <t>2026-02-27 20:47</t>
        </is>
      </c>
      <c r="L924" t="inlineStr">
        <is>
          <t>CHECK_VENDOR</t>
        </is>
      </c>
      <c r="M924" t="inlineStr">
        <is>
          <t>See CVE details</t>
        </is>
      </c>
      <c r="N924" t="inlineStr">
        <is>
          <t>P3</t>
        </is>
      </c>
      <c r="O924" t="inlineStr">
        <is>
          <t>CVE - IP enrichment n/a</t>
        </is>
      </c>
      <c r="P924" t="n">
        <v>0.0011</v>
      </c>
      <c r="Q924" t="n">
        <v>0.2983</v>
      </c>
      <c r="R924" t="inlineStr">
        <is>
          <t>T1059:Command and Scripting Interpreter | T1190:Exploit Public-Facing Application | T1210:Exploitation of Remote Services</t>
        </is>
      </c>
      <c r="S924" t="n">
        <v>1</v>
      </c>
      <c r="T924" t="inlineStr">
        <is>
          <t>LOW (40%)</t>
        </is>
      </c>
      <c r="U924" t="inlineStr">
        <is>
          <t>UNLIKELY</t>
        </is>
      </c>
      <c r="V924" t="inlineStr">
        <is>
          <t>CHECK_VENDOR</t>
        </is>
      </c>
      <c r="W924" t="inlineStr">
        <is>
          <t>https://nvd.nist.gov/vuln/detail/CVE-2026-28279</t>
        </is>
      </c>
      <c r="X924" t="inlineStr">
        <is>
          <t>NONE</t>
        </is>
      </c>
      <c r="Y924" t="n">
        <v>0</v>
      </c>
      <c r="Z924" t="inlineStr"/>
      <c r="AA924" t="inlineStr">
        <is>
          <t>https://nvd.nist.gov/vuln/detail/CVE-2026-28279</t>
        </is>
      </c>
    </row>
    <row r="925">
      <c r="A925" t="inlineStr">
        <is>
          <t>CVE</t>
        </is>
      </c>
      <c r="B925" t="inlineStr">
        <is>
          <t>CVE-2026-28280</t>
        </is>
      </c>
      <c r="C925"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925" t="n">
        <v>6.1</v>
      </c>
      <c r="E925" t="inlineStr">
        <is>
          <t>MEDIUM</t>
        </is>
      </c>
      <c r="F925" t="n">
        <v>2</v>
      </c>
      <c r="G925" t="n">
        <v>2</v>
      </c>
      <c r="H925" t="inlineStr">
        <is>
          <t>MEDIUM</t>
        </is>
      </c>
      <c r="I925" t="n">
        <v>10.1</v>
      </c>
      <c r="J925" t="inlineStr">
        <is>
          <t>NO</t>
        </is>
      </c>
      <c r="K925" t="inlineStr">
        <is>
          <t>2026-02-27 20:47</t>
        </is>
      </c>
      <c r="L925" t="inlineStr">
        <is>
          <t>CHECK_VENDOR</t>
        </is>
      </c>
      <c r="M925" t="inlineStr">
        <is>
          <t>See CVE details</t>
        </is>
      </c>
      <c r="N925" t="inlineStr">
        <is>
          <t>P4</t>
        </is>
      </c>
      <c r="O925" t="inlineStr">
        <is>
          <t>CVE - IP enrichment n/a</t>
        </is>
      </c>
      <c r="P925" t="n">
        <v>0.0002</v>
      </c>
      <c r="Q925" t="n">
        <v>0.0594</v>
      </c>
      <c r="R925" t="inlineStr">
        <is>
          <t>T1189:Drive-by Compromise</t>
        </is>
      </c>
      <c r="S925" t="n">
        <v>1</v>
      </c>
      <c r="T925" t="inlineStr">
        <is>
          <t>LOW (40%)</t>
        </is>
      </c>
      <c r="U925" t="inlineStr">
        <is>
          <t>UNLIKELY</t>
        </is>
      </c>
      <c r="V925" t="inlineStr">
        <is>
          <t>CHECK_VENDOR</t>
        </is>
      </c>
      <c r="W925" t="inlineStr">
        <is>
          <t>https://nvd.nist.gov/vuln/detail/CVE-2026-28280</t>
        </is>
      </c>
      <c r="X925" t="inlineStr">
        <is>
          <t>NONE</t>
        </is>
      </c>
      <c r="Y925" t="n">
        <v>0</v>
      </c>
      <c r="Z925" t="inlineStr"/>
      <c r="AA925" t="inlineStr">
        <is>
          <t>https://nvd.nist.gov/vuln/detail/CVE-2026-28280</t>
        </is>
      </c>
    </row>
    <row r="926">
      <c r="A926" t="inlineStr">
        <is>
          <t>CVE</t>
        </is>
      </c>
      <c r="B926" t="inlineStr">
        <is>
          <t>CVE-2026-3264</t>
        </is>
      </c>
      <c r="C926"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926" t="n">
        <v>6.3</v>
      </c>
      <c r="E926" t="inlineStr">
        <is>
          <t>MEDIUM</t>
        </is>
      </c>
      <c r="F926" t="n">
        <v>2</v>
      </c>
      <c r="G926" t="n">
        <v>2</v>
      </c>
      <c r="H926" t="inlineStr">
        <is>
          <t>MEDIUM</t>
        </is>
      </c>
      <c r="I926" t="n">
        <v>10.3</v>
      </c>
      <c r="J926" t="inlineStr">
        <is>
          <t>NO</t>
        </is>
      </c>
      <c r="K926" t="inlineStr">
        <is>
          <t>2026-02-27 20:47</t>
        </is>
      </c>
      <c r="L926" t="inlineStr">
        <is>
          <t>CHECK_VENDOR</t>
        </is>
      </c>
      <c r="M926" t="inlineStr">
        <is>
          <t>See CVE details</t>
        </is>
      </c>
      <c r="N926" t="inlineStr">
        <is>
          <t>P4</t>
        </is>
      </c>
      <c r="O926" t="inlineStr">
        <is>
          <t>CVE - IP enrichment n/a</t>
        </is>
      </c>
      <c r="P926" t="n">
        <v>0.0005</v>
      </c>
      <c r="Q926" t="n">
        <v>0.1553</v>
      </c>
      <c r="R926" t="inlineStr">
        <is>
          <t>T1190:Exploit Public-Facing Application</t>
        </is>
      </c>
      <c r="S926" t="n">
        <v>1</v>
      </c>
      <c r="T926" t="inlineStr">
        <is>
          <t>LOW (40%)</t>
        </is>
      </c>
      <c r="U926" t="inlineStr">
        <is>
          <t>UNLIKELY</t>
        </is>
      </c>
      <c r="V926" t="inlineStr">
        <is>
          <t>CHECK_VENDOR</t>
        </is>
      </c>
      <c r="W926" t="inlineStr">
        <is>
          <t>https://nvd.nist.gov/vuln/detail/CVE-2026-3264</t>
        </is>
      </c>
      <c r="X926" t="inlineStr">
        <is>
          <t>NONE</t>
        </is>
      </c>
      <c r="Y926" t="n">
        <v>0</v>
      </c>
      <c r="Z926" t="inlineStr"/>
      <c r="AA926" t="inlineStr">
        <is>
          <t>https://nvd.nist.gov/vuln/detail/CVE-2026-3264</t>
        </is>
      </c>
    </row>
    <row r="927">
      <c r="A927" t="inlineStr">
        <is>
          <t>CVE</t>
        </is>
      </c>
      <c r="B927" t="inlineStr">
        <is>
          <t>CVE-2026-3265</t>
        </is>
      </c>
      <c r="C927"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927" t="n">
        <v>6.3</v>
      </c>
      <c r="E927" t="inlineStr">
        <is>
          <t>MEDIUM</t>
        </is>
      </c>
      <c r="F927" t="n">
        <v>2</v>
      </c>
      <c r="G927" t="n">
        <v>2</v>
      </c>
      <c r="H927" t="inlineStr">
        <is>
          <t>MEDIUM</t>
        </is>
      </c>
      <c r="I927" t="n">
        <v>10.3</v>
      </c>
      <c r="J927" t="inlineStr">
        <is>
          <t>NO</t>
        </is>
      </c>
      <c r="K927" t="inlineStr">
        <is>
          <t>2026-02-27 20:47</t>
        </is>
      </c>
      <c r="L927" t="inlineStr">
        <is>
          <t>CHECK_VENDOR</t>
        </is>
      </c>
      <c r="M927" t="inlineStr">
        <is>
          <t>See CVE details</t>
        </is>
      </c>
      <c r="N927" t="inlineStr">
        <is>
          <t>P4</t>
        </is>
      </c>
      <c r="O927" t="inlineStr">
        <is>
          <t>CVE - IP enrichment n/a</t>
        </is>
      </c>
      <c r="P927" t="n">
        <v>0.0003</v>
      </c>
      <c r="Q927" t="n">
        <v>0.0959</v>
      </c>
      <c r="R927" t="inlineStr">
        <is>
          <t>T1190:Exploit Public-Facing Application</t>
        </is>
      </c>
      <c r="S927" t="n">
        <v>1</v>
      </c>
      <c r="T927" t="inlineStr">
        <is>
          <t>LOW (40%)</t>
        </is>
      </c>
      <c r="U927" t="inlineStr">
        <is>
          <t>UNLIKELY</t>
        </is>
      </c>
      <c r="V927" t="inlineStr">
        <is>
          <t>CHECK_VENDOR</t>
        </is>
      </c>
      <c r="W927" t="inlineStr">
        <is>
          <t>https://nvd.nist.gov/vuln/detail/CVE-2026-3265</t>
        </is>
      </c>
      <c r="X927" t="inlineStr">
        <is>
          <t>NONE</t>
        </is>
      </c>
      <c r="Y927" t="n">
        <v>0</v>
      </c>
      <c r="Z927" t="inlineStr"/>
      <c r="AA927" t="inlineStr">
        <is>
          <t>https://nvd.nist.gov/vuln/detail/CVE-2026-3265</t>
        </is>
      </c>
    </row>
    <row r="928">
      <c r="A928" t="inlineStr">
        <is>
          <t>CVE</t>
        </is>
      </c>
      <c r="B928" t="inlineStr">
        <is>
          <t>CVE-2026-3268</t>
        </is>
      </c>
      <c r="C928"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928" t="n">
        <v>5.4</v>
      </c>
      <c r="E928" t="inlineStr">
        <is>
          <t>MEDIUM</t>
        </is>
      </c>
      <c r="F928" t="n">
        <v>2</v>
      </c>
      <c r="G928" t="n">
        <v>2</v>
      </c>
      <c r="H928" t="inlineStr">
        <is>
          <t>MEDIUM</t>
        </is>
      </c>
      <c r="I928" t="n">
        <v>9.4</v>
      </c>
      <c r="J928" t="inlineStr">
        <is>
          <t>NO</t>
        </is>
      </c>
      <c r="K928" t="inlineStr">
        <is>
          <t>2026-02-27 20:47</t>
        </is>
      </c>
      <c r="L928" t="inlineStr">
        <is>
          <t>CHECK_VENDOR</t>
        </is>
      </c>
      <c r="M928" t="inlineStr">
        <is>
          <t>See CVE details</t>
        </is>
      </c>
      <c r="N928" t="inlineStr">
        <is>
          <t>P4</t>
        </is>
      </c>
      <c r="O928" t="inlineStr">
        <is>
          <t>CVE - IP enrichment n/a</t>
        </is>
      </c>
      <c r="P928" t="n">
        <v>0.0003</v>
      </c>
      <c r="Q928" t="n">
        <v>0.0963</v>
      </c>
      <c r="R928" t="inlineStr">
        <is>
          <t>T1190:Exploit Public-Facing Application</t>
        </is>
      </c>
      <c r="S928" t="n">
        <v>1</v>
      </c>
      <c r="T928" t="inlineStr">
        <is>
          <t>LOW (40%)</t>
        </is>
      </c>
      <c r="U928" t="inlineStr">
        <is>
          <t>UNLIKELY</t>
        </is>
      </c>
      <c r="V928" t="inlineStr">
        <is>
          <t>CHECK_VENDOR</t>
        </is>
      </c>
      <c r="W928" t="inlineStr">
        <is>
          <t>https://nvd.nist.gov/vuln/detail/CVE-2026-3268</t>
        </is>
      </c>
      <c r="X928" t="inlineStr">
        <is>
          <t>NONE</t>
        </is>
      </c>
      <c r="Y928" t="n">
        <v>0</v>
      </c>
      <c r="Z928" t="inlineStr"/>
      <c r="AA928" t="inlineStr">
        <is>
          <t>https://nvd.nist.gov/vuln/detail/CVE-2026-3268</t>
        </is>
      </c>
    </row>
    <row r="929">
      <c r="A929" t="inlineStr">
        <is>
          <t>CVE</t>
        </is>
      </c>
      <c r="B929" t="inlineStr">
        <is>
          <t>CVE-2025-40932</t>
        </is>
      </c>
      <c r="C929"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929" t="n">
        <v>5</v>
      </c>
      <c r="E929" t="inlineStr">
        <is>
          <t>MEDIUM</t>
        </is>
      </c>
      <c r="F929" t="n">
        <v>2</v>
      </c>
      <c r="G929" t="n">
        <v>2</v>
      </c>
      <c r="H929" t="inlineStr">
        <is>
          <t>MEDIUM</t>
        </is>
      </c>
      <c r="I929" t="n">
        <v>9</v>
      </c>
      <c r="J929" t="inlineStr">
        <is>
          <t>NO</t>
        </is>
      </c>
      <c r="K929" t="inlineStr">
        <is>
          <t>2026-02-27 20:47</t>
        </is>
      </c>
      <c r="L929" t="inlineStr">
        <is>
          <t>CHECK_VENDOR</t>
        </is>
      </c>
      <c r="M929" t="inlineStr">
        <is>
          <t>See CVE details</t>
        </is>
      </c>
      <c r="N929" t="inlineStr">
        <is>
          <t>P1</t>
        </is>
      </c>
      <c r="O929" t="inlineStr">
        <is>
          <t>CVE - IP enrichment n/a</t>
        </is>
      </c>
      <c r="P929" t="n">
        <v>0.0002</v>
      </c>
      <c r="Q929" t="n">
        <v>0.0449</v>
      </c>
      <c r="R929" t="inlineStr">
        <is>
          <t>T1600:Weaken Encryption</t>
        </is>
      </c>
      <c r="S929" t="n">
        <v>2</v>
      </c>
      <c r="T929" t="inlineStr">
        <is>
          <t>HIGH (72%)</t>
        </is>
      </c>
      <c r="U929" t="inlineStr">
        <is>
          <t>HIGH</t>
        </is>
      </c>
      <c r="V929" t="inlineStr">
        <is>
          <t>CHECK_VENDOR</t>
        </is>
      </c>
      <c r="W929" t="inlineStr">
        <is>
          <t>https://nvd.nist.gov/vuln/detail/CVE-2025-40932</t>
        </is>
      </c>
      <c r="X929" t="inlineStr">
        <is>
          <t>http://www.zerodayinitiative.com/advisories/ZDI-26-123/</t>
        </is>
      </c>
      <c r="Y929" t="n">
        <v>0</v>
      </c>
      <c r="Z929" t="inlineStr"/>
      <c r="AA929" t="inlineStr">
        <is>
          <t>https://nvd.nist.gov/vuln/detail/CVE-2025-40932</t>
        </is>
      </c>
    </row>
    <row r="930">
      <c r="A930" t="inlineStr">
        <is>
          <t>CVE</t>
        </is>
      </c>
      <c r="B930" t="inlineStr">
        <is>
          <t>CVE-2026-1585</t>
        </is>
      </c>
      <c r="C930" t="inlineStr">
        <is>
          <t>An unquoted Windows service executable path vulnerability in IJ Scan Utility for Windows versions 1.1.2 through 1.5.0 may allow a local attacker to execute a malicious file with the privileges of the affected service.</t>
        </is>
      </c>
      <c r="D930" t="n">
        <v>6.7</v>
      </c>
      <c r="E930" t="inlineStr">
        <is>
          <t>MEDIUM</t>
        </is>
      </c>
      <c r="F930" t="n">
        <v>2</v>
      </c>
      <c r="G930" t="n">
        <v>2</v>
      </c>
      <c r="H930" t="inlineStr">
        <is>
          <t>MEDIUM</t>
        </is>
      </c>
      <c r="I930" t="n">
        <v>10.7</v>
      </c>
      <c r="J930" t="inlineStr">
        <is>
          <t>NO</t>
        </is>
      </c>
      <c r="K930" t="inlineStr">
        <is>
          <t>2026-02-27 20:47</t>
        </is>
      </c>
      <c r="L930" t="inlineStr">
        <is>
          <t>CHECK_VENDOR</t>
        </is>
      </c>
      <c r="M930" t="inlineStr">
        <is>
          <t>See CVE details</t>
        </is>
      </c>
      <c r="N930" t="inlineStr">
        <is>
          <t>P4</t>
        </is>
      </c>
      <c r="O930" t="inlineStr">
        <is>
          <t>CVE - IP enrichment n/a</t>
        </is>
      </c>
      <c r="P930" t="n">
        <v>0.0001</v>
      </c>
      <c r="Q930" t="n">
        <v>0.0132</v>
      </c>
      <c r="R930" t="inlineStr">
        <is>
          <t>T1190:Exploit Public-Facing Application</t>
        </is>
      </c>
      <c r="S930" t="n">
        <v>1</v>
      </c>
      <c r="T930" t="inlineStr">
        <is>
          <t>LOW (40%)</t>
        </is>
      </c>
      <c r="U930" t="inlineStr">
        <is>
          <t>UNLIKELY</t>
        </is>
      </c>
      <c r="V930" t="inlineStr">
        <is>
          <t>CHECK_VENDOR</t>
        </is>
      </c>
      <c r="W930" t="inlineStr">
        <is>
          <t>https://nvd.nist.gov/vuln/detail/CVE-2026-1585</t>
        </is>
      </c>
      <c r="X930" t="inlineStr">
        <is>
          <t>NONE</t>
        </is>
      </c>
      <c r="Y930" t="n">
        <v>0</v>
      </c>
      <c r="Z930" t="inlineStr"/>
      <c r="AA930" t="inlineStr">
        <is>
          <t>https://nvd.nist.gov/vuln/detail/CVE-2026-1585</t>
        </is>
      </c>
    </row>
    <row r="931">
      <c r="A931" t="inlineStr">
        <is>
          <t>CVE</t>
        </is>
      </c>
      <c r="B931" t="inlineStr">
        <is>
          <t>CVE-2026-20733</t>
        </is>
      </c>
      <c r="C931" t="inlineStr">
        <is>
          <t>Charging station authentication identifiers are publicly accessible via web-based mapping platforms.</t>
        </is>
      </c>
      <c r="D931" t="n">
        <v>6.5</v>
      </c>
      <c r="E931" t="inlineStr">
        <is>
          <t>MEDIUM</t>
        </is>
      </c>
      <c r="F931" t="n">
        <v>2</v>
      </c>
      <c r="G931" t="n">
        <v>2</v>
      </c>
      <c r="H931" t="inlineStr">
        <is>
          <t>MEDIUM</t>
        </is>
      </c>
      <c r="I931" t="n">
        <v>10.5</v>
      </c>
      <c r="J931" t="inlineStr">
        <is>
          <t>NO</t>
        </is>
      </c>
      <c r="K931" t="inlineStr">
        <is>
          <t>2026-02-27 20:47</t>
        </is>
      </c>
      <c r="L931" t="inlineStr">
        <is>
          <t>CHECK_VENDOR</t>
        </is>
      </c>
      <c r="M931" t="inlineStr">
        <is>
          <t>See CVE details</t>
        </is>
      </c>
      <c r="N931" t="inlineStr">
        <is>
          <t>P4</t>
        </is>
      </c>
      <c r="O931" t="inlineStr">
        <is>
          <t>CVE - IP enrichment n/a</t>
        </is>
      </c>
      <c r="P931" t="n">
        <v>0.0004</v>
      </c>
      <c r="Q931" t="n">
        <v>0.1304</v>
      </c>
      <c r="R931" t="inlineStr">
        <is>
          <t>T1190:Exploit Public-Facing Application</t>
        </is>
      </c>
      <c r="S931" t="n">
        <v>1</v>
      </c>
      <c r="T931" t="inlineStr">
        <is>
          <t>LOW (40%)</t>
        </is>
      </c>
      <c r="U931" t="inlineStr">
        <is>
          <t>UNLIKELY</t>
        </is>
      </c>
      <c r="V931" t="inlineStr">
        <is>
          <t>CHECK_VENDOR</t>
        </is>
      </c>
      <c r="W931" t="inlineStr">
        <is>
          <t>https://nvd.nist.gov/vuln/detail/CVE-2026-20733</t>
        </is>
      </c>
      <c r="X931" t="inlineStr">
        <is>
          <t>NONE</t>
        </is>
      </c>
      <c r="Y931" t="n">
        <v>0</v>
      </c>
      <c r="Z931" t="inlineStr"/>
      <c r="AA931" t="inlineStr">
        <is>
          <t>https://nvd.nist.gov/vuln/detail/CVE-2026-20733</t>
        </is>
      </c>
    </row>
    <row r="932">
      <c r="A932" t="inlineStr">
        <is>
          <t>CVE</t>
        </is>
      </c>
      <c r="B932" t="inlineStr">
        <is>
          <t>CVE-2026-20781</t>
        </is>
      </c>
      <c r="C932"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32" t="n">
        <v>9.4</v>
      </c>
      <c r="E932" t="inlineStr">
        <is>
          <t>CRITICAL</t>
        </is>
      </c>
      <c r="F932" t="n">
        <v>2</v>
      </c>
      <c r="G932" t="n">
        <v>3</v>
      </c>
      <c r="H932" t="inlineStr">
        <is>
          <t>HIGH</t>
        </is>
      </c>
      <c r="I932" t="n">
        <v>15.4</v>
      </c>
      <c r="J932" t="inlineStr">
        <is>
          <t>NO</t>
        </is>
      </c>
      <c r="K932" t="inlineStr">
        <is>
          <t>2026-02-27 20:47</t>
        </is>
      </c>
      <c r="L932" t="inlineStr">
        <is>
          <t>CHECK_VENDOR</t>
        </is>
      </c>
      <c r="M932" t="inlineStr">
        <is>
          <t>See CVE details</t>
        </is>
      </c>
      <c r="N932" t="inlineStr">
        <is>
          <t>P3</t>
        </is>
      </c>
      <c r="O932" t="inlineStr">
        <is>
          <t>CVE - IP enrichment n/a</t>
        </is>
      </c>
      <c r="P932" t="n">
        <v>0.0013</v>
      </c>
      <c r="Q932" t="n">
        <v>0.3289</v>
      </c>
      <c r="R932" t="inlineStr">
        <is>
          <t>T1078:Valid Accounts</t>
        </is>
      </c>
      <c r="S932" t="n">
        <v>1</v>
      </c>
      <c r="T932" t="inlineStr">
        <is>
          <t>LOW (40%)</t>
        </is>
      </c>
      <c r="U932" t="inlineStr">
        <is>
          <t>UNLIKELY</t>
        </is>
      </c>
      <c r="V932" t="inlineStr">
        <is>
          <t>CHECK_VENDOR</t>
        </is>
      </c>
      <c r="W932" t="inlineStr">
        <is>
          <t>https://nvd.nist.gov/vuln/detail/CVE-2026-20781</t>
        </is>
      </c>
      <c r="X932" t="inlineStr">
        <is>
          <t>NONE</t>
        </is>
      </c>
      <c r="Y932" t="n">
        <v>0</v>
      </c>
      <c r="Z932" t="inlineStr"/>
      <c r="AA932" t="inlineStr">
        <is>
          <t>https://nvd.nist.gov/vuln/detail/CVE-2026-20781</t>
        </is>
      </c>
    </row>
    <row r="933">
      <c r="A933" t="inlineStr">
        <is>
          <t>CVE</t>
        </is>
      </c>
      <c r="B933" t="inlineStr">
        <is>
          <t>CVE-2026-20791</t>
        </is>
      </c>
      <c r="C933" t="inlineStr">
        <is>
          <t>Charging station authentication identifiers are publicly accessible via web-based mapping platforms.</t>
        </is>
      </c>
      <c r="D933" t="n">
        <v>6.5</v>
      </c>
      <c r="E933" t="inlineStr">
        <is>
          <t>MEDIUM</t>
        </is>
      </c>
      <c r="F933" t="n">
        <v>2</v>
      </c>
      <c r="G933" t="n">
        <v>2</v>
      </c>
      <c r="H933" t="inlineStr">
        <is>
          <t>MEDIUM</t>
        </is>
      </c>
      <c r="I933" t="n">
        <v>10.5</v>
      </c>
      <c r="J933" t="inlineStr">
        <is>
          <t>NO</t>
        </is>
      </c>
      <c r="K933" t="inlineStr">
        <is>
          <t>2026-02-27 20:47</t>
        </is>
      </c>
      <c r="L933" t="inlineStr">
        <is>
          <t>CHECK_VENDOR</t>
        </is>
      </c>
      <c r="M933" t="inlineStr">
        <is>
          <t>See CVE details</t>
        </is>
      </c>
      <c r="N933" t="inlineStr">
        <is>
          <t>P4</t>
        </is>
      </c>
      <c r="O933" t="inlineStr">
        <is>
          <t>CVE - IP enrichment n/a</t>
        </is>
      </c>
      <c r="P933" t="n">
        <v>0.0004</v>
      </c>
      <c r="Q933" t="n">
        <v>0.1304</v>
      </c>
      <c r="R933" t="inlineStr">
        <is>
          <t>T1190:Exploit Public-Facing Application</t>
        </is>
      </c>
      <c r="S933" t="n">
        <v>1</v>
      </c>
      <c r="T933" t="inlineStr">
        <is>
          <t>LOW (40%)</t>
        </is>
      </c>
      <c r="U933" t="inlineStr">
        <is>
          <t>UNLIKELY</t>
        </is>
      </c>
      <c r="V933" t="inlineStr">
        <is>
          <t>CHECK_VENDOR</t>
        </is>
      </c>
      <c r="W933" t="inlineStr">
        <is>
          <t>https://nvd.nist.gov/vuln/detail/CVE-2026-20791</t>
        </is>
      </c>
      <c r="X933" t="inlineStr">
        <is>
          <t>NONE</t>
        </is>
      </c>
      <c r="Y933" t="n">
        <v>0</v>
      </c>
      <c r="Z933" t="inlineStr"/>
      <c r="AA933" t="inlineStr">
        <is>
          <t>https://nvd.nist.gov/vuln/detail/CVE-2026-20791</t>
        </is>
      </c>
    </row>
    <row r="934">
      <c r="A934" t="inlineStr">
        <is>
          <t>CVE</t>
        </is>
      </c>
      <c r="B934" t="inlineStr">
        <is>
          <t>CVE-2026-20792</t>
        </is>
      </c>
      <c r="C934"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4" t="n">
        <v>7.5</v>
      </c>
      <c r="E934" t="inlineStr">
        <is>
          <t>HIGH</t>
        </is>
      </c>
      <c r="F934" t="n">
        <v>2</v>
      </c>
      <c r="G934" t="n">
        <v>3</v>
      </c>
      <c r="H934" t="inlineStr">
        <is>
          <t>HIGH</t>
        </is>
      </c>
      <c r="I934" t="n">
        <v>13.5</v>
      </c>
      <c r="J934" t="inlineStr">
        <is>
          <t>NO</t>
        </is>
      </c>
      <c r="K934" t="inlineStr">
        <is>
          <t>2026-02-27 20:47</t>
        </is>
      </c>
      <c r="L934" t="inlineStr">
        <is>
          <t>CHECK_VENDOR</t>
        </is>
      </c>
      <c r="M934" t="inlineStr">
        <is>
          <t>See CVE details</t>
        </is>
      </c>
      <c r="N934" t="inlineStr">
        <is>
          <t>P3</t>
        </is>
      </c>
      <c r="O934" t="inlineStr">
        <is>
          <t>CVE - IP enrichment n/a</t>
        </is>
      </c>
      <c r="P934" t="n">
        <v>0.0005999999999999999</v>
      </c>
      <c r="Q934" t="n">
        <v>0.1779</v>
      </c>
      <c r="R934" t="inlineStr">
        <is>
          <t>T1190:Exploit Public-Facing Application</t>
        </is>
      </c>
      <c r="S934" t="n">
        <v>1</v>
      </c>
      <c r="T934" t="inlineStr">
        <is>
          <t>LOW (40%)</t>
        </is>
      </c>
      <c r="U934" t="inlineStr">
        <is>
          <t>UNLIKELY</t>
        </is>
      </c>
      <c r="V934" t="inlineStr">
        <is>
          <t>CHECK_VENDOR</t>
        </is>
      </c>
      <c r="W934" t="inlineStr">
        <is>
          <t>https://nvd.nist.gov/vuln/detail/CVE-2026-20792</t>
        </is>
      </c>
      <c r="X934" t="inlineStr">
        <is>
          <t>NONE</t>
        </is>
      </c>
      <c r="Y934" t="n">
        <v>0</v>
      </c>
      <c r="Z934" t="inlineStr"/>
      <c r="AA934" t="inlineStr">
        <is>
          <t>https://nvd.nist.gov/vuln/detail/CVE-2026-20792</t>
        </is>
      </c>
    </row>
    <row r="935">
      <c r="A935" t="inlineStr">
        <is>
          <t>CVE</t>
        </is>
      </c>
      <c r="B935" t="inlineStr">
        <is>
          <t>CVE-2026-20895</t>
        </is>
      </c>
      <c r="C93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35" t="n">
        <v>7.3</v>
      </c>
      <c r="E935" t="inlineStr">
        <is>
          <t>HIGH</t>
        </is>
      </c>
      <c r="F935" t="n">
        <v>2</v>
      </c>
      <c r="G935" t="n">
        <v>3</v>
      </c>
      <c r="H935" t="inlineStr">
        <is>
          <t>HIGH</t>
        </is>
      </c>
      <c r="I935" t="n">
        <v>13.3</v>
      </c>
      <c r="J935" t="inlineStr">
        <is>
          <t>NO</t>
        </is>
      </c>
      <c r="K935" t="inlineStr">
        <is>
          <t>2026-02-27 20:47</t>
        </is>
      </c>
      <c r="L935" t="inlineStr">
        <is>
          <t>CHECK_VENDOR</t>
        </is>
      </c>
      <c r="M935" t="inlineStr">
        <is>
          <t>See CVE details</t>
        </is>
      </c>
      <c r="N935" t="inlineStr">
        <is>
          <t>P3</t>
        </is>
      </c>
      <c r="O935" t="inlineStr">
        <is>
          <t>CVE - IP enrichment n/a</t>
        </is>
      </c>
      <c r="P935" t="n">
        <v>0.0004</v>
      </c>
      <c r="Q935" t="n">
        <v>0.1036</v>
      </c>
      <c r="R935" t="inlineStr">
        <is>
          <t>T1190:Exploit Public-Facing Application</t>
        </is>
      </c>
      <c r="S935" t="n">
        <v>1</v>
      </c>
      <c r="T935" t="inlineStr">
        <is>
          <t>LOW (40%)</t>
        </is>
      </c>
      <c r="U935" t="inlineStr">
        <is>
          <t>UNLIKELY</t>
        </is>
      </c>
      <c r="V935" t="inlineStr">
        <is>
          <t>CHECK_VENDOR</t>
        </is>
      </c>
      <c r="W935" t="inlineStr">
        <is>
          <t>https://nvd.nist.gov/vuln/detail/CVE-2026-20895</t>
        </is>
      </c>
      <c r="X935" t="inlineStr">
        <is>
          <t>NONE</t>
        </is>
      </c>
      <c r="Y935" t="n">
        <v>0</v>
      </c>
      <c r="Z935" t="inlineStr"/>
      <c r="AA935" t="inlineStr">
        <is>
          <t>https://nvd.nist.gov/vuln/detail/CVE-2026-20895</t>
        </is>
      </c>
    </row>
    <row r="936">
      <c r="A936" t="inlineStr">
        <is>
          <t>CVE</t>
        </is>
      </c>
      <c r="B936" t="inlineStr">
        <is>
          <t>CVE-2026-22890</t>
        </is>
      </c>
      <c r="C936" t="inlineStr">
        <is>
          <t>Charging station authentication identifiers are publicly accessible via web-based mapping platforms.</t>
        </is>
      </c>
      <c r="D936" t="n">
        <v>6.5</v>
      </c>
      <c r="E936" t="inlineStr">
        <is>
          <t>MEDIUM</t>
        </is>
      </c>
      <c r="F936" t="n">
        <v>2</v>
      </c>
      <c r="G936" t="n">
        <v>2</v>
      </c>
      <c r="H936" t="inlineStr">
        <is>
          <t>MEDIUM</t>
        </is>
      </c>
      <c r="I936" t="n">
        <v>10.5</v>
      </c>
      <c r="J936" t="inlineStr">
        <is>
          <t>NO</t>
        </is>
      </c>
      <c r="K936" t="inlineStr">
        <is>
          <t>2026-02-27 20:47</t>
        </is>
      </c>
      <c r="L936" t="inlineStr">
        <is>
          <t>CHECK_VENDOR</t>
        </is>
      </c>
      <c r="M936" t="inlineStr">
        <is>
          <t>See CVE details</t>
        </is>
      </c>
      <c r="N936" t="inlineStr">
        <is>
          <t>P4</t>
        </is>
      </c>
      <c r="O936" t="inlineStr">
        <is>
          <t>CVE - IP enrichment n/a</t>
        </is>
      </c>
      <c r="P936" t="n">
        <v>0.0004</v>
      </c>
      <c r="Q936" t="n">
        <v>0.1304</v>
      </c>
      <c r="R936" t="inlineStr">
        <is>
          <t>T1190:Exploit Public-Facing Application</t>
        </is>
      </c>
      <c r="S936" t="n">
        <v>1</v>
      </c>
      <c r="T936" t="inlineStr">
        <is>
          <t>LOW (40%)</t>
        </is>
      </c>
      <c r="U936" t="inlineStr">
        <is>
          <t>UNLIKELY</t>
        </is>
      </c>
      <c r="V936" t="inlineStr">
        <is>
          <t>CHECK_VENDOR</t>
        </is>
      </c>
      <c r="W936" t="inlineStr">
        <is>
          <t>https://nvd.nist.gov/vuln/detail/CVE-2026-22890</t>
        </is>
      </c>
      <c r="X936" t="inlineStr">
        <is>
          <t>NONE</t>
        </is>
      </c>
      <c r="Y936" t="n">
        <v>0</v>
      </c>
      <c r="Z936" t="inlineStr"/>
      <c r="AA936" t="inlineStr">
        <is>
          <t>https://nvd.nist.gov/vuln/detail/CVE-2026-22890</t>
        </is>
      </c>
    </row>
    <row r="937">
      <c r="A937" t="inlineStr">
        <is>
          <t>CVE</t>
        </is>
      </c>
      <c r="B937" t="inlineStr">
        <is>
          <t>CVE-2026-24731</t>
        </is>
      </c>
      <c r="C937"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37" t="n">
        <v>9.4</v>
      </c>
      <c r="E937" t="inlineStr">
        <is>
          <t>CRITICAL</t>
        </is>
      </c>
      <c r="F937" t="n">
        <v>2</v>
      </c>
      <c r="G937" t="n">
        <v>3</v>
      </c>
      <c r="H937" t="inlineStr">
        <is>
          <t>HIGH</t>
        </is>
      </c>
      <c r="I937" t="n">
        <v>15.4</v>
      </c>
      <c r="J937" t="inlineStr">
        <is>
          <t>NO</t>
        </is>
      </c>
      <c r="K937" t="inlineStr">
        <is>
          <t>2026-02-27 20:47</t>
        </is>
      </c>
      <c r="L937" t="inlineStr">
        <is>
          <t>CHECK_VENDOR</t>
        </is>
      </c>
      <c r="M937" t="inlineStr">
        <is>
          <t>See CVE details</t>
        </is>
      </c>
      <c r="N937" t="inlineStr">
        <is>
          <t>P3</t>
        </is>
      </c>
      <c r="O937" t="inlineStr">
        <is>
          <t>CVE - IP enrichment n/a</t>
        </is>
      </c>
      <c r="P937" t="n">
        <v>0.0013</v>
      </c>
      <c r="Q937" t="n">
        <v>0.3289</v>
      </c>
      <c r="R937" t="inlineStr">
        <is>
          <t>T1078:Valid Accounts</t>
        </is>
      </c>
      <c r="S937" t="n">
        <v>1</v>
      </c>
      <c r="T937" t="inlineStr">
        <is>
          <t>LOW (40%)</t>
        </is>
      </c>
      <c r="U937" t="inlineStr">
        <is>
          <t>UNLIKELY</t>
        </is>
      </c>
      <c r="V937" t="inlineStr">
        <is>
          <t>CHECK_VENDOR</t>
        </is>
      </c>
      <c r="W937" t="inlineStr">
        <is>
          <t>https://nvd.nist.gov/vuln/detail/CVE-2026-24731</t>
        </is>
      </c>
      <c r="X937" t="inlineStr">
        <is>
          <t>NONE</t>
        </is>
      </c>
      <c r="Y937" t="n">
        <v>0</v>
      </c>
      <c r="Z937" t="inlineStr"/>
      <c r="AA937" t="inlineStr">
        <is>
          <t>https://nvd.nist.gov/vuln/detail/CVE-2026-24731</t>
        </is>
      </c>
    </row>
    <row r="938">
      <c r="A938" t="inlineStr">
        <is>
          <t>CVE</t>
        </is>
      </c>
      <c r="B938" t="inlineStr">
        <is>
          <t>CVE-2026-25113</t>
        </is>
      </c>
      <c r="C938"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8" t="n">
        <v>7.5</v>
      </c>
      <c r="E938" t="inlineStr">
        <is>
          <t>HIGH</t>
        </is>
      </c>
      <c r="F938" t="n">
        <v>2</v>
      </c>
      <c r="G938" t="n">
        <v>3</v>
      </c>
      <c r="H938" t="inlineStr">
        <is>
          <t>HIGH</t>
        </is>
      </c>
      <c r="I938" t="n">
        <v>13.5</v>
      </c>
      <c r="J938" t="inlineStr">
        <is>
          <t>NO</t>
        </is>
      </c>
      <c r="K938" t="inlineStr">
        <is>
          <t>2026-02-27 20:47</t>
        </is>
      </c>
      <c r="L938" t="inlineStr">
        <is>
          <t>CHECK_VENDOR</t>
        </is>
      </c>
      <c r="M938" t="inlineStr">
        <is>
          <t>See CVE details</t>
        </is>
      </c>
      <c r="N938" t="inlineStr">
        <is>
          <t>P3</t>
        </is>
      </c>
      <c r="O938" t="inlineStr">
        <is>
          <t>CVE - IP enrichment n/a</t>
        </is>
      </c>
      <c r="P938" t="n">
        <v>0.0005999999999999999</v>
      </c>
      <c r="Q938" t="n">
        <v>0.1779</v>
      </c>
      <c r="R938" t="inlineStr">
        <is>
          <t>T1190:Exploit Public-Facing Application</t>
        </is>
      </c>
      <c r="S938" t="n">
        <v>1</v>
      </c>
      <c r="T938" t="inlineStr">
        <is>
          <t>LOW (40%)</t>
        </is>
      </c>
      <c r="U938" t="inlineStr">
        <is>
          <t>UNLIKELY</t>
        </is>
      </c>
      <c r="V938" t="inlineStr">
        <is>
          <t>CHECK_VENDOR</t>
        </is>
      </c>
      <c r="W938" t="inlineStr">
        <is>
          <t>https://nvd.nist.gov/vuln/detail/CVE-2026-25113</t>
        </is>
      </c>
      <c r="X938" t="inlineStr">
        <is>
          <t>NONE</t>
        </is>
      </c>
      <c r="Y938" t="n">
        <v>0</v>
      </c>
      <c r="Z938" t="inlineStr"/>
      <c r="AA938" t="inlineStr">
        <is>
          <t>https://nvd.nist.gov/vuln/detail/CVE-2026-25113</t>
        </is>
      </c>
    </row>
    <row r="939">
      <c r="A939" t="inlineStr">
        <is>
          <t>CVE</t>
        </is>
      </c>
      <c r="B939" t="inlineStr">
        <is>
          <t>CVE-2026-25114</t>
        </is>
      </c>
      <c r="C939"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39" t="n">
        <v>7.5</v>
      </c>
      <c r="E939" t="inlineStr">
        <is>
          <t>HIGH</t>
        </is>
      </c>
      <c r="F939" t="n">
        <v>2</v>
      </c>
      <c r="G939" t="n">
        <v>3</v>
      </c>
      <c r="H939" t="inlineStr">
        <is>
          <t>HIGH</t>
        </is>
      </c>
      <c r="I939" t="n">
        <v>13.5</v>
      </c>
      <c r="J939" t="inlineStr">
        <is>
          <t>NO</t>
        </is>
      </c>
      <c r="K939" t="inlineStr">
        <is>
          <t>2026-02-27 20:47</t>
        </is>
      </c>
      <c r="L939" t="inlineStr">
        <is>
          <t>CHECK_VENDOR</t>
        </is>
      </c>
      <c r="M939" t="inlineStr">
        <is>
          <t>See CVE details</t>
        </is>
      </c>
      <c r="N939" t="inlineStr">
        <is>
          <t>P3</t>
        </is>
      </c>
      <c r="O939" t="inlineStr">
        <is>
          <t>CVE - IP enrichment n/a</t>
        </is>
      </c>
      <c r="P939" t="n">
        <v>0.0005999999999999999</v>
      </c>
      <c r="Q939" t="n">
        <v>0.1779</v>
      </c>
      <c r="R939" t="inlineStr">
        <is>
          <t>T1190:Exploit Public-Facing Application</t>
        </is>
      </c>
      <c r="S939" t="n">
        <v>1</v>
      </c>
      <c r="T939" t="inlineStr">
        <is>
          <t>LOW (40%)</t>
        </is>
      </c>
      <c r="U939" t="inlineStr">
        <is>
          <t>UNLIKELY</t>
        </is>
      </c>
      <c r="V939" t="inlineStr">
        <is>
          <t>CHECK_VENDOR</t>
        </is>
      </c>
      <c r="W939" t="inlineStr">
        <is>
          <t>https://nvd.nist.gov/vuln/detail/CVE-2026-25114</t>
        </is>
      </c>
      <c r="X939" t="inlineStr">
        <is>
          <t>NONE</t>
        </is>
      </c>
      <c r="Y939" t="n">
        <v>0</v>
      </c>
      <c r="Z939" t="inlineStr"/>
      <c r="AA939" t="inlineStr">
        <is>
          <t>https://nvd.nist.gov/vuln/detail/CVE-2026-25114</t>
        </is>
      </c>
    </row>
    <row r="940">
      <c r="A940" t="inlineStr">
        <is>
          <t>CVE</t>
        </is>
      </c>
      <c r="B940" t="inlineStr">
        <is>
          <t>CVE-2026-25711</t>
        </is>
      </c>
      <c r="C94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0" t="n">
        <v>7.3</v>
      </c>
      <c r="E940" t="inlineStr">
        <is>
          <t>HIGH</t>
        </is>
      </c>
      <c r="F940" t="n">
        <v>2</v>
      </c>
      <c r="G940" t="n">
        <v>3</v>
      </c>
      <c r="H940" t="inlineStr">
        <is>
          <t>HIGH</t>
        </is>
      </c>
      <c r="I940" t="n">
        <v>13.3</v>
      </c>
      <c r="J940" t="inlineStr">
        <is>
          <t>NO</t>
        </is>
      </c>
      <c r="K940" t="inlineStr">
        <is>
          <t>2026-02-27 20:47</t>
        </is>
      </c>
      <c r="L940" t="inlineStr">
        <is>
          <t>CHECK_VENDOR</t>
        </is>
      </c>
      <c r="M940" t="inlineStr">
        <is>
          <t>See CVE details</t>
        </is>
      </c>
      <c r="N940" t="inlineStr">
        <is>
          <t>P3</t>
        </is>
      </c>
      <c r="O940" t="inlineStr">
        <is>
          <t>CVE - IP enrichment n/a</t>
        </is>
      </c>
      <c r="P940" t="n">
        <v>0.0004</v>
      </c>
      <c r="Q940" t="n">
        <v>0.1036</v>
      </c>
      <c r="R940" t="inlineStr">
        <is>
          <t>T1190:Exploit Public-Facing Application</t>
        </is>
      </c>
      <c r="S940" t="n">
        <v>1</v>
      </c>
      <c r="T940" t="inlineStr">
        <is>
          <t>LOW (40%)</t>
        </is>
      </c>
      <c r="U940" t="inlineStr">
        <is>
          <t>UNLIKELY</t>
        </is>
      </c>
      <c r="V940" t="inlineStr">
        <is>
          <t>CHECK_VENDOR</t>
        </is>
      </c>
      <c r="W940" t="inlineStr">
        <is>
          <t>https://nvd.nist.gov/vuln/detail/CVE-2026-25711</t>
        </is>
      </c>
      <c r="X940" t="inlineStr">
        <is>
          <t>NONE</t>
        </is>
      </c>
      <c r="Y940" t="n">
        <v>0</v>
      </c>
      <c r="Z940" t="inlineStr"/>
      <c r="AA940" t="inlineStr">
        <is>
          <t>https://nvd.nist.gov/vuln/detail/CVE-2026-25711</t>
        </is>
      </c>
    </row>
    <row r="941">
      <c r="A941" t="inlineStr">
        <is>
          <t>CVE</t>
        </is>
      </c>
      <c r="B941" t="inlineStr">
        <is>
          <t>CVE-2026-25778</t>
        </is>
      </c>
      <c r="C941"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1" t="n">
        <v>7.3</v>
      </c>
      <c r="E941" t="inlineStr">
        <is>
          <t>HIGH</t>
        </is>
      </c>
      <c r="F941" t="n">
        <v>2</v>
      </c>
      <c r="G941" t="n">
        <v>3</v>
      </c>
      <c r="H941" t="inlineStr">
        <is>
          <t>HIGH</t>
        </is>
      </c>
      <c r="I941" t="n">
        <v>13.3</v>
      </c>
      <c r="J941" t="inlineStr">
        <is>
          <t>NO</t>
        </is>
      </c>
      <c r="K941" t="inlineStr">
        <is>
          <t>2026-02-27 20:47</t>
        </is>
      </c>
      <c r="L941" t="inlineStr">
        <is>
          <t>CHECK_VENDOR</t>
        </is>
      </c>
      <c r="M941" t="inlineStr">
        <is>
          <t>See CVE details</t>
        </is>
      </c>
      <c r="N941" t="inlineStr">
        <is>
          <t>P3</t>
        </is>
      </c>
      <c r="O941" t="inlineStr">
        <is>
          <t>CVE - IP enrichment n/a</t>
        </is>
      </c>
      <c r="P941" t="n">
        <v>0.0004</v>
      </c>
      <c r="Q941" t="n">
        <v>0.1036</v>
      </c>
      <c r="R941" t="inlineStr">
        <is>
          <t>T1190:Exploit Public-Facing Application</t>
        </is>
      </c>
      <c r="S941" t="n">
        <v>1</v>
      </c>
      <c r="T941" t="inlineStr">
        <is>
          <t>LOW (40%)</t>
        </is>
      </c>
      <c r="U941" t="inlineStr">
        <is>
          <t>UNLIKELY</t>
        </is>
      </c>
      <c r="V941" t="inlineStr">
        <is>
          <t>CHECK_VENDOR</t>
        </is>
      </c>
      <c r="W941" t="inlineStr">
        <is>
          <t>https://nvd.nist.gov/vuln/detail/CVE-2026-25778</t>
        </is>
      </c>
      <c r="X941" t="inlineStr">
        <is>
          <t>NONE</t>
        </is>
      </c>
      <c r="Y941" t="n">
        <v>0</v>
      </c>
      <c r="Z941" t="inlineStr"/>
      <c r="AA941" t="inlineStr">
        <is>
          <t>https://nvd.nist.gov/vuln/detail/CVE-2026-25778</t>
        </is>
      </c>
    </row>
    <row r="942">
      <c r="A942" t="inlineStr">
        <is>
          <t>CVE</t>
        </is>
      </c>
      <c r="B942" t="inlineStr">
        <is>
          <t>CVE-2026-25851</t>
        </is>
      </c>
      <c r="C942"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2" t="n">
        <v>9.4</v>
      </c>
      <c r="E942" t="inlineStr">
        <is>
          <t>CRITICAL</t>
        </is>
      </c>
      <c r="F942" t="n">
        <v>2</v>
      </c>
      <c r="G942" t="n">
        <v>3</v>
      </c>
      <c r="H942" t="inlineStr">
        <is>
          <t>HIGH</t>
        </is>
      </c>
      <c r="I942" t="n">
        <v>15.4</v>
      </c>
      <c r="J942" t="inlineStr">
        <is>
          <t>NO</t>
        </is>
      </c>
      <c r="K942" t="inlineStr">
        <is>
          <t>2026-02-27 20:47</t>
        </is>
      </c>
      <c r="L942" t="inlineStr">
        <is>
          <t>CHECK_VENDOR</t>
        </is>
      </c>
      <c r="M942" t="inlineStr">
        <is>
          <t>See CVE details</t>
        </is>
      </c>
      <c r="N942" t="inlineStr">
        <is>
          <t>P3</t>
        </is>
      </c>
      <c r="O942" t="inlineStr">
        <is>
          <t>CVE - IP enrichment n/a</t>
        </is>
      </c>
      <c r="P942" t="n">
        <v>0.0013</v>
      </c>
      <c r="Q942" t="n">
        <v>0.3289</v>
      </c>
      <c r="R942" t="inlineStr">
        <is>
          <t>T1078:Valid Accounts</t>
        </is>
      </c>
      <c r="S942" t="n">
        <v>1</v>
      </c>
      <c r="T942" t="inlineStr">
        <is>
          <t>LOW (40%)</t>
        </is>
      </c>
      <c r="U942" t="inlineStr">
        <is>
          <t>UNLIKELY</t>
        </is>
      </c>
      <c r="V942" t="inlineStr">
        <is>
          <t>CHECK_VENDOR</t>
        </is>
      </c>
      <c r="W942" t="inlineStr">
        <is>
          <t>https://nvd.nist.gov/vuln/detail/CVE-2026-25851</t>
        </is>
      </c>
      <c r="X942" t="inlineStr">
        <is>
          <t>NONE</t>
        </is>
      </c>
      <c r="Y942" t="n">
        <v>0</v>
      </c>
      <c r="Z942" t="inlineStr"/>
      <c r="AA942" t="inlineStr">
        <is>
          <t>https://nvd.nist.gov/vuln/detail/CVE-2026-25851</t>
        </is>
      </c>
    </row>
    <row r="943">
      <c r="A943" t="inlineStr">
        <is>
          <t>CVE</t>
        </is>
      </c>
      <c r="B943" t="inlineStr">
        <is>
          <t>CVE-2026-25945</t>
        </is>
      </c>
      <c r="C94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43" t="n">
        <v>7.5</v>
      </c>
      <c r="E943" t="inlineStr">
        <is>
          <t>HIGH</t>
        </is>
      </c>
      <c r="F943" t="n">
        <v>2</v>
      </c>
      <c r="G943" t="n">
        <v>3</v>
      </c>
      <c r="H943" t="inlineStr">
        <is>
          <t>HIGH</t>
        </is>
      </c>
      <c r="I943" t="n">
        <v>13.5</v>
      </c>
      <c r="J943" t="inlineStr">
        <is>
          <t>NO</t>
        </is>
      </c>
      <c r="K943" t="inlineStr">
        <is>
          <t>2026-02-27 20:47</t>
        </is>
      </c>
      <c r="L943" t="inlineStr">
        <is>
          <t>CHECK_VENDOR</t>
        </is>
      </c>
      <c r="M943" t="inlineStr">
        <is>
          <t>See CVE details</t>
        </is>
      </c>
      <c r="N943" t="inlineStr">
        <is>
          <t>P3</t>
        </is>
      </c>
      <c r="O943" t="inlineStr">
        <is>
          <t>CVE - IP enrichment n/a</t>
        </is>
      </c>
      <c r="P943" t="n">
        <v>0.0005999999999999999</v>
      </c>
      <c r="Q943" t="n">
        <v>0.1779</v>
      </c>
      <c r="R943" t="inlineStr">
        <is>
          <t>T1190:Exploit Public-Facing Application</t>
        </is>
      </c>
      <c r="S943" t="n">
        <v>1</v>
      </c>
      <c r="T943" t="inlineStr">
        <is>
          <t>LOW (40%)</t>
        </is>
      </c>
      <c r="U943" t="inlineStr">
        <is>
          <t>UNLIKELY</t>
        </is>
      </c>
      <c r="V943" t="inlineStr">
        <is>
          <t>CHECK_VENDOR</t>
        </is>
      </c>
      <c r="W943" t="inlineStr">
        <is>
          <t>https://nvd.nist.gov/vuln/detail/CVE-2026-25945</t>
        </is>
      </c>
      <c r="X943" t="inlineStr">
        <is>
          <t>NONE</t>
        </is>
      </c>
      <c r="Y943" t="n">
        <v>0</v>
      </c>
      <c r="Z943" t="inlineStr"/>
      <c r="AA943" t="inlineStr">
        <is>
          <t>https://nvd.nist.gov/vuln/detail/CVE-2026-25945</t>
        </is>
      </c>
    </row>
    <row r="944">
      <c r="A944" t="inlineStr">
        <is>
          <t>CVE</t>
        </is>
      </c>
      <c r="B944" t="inlineStr">
        <is>
          <t>CVE-2026-27652</t>
        </is>
      </c>
      <c r="C944"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44" t="n">
        <v>7.3</v>
      </c>
      <c r="E944" t="inlineStr">
        <is>
          <t>HIGH</t>
        </is>
      </c>
      <c r="F944" t="n">
        <v>2</v>
      </c>
      <c r="G944" t="n">
        <v>3</v>
      </c>
      <c r="H944" t="inlineStr">
        <is>
          <t>HIGH</t>
        </is>
      </c>
      <c r="I944" t="n">
        <v>13.3</v>
      </c>
      <c r="J944" t="inlineStr">
        <is>
          <t>NO</t>
        </is>
      </c>
      <c r="K944" t="inlineStr">
        <is>
          <t>2026-02-27 20:47</t>
        </is>
      </c>
      <c r="L944" t="inlineStr">
        <is>
          <t>CHECK_VENDOR</t>
        </is>
      </c>
      <c r="M944" t="inlineStr">
        <is>
          <t>See CVE details</t>
        </is>
      </c>
      <c r="N944" t="inlineStr">
        <is>
          <t>P3</t>
        </is>
      </c>
      <c r="O944" t="inlineStr">
        <is>
          <t>CVE - IP enrichment n/a</t>
        </is>
      </c>
      <c r="P944" t="n">
        <v>0.0004</v>
      </c>
      <c r="Q944" t="n">
        <v>0.1036</v>
      </c>
      <c r="R944" t="inlineStr">
        <is>
          <t>T1190:Exploit Public-Facing Application</t>
        </is>
      </c>
      <c r="S944" t="n">
        <v>1</v>
      </c>
      <c r="T944" t="inlineStr">
        <is>
          <t>LOW (40%)</t>
        </is>
      </c>
      <c r="U944" t="inlineStr">
        <is>
          <t>UNLIKELY</t>
        </is>
      </c>
      <c r="V944" t="inlineStr">
        <is>
          <t>CHECK_VENDOR</t>
        </is>
      </c>
      <c r="W944" t="inlineStr">
        <is>
          <t>https://nvd.nist.gov/vuln/detail/CVE-2026-27652</t>
        </is>
      </c>
      <c r="X944" t="inlineStr">
        <is>
          <t>NONE</t>
        </is>
      </c>
      <c r="Y944" t="n">
        <v>0</v>
      </c>
      <c r="Z944" t="inlineStr"/>
      <c r="AA944" t="inlineStr">
        <is>
          <t>https://nvd.nist.gov/vuln/detail/CVE-2026-27652</t>
        </is>
      </c>
    </row>
    <row r="945">
      <c r="A945" t="inlineStr">
        <is>
          <t>CVE</t>
        </is>
      </c>
      <c r="B945" t="inlineStr">
        <is>
          <t>CVE-2026-27767</t>
        </is>
      </c>
      <c r="C945"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5" t="n">
        <v>9.4</v>
      </c>
      <c r="E945" t="inlineStr">
        <is>
          <t>CRITICAL</t>
        </is>
      </c>
      <c r="F945" t="n">
        <v>2</v>
      </c>
      <c r="G945" t="n">
        <v>3</v>
      </c>
      <c r="H945" t="inlineStr">
        <is>
          <t>HIGH</t>
        </is>
      </c>
      <c r="I945" t="n">
        <v>15.4</v>
      </c>
      <c r="J945" t="inlineStr">
        <is>
          <t>NO</t>
        </is>
      </c>
      <c r="K945" t="inlineStr">
        <is>
          <t>2026-02-27 20:47</t>
        </is>
      </c>
      <c r="L945" t="inlineStr">
        <is>
          <t>CHECK_VENDOR</t>
        </is>
      </c>
      <c r="M945" t="inlineStr">
        <is>
          <t>See CVE details</t>
        </is>
      </c>
      <c r="N945" t="inlineStr">
        <is>
          <t>P3</t>
        </is>
      </c>
      <c r="O945" t="inlineStr">
        <is>
          <t>CVE - IP enrichment n/a</t>
        </is>
      </c>
      <c r="P945" t="n">
        <v>0.0013</v>
      </c>
      <c r="Q945" t="n">
        <v>0.3289</v>
      </c>
      <c r="R945" t="inlineStr">
        <is>
          <t>T1078:Valid Accounts</t>
        </is>
      </c>
      <c r="S945" t="n">
        <v>1</v>
      </c>
      <c r="T945" t="inlineStr">
        <is>
          <t>LOW (40%)</t>
        </is>
      </c>
      <c r="U945" t="inlineStr">
        <is>
          <t>UNLIKELY</t>
        </is>
      </c>
      <c r="V945" t="inlineStr">
        <is>
          <t>CHECK_VENDOR</t>
        </is>
      </c>
      <c r="W945" t="inlineStr">
        <is>
          <t>https://nvd.nist.gov/vuln/detail/CVE-2026-27767</t>
        </is>
      </c>
      <c r="X945" t="inlineStr">
        <is>
          <t>NONE</t>
        </is>
      </c>
      <c r="Y945" t="n">
        <v>0</v>
      </c>
      <c r="Z945" t="inlineStr"/>
      <c r="AA945" t="inlineStr">
        <is>
          <t>https://nvd.nist.gov/vuln/detail/CVE-2026-27767</t>
        </is>
      </c>
    </row>
    <row r="946">
      <c r="A946" t="inlineStr">
        <is>
          <t>CVE</t>
        </is>
      </c>
      <c r="B946" t="inlineStr">
        <is>
          <t>CVE-2026-27772</t>
        </is>
      </c>
      <c r="C94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46" t="n">
        <v>9.4</v>
      </c>
      <c r="E946" t="inlineStr">
        <is>
          <t>CRITICAL</t>
        </is>
      </c>
      <c r="F946" t="n">
        <v>2</v>
      </c>
      <c r="G946" t="n">
        <v>3</v>
      </c>
      <c r="H946" t="inlineStr">
        <is>
          <t>HIGH</t>
        </is>
      </c>
      <c r="I946" t="n">
        <v>15.4</v>
      </c>
      <c r="J946" t="inlineStr">
        <is>
          <t>NO</t>
        </is>
      </c>
      <c r="K946" t="inlineStr">
        <is>
          <t>2026-02-27 20:47</t>
        </is>
      </c>
      <c r="L946" t="inlineStr">
        <is>
          <t>CHECK_VENDOR</t>
        </is>
      </c>
      <c r="M946" t="inlineStr">
        <is>
          <t>See CVE details</t>
        </is>
      </c>
      <c r="N946" t="inlineStr">
        <is>
          <t>P3</t>
        </is>
      </c>
      <c r="O946" t="inlineStr">
        <is>
          <t>CVE - IP enrichment n/a</t>
        </is>
      </c>
      <c r="P946" t="n">
        <v>0.0013</v>
      </c>
      <c r="Q946" t="n">
        <v>0.3289</v>
      </c>
      <c r="R946" t="inlineStr">
        <is>
          <t>T1078:Valid Accounts</t>
        </is>
      </c>
      <c r="S946" t="n">
        <v>1</v>
      </c>
      <c r="T946" t="inlineStr">
        <is>
          <t>LOW (40%)</t>
        </is>
      </c>
      <c r="U946" t="inlineStr">
        <is>
          <t>UNLIKELY</t>
        </is>
      </c>
      <c r="V946" t="inlineStr">
        <is>
          <t>CHECK_VENDOR</t>
        </is>
      </c>
      <c r="W946" t="inlineStr">
        <is>
          <t>https://nvd.nist.gov/vuln/detail/CVE-2026-27772</t>
        </is>
      </c>
      <c r="X946" t="inlineStr">
        <is>
          <t>NONE</t>
        </is>
      </c>
      <c r="Y946" t="n">
        <v>0</v>
      </c>
      <c r="Z946" t="inlineStr"/>
      <c r="AA946" t="inlineStr">
        <is>
          <t>https://nvd.nist.gov/vuln/detail/CVE-2026-27772</t>
        </is>
      </c>
    </row>
    <row r="947">
      <c r="A947" t="inlineStr">
        <is>
          <t>CVE</t>
        </is>
      </c>
      <c r="B947" t="inlineStr">
        <is>
          <t>CVE-2026-27773</t>
        </is>
      </c>
      <c r="C947" t="inlineStr">
        <is>
          <t>Charging station authentication identifiers are publicly accessible via web-based mapping platforms.</t>
        </is>
      </c>
      <c r="D947" t="n">
        <v>6.5</v>
      </c>
      <c r="E947" t="inlineStr">
        <is>
          <t>MEDIUM</t>
        </is>
      </c>
      <c r="F947" t="n">
        <v>2</v>
      </c>
      <c r="G947" t="n">
        <v>2</v>
      </c>
      <c r="H947" t="inlineStr">
        <is>
          <t>MEDIUM</t>
        </is>
      </c>
      <c r="I947" t="n">
        <v>10.5</v>
      </c>
      <c r="J947" t="inlineStr">
        <is>
          <t>NO</t>
        </is>
      </c>
      <c r="K947" t="inlineStr">
        <is>
          <t>2026-02-27 20:47</t>
        </is>
      </c>
      <c r="L947" t="inlineStr">
        <is>
          <t>CHECK_VENDOR</t>
        </is>
      </c>
      <c r="M947" t="inlineStr">
        <is>
          <t>See CVE details</t>
        </is>
      </c>
      <c r="N947" t="inlineStr">
        <is>
          <t>P4</t>
        </is>
      </c>
      <c r="O947" t="inlineStr">
        <is>
          <t>CVE - IP enrichment n/a</t>
        </is>
      </c>
      <c r="P947" t="n">
        <v>0.0004</v>
      </c>
      <c r="Q947" t="n">
        <v>0.1304</v>
      </c>
      <c r="R947" t="inlineStr">
        <is>
          <t>T1190:Exploit Public-Facing Application</t>
        </is>
      </c>
      <c r="S947" t="n">
        <v>1</v>
      </c>
      <c r="T947" t="inlineStr">
        <is>
          <t>LOW (40%)</t>
        </is>
      </c>
      <c r="U947" t="inlineStr">
        <is>
          <t>UNLIKELY</t>
        </is>
      </c>
      <c r="V947" t="inlineStr">
        <is>
          <t>CHECK_VENDOR</t>
        </is>
      </c>
      <c r="W947" t="inlineStr">
        <is>
          <t>https://nvd.nist.gov/vuln/detail/CVE-2026-27773</t>
        </is>
      </c>
      <c r="X947" t="inlineStr">
        <is>
          <t>NONE</t>
        </is>
      </c>
      <c r="Y947" t="n">
        <v>0</v>
      </c>
      <c r="Z947" t="inlineStr"/>
      <c r="AA947" t="inlineStr">
        <is>
          <t>https://nvd.nist.gov/vuln/detail/CVE-2026-27773</t>
        </is>
      </c>
    </row>
    <row r="948">
      <c r="A948" t="inlineStr">
        <is>
          <t>CVE</t>
        </is>
      </c>
      <c r="B948" t="inlineStr">
        <is>
          <t>CVE-2026-2597</t>
        </is>
      </c>
      <c r="C948"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948" t="n">
        <v>5</v>
      </c>
      <c r="E948" t="inlineStr">
        <is>
          <t>MEDIUM</t>
        </is>
      </c>
      <c r="F948" t="n">
        <v>2</v>
      </c>
      <c r="G948" t="n">
        <v>2</v>
      </c>
      <c r="H948" t="inlineStr">
        <is>
          <t>MEDIUM</t>
        </is>
      </c>
      <c r="I948" t="n">
        <v>9</v>
      </c>
      <c r="J948" t="inlineStr">
        <is>
          <t>NO</t>
        </is>
      </c>
      <c r="K948" t="inlineStr">
        <is>
          <t>2026-02-27 20:47</t>
        </is>
      </c>
      <c r="L948" t="inlineStr">
        <is>
          <t>CHECK_VENDOR</t>
        </is>
      </c>
      <c r="M948" t="inlineStr">
        <is>
          <t>See CVE details</t>
        </is>
      </c>
      <c r="N948" t="inlineStr">
        <is>
          <t>P4</t>
        </is>
      </c>
      <c r="O948" t="inlineStr">
        <is>
          <t>CVE - IP enrichment n/a</t>
        </is>
      </c>
      <c r="P948" t="n">
        <v>0.0003</v>
      </c>
      <c r="Q948" t="n">
        <v>0.0752</v>
      </c>
      <c r="R948" t="inlineStr">
        <is>
          <t>T1203:Exploitation for Client Execution | T1552:Unsecured Credentials | T1499:Endpoint Denial of Service</t>
        </is>
      </c>
      <c r="S948" t="n">
        <v>1</v>
      </c>
      <c r="T948" t="inlineStr">
        <is>
          <t>LOW (40%)</t>
        </is>
      </c>
      <c r="U948" t="inlineStr">
        <is>
          <t>UNLIKELY</t>
        </is>
      </c>
      <c r="V948" t="inlineStr">
        <is>
          <t>CHECK_VENDOR</t>
        </is>
      </c>
      <c r="W948" t="inlineStr">
        <is>
          <t>https://nvd.nist.gov/vuln/detail/CVE-2026-2597</t>
        </is>
      </c>
      <c r="X948" t="inlineStr">
        <is>
          <t>NONE</t>
        </is>
      </c>
      <c r="Y948" t="n">
        <v>0</v>
      </c>
      <c r="Z948" t="inlineStr"/>
      <c r="AA948" t="inlineStr">
        <is>
          <t>https://nvd.nist.gov/vuln/detail/CVE-2026-2597</t>
        </is>
      </c>
    </row>
    <row r="949">
      <c r="A949" t="inlineStr">
        <is>
          <t>CVE</t>
        </is>
      </c>
      <c r="B949" t="inlineStr">
        <is>
          <t>CVE-2026-3269</t>
        </is>
      </c>
      <c r="C949"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949" t="n">
        <v>4.3</v>
      </c>
      <c r="E949" t="inlineStr">
        <is>
          <t>MEDIUM</t>
        </is>
      </c>
      <c r="F949" t="n">
        <v>2</v>
      </c>
      <c r="G949" t="n">
        <v>2</v>
      </c>
      <c r="H949" t="inlineStr">
        <is>
          <t>MEDIUM</t>
        </is>
      </c>
      <c r="I949" t="n">
        <v>8.300000000000001</v>
      </c>
      <c r="J949" t="inlineStr">
        <is>
          <t>NO</t>
        </is>
      </c>
      <c r="K949" t="inlineStr">
        <is>
          <t>2026-02-27 20:47</t>
        </is>
      </c>
      <c r="L949" t="inlineStr">
        <is>
          <t>CHECK_VENDOR</t>
        </is>
      </c>
      <c r="M949" t="inlineStr">
        <is>
          <t>See CVE details</t>
        </is>
      </c>
      <c r="N949" t="inlineStr">
        <is>
          <t>P4</t>
        </is>
      </c>
      <c r="O949" t="inlineStr">
        <is>
          <t>CVE - IP enrichment n/a</t>
        </is>
      </c>
      <c r="P949" t="n">
        <v>0.0004</v>
      </c>
      <c r="Q949" t="n">
        <v>0.1069</v>
      </c>
      <c r="R949" t="inlineStr">
        <is>
          <t>T1499:Endpoint Denial of Service</t>
        </is>
      </c>
      <c r="S949" t="n">
        <v>1</v>
      </c>
      <c r="T949" t="inlineStr">
        <is>
          <t>LOW (40%)</t>
        </is>
      </c>
      <c r="U949" t="inlineStr">
        <is>
          <t>UNLIKELY</t>
        </is>
      </c>
      <c r="V949" t="inlineStr">
        <is>
          <t>CHECK_VENDOR</t>
        </is>
      </c>
      <c r="W949" t="inlineStr">
        <is>
          <t>https://nvd.nist.gov/vuln/detail/CVE-2026-3269</t>
        </is>
      </c>
      <c r="X949" t="inlineStr">
        <is>
          <t>NONE</t>
        </is>
      </c>
      <c r="Y949" t="n">
        <v>0</v>
      </c>
      <c r="Z949" t="inlineStr"/>
      <c r="AA949" t="inlineStr">
        <is>
          <t>https://nvd.nist.gov/vuln/detail/CVE-2026-3269</t>
        </is>
      </c>
    </row>
    <row r="950">
      <c r="A950" t="inlineStr">
        <is>
          <t>CVE</t>
        </is>
      </c>
      <c r="B950" t="inlineStr">
        <is>
          <t>CVE-2026-3270</t>
        </is>
      </c>
      <c r="C950"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950" t="n">
        <v>6.3</v>
      </c>
      <c r="E950" t="inlineStr">
        <is>
          <t>MEDIUM</t>
        </is>
      </c>
      <c r="F950" t="n">
        <v>2</v>
      </c>
      <c r="G950" t="n">
        <v>2</v>
      </c>
      <c r="H950" t="inlineStr">
        <is>
          <t>MEDIUM</t>
        </is>
      </c>
      <c r="I950" t="n">
        <v>10.3</v>
      </c>
      <c r="J950" t="inlineStr">
        <is>
          <t>NO</t>
        </is>
      </c>
      <c r="K950" t="inlineStr">
        <is>
          <t>2026-02-27 20:47</t>
        </is>
      </c>
      <c r="L950" t="inlineStr">
        <is>
          <t>CHECK_VENDOR</t>
        </is>
      </c>
      <c r="M950" t="inlineStr">
        <is>
          <t>See CVE details</t>
        </is>
      </c>
      <c r="N950" t="inlineStr">
        <is>
          <t>P4</t>
        </is>
      </c>
      <c r="O950" t="inlineStr">
        <is>
          <t>CVE - IP enrichment n/a</t>
        </is>
      </c>
      <c r="P950" t="n">
        <v>0.0003</v>
      </c>
      <c r="Q950" t="n">
        <v>0.0959</v>
      </c>
      <c r="R950" t="inlineStr">
        <is>
          <t>T1090:Proxy</t>
        </is>
      </c>
      <c r="S950" t="n">
        <v>1</v>
      </c>
      <c r="T950" t="inlineStr">
        <is>
          <t>LOW (40%)</t>
        </is>
      </c>
      <c r="U950" t="inlineStr">
        <is>
          <t>UNLIKELY</t>
        </is>
      </c>
      <c r="V950" t="inlineStr">
        <is>
          <t>CHECK_VENDOR</t>
        </is>
      </c>
      <c r="W950" t="inlineStr">
        <is>
          <t>https://nvd.nist.gov/vuln/detail/CVE-2026-3270</t>
        </is>
      </c>
      <c r="X950" t="inlineStr">
        <is>
          <t>NONE</t>
        </is>
      </c>
      <c r="Y950" t="n">
        <v>0</v>
      </c>
      <c r="Z950" t="inlineStr"/>
      <c r="AA950" t="inlineStr">
        <is>
          <t>https://nvd.nist.gov/vuln/detail/CVE-2026-3270</t>
        </is>
      </c>
    </row>
    <row r="951">
      <c r="A951" t="inlineStr">
        <is>
          <t>CVE</t>
        </is>
      </c>
      <c r="B951" t="inlineStr">
        <is>
          <t>CVE-2026-3271</t>
        </is>
      </c>
      <c r="C951"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951" t="n">
        <v>8.800000000000001</v>
      </c>
      <c r="E951" t="inlineStr">
        <is>
          <t>HIGH</t>
        </is>
      </c>
      <c r="F951" t="n">
        <v>2</v>
      </c>
      <c r="G951" t="n">
        <v>3</v>
      </c>
      <c r="H951" t="inlineStr">
        <is>
          <t>HIGH</t>
        </is>
      </c>
      <c r="I951" t="n">
        <v>14.8</v>
      </c>
      <c r="J951" t="inlineStr">
        <is>
          <t>NO</t>
        </is>
      </c>
      <c r="K951" t="inlineStr">
        <is>
          <t>2026-02-27 20:47</t>
        </is>
      </c>
      <c r="L951" t="inlineStr">
        <is>
          <t>CHECK_VENDOR</t>
        </is>
      </c>
      <c r="M951" t="inlineStr">
        <is>
          <t>See CVE details</t>
        </is>
      </c>
      <c r="N951" t="inlineStr">
        <is>
          <t>P3</t>
        </is>
      </c>
      <c r="O951" t="inlineStr">
        <is>
          <t>CVE - IP enrichment n/a</t>
        </is>
      </c>
      <c r="P951" t="n">
        <v>0.0005</v>
      </c>
      <c r="Q951" t="n">
        <v>0.1424</v>
      </c>
      <c r="R951" t="inlineStr">
        <is>
          <t>T1203:Exploitation for Client Execution</t>
        </is>
      </c>
      <c r="S951" t="n">
        <v>1</v>
      </c>
      <c r="T951" t="inlineStr">
        <is>
          <t>LOW (40%)</t>
        </is>
      </c>
      <c r="U951" t="inlineStr">
        <is>
          <t>UNLIKELY</t>
        </is>
      </c>
      <c r="V951" t="inlineStr">
        <is>
          <t>CHECK_VENDOR</t>
        </is>
      </c>
      <c r="W951" t="inlineStr">
        <is>
          <t>https://nvd.nist.gov/vuln/detail/CVE-2026-3271</t>
        </is>
      </c>
      <c r="X951" t="inlineStr">
        <is>
          <t>NONE</t>
        </is>
      </c>
      <c r="Y951" t="n">
        <v>0</v>
      </c>
      <c r="Z951" t="inlineStr"/>
      <c r="AA951" t="inlineStr">
        <is>
          <t>https://nvd.nist.gov/vuln/detail/CVE-2026-3271</t>
        </is>
      </c>
    </row>
    <row r="952">
      <c r="A952" t="inlineStr">
        <is>
          <t>CVE</t>
        </is>
      </c>
      <c r="B952" t="inlineStr">
        <is>
          <t>CVE-2026-3272</t>
        </is>
      </c>
      <c r="C952"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952" t="n">
        <v>8.800000000000001</v>
      </c>
      <c r="E952" t="inlineStr">
        <is>
          <t>HIGH</t>
        </is>
      </c>
      <c r="F952" t="n">
        <v>2</v>
      </c>
      <c r="G952" t="n">
        <v>3</v>
      </c>
      <c r="H952" t="inlineStr">
        <is>
          <t>HIGH</t>
        </is>
      </c>
      <c r="I952" t="n">
        <v>14.8</v>
      </c>
      <c r="J952" t="inlineStr">
        <is>
          <t>NO</t>
        </is>
      </c>
      <c r="K952" t="inlineStr">
        <is>
          <t>2026-02-27 20:47</t>
        </is>
      </c>
      <c r="L952" t="inlineStr">
        <is>
          <t>CHECK_VENDOR</t>
        </is>
      </c>
      <c r="M952" t="inlineStr">
        <is>
          <t>tenda f453 - | tenda f453_firmware 1.0.0.3</t>
        </is>
      </c>
      <c r="N952" t="inlineStr">
        <is>
          <t>P3</t>
        </is>
      </c>
      <c r="O952" t="inlineStr">
        <is>
          <t>CVE - IP enrichment n/a</t>
        </is>
      </c>
      <c r="P952" t="n">
        <v>0.0005</v>
      </c>
      <c r="Q952" t="n">
        <v>0.1424</v>
      </c>
      <c r="R952" t="inlineStr">
        <is>
          <t>T1203:Exploitation for Client Execution</t>
        </is>
      </c>
      <c r="S952" t="n">
        <v>1</v>
      </c>
      <c r="T952" t="inlineStr">
        <is>
          <t>LOW (40%)</t>
        </is>
      </c>
      <c r="U952" t="inlineStr">
        <is>
          <t>UNLIKELY</t>
        </is>
      </c>
      <c r="V952" t="inlineStr">
        <is>
          <t>CHECK_VENDOR</t>
        </is>
      </c>
      <c r="W952" t="inlineStr">
        <is>
          <t>https://nvd.nist.gov/vuln/detail/CVE-2026-3272</t>
        </is>
      </c>
      <c r="X952" t="inlineStr">
        <is>
          <t>NONE</t>
        </is>
      </c>
      <c r="Y952" t="n">
        <v>0</v>
      </c>
      <c r="Z952" t="inlineStr"/>
      <c r="AA952" t="inlineStr">
        <is>
          <t>https://nvd.nist.gov/vuln/detail/CVE-2026-3272</t>
        </is>
      </c>
    </row>
    <row r="953">
      <c r="A953" t="inlineStr">
        <is>
          <t>CVE</t>
        </is>
      </c>
      <c r="B953" t="inlineStr">
        <is>
          <t>CVE-2021-4456</t>
        </is>
      </c>
      <c r="C953"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953" t="n">
        <v>6.5</v>
      </c>
      <c r="E953" t="inlineStr">
        <is>
          <t>MEDIUM</t>
        </is>
      </c>
      <c r="F953" t="n">
        <v>2</v>
      </c>
      <c r="G953" t="n">
        <v>2</v>
      </c>
      <c r="H953" t="inlineStr">
        <is>
          <t>MEDIUM</t>
        </is>
      </c>
      <c r="I953" t="n">
        <v>10.5</v>
      </c>
      <c r="J953" t="inlineStr">
        <is>
          <t>NO</t>
        </is>
      </c>
      <c r="K953" t="inlineStr">
        <is>
          <t>2026-02-27 20:47</t>
        </is>
      </c>
      <c r="L953" t="inlineStr">
        <is>
          <t>CHECK_VENDOR</t>
        </is>
      </c>
      <c r="M953" t="inlineStr">
        <is>
          <t>See CVE details</t>
        </is>
      </c>
      <c r="N953" t="inlineStr">
        <is>
          <t>P4</t>
        </is>
      </c>
      <c r="O953" t="inlineStr">
        <is>
          <t>CVE - IP enrichment n/a</t>
        </is>
      </c>
      <c r="P953" t="n">
        <v>0.0003</v>
      </c>
      <c r="Q953" t="n">
        <v>0.0982</v>
      </c>
      <c r="R953" t="inlineStr">
        <is>
          <t>T1190:Exploit Public-Facing Application</t>
        </is>
      </c>
      <c r="S953" t="n">
        <v>1</v>
      </c>
      <c r="T953" t="inlineStr">
        <is>
          <t>LOW (40%)</t>
        </is>
      </c>
      <c r="U953" t="inlineStr">
        <is>
          <t>UNLIKELY</t>
        </is>
      </c>
      <c r="V953" t="inlineStr">
        <is>
          <t>CHECK_VENDOR</t>
        </is>
      </c>
      <c r="W953" t="inlineStr">
        <is>
          <t>https://nvd.nist.gov/vuln/detail/CVE-2021-4456</t>
        </is>
      </c>
      <c r="X953" t="inlineStr">
        <is>
          <t>NONE</t>
        </is>
      </c>
      <c r="Y953" t="n">
        <v>0</v>
      </c>
      <c r="Z953" t="inlineStr"/>
      <c r="AA953" t="inlineStr">
        <is>
          <t>https://nvd.nist.gov/vuln/detail/CVE-2021-4456</t>
        </is>
      </c>
    </row>
    <row r="954">
      <c r="A954" t="inlineStr">
        <is>
          <t>CVE</t>
        </is>
      </c>
      <c r="B954" t="inlineStr">
        <is>
          <t>CVE-2026-20742</t>
        </is>
      </c>
      <c r="C954" t="inlineStr">
        <is>
          <t>An OS command injection 
vulnerability exists in XWEB Pro version 1.12.1 and prior, enabling an 
authenticated attacker to achieve remote code execution on the system by
 injecting malicious input into requests sent to the templates route.</t>
        </is>
      </c>
      <c r="D954" t="n">
        <v>8</v>
      </c>
      <c r="E954" t="inlineStr">
        <is>
          <t>HIGH</t>
        </is>
      </c>
      <c r="F954" t="n">
        <v>2</v>
      </c>
      <c r="G954" t="n">
        <v>3</v>
      </c>
      <c r="H954" t="inlineStr">
        <is>
          <t>HIGH</t>
        </is>
      </c>
      <c r="I954" t="n">
        <v>14</v>
      </c>
      <c r="J954" t="inlineStr">
        <is>
          <t>NO</t>
        </is>
      </c>
      <c r="K954" t="inlineStr">
        <is>
          <t>2026-02-27 20:47</t>
        </is>
      </c>
      <c r="L954" t="inlineStr">
        <is>
          <t>CHECK_VENDOR</t>
        </is>
      </c>
      <c r="M954" t="inlineStr">
        <is>
          <t>See CVE details</t>
        </is>
      </c>
      <c r="N954" t="inlineStr">
        <is>
          <t>P3</t>
        </is>
      </c>
      <c r="O954" t="inlineStr">
        <is>
          <t>CVE - IP enrichment n/a</t>
        </is>
      </c>
      <c r="P954" t="n">
        <v>0.0022</v>
      </c>
      <c r="Q954" t="n">
        <v>0.4456</v>
      </c>
      <c r="R954" t="inlineStr">
        <is>
          <t>T1059:Command and Scripting Interpreter | T1190:Exploit Public-Facing Application | T1210:Exploitation of Remote Services</t>
        </is>
      </c>
      <c r="S954" t="n">
        <v>1</v>
      </c>
      <c r="T954" t="inlineStr">
        <is>
          <t>LOW (40%)</t>
        </is>
      </c>
      <c r="U954" t="inlineStr">
        <is>
          <t>UNLIKELY</t>
        </is>
      </c>
      <c r="V954" t="inlineStr">
        <is>
          <t>CHECK_VENDOR</t>
        </is>
      </c>
      <c r="W954" t="inlineStr">
        <is>
          <t>https://nvd.nist.gov/vuln/detail/CVE-2026-20742</t>
        </is>
      </c>
      <c r="X954" t="inlineStr">
        <is>
          <t>NONE</t>
        </is>
      </c>
      <c r="Y954" t="n">
        <v>0</v>
      </c>
      <c r="Z954" t="inlineStr"/>
      <c r="AA954" t="inlineStr">
        <is>
          <t>https://nvd.nist.gov/vuln/detail/CVE-2026-20742</t>
        </is>
      </c>
    </row>
    <row r="955">
      <c r="A955" t="inlineStr">
        <is>
          <t>CVE</t>
        </is>
      </c>
      <c r="B955" t="inlineStr">
        <is>
          <t>CVE-2026-20902</t>
        </is>
      </c>
      <c r="C955"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955" t="n">
        <v>8</v>
      </c>
      <c r="E955" t="inlineStr">
        <is>
          <t>HIGH</t>
        </is>
      </c>
      <c r="F955" t="n">
        <v>2</v>
      </c>
      <c r="G955" t="n">
        <v>3</v>
      </c>
      <c r="H955" t="inlineStr">
        <is>
          <t>HIGH</t>
        </is>
      </c>
      <c r="I955" t="n">
        <v>14</v>
      </c>
      <c r="J955" t="inlineStr">
        <is>
          <t>NO</t>
        </is>
      </c>
      <c r="K955" t="inlineStr">
        <is>
          <t>2026-02-27 20:47</t>
        </is>
      </c>
      <c r="L955" t="inlineStr">
        <is>
          <t>CHECK_VENDOR</t>
        </is>
      </c>
      <c r="M955" t="inlineStr">
        <is>
          <t>See CVE details</t>
        </is>
      </c>
      <c r="N955" t="inlineStr">
        <is>
          <t>P3</t>
        </is>
      </c>
      <c r="O955" t="inlineStr">
        <is>
          <t>CVE - IP enrichment n/a</t>
        </is>
      </c>
      <c r="P955" t="n">
        <v>0.0022</v>
      </c>
      <c r="Q955" t="n">
        <v>0.4456</v>
      </c>
      <c r="R955" t="inlineStr">
        <is>
          <t>T1059:Command and Scripting Interpreter | T1190:Exploit Public-Facing Application | T1210:Exploitation of Remote Services</t>
        </is>
      </c>
      <c r="S955" t="n">
        <v>1</v>
      </c>
      <c r="T955" t="inlineStr">
        <is>
          <t>LOW (40%)</t>
        </is>
      </c>
      <c r="U955" t="inlineStr">
        <is>
          <t>UNLIKELY</t>
        </is>
      </c>
      <c r="V955" t="inlineStr">
        <is>
          <t>CHECK_VENDOR</t>
        </is>
      </c>
      <c r="W955" t="inlineStr">
        <is>
          <t>https://nvd.nist.gov/vuln/detail/CVE-2026-20902</t>
        </is>
      </c>
      <c r="X955" t="inlineStr">
        <is>
          <t>NONE</t>
        </is>
      </c>
      <c r="Y955" t="n">
        <v>0</v>
      </c>
      <c r="Z955" t="inlineStr"/>
      <c r="AA955" t="inlineStr">
        <is>
          <t>https://nvd.nist.gov/vuln/detail/CVE-2026-20902</t>
        </is>
      </c>
    </row>
    <row r="956">
      <c r="A956" t="inlineStr">
        <is>
          <t>CVE</t>
        </is>
      </c>
      <c r="B956" t="inlineStr">
        <is>
          <t>CVE-2026-20910</t>
        </is>
      </c>
      <c r="C956"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956" t="n">
        <v>8</v>
      </c>
      <c r="E956" t="inlineStr">
        <is>
          <t>HIGH</t>
        </is>
      </c>
      <c r="F956" t="n">
        <v>2</v>
      </c>
      <c r="G956" t="n">
        <v>3</v>
      </c>
      <c r="H956" t="inlineStr">
        <is>
          <t>HIGH</t>
        </is>
      </c>
      <c r="I956" t="n">
        <v>14</v>
      </c>
      <c r="J956" t="inlineStr">
        <is>
          <t>NO</t>
        </is>
      </c>
      <c r="K956" t="inlineStr">
        <is>
          <t>2026-02-27 20:47</t>
        </is>
      </c>
      <c r="L956" t="inlineStr">
        <is>
          <t>CHECK_VENDOR</t>
        </is>
      </c>
      <c r="M956" t="inlineStr">
        <is>
          <t>See CVE details</t>
        </is>
      </c>
      <c r="N956" t="inlineStr">
        <is>
          <t>P3</t>
        </is>
      </c>
      <c r="O956" t="inlineStr">
        <is>
          <t>CVE - IP enrichment n/a</t>
        </is>
      </c>
      <c r="P956" t="n">
        <v>0.0022</v>
      </c>
      <c r="Q956" t="n">
        <v>0.4456</v>
      </c>
      <c r="R956" t="inlineStr">
        <is>
          <t>T1059:Command and Scripting Interpreter | T1190:Exploit Public-Facing Application | T1210:Exploitation of Remote Services</t>
        </is>
      </c>
      <c r="S956" t="n">
        <v>1</v>
      </c>
      <c r="T956" t="inlineStr">
        <is>
          <t>LOW (40%)</t>
        </is>
      </c>
      <c r="U956" t="inlineStr">
        <is>
          <t>UNLIKELY</t>
        </is>
      </c>
      <c r="V956" t="inlineStr">
        <is>
          <t>CHECK_VENDOR</t>
        </is>
      </c>
      <c r="W956" t="inlineStr">
        <is>
          <t>https://nvd.nist.gov/vuln/detail/CVE-2026-20910</t>
        </is>
      </c>
      <c r="X956" t="inlineStr">
        <is>
          <t>NONE</t>
        </is>
      </c>
      <c r="Y956" t="n">
        <v>0</v>
      </c>
      <c r="Z956" t="inlineStr"/>
      <c r="AA956" t="inlineStr">
        <is>
          <t>https://nvd.nist.gov/vuln/detail/CVE-2026-20910</t>
        </is>
      </c>
    </row>
    <row r="957">
      <c r="A957" t="inlineStr">
        <is>
          <t>CVE</t>
        </is>
      </c>
      <c r="B957" t="inlineStr">
        <is>
          <t>CVE-2026-21389</t>
        </is>
      </c>
      <c r="C957" t="inlineStr">
        <is>
          <t>An OS command injection 
vulnerability exists in XWEB Pro version 1.12.1 and prior, enabling an 
authenticated attacker to achieve remote code execution on the system by
 injecting malicious input into the request body sent to the contacts 
import route.</t>
        </is>
      </c>
      <c r="D957" t="n">
        <v>8</v>
      </c>
      <c r="E957" t="inlineStr">
        <is>
          <t>HIGH</t>
        </is>
      </c>
      <c r="F957" t="n">
        <v>2</v>
      </c>
      <c r="G957" t="n">
        <v>3</v>
      </c>
      <c r="H957" t="inlineStr">
        <is>
          <t>HIGH</t>
        </is>
      </c>
      <c r="I957" t="n">
        <v>14</v>
      </c>
      <c r="J957" t="inlineStr">
        <is>
          <t>NO</t>
        </is>
      </c>
      <c r="K957" t="inlineStr">
        <is>
          <t>2026-02-27 20:47</t>
        </is>
      </c>
      <c r="L957" t="inlineStr">
        <is>
          <t>CHECK_VENDOR</t>
        </is>
      </c>
      <c r="M957" t="inlineStr">
        <is>
          <t>See CVE details</t>
        </is>
      </c>
      <c r="N957" t="inlineStr">
        <is>
          <t>P3</t>
        </is>
      </c>
      <c r="O957" t="inlineStr">
        <is>
          <t>CVE - IP enrichment n/a</t>
        </is>
      </c>
      <c r="P957" t="n">
        <v>0.0022</v>
      </c>
      <c r="Q957" t="n">
        <v>0.4456</v>
      </c>
      <c r="R957" t="inlineStr">
        <is>
          <t>T1059:Command and Scripting Interpreter | T1190:Exploit Public-Facing Application | T1210:Exploitation of Remote Services</t>
        </is>
      </c>
      <c r="S957" t="n">
        <v>1</v>
      </c>
      <c r="T957" t="inlineStr">
        <is>
          <t>LOW (40%)</t>
        </is>
      </c>
      <c r="U957" t="inlineStr">
        <is>
          <t>UNLIKELY</t>
        </is>
      </c>
      <c r="V957" t="inlineStr">
        <is>
          <t>CHECK_VENDOR</t>
        </is>
      </c>
      <c r="W957" t="inlineStr">
        <is>
          <t>https://nvd.nist.gov/vuln/detail/CVE-2026-21389</t>
        </is>
      </c>
      <c r="X957" t="inlineStr">
        <is>
          <t>NONE</t>
        </is>
      </c>
      <c r="Y957" t="n">
        <v>0</v>
      </c>
      <c r="Z957" t="inlineStr"/>
      <c r="AA957" t="inlineStr">
        <is>
          <t>https://nvd.nist.gov/vuln/detail/CVE-2026-21389</t>
        </is>
      </c>
    </row>
    <row r="958">
      <c r="A958" t="inlineStr">
        <is>
          <t>CVE</t>
        </is>
      </c>
      <c r="B958" t="inlineStr">
        <is>
          <t>CVE-2026-21718</t>
        </is>
      </c>
      <c r="C958" t="inlineStr">
        <is>
          <t>An authentication bypass vulnerability exists in Copeland XWEB Pro 
version 1.12.1 and prior, enabling any attackers to bypass the 
authentication requirement and achieve pre-authenticated code execution 
on the system.</t>
        </is>
      </c>
      <c r="D958" t="n">
        <v>10</v>
      </c>
      <c r="E958" t="inlineStr">
        <is>
          <t>CRITICAL</t>
        </is>
      </c>
      <c r="F958" t="n">
        <v>2</v>
      </c>
      <c r="G958" t="n">
        <v>3</v>
      </c>
      <c r="H958" t="inlineStr">
        <is>
          <t>HIGH</t>
        </is>
      </c>
      <c r="I958" t="n">
        <v>16</v>
      </c>
      <c r="J958" t="inlineStr">
        <is>
          <t>NO</t>
        </is>
      </c>
      <c r="K958" t="inlineStr">
        <is>
          <t>2026-02-27 20:47</t>
        </is>
      </c>
      <c r="L958" t="inlineStr">
        <is>
          <t>CHECK_VENDOR</t>
        </is>
      </c>
      <c r="M958" t="inlineStr">
        <is>
          <t>See CVE details</t>
        </is>
      </c>
      <c r="N958" t="inlineStr">
        <is>
          <t>P3</t>
        </is>
      </c>
      <c r="O958" t="inlineStr">
        <is>
          <t>CVE - IP enrichment n/a</t>
        </is>
      </c>
      <c r="P958" t="n">
        <v>0.0007</v>
      </c>
      <c r="Q958" t="n">
        <v>0.219</v>
      </c>
      <c r="R958" t="inlineStr">
        <is>
          <t>T1078:Valid Accounts</t>
        </is>
      </c>
      <c r="S958" t="n">
        <v>1</v>
      </c>
      <c r="T958" t="inlineStr">
        <is>
          <t>LOW (40%)</t>
        </is>
      </c>
      <c r="U958" t="inlineStr">
        <is>
          <t>UNLIKELY</t>
        </is>
      </c>
      <c r="V958" t="inlineStr">
        <is>
          <t>CHECK_VENDOR</t>
        </is>
      </c>
      <c r="W958" t="inlineStr">
        <is>
          <t>https://nvd.nist.gov/vuln/detail/CVE-2026-21718</t>
        </is>
      </c>
      <c r="X958" t="inlineStr">
        <is>
          <t>NONE</t>
        </is>
      </c>
      <c r="Y958" t="n">
        <v>0</v>
      </c>
      <c r="Z958" t="inlineStr"/>
      <c r="AA958" t="inlineStr">
        <is>
          <t>https://nvd.nist.gov/vuln/detail/CVE-2026-21718</t>
        </is>
      </c>
    </row>
    <row r="959">
      <c r="A959" t="inlineStr">
        <is>
          <t>CVE</t>
        </is>
      </c>
      <c r="B959" t="inlineStr">
        <is>
          <t>CVE-2026-22878</t>
        </is>
      </c>
      <c r="C959" t="inlineStr">
        <is>
          <t>Charging station authentication identifiers are publicly accessible via web-based mapping platforms.</t>
        </is>
      </c>
      <c r="D959" t="n">
        <v>6.5</v>
      </c>
      <c r="E959" t="inlineStr">
        <is>
          <t>MEDIUM</t>
        </is>
      </c>
      <c r="F959" t="n">
        <v>2</v>
      </c>
      <c r="G959" t="n">
        <v>2</v>
      </c>
      <c r="H959" t="inlineStr">
        <is>
          <t>MEDIUM</t>
        </is>
      </c>
      <c r="I959" t="n">
        <v>10.5</v>
      </c>
      <c r="J959" t="inlineStr">
        <is>
          <t>NO</t>
        </is>
      </c>
      <c r="K959" t="inlineStr">
        <is>
          <t>2026-02-27 20:47</t>
        </is>
      </c>
      <c r="L959" t="inlineStr">
        <is>
          <t>CHECK_VENDOR</t>
        </is>
      </c>
      <c r="M959" t="inlineStr">
        <is>
          <t>See CVE details</t>
        </is>
      </c>
      <c r="N959" t="inlineStr">
        <is>
          <t>P4</t>
        </is>
      </c>
      <c r="O959" t="inlineStr">
        <is>
          <t>CVE - IP enrichment n/a</t>
        </is>
      </c>
      <c r="P959" t="n">
        <v>0.0005999999999999999</v>
      </c>
      <c r="Q959" t="n">
        <v>0.1777</v>
      </c>
      <c r="R959" t="inlineStr">
        <is>
          <t>T1190:Exploit Public-Facing Application</t>
        </is>
      </c>
      <c r="S959" t="n">
        <v>1</v>
      </c>
      <c r="T959" t="inlineStr">
        <is>
          <t>LOW (40%)</t>
        </is>
      </c>
      <c r="U959" t="inlineStr">
        <is>
          <t>UNLIKELY</t>
        </is>
      </c>
      <c r="V959" t="inlineStr">
        <is>
          <t>CHECK_VENDOR</t>
        </is>
      </c>
      <c r="W959" t="inlineStr">
        <is>
          <t>https://nvd.nist.gov/vuln/detail/CVE-2026-22878</t>
        </is>
      </c>
      <c r="X959" t="inlineStr">
        <is>
          <t>NONE</t>
        </is>
      </c>
      <c r="Y959" t="n">
        <v>0</v>
      </c>
      <c r="Z959" t="inlineStr"/>
      <c r="AA959" t="inlineStr">
        <is>
          <t>https://nvd.nist.gov/vuln/detail/CVE-2026-22878</t>
        </is>
      </c>
    </row>
    <row r="960">
      <c r="A960" t="inlineStr">
        <is>
          <t>CVE</t>
        </is>
      </c>
      <c r="B960" t="inlineStr">
        <is>
          <t>CVE-2026-24445</t>
        </is>
      </c>
      <c r="C96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60" t="n">
        <v>7.5</v>
      </c>
      <c r="E960" t="inlineStr">
        <is>
          <t>HIGH</t>
        </is>
      </c>
      <c r="F960" t="n">
        <v>2</v>
      </c>
      <c r="G960" t="n">
        <v>3</v>
      </c>
      <c r="H960" t="inlineStr">
        <is>
          <t>HIGH</t>
        </is>
      </c>
      <c r="I960" t="n">
        <v>13.5</v>
      </c>
      <c r="J960" t="inlineStr">
        <is>
          <t>NO</t>
        </is>
      </c>
      <c r="K960" t="inlineStr">
        <is>
          <t>2026-02-27 20:47</t>
        </is>
      </c>
      <c r="L960" t="inlineStr">
        <is>
          <t>CHECK_VENDOR</t>
        </is>
      </c>
      <c r="M960" t="inlineStr">
        <is>
          <t>See CVE details</t>
        </is>
      </c>
      <c r="N960" t="inlineStr">
        <is>
          <t>P3</t>
        </is>
      </c>
      <c r="O960" t="inlineStr">
        <is>
          <t>CVE - IP enrichment n/a</t>
        </is>
      </c>
      <c r="P960" t="n">
        <v>0.0005999999999999999</v>
      </c>
      <c r="Q960" t="n">
        <v>0.1779</v>
      </c>
      <c r="R960" t="inlineStr">
        <is>
          <t>T1190:Exploit Public-Facing Application</t>
        </is>
      </c>
      <c r="S960" t="n">
        <v>1</v>
      </c>
      <c r="T960" t="inlineStr">
        <is>
          <t>LOW (40%)</t>
        </is>
      </c>
      <c r="U960" t="inlineStr">
        <is>
          <t>UNLIKELY</t>
        </is>
      </c>
      <c r="V960" t="inlineStr">
        <is>
          <t>CHECK_VENDOR</t>
        </is>
      </c>
      <c r="W960" t="inlineStr">
        <is>
          <t>https://nvd.nist.gov/vuln/detail/CVE-2026-24445</t>
        </is>
      </c>
      <c r="X960" t="inlineStr">
        <is>
          <t>NONE</t>
        </is>
      </c>
      <c r="Y960" t="n">
        <v>0</v>
      </c>
      <c r="Z960" t="inlineStr"/>
      <c r="AA960" t="inlineStr">
        <is>
          <t>https://nvd.nist.gov/vuln/detail/CVE-2026-24445</t>
        </is>
      </c>
    </row>
    <row r="961">
      <c r="A961" t="inlineStr">
        <is>
          <t>CVE</t>
        </is>
      </c>
      <c r="B961" t="inlineStr">
        <is>
          <t>CVE-2026-24517</t>
        </is>
      </c>
      <c r="C961" t="inlineStr">
        <is>
          <t>An OS command injection 
vulnerability exists in XWEB Pro version 1.12.1 and prior, enabling an 
authenticated attacker to achieve remote code execution on the system by
 injecting malicious input into requests sent to the firmware update 
route.</t>
        </is>
      </c>
      <c r="D961" t="n">
        <v>8</v>
      </c>
      <c r="E961" t="inlineStr">
        <is>
          <t>HIGH</t>
        </is>
      </c>
      <c r="F961" t="n">
        <v>2</v>
      </c>
      <c r="G961" t="n">
        <v>3</v>
      </c>
      <c r="H961" t="inlineStr">
        <is>
          <t>HIGH</t>
        </is>
      </c>
      <c r="I961" t="n">
        <v>14</v>
      </c>
      <c r="J961" t="inlineStr">
        <is>
          <t>NO</t>
        </is>
      </c>
      <c r="K961" t="inlineStr">
        <is>
          <t>2026-02-27 20:47</t>
        </is>
      </c>
      <c r="L961" t="inlineStr">
        <is>
          <t>CHECK_VENDOR</t>
        </is>
      </c>
      <c r="M961" t="inlineStr">
        <is>
          <t>See CVE details</t>
        </is>
      </c>
      <c r="N961" t="inlineStr">
        <is>
          <t>P3</t>
        </is>
      </c>
      <c r="O961" t="inlineStr">
        <is>
          <t>CVE - IP enrichment n/a</t>
        </is>
      </c>
      <c r="P961" t="n">
        <v>0.0022</v>
      </c>
      <c r="Q961" t="n">
        <v>0.4456</v>
      </c>
      <c r="R961" t="inlineStr">
        <is>
          <t>T1059:Command and Scripting Interpreter | T1190:Exploit Public-Facing Application | T1210:Exploitation of Remote Services</t>
        </is>
      </c>
      <c r="S961" t="n">
        <v>1</v>
      </c>
      <c r="T961" t="inlineStr">
        <is>
          <t>LOW (40%)</t>
        </is>
      </c>
      <c r="U961" t="inlineStr">
        <is>
          <t>UNLIKELY</t>
        </is>
      </c>
      <c r="V961" t="inlineStr">
        <is>
          <t>CHECK_VENDOR</t>
        </is>
      </c>
      <c r="W961" t="inlineStr">
        <is>
          <t>https://nvd.nist.gov/vuln/detail/CVE-2026-24517</t>
        </is>
      </c>
      <c r="X961" t="inlineStr">
        <is>
          <t>NONE</t>
        </is>
      </c>
      <c r="Y961" t="n">
        <v>0</v>
      </c>
      <c r="Z961" t="inlineStr"/>
      <c r="AA961" t="inlineStr">
        <is>
          <t>https://nvd.nist.gov/vuln/detail/CVE-2026-24517</t>
        </is>
      </c>
    </row>
    <row r="962">
      <c r="A962" t="inlineStr">
        <is>
          <t>CVE</t>
        </is>
      </c>
      <c r="B962" t="inlineStr">
        <is>
          <t>CVE-2026-24663</t>
        </is>
      </c>
      <c r="C962"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962" t="n">
        <v>9</v>
      </c>
      <c r="E962" t="inlineStr">
        <is>
          <t>CRITICAL</t>
        </is>
      </c>
      <c r="F962" t="n">
        <v>2</v>
      </c>
      <c r="G962" t="n">
        <v>3</v>
      </c>
      <c r="H962" t="inlineStr">
        <is>
          <t>HIGH</t>
        </is>
      </c>
      <c r="I962" t="n">
        <v>15</v>
      </c>
      <c r="J962" t="inlineStr">
        <is>
          <t>NO</t>
        </is>
      </c>
      <c r="K962" t="inlineStr">
        <is>
          <t>2026-02-27 20:47</t>
        </is>
      </c>
      <c r="L962" t="inlineStr">
        <is>
          <t>CHECK_VENDOR</t>
        </is>
      </c>
      <c r="M962" t="inlineStr">
        <is>
          <t>See CVE details</t>
        </is>
      </c>
      <c r="N962" t="inlineStr">
        <is>
          <t>P2</t>
        </is>
      </c>
      <c r="O962" t="inlineStr">
        <is>
          <t>CVE - IP enrichment n/a</t>
        </is>
      </c>
      <c r="P962" t="n">
        <v>0.0135</v>
      </c>
      <c r="Q962" t="n">
        <v>0.799</v>
      </c>
      <c r="R962" t="inlineStr">
        <is>
          <t>T1059:Command and Scripting Interpreter</t>
        </is>
      </c>
      <c r="S962" t="n">
        <v>1</v>
      </c>
      <c r="T962" t="inlineStr">
        <is>
          <t>LOW (40%)</t>
        </is>
      </c>
      <c r="U962" t="inlineStr">
        <is>
          <t>UNLIKELY</t>
        </is>
      </c>
      <c r="V962" t="inlineStr">
        <is>
          <t>CHECK_VENDOR</t>
        </is>
      </c>
      <c r="W962" t="inlineStr">
        <is>
          <t>https://nvd.nist.gov/vuln/detail/CVE-2026-24663</t>
        </is>
      </c>
      <c r="X962" t="inlineStr">
        <is>
          <t>NONE</t>
        </is>
      </c>
      <c r="Y962" t="n">
        <v>0</v>
      </c>
      <c r="Z962" t="inlineStr"/>
      <c r="AA962" t="inlineStr">
        <is>
          <t>https://nvd.nist.gov/vuln/detail/CVE-2026-24663</t>
        </is>
      </c>
    </row>
    <row r="963">
      <c r="A963" t="inlineStr">
        <is>
          <t>CVE</t>
        </is>
      </c>
      <c r="B963" t="inlineStr">
        <is>
          <t>CVE-2026-24689</t>
        </is>
      </c>
      <c r="C963" t="inlineStr">
        <is>
          <t>An OS command injection 
vulnerability exists in XWEB Pro version 1.12.1 and prior, enabling an 
authenticated attacker to achieve remote code execution on the system by
 injecting malicious input into the devices field of the firmware update
 apply action.</t>
        </is>
      </c>
      <c r="D963" t="n">
        <v>8</v>
      </c>
      <c r="E963" t="inlineStr">
        <is>
          <t>HIGH</t>
        </is>
      </c>
      <c r="F963" t="n">
        <v>2</v>
      </c>
      <c r="G963" t="n">
        <v>3</v>
      </c>
      <c r="H963" t="inlineStr">
        <is>
          <t>HIGH</t>
        </is>
      </c>
      <c r="I963" t="n">
        <v>14</v>
      </c>
      <c r="J963" t="inlineStr">
        <is>
          <t>NO</t>
        </is>
      </c>
      <c r="K963" t="inlineStr">
        <is>
          <t>2026-02-27 20:47</t>
        </is>
      </c>
      <c r="L963" t="inlineStr">
        <is>
          <t>CHECK_VENDOR</t>
        </is>
      </c>
      <c r="M963" t="inlineStr">
        <is>
          <t>See CVE details</t>
        </is>
      </c>
      <c r="N963" t="inlineStr">
        <is>
          <t>P3</t>
        </is>
      </c>
      <c r="O963" t="inlineStr">
        <is>
          <t>CVE - IP enrichment n/a</t>
        </is>
      </c>
      <c r="P963" t="n">
        <v>0.0022</v>
      </c>
      <c r="Q963" t="n">
        <v>0.4456</v>
      </c>
      <c r="R963" t="inlineStr">
        <is>
          <t>T1059:Command and Scripting Interpreter | T1190:Exploit Public-Facing Application | T1210:Exploitation of Remote Services</t>
        </is>
      </c>
      <c r="S963" t="n">
        <v>1</v>
      </c>
      <c r="T963" t="inlineStr">
        <is>
          <t>LOW (40%)</t>
        </is>
      </c>
      <c r="U963" t="inlineStr">
        <is>
          <t>UNLIKELY</t>
        </is>
      </c>
      <c r="V963" t="inlineStr">
        <is>
          <t>CHECK_VENDOR</t>
        </is>
      </c>
      <c r="W963" t="inlineStr">
        <is>
          <t>https://nvd.nist.gov/vuln/detail/CVE-2026-24689</t>
        </is>
      </c>
      <c r="X963" t="inlineStr">
        <is>
          <t>NONE</t>
        </is>
      </c>
      <c r="Y963" t="n">
        <v>0</v>
      </c>
      <c r="Z963" t="inlineStr"/>
      <c r="AA963" t="inlineStr">
        <is>
          <t>https://nvd.nist.gov/vuln/detail/CVE-2026-24689</t>
        </is>
      </c>
    </row>
    <row r="964">
      <c r="A964" t="inlineStr">
        <is>
          <t>CVE</t>
        </is>
      </c>
      <c r="B964" t="inlineStr">
        <is>
          <t>CVE-2026-24695</t>
        </is>
      </c>
      <c r="C964"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964" t="n">
        <v>8</v>
      </c>
      <c r="E964" t="inlineStr">
        <is>
          <t>HIGH</t>
        </is>
      </c>
      <c r="F964" t="n">
        <v>2</v>
      </c>
      <c r="G964" t="n">
        <v>3</v>
      </c>
      <c r="H964" t="inlineStr">
        <is>
          <t>HIGH</t>
        </is>
      </c>
      <c r="I964" t="n">
        <v>14</v>
      </c>
      <c r="J964" t="inlineStr">
        <is>
          <t>NO</t>
        </is>
      </c>
      <c r="K964" t="inlineStr">
        <is>
          <t>2026-02-27 20:47</t>
        </is>
      </c>
      <c r="L964" t="inlineStr">
        <is>
          <t>CHECK_VENDOR</t>
        </is>
      </c>
      <c r="M964" t="inlineStr">
        <is>
          <t>See CVE details</t>
        </is>
      </c>
      <c r="N964" t="inlineStr">
        <is>
          <t>P3</t>
        </is>
      </c>
      <c r="O964" t="inlineStr">
        <is>
          <t>CVE - IP enrichment n/a</t>
        </is>
      </c>
      <c r="P964" t="n">
        <v>0.0022</v>
      </c>
      <c r="Q964" t="n">
        <v>0.4456</v>
      </c>
      <c r="R964" t="inlineStr">
        <is>
          <t>T1059:Command and Scripting Interpreter | T1190:Exploit Public-Facing Application | T1210:Exploitation of Remote Services</t>
        </is>
      </c>
      <c r="S964" t="n">
        <v>1</v>
      </c>
      <c r="T964" t="inlineStr">
        <is>
          <t>LOW (40%)</t>
        </is>
      </c>
      <c r="U964" t="inlineStr">
        <is>
          <t>UNLIKELY</t>
        </is>
      </c>
      <c r="V964" t="inlineStr">
        <is>
          <t>CHECK_VENDOR</t>
        </is>
      </c>
      <c r="W964" t="inlineStr">
        <is>
          <t>https://nvd.nist.gov/vuln/detail/CVE-2026-24695</t>
        </is>
      </c>
      <c r="X964" t="inlineStr">
        <is>
          <t>NONE</t>
        </is>
      </c>
      <c r="Y964" t="n">
        <v>0</v>
      </c>
      <c r="Z964" t="inlineStr"/>
      <c r="AA964" t="inlineStr">
        <is>
          <t>https://nvd.nist.gov/vuln/detail/CVE-2026-24695</t>
        </is>
      </c>
    </row>
    <row r="965">
      <c r="A965" t="inlineStr">
        <is>
          <t>CVE</t>
        </is>
      </c>
      <c r="B965" t="inlineStr">
        <is>
          <t>CVE-2026-25085</t>
        </is>
      </c>
      <c r="C965" t="inlineStr">
        <is>
          <t>A vulnerability exists in Copeland XWEB Pro version 1.12.1 and prior, in
 which an unexpected return value from the authentication routine is 
later on processed as a legitimate value, resulting in an authentication
 bypass.</t>
        </is>
      </c>
      <c r="D965" t="n">
        <v>8.6</v>
      </c>
      <c r="E965" t="inlineStr">
        <is>
          <t>HIGH</t>
        </is>
      </c>
      <c r="F965" t="n">
        <v>2</v>
      </c>
      <c r="G965" t="n">
        <v>3</v>
      </c>
      <c r="H965" t="inlineStr">
        <is>
          <t>HIGH</t>
        </is>
      </c>
      <c r="I965" t="n">
        <v>14.6</v>
      </c>
      <c r="J965" t="inlineStr">
        <is>
          <t>NO</t>
        </is>
      </c>
      <c r="K965" t="inlineStr">
        <is>
          <t>2026-02-27 20:47</t>
        </is>
      </c>
      <c r="L965" t="inlineStr">
        <is>
          <t>CHECK_VENDOR</t>
        </is>
      </c>
      <c r="M965" t="inlineStr">
        <is>
          <t>See CVE details</t>
        </is>
      </c>
      <c r="N965" t="inlineStr">
        <is>
          <t>P3</t>
        </is>
      </c>
      <c r="O965" t="inlineStr">
        <is>
          <t>CVE - IP enrichment n/a</t>
        </is>
      </c>
      <c r="P965" t="n">
        <v>0.0007</v>
      </c>
      <c r="Q965" t="n">
        <v>0.2026</v>
      </c>
      <c r="R965" t="inlineStr">
        <is>
          <t>T1190:Exploit Public-Facing Application</t>
        </is>
      </c>
      <c r="S965" t="n">
        <v>1</v>
      </c>
      <c r="T965" t="inlineStr">
        <is>
          <t>LOW (40%)</t>
        </is>
      </c>
      <c r="U965" t="inlineStr">
        <is>
          <t>UNLIKELY</t>
        </is>
      </c>
      <c r="V965" t="inlineStr">
        <is>
          <t>CHECK_VENDOR</t>
        </is>
      </c>
      <c r="W965" t="inlineStr">
        <is>
          <t>https://nvd.nist.gov/vuln/detail/CVE-2026-25085</t>
        </is>
      </c>
      <c r="X965" t="inlineStr">
        <is>
          <t>NONE</t>
        </is>
      </c>
      <c r="Y965" t="n">
        <v>0</v>
      </c>
      <c r="Z965" t="inlineStr"/>
      <c r="AA965" t="inlineStr">
        <is>
          <t>https://nvd.nist.gov/vuln/detail/CVE-2026-25085</t>
        </is>
      </c>
    </row>
    <row r="966">
      <c r="A966" t="inlineStr">
        <is>
          <t>CVE</t>
        </is>
      </c>
      <c r="B966" t="inlineStr">
        <is>
          <t>CVE-2026-25109</t>
        </is>
      </c>
      <c r="C966"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966" t="n">
        <v>8</v>
      </c>
      <c r="E966" t="inlineStr">
        <is>
          <t>HIGH</t>
        </is>
      </c>
      <c r="F966" t="n">
        <v>2</v>
      </c>
      <c r="G966" t="n">
        <v>3</v>
      </c>
      <c r="H966" t="inlineStr">
        <is>
          <t>HIGH</t>
        </is>
      </c>
      <c r="I966" t="n">
        <v>14</v>
      </c>
      <c r="J966" t="inlineStr">
        <is>
          <t>NO</t>
        </is>
      </c>
      <c r="K966" t="inlineStr">
        <is>
          <t>2026-02-27 20:47</t>
        </is>
      </c>
      <c r="L966" t="inlineStr">
        <is>
          <t>CHECK_VENDOR</t>
        </is>
      </c>
      <c r="M966" t="inlineStr">
        <is>
          <t>See CVE details</t>
        </is>
      </c>
      <c r="N966" t="inlineStr">
        <is>
          <t>P3</t>
        </is>
      </c>
      <c r="O966" t="inlineStr">
        <is>
          <t>CVE - IP enrichment n/a</t>
        </is>
      </c>
      <c r="P966" t="n">
        <v>0.0022</v>
      </c>
      <c r="Q966" t="n">
        <v>0.4456</v>
      </c>
      <c r="R966" t="inlineStr">
        <is>
          <t>T1059:Command and Scripting Interpreter | T1190:Exploit Public-Facing Application | T1210:Exploitation of Remote Services</t>
        </is>
      </c>
      <c r="S966" t="n">
        <v>1</v>
      </c>
      <c r="T966" t="inlineStr">
        <is>
          <t>LOW (40%)</t>
        </is>
      </c>
      <c r="U966" t="inlineStr">
        <is>
          <t>UNLIKELY</t>
        </is>
      </c>
      <c r="V966" t="inlineStr">
        <is>
          <t>CHECK_VENDOR</t>
        </is>
      </c>
      <c r="W966" t="inlineStr">
        <is>
          <t>https://nvd.nist.gov/vuln/detail/CVE-2026-25109</t>
        </is>
      </c>
      <c r="X966" t="inlineStr">
        <is>
          <t>NONE</t>
        </is>
      </c>
      <c r="Y966" t="n">
        <v>0</v>
      </c>
      <c r="Z966" t="inlineStr"/>
      <c r="AA966" t="inlineStr">
        <is>
          <t>https://nvd.nist.gov/vuln/detail/CVE-2026-25109</t>
        </is>
      </c>
    </row>
    <row r="967">
      <c r="A967" t="inlineStr">
        <is>
          <t>CVE</t>
        </is>
      </c>
      <c r="B967" t="inlineStr">
        <is>
          <t>CVE-2026-25111</t>
        </is>
      </c>
      <c r="C967" t="inlineStr">
        <is>
          <t>An OS command injection 
vulnerability exists in XWEB Pro version 1.12.1 and prior, enabling an 
authenticated attacker to achieve remote code execution on the system by
 injecting malicious input into requests sent to the restore route.</t>
        </is>
      </c>
      <c r="D967" t="n">
        <v>8</v>
      </c>
      <c r="E967" t="inlineStr">
        <is>
          <t>HIGH</t>
        </is>
      </c>
      <c r="F967" t="n">
        <v>2</v>
      </c>
      <c r="G967" t="n">
        <v>3</v>
      </c>
      <c r="H967" t="inlineStr">
        <is>
          <t>HIGH</t>
        </is>
      </c>
      <c r="I967" t="n">
        <v>14</v>
      </c>
      <c r="J967" t="inlineStr">
        <is>
          <t>NO</t>
        </is>
      </c>
      <c r="K967" t="inlineStr">
        <is>
          <t>2026-02-27 20:47</t>
        </is>
      </c>
      <c r="L967" t="inlineStr">
        <is>
          <t>CHECK_VENDOR</t>
        </is>
      </c>
      <c r="M967" t="inlineStr">
        <is>
          <t>See CVE details</t>
        </is>
      </c>
      <c r="N967" t="inlineStr">
        <is>
          <t>P3</t>
        </is>
      </c>
      <c r="O967" t="inlineStr">
        <is>
          <t>CVE - IP enrichment n/a</t>
        </is>
      </c>
      <c r="P967" t="n">
        <v>0.0022</v>
      </c>
      <c r="Q967" t="n">
        <v>0.4456</v>
      </c>
      <c r="R967" t="inlineStr">
        <is>
          <t>T1059:Command and Scripting Interpreter | T1190:Exploit Public-Facing Application | T1210:Exploitation of Remote Services</t>
        </is>
      </c>
      <c r="S967" t="n">
        <v>1</v>
      </c>
      <c r="T967" t="inlineStr">
        <is>
          <t>LOW (40%)</t>
        </is>
      </c>
      <c r="U967" t="inlineStr">
        <is>
          <t>UNLIKELY</t>
        </is>
      </c>
      <c r="V967" t="inlineStr">
        <is>
          <t>CHECK_VENDOR</t>
        </is>
      </c>
      <c r="W967" t="inlineStr">
        <is>
          <t>https://nvd.nist.gov/vuln/detail/CVE-2026-25111</t>
        </is>
      </c>
      <c r="X967" t="inlineStr">
        <is>
          <t>NONE</t>
        </is>
      </c>
      <c r="Y967" t="n">
        <v>0</v>
      </c>
      <c r="Z967" t="inlineStr"/>
      <c r="AA967" t="inlineStr">
        <is>
          <t>https://nvd.nist.gov/vuln/detail/CVE-2026-25111</t>
        </is>
      </c>
    </row>
    <row r="968">
      <c r="A968" t="inlineStr">
        <is>
          <t>CVE</t>
        </is>
      </c>
      <c r="B968" t="inlineStr">
        <is>
          <t>CVE-2026-25195</t>
        </is>
      </c>
      <c r="C968" t="inlineStr">
        <is>
          <t>An OS command injection 
vulnerability exists in XWEB Pro version 1.12.1 and prior, enabling an 
authenticated attacker to achieve remote code execution on the system by
 supplying a crafted firmware update file via the firmware update route.</t>
        </is>
      </c>
      <c r="D968" t="n">
        <v>8</v>
      </c>
      <c r="E968" t="inlineStr">
        <is>
          <t>HIGH</t>
        </is>
      </c>
      <c r="F968" t="n">
        <v>2</v>
      </c>
      <c r="G968" t="n">
        <v>3</v>
      </c>
      <c r="H968" t="inlineStr">
        <is>
          <t>HIGH</t>
        </is>
      </c>
      <c r="I968" t="n">
        <v>14</v>
      </c>
      <c r="J968" t="inlineStr">
        <is>
          <t>NO</t>
        </is>
      </c>
      <c r="K968" t="inlineStr">
        <is>
          <t>2026-02-27 20:47</t>
        </is>
      </c>
      <c r="L968" t="inlineStr">
        <is>
          <t>CHECK_VENDOR</t>
        </is>
      </c>
      <c r="M968" t="inlineStr">
        <is>
          <t>See CVE details</t>
        </is>
      </c>
      <c r="N968" t="inlineStr">
        <is>
          <t>P3</t>
        </is>
      </c>
      <c r="O968" t="inlineStr">
        <is>
          <t>CVE - IP enrichment n/a</t>
        </is>
      </c>
      <c r="P968" t="n">
        <v>0.0022</v>
      </c>
      <c r="Q968" t="n">
        <v>0.4456</v>
      </c>
      <c r="R968" t="inlineStr">
        <is>
          <t>T1059:Command and Scripting Interpreter | T1190:Exploit Public-Facing Application | T1210:Exploitation of Remote Services</t>
        </is>
      </c>
      <c r="S968" t="n">
        <v>1</v>
      </c>
      <c r="T968" t="inlineStr">
        <is>
          <t>LOW (40%)</t>
        </is>
      </c>
      <c r="U968" t="inlineStr">
        <is>
          <t>UNLIKELY</t>
        </is>
      </c>
      <c r="V968" t="inlineStr">
        <is>
          <t>CHECK_VENDOR</t>
        </is>
      </c>
      <c r="W968" t="inlineStr">
        <is>
          <t>https://nvd.nist.gov/vuln/detail/CVE-2026-25195</t>
        </is>
      </c>
      <c r="X968" t="inlineStr">
        <is>
          <t>NONE</t>
        </is>
      </c>
      <c r="Y968" t="n">
        <v>0</v>
      </c>
      <c r="Z968" t="inlineStr"/>
      <c r="AA968" t="inlineStr">
        <is>
          <t>https://nvd.nist.gov/vuln/detail/CVE-2026-25195</t>
        </is>
      </c>
    </row>
    <row r="969">
      <c r="A969" t="inlineStr">
        <is>
          <t>CVE</t>
        </is>
      </c>
      <c r="B969" t="inlineStr">
        <is>
          <t>CVE-2026-25774</t>
        </is>
      </c>
      <c r="C969" t="inlineStr">
        <is>
          <t>Charging station authentication identifiers are publicly accessible via web-based mapping platforms.</t>
        </is>
      </c>
      <c r="D969" t="n">
        <v>6.5</v>
      </c>
      <c r="E969" t="inlineStr">
        <is>
          <t>MEDIUM</t>
        </is>
      </c>
      <c r="F969" t="n">
        <v>2</v>
      </c>
      <c r="G969" t="n">
        <v>2</v>
      </c>
      <c r="H969" t="inlineStr">
        <is>
          <t>MEDIUM</t>
        </is>
      </c>
      <c r="I969" t="n">
        <v>10.5</v>
      </c>
      <c r="J969" t="inlineStr">
        <is>
          <t>NO</t>
        </is>
      </c>
      <c r="K969" t="inlineStr">
        <is>
          <t>2026-02-27 20:47</t>
        </is>
      </c>
      <c r="L969" t="inlineStr">
        <is>
          <t>CHECK_VENDOR</t>
        </is>
      </c>
      <c r="M969" t="inlineStr">
        <is>
          <t>See CVE details</t>
        </is>
      </c>
      <c r="N969" t="inlineStr">
        <is>
          <t>P4</t>
        </is>
      </c>
      <c r="O969" t="inlineStr">
        <is>
          <t>CVE - IP enrichment n/a</t>
        </is>
      </c>
      <c r="P969" t="n">
        <v>0.0004</v>
      </c>
      <c r="Q969" t="n">
        <v>0.1304</v>
      </c>
      <c r="R969" t="inlineStr">
        <is>
          <t>T1190:Exploit Public-Facing Application</t>
        </is>
      </c>
      <c r="S969" t="n">
        <v>1</v>
      </c>
      <c r="T969" t="inlineStr">
        <is>
          <t>LOW (40%)</t>
        </is>
      </c>
      <c r="U969" t="inlineStr">
        <is>
          <t>UNLIKELY</t>
        </is>
      </c>
      <c r="V969" t="inlineStr">
        <is>
          <t>CHECK_VENDOR</t>
        </is>
      </c>
      <c r="W969" t="inlineStr">
        <is>
          <t>https://nvd.nist.gov/vuln/detail/CVE-2026-25774</t>
        </is>
      </c>
      <c r="X969" t="inlineStr">
        <is>
          <t>NONE</t>
        </is>
      </c>
      <c r="Y969" t="n">
        <v>0</v>
      </c>
      <c r="Z969" t="inlineStr"/>
      <c r="AA969" t="inlineStr">
        <is>
          <t>https://nvd.nist.gov/vuln/detail/CVE-2026-25774</t>
        </is>
      </c>
    </row>
    <row r="970">
      <c r="A970" t="inlineStr">
        <is>
          <t>CVE</t>
        </is>
      </c>
      <c r="B970" t="inlineStr">
        <is>
          <t>CVE-2026-26290</t>
        </is>
      </c>
      <c r="C97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70" t="n">
        <v>7.3</v>
      </c>
      <c r="E970" t="inlineStr">
        <is>
          <t>HIGH</t>
        </is>
      </c>
      <c r="F970" t="n">
        <v>2</v>
      </c>
      <c r="G970" t="n">
        <v>3</v>
      </c>
      <c r="H970" t="inlineStr">
        <is>
          <t>HIGH</t>
        </is>
      </c>
      <c r="I970" t="n">
        <v>13.3</v>
      </c>
      <c r="J970" t="inlineStr">
        <is>
          <t>NO</t>
        </is>
      </c>
      <c r="K970" t="inlineStr">
        <is>
          <t>2026-02-27 20:47</t>
        </is>
      </c>
      <c r="L970" t="inlineStr">
        <is>
          <t>CHECK_VENDOR</t>
        </is>
      </c>
      <c r="M970" t="inlineStr">
        <is>
          <t>See CVE details</t>
        </is>
      </c>
      <c r="N970" t="inlineStr">
        <is>
          <t>P3</t>
        </is>
      </c>
      <c r="O970" t="inlineStr">
        <is>
          <t>CVE - IP enrichment n/a</t>
        </is>
      </c>
      <c r="P970" t="n">
        <v>0.0004</v>
      </c>
      <c r="Q970" t="n">
        <v>0.1036</v>
      </c>
      <c r="R970" t="inlineStr">
        <is>
          <t>T1190:Exploit Public-Facing Application</t>
        </is>
      </c>
      <c r="S970" t="n">
        <v>1</v>
      </c>
      <c r="T970" t="inlineStr">
        <is>
          <t>LOW (40%)</t>
        </is>
      </c>
      <c r="U970" t="inlineStr">
        <is>
          <t>UNLIKELY</t>
        </is>
      </c>
      <c r="V970" t="inlineStr">
        <is>
          <t>CHECK_VENDOR</t>
        </is>
      </c>
      <c r="W970" t="inlineStr">
        <is>
          <t>https://nvd.nist.gov/vuln/detail/CVE-2026-26290</t>
        </is>
      </c>
      <c r="X970" t="inlineStr">
        <is>
          <t>NONE</t>
        </is>
      </c>
      <c r="Y970" t="n">
        <v>0</v>
      </c>
      <c r="Z970" t="inlineStr"/>
      <c r="AA970" t="inlineStr">
        <is>
          <t>https://nvd.nist.gov/vuln/detail/CVE-2026-26290</t>
        </is>
      </c>
    </row>
    <row r="971">
      <c r="A971" t="inlineStr">
        <is>
          <t>CVE</t>
        </is>
      </c>
      <c r="B971" t="inlineStr">
        <is>
          <t>CVE-2026-26305</t>
        </is>
      </c>
      <c r="C971"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971" t="n">
        <v>7.5</v>
      </c>
      <c r="E971" t="inlineStr">
        <is>
          <t>HIGH</t>
        </is>
      </c>
      <c r="F971" t="n">
        <v>2</v>
      </c>
      <c r="G971" t="n">
        <v>3</v>
      </c>
      <c r="H971" t="inlineStr">
        <is>
          <t>HIGH</t>
        </is>
      </c>
      <c r="I971" t="n">
        <v>13.5</v>
      </c>
      <c r="J971" t="inlineStr">
        <is>
          <t>NO</t>
        </is>
      </c>
      <c r="K971" t="inlineStr">
        <is>
          <t>2026-02-27 20:47</t>
        </is>
      </c>
      <c r="L971" t="inlineStr">
        <is>
          <t>CHECK_VENDOR</t>
        </is>
      </c>
      <c r="M971" t="inlineStr">
        <is>
          <t>See CVE details</t>
        </is>
      </c>
      <c r="N971" t="inlineStr">
        <is>
          <t>P3</t>
        </is>
      </c>
      <c r="O971" t="inlineStr">
        <is>
          <t>CVE - IP enrichment n/a</t>
        </is>
      </c>
      <c r="P971" t="n">
        <v>0.0008</v>
      </c>
      <c r="Q971" t="n">
        <v>0.2276</v>
      </c>
      <c r="R971" t="inlineStr">
        <is>
          <t>T1190:Exploit Public-Facing Application</t>
        </is>
      </c>
      <c r="S971" t="n">
        <v>1</v>
      </c>
      <c r="T971" t="inlineStr">
        <is>
          <t>LOW (40%)</t>
        </is>
      </c>
      <c r="U971" t="inlineStr">
        <is>
          <t>UNLIKELY</t>
        </is>
      </c>
      <c r="V971" t="inlineStr">
        <is>
          <t>CHECK_VENDOR</t>
        </is>
      </c>
      <c r="W971" t="inlineStr">
        <is>
          <t>https://nvd.nist.gov/vuln/detail/CVE-2026-26305</t>
        </is>
      </c>
      <c r="X971" t="inlineStr">
        <is>
          <t>NONE</t>
        </is>
      </c>
      <c r="Y971" t="n">
        <v>0</v>
      </c>
      <c r="Z971" t="inlineStr"/>
      <c r="AA971" t="inlineStr">
        <is>
          <t>https://nvd.nist.gov/vuln/detail/CVE-2026-26305</t>
        </is>
      </c>
    </row>
    <row r="972">
      <c r="A972" t="inlineStr">
        <is>
          <t>CVE</t>
        </is>
      </c>
      <c r="B972" t="inlineStr">
        <is>
          <t>CVE-2026-27028</t>
        </is>
      </c>
      <c r="C972"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972" t="n">
        <v>9.4</v>
      </c>
      <c r="E972" t="inlineStr">
        <is>
          <t>CRITICAL</t>
        </is>
      </c>
      <c r="F972" t="n">
        <v>2</v>
      </c>
      <c r="G972" t="n">
        <v>3</v>
      </c>
      <c r="H972" t="inlineStr">
        <is>
          <t>HIGH</t>
        </is>
      </c>
      <c r="I972" t="n">
        <v>15.4</v>
      </c>
      <c r="J972" t="inlineStr">
        <is>
          <t>NO</t>
        </is>
      </c>
      <c r="K972" t="inlineStr">
        <is>
          <t>2026-02-27 20:47</t>
        </is>
      </c>
      <c r="L972" t="inlineStr">
        <is>
          <t>CHECK_VENDOR</t>
        </is>
      </c>
      <c r="M972" t="inlineStr">
        <is>
          <t>See CVE details</t>
        </is>
      </c>
      <c r="N972" t="inlineStr">
        <is>
          <t>P3</t>
        </is>
      </c>
      <c r="O972" t="inlineStr">
        <is>
          <t>CVE - IP enrichment n/a</t>
        </is>
      </c>
      <c r="P972" t="n">
        <v>0.0018</v>
      </c>
      <c r="Q972" t="n">
        <v>0.3909</v>
      </c>
      <c r="R972" t="inlineStr">
        <is>
          <t>T1078:Valid Accounts</t>
        </is>
      </c>
      <c r="S972" t="n">
        <v>1</v>
      </c>
      <c r="T972" t="inlineStr">
        <is>
          <t>LOW (40%)</t>
        </is>
      </c>
      <c r="U972" t="inlineStr">
        <is>
          <t>UNLIKELY</t>
        </is>
      </c>
      <c r="V972" t="inlineStr">
        <is>
          <t>CHECK_VENDOR</t>
        </is>
      </c>
      <c r="W972" t="inlineStr">
        <is>
          <t>https://nvd.nist.gov/vuln/detail/CVE-2026-27028</t>
        </is>
      </c>
      <c r="X972" t="inlineStr">
        <is>
          <t>NONE</t>
        </is>
      </c>
      <c r="Y972" t="n">
        <v>0</v>
      </c>
      <c r="Z972" t="inlineStr"/>
      <c r="AA972" t="inlineStr">
        <is>
          <t>https://nvd.nist.gov/vuln/detail/CVE-2026-27028</t>
        </is>
      </c>
    </row>
    <row r="973">
      <c r="A973" t="inlineStr">
        <is>
          <t>CVE</t>
        </is>
      </c>
      <c r="B973" t="inlineStr">
        <is>
          <t>CVE-2026-27647</t>
        </is>
      </c>
      <c r="C97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973" t="n">
        <v>7.3</v>
      </c>
      <c r="E973" t="inlineStr">
        <is>
          <t>HIGH</t>
        </is>
      </c>
      <c r="F973" t="n">
        <v>2</v>
      </c>
      <c r="G973" t="n">
        <v>3</v>
      </c>
      <c r="H973" t="inlineStr">
        <is>
          <t>HIGH</t>
        </is>
      </c>
      <c r="I973" t="n">
        <v>13.3</v>
      </c>
      <c r="J973" t="inlineStr">
        <is>
          <t>NO</t>
        </is>
      </c>
      <c r="K973" t="inlineStr">
        <is>
          <t>2026-02-27 20:47</t>
        </is>
      </c>
      <c r="L973" t="inlineStr">
        <is>
          <t>CHECK_VENDOR</t>
        </is>
      </c>
      <c r="M973" t="inlineStr">
        <is>
          <t>See CVE details</t>
        </is>
      </c>
      <c r="N973" t="inlineStr">
        <is>
          <t>P3</t>
        </is>
      </c>
      <c r="O973" t="inlineStr">
        <is>
          <t>CVE - IP enrichment n/a</t>
        </is>
      </c>
      <c r="P973" t="n">
        <v>0.0004</v>
      </c>
      <c r="Q973" t="n">
        <v>0.1036</v>
      </c>
      <c r="R973" t="inlineStr">
        <is>
          <t>T1190:Exploit Public-Facing Application</t>
        </is>
      </c>
      <c r="S973" t="n">
        <v>1</v>
      </c>
      <c r="T973" t="inlineStr">
        <is>
          <t>LOW (40%)</t>
        </is>
      </c>
      <c r="U973" t="inlineStr">
        <is>
          <t>UNLIKELY</t>
        </is>
      </c>
      <c r="V973" t="inlineStr">
        <is>
          <t>CHECK_VENDOR</t>
        </is>
      </c>
      <c r="W973" t="inlineStr">
        <is>
          <t>https://nvd.nist.gov/vuln/detail/CVE-2026-27647</t>
        </is>
      </c>
      <c r="X973" t="inlineStr">
        <is>
          <t>NONE</t>
        </is>
      </c>
      <c r="Y973" t="n">
        <v>0</v>
      </c>
      <c r="Z973" t="inlineStr"/>
      <c r="AA973" t="inlineStr">
        <is>
          <t>https://nvd.nist.gov/vuln/detail/CVE-2026-27647</t>
        </is>
      </c>
    </row>
    <row r="974">
      <c r="A974" t="inlineStr">
        <is>
          <t>CVE</t>
        </is>
      </c>
      <c r="B974" t="inlineStr">
        <is>
          <t>CVE-2026-3273</t>
        </is>
      </c>
      <c r="C974"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974" t="n">
        <v>8.800000000000001</v>
      </c>
      <c r="E974" t="inlineStr">
        <is>
          <t>HIGH</t>
        </is>
      </c>
      <c r="F974" t="n">
        <v>2</v>
      </c>
      <c r="G974" t="n">
        <v>3</v>
      </c>
      <c r="H974" t="inlineStr">
        <is>
          <t>HIGH</t>
        </is>
      </c>
      <c r="I974" t="n">
        <v>14.8</v>
      </c>
      <c r="J974" t="inlineStr">
        <is>
          <t>NO</t>
        </is>
      </c>
      <c r="K974" t="inlineStr">
        <is>
          <t>2026-02-27 20:47</t>
        </is>
      </c>
      <c r="L974" t="inlineStr">
        <is>
          <t>CHECK_VENDOR</t>
        </is>
      </c>
      <c r="M974" t="inlineStr">
        <is>
          <t>tenda f453 - | tenda f453_firmware 1.0.0.3</t>
        </is>
      </c>
      <c r="N974" t="inlineStr">
        <is>
          <t>P3</t>
        </is>
      </c>
      <c r="O974" t="inlineStr">
        <is>
          <t>CVE - IP enrichment n/a</t>
        </is>
      </c>
      <c r="P974" t="n">
        <v>0.0005</v>
      </c>
      <c r="Q974" t="n">
        <v>0.1424</v>
      </c>
      <c r="R974" t="inlineStr">
        <is>
          <t>T1203:Exploitation for Client Execution</t>
        </is>
      </c>
      <c r="S974" t="n">
        <v>1</v>
      </c>
      <c r="T974" t="inlineStr">
        <is>
          <t>LOW (40%)</t>
        </is>
      </c>
      <c r="U974" t="inlineStr">
        <is>
          <t>UNLIKELY</t>
        </is>
      </c>
      <c r="V974" t="inlineStr">
        <is>
          <t>CHECK_VENDOR</t>
        </is>
      </c>
      <c r="W974" t="inlineStr">
        <is>
          <t>https://nvd.nist.gov/vuln/detail/CVE-2026-3273</t>
        </is>
      </c>
      <c r="X974" t="inlineStr">
        <is>
          <t>NONE</t>
        </is>
      </c>
      <c r="Y974" t="n">
        <v>0</v>
      </c>
      <c r="Z974" t="inlineStr"/>
      <c r="AA974" t="inlineStr">
        <is>
          <t>https://nvd.nist.gov/vuln/detail/CVE-2026-3273</t>
        </is>
      </c>
    </row>
    <row r="975">
      <c r="A975" t="inlineStr">
        <is>
          <t>CVE</t>
        </is>
      </c>
      <c r="B975" t="inlineStr">
        <is>
          <t>CVE-2026-20764</t>
        </is>
      </c>
      <c r="C975"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975" t="n">
        <v>8</v>
      </c>
      <c r="E975" t="inlineStr">
        <is>
          <t>HIGH</t>
        </is>
      </c>
      <c r="F975" t="n">
        <v>2</v>
      </c>
      <c r="G975" t="n">
        <v>3</v>
      </c>
      <c r="H975" t="inlineStr">
        <is>
          <t>HIGH</t>
        </is>
      </c>
      <c r="I975" t="n">
        <v>14</v>
      </c>
      <c r="J975" t="inlineStr">
        <is>
          <t>NO</t>
        </is>
      </c>
      <c r="K975" t="inlineStr">
        <is>
          <t>2026-02-27 20:47</t>
        </is>
      </c>
      <c r="L975" t="inlineStr">
        <is>
          <t>CHECK_VENDOR</t>
        </is>
      </c>
      <c r="M975" t="inlineStr">
        <is>
          <t>See CVE details</t>
        </is>
      </c>
      <c r="N975" t="inlineStr">
        <is>
          <t>P3</t>
        </is>
      </c>
      <c r="O975" t="inlineStr">
        <is>
          <t>CVE - IP enrichment n/a</t>
        </is>
      </c>
      <c r="P975" t="n">
        <v>0.0022</v>
      </c>
      <c r="Q975" t="n">
        <v>0.4456</v>
      </c>
      <c r="R975" t="inlineStr">
        <is>
          <t>T1059:Command and Scripting Interpreter | T1190:Exploit Public-Facing Application | T1210:Exploitation of Remote Services</t>
        </is>
      </c>
      <c r="S975" t="n">
        <v>1</v>
      </c>
      <c r="T975" t="inlineStr">
        <is>
          <t>LOW (40%)</t>
        </is>
      </c>
      <c r="U975" t="inlineStr">
        <is>
          <t>UNLIKELY</t>
        </is>
      </c>
      <c r="V975" t="inlineStr">
        <is>
          <t>CHECK_VENDOR</t>
        </is>
      </c>
      <c r="W975" t="inlineStr">
        <is>
          <t>https://nvd.nist.gov/vuln/detail/CVE-2026-20764</t>
        </is>
      </c>
      <c r="X975" t="inlineStr">
        <is>
          <t>NONE</t>
        </is>
      </c>
      <c r="Y975" t="n">
        <v>0</v>
      </c>
      <c r="Z975" t="inlineStr"/>
      <c r="AA975" t="inlineStr">
        <is>
          <t>https://nvd.nist.gov/vuln/detail/CVE-2026-20764</t>
        </is>
      </c>
    </row>
    <row r="976">
      <c r="A976" t="inlineStr">
        <is>
          <t>CVE</t>
        </is>
      </c>
      <c r="B976" t="inlineStr">
        <is>
          <t>CVE-2026-20797</t>
        </is>
      </c>
      <c r="C976" t="inlineStr">
        <is>
          <t>A stack based buffer overflow exists in an API route of XWEB Pro version
 1.12.1 and prior, enabling unauthenticated attackers to cause stack 
corruption and a termination of the program.</t>
        </is>
      </c>
      <c r="D976" t="n">
        <v>4.3</v>
      </c>
      <c r="E976" t="inlineStr">
        <is>
          <t>MEDIUM</t>
        </is>
      </c>
      <c r="F976" t="n">
        <v>2</v>
      </c>
      <c r="G976" t="n">
        <v>2</v>
      </c>
      <c r="H976" t="inlineStr">
        <is>
          <t>MEDIUM</t>
        </is>
      </c>
      <c r="I976" t="n">
        <v>8.300000000000001</v>
      </c>
      <c r="J976" t="inlineStr">
        <is>
          <t>NO</t>
        </is>
      </c>
      <c r="K976" t="inlineStr">
        <is>
          <t>2026-02-27 20:47</t>
        </is>
      </c>
      <c r="L976" t="inlineStr">
        <is>
          <t>CHECK_VENDOR</t>
        </is>
      </c>
      <c r="M976" t="inlineStr">
        <is>
          <t>See CVE details</t>
        </is>
      </c>
      <c r="N976" t="inlineStr">
        <is>
          <t>P4</t>
        </is>
      </c>
      <c r="O976" t="inlineStr">
        <is>
          <t>CVE - IP enrichment n/a</t>
        </is>
      </c>
      <c r="P976" t="n">
        <v>0.0002</v>
      </c>
      <c r="Q976" t="n">
        <v>0.0328</v>
      </c>
      <c r="R976" t="inlineStr">
        <is>
          <t>T1203:Exploitation for Client Execution</t>
        </is>
      </c>
      <c r="S976" t="n">
        <v>1</v>
      </c>
      <c r="T976" t="inlineStr">
        <is>
          <t>LOW (40%)</t>
        </is>
      </c>
      <c r="U976" t="inlineStr">
        <is>
          <t>UNLIKELY</t>
        </is>
      </c>
      <c r="V976" t="inlineStr">
        <is>
          <t>CHECK_VENDOR</t>
        </is>
      </c>
      <c r="W976" t="inlineStr">
        <is>
          <t>https://nvd.nist.gov/vuln/detail/CVE-2026-20797</t>
        </is>
      </c>
      <c r="X976" t="inlineStr">
        <is>
          <t>NONE</t>
        </is>
      </c>
      <c r="Y976" t="n">
        <v>0</v>
      </c>
      <c r="Z976" t="inlineStr"/>
      <c r="AA976" t="inlineStr">
        <is>
          <t>https://nvd.nist.gov/vuln/detail/CVE-2026-20797</t>
        </is>
      </c>
    </row>
    <row r="977">
      <c r="A977" t="inlineStr">
        <is>
          <t>CVE</t>
        </is>
      </c>
      <c r="B977" t="inlineStr">
        <is>
          <t>CVE-2026-22877</t>
        </is>
      </c>
      <c r="C977" t="inlineStr">
        <is>
          <t>An arbitrary file-read vulnerability exists in XWEB Pro version 1.12.1 
and prior, enabling unauthenticated attackers to read arbitrary files on
 the system, and potentially causing a denial-of-service attack.</t>
        </is>
      </c>
      <c r="D977" t="n">
        <v>3.7</v>
      </c>
      <c r="E977" t="inlineStr">
        <is>
          <t>LOW</t>
        </is>
      </c>
      <c r="F977" t="n">
        <v>2</v>
      </c>
      <c r="G977" t="n">
        <v>1</v>
      </c>
      <c r="H977" t="inlineStr">
        <is>
          <t>LOW</t>
        </is>
      </c>
      <c r="I977" t="n">
        <v>5.7</v>
      </c>
      <c r="J977" t="inlineStr">
        <is>
          <t>NO</t>
        </is>
      </c>
      <c r="K977" t="inlineStr">
        <is>
          <t>2026-02-27 20:47</t>
        </is>
      </c>
      <c r="L977" t="inlineStr">
        <is>
          <t>CHECK_VENDOR</t>
        </is>
      </c>
      <c r="M977" t="inlineStr">
        <is>
          <t>See CVE details</t>
        </is>
      </c>
      <c r="N977" t="inlineStr">
        <is>
          <t>P4</t>
        </is>
      </c>
      <c r="O977" t="inlineStr">
        <is>
          <t>CVE - IP enrichment n/a</t>
        </is>
      </c>
      <c r="P977" t="n">
        <v>0.0009</v>
      </c>
      <c r="Q977" t="n">
        <v>0.2585</v>
      </c>
      <c r="R977" t="inlineStr">
        <is>
          <t>T1083:File and Directory Discovery</t>
        </is>
      </c>
      <c r="S977" t="n">
        <v>1</v>
      </c>
      <c r="T977" t="inlineStr">
        <is>
          <t>LOW (40%)</t>
        </is>
      </c>
      <c r="U977" t="inlineStr">
        <is>
          <t>UNLIKELY</t>
        </is>
      </c>
      <c r="V977" t="inlineStr">
        <is>
          <t>CHECK_VENDOR</t>
        </is>
      </c>
      <c r="W977" t="inlineStr">
        <is>
          <t>https://nvd.nist.gov/vuln/detail/CVE-2026-22877</t>
        </is>
      </c>
      <c r="X977" t="inlineStr">
        <is>
          <t>NONE</t>
        </is>
      </c>
      <c r="Y977" t="n">
        <v>0</v>
      </c>
      <c r="Z977" t="inlineStr"/>
      <c r="AA977" t="inlineStr">
        <is>
          <t>https://nvd.nist.gov/vuln/detail/CVE-2026-22877</t>
        </is>
      </c>
    </row>
    <row r="978">
      <c r="A978" t="inlineStr">
        <is>
          <t>CVE</t>
        </is>
      </c>
      <c r="B978" t="inlineStr">
        <is>
          <t>CVE-2026-23702</t>
        </is>
      </c>
      <c r="C978"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978" t="n">
        <v>8</v>
      </c>
      <c r="E978" t="inlineStr">
        <is>
          <t>HIGH</t>
        </is>
      </c>
      <c r="F978" t="n">
        <v>2</v>
      </c>
      <c r="G978" t="n">
        <v>3</v>
      </c>
      <c r="H978" t="inlineStr">
        <is>
          <t>HIGH</t>
        </is>
      </c>
      <c r="I978" t="n">
        <v>14</v>
      </c>
      <c r="J978" t="inlineStr">
        <is>
          <t>NO</t>
        </is>
      </c>
      <c r="K978" t="inlineStr">
        <is>
          <t>2026-02-27 20:47</t>
        </is>
      </c>
      <c r="L978" t="inlineStr">
        <is>
          <t>CHECK_VENDOR</t>
        </is>
      </c>
      <c r="M978" t="inlineStr">
        <is>
          <t>See CVE details</t>
        </is>
      </c>
      <c r="N978" t="inlineStr">
        <is>
          <t>P3</t>
        </is>
      </c>
      <c r="O978" t="inlineStr">
        <is>
          <t>CVE - IP enrichment n/a</t>
        </is>
      </c>
      <c r="P978" t="n">
        <v>0.0022</v>
      </c>
      <c r="Q978" t="n">
        <v>0.4456</v>
      </c>
      <c r="R978" t="inlineStr">
        <is>
          <t>T1059:Command and Scripting Interpreter | T1190:Exploit Public-Facing Application | T1210:Exploitation of Remote Services</t>
        </is>
      </c>
      <c r="S978" t="n">
        <v>1</v>
      </c>
      <c r="T978" t="inlineStr">
        <is>
          <t>LOW (40%)</t>
        </is>
      </c>
      <c r="U978" t="inlineStr">
        <is>
          <t>UNLIKELY</t>
        </is>
      </c>
      <c r="V978" t="inlineStr">
        <is>
          <t>CHECK_VENDOR</t>
        </is>
      </c>
      <c r="W978" t="inlineStr">
        <is>
          <t>https://nvd.nist.gov/vuln/detail/CVE-2026-23702</t>
        </is>
      </c>
      <c r="X978" t="inlineStr">
        <is>
          <t>NONE</t>
        </is>
      </c>
      <c r="Y978" t="n">
        <v>0</v>
      </c>
      <c r="Z978" t="inlineStr"/>
      <c r="AA978" t="inlineStr">
        <is>
          <t>https://nvd.nist.gov/vuln/detail/CVE-2026-23702</t>
        </is>
      </c>
    </row>
    <row r="979">
      <c r="A979" t="inlineStr">
        <is>
          <t>CVE</t>
        </is>
      </c>
      <c r="B979" t="inlineStr">
        <is>
          <t>CVE-2026-24452</t>
        </is>
      </c>
      <c r="C979" t="inlineStr">
        <is>
          <t>An OS command injection 
 vulnerability exists in XWEB Pro version 1.12.1 and prior, enabling an 
authenticated attacker to achieve remote code execution on the system by
 supplying a crafted template file to the devices route.</t>
        </is>
      </c>
      <c r="D979" t="n">
        <v>8</v>
      </c>
      <c r="E979" t="inlineStr">
        <is>
          <t>HIGH</t>
        </is>
      </c>
      <c r="F979" t="n">
        <v>2</v>
      </c>
      <c r="G979" t="n">
        <v>3</v>
      </c>
      <c r="H979" t="inlineStr">
        <is>
          <t>HIGH</t>
        </is>
      </c>
      <c r="I979" t="n">
        <v>14</v>
      </c>
      <c r="J979" t="inlineStr">
        <is>
          <t>NO</t>
        </is>
      </c>
      <c r="K979" t="inlineStr">
        <is>
          <t>2026-02-27 20:47</t>
        </is>
      </c>
      <c r="L979" t="inlineStr">
        <is>
          <t>CHECK_VENDOR</t>
        </is>
      </c>
      <c r="M979" t="inlineStr">
        <is>
          <t>See CVE details</t>
        </is>
      </c>
      <c r="N979" t="inlineStr">
        <is>
          <t>P3</t>
        </is>
      </c>
      <c r="O979" t="inlineStr">
        <is>
          <t>CVE - IP enrichment n/a</t>
        </is>
      </c>
      <c r="P979" t="n">
        <v>0.0022</v>
      </c>
      <c r="Q979" t="n">
        <v>0.4456</v>
      </c>
      <c r="R979" t="inlineStr">
        <is>
          <t>T1059:Command and Scripting Interpreter | T1190:Exploit Public-Facing Application | T1210:Exploitation of Remote Services</t>
        </is>
      </c>
      <c r="S979" t="n">
        <v>1</v>
      </c>
      <c r="T979" t="inlineStr">
        <is>
          <t>LOW (40%)</t>
        </is>
      </c>
      <c r="U979" t="inlineStr">
        <is>
          <t>UNLIKELY</t>
        </is>
      </c>
      <c r="V979" t="inlineStr">
        <is>
          <t>CHECK_VENDOR</t>
        </is>
      </c>
      <c r="W979" t="inlineStr">
        <is>
          <t>https://nvd.nist.gov/vuln/detail/CVE-2026-24452</t>
        </is>
      </c>
      <c r="X979" t="inlineStr">
        <is>
          <t>NONE</t>
        </is>
      </c>
      <c r="Y979" t="n">
        <v>0</v>
      </c>
      <c r="Z979" t="inlineStr"/>
      <c r="AA979" t="inlineStr">
        <is>
          <t>https://nvd.nist.gov/vuln/detail/CVE-2026-24452</t>
        </is>
      </c>
    </row>
    <row r="980">
      <c r="A980" t="inlineStr">
        <is>
          <t>CVE</t>
        </is>
      </c>
      <c r="B980" t="inlineStr">
        <is>
          <t>CVE-2026-24497</t>
        </is>
      </c>
      <c r="C980" t="inlineStr">
        <is>
          <t>Stack-based Buffer Overflow vulnerability in SimTech Systems, Inc. ThinkWise allows Remote Code Inclusion.This issue affects ThinkWise: from 7 through 23.</t>
        </is>
      </c>
      <c r="D980" t="n">
        <v>5</v>
      </c>
      <c r="E980" t="inlineStr">
        <is>
          <t>MEDIUM</t>
        </is>
      </c>
      <c r="F980" t="n">
        <v>2</v>
      </c>
      <c r="G980" t="n">
        <v>2</v>
      </c>
      <c r="H980" t="inlineStr">
        <is>
          <t>MEDIUM</t>
        </is>
      </c>
      <c r="I980" t="n">
        <v>9</v>
      </c>
      <c r="J980" t="inlineStr">
        <is>
          <t>NO</t>
        </is>
      </c>
      <c r="K980" t="inlineStr">
        <is>
          <t>2026-02-27 20:47</t>
        </is>
      </c>
      <c r="L980" t="inlineStr">
        <is>
          <t>CHECK_VENDOR</t>
        </is>
      </c>
      <c r="M980" t="inlineStr">
        <is>
          <t>See CVE details</t>
        </is>
      </c>
      <c r="N980" t="inlineStr">
        <is>
          <t>P4</t>
        </is>
      </c>
      <c r="O980" t="inlineStr">
        <is>
          <t>CVE - IP enrichment n/a</t>
        </is>
      </c>
      <c r="P980" t="n">
        <v>0.0001</v>
      </c>
      <c r="Q980" t="n">
        <v>0.0257</v>
      </c>
      <c r="R980" t="inlineStr">
        <is>
          <t>T1190:Exploit Public-Facing Application | T1203:Exploitation for Client Execution</t>
        </is>
      </c>
      <c r="S980" t="n">
        <v>1</v>
      </c>
      <c r="T980" t="inlineStr">
        <is>
          <t>LOW (40%)</t>
        </is>
      </c>
      <c r="U980" t="inlineStr">
        <is>
          <t>UNLIKELY</t>
        </is>
      </c>
      <c r="V980" t="inlineStr">
        <is>
          <t>CHECK_VENDOR</t>
        </is>
      </c>
      <c r="W980" t="inlineStr">
        <is>
          <t>https://nvd.nist.gov/vuln/detail/CVE-2026-24497</t>
        </is>
      </c>
      <c r="X980" t="inlineStr">
        <is>
          <t>NONE</t>
        </is>
      </c>
      <c r="Y980" t="n">
        <v>0</v>
      </c>
      <c r="Z980" t="inlineStr"/>
      <c r="AA980" t="inlineStr">
        <is>
          <t>https://nvd.nist.gov/vuln/detail/CVE-2026-24497</t>
        </is>
      </c>
    </row>
    <row r="981">
      <c r="A981" t="inlineStr">
        <is>
          <t>CVE</t>
        </is>
      </c>
      <c r="B981" t="inlineStr">
        <is>
          <t>CVE-2026-24498</t>
        </is>
      </c>
      <c r="C981"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981" t="n">
        <v>5</v>
      </c>
      <c r="E981" t="inlineStr">
        <is>
          <t>MEDIUM</t>
        </is>
      </c>
      <c r="F981" t="n">
        <v>2</v>
      </c>
      <c r="G981" t="n">
        <v>2</v>
      </c>
      <c r="H981" t="inlineStr">
        <is>
          <t>MEDIUM</t>
        </is>
      </c>
      <c r="I981" t="n">
        <v>9</v>
      </c>
      <c r="J981" t="inlineStr">
        <is>
          <t>NO</t>
        </is>
      </c>
      <c r="K981" t="inlineStr">
        <is>
          <t>2026-02-27 20:47</t>
        </is>
      </c>
      <c r="L981" t="inlineStr">
        <is>
          <t>CHECK_VENDOR</t>
        </is>
      </c>
      <c r="M981" t="inlineStr">
        <is>
          <t>See CVE details</t>
        </is>
      </c>
      <c r="N981" t="inlineStr">
        <is>
          <t>P4</t>
        </is>
      </c>
      <c r="O981" t="inlineStr">
        <is>
          <t>CVE - IP enrichment n/a</t>
        </is>
      </c>
      <c r="P981" t="n">
        <v>0.0003</v>
      </c>
      <c r="Q981" t="n">
        <v>0.0701</v>
      </c>
      <c r="R981" t="inlineStr">
        <is>
          <t>T1213:Data from Information Repositories | T1078:Valid Accounts</t>
        </is>
      </c>
      <c r="S981" t="n">
        <v>1</v>
      </c>
      <c r="T981" t="inlineStr">
        <is>
          <t>LOW (40%)</t>
        </is>
      </c>
      <c r="U981" t="inlineStr">
        <is>
          <t>UNLIKELY</t>
        </is>
      </c>
      <c r="V981" t="inlineStr">
        <is>
          <t>CHECK_VENDOR</t>
        </is>
      </c>
      <c r="W981" t="inlineStr">
        <is>
          <t>https://nvd.nist.gov/vuln/detail/CVE-2026-24498</t>
        </is>
      </c>
      <c r="X981" t="inlineStr">
        <is>
          <t>NONE</t>
        </is>
      </c>
      <c r="Y981" t="n">
        <v>0</v>
      </c>
      <c r="Z981" t="inlineStr"/>
      <c r="AA981" t="inlineStr">
        <is>
          <t>https://nvd.nist.gov/vuln/detail/CVE-2026-24498</t>
        </is>
      </c>
    </row>
    <row r="982">
      <c r="A982" t="inlineStr">
        <is>
          <t>CVE</t>
        </is>
      </c>
      <c r="B982" t="inlineStr">
        <is>
          <t>CVE-2026-25037</t>
        </is>
      </c>
      <c r="C982"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982" t="n">
        <v>8</v>
      </c>
      <c r="E982" t="inlineStr">
        <is>
          <t>HIGH</t>
        </is>
      </c>
      <c r="F982" t="n">
        <v>2</v>
      </c>
      <c r="G982" t="n">
        <v>3</v>
      </c>
      <c r="H982" t="inlineStr">
        <is>
          <t>HIGH</t>
        </is>
      </c>
      <c r="I982" t="n">
        <v>14</v>
      </c>
      <c r="J982" t="inlineStr">
        <is>
          <t>NO</t>
        </is>
      </c>
      <c r="K982" t="inlineStr">
        <is>
          <t>2026-02-27 20:47</t>
        </is>
      </c>
      <c r="L982" t="inlineStr">
        <is>
          <t>CHECK_VENDOR</t>
        </is>
      </c>
      <c r="M982" t="inlineStr">
        <is>
          <t>See CVE details</t>
        </is>
      </c>
      <c r="N982" t="inlineStr">
        <is>
          <t>P3</t>
        </is>
      </c>
      <c r="O982" t="inlineStr">
        <is>
          <t>CVE - IP enrichment n/a</t>
        </is>
      </c>
      <c r="P982" t="n">
        <v>0.0022</v>
      </c>
      <c r="Q982" t="n">
        <v>0.4456</v>
      </c>
      <c r="R982" t="inlineStr">
        <is>
          <t>T1059:Command and Scripting Interpreter | T1190:Exploit Public-Facing Application | T1210:Exploitation of Remote Services</t>
        </is>
      </c>
      <c r="S982" t="n">
        <v>1</v>
      </c>
      <c r="T982" t="inlineStr">
        <is>
          <t>LOW (40%)</t>
        </is>
      </c>
      <c r="U982" t="inlineStr">
        <is>
          <t>UNLIKELY</t>
        </is>
      </c>
      <c r="V982" t="inlineStr">
        <is>
          <t>CHECK_VENDOR</t>
        </is>
      </c>
      <c r="W982" t="inlineStr">
        <is>
          <t>https://nvd.nist.gov/vuln/detail/CVE-2026-25037</t>
        </is>
      </c>
      <c r="X982" t="inlineStr">
        <is>
          <t>NONE</t>
        </is>
      </c>
      <c r="Y982" t="n">
        <v>0</v>
      </c>
      <c r="Z982" t="inlineStr"/>
      <c r="AA982" t="inlineStr">
        <is>
          <t>https://nvd.nist.gov/vuln/detail/CVE-2026-25037</t>
        </is>
      </c>
    </row>
    <row r="983">
      <c r="A983" t="inlineStr">
        <is>
          <t>CVE</t>
        </is>
      </c>
      <c r="B983" t="inlineStr">
        <is>
          <t>CVE-2026-25105</t>
        </is>
      </c>
      <c r="C983" t="inlineStr">
        <is>
          <t>An OS command injection 
vulnerability exists in XWEB Pro version 1.12.1 and prior, enabling an 
authenticated attacker to achieve remote code execution on the system by
 injecting malicious input into parameters of the Modbus command tool in
 the debug route.</t>
        </is>
      </c>
      <c r="D983" t="n">
        <v>8</v>
      </c>
      <c r="E983" t="inlineStr">
        <is>
          <t>HIGH</t>
        </is>
      </c>
      <c r="F983" t="n">
        <v>2</v>
      </c>
      <c r="G983" t="n">
        <v>3</v>
      </c>
      <c r="H983" t="inlineStr">
        <is>
          <t>HIGH</t>
        </is>
      </c>
      <c r="I983" t="n">
        <v>14</v>
      </c>
      <c r="J983" t="inlineStr">
        <is>
          <t>NO</t>
        </is>
      </c>
      <c r="K983" t="inlineStr">
        <is>
          <t>2026-02-27 20:47</t>
        </is>
      </c>
      <c r="L983" t="inlineStr">
        <is>
          <t>CHECK_VENDOR</t>
        </is>
      </c>
      <c r="M983" t="inlineStr">
        <is>
          <t>See CVE details</t>
        </is>
      </c>
      <c r="N983" t="inlineStr">
        <is>
          <t>P3</t>
        </is>
      </c>
      <c r="O983" t="inlineStr">
        <is>
          <t>CVE - IP enrichment n/a</t>
        </is>
      </c>
      <c r="P983" t="n">
        <v>0.0022</v>
      </c>
      <c r="Q983" t="n">
        <v>0.4456</v>
      </c>
      <c r="R983" t="inlineStr">
        <is>
          <t>T1059:Command and Scripting Interpreter | T1190:Exploit Public-Facing Application | T1210:Exploitation of Remote Services</t>
        </is>
      </c>
      <c r="S983" t="n">
        <v>1</v>
      </c>
      <c r="T983" t="inlineStr">
        <is>
          <t>LOW (40%)</t>
        </is>
      </c>
      <c r="U983" t="inlineStr">
        <is>
          <t>UNLIKELY</t>
        </is>
      </c>
      <c r="V983" t="inlineStr">
        <is>
          <t>CHECK_VENDOR</t>
        </is>
      </c>
      <c r="W983" t="inlineStr">
        <is>
          <t>https://nvd.nist.gov/vuln/detail/CVE-2026-25105</t>
        </is>
      </c>
      <c r="X983" t="inlineStr">
        <is>
          <t>NONE</t>
        </is>
      </c>
      <c r="Y983" t="n">
        <v>0</v>
      </c>
      <c r="Z983" t="inlineStr"/>
      <c r="AA983" t="inlineStr">
        <is>
          <t>https://nvd.nist.gov/vuln/detail/CVE-2026-25105</t>
        </is>
      </c>
    </row>
    <row r="984">
      <c r="A984" t="inlineStr">
        <is>
          <t>CVE</t>
        </is>
      </c>
      <c r="B984" t="inlineStr">
        <is>
          <t>CVE-2026-25196</t>
        </is>
      </c>
      <c r="C984"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984" t="n">
        <v>8</v>
      </c>
      <c r="E984" t="inlineStr">
        <is>
          <t>HIGH</t>
        </is>
      </c>
      <c r="F984" t="n">
        <v>2</v>
      </c>
      <c r="G984" t="n">
        <v>3</v>
      </c>
      <c r="H984" t="inlineStr">
        <is>
          <t>HIGH</t>
        </is>
      </c>
      <c r="I984" t="n">
        <v>14</v>
      </c>
      <c r="J984" t="inlineStr">
        <is>
          <t>NO</t>
        </is>
      </c>
      <c r="K984" t="inlineStr">
        <is>
          <t>2026-02-27 20:47</t>
        </is>
      </c>
      <c r="L984" t="inlineStr">
        <is>
          <t>CHECK_VENDOR</t>
        </is>
      </c>
      <c r="M984" t="inlineStr">
        <is>
          <t>See CVE details</t>
        </is>
      </c>
      <c r="N984" t="inlineStr">
        <is>
          <t>P3</t>
        </is>
      </c>
      <c r="O984" t="inlineStr">
        <is>
          <t>CVE - IP enrichment n/a</t>
        </is>
      </c>
      <c r="P984" t="n">
        <v>0.0022</v>
      </c>
      <c r="Q984" t="n">
        <v>0.4456</v>
      </c>
      <c r="R984" t="inlineStr">
        <is>
          <t>T1059:Command and Scripting Interpreter | T1190:Exploit Public-Facing Application | T1210:Exploitation of Remote Services</t>
        </is>
      </c>
      <c r="S984" t="n">
        <v>1</v>
      </c>
      <c r="T984" t="inlineStr">
        <is>
          <t>LOW (40%)</t>
        </is>
      </c>
      <c r="U984" t="inlineStr">
        <is>
          <t>UNLIKELY</t>
        </is>
      </c>
      <c r="V984" t="inlineStr">
        <is>
          <t>CHECK_VENDOR</t>
        </is>
      </c>
      <c r="W984" t="inlineStr">
        <is>
          <t>https://nvd.nist.gov/vuln/detail/CVE-2026-25196</t>
        </is>
      </c>
      <c r="X984" t="inlineStr">
        <is>
          <t>NONE</t>
        </is>
      </c>
      <c r="Y984" t="n">
        <v>0</v>
      </c>
      <c r="Z984" t="inlineStr"/>
      <c r="AA984" t="inlineStr">
        <is>
          <t>https://nvd.nist.gov/vuln/detail/CVE-2026-25196</t>
        </is>
      </c>
    </row>
    <row r="985">
      <c r="A985" t="inlineStr">
        <is>
          <t>CVE</t>
        </is>
      </c>
      <c r="B985" t="inlineStr">
        <is>
          <t>CVE-2026-25721</t>
        </is>
      </c>
      <c r="C985"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985" t="n">
        <v>8</v>
      </c>
      <c r="E985" t="inlineStr">
        <is>
          <t>HIGH</t>
        </is>
      </c>
      <c r="F985" t="n">
        <v>2</v>
      </c>
      <c r="G985" t="n">
        <v>3</v>
      </c>
      <c r="H985" t="inlineStr">
        <is>
          <t>HIGH</t>
        </is>
      </c>
      <c r="I985" t="n">
        <v>14</v>
      </c>
      <c r="J985" t="inlineStr">
        <is>
          <t>NO</t>
        </is>
      </c>
      <c r="K985" t="inlineStr">
        <is>
          <t>2026-02-27 20:47</t>
        </is>
      </c>
      <c r="L985" t="inlineStr">
        <is>
          <t>CHECK_VENDOR</t>
        </is>
      </c>
      <c r="M985" t="inlineStr">
        <is>
          <t>See CVE details</t>
        </is>
      </c>
      <c r="N985" t="inlineStr">
        <is>
          <t>P3</t>
        </is>
      </c>
      <c r="O985" t="inlineStr">
        <is>
          <t>CVE - IP enrichment n/a</t>
        </is>
      </c>
      <c r="P985" t="n">
        <v>0.0022</v>
      </c>
      <c r="Q985" t="n">
        <v>0.4456</v>
      </c>
      <c r="R985" t="inlineStr">
        <is>
          <t>T1059:Command and Scripting Interpreter | T1190:Exploit Public-Facing Application | T1210:Exploitation of Remote Services</t>
        </is>
      </c>
      <c r="S985" t="n">
        <v>1</v>
      </c>
      <c r="T985" t="inlineStr">
        <is>
          <t>LOW (40%)</t>
        </is>
      </c>
      <c r="U985" t="inlineStr">
        <is>
          <t>UNLIKELY</t>
        </is>
      </c>
      <c r="V985" t="inlineStr">
        <is>
          <t>CHECK_VENDOR</t>
        </is>
      </c>
      <c r="W985" t="inlineStr">
        <is>
          <t>https://nvd.nist.gov/vuln/detail/CVE-2026-25721</t>
        </is>
      </c>
      <c r="X985" t="inlineStr">
        <is>
          <t>NONE</t>
        </is>
      </c>
      <c r="Y985" t="n">
        <v>0</v>
      </c>
      <c r="Z985" t="inlineStr"/>
      <c r="AA985" t="inlineStr">
        <is>
          <t>https://nvd.nist.gov/vuln/detail/CVE-2026-25721</t>
        </is>
      </c>
    </row>
    <row r="986">
      <c r="A986" t="inlineStr">
        <is>
          <t>CVE</t>
        </is>
      </c>
      <c r="B986" t="inlineStr">
        <is>
          <t>CVE-2026-3037</t>
        </is>
      </c>
      <c r="C986"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986" t="n">
        <v>8</v>
      </c>
      <c r="E986" t="inlineStr">
        <is>
          <t>HIGH</t>
        </is>
      </c>
      <c r="F986" t="n">
        <v>2</v>
      </c>
      <c r="G986" t="n">
        <v>3</v>
      </c>
      <c r="H986" t="inlineStr">
        <is>
          <t>HIGH</t>
        </is>
      </c>
      <c r="I986" t="n">
        <v>14</v>
      </c>
      <c r="J986" t="inlineStr">
        <is>
          <t>NO</t>
        </is>
      </c>
      <c r="K986" t="inlineStr">
        <is>
          <t>2026-02-27 20:47</t>
        </is>
      </c>
      <c r="L986" t="inlineStr">
        <is>
          <t>CHECK_VENDOR</t>
        </is>
      </c>
      <c r="M986" t="inlineStr">
        <is>
          <t>See CVE details</t>
        </is>
      </c>
      <c r="N986" t="inlineStr">
        <is>
          <t>P3</t>
        </is>
      </c>
      <c r="O986" t="inlineStr">
        <is>
          <t>CVE - IP enrichment n/a</t>
        </is>
      </c>
      <c r="P986" t="n">
        <v>0.0022</v>
      </c>
      <c r="Q986" t="n">
        <v>0.4456</v>
      </c>
      <c r="R986" t="inlineStr">
        <is>
          <t>T1059:Command and Scripting Interpreter | T1190:Exploit Public-Facing Application | T1210:Exploitation of Remote Services</t>
        </is>
      </c>
      <c r="S986" t="n">
        <v>1</v>
      </c>
      <c r="T986" t="inlineStr">
        <is>
          <t>LOW (40%)</t>
        </is>
      </c>
      <c r="U986" t="inlineStr">
        <is>
          <t>UNLIKELY</t>
        </is>
      </c>
      <c r="V986" t="inlineStr">
        <is>
          <t>CHECK_VENDOR</t>
        </is>
      </c>
      <c r="W986" t="inlineStr">
        <is>
          <t>https://nvd.nist.gov/vuln/detail/CVE-2026-3037</t>
        </is>
      </c>
      <c r="X986" t="inlineStr">
        <is>
          <t>NONE</t>
        </is>
      </c>
      <c r="Y986" t="n">
        <v>0</v>
      </c>
      <c r="Z986" t="inlineStr"/>
      <c r="AA986" t="inlineStr">
        <is>
          <t>https://nvd.nist.gov/vuln/detail/CVE-2026-3037</t>
        </is>
      </c>
    </row>
    <row r="987">
      <c r="A987" t="inlineStr">
        <is>
          <t>CVE</t>
        </is>
      </c>
      <c r="B987" t="inlineStr">
        <is>
          <t>CVE-2026-3274</t>
        </is>
      </c>
      <c r="C987"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987" t="n">
        <v>8.800000000000001</v>
      </c>
      <c r="E987" t="inlineStr">
        <is>
          <t>HIGH</t>
        </is>
      </c>
      <c r="F987" t="n">
        <v>2</v>
      </c>
      <c r="G987" t="n">
        <v>3</v>
      </c>
      <c r="H987" t="inlineStr">
        <is>
          <t>HIGH</t>
        </is>
      </c>
      <c r="I987" t="n">
        <v>14.8</v>
      </c>
      <c r="J987" t="inlineStr">
        <is>
          <t>NO</t>
        </is>
      </c>
      <c r="K987" t="inlineStr">
        <is>
          <t>2026-02-27 20:47</t>
        </is>
      </c>
      <c r="L987" t="inlineStr">
        <is>
          <t>CHECK_VENDOR</t>
        </is>
      </c>
      <c r="M987" t="inlineStr">
        <is>
          <t>tenda f453 - | tenda f453_firmware 1.0.0.3</t>
        </is>
      </c>
      <c r="N987" t="inlineStr">
        <is>
          <t>P3</t>
        </is>
      </c>
      <c r="O987" t="inlineStr">
        <is>
          <t>CVE - IP enrichment n/a</t>
        </is>
      </c>
      <c r="P987" t="n">
        <v>0.0005</v>
      </c>
      <c r="Q987" t="n">
        <v>0.1424</v>
      </c>
      <c r="R987" t="inlineStr">
        <is>
          <t>T1203:Exploitation for Client Execution</t>
        </is>
      </c>
      <c r="S987" t="n">
        <v>1</v>
      </c>
      <c r="T987" t="inlineStr">
        <is>
          <t>LOW (40%)</t>
        </is>
      </c>
      <c r="U987" t="inlineStr">
        <is>
          <t>UNLIKELY</t>
        </is>
      </c>
      <c r="V987" t="inlineStr">
        <is>
          <t>CHECK_VENDOR</t>
        </is>
      </c>
      <c r="W987" t="inlineStr">
        <is>
          <t>https://nvd.nist.gov/vuln/detail/CVE-2026-3274</t>
        </is>
      </c>
      <c r="X987" t="inlineStr">
        <is>
          <t>NONE</t>
        </is>
      </c>
      <c r="Y987" t="n">
        <v>0</v>
      </c>
      <c r="Z987" t="inlineStr"/>
      <c r="AA987" t="inlineStr">
        <is>
          <t>https://nvd.nist.gov/vuln/detail/CVE-2026-3274</t>
        </is>
      </c>
    </row>
    <row r="988">
      <c r="A988" t="inlineStr">
        <is>
          <t>CVE</t>
        </is>
      </c>
      <c r="B988" t="inlineStr">
        <is>
          <t>CVE-2026-3275</t>
        </is>
      </c>
      <c r="C988"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988" t="n">
        <v>8.800000000000001</v>
      </c>
      <c r="E988" t="inlineStr">
        <is>
          <t>HIGH</t>
        </is>
      </c>
      <c r="F988" t="n">
        <v>2</v>
      </c>
      <c r="G988" t="n">
        <v>3</v>
      </c>
      <c r="H988" t="inlineStr">
        <is>
          <t>HIGH</t>
        </is>
      </c>
      <c r="I988" t="n">
        <v>14.8</v>
      </c>
      <c r="J988" t="inlineStr">
        <is>
          <t>NO</t>
        </is>
      </c>
      <c r="K988" t="inlineStr">
        <is>
          <t>2026-02-27 20:47</t>
        </is>
      </c>
      <c r="L988" t="inlineStr">
        <is>
          <t>CHECK_VENDOR</t>
        </is>
      </c>
      <c r="M988" t="inlineStr">
        <is>
          <t>tenda f453 - | tenda f453_firmware 1.0.0.3</t>
        </is>
      </c>
      <c r="N988" t="inlineStr">
        <is>
          <t>P3</t>
        </is>
      </c>
      <c r="O988" t="inlineStr">
        <is>
          <t>CVE - IP enrichment n/a</t>
        </is>
      </c>
      <c r="P988" t="n">
        <v>0.0005</v>
      </c>
      <c r="Q988" t="n">
        <v>0.1424</v>
      </c>
      <c r="R988" t="inlineStr">
        <is>
          <t>T1203:Exploitation for Client Execution</t>
        </is>
      </c>
      <c r="S988" t="n">
        <v>1</v>
      </c>
      <c r="T988" t="inlineStr">
        <is>
          <t>LOW (40%)</t>
        </is>
      </c>
      <c r="U988" t="inlineStr">
        <is>
          <t>UNLIKELY</t>
        </is>
      </c>
      <c r="V988" t="inlineStr">
        <is>
          <t>CHECK_VENDOR</t>
        </is>
      </c>
      <c r="W988" t="inlineStr">
        <is>
          <t>https://nvd.nist.gov/vuln/detail/CVE-2026-3275</t>
        </is>
      </c>
      <c r="X988" t="inlineStr">
        <is>
          <t>NONE</t>
        </is>
      </c>
      <c r="Y988" t="n">
        <v>0</v>
      </c>
      <c r="Z988" t="inlineStr"/>
      <c r="AA988" t="inlineStr">
        <is>
          <t>https://nvd.nist.gov/vuln/detail/CVE-2026-3275</t>
        </is>
      </c>
    </row>
    <row r="989">
      <c r="A989" t="inlineStr">
        <is>
          <t>CVE</t>
        </is>
      </c>
      <c r="B989" t="inlineStr">
        <is>
          <t>CVE-2026-3281</t>
        </is>
      </c>
      <c r="C989"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989" t="n">
        <v>5.3</v>
      </c>
      <c r="E989" t="inlineStr">
        <is>
          <t>MEDIUM</t>
        </is>
      </c>
      <c r="F989" t="n">
        <v>2</v>
      </c>
      <c r="G989" t="n">
        <v>2</v>
      </c>
      <c r="H989" t="inlineStr">
        <is>
          <t>MEDIUM</t>
        </is>
      </c>
      <c r="I989" t="n">
        <v>9.300000000000001</v>
      </c>
      <c r="J989" t="inlineStr">
        <is>
          <t>NO</t>
        </is>
      </c>
      <c r="K989" t="inlineStr">
        <is>
          <t>2026-02-27 20:47</t>
        </is>
      </c>
      <c r="L989" t="inlineStr">
        <is>
          <t>CHECK_VENDOR</t>
        </is>
      </c>
      <c r="M989" t="inlineStr">
        <is>
          <t>See CVE details</t>
        </is>
      </c>
      <c r="N989" t="inlineStr">
        <is>
          <t>P4</t>
        </is>
      </c>
      <c r="O989" t="inlineStr">
        <is>
          <t>CVE - IP enrichment n/a</t>
        </is>
      </c>
      <c r="P989" t="n">
        <v>0.0001</v>
      </c>
      <c r="Q989" t="n">
        <v>0.0196</v>
      </c>
      <c r="R989" t="inlineStr">
        <is>
          <t>T1203:Exploitation for Client Execution</t>
        </is>
      </c>
      <c r="S989" t="n">
        <v>1</v>
      </c>
      <c r="T989" t="inlineStr">
        <is>
          <t>LOW (40%)</t>
        </is>
      </c>
      <c r="U989" t="inlineStr">
        <is>
          <t>UNLIKELY</t>
        </is>
      </c>
      <c r="V989" t="inlineStr">
        <is>
          <t>CHECK_VENDOR</t>
        </is>
      </c>
      <c r="W989" t="inlineStr">
        <is>
          <t>https://nvd.nist.gov/vuln/detail/CVE-2026-3281</t>
        </is>
      </c>
      <c r="X989" t="inlineStr">
        <is>
          <t>NONE</t>
        </is>
      </c>
      <c r="Y989" t="n">
        <v>0</v>
      </c>
      <c r="Z989" t="inlineStr"/>
      <c r="AA989" t="inlineStr">
        <is>
          <t>https://nvd.nist.gov/vuln/detail/CVE-2026-3281</t>
        </is>
      </c>
    </row>
    <row r="990">
      <c r="A990" t="inlineStr">
        <is>
          <t>CVE</t>
        </is>
      </c>
      <c r="B990" t="inlineStr">
        <is>
          <t>CVE-2026-3282</t>
        </is>
      </c>
      <c r="C990"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990" t="n">
        <v>3.3</v>
      </c>
      <c r="E990" t="inlineStr">
        <is>
          <t>LOW</t>
        </is>
      </c>
      <c r="F990" t="n">
        <v>2</v>
      </c>
      <c r="G990" t="n">
        <v>1</v>
      </c>
      <c r="H990" t="inlineStr">
        <is>
          <t>LOW</t>
        </is>
      </c>
      <c r="I990" t="n">
        <v>5.3</v>
      </c>
      <c r="J990" t="inlineStr">
        <is>
          <t>NO</t>
        </is>
      </c>
      <c r="K990" t="inlineStr">
        <is>
          <t>2026-02-27 20:47</t>
        </is>
      </c>
      <c r="L990" t="inlineStr">
        <is>
          <t>CHECK_VENDOR</t>
        </is>
      </c>
      <c r="M990" t="inlineStr">
        <is>
          <t>See CVE details</t>
        </is>
      </c>
      <c r="N990" t="inlineStr">
        <is>
          <t>P4</t>
        </is>
      </c>
      <c r="O990" t="inlineStr">
        <is>
          <t>CVE - IP enrichment n/a</t>
        </is>
      </c>
      <c r="P990" t="n">
        <v>0.0001</v>
      </c>
      <c r="Q990" t="n">
        <v>0.0166</v>
      </c>
      <c r="R990" t="inlineStr">
        <is>
          <t>T1203:Exploitation for Client Execution</t>
        </is>
      </c>
      <c r="S990" t="n">
        <v>1</v>
      </c>
      <c r="T990" t="inlineStr">
        <is>
          <t>LOW (40%)</t>
        </is>
      </c>
      <c r="U990" t="inlineStr">
        <is>
          <t>UNLIKELY</t>
        </is>
      </c>
      <c r="V990" t="inlineStr">
        <is>
          <t>CHECK_VENDOR</t>
        </is>
      </c>
      <c r="W990" t="inlineStr">
        <is>
          <t>https://nvd.nist.gov/vuln/detail/CVE-2026-3282</t>
        </is>
      </c>
      <c r="X990" t="inlineStr">
        <is>
          <t>NONE</t>
        </is>
      </c>
      <c r="Y990" t="n">
        <v>0</v>
      </c>
      <c r="Z990" t="inlineStr"/>
      <c r="AA990" t="inlineStr">
        <is>
          <t>https://nvd.nist.gov/vuln/detail/CVE-2026-3282</t>
        </is>
      </c>
    </row>
    <row r="991">
      <c r="A991" t="inlineStr">
        <is>
          <t>CVE</t>
        </is>
      </c>
      <c r="B991" t="inlineStr">
        <is>
          <t>CVE-2026-3283</t>
        </is>
      </c>
      <c r="C991"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991" t="n">
        <v>3.3</v>
      </c>
      <c r="E991" t="inlineStr">
        <is>
          <t>LOW</t>
        </is>
      </c>
      <c r="F991" t="n">
        <v>2</v>
      </c>
      <c r="G991" t="n">
        <v>1</v>
      </c>
      <c r="H991" t="inlineStr">
        <is>
          <t>LOW</t>
        </is>
      </c>
      <c r="I991" t="n">
        <v>5.3</v>
      </c>
      <c r="J991" t="inlineStr">
        <is>
          <t>NO</t>
        </is>
      </c>
      <c r="K991" t="inlineStr">
        <is>
          <t>2026-02-27 20:47</t>
        </is>
      </c>
      <c r="L991" t="inlineStr">
        <is>
          <t>CHECK_VENDOR</t>
        </is>
      </c>
      <c r="M991" t="inlineStr">
        <is>
          <t>See CVE details</t>
        </is>
      </c>
      <c r="N991" t="inlineStr">
        <is>
          <t>P4</t>
        </is>
      </c>
      <c r="O991" t="inlineStr">
        <is>
          <t>CVE - IP enrichment n/a</t>
        </is>
      </c>
      <c r="P991" t="n">
        <v>0.0001</v>
      </c>
      <c r="Q991" t="n">
        <v>0.0166</v>
      </c>
      <c r="R991" t="inlineStr">
        <is>
          <t>T1203:Exploitation for Client Execution</t>
        </is>
      </c>
      <c r="S991" t="n">
        <v>1</v>
      </c>
      <c r="T991" t="inlineStr">
        <is>
          <t>LOW (40%)</t>
        </is>
      </c>
      <c r="U991" t="inlineStr">
        <is>
          <t>UNLIKELY</t>
        </is>
      </c>
      <c r="V991" t="inlineStr">
        <is>
          <t>CHECK_VENDOR</t>
        </is>
      </c>
      <c r="W991" t="inlineStr">
        <is>
          <t>https://nvd.nist.gov/vuln/detail/CVE-2026-3283</t>
        </is>
      </c>
      <c r="X991" t="inlineStr">
        <is>
          <t>NONE</t>
        </is>
      </c>
      <c r="Y991" t="n">
        <v>0</v>
      </c>
      <c r="Z991" t="inlineStr"/>
      <c r="AA991" t="inlineStr">
        <is>
          <t>https://nvd.nist.gov/vuln/detail/CVE-2026-3283</t>
        </is>
      </c>
    </row>
    <row r="992">
      <c r="A992" t="inlineStr">
        <is>
          <t>CVE</t>
        </is>
      </c>
      <c r="B992" t="inlineStr">
        <is>
          <t>CVE-2026-3284</t>
        </is>
      </c>
      <c r="C992"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992" t="n">
        <v>3.3</v>
      </c>
      <c r="E992" t="inlineStr">
        <is>
          <t>LOW</t>
        </is>
      </c>
      <c r="F992" t="n">
        <v>2</v>
      </c>
      <c r="G992" t="n">
        <v>1</v>
      </c>
      <c r="H992" t="inlineStr">
        <is>
          <t>LOW</t>
        </is>
      </c>
      <c r="I992" t="n">
        <v>5.3</v>
      </c>
      <c r="J992" t="inlineStr">
        <is>
          <t>NO</t>
        </is>
      </c>
      <c r="K992" t="inlineStr">
        <is>
          <t>2026-02-27 20:47</t>
        </is>
      </c>
      <c r="L992" t="inlineStr">
        <is>
          <t>CHECK_VENDOR</t>
        </is>
      </c>
      <c r="M992" t="inlineStr">
        <is>
          <t>See CVE details</t>
        </is>
      </c>
      <c r="N992" t="inlineStr">
        <is>
          <t>P4</t>
        </is>
      </c>
      <c r="O992" t="inlineStr">
        <is>
          <t>CVE - IP enrichment n/a</t>
        </is>
      </c>
      <c r="P992" t="n">
        <v>0.0001</v>
      </c>
      <c r="Q992" t="n">
        <v>0.0197</v>
      </c>
      <c r="R992" t="inlineStr">
        <is>
          <t>T1203:Exploitation for Client Execution</t>
        </is>
      </c>
      <c r="S992" t="n">
        <v>1</v>
      </c>
      <c r="T992" t="inlineStr">
        <is>
          <t>LOW (40%)</t>
        </is>
      </c>
      <c r="U992" t="inlineStr">
        <is>
          <t>UNLIKELY</t>
        </is>
      </c>
      <c r="V992" t="inlineStr">
        <is>
          <t>CHECK_VENDOR</t>
        </is>
      </c>
      <c r="W992" t="inlineStr">
        <is>
          <t>https://nvd.nist.gov/vuln/detail/CVE-2026-3284</t>
        </is>
      </c>
      <c r="X992" t="inlineStr">
        <is>
          <t>NONE</t>
        </is>
      </c>
      <c r="Y992" t="n">
        <v>0</v>
      </c>
      <c r="Z992" t="inlineStr"/>
      <c r="AA992" t="inlineStr">
        <is>
          <t>https://nvd.nist.gov/vuln/detail/CVE-2026-3284</t>
        </is>
      </c>
    </row>
    <row r="993">
      <c r="A993" t="inlineStr">
        <is>
          <t>CVE</t>
        </is>
      </c>
      <c r="B993" t="inlineStr">
        <is>
          <t>CVE-2026-3285</t>
        </is>
      </c>
      <c r="C993"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993" t="n">
        <v>3.3</v>
      </c>
      <c r="E993" t="inlineStr">
        <is>
          <t>LOW</t>
        </is>
      </c>
      <c r="F993" t="n">
        <v>2</v>
      </c>
      <c r="G993" t="n">
        <v>1</v>
      </c>
      <c r="H993" t="inlineStr">
        <is>
          <t>LOW</t>
        </is>
      </c>
      <c r="I993" t="n">
        <v>5.3</v>
      </c>
      <c r="J993" t="inlineStr">
        <is>
          <t>NO</t>
        </is>
      </c>
      <c r="K993" t="inlineStr">
        <is>
          <t>2026-02-27 20:47</t>
        </is>
      </c>
      <c r="L993" t="inlineStr">
        <is>
          <t>CHECK_VENDOR</t>
        </is>
      </c>
      <c r="M993" t="inlineStr">
        <is>
          <t>See CVE details</t>
        </is>
      </c>
      <c r="N993" t="inlineStr">
        <is>
          <t>P4</t>
        </is>
      </c>
      <c r="O993" t="inlineStr">
        <is>
          <t>CVE - IP enrichment n/a</t>
        </is>
      </c>
      <c r="P993" t="n">
        <v>0.0001</v>
      </c>
      <c r="Q993" t="n">
        <v>0.0166</v>
      </c>
      <c r="R993" t="inlineStr">
        <is>
          <t>T1203:Exploitation for Client Execution</t>
        </is>
      </c>
      <c r="S993" t="n">
        <v>1</v>
      </c>
      <c r="T993" t="inlineStr">
        <is>
          <t>LOW (40%)</t>
        </is>
      </c>
      <c r="U993" t="inlineStr">
        <is>
          <t>UNLIKELY</t>
        </is>
      </c>
      <c r="V993" t="inlineStr">
        <is>
          <t>CHECK_VENDOR</t>
        </is>
      </c>
      <c r="W993" t="inlineStr">
        <is>
          <t>https://nvd.nist.gov/vuln/detail/CVE-2026-3285</t>
        </is>
      </c>
      <c r="X993" t="inlineStr">
        <is>
          <t>NONE</t>
        </is>
      </c>
      <c r="Y993" t="n">
        <v>0</v>
      </c>
      <c r="Z993" t="inlineStr"/>
      <c r="AA993" t="inlineStr">
        <is>
          <t>https://nvd.nist.gov/vuln/detail/CVE-2026-3285</t>
        </is>
      </c>
    </row>
    <row r="994">
      <c r="A994" t="inlineStr">
        <is>
          <t>CVE</t>
        </is>
      </c>
      <c r="B994" t="inlineStr">
        <is>
          <t>CVE-2026-28363</t>
        </is>
      </c>
      <c r="C994"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994" t="n">
        <v>9.9</v>
      </c>
      <c r="E994" t="inlineStr">
        <is>
          <t>CRITICAL</t>
        </is>
      </c>
      <c r="F994" t="n">
        <v>2</v>
      </c>
      <c r="G994" t="n">
        <v>3</v>
      </c>
      <c r="H994" t="inlineStr">
        <is>
          <t>HIGH</t>
        </is>
      </c>
      <c r="I994" t="n">
        <v>15.9</v>
      </c>
      <c r="J994" t="inlineStr">
        <is>
          <t>NO</t>
        </is>
      </c>
      <c r="K994" t="inlineStr">
        <is>
          <t>2026-02-27 20:47</t>
        </is>
      </c>
      <c r="L994" t="inlineStr">
        <is>
          <t>CHECK_VENDOR</t>
        </is>
      </c>
      <c r="M994" t="inlineStr">
        <is>
          <t>See CVE details</t>
        </is>
      </c>
      <c r="N994" t="inlineStr">
        <is>
          <t>P3</t>
        </is>
      </c>
      <c r="O994" t="inlineStr">
        <is>
          <t>CVE - IP enrichment n/a</t>
        </is>
      </c>
      <c r="P994" t="n">
        <v>0.0008</v>
      </c>
      <c r="Q994" t="n">
        <v>0.2442</v>
      </c>
      <c r="R994" t="inlineStr">
        <is>
          <t>T1190:Exploit Public-Facing Application</t>
        </is>
      </c>
      <c r="S994" t="n">
        <v>1</v>
      </c>
      <c r="T994" t="inlineStr">
        <is>
          <t>LOW (40%)</t>
        </is>
      </c>
      <c r="U994" t="inlineStr">
        <is>
          <t>UNLIKELY</t>
        </is>
      </c>
      <c r="V994" t="inlineStr">
        <is>
          <t>CHECK_VENDOR</t>
        </is>
      </c>
      <c r="W994" t="inlineStr">
        <is>
          <t>https://nvd.nist.gov/vuln/detail/CVE-2026-28363</t>
        </is>
      </c>
      <c r="X994" t="inlineStr">
        <is>
          <t>NONE</t>
        </is>
      </c>
      <c r="Y994" t="n">
        <v>0</v>
      </c>
      <c r="Z994" t="inlineStr"/>
      <c r="AA994" t="inlineStr">
        <is>
          <t>https://nvd.nist.gov/vuln/detail/CVE-2026-28363</t>
        </is>
      </c>
    </row>
    <row r="995">
      <c r="A995" t="inlineStr">
        <is>
          <t>CVE</t>
        </is>
      </c>
      <c r="B995" t="inlineStr">
        <is>
          <t>CVE-2026-28364</t>
        </is>
      </c>
      <c r="C995"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995" t="n">
        <v>7.9</v>
      </c>
      <c r="E995" t="inlineStr">
        <is>
          <t>HIGH</t>
        </is>
      </c>
      <c r="F995" t="n">
        <v>2</v>
      </c>
      <c r="G995" t="n">
        <v>3</v>
      </c>
      <c r="H995" t="inlineStr">
        <is>
          <t>HIGH</t>
        </is>
      </c>
      <c r="I995" t="n">
        <v>13.9</v>
      </c>
      <c r="J995" t="inlineStr">
        <is>
          <t>NO</t>
        </is>
      </c>
      <c r="K995" t="inlineStr">
        <is>
          <t>2026-02-27 20:47</t>
        </is>
      </c>
      <c r="L995" t="inlineStr">
        <is>
          <t>CHECK_VENDOR</t>
        </is>
      </c>
      <c r="M995" t="inlineStr">
        <is>
          <t>See CVE details</t>
        </is>
      </c>
      <c r="N995" t="inlineStr">
        <is>
          <t>P3</t>
        </is>
      </c>
      <c r="O995" t="inlineStr">
        <is>
          <t>CVE - IP enrichment n/a</t>
        </is>
      </c>
      <c r="P995" t="n">
        <v>0.0004</v>
      </c>
      <c r="Q995" t="n">
        <v>0.1136</v>
      </c>
      <c r="R995" t="inlineStr">
        <is>
          <t>T1190:Exploit Public-Facing Application | T1210:Exploitation of Remote Services | T1059:Command and Scripting Interpreter</t>
        </is>
      </c>
      <c r="S995" t="n">
        <v>1</v>
      </c>
      <c r="T995" t="inlineStr">
        <is>
          <t>LOW (40%)</t>
        </is>
      </c>
      <c r="U995" t="inlineStr">
        <is>
          <t>UNLIKELY</t>
        </is>
      </c>
      <c r="V995" t="inlineStr">
        <is>
          <t>CHECK_VENDOR</t>
        </is>
      </c>
      <c r="W995" t="inlineStr">
        <is>
          <t>https://nvd.nist.gov/vuln/detail/CVE-2026-28364</t>
        </is>
      </c>
      <c r="X995" t="inlineStr">
        <is>
          <t>NONE</t>
        </is>
      </c>
      <c r="Y995" t="n">
        <v>0</v>
      </c>
      <c r="Z995" t="inlineStr"/>
      <c r="AA995" t="inlineStr">
        <is>
          <t>https://nvd.nist.gov/vuln/detail/CVE-2026-28364</t>
        </is>
      </c>
    </row>
    <row r="996">
      <c r="A996" t="inlineStr">
        <is>
          <t>CVE</t>
        </is>
      </c>
      <c r="B996" t="inlineStr">
        <is>
          <t>CVE-2026-2428</t>
        </is>
      </c>
      <c r="C996"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996" t="n">
        <v>7.5</v>
      </c>
      <c r="E996" t="inlineStr">
        <is>
          <t>HIGH</t>
        </is>
      </c>
      <c r="F996" t="n">
        <v>2</v>
      </c>
      <c r="G996" t="n">
        <v>3</v>
      </c>
      <c r="H996" t="inlineStr">
        <is>
          <t>HIGH</t>
        </is>
      </c>
      <c r="I996" t="n">
        <v>13.5</v>
      </c>
      <c r="J996" t="inlineStr">
        <is>
          <t>NO</t>
        </is>
      </c>
      <c r="K996" t="inlineStr">
        <is>
          <t>2026-02-27 20:47</t>
        </is>
      </c>
      <c r="L996" t="inlineStr">
        <is>
          <t>CHECK_VENDOR</t>
        </is>
      </c>
      <c r="M996" t="inlineStr">
        <is>
          <t>See CVE details</t>
        </is>
      </c>
      <c r="N996" t="inlineStr">
        <is>
          <t>P3</t>
        </is>
      </c>
      <c r="O996" t="inlineStr">
        <is>
          <t>CVE - IP enrichment n/a</t>
        </is>
      </c>
      <c r="P996" t="n">
        <v>0.0002</v>
      </c>
      <c r="Q996" t="n">
        <v>0.0405</v>
      </c>
      <c r="R996" t="inlineStr">
        <is>
          <t>T1190:Exploit Public-Facing Application</t>
        </is>
      </c>
      <c r="S996" t="n">
        <v>1</v>
      </c>
      <c r="T996" t="inlineStr">
        <is>
          <t>LOW (40%)</t>
        </is>
      </c>
      <c r="U996" t="inlineStr">
        <is>
          <t>UNLIKELY</t>
        </is>
      </c>
      <c r="V996" t="inlineStr">
        <is>
          <t>CHECK_VENDOR</t>
        </is>
      </c>
      <c r="W996" t="inlineStr">
        <is>
          <t>https://nvd.nist.gov/vuln/detail/CVE-2026-2428</t>
        </is>
      </c>
      <c r="X996" t="inlineStr">
        <is>
          <t>NONE</t>
        </is>
      </c>
      <c r="Y996" t="n">
        <v>0</v>
      </c>
      <c r="Z996" t="inlineStr"/>
      <c r="AA996" t="inlineStr">
        <is>
          <t>https://nvd.nist.gov/vuln/detail/CVE-2026-2428</t>
        </is>
      </c>
    </row>
    <row r="997">
      <c r="A997" t="inlineStr">
        <is>
          <t>CVE</t>
        </is>
      </c>
      <c r="B997" t="inlineStr">
        <is>
          <t>CVE-2026-3286</t>
        </is>
      </c>
      <c r="C997"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997" t="n">
        <v>6.3</v>
      </c>
      <c r="E997" t="inlineStr">
        <is>
          <t>MEDIUM</t>
        </is>
      </c>
      <c r="F997" t="n">
        <v>2</v>
      </c>
      <c r="G997" t="n">
        <v>2</v>
      </c>
      <c r="H997" t="inlineStr">
        <is>
          <t>MEDIUM</t>
        </is>
      </c>
      <c r="I997" t="n">
        <v>10.3</v>
      </c>
      <c r="J997" t="inlineStr">
        <is>
          <t>NO</t>
        </is>
      </c>
      <c r="K997" t="inlineStr">
        <is>
          <t>2026-02-27 20:47</t>
        </is>
      </c>
      <c r="L997" t="inlineStr">
        <is>
          <t>CHECK_VENDOR</t>
        </is>
      </c>
      <c r="M997" t="inlineStr">
        <is>
          <t>See CVE details</t>
        </is>
      </c>
      <c r="N997" t="inlineStr">
        <is>
          <t>P4</t>
        </is>
      </c>
      <c r="O997" t="inlineStr">
        <is>
          <t>CVE - IP enrichment n/a</t>
        </is>
      </c>
      <c r="P997" t="n">
        <v>0.0003</v>
      </c>
      <c r="Q997" t="n">
        <v>0.0959</v>
      </c>
      <c r="R997" t="inlineStr">
        <is>
          <t>T1090:Proxy</t>
        </is>
      </c>
      <c r="S997" t="n">
        <v>1</v>
      </c>
      <c r="T997" t="inlineStr">
        <is>
          <t>LOW (40%)</t>
        </is>
      </c>
      <c r="U997" t="inlineStr">
        <is>
          <t>UNLIKELY</t>
        </is>
      </c>
      <c r="V997" t="inlineStr">
        <is>
          <t>CHECK_VENDOR</t>
        </is>
      </c>
      <c r="W997" t="inlineStr">
        <is>
          <t>https://nvd.nist.gov/vuln/detail/CVE-2026-3286</t>
        </is>
      </c>
      <c r="X997" t="inlineStr">
        <is>
          <t>NONE</t>
        </is>
      </c>
      <c r="Y997" t="n">
        <v>0</v>
      </c>
      <c r="Z997" t="inlineStr"/>
      <c r="AA997" t="inlineStr">
        <is>
          <t>https://nvd.nist.gov/vuln/detail/CVE-2026-3286</t>
        </is>
      </c>
    </row>
    <row r="998">
      <c r="A998" t="inlineStr">
        <is>
          <t>CVE</t>
        </is>
      </c>
      <c r="B998" t="inlineStr">
        <is>
          <t>CVE-2026-1442</t>
        </is>
      </c>
      <c r="C998"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998" t="n">
        <v>7.8</v>
      </c>
      <c r="E998" t="inlineStr">
        <is>
          <t>HIGH</t>
        </is>
      </c>
      <c r="F998" t="n">
        <v>2</v>
      </c>
      <c r="G998" t="n">
        <v>3</v>
      </c>
      <c r="H998" t="inlineStr">
        <is>
          <t>HIGH</t>
        </is>
      </c>
      <c r="I998" t="n">
        <v>13.8</v>
      </c>
      <c r="J998" t="inlineStr">
        <is>
          <t>NO</t>
        </is>
      </c>
      <c r="K998" t="inlineStr">
        <is>
          <t>2026-02-27 20:47</t>
        </is>
      </c>
      <c r="L998" t="inlineStr">
        <is>
          <t>CHECK_VENDOR</t>
        </is>
      </c>
      <c r="M998" t="inlineStr">
        <is>
          <t>See CVE details</t>
        </is>
      </c>
      <c r="N998" t="inlineStr">
        <is>
          <t>P3</t>
        </is>
      </c>
      <c r="O998" t="inlineStr">
        <is>
          <t>CVE - IP enrichment n/a</t>
        </is>
      </c>
      <c r="P998" t="n">
        <v>0.0001</v>
      </c>
      <c r="Q998" t="n">
        <v>0.0052</v>
      </c>
      <c r="R998" t="inlineStr">
        <is>
          <t>T1190:Exploit Public-Facing Application</t>
        </is>
      </c>
      <c r="S998" t="n">
        <v>1</v>
      </c>
      <c r="T998" t="inlineStr">
        <is>
          <t>LOW (40%)</t>
        </is>
      </c>
      <c r="U998" t="inlineStr">
        <is>
          <t>UNLIKELY</t>
        </is>
      </c>
      <c r="V998" t="inlineStr">
        <is>
          <t>CHECK_VENDOR</t>
        </is>
      </c>
      <c r="W998" t="inlineStr">
        <is>
          <t>https://nvd.nist.gov/vuln/detail/CVE-2026-1442</t>
        </is>
      </c>
      <c r="X998" t="inlineStr">
        <is>
          <t>NONE</t>
        </is>
      </c>
      <c r="Y998" t="n">
        <v>0</v>
      </c>
      <c r="Z998" t="inlineStr"/>
      <c r="AA998" t="inlineStr">
        <is>
          <t>https://nvd.nist.gov/vuln/detail/CVE-2026-1442</t>
        </is>
      </c>
    </row>
    <row r="999">
      <c r="A999" t="inlineStr">
        <is>
          <t>CVE</t>
        </is>
      </c>
      <c r="B999" t="inlineStr">
        <is>
          <t>CVE-2026-1558</t>
        </is>
      </c>
      <c r="C999"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999" t="n">
        <v>5.3</v>
      </c>
      <c r="E999" t="inlineStr">
        <is>
          <t>MEDIUM</t>
        </is>
      </c>
      <c r="F999" t="n">
        <v>2</v>
      </c>
      <c r="G999" t="n">
        <v>2</v>
      </c>
      <c r="H999" t="inlineStr">
        <is>
          <t>MEDIUM</t>
        </is>
      </c>
      <c r="I999" t="n">
        <v>9.300000000000001</v>
      </c>
      <c r="J999" t="inlineStr">
        <is>
          <t>NO</t>
        </is>
      </c>
      <c r="K999" t="inlineStr">
        <is>
          <t>2026-02-27 20:47</t>
        </is>
      </c>
      <c r="L999" t="inlineStr">
        <is>
          <t>CHECK_VENDOR</t>
        </is>
      </c>
      <c r="M999" t="inlineStr">
        <is>
          <t>See CVE details</t>
        </is>
      </c>
      <c r="N999" t="inlineStr">
        <is>
          <t>P4</t>
        </is>
      </c>
      <c r="O999" t="inlineStr">
        <is>
          <t>CVE - IP enrichment n/a</t>
        </is>
      </c>
      <c r="P999" t="n">
        <v>0.0005</v>
      </c>
      <c r="Q999" t="n">
        <v>0.1473</v>
      </c>
      <c r="R999" t="inlineStr">
        <is>
          <t>T1190:Exploit Public-Facing Application</t>
        </is>
      </c>
      <c r="S999" t="n">
        <v>1</v>
      </c>
      <c r="T999" t="inlineStr">
        <is>
          <t>LOW (40%)</t>
        </is>
      </c>
      <c r="U999" t="inlineStr">
        <is>
          <t>UNLIKELY</t>
        </is>
      </c>
      <c r="V999" t="inlineStr">
        <is>
          <t>CHECK_VENDOR</t>
        </is>
      </c>
      <c r="W999" t="inlineStr">
        <is>
          <t>https://nvd.nist.gov/vuln/detail/CVE-2026-1558</t>
        </is>
      </c>
      <c r="X999" t="inlineStr">
        <is>
          <t>NONE</t>
        </is>
      </c>
      <c r="Y999" t="n">
        <v>0</v>
      </c>
      <c r="Z999" t="inlineStr"/>
      <c r="AA999" t="inlineStr">
        <is>
          <t>https://nvd.nist.gov/vuln/detail/CVE-2026-1558</t>
        </is>
      </c>
    </row>
    <row r="1000">
      <c r="A1000" t="inlineStr">
        <is>
          <t>CVE</t>
        </is>
      </c>
      <c r="B1000" t="inlineStr">
        <is>
          <t>CVE-2026-28370</t>
        </is>
      </c>
      <c r="C1000"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1000" t="n">
        <v>9.1</v>
      </c>
      <c r="E1000" t="inlineStr">
        <is>
          <t>CRITICAL</t>
        </is>
      </c>
      <c r="F1000" t="n">
        <v>2</v>
      </c>
      <c r="G1000" t="n">
        <v>3</v>
      </c>
      <c r="H1000" t="inlineStr">
        <is>
          <t>HIGH</t>
        </is>
      </c>
      <c r="I1000" t="n">
        <v>15.1</v>
      </c>
      <c r="J1000" t="inlineStr">
        <is>
          <t>NO</t>
        </is>
      </c>
      <c r="K1000" t="inlineStr">
        <is>
          <t>2026-02-27 20:47</t>
        </is>
      </c>
      <c r="L1000" t="inlineStr">
        <is>
          <t>YES</t>
        </is>
      </c>
      <c r="M1000" t="inlineStr">
        <is>
          <t>openstack vitrage *</t>
        </is>
      </c>
      <c r="N1000" t="inlineStr">
        <is>
          <t>P3</t>
        </is>
      </c>
      <c r="O1000" t="inlineStr">
        <is>
          <t>CVE - IP enrichment n/a</t>
        </is>
      </c>
      <c r="P1000" t="n">
        <v>0.0008</v>
      </c>
      <c r="Q1000" t="n">
        <v>0.2462</v>
      </c>
      <c r="R1000" t="inlineStr">
        <is>
          <t>T1190:Exploit Public-Facing Application</t>
        </is>
      </c>
      <c r="S1000" t="n">
        <v>1</v>
      </c>
      <c r="T1000" t="inlineStr">
        <is>
          <t>LOW (40%)</t>
        </is>
      </c>
      <c r="U1000" t="inlineStr">
        <is>
          <t>UNLIKELY</t>
        </is>
      </c>
      <c r="V1000" t="inlineStr">
        <is>
          <t>PATCH_AVAILABLE</t>
        </is>
      </c>
      <c r="W1000" t="inlineStr">
        <is>
          <t>https://nvd.nist.gov/vuln/detail/CVE-2026-28370</t>
        </is>
      </c>
      <c r="X1000" t="inlineStr">
        <is>
          <t>NONE</t>
        </is>
      </c>
      <c r="Y1000" t="n">
        <v>0</v>
      </c>
      <c r="Z1000" t="inlineStr"/>
      <c r="AA1000" t="inlineStr">
        <is>
          <t>https://nvd.nist.gov/vuln/detail/CVE-2026-28370</t>
        </is>
      </c>
    </row>
    <row r="1001">
      <c r="A1001" t="inlineStr">
        <is>
          <t>CVE</t>
        </is>
      </c>
      <c r="B1001" t="inlineStr">
        <is>
          <t>CVE-2026-3287</t>
        </is>
      </c>
      <c r="C1001"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1001" t="n">
        <v>6.3</v>
      </c>
      <c r="E1001" t="inlineStr">
        <is>
          <t>MEDIUM</t>
        </is>
      </c>
      <c r="F1001" t="n">
        <v>2</v>
      </c>
      <c r="G1001" t="n">
        <v>2</v>
      </c>
      <c r="H1001" t="inlineStr">
        <is>
          <t>MEDIUM</t>
        </is>
      </c>
      <c r="I1001" t="n">
        <v>10.3</v>
      </c>
      <c r="J1001" t="inlineStr">
        <is>
          <t>NO</t>
        </is>
      </c>
      <c r="K1001" t="inlineStr">
        <is>
          <t>2026-02-27 20:47</t>
        </is>
      </c>
      <c r="L1001" t="inlineStr">
        <is>
          <t>CHECK_VENDOR</t>
        </is>
      </c>
      <c r="M1001" t="inlineStr">
        <is>
          <t>See CVE details</t>
        </is>
      </c>
      <c r="N1001" t="inlineStr">
        <is>
          <t>P4</t>
        </is>
      </c>
      <c r="O1001" t="inlineStr">
        <is>
          <t>CVE - IP enrichment n/a</t>
        </is>
      </c>
      <c r="P1001" t="n">
        <v>0.0003</v>
      </c>
      <c r="Q1001" t="n">
        <v>0.0701</v>
      </c>
      <c r="R1001" t="inlineStr">
        <is>
          <t>T1190:Exploit Public-Facing Application</t>
        </is>
      </c>
      <c r="S1001" t="n">
        <v>1</v>
      </c>
      <c r="T1001" t="inlineStr">
        <is>
          <t>LOW (40%)</t>
        </is>
      </c>
      <c r="U1001" t="inlineStr">
        <is>
          <t>UNLIKELY</t>
        </is>
      </c>
      <c r="V1001" t="inlineStr">
        <is>
          <t>CHECK_VENDOR</t>
        </is>
      </c>
      <c r="W1001" t="inlineStr">
        <is>
          <t>https://nvd.nist.gov/vuln/detail/CVE-2026-3287</t>
        </is>
      </c>
      <c r="X1001" t="inlineStr">
        <is>
          <t>NONE</t>
        </is>
      </c>
      <c r="Y1001" t="n">
        <v>0</v>
      </c>
      <c r="Z1001" t="inlineStr"/>
      <c r="AA1001" t="inlineStr">
        <is>
          <t>https://nvd.nist.gov/vuln/detail/CVE-2026-3287</t>
        </is>
      </c>
    </row>
    <row r="1002">
      <c r="A1002" t="inlineStr">
        <is>
          <t>CVE</t>
        </is>
      </c>
      <c r="B1002" t="inlineStr">
        <is>
          <t>CVE-2026-3289</t>
        </is>
      </c>
      <c r="C1002"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1002" t="n">
        <v>6.3</v>
      </c>
      <c r="E1002" t="inlineStr">
        <is>
          <t>MEDIUM</t>
        </is>
      </c>
      <c r="F1002" t="n">
        <v>2</v>
      </c>
      <c r="G1002" t="n">
        <v>2</v>
      </c>
      <c r="H1002" t="inlineStr">
        <is>
          <t>MEDIUM</t>
        </is>
      </c>
      <c r="I1002" t="n">
        <v>10.3</v>
      </c>
      <c r="J1002" t="inlineStr">
        <is>
          <t>NO</t>
        </is>
      </c>
      <c r="K1002" t="inlineStr">
        <is>
          <t>2026-02-27 20:47</t>
        </is>
      </c>
      <c r="L1002" t="inlineStr">
        <is>
          <t>CHECK_VENDOR</t>
        </is>
      </c>
      <c r="M1002" t="inlineStr">
        <is>
          <t>See CVE details</t>
        </is>
      </c>
      <c r="N1002" t="inlineStr">
        <is>
          <t>P4</t>
        </is>
      </c>
      <c r="O1002" t="inlineStr">
        <is>
          <t>CVE - IP enrichment n/a</t>
        </is>
      </c>
      <c r="P1002" t="n">
        <v>0.0005999999999999999</v>
      </c>
      <c r="Q1002" t="n">
        <v>0.19</v>
      </c>
      <c r="R1002" t="inlineStr">
        <is>
          <t>T1083:File and Directory Discovery</t>
        </is>
      </c>
      <c r="S1002" t="n">
        <v>1</v>
      </c>
      <c r="T1002" t="inlineStr">
        <is>
          <t>LOW (40%)</t>
        </is>
      </c>
      <c r="U1002" t="inlineStr">
        <is>
          <t>UNLIKELY</t>
        </is>
      </c>
      <c r="V1002" t="inlineStr">
        <is>
          <t>CHECK_VENDOR</t>
        </is>
      </c>
      <c r="W1002" t="inlineStr">
        <is>
          <t>https://nvd.nist.gov/vuln/detail/CVE-2026-3289</t>
        </is>
      </c>
      <c r="X1002" t="inlineStr">
        <is>
          <t>NONE</t>
        </is>
      </c>
      <c r="Y1002" t="n">
        <v>0</v>
      </c>
      <c r="Z1002" t="inlineStr"/>
      <c r="AA1002" t="inlineStr">
        <is>
          <t>https://nvd.nist.gov/vuln/detail/CVE-2026-3289</t>
        </is>
      </c>
    </row>
    <row r="1003">
      <c r="A1003" t="inlineStr">
        <is>
          <t>CVE</t>
        </is>
      </c>
      <c r="B1003" t="inlineStr">
        <is>
          <t>CVE-2026-3292</t>
        </is>
      </c>
      <c r="C1003"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1003" t="n">
        <v>6.3</v>
      </c>
      <c r="E1003" t="inlineStr">
        <is>
          <t>MEDIUM</t>
        </is>
      </c>
      <c r="F1003" t="n">
        <v>2</v>
      </c>
      <c r="G1003" t="n">
        <v>2</v>
      </c>
      <c r="H1003" t="inlineStr">
        <is>
          <t>MEDIUM</t>
        </is>
      </c>
      <c r="I1003" t="n">
        <v>10.3</v>
      </c>
      <c r="J1003" t="inlineStr">
        <is>
          <t>NO</t>
        </is>
      </c>
      <c r="K1003" t="inlineStr">
        <is>
          <t>2026-02-27 20:47</t>
        </is>
      </c>
      <c r="L1003" t="inlineStr">
        <is>
          <t>CHECK_VENDOR</t>
        </is>
      </c>
      <c r="M1003" t="inlineStr">
        <is>
          <t>See CVE details</t>
        </is>
      </c>
      <c r="N1003" t="inlineStr">
        <is>
          <t>P4</t>
        </is>
      </c>
      <c r="O1003" t="inlineStr">
        <is>
          <t>CVE - IP enrichment n/a</t>
        </is>
      </c>
      <c r="P1003" t="n">
        <v>0.0003</v>
      </c>
      <c r="Q1003" t="n">
        <v>0.0701</v>
      </c>
      <c r="R1003" t="inlineStr">
        <is>
          <t>T1190:Exploit Public-Facing Application</t>
        </is>
      </c>
      <c r="S1003" t="n">
        <v>1</v>
      </c>
      <c r="T1003" t="inlineStr">
        <is>
          <t>LOW (40%)</t>
        </is>
      </c>
      <c r="U1003" t="inlineStr">
        <is>
          <t>UNLIKELY</t>
        </is>
      </c>
      <c r="V1003" t="inlineStr">
        <is>
          <t>CHECK_VENDOR</t>
        </is>
      </c>
      <c r="W1003" t="inlineStr">
        <is>
          <t>https://nvd.nist.gov/vuln/detail/CVE-2026-3292</t>
        </is>
      </c>
      <c r="X1003" t="inlineStr">
        <is>
          <t>NONE</t>
        </is>
      </c>
      <c r="Y1003" t="n">
        <v>0</v>
      </c>
      <c r="Z1003" t="inlineStr"/>
      <c r="AA1003" t="inlineStr">
        <is>
          <t>https://nvd.nist.gov/vuln/detail/CVE-2026-3292</t>
        </is>
      </c>
    </row>
    <row r="1004">
      <c r="A1004" t="inlineStr">
        <is>
          <t>CVE</t>
        </is>
      </c>
      <c r="B1004" t="inlineStr">
        <is>
          <t>CVE-2026-27653</t>
        </is>
      </c>
      <c r="C1004" t="inlineStr">
        <is>
          <t>The installers for multiple products provided by Soliton Systems K.K. contain an issue with incorrect default permissions, which may allow arbitrary code to be executed with SYSTEM privileges.</t>
        </is>
      </c>
      <c r="D1004" t="n">
        <v>6.7</v>
      </c>
      <c r="E1004" t="inlineStr">
        <is>
          <t>MEDIUM</t>
        </is>
      </c>
      <c r="F1004" t="n">
        <v>2</v>
      </c>
      <c r="G1004" t="n">
        <v>2</v>
      </c>
      <c r="H1004" t="inlineStr">
        <is>
          <t>MEDIUM</t>
        </is>
      </c>
      <c r="I1004" t="n">
        <v>10.7</v>
      </c>
      <c r="J1004" t="inlineStr">
        <is>
          <t>NO</t>
        </is>
      </c>
      <c r="K1004" t="inlineStr">
        <is>
          <t>2026-02-27 20:47</t>
        </is>
      </c>
      <c r="L1004" t="inlineStr">
        <is>
          <t>CHECK_VENDOR</t>
        </is>
      </c>
      <c r="M1004" t="inlineStr">
        <is>
          <t>See CVE details</t>
        </is>
      </c>
      <c r="N1004" t="inlineStr">
        <is>
          <t>P4</t>
        </is>
      </c>
      <c r="O1004" t="inlineStr">
        <is>
          <t>CVE - IP enrichment n/a</t>
        </is>
      </c>
      <c r="P1004" t="n">
        <v>0.0001</v>
      </c>
      <c r="Q1004" t="n">
        <v>0.0117</v>
      </c>
      <c r="R1004" t="inlineStr">
        <is>
          <t>T1222:File and Directory Permissions Modification | T1203:Exploitation for Client Execution</t>
        </is>
      </c>
      <c r="S1004" t="n">
        <v>1</v>
      </c>
      <c r="T1004" t="inlineStr">
        <is>
          <t>LOW (40%)</t>
        </is>
      </c>
      <c r="U1004" t="inlineStr">
        <is>
          <t>UNLIKELY</t>
        </is>
      </c>
      <c r="V1004" t="inlineStr">
        <is>
          <t>CHECK_VENDOR</t>
        </is>
      </c>
      <c r="W1004" t="inlineStr">
        <is>
          <t>https://nvd.nist.gov/vuln/detail/CVE-2026-27653</t>
        </is>
      </c>
      <c r="X1004" t="inlineStr">
        <is>
          <t>NONE</t>
        </is>
      </c>
      <c r="Y1004" t="n">
        <v>0</v>
      </c>
      <c r="Z1004" t="inlineStr"/>
      <c r="AA1004" t="inlineStr">
        <is>
          <t>https://nvd.nist.gov/vuln/detail/CVE-2026-27653</t>
        </is>
      </c>
    </row>
    <row r="1005">
      <c r="A1005" t="inlineStr">
        <is>
          <t>CVE</t>
        </is>
      </c>
      <c r="B1005" t="inlineStr">
        <is>
          <t>CVE-2026-28372</t>
        </is>
      </c>
      <c r="C1005"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1005" t="n">
        <v>7.4</v>
      </c>
      <c r="E1005" t="inlineStr">
        <is>
          <t>HIGH</t>
        </is>
      </c>
      <c r="F1005" t="n">
        <v>2</v>
      </c>
      <c r="G1005" t="n">
        <v>3</v>
      </c>
      <c r="H1005" t="inlineStr">
        <is>
          <t>HIGH</t>
        </is>
      </c>
      <c r="I1005" t="n">
        <v>13.4</v>
      </c>
      <c r="J1005" t="inlineStr">
        <is>
          <t>NO</t>
        </is>
      </c>
      <c r="K1005" t="inlineStr">
        <is>
          <t>2026-02-27 20:47</t>
        </is>
      </c>
      <c r="L1005" t="inlineStr">
        <is>
          <t>CHECK_VENDOR</t>
        </is>
      </c>
      <c r="M1005" t="inlineStr">
        <is>
          <t>See CVE details</t>
        </is>
      </c>
      <c r="N1005" t="inlineStr">
        <is>
          <t>P3</t>
        </is>
      </c>
      <c r="O1005" t="inlineStr">
        <is>
          <t>CVE - IP enrichment n/a</t>
        </is>
      </c>
      <c r="P1005" t="n">
        <v>0.0001</v>
      </c>
      <c r="Q1005" t="n">
        <v>0.0165</v>
      </c>
      <c r="R1005" t="inlineStr">
        <is>
          <t>T1068:Exploitation for Privilege Escalation | T1552:Unsecured Credentials</t>
        </is>
      </c>
      <c r="S1005" t="n">
        <v>1</v>
      </c>
      <c r="T1005" t="inlineStr">
        <is>
          <t>LOW (40%)</t>
        </is>
      </c>
      <c r="U1005" t="inlineStr">
        <is>
          <t>UNLIKELY</t>
        </is>
      </c>
      <c r="V1005" t="inlineStr">
        <is>
          <t>CHECK_VENDOR</t>
        </is>
      </c>
      <c r="W1005" t="inlineStr">
        <is>
          <t>https://nvd.nist.gov/vuln/detail/CVE-2026-28372</t>
        </is>
      </c>
      <c r="X1005" t="inlineStr">
        <is>
          <t>NONE</t>
        </is>
      </c>
      <c r="Y1005" t="n">
        <v>0</v>
      </c>
      <c r="Z1005" t="inlineStr"/>
      <c r="AA1005" t="inlineStr">
        <is>
          <t>https://nvd.nist.gov/vuln/detail/CVE-2026-28372</t>
        </is>
      </c>
    </row>
    <row r="1006">
      <c r="A1006" t="inlineStr">
        <is>
          <t>CVE</t>
        </is>
      </c>
      <c r="B1006" t="inlineStr">
        <is>
          <t>CVE-2026-3293</t>
        </is>
      </c>
      <c r="C1006"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1006" t="n">
        <v>3.3</v>
      </c>
      <c r="E1006" t="inlineStr">
        <is>
          <t>LOW</t>
        </is>
      </c>
      <c r="F1006" t="n">
        <v>2</v>
      </c>
      <c r="G1006" t="n">
        <v>1</v>
      </c>
      <c r="H1006" t="inlineStr">
        <is>
          <t>LOW</t>
        </is>
      </c>
      <c r="I1006" t="n">
        <v>5.3</v>
      </c>
      <c r="J1006" t="inlineStr">
        <is>
          <t>NO</t>
        </is>
      </c>
      <c r="K1006" t="inlineStr">
        <is>
          <t>2026-02-27 20:47</t>
        </is>
      </c>
      <c r="L1006" t="inlineStr">
        <is>
          <t>CHECK_VENDOR</t>
        </is>
      </c>
      <c r="M1006" t="inlineStr">
        <is>
          <t>See CVE details</t>
        </is>
      </c>
      <c r="N1006" t="inlineStr">
        <is>
          <t>P4</t>
        </is>
      </c>
      <c r="O1006" t="inlineStr">
        <is>
          <t>CVE - IP enrichment n/a</t>
        </is>
      </c>
      <c r="P1006" t="n">
        <v>0.0001</v>
      </c>
      <c r="Q1006" t="n">
        <v>0.0197</v>
      </c>
      <c r="R1006" t="inlineStr">
        <is>
          <t>T1190:Exploit Public-Facing Application</t>
        </is>
      </c>
      <c r="S1006" t="n">
        <v>1</v>
      </c>
      <c r="T1006" t="inlineStr">
        <is>
          <t>LOW (40%)</t>
        </is>
      </c>
      <c r="U1006" t="inlineStr">
        <is>
          <t>UNLIKELY</t>
        </is>
      </c>
      <c r="V1006" t="inlineStr">
        <is>
          <t>CHECK_VENDOR</t>
        </is>
      </c>
      <c r="W1006" t="inlineStr">
        <is>
          <t>https://nvd.nist.gov/vuln/detail/CVE-2026-3293</t>
        </is>
      </c>
      <c r="X1006" t="inlineStr">
        <is>
          <t>NONE</t>
        </is>
      </c>
      <c r="Y1006" t="n">
        <v>0</v>
      </c>
      <c r="Z1006" t="inlineStr"/>
      <c r="AA1006" t="inlineStr">
        <is>
          <t>https://nvd.nist.gov/vuln/detail/CVE-2026-3293</t>
        </is>
      </c>
    </row>
    <row r="1007">
      <c r="A1007" t="inlineStr">
        <is>
          <t>CVE</t>
        </is>
      </c>
      <c r="B1007" t="inlineStr">
        <is>
          <t>CVE-2026-3301</t>
        </is>
      </c>
      <c r="C1007"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1007" t="n">
        <v>9.800000000000001</v>
      </c>
      <c r="E1007" t="inlineStr">
        <is>
          <t>CRITICAL</t>
        </is>
      </c>
      <c r="F1007" t="n">
        <v>2</v>
      </c>
      <c r="G1007" t="n">
        <v>3</v>
      </c>
      <c r="H1007" t="inlineStr">
        <is>
          <t>HIGH</t>
        </is>
      </c>
      <c r="I1007" t="n">
        <v>15.8</v>
      </c>
      <c r="J1007" t="inlineStr">
        <is>
          <t>NO</t>
        </is>
      </c>
      <c r="K1007" t="inlineStr">
        <is>
          <t>2026-02-27 20:47</t>
        </is>
      </c>
      <c r="L1007" t="inlineStr">
        <is>
          <t>CHECK_VENDOR</t>
        </is>
      </c>
      <c r="M1007" t="inlineStr">
        <is>
          <t>totolink n300rh 4.0 | totolink n300rh_firmware 6.1c.1353_b20190305 | totolink n300rh_firmware 6.1c.1349_b20181018</t>
        </is>
      </c>
      <c r="N1007" t="inlineStr">
        <is>
          <t>P2</t>
        </is>
      </c>
      <c r="O1007" t="inlineStr">
        <is>
          <t>CVE - IP enrichment n/a</t>
        </is>
      </c>
      <c r="P1007" t="n">
        <v>0.0089</v>
      </c>
      <c r="Q1007" t="n">
        <v>0.7524</v>
      </c>
      <c r="R1007" t="inlineStr">
        <is>
          <t>T1059:Command and Scripting Interpreter</t>
        </is>
      </c>
      <c r="S1007" t="n">
        <v>1</v>
      </c>
      <c r="T1007" t="inlineStr">
        <is>
          <t>LOW (40%)</t>
        </is>
      </c>
      <c r="U1007" t="inlineStr">
        <is>
          <t>UNLIKELY</t>
        </is>
      </c>
      <c r="V1007" t="inlineStr">
        <is>
          <t>CHECK_VENDOR</t>
        </is>
      </c>
      <c r="W1007" t="inlineStr">
        <is>
          <t>https://nvd.nist.gov/vuln/detail/CVE-2026-3301</t>
        </is>
      </c>
      <c r="X1007" t="inlineStr">
        <is>
          <t>NONE</t>
        </is>
      </c>
      <c r="Y1007" t="n">
        <v>0</v>
      </c>
      <c r="Z1007" t="inlineStr"/>
      <c r="AA1007" t="inlineStr">
        <is>
          <t>https://nvd.nist.gov/vuln/detail/CVE-2026-3301</t>
        </is>
      </c>
    </row>
    <row r="1008">
      <c r="A1008" t="inlineStr">
        <is>
          <t>CVE</t>
        </is>
      </c>
      <c r="B1008" t="inlineStr">
        <is>
          <t>CVE-2025-12981</t>
        </is>
      </c>
      <c r="C1008"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1008" t="n">
        <v>9.800000000000001</v>
      </c>
      <c r="E1008" t="inlineStr">
        <is>
          <t>CRITICAL</t>
        </is>
      </c>
      <c r="F1008" t="n">
        <v>2</v>
      </c>
      <c r="G1008" t="n">
        <v>3</v>
      </c>
      <c r="H1008" t="inlineStr">
        <is>
          <t>HIGH</t>
        </is>
      </c>
      <c r="I1008" t="n">
        <v>15.8</v>
      </c>
      <c r="J1008" t="inlineStr">
        <is>
          <t>NO</t>
        </is>
      </c>
      <c r="K1008" t="inlineStr">
        <is>
          <t>2026-02-27 20:47</t>
        </is>
      </c>
      <c r="L1008" t="inlineStr">
        <is>
          <t>CHECK_VENDOR</t>
        </is>
      </c>
      <c r="M1008" t="inlineStr">
        <is>
          <t>See CVE details</t>
        </is>
      </c>
      <c r="N1008" t="inlineStr">
        <is>
          <t>P3</t>
        </is>
      </c>
      <c r="O1008" t="inlineStr">
        <is>
          <t>CVE - IP enrichment n/a</t>
        </is>
      </c>
      <c r="P1008" t="n">
        <v>0.0004</v>
      </c>
      <c r="Q1008" t="n">
        <v>0.1245</v>
      </c>
      <c r="R1008" t="inlineStr">
        <is>
          <t>T1068:Exploitation for Privilege Escalation</t>
        </is>
      </c>
      <c r="S1008" t="n">
        <v>1</v>
      </c>
      <c r="T1008" t="inlineStr">
        <is>
          <t>LOW (40%)</t>
        </is>
      </c>
      <c r="U1008" t="inlineStr">
        <is>
          <t>UNLIKELY</t>
        </is>
      </c>
      <c r="V1008" t="inlineStr">
        <is>
          <t>CHECK_VENDOR</t>
        </is>
      </c>
      <c r="W1008" t="inlineStr">
        <is>
          <t>https://nvd.nist.gov/vuln/detail/CVE-2025-12981</t>
        </is>
      </c>
      <c r="X1008" t="inlineStr">
        <is>
          <t>NONE</t>
        </is>
      </c>
      <c r="Y1008" t="n">
        <v>0</v>
      </c>
      <c r="Z1008" t="inlineStr"/>
      <c r="AA1008" t="inlineStr">
        <is>
          <t>https://nvd.nist.gov/vuln/detail/CVE-2025-12981</t>
        </is>
      </c>
    </row>
    <row r="1009">
      <c r="A1009" t="inlineStr">
        <is>
          <t>CVE</t>
        </is>
      </c>
      <c r="B1009" t="inlineStr">
        <is>
          <t>CVE-2025-14040</t>
        </is>
      </c>
      <c r="C1009"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1009" t="n">
        <v>6.4</v>
      </c>
      <c r="E1009" t="inlineStr">
        <is>
          <t>MEDIUM</t>
        </is>
      </c>
      <c r="F1009" t="n">
        <v>2</v>
      </c>
      <c r="G1009" t="n">
        <v>2</v>
      </c>
      <c r="H1009" t="inlineStr">
        <is>
          <t>MEDIUM</t>
        </is>
      </c>
      <c r="I1009" t="n">
        <v>10.4</v>
      </c>
      <c r="J1009" t="inlineStr">
        <is>
          <t>NO</t>
        </is>
      </c>
      <c r="K1009" t="inlineStr">
        <is>
          <t>2026-02-27 20:47</t>
        </is>
      </c>
      <c r="L1009" t="inlineStr">
        <is>
          <t>CHECK_VENDOR</t>
        </is>
      </c>
      <c r="M1009" t="inlineStr">
        <is>
          <t>See CVE details</t>
        </is>
      </c>
      <c r="N1009" t="inlineStr">
        <is>
          <t>P4</t>
        </is>
      </c>
      <c r="O1009" t="inlineStr">
        <is>
          <t>CVE - IP enrichment n/a</t>
        </is>
      </c>
      <c r="P1009" t="n">
        <v>0.0002</v>
      </c>
      <c r="Q1009" t="n">
        <v>0.0602</v>
      </c>
      <c r="R1009" t="inlineStr">
        <is>
          <t>T1189:Drive-by Compromise</t>
        </is>
      </c>
      <c r="S1009" t="n">
        <v>1</v>
      </c>
      <c r="T1009" t="inlineStr">
        <is>
          <t>LOW (40%)</t>
        </is>
      </c>
      <c r="U1009" t="inlineStr">
        <is>
          <t>UNLIKELY</t>
        </is>
      </c>
      <c r="V1009" t="inlineStr">
        <is>
          <t>CHECK_VENDOR</t>
        </is>
      </c>
      <c r="W1009" t="inlineStr">
        <is>
          <t>https://nvd.nist.gov/vuln/detail/CVE-2025-14040</t>
        </is>
      </c>
      <c r="X1009" t="inlineStr">
        <is>
          <t>NONE</t>
        </is>
      </c>
      <c r="Y1009" t="n">
        <v>0</v>
      </c>
      <c r="Z1009" t="inlineStr"/>
      <c r="AA1009" t="inlineStr">
        <is>
          <t>https://nvd.nist.gov/vuln/detail/CVE-2025-14040</t>
        </is>
      </c>
    </row>
    <row r="1010">
      <c r="A1010" t="inlineStr">
        <is>
          <t>CVE</t>
        </is>
      </c>
      <c r="B1010" t="inlineStr">
        <is>
          <t>CVE-2025-14149</t>
        </is>
      </c>
      <c r="C1010"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10" t="n">
        <v>6.4</v>
      </c>
      <c r="E1010" t="inlineStr">
        <is>
          <t>MEDIUM</t>
        </is>
      </c>
      <c r="F1010" t="n">
        <v>2</v>
      </c>
      <c r="G1010" t="n">
        <v>2</v>
      </c>
      <c r="H1010" t="inlineStr">
        <is>
          <t>MEDIUM</t>
        </is>
      </c>
      <c r="I1010" t="n">
        <v>10.4</v>
      </c>
      <c r="J1010" t="inlineStr">
        <is>
          <t>NO</t>
        </is>
      </c>
      <c r="K1010" t="inlineStr">
        <is>
          <t>2026-02-27 20:47</t>
        </is>
      </c>
      <c r="L1010" t="inlineStr">
        <is>
          <t>CHECK_VENDOR</t>
        </is>
      </c>
      <c r="M1010" t="inlineStr">
        <is>
          <t>See CVE details</t>
        </is>
      </c>
      <c r="N1010" t="inlineStr">
        <is>
          <t>P4</t>
        </is>
      </c>
      <c r="O1010" t="inlineStr">
        <is>
          <t>CVE - IP enrichment n/a</t>
        </is>
      </c>
      <c r="P1010" t="n">
        <v>0.0003</v>
      </c>
      <c r="Q1010" t="n">
        <v>0.0788</v>
      </c>
      <c r="R1010" t="inlineStr">
        <is>
          <t>T1189:Drive-by Compromise</t>
        </is>
      </c>
      <c r="S1010" t="n">
        <v>1</v>
      </c>
      <c r="T1010" t="inlineStr">
        <is>
          <t>LOW (40%)</t>
        </is>
      </c>
      <c r="U1010" t="inlineStr">
        <is>
          <t>UNLIKELY</t>
        </is>
      </c>
      <c r="V1010" t="inlineStr">
        <is>
          <t>CHECK_VENDOR</t>
        </is>
      </c>
      <c r="W1010" t="inlineStr">
        <is>
          <t>https://nvd.nist.gov/vuln/detail/CVE-2025-14149</t>
        </is>
      </c>
      <c r="X1010" t="inlineStr">
        <is>
          <t>NONE</t>
        </is>
      </c>
      <c r="Y1010" t="n">
        <v>0</v>
      </c>
      <c r="Z1010" t="inlineStr"/>
      <c r="AA1010" t="inlineStr">
        <is>
          <t>https://nvd.nist.gov/vuln/detail/CVE-2025-14149</t>
        </is>
      </c>
    </row>
    <row r="1011">
      <c r="A1011" t="inlineStr">
        <is>
          <t>CVE</t>
        </is>
      </c>
      <c r="B1011" t="inlineStr">
        <is>
          <t>CVE-2025-15509</t>
        </is>
      </c>
      <c r="C1011" t="inlineStr">
        <is>
          <t>The SmartRemote module has insufficient restrictions on loading URLs, which may lead to some information leakage.</t>
        </is>
      </c>
      <c r="D1011" t="n">
        <v>5</v>
      </c>
      <c r="E1011" t="inlineStr">
        <is>
          <t>MEDIUM</t>
        </is>
      </c>
      <c r="F1011" t="n">
        <v>2</v>
      </c>
      <c r="G1011" t="n">
        <v>2</v>
      </c>
      <c r="H1011" t="inlineStr">
        <is>
          <t>MEDIUM</t>
        </is>
      </c>
      <c r="I1011" t="n">
        <v>9</v>
      </c>
      <c r="J1011" t="inlineStr">
        <is>
          <t>NO</t>
        </is>
      </c>
      <c r="K1011" t="inlineStr">
        <is>
          <t>2026-02-27 20:47</t>
        </is>
      </c>
      <c r="L1011" t="inlineStr">
        <is>
          <t>CHECK_VENDOR</t>
        </is>
      </c>
      <c r="M1011" t="inlineStr">
        <is>
          <t>See CVE details</t>
        </is>
      </c>
      <c r="N1011" t="inlineStr">
        <is>
          <t>P4</t>
        </is>
      </c>
      <c r="O1011" t="inlineStr">
        <is>
          <t>CVE - IP enrichment n/a</t>
        </is>
      </c>
      <c r="P1011" t="n">
        <v>0.0004</v>
      </c>
      <c r="Q1011" t="n">
        <v>0.1229</v>
      </c>
      <c r="R1011" t="inlineStr">
        <is>
          <t>T1078:Valid Accounts</t>
        </is>
      </c>
      <c r="S1011" t="n">
        <v>1</v>
      </c>
      <c r="T1011" t="inlineStr">
        <is>
          <t>LOW (40%)</t>
        </is>
      </c>
      <c r="U1011" t="inlineStr">
        <is>
          <t>UNLIKELY</t>
        </is>
      </c>
      <c r="V1011" t="inlineStr">
        <is>
          <t>CHECK_VENDOR</t>
        </is>
      </c>
      <c r="W1011" t="inlineStr">
        <is>
          <t>https://nvd.nist.gov/vuln/detail/CVE-2025-15509</t>
        </is>
      </c>
      <c r="X1011" t="inlineStr">
        <is>
          <t>NONE</t>
        </is>
      </c>
      <c r="Y1011" t="n">
        <v>0</v>
      </c>
      <c r="Z1011" t="inlineStr"/>
      <c r="AA1011" t="inlineStr">
        <is>
          <t>https://nvd.nist.gov/vuln/detail/CVE-2025-15509</t>
        </is>
      </c>
    </row>
    <row r="1012">
      <c r="A1012" t="inlineStr">
        <is>
          <t>CVE</t>
        </is>
      </c>
      <c r="B1012" t="inlineStr">
        <is>
          <t>CVE-2025-15567</t>
        </is>
      </c>
      <c r="C1012" t="inlineStr">
        <is>
          <t>Insufficient protection mechanisms in the Health Module may lead to partial information disclosure.</t>
        </is>
      </c>
      <c r="D1012" t="n">
        <v>5</v>
      </c>
      <c r="E1012" t="inlineStr">
        <is>
          <t>MEDIUM</t>
        </is>
      </c>
      <c r="F1012" t="n">
        <v>2</v>
      </c>
      <c r="G1012" t="n">
        <v>2</v>
      </c>
      <c r="H1012" t="inlineStr">
        <is>
          <t>MEDIUM</t>
        </is>
      </c>
      <c r="I1012" t="n">
        <v>9</v>
      </c>
      <c r="J1012" t="inlineStr">
        <is>
          <t>NO</t>
        </is>
      </c>
      <c r="K1012" t="inlineStr">
        <is>
          <t>2026-02-27 20:47</t>
        </is>
      </c>
      <c r="L1012" t="inlineStr">
        <is>
          <t>CHECK_VENDOR</t>
        </is>
      </c>
      <c r="M1012" t="inlineStr">
        <is>
          <t>See CVE details</t>
        </is>
      </c>
      <c r="N1012" t="inlineStr">
        <is>
          <t>P4</t>
        </is>
      </c>
      <c r="O1012" t="inlineStr">
        <is>
          <t>CVE - IP enrichment n/a</t>
        </is>
      </c>
      <c r="P1012" t="n">
        <v>0.0001</v>
      </c>
      <c r="Q1012" t="n">
        <v>0.0235</v>
      </c>
      <c r="R1012" t="inlineStr">
        <is>
          <t>T1078:Valid Accounts | T1213:Data from Information Repositories</t>
        </is>
      </c>
      <c r="S1012" t="n">
        <v>1</v>
      </c>
      <c r="T1012" t="inlineStr">
        <is>
          <t>LOW (40%)</t>
        </is>
      </c>
      <c r="U1012" t="inlineStr">
        <is>
          <t>UNLIKELY</t>
        </is>
      </c>
      <c r="V1012" t="inlineStr">
        <is>
          <t>CHECK_VENDOR</t>
        </is>
      </c>
      <c r="W1012" t="inlineStr">
        <is>
          <t>https://nvd.nist.gov/vuln/detail/CVE-2025-15567</t>
        </is>
      </c>
      <c r="X1012" t="inlineStr">
        <is>
          <t>NONE</t>
        </is>
      </c>
      <c r="Y1012" t="n">
        <v>0</v>
      </c>
      <c r="Z1012" t="inlineStr"/>
      <c r="AA1012" t="inlineStr">
        <is>
          <t>https://nvd.nist.gov/vuln/detail/CVE-2025-15567</t>
        </is>
      </c>
    </row>
    <row r="1013">
      <c r="A1013" t="inlineStr">
        <is>
          <t>CVE</t>
        </is>
      </c>
      <c r="B1013" t="inlineStr">
        <is>
          <t>CVE-2026-3302</t>
        </is>
      </c>
      <c r="C1013"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1013" t="n">
        <v>4.3</v>
      </c>
      <c r="E1013" t="inlineStr">
        <is>
          <t>MEDIUM</t>
        </is>
      </c>
      <c r="F1013" t="n">
        <v>2</v>
      </c>
      <c r="G1013" t="n">
        <v>2</v>
      </c>
      <c r="H1013" t="inlineStr">
        <is>
          <t>MEDIUM</t>
        </is>
      </c>
      <c r="I1013" t="n">
        <v>8.300000000000001</v>
      </c>
      <c r="J1013" t="inlineStr">
        <is>
          <t>NO</t>
        </is>
      </c>
      <c r="K1013" t="inlineStr">
        <is>
          <t>2026-02-27 20:47</t>
        </is>
      </c>
      <c r="L1013" t="inlineStr">
        <is>
          <t>CHECK_VENDOR</t>
        </is>
      </c>
      <c r="M1013" t="inlineStr">
        <is>
          <t>remyandrade doctor_appointment_system 1.0</t>
        </is>
      </c>
      <c r="N1013" t="inlineStr">
        <is>
          <t>P4</t>
        </is>
      </c>
      <c r="O1013" t="inlineStr">
        <is>
          <t>CVE - IP enrichment n/a</t>
        </is>
      </c>
      <c r="P1013" t="n">
        <v>0.0003</v>
      </c>
      <c r="Q1013" t="n">
        <v>0.0927</v>
      </c>
      <c r="R1013" t="inlineStr">
        <is>
          <t>T1189:Drive-by Compromise | T1190:Exploit Public-Facing Application</t>
        </is>
      </c>
      <c r="S1013" t="n">
        <v>1</v>
      </c>
      <c r="T1013" t="inlineStr">
        <is>
          <t>LOW (40%)</t>
        </is>
      </c>
      <c r="U1013" t="inlineStr">
        <is>
          <t>UNLIKELY</t>
        </is>
      </c>
      <c r="V1013" t="inlineStr">
        <is>
          <t>CHECK_VENDOR</t>
        </is>
      </c>
      <c r="W1013" t="inlineStr">
        <is>
          <t>https://nvd.nist.gov/vuln/detail/CVE-2026-3302</t>
        </is>
      </c>
      <c r="X1013" t="inlineStr">
        <is>
          <t>NONE</t>
        </is>
      </c>
      <c r="Y1013" t="n">
        <v>0</v>
      </c>
      <c r="Z1013" t="inlineStr"/>
      <c r="AA1013" t="inlineStr">
        <is>
          <t>https://nvd.nist.gov/vuln/detail/CVE-2026-3302</t>
        </is>
      </c>
    </row>
    <row r="1014">
      <c r="A1014" t="inlineStr">
        <is>
          <t>CVE</t>
        </is>
      </c>
      <c r="B1014" t="inlineStr">
        <is>
          <t>CVE-2025-13327</t>
        </is>
      </c>
      <c r="C1014"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1014" t="n">
        <v>6.3</v>
      </c>
      <c r="E1014" t="inlineStr">
        <is>
          <t>MEDIUM</t>
        </is>
      </c>
      <c r="F1014" t="n">
        <v>2</v>
      </c>
      <c r="G1014" t="n">
        <v>2</v>
      </c>
      <c r="H1014" t="inlineStr">
        <is>
          <t>MEDIUM</t>
        </is>
      </c>
      <c r="I1014" t="n">
        <v>10.3</v>
      </c>
      <c r="J1014" t="inlineStr">
        <is>
          <t>NO</t>
        </is>
      </c>
      <c r="K1014" t="inlineStr">
        <is>
          <t>2026-02-27 20:47</t>
        </is>
      </c>
      <c r="L1014" t="inlineStr">
        <is>
          <t>CHECK_VENDOR</t>
        </is>
      </c>
      <c r="M1014" t="inlineStr">
        <is>
          <t>See CVE details</t>
        </is>
      </c>
      <c r="N1014" t="inlineStr">
        <is>
          <t>P4</t>
        </is>
      </c>
      <c r="O1014" t="inlineStr">
        <is>
          <t>CVE - IP enrichment n/a</t>
        </is>
      </c>
      <c r="P1014" t="n">
        <v>0.0002</v>
      </c>
      <c r="Q1014" t="n">
        <v>0.035</v>
      </c>
      <c r="R1014" t="inlineStr">
        <is>
          <t>T1190:Exploit Public-Facing Application</t>
        </is>
      </c>
      <c r="S1014" t="n">
        <v>1</v>
      </c>
      <c r="T1014" t="inlineStr">
        <is>
          <t>LOW (40%)</t>
        </is>
      </c>
      <c r="U1014" t="inlineStr">
        <is>
          <t>UNLIKELY</t>
        </is>
      </c>
      <c r="V1014" t="inlineStr">
        <is>
          <t>CHECK_VENDOR</t>
        </is>
      </c>
      <c r="W1014" t="inlineStr">
        <is>
          <t>https://nvd.nist.gov/vuln/detail/CVE-2025-13327</t>
        </is>
      </c>
      <c r="X1014" t="inlineStr">
        <is>
          <t>NONE</t>
        </is>
      </c>
      <c r="Y1014" t="n">
        <v>0</v>
      </c>
      <c r="Z1014" t="inlineStr"/>
      <c r="AA1014" t="inlineStr">
        <is>
          <t>https://nvd.nist.gov/vuln/detail/CVE-2025-13327</t>
        </is>
      </c>
    </row>
    <row r="1015">
      <c r="A1015" t="inlineStr">
        <is>
          <t>CVE</t>
        </is>
      </c>
      <c r="B1015" t="inlineStr">
        <is>
          <t>CVE-2025-9572</t>
        </is>
      </c>
      <c r="C1015"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1015" t="n">
        <v>5</v>
      </c>
      <c r="E1015" t="inlineStr">
        <is>
          <t>MEDIUM</t>
        </is>
      </c>
      <c r="F1015" t="n">
        <v>2</v>
      </c>
      <c r="G1015" t="n">
        <v>2</v>
      </c>
      <c r="H1015" t="inlineStr">
        <is>
          <t>MEDIUM</t>
        </is>
      </c>
      <c r="I1015" t="n">
        <v>9</v>
      </c>
      <c r="J1015" t="inlineStr">
        <is>
          <t>NO</t>
        </is>
      </c>
      <c r="K1015" t="inlineStr">
        <is>
          <t>2026-02-27 20:47</t>
        </is>
      </c>
      <c r="L1015" t="inlineStr">
        <is>
          <t>CHECK_VENDOR</t>
        </is>
      </c>
      <c r="M1015" t="inlineStr">
        <is>
          <t>See CVE details</t>
        </is>
      </c>
      <c r="N1015" t="inlineStr">
        <is>
          <t>P4</t>
        </is>
      </c>
      <c r="O1015" t="inlineStr">
        <is>
          <t>CVE - IP enrichment n/a</t>
        </is>
      </c>
      <c r="P1015" t="n">
        <v>0.0002</v>
      </c>
      <c r="Q1015" t="n">
        <v>0.0488</v>
      </c>
      <c r="R1015" t="inlineStr">
        <is>
          <t>T1213:Data from Information Repositories | T1190:Exploit Public-Facing Application</t>
        </is>
      </c>
      <c r="S1015" t="n">
        <v>1</v>
      </c>
      <c r="T1015" t="inlineStr">
        <is>
          <t>LOW (40%)</t>
        </is>
      </c>
      <c r="U1015" t="inlineStr">
        <is>
          <t>UNLIKELY</t>
        </is>
      </c>
      <c r="V1015" t="inlineStr">
        <is>
          <t>CHECK_VENDOR</t>
        </is>
      </c>
      <c r="W1015" t="inlineStr">
        <is>
          <t>https://nvd.nist.gov/vuln/detail/CVE-2025-9572</t>
        </is>
      </c>
      <c r="X1015" t="inlineStr">
        <is>
          <t>NONE</t>
        </is>
      </c>
      <c r="Y1015" t="n">
        <v>0</v>
      </c>
      <c r="Z1015" t="inlineStr"/>
      <c r="AA1015" t="inlineStr">
        <is>
          <t>https://nvd.nist.gov/vuln/detail/CVE-2025-9572</t>
        </is>
      </c>
    </row>
    <row r="1016">
      <c r="A1016" t="inlineStr">
        <is>
          <t>CVE</t>
        </is>
      </c>
      <c r="B1016" t="inlineStr">
        <is>
          <t>CVE-2025-9907</t>
        </is>
      </c>
      <c r="C1016"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1016" t="n">
        <v>6.7</v>
      </c>
      <c r="E1016" t="inlineStr">
        <is>
          <t>MEDIUM</t>
        </is>
      </c>
      <c r="F1016" t="n">
        <v>2</v>
      </c>
      <c r="G1016" t="n">
        <v>2</v>
      </c>
      <c r="H1016" t="inlineStr">
        <is>
          <t>MEDIUM</t>
        </is>
      </c>
      <c r="I1016" t="n">
        <v>10.7</v>
      </c>
      <c r="J1016" t="inlineStr">
        <is>
          <t>NO</t>
        </is>
      </c>
      <c r="K1016" t="inlineStr">
        <is>
          <t>2026-02-27 20:47</t>
        </is>
      </c>
      <c r="L1016" t="inlineStr">
        <is>
          <t>CHECK_VENDOR</t>
        </is>
      </c>
      <c r="M1016" t="inlineStr">
        <is>
          <t>See CVE details</t>
        </is>
      </c>
      <c r="N1016" t="inlineStr">
        <is>
          <t>P4</t>
        </is>
      </c>
      <c r="O1016" t="inlineStr">
        <is>
          <t>CVE - IP enrichment n/a</t>
        </is>
      </c>
      <c r="P1016" t="n">
        <v>0.0001</v>
      </c>
      <c r="Q1016" t="n">
        <v>0.0065</v>
      </c>
      <c r="R1016" t="inlineStr">
        <is>
          <t>T1213:Data from Information Repositories | T1068:Exploitation for Privilege Escalation | T1552:Unsecured Credentials</t>
        </is>
      </c>
      <c r="S1016" t="n">
        <v>1</v>
      </c>
      <c r="T1016" t="inlineStr">
        <is>
          <t>LOW (40%)</t>
        </is>
      </c>
      <c r="U1016" t="inlineStr">
        <is>
          <t>UNLIKELY</t>
        </is>
      </c>
      <c r="V1016" t="inlineStr">
        <is>
          <t>CHECK_VENDOR</t>
        </is>
      </c>
      <c r="W1016" t="inlineStr">
        <is>
          <t>https://nvd.nist.gov/vuln/detail/CVE-2025-9907</t>
        </is>
      </c>
      <c r="X1016" t="inlineStr">
        <is>
          <t>NONE</t>
        </is>
      </c>
      <c r="Y1016" t="n">
        <v>0</v>
      </c>
      <c r="Z1016" t="inlineStr"/>
      <c r="AA1016" t="inlineStr">
        <is>
          <t>https://nvd.nist.gov/vuln/detail/CVE-2025-9907</t>
        </is>
      </c>
    </row>
    <row r="1017">
      <c r="A1017" t="inlineStr">
        <is>
          <t>CVE</t>
        </is>
      </c>
      <c r="B1017" t="inlineStr">
        <is>
          <t>CVE-2025-9908</t>
        </is>
      </c>
      <c r="C1017"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1017" t="n">
        <v>6.7</v>
      </c>
      <c r="E1017" t="inlineStr">
        <is>
          <t>MEDIUM</t>
        </is>
      </c>
      <c r="F1017" t="n">
        <v>2</v>
      </c>
      <c r="G1017" t="n">
        <v>2</v>
      </c>
      <c r="H1017" t="inlineStr">
        <is>
          <t>MEDIUM</t>
        </is>
      </c>
      <c r="I1017" t="n">
        <v>10.7</v>
      </c>
      <c r="J1017" t="inlineStr">
        <is>
          <t>NO</t>
        </is>
      </c>
      <c r="K1017" t="inlineStr">
        <is>
          <t>2026-02-27 20:47</t>
        </is>
      </c>
      <c r="L1017" t="inlineStr">
        <is>
          <t>CHECK_VENDOR</t>
        </is>
      </c>
      <c r="M1017" t="inlineStr">
        <is>
          <t>See CVE details</t>
        </is>
      </c>
      <c r="N1017" t="inlineStr">
        <is>
          <t>P4</t>
        </is>
      </c>
      <c r="O1017" t="inlineStr">
        <is>
          <t>CVE - IP enrichment n/a</t>
        </is>
      </c>
      <c r="P1017" t="n">
        <v>0.0001</v>
      </c>
      <c r="Q1017" t="n">
        <v>0.0108</v>
      </c>
      <c r="R1017" t="inlineStr">
        <is>
          <t>T1213:Data from Information Repositories</t>
        </is>
      </c>
      <c r="S1017" t="n">
        <v>1</v>
      </c>
      <c r="T1017" t="inlineStr">
        <is>
          <t>LOW (40%)</t>
        </is>
      </c>
      <c r="U1017" t="inlineStr">
        <is>
          <t>UNLIKELY</t>
        </is>
      </c>
      <c r="V1017" t="inlineStr">
        <is>
          <t>CHECK_VENDOR</t>
        </is>
      </c>
      <c r="W1017" t="inlineStr">
        <is>
          <t>https://nvd.nist.gov/vuln/detail/CVE-2025-9908</t>
        </is>
      </c>
      <c r="X1017" t="inlineStr">
        <is>
          <t>NONE</t>
        </is>
      </c>
      <c r="Y1017" t="n">
        <v>0</v>
      </c>
      <c r="Z1017" t="inlineStr"/>
      <c r="AA1017" t="inlineStr">
        <is>
          <t>https://nvd.nist.gov/vuln/detail/CVE-2025-9908</t>
        </is>
      </c>
    </row>
    <row r="1018">
      <c r="A1018" t="inlineStr">
        <is>
          <t>CVE</t>
        </is>
      </c>
      <c r="B1018" t="inlineStr">
        <is>
          <t>CVE-2025-9909</t>
        </is>
      </c>
      <c r="C1018"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1018" t="n">
        <v>6.7</v>
      </c>
      <c r="E1018" t="inlineStr">
        <is>
          <t>MEDIUM</t>
        </is>
      </c>
      <c r="F1018" t="n">
        <v>2</v>
      </c>
      <c r="G1018" t="n">
        <v>2</v>
      </c>
      <c r="H1018" t="inlineStr">
        <is>
          <t>MEDIUM</t>
        </is>
      </c>
      <c r="I1018" t="n">
        <v>10.7</v>
      </c>
      <c r="J1018" t="inlineStr">
        <is>
          <t>NO</t>
        </is>
      </c>
      <c r="K1018" t="inlineStr">
        <is>
          <t>2026-02-27 20:47</t>
        </is>
      </c>
      <c r="L1018" t="inlineStr">
        <is>
          <t>CHECK_VENDOR</t>
        </is>
      </c>
      <c r="M1018" t="inlineStr">
        <is>
          <t>See CVE details</t>
        </is>
      </c>
      <c r="N1018" t="inlineStr">
        <is>
          <t>P4</t>
        </is>
      </c>
      <c r="O1018" t="inlineStr">
        <is>
          <t>CVE - IP enrichment n/a</t>
        </is>
      </c>
      <c r="P1018" t="n">
        <v>0.0001</v>
      </c>
      <c r="Q1018" t="n">
        <v>0.0115</v>
      </c>
      <c r="R1018" t="inlineStr">
        <is>
          <t>T1190:Exploit Public-Facing Application | T1552:Unsecured Credentials | T1543:Create or Modify System Process</t>
        </is>
      </c>
      <c r="S1018" t="n">
        <v>1</v>
      </c>
      <c r="T1018" t="inlineStr">
        <is>
          <t>LOW (40%)</t>
        </is>
      </c>
      <c r="U1018" t="inlineStr">
        <is>
          <t>UNLIKELY</t>
        </is>
      </c>
      <c r="V1018" t="inlineStr">
        <is>
          <t>CHECK_VENDOR</t>
        </is>
      </c>
      <c r="W1018" t="inlineStr">
        <is>
          <t>https://nvd.nist.gov/vuln/detail/CVE-2025-9909</t>
        </is>
      </c>
      <c r="X1018" t="inlineStr">
        <is>
          <t>NONE</t>
        </is>
      </c>
      <c r="Y1018" t="n">
        <v>0</v>
      </c>
      <c r="Z1018" t="inlineStr"/>
      <c r="AA1018" t="inlineStr">
        <is>
          <t>https://nvd.nist.gov/vuln/detail/CVE-2025-9909</t>
        </is>
      </c>
    </row>
    <row r="1019">
      <c r="A1019" t="inlineStr">
        <is>
          <t>CVE</t>
        </is>
      </c>
      <c r="B1019" t="inlineStr">
        <is>
          <t>CVE-2026-0871</t>
        </is>
      </c>
      <c r="C1019"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1019" t="n">
        <v>4.9</v>
      </c>
      <c r="E1019" t="inlineStr">
        <is>
          <t>MEDIUM</t>
        </is>
      </c>
      <c r="F1019" t="n">
        <v>2</v>
      </c>
      <c r="G1019" t="n">
        <v>2</v>
      </c>
      <c r="H1019" t="inlineStr">
        <is>
          <t>MEDIUM</t>
        </is>
      </c>
      <c r="I1019" t="n">
        <v>8.9</v>
      </c>
      <c r="J1019" t="inlineStr">
        <is>
          <t>NO</t>
        </is>
      </c>
      <c r="K1019" t="inlineStr">
        <is>
          <t>2026-02-27 20:47</t>
        </is>
      </c>
      <c r="L1019" t="inlineStr">
        <is>
          <t>CHECK_VENDOR</t>
        </is>
      </c>
      <c r="M1019" t="inlineStr">
        <is>
          <t>See CVE details</t>
        </is>
      </c>
      <c r="N1019" t="inlineStr">
        <is>
          <t>P4</t>
        </is>
      </c>
      <c r="O1019" t="inlineStr">
        <is>
          <t>CVE - IP enrichment n/a</t>
        </is>
      </c>
      <c r="P1019" t="n">
        <v>0.0002</v>
      </c>
      <c r="Q1019" t="n">
        <v>0.06419999999999999</v>
      </c>
      <c r="R1019" t="inlineStr">
        <is>
          <t>T1190:Exploit Public-Facing Application</t>
        </is>
      </c>
      <c r="S1019" t="n">
        <v>1</v>
      </c>
      <c r="T1019" t="inlineStr">
        <is>
          <t>LOW (40%)</t>
        </is>
      </c>
      <c r="U1019" t="inlineStr">
        <is>
          <t>UNLIKELY</t>
        </is>
      </c>
      <c r="V1019" t="inlineStr">
        <is>
          <t>CHECK_VENDOR</t>
        </is>
      </c>
      <c r="W1019" t="inlineStr">
        <is>
          <t>https://nvd.nist.gov/vuln/detail/CVE-2026-0871</t>
        </is>
      </c>
      <c r="X1019" t="inlineStr">
        <is>
          <t>NONE</t>
        </is>
      </c>
      <c r="Y1019" t="n">
        <v>0</v>
      </c>
      <c r="Z1019" t="inlineStr"/>
      <c r="AA1019" t="inlineStr">
        <is>
          <t>https://nvd.nist.gov/vuln/detail/CVE-2026-0871</t>
        </is>
      </c>
    </row>
    <row r="1020">
      <c r="A1020" t="inlineStr">
        <is>
          <t>CVE</t>
        </is>
      </c>
      <c r="B1020" t="inlineStr">
        <is>
          <t>CVE-2026-0980</t>
        </is>
      </c>
      <c r="C1020"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1020" t="n">
        <v>8.300000000000001</v>
      </c>
      <c r="E1020" t="inlineStr">
        <is>
          <t>HIGH</t>
        </is>
      </c>
      <c r="F1020" t="n">
        <v>2</v>
      </c>
      <c r="G1020" t="n">
        <v>3</v>
      </c>
      <c r="H1020" t="inlineStr">
        <is>
          <t>HIGH</t>
        </is>
      </c>
      <c r="I1020" t="n">
        <v>14.3</v>
      </c>
      <c r="J1020" t="inlineStr">
        <is>
          <t>NO</t>
        </is>
      </c>
      <c r="K1020" t="inlineStr">
        <is>
          <t>2026-02-27 20:47</t>
        </is>
      </c>
      <c r="L1020" t="inlineStr">
        <is>
          <t>CHECK_VENDOR</t>
        </is>
      </c>
      <c r="M1020" t="inlineStr">
        <is>
          <t>See CVE details</t>
        </is>
      </c>
      <c r="N1020" t="inlineStr">
        <is>
          <t>P3</t>
        </is>
      </c>
      <c r="O1020" t="inlineStr">
        <is>
          <t>CVE - IP enrichment n/a</t>
        </is>
      </c>
      <c r="P1020" t="n">
        <v>0.0022</v>
      </c>
      <c r="Q1020" t="n">
        <v>0.4405</v>
      </c>
      <c r="R1020" t="inlineStr">
        <is>
          <t>T1059:Command and Scripting Interpreter | T1190:Exploit Public-Facing Application | T1210:Exploitation of Remote Services</t>
        </is>
      </c>
      <c r="S1020" t="n">
        <v>1</v>
      </c>
      <c r="T1020" t="inlineStr">
        <is>
          <t>LOW (40%)</t>
        </is>
      </c>
      <c r="U1020" t="inlineStr">
        <is>
          <t>UNLIKELY</t>
        </is>
      </c>
      <c r="V1020" t="inlineStr">
        <is>
          <t>CHECK_VENDOR</t>
        </is>
      </c>
      <c r="W1020" t="inlineStr">
        <is>
          <t>https://nvd.nist.gov/vuln/detail/CVE-2026-0980</t>
        </is>
      </c>
      <c r="X1020" t="inlineStr">
        <is>
          <t>NONE</t>
        </is>
      </c>
      <c r="Y1020" t="n">
        <v>0</v>
      </c>
      <c r="Z1020" t="inlineStr"/>
      <c r="AA1020" t="inlineStr">
        <is>
          <t>https://nvd.nist.gov/vuln/detail/CVE-2026-0980</t>
        </is>
      </c>
    </row>
    <row r="1021">
      <c r="A1021" t="inlineStr">
        <is>
          <t>CVE</t>
        </is>
      </c>
      <c r="B1021" t="inlineStr">
        <is>
          <t>CVE-2026-27776</t>
        </is>
      </c>
      <c r="C1021"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1021" t="n">
        <v>7.2</v>
      </c>
      <c r="E1021" t="inlineStr">
        <is>
          <t>HIGH</t>
        </is>
      </c>
      <c r="F1021" t="n">
        <v>2</v>
      </c>
      <c r="G1021" t="n">
        <v>3</v>
      </c>
      <c r="H1021" t="inlineStr">
        <is>
          <t>HIGH</t>
        </is>
      </c>
      <c r="I1021" t="n">
        <v>13.2</v>
      </c>
      <c r="J1021" t="inlineStr">
        <is>
          <t>NO</t>
        </is>
      </c>
      <c r="K1021" t="inlineStr">
        <is>
          <t>2026-02-27 20:47</t>
        </is>
      </c>
      <c r="L1021" t="inlineStr">
        <is>
          <t>CHECK_VENDOR</t>
        </is>
      </c>
      <c r="M1021" t="inlineStr">
        <is>
          <t>See CVE details</t>
        </is>
      </c>
      <c r="N1021" t="inlineStr">
        <is>
          <t>P3</t>
        </is>
      </c>
      <c r="O1021" t="inlineStr">
        <is>
          <t>CVE - IP enrichment n/a</t>
        </is>
      </c>
      <c r="P1021" t="n">
        <v>0.0005</v>
      </c>
      <c r="Q1021" t="n">
        <v>0.1478</v>
      </c>
      <c r="R1021" t="inlineStr">
        <is>
          <t>T1059:Command and Scripting Interpreter | T1203:Exploitation for Client Execution</t>
        </is>
      </c>
      <c r="S1021" t="n">
        <v>1</v>
      </c>
      <c r="T1021" t="inlineStr">
        <is>
          <t>LOW (40%)</t>
        </is>
      </c>
      <c r="U1021" t="inlineStr">
        <is>
          <t>UNLIKELY</t>
        </is>
      </c>
      <c r="V1021" t="inlineStr">
        <is>
          <t>CHECK_VENDOR</t>
        </is>
      </c>
      <c r="W1021" t="inlineStr">
        <is>
          <t>https://nvd.nist.gov/vuln/detail/CVE-2026-27776</t>
        </is>
      </c>
      <c r="X1021" t="inlineStr">
        <is>
          <t>NONE</t>
        </is>
      </c>
      <c r="Y1021" t="n">
        <v>0</v>
      </c>
      <c r="Z1021" t="inlineStr"/>
      <c r="AA1021" t="inlineStr">
        <is>
          <t>https://nvd.nist.gov/vuln/detail/CVE-2026-27776</t>
        </is>
      </c>
    </row>
    <row r="1022">
      <c r="A1022" t="inlineStr">
        <is>
          <t>CVE</t>
        </is>
      </c>
      <c r="B1022" t="inlineStr">
        <is>
          <t>CVE-2025-12150</t>
        </is>
      </c>
      <c r="C1022"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1022" t="n">
        <v>3.1</v>
      </c>
      <c r="E1022" t="inlineStr">
        <is>
          <t>LOW</t>
        </is>
      </c>
      <c r="F1022" t="n">
        <v>2</v>
      </c>
      <c r="G1022" t="n">
        <v>1</v>
      </c>
      <c r="H1022" t="inlineStr">
        <is>
          <t>LOW</t>
        </is>
      </c>
      <c r="I1022" t="n">
        <v>5.1</v>
      </c>
      <c r="J1022" t="inlineStr">
        <is>
          <t>NO</t>
        </is>
      </c>
      <c r="K1022" t="inlineStr">
        <is>
          <t>2026-02-27 20:47</t>
        </is>
      </c>
      <c r="L1022" t="inlineStr">
        <is>
          <t>CHECK_VENDOR</t>
        </is>
      </c>
      <c r="M1022" t="inlineStr">
        <is>
          <t>See CVE details</t>
        </is>
      </c>
      <c r="N1022" t="inlineStr">
        <is>
          <t>P4</t>
        </is>
      </c>
      <c r="O1022" t="inlineStr">
        <is>
          <t>CVE - IP enrichment n/a</t>
        </is>
      </c>
      <c r="P1022" t="n">
        <v>0.0005</v>
      </c>
      <c r="Q1022" t="n">
        <v>0.1441</v>
      </c>
      <c r="R1022" t="inlineStr">
        <is>
          <t>T1190:Exploit Public-Facing Application</t>
        </is>
      </c>
      <c r="S1022" t="n">
        <v>1</v>
      </c>
      <c r="T1022" t="inlineStr">
        <is>
          <t>LOW (40%)</t>
        </is>
      </c>
      <c r="U1022" t="inlineStr">
        <is>
          <t>UNLIKELY</t>
        </is>
      </c>
      <c r="V1022" t="inlineStr">
        <is>
          <t>CHECK_VENDOR</t>
        </is>
      </c>
      <c r="W1022" t="inlineStr">
        <is>
          <t>https://nvd.nist.gov/vuln/detail/CVE-2025-12150</t>
        </is>
      </c>
      <c r="X1022" t="inlineStr">
        <is>
          <t>NONE</t>
        </is>
      </c>
      <c r="Y1022" t="n">
        <v>0</v>
      </c>
      <c r="Z1022" t="inlineStr"/>
      <c r="AA1022" t="inlineStr">
        <is>
          <t>https://nvd.nist.gov/vuln/detail/CVE-2025-12150</t>
        </is>
      </c>
    </row>
    <row r="1023">
      <c r="A1023" t="inlineStr">
        <is>
          <t>CVE</t>
        </is>
      </c>
      <c r="B1023" t="inlineStr">
        <is>
          <t>CVE-2026-1626</t>
        </is>
      </c>
      <c r="C1023" t="inlineStr">
        <is>
          <t>An attacker may exploit the use of weak CBC-based cipher suites in the device’s SSH service to potentially observe or manipulate parts of the encrypted SSH communication, if they are able to intercept or interact with the network traffic.</t>
        </is>
      </c>
      <c r="D1023" t="n">
        <v>6.5</v>
      </c>
      <c r="E1023" t="inlineStr">
        <is>
          <t>MEDIUM</t>
        </is>
      </c>
      <c r="F1023" t="n">
        <v>2</v>
      </c>
      <c r="G1023" t="n">
        <v>2</v>
      </c>
      <c r="H1023" t="inlineStr">
        <is>
          <t>MEDIUM</t>
        </is>
      </c>
      <c r="I1023" t="n">
        <v>10.5</v>
      </c>
      <c r="J1023" t="inlineStr">
        <is>
          <t>NO</t>
        </is>
      </c>
      <c r="K1023" t="inlineStr">
        <is>
          <t>2026-02-27 20:47</t>
        </is>
      </c>
      <c r="L1023" t="inlineStr">
        <is>
          <t>CHECK_VENDOR</t>
        </is>
      </c>
      <c r="M1023" t="inlineStr">
        <is>
          <t>See CVE details</t>
        </is>
      </c>
      <c r="N1023" t="inlineStr">
        <is>
          <t>P4</t>
        </is>
      </c>
      <c r="O1023" t="inlineStr">
        <is>
          <t>CVE - IP enrichment n/a</t>
        </is>
      </c>
      <c r="P1023" t="n">
        <v>0.0002</v>
      </c>
      <c r="Q1023" t="n">
        <v>0.0623</v>
      </c>
      <c r="R1023" t="inlineStr">
        <is>
          <t>T1190:Exploit Public-Facing Application</t>
        </is>
      </c>
      <c r="S1023" t="n">
        <v>1</v>
      </c>
      <c r="T1023" t="inlineStr">
        <is>
          <t>LOW (40%)</t>
        </is>
      </c>
      <c r="U1023" t="inlineStr">
        <is>
          <t>UNLIKELY</t>
        </is>
      </c>
      <c r="V1023" t="inlineStr">
        <is>
          <t>CHECK_VENDOR</t>
        </is>
      </c>
      <c r="W1023" t="inlineStr">
        <is>
          <t>https://nvd.nist.gov/vuln/detail/CVE-2026-1626</t>
        </is>
      </c>
      <c r="X1023" t="inlineStr">
        <is>
          <t>NONE</t>
        </is>
      </c>
      <c r="Y1023" t="n">
        <v>0</v>
      </c>
      <c r="Z1023" t="inlineStr"/>
      <c r="AA1023" t="inlineStr">
        <is>
          <t>https://nvd.nist.gov/vuln/detail/CVE-2026-1626</t>
        </is>
      </c>
    </row>
    <row r="1024">
      <c r="A1024" t="inlineStr">
        <is>
          <t>CVE</t>
        </is>
      </c>
      <c r="B1024" t="inlineStr">
        <is>
          <t>CVE-2026-1627</t>
        </is>
      </c>
      <c r="C1024" t="inlineStr">
        <is>
          <t>An attacker may exploit the use of outdated and weak MAC algorithms in the device’s SSH service to potentially compromise the integrity of the SSH session, allowing manipulation of transmitted data if the attacker can interact with the network traffic.</t>
        </is>
      </c>
      <c r="D1024" t="n">
        <v>6.5</v>
      </c>
      <c r="E1024" t="inlineStr">
        <is>
          <t>MEDIUM</t>
        </is>
      </c>
      <c r="F1024" t="n">
        <v>2</v>
      </c>
      <c r="G1024" t="n">
        <v>2</v>
      </c>
      <c r="H1024" t="inlineStr">
        <is>
          <t>MEDIUM</t>
        </is>
      </c>
      <c r="I1024" t="n">
        <v>10.5</v>
      </c>
      <c r="J1024" t="inlineStr">
        <is>
          <t>NO</t>
        </is>
      </c>
      <c r="K1024" t="inlineStr">
        <is>
          <t>2026-02-27 20:47</t>
        </is>
      </c>
      <c r="L1024" t="inlineStr">
        <is>
          <t>CHECK_VENDOR</t>
        </is>
      </c>
      <c r="M1024" t="inlineStr">
        <is>
          <t>See CVE details</t>
        </is>
      </c>
      <c r="N1024" t="inlineStr">
        <is>
          <t>P4</t>
        </is>
      </c>
      <c r="O1024" t="inlineStr">
        <is>
          <t>CVE - IP enrichment n/a</t>
        </is>
      </c>
      <c r="P1024" t="n">
        <v>0.0002</v>
      </c>
      <c r="Q1024" t="n">
        <v>0.06</v>
      </c>
      <c r="R1024" t="inlineStr">
        <is>
          <t>T1190:Exploit Public-Facing Application</t>
        </is>
      </c>
      <c r="S1024" t="n">
        <v>1</v>
      </c>
      <c r="T1024" t="inlineStr">
        <is>
          <t>LOW (40%)</t>
        </is>
      </c>
      <c r="U1024" t="inlineStr">
        <is>
          <t>UNLIKELY</t>
        </is>
      </c>
      <c r="V1024" t="inlineStr">
        <is>
          <t>CHECK_VENDOR</t>
        </is>
      </c>
      <c r="W1024" t="inlineStr">
        <is>
          <t>https://nvd.nist.gov/vuln/detail/CVE-2026-1627</t>
        </is>
      </c>
      <c r="X1024" t="inlineStr">
        <is>
          <t>NONE</t>
        </is>
      </c>
      <c r="Y1024" t="n">
        <v>0</v>
      </c>
      <c r="Z1024" t="inlineStr"/>
      <c r="AA1024" t="inlineStr">
        <is>
          <t>https://nvd.nist.gov/vuln/detail/CVE-2026-1627</t>
        </is>
      </c>
    </row>
    <row r="1025">
      <c r="A1025" t="inlineStr">
        <is>
          <t>CVE</t>
        </is>
      </c>
      <c r="B1025" t="inlineStr">
        <is>
          <t>CVE-2026-21654</t>
        </is>
      </c>
      <c r="C1025"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1025" t="n">
        <v>5</v>
      </c>
      <c r="E1025" t="inlineStr">
        <is>
          <t>MEDIUM</t>
        </is>
      </c>
      <c r="F1025" t="n">
        <v>2</v>
      </c>
      <c r="G1025" t="n">
        <v>2</v>
      </c>
      <c r="H1025" t="inlineStr">
        <is>
          <t>MEDIUM</t>
        </is>
      </c>
      <c r="I1025" t="n">
        <v>9</v>
      </c>
      <c r="J1025" t="inlineStr">
        <is>
          <t>NO</t>
        </is>
      </c>
      <c r="K1025" t="inlineStr">
        <is>
          <t>2026-02-27 20:47</t>
        </is>
      </c>
      <c r="L1025" t="inlineStr">
        <is>
          <t>CHECK_VENDOR</t>
        </is>
      </c>
      <c r="M1025" t="inlineStr">
        <is>
          <t>See CVE details</t>
        </is>
      </c>
      <c r="N1025" t="inlineStr">
        <is>
          <t>P4</t>
        </is>
      </c>
      <c r="O1025" t="inlineStr">
        <is>
          <t>CVE - IP enrichment n/a</t>
        </is>
      </c>
      <c r="P1025" t="n">
        <v>0.0036</v>
      </c>
      <c r="Q1025" t="n">
        <v>0.5738</v>
      </c>
      <c r="R1025" t="inlineStr">
        <is>
          <t>T1059:Command and Scripting Interpreter</t>
        </is>
      </c>
      <c r="S1025" t="n">
        <v>1</v>
      </c>
      <c r="T1025" t="inlineStr">
        <is>
          <t>LOW (40%)</t>
        </is>
      </c>
      <c r="U1025" t="inlineStr">
        <is>
          <t>UNLIKELY</t>
        </is>
      </c>
      <c r="V1025" t="inlineStr">
        <is>
          <t>CHECK_VENDOR</t>
        </is>
      </c>
      <c r="W1025" t="inlineStr">
        <is>
          <t>https://nvd.nist.gov/vuln/detail/CVE-2026-21654</t>
        </is>
      </c>
      <c r="X1025" t="inlineStr">
        <is>
          <t>NONE</t>
        </is>
      </c>
      <c r="Y1025" t="n">
        <v>0</v>
      </c>
      <c r="Z1025" t="inlineStr"/>
      <c r="AA1025" t="inlineStr">
        <is>
          <t>https://nvd.nist.gov/vuln/detail/CVE-2026-21654</t>
        </is>
      </c>
    </row>
    <row r="1026">
      <c r="A1026" t="inlineStr">
        <is>
          <t>CVE</t>
        </is>
      </c>
      <c r="B1026" t="inlineStr">
        <is>
          <t>CVE-2026-21656</t>
        </is>
      </c>
      <c r="C1026"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6" t="n">
        <v>5</v>
      </c>
      <c r="E1026" t="inlineStr">
        <is>
          <t>MEDIUM</t>
        </is>
      </c>
      <c r="F1026" t="n">
        <v>2</v>
      </c>
      <c r="G1026" t="n">
        <v>2</v>
      </c>
      <c r="H1026" t="inlineStr">
        <is>
          <t>MEDIUM</t>
        </is>
      </c>
      <c r="I1026" t="n">
        <v>9</v>
      </c>
      <c r="J1026" t="inlineStr">
        <is>
          <t>NO</t>
        </is>
      </c>
      <c r="K1026" t="inlineStr">
        <is>
          <t>2026-02-27 20:47</t>
        </is>
      </c>
      <c r="L1026" t="inlineStr">
        <is>
          <t>CHECK_VENDOR</t>
        </is>
      </c>
      <c r="M1026" t="inlineStr">
        <is>
          <t>See CVE details</t>
        </is>
      </c>
      <c r="N1026" t="inlineStr">
        <is>
          <t>P4</t>
        </is>
      </c>
      <c r="O1026" t="inlineStr">
        <is>
          <t>CVE - IP enrichment n/a</t>
        </is>
      </c>
      <c r="P1026" t="n">
        <v>0.0008</v>
      </c>
      <c r="Q1026" t="n">
        <v>0.233</v>
      </c>
      <c r="R1026" t="inlineStr">
        <is>
          <t>T1059:Command and Scripting Interpreter</t>
        </is>
      </c>
      <c r="S1026" t="n">
        <v>1</v>
      </c>
      <c r="T1026" t="inlineStr">
        <is>
          <t>LOW (40%)</t>
        </is>
      </c>
      <c r="U1026" t="inlineStr">
        <is>
          <t>UNLIKELY</t>
        </is>
      </c>
      <c r="V1026" t="inlineStr">
        <is>
          <t>CHECK_VENDOR</t>
        </is>
      </c>
      <c r="W1026" t="inlineStr">
        <is>
          <t>https://nvd.nist.gov/vuln/detail/CVE-2026-21656</t>
        </is>
      </c>
      <c r="X1026" t="inlineStr">
        <is>
          <t>NONE</t>
        </is>
      </c>
      <c r="Y1026" t="n">
        <v>0</v>
      </c>
      <c r="Z1026" t="inlineStr"/>
      <c r="AA1026" t="inlineStr">
        <is>
          <t>https://nvd.nist.gov/vuln/detail/CVE-2026-21656</t>
        </is>
      </c>
    </row>
    <row r="1027">
      <c r="A1027" t="inlineStr">
        <is>
          <t>CVE</t>
        </is>
      </c>
      <c r="B1027" t="inlineStr">
        <is>
          <t>CVE-2026-21657</t>
        </is>
      </c>
      <c r="C1027"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7" t="n">
        <v>5</v>
      </c>
      <c r="E1027" t="inlineStr">
        <is>
          <t>MEDIUM</t>
        </is>
      </c>
      <c r="F1027" t="n">
        <v>2</v>
      </c>
      <c r="G1027" t="n">
        <v>2</v>
      </c>
      <c r="H1027" t="inlineStr">
        <is>
          <t>MEDIUM</t>
        </is>
      </c>
      <c r="I1027" t="n">
        <v>9</v>
      </c>
      <c r="J1027" t="inlineStr">
        <is>
          <t>NO</t>
        </is>
      </c>
      <c r="K1027" t="inlineStr">
        <is>
          <t>2026-02-27 20:47</t>
        </is>
      </c>
      <c r="L1027" t="inlineStr">
        <is>
          <t>CHECK_VENDOR</t>
        </is>
      </c>
      <c r="M1027" t="inlineStr">
        <is>
          <t>See CVE details</t>
        </is>
      </c>
      <c r="N1027" t="inlineStr">
        <is>
          <t>P4</t>
        </is>
      </c>
      <c r="O1027" t="inlineStr">
        <is>
          <t>CVE - IP enrichment n/a</t>
        </is>
      </c>
      <c r="P1027" t="n">
        <v>0.0008</v>
      </c>
      <c r="Q1027" t="n">
        <v>0.233</v>
      </c>
      <c r="R1027" t="inlineStr">
        <is>
          <t>T1059:Command and Scripting Interpreter</t>
        </is>
      </c>
      <c r="S1027" t="n">
        <v>1</v>
      </c>
      <c r="T1027" t="inlineStr">
        <is>
          <t>LOW (40%)</t>
        </is>
      </c>
      <c r="U1027" t="inlineStr">
        <is>
          <t>UNLIKELY</t>
        </is>
      </c>
      <c r="V1027" t="inlineStr">
        <is>
          <t>CHECK_VENDOR</t>
        </is>
      </c>
      <c r="W1027" t="inlineStr">
        <is>
          <t>https://nvd.nist.gov/vuln/detail/CVE-2026-21657</t>
        </is>
      </c>
      <c r="X1027" t="inlineStr">
        <is>
          <t>NONE</t>
        </is>
      </c>
      <c r="Y1027" t="n">
        <v>0</v>
      </c>
      <c r="Z1027" t="inlineStr"/>
      <c r="AA1027" t="inlineStr">
        <is>
          <t>https://nvd.nist.gov/vuln/detail/CVE-2026-21657</t>
        </is>
      </c>
    </row>
    <row r="1028">
      <c r="A1028" t="inlineStr">
        <is>
          <t>CVE</t>
        </is>
      </c>
      <c r="B1028" t="inlineStr">
        <is>
          <t>CVE-2026-21658</t>
        </is>
      </c>
      <c r="C1028"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1028" t="n">
        <v>8.5</v>
      </c>
      <c r="E1028" t="inlineStr">
        <is>
          <t>HIGH</t>
        </is>
      </c>
      <c r="F1028" t="n">
        <v>2</v>
      </c>
      <c r="G1028" t="n">
        <v>3</v>
      </c>
      <c r="H1028" t="inlineStr">
        <is>
          <t>HIGH</t>
        </is>
      </c>
      <c r="I1028" t="n">
        <v>14.5</v>
      </c>
      <c r="J1028" t="inlineStr">
        <is>
          <t>NO</t>
        </is>
      </c>
      <c r="K1028" t="inlineStr">
        <is>
          <t>2026-02-27 20:47</t>
        </is>
      </c>
      <c r="L1028" t="inlineStr">
        <is>
          <t>CHECK_VENDOR</t>
        </is>
      </c>
      <c r="M1028" t="inlineStr">
        <is>
          <t>See CVE details</t>
        </is>
      </c>
      <c r="N1028" t="inlineStr">
        <is>
          <t>P3</t>
        </is>
      </c>
      <c r="O1028" t="inlineStr">
        <is>
          <t>CVE - IP enrichment n/a</t>
        </is>
      </c>
      <c r="P1028" t="n">
        <v>0.0059</v>
      </c>
      <c r="Q1028" t="n">
        <v>0.6884</v>
      </c>
      <c r="R1028" t="inlineStr">
        <is>
          <t>T1059:Command and Scripting Interpreter | T1190:Exploit Public-Facing Application | T1210:Exploitation of Remote Services</t>
        </is>
      </c>
      <c r="S1028" t="n">
        <v>1</v>
      </c>
      <c r="T1028" t="inlineStr">
        <is>
          <t>LOW (40%)</t>
        </is>
      </c>
      <c r="U1028" t="inlineStr">
        <is>
          <t>UNLIKELY</t>
        </is>
      </c>
      <c r="V1028" t="inlineStr">
        <is>
          <t>CHECK_VENDOR</t>
        </is>
      </c>
      <c r="W1028" t="inlineStr">
        <is>
          <t>https://nvd.nist.gov/vuln/detail/CVE-2026-21658</t>
        </is>
      </c>
      <c r="X1028" t="inlineStr">
        <is>
          <t>NONE</t>
        </is>
      </c>
      <c r="Y1028" t="n">
        <v>0</v>
      </c>
      <c r="Z1028" t="inlineStr"/>
      <c r="AA1028" t="inlineStr">
        <is>
          <t>https://nvd.nist.gov/vuln/detail/CVE-2026-21658</t>
        </is>
      </c>
    </row>
    <row r="1029">
      <c r="A1029" t="inlineStr">
        <is>
          <t>CVE</t>
        </is>
      </c>
      <c r="B1029" t="inlineStr">
        <is>
          <t>CVE-2026-2251</t>
        </is>
      </c>
      <c r="C1029"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1029" t="n">
        <v>9.800000000000001</v>
      </c>
      <c r="E1029" t="inlineStr">
        <is>
          <t>CRITICAL</t>
        </is>
      </c>
      <c r="F1029" t="n">
        <v>2</v>
      </c>
      <c r="G1029" t="n">
        <v>3</v>
      </c>
      <c r="H1029" t="inlineStr">
        <is>
          <t>HIGH</t>
        </is>
      </c>
      <c r="I1029" t="n">
        <v>15.8</v>
      </c>
      <c r="J1029" t="inlineStr">
        <is>
          <t>NO</t>
        </is>
      </c>
      <c r="K1029" t="inlineStr">
        <is>
          <t>2026-02-27 20:47</t>
        </is>
      </c>
      <c r="L1029" t="inlineStr">
        <is>
          <t>CHECK_VENDOR</t>
        </is>
      </c>
      <c r="M1029" t="inlineStr">
        <is>
          <t>See CVE details</t>
        </is>
      </c>
      <c r="N1029" t="inlineStr">
        <is>
          <t>P3</t>
        </is>
      </c>
      <c r="O1029" t="inlineStr">
        <is>
          <t>CVE - IP enrichment n/a</t>
        </is>
      </c>
      <c r="P1029" t="n">
        <v>0.0005</v>
      </c>
      <c r="Q1029" t="n">
        <v>0.1682</v>
      </c>
      <c r="R1029" t="inlineStr">
        <is>
          <t>T1083:File and Directory Discovery | T1190:Exploit Public-Facing Application</t>
        </is>
      </c>
      <c r="S1029" t="n">
        <v>1</v>
      </c>
      <c r="T1029" t="inlineStr">
        <is>
          <t>LOW (40%)</t>
        </is>
      </c>
      <c r="U1029" t="inlineStr">
        <is>
          <t>UNLIKELY</t>
        </is>
      </c>
      <c r="V1029" t="inlineStr">
        <is>
          <t>CHECK_VENDOR</t>
        </is>
      </c>
      <c r="W1029" t="inlineStr">
        <is>
          <t>https://nvd.nist.gov/vuln/detail/CVE-2026-2251</t>
        </is>
      </c>
      <c r="X1029" t="inlineStr">
        <is>
          <t>NONE</t>
        </is>
      </c>
      <c r="Y1029" t="n">
        <v>0</v>
      </c>
      <c r="Z1029" t="inlineStr"/>
      <c r="AA1029" t="inlineStr">
        <is>
          <t>https://nvd.nist.gov/vuln/detail/CVE-2026-2251</t>
        </is>
      </c>
    </row>
    <row r="1030">
      <c r="A1030" t="inlineStr">
        <is>
          <t>CVE</t>
        </is>
      </c>
      <c r="B1030" t="inlineStr">
        <is>
          <t>CVE-2026-2252</t>
        </is>
      </c>
      <c r="C1030"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1030" t="n">
        <v>7.5</v>
      </c>
      <c r="E1030" t="inlineStr">
        <is>
          <t>HIGH</t>
        </is>
      </c>
      <c r="F1030" t="n">
        <v>2</v>
      </c>
      <c r="G1030" t="n">
        <v>3</v>
      </c>
      <c r="H1030" t="inlineStr">
        <is>
          <t>HIGH</t>
        </is>
      </c>
      <c r="I1030" t="n">
        <v>13.5</v>
      </c>
      <c r="J1030" t="inlineStr">
        <is>
          <t>NO</t>
        </is>
      </c>
      <c r="K1030" t="inlineStr">
        <is>
          <t>2026-02-27 20:47</t>
        </is>
      </c>
      <c r="L1030" t="inlineStr">
        <is>
          <t>CHECK_VENDOR</t>
        </is>
      </c>
      <c r="M1030" t="inlineStr">
        <is>
          <t>See CVE details</t>
        </is>
      </c>
      <c r="N1030" t="inlineStr">
        <is>
          <t>P3</t>
        </is>
      </c>
      <c r="O1030" t="inlineStr">
        <is>
          <t>CVE - IP enrichment n/a</t>
        </is>
      </c>
      <c r="P1030" t="n">
        <v>0.0004</v>
      </c>
      <c r="Q1030" t="n">
        <v>0.1109</v>
      </c>
      <c r="R1030" t="inlineStr">
        <is>
          <t>T1059.003:Windows Command Shell | T1090:Proxy</t>
        </is>
      </c>
      <c r="S1030" t="n">
        <v>1</v>
      </c>
      <c r="T1030" t="inlineStr">
        <is>
          <t>LOW (40%)</t>
        </is>
      </c>
      <c r="U1030" t="inlineStr">
        <is>
          <t>UNLIKELY</t>
        </is>
      </c>
      <c r="V1030" t="inlineStr">
        <is>
          <t>CHECK_VENDOR</t>
        </is>
      </c>
      <c r="W1030" t="inlineStr">
        <is>
          <t>https://nvd.nist.gov/vuln/detail/CVE-2026-2252</t>
        </is>
      </c>
      <c r="X1030" t="inlineStr">
        <is>
          <t>NONE</t>
        </is>
      </c>
      <c r="Y1030" t="n">
        <v>0</v>
      </c>
      <c r="Z1030" t="inlineStr"/>
      <c r="AA1030" t="inlineStr">
        <is>
          <t>https://nvd.nist.gov/vuln/detail/CVE-2026-2252</t>
        </is>
      </c>
    </row>
    <row r="1031">
      <c r="A1031" t="inlineStr">
        <is>
          <t>CVE</t>
        </is>
      </c>
      <c r="B1031" t="inlineStr">
        <is>
          <t>CVE-2026-2362</t>
        </is>
      </c>
      <c r="C1031"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1031" t="n">
        <v>6.4</v>
      </c>
      <c r="E1031" t="inlineStr">
        <is>
          <t>MEDIUM</t>
        </is>
      </c>
      <c r="F1031" t="n">
        <v>2</v>
      </c>
      <c r="G1031" t="n">
        <v>2</v>
      </c>
      <c r="H1031" t="inlineStr">
        <is>
          <t>MEDIUM</t>
        </is>
      </c>
      <c r="I1031" t="n">
        <v>10.4</v>
      </c>
      <c r="J1031" t="inlineStr">
        <is>
          <t>NO</t>
        </is>
      </c>
      <c r="K1031" t="inlineStr">
        <is>
          <t>2026-02-27 20:47</t>
        </is>
      </c>
      <c r="L1031" t="inlineStr">
        <is>
          <t>CHECK_VENDOR</t>
        </is>
      </c>
      <c r="M1031" t="inlineStr">
        <is>
          <t>See CVE details</t>
        </is>
      </c>
      <c r="N1031" t="inlineStr">
        <is>
          <t>P4</t>
        </is>
      </c>
      <c r="O1031" t="inlineStr">
        <is>
          <t>CVE - IP enrichment n/a</t>
        </is>
      </c>
      <c r="P1031" t="n">
        <v>0.0004</v>
      </c>
      <c r="Q1031" t="n">
        <v>0.1049</v>
      </c>
      <c r="R1031" t="inlineStr">
        <is>
          <t>T1189:Drive-by Compromise</t>
        </is>
      </c>
      <c r="S1031" t="n">
        <v>1</v>
      </c>
      <c r="T1031" t="inlineStr">
        <is>
          <t>LOW (40%)</t>
        </is>
      </c>
      <c r="U1031" t="inlineStr">
        <is>
          <t>UNLIKELY</t>
        </is>
      </c>
      <c r="V1031" t="inlineStr">
        <is>
          <t>CHECK_VENDOR</t>
        </is>
      </c>
      <c r="W1031" t="inlineStr">
        <is>
          <t>https://nvd.nist.gov/vuln/detail/CVE-2026-2362</t>
        </is>
      </c>
      <c r="X1031" t="inlineStr">
        <is>
          <t>NONE</t>
        </is>
      </c>
      <c r="Y1031" t="n">
        <v>0</v>
      </c>
      <c r="Z1031" t="inlineStr"/>
      <c r="AA1031" t="inlineStr">
        <is>
          <t>https://nvd.nist.gov/vuln/detail/CVE-2026-2362</t>
        </is>
      </c>
    </row>
    <row r="1032">
      <c r="A1032" t="inlineStr">
        <is>
          <t>CVE</t>
        </is>
      </c>
      <c r="B1032" t="inlineStr">
        <is>
          <t>CVE-2026-2383</t>
        </is>
      </c>
      <c r="C1032"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1032" t="n">
        <v>6.4</v>
      </c>
      <c r="E1032" t="inlineStr">
        <is>
          <t>MEDIUM</t>
        </is>
      </c>
      <c r="F1032" t="n">
        <v>2</v>
      </c>
      <c r="G1032" t="n">
        <v>2</v>
      </c>
      <c r="H1032" t="inlineStr">
        <is>
          <t>MEDIUM</t>
        </is>
      </c>
      <c r="I1032" t="n">
        <v>10.4</v>
      </c>
      <c r="J1032" t="inlineStr">
        <is>
          <t>NO</t>
        </is>
      </c>
      <c r="K1032" t="inlineStr">
        <is>
          <t>2026-02-27 20:47</t>
        </is>
      </c>
      <c r="L1032" t="inlineStr">
        <is>
          <t>CHECK_VENDOR</t>
        </is>
      </c>
      <c r="M1032" t="inlineStr">
        <is>
          <t>See CVE details</t>
        </is>
      </c>
      <c r="N1032" t="inlineStr">
        <is>
          <t>P4</t>
        </is>
      </c>
      <c r="O1032" t="inlineStr">
        <is>
          <t>CVE - IP enrichment n/a</t>
        </is>
      </c>
      <c r="P1032" t="n">
        <v>0.0003</v>
      </c>
      <c r="Q1032" t="n">
        <v>0.08459999999999999</v>
      </c>
      <c r="R1032" t="inlineStr">
        <is>
          <t>T1189:Drive-by Compromise</t>
        </is>
      </c>
      <c r="S1032" t="n">
        <v>1</v>
      </c>
      <c r="T1032" t="inlineStr">
        <is>
          <t>LOW (40%)</t>
        </is>
      </c>
      <c r="U1032" t="inlineStr">
        <is>
          <t>UNLIKELY</t>
        </is>
      </c>
      <c r="V1032" t="inlineStr">
        <is>
          <t>CHECK_VENDOR</t>
        </is>
      </c>
      <c r="W1032" t="inlineStr">
        <is>
          <t>https://nvd.nist.gov/vuln/detail/CVE-2026-2383</t>
        </is>
      </c>
      <c r="X1032" t="inlineStr">
        <is>
          <t>NONE</t>
        </is>
      </c>
      <c r="Y1032" t="n">
        <v>0</v>
      </c>
      <c r="Z1032" t="inlineStr"/>
      <c r="AA1032" t="inlineStr">
        <is>
          <t>https://nvd.nist.gov/vuln/detail/CVE-2026-2383</t>
        </is>
      </c>
    </row>
    <row r="1033">
      <c r="A1033" t="inlineStr">
        <is>
          <t>CVE</t>
        </is>
      </c>
      <c r="B1033" t="inlineStr">
        <is>
          <t>CVE-2024-10938</t>
        </is>
      </c>
      <c r="C1033"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1033" t="n">
        <v>6.5</v>
      </c>
      <c r="E1033" t="inlineStr">
        <is>
          <t>MEDIUM</t>
        </is>
      </c>
      <c r="F1033" t="n">
        <v>2</v>
      </c>
      <c r="G1033" t="n">
        <v>2</v>
      </c>
      <c r="H1033" t="inlineStr">
        <is>
          <t>MEDIUM</t>
        </is>
      </c>
      <c r="I1033" t="n">
        <v>10.5</v>
      </c>
      <c r="J1033" t="inlineStr">
        <is>
          <t>NO</t>
        </is>
      </c>
      <c r="K1033" t="inlineStr">
        <is>
          <t>2026-02-27 20:47</t>
        </is>
      </c>
      <c r="L1033" t="inlineStr">
        <is>
          <t>CHECK_VENDOR</t>
        </is>
      </c>
      <c r="M1033" t="inlineStr">
        <is>
          <t>See CVE details</t>
        </is>
      </c>
      <c r="N1033" t="inlineStr">
        <is>
          <t>P4</t>
        </is>
      </c>
      <c r="O1033" t="inlineStr">
        <is>
          <t>CVE - IP enrichment n/a</t>
        </is>
      </c>
      <c r="P1033" t="n">
        <v>0.0005</v>
      </c>
      <c r="Q1033" t="n">
        <v>0.1464</v>
      </c>
      <c r="R1033" t="inlineStr">
        <is>
          <t>T1190:Exploit Public-Facing Application</t>
        </is>
      </c>
      <c r="S1033" t="n">
        <v>1</v>
      </c>
      <c r="T1033" t="inlineStr">
        <is>
          <t>LOW (40%)</t>
        </is>
      </c>
      <c r="U1033" t="inlineStr">
        <is>
          <t>UNLIKELY</t>
        </is>
      </c>
      <c r="V1033" t="inlineStr">
        <is>
          <t>CHECK_VENDOR</t>
        </is>
      </c>
      <c r="W1033" t="inlineStr">
        <is>
          <t>https://nvd.nist.gov/vuln/detail/CVE-2024-10938</t>
        </is>
      </c>
      <c r="X1033" t="inlineStr">
        <is>
          <t>NONE</t>
        </is>
      </c>
      <c r="Y1033" t="n">
        <v>0</v>
      </c>
      <c r="Z1033" t="inlineStr"/>
      <c r="AA1033" t="inlineStr">
        <is>
          <t>https://nvd.nist.gov/vuln/detail/CVE-2024-10938</t>
        </is>
      </c>
    </row>
    <row r="1034">
      <c r="A1034" t="inlineStr">
        <is>
          <t>CVE</t>
        </is>
      </c>
      <c r="B1034" t="inlineStr">
        <is>
          <t>CVE-2025-14142</t>
        </is>
      </c>
      <c r="C1034"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1034" t="n">
        <v>6.4</v>
      </c>
      <c r="E1034" t="inlineStr">
        <is>
          <t>MEDIUM</t>
        </is>
      </c>
      <c r="F1034" t="n">
        <v>2</v>
      </c>
      <c r="G1034" t="n">
        <v>2</v>
      </c>
      <c r="H1034" t="inlineStr">
        <is>
          <t>MEDIUM</t>
        </is>
      </c>
      <c r="I1034" t="n">
        <v>10.4</v>
      </c>
      <c r="J1034" t="inlineStr">
        <is>
          <t>NO</t>
        </is>
      </c>
      <c r="K1034" t="inlineStr">
        <is>
          <t>2026-02-27 20:47</t>
        </is>
      </c>
      <c r="L1034" t="inlineStr">
        <is>
          <t>CHECK_VENDOR</t>
        </is>
      </c>
      <c r="M1034" t="inlineStr">
        <is>
          <t>See CVE details</t>
        </is>
      </c>
      <c r="N1034" t="inlineStr">
        <is>
          <t>P4</t>
        </is>
      </c>
      <c r="O1034" t="inlineStr">
        <is>
          <t>CVE - IP enrichment n/a</t>
        </is>
      </c>
      <c r="P1034" t="n">
        <v>0.0003</v>
      </c>
      <c r="Q1034" t="n">
        <v>0.07820000000000001</v>
      </c>
      <c r="R1034" t="inlineStr">
        <is>
          <t>T1189:Drive-by Compromise</t>
        </is>
      </c>
      <c r="S1034" t="n">
        <v>1</v>
      </c>
      <c r="T1034" t="inlineStr">
        <is>
          <t>LOW (40%)</t>
        </is>
      </c>
      <c r="U1034" t="inlineStr">
        <is>
          <t>UNLIKELY</t>
        </is>
      </c>
      <c r="V1034" t="inlineStr">
        <is>
          <t>CHECK_VENDOR</t>
        </is>
      </c>
      <c r="W1034" t="inlineStr">
        <is>
          <t>https://nvd.nist.gov/vuln/detail/CVE-2025-14142</t>
        </is>
      </c>
      <c r="X1034" t="inlineStr">
        <is>
          <t>NONE</t>
        </is>
      </c>
      <c r="Y1034" t="n">
        <v>0</v>
      </c>
      <c r="Z1034" t="inlineStr"/>
      <c r="AA1034" t="inlineStr">
        <is>
          <t>https://nvd.nist.gov/vuln/detail/CVE-2025-14142</t>
        </is>
      </c>
    </row>
    <row r="1035">
      <c r="A1035" t="inlineStr">
        <is>
          <t>CVE</t>
        </is>
      </c>
      <c r="B1035" t="inlineStr">
        <is>
          <t>CVE-2026-1305</t>
        </is>
      </c>
      <c r="C1035"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1035" t="n">
        <v>5.3</v>
      </c>
      <c r="E1035" t="inlineStr">
        <is>
          <t>MEDIUM</t>
        </is>
      </c>
      <c r="F1035" t="n">
        <v>2</v>
      </c>
      <c r="G1035" t="n">
        <v>2</v>
      </c>
      <c r="H1035" t="inlineStr">
        <is>
          <t>MEDIUM</t>
        </is>
      </c>
      <c r="I1035" t="n">
        <v>9.300000000000001</v>
      </c>
      <c r="J1035" t="inlineStr">
        <is>
          <t>NO</t>
        </is>
      </c>
      <c r="K1035" t="inlineStr">
        <is>
          <t>2026-02-27 20:47</t>
        </is>
      </c>
      <c r="L1035" t="inlineStr">
        <is>
          <t>CHECK_VENDOR</t>
        </is>
      </c>
      <c r="M1035" t="inlineStr">
        <is>
          <t>See CVE details</t>
        </is>
      </c>
      <c r="N1035" t="inlineStr">
        <is>
          <t>P4</t>
        </is>
      </c>
      <c r="O1035" t="inlineStr">
        <is>
          <t>CVE - IP enrichment n/a</t>
        </is>
      </c>
      <c r="P1035" t="n">
        <v>0.0019</v>
      </c>
      <c r="Q1035" t="n">
        <v>0.4099</v>
      </c>
      <c r="R1035" t="inlineStr">
        <is>
          <t>T1078:Valid Accounts | T1110:Brute Force | T1190:Exploit Public-Facing Application</t>
        </is>
      </c>
      <c r="S1035" t="n">
        <v>1</v>
      </c>
      <c r="T1035" t="inlineStr">
        <is>
          <t>LOW (40%)</t>
        </is>
      </c>
      <c r="U1035" t="inlineStr">
        <is>
          <t>UNLIKELY</t>
        </is>
      </c>
      <c r="V1035" t="inlineStr">
        <is>
          <t>CHECK_VENDOR</t>
        </is>
      </c>
      <c r="W1035" t="inlineStr">
        <is>
          <t>https://nvd.nist.gov/vuln/detail/CVE-2026-1305</t>
        </is>
      </c>
      <c r="X1035" t="inlineStr">
        <is>
          <t>NONE</t>
        </is>
      </c>
      <c r="Y1035" t="n">
        <v>0</v>
      </c>
      <c r="Z1035" t="inlineStr"/>
      <c r="AA1035" t="inlineStr">
        <is>
          <t>https://nvd.nist.gov/vuln/detail/CVE-2026-1305</t>
        </is>
      </c>
    </row>
    <row r="1036">
      <c r="A1036" t="inlineStr">
        <is>
          <t>CVE</t>
        </is>
      </c>
      <c r="B1036" t="inlineStr">
        <is>
          <t>CVE-2026-21659</t>
        </is>
      </c>
      <c r="C1036"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1036" t="n">
        <v>8.5</v>
      </c>
      <c r="E1036" t="inlineStr">
        <is>
          <t>HIGH</t>
        </is>
      </c>
      <c r="F1036" t="n">
        <v>2</v>
      </c>
      <c r="G1036" t="n">
        <v>3</v>
      </c>
      <c r="H1036" t="inlineStr">
        <is>
          <t>HIGH</t>
        </is>
      </c>
      <c r="I1036" t="n">
        <v>14.5</v>
      </c>
      <c r="J1036" t="inlineStr">
        <is>
          <t>NO</t>
        </is>
      </c>
      <c r="K1036" t="inlineStr">
        <is>
          <t>2026-02-27 20:47</t>
        </is>
      </c>
      <c r="L1036" t="inlineStr">
        <is>
          <t>CHECK_VENDOR</t>
        </is>
      </c>
      <c r="M1036" t="inlineStr">
        <is>
          <t>See CVE details</t>
        </is>
      </c>
      <c r="N1036" t="inlineStr">
        <is>
          <t>P3</t>
        </is>
      </c>
      <c r="O1036" t="inlineStr">
        <is>
          <t>CVE - IP enrichment n/a</t>
        </is>
      </c>
      <c r="P1036" t="n">
        <v>0.0052</v>
      </c>
      <c r="Q1036" t="n">
        <v>0.6627999999999999</v>
      </c>
      <c r="R1036" t="inlineStr">
        <is>
          <t>T1190:Exploit Public-Facing Application | T1210:Exploitation of Remote Services | T1203:Exploitation for Client Execution</t>
        </is>
      </c>
      <c r="S1036" t="n">
        <v>1</v>
      </c>
      <c r="T1036" t="inlineStr">
        <is>
          <t>LOW (40%)</t>
        </is>
      </c>
      <c r="U1036" t="inlineStr">
        <is>
          <t>UNLIKELY</t>
        </is>
      </c>
      <c r="V1036" t="inlineStr">
        <is>
          <t>CHECK_VENDOR</t>
        </is>
      </c>
      <c r="W1036" t="inlineStr">
        <is>
          <t>https://nvd.nist.gov/vuln/detail/CVE-2026-21659</t>
        </is>
      </c>
      <c r="X1036" t="inlineStr">
        <is>
          <t>NONE</t>
        </is>
      </c>
      <c r="Y1036" t="n">
        <v>0</v>
      </c>
      <c r="Z1036" t="inlineStr"/>
      <c r="AA1036" t="inlineStr">
        <is>
          <t>https://nvd.nist.gov/vuln/detail/CVE-2026-21659</t>
        </is>
      </c>
    </row>
    <row r="1037">
      <c r="A1037" t="inlineStr">
        <is>
          <t>CVE</t>
        </is>
      </c>
      <c r="B1037" t="inlineStr">
        <is>
          <t>CVE-2026-21660</t>
        </is>
      </c>
      <c r="C1037"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1037" t="n">
        <v>5</v>
      </c>
      <c r="E1037" t="inlineStr">
        <is>
          <t>MEDIUM</t>
        </is>
      </c>
      <c r="F1037" t="n">
        <v>2</v>
      </c>
      <c r="G1037" t="n">
        <v>2</v>
      </c>
      <c r="H1037" t="inlineStr">
        <is>
          <t>MEDIUM</t>
        </is>
      </c>
      <c r="I1037" t="n">
        <v>9</v>
      </c>
      <c r="J1037" t="inlineStr">
        <is>
          <t>NO</t>
        </is>
      </c>
      <c r="K1037" t="inlineStr">
        <is>
          <t>2026-02-27 20:47</t>
        </is>
      </c>
      <c r="L1037" t="inlineStr">
        <is>
          <t>CHECK_VENDOR</t>
        </is>
      </c>
      <c r="M1037" t="inlineStr">
        <is>
          <t>See CVE details</t>
        </is>
      </c>
      <c r="N1037" t="inlineStr">
        <is>
          <t>P4</t>
        </is>
      </c>
      <c r="O1037" t="inlineStr">
        <is>
          <t>CVE - IP enrichment n/a</t>
        </is>
      </c>
      <c r="P1037" t="n">
        <v>0.0002</v>
      </c>
      <c r="Q1037" t="n">
        <v>0.0363</v>
      </c>
      <c r="R1037" t="inlineStr">
        <is>
          <t>T1552:Unsecured Credentials</t>
        </is>
      </c>
      <c r="S1037" t="n">
        <v>1</v>
      </c>
      <c r="T1037" t="inlineStr">
        <is>
          <t>LOW (40%)</t>
        </is>
      </c>
      <c r="U1037" t="inlineStr">
        <is>
          <t>UNLIKELY</t>
        </is>
      </c>
      <c r="V1037" t="inlineStr">
        <is>
          <t>CHECK_VENDOR</t>
        </is>
      </c>
      <c r="W1037" t="inlineStr">
        <is>
          <t>https://nvd.nist.gov/vuln/detail/CVE-2026-21660</t>
        </is>
      </c>
      <c r="X1037" t="inlineStr">
        <is>
          <t>NONE</t>
        </is>
      </c>
      <c r="Y1037" t="n">
        <v>0</v>
      </c>
      <c r="Z1037" t="inlineStr"/>
      <c r="AA1037" t="inlineStr">
        <is>
          <t>https://nvd.nist.gov/vuln/detail/CVE-2026-21660</t>
        </is>
      </c>
    </row>
    <row r="1038">
      <c r="A1038" t="inlineStr">
        <is>
          <t>CVE</t>
        </is>
      </c>
      <c r="B1038" t="inlineStr">
        <is>
          <t>CVE-2026-1434</t>
        </is>
      </c>
      <c r="C1038" t="inlineStr">
        <is>
          <t>Omega-PSIR is vulnerable to Reflected XSS via the lang parameter. An attacker can craft a malicious URL that, when opened, causes arbitrary JavaScript to execute in the victim’s browser.
This issue was fixed in 4.6.7.</t>
        </is>
      </c>
      <c r="D1038" t="n">
        <v>6.1</v>
      </c>
      <c r="E1038" t="inlineStr">
        <is>
          <t>MEDIUM</t>
        </is>
      </c>
      <c r="F1038" t="n">
        <v>2</v>
      </c>
      <c r="G1038" t="n">
        <v>2</v>
      </c>
      <c r="H1038" t="inlineStr">
        <is>
          <t>MEDIUM</t>
        </is>
      </c>
      <c r="I1038" t="n">
        <v>10.1</v>
      </c>
      <c r="J1038" t="inlineStr">
        <is>
          <t>NO</t>
        </is>
      </c>
      <c r="K1038" t="inlineStr">
        <is>
          <t>2026-02-27 20:47</t>
        </is>
      </c>
      <c r="L1038" t="inlineStr">
        <is>
          <t>CHECK_VENDOR</t>
        </is>
      </c>
      <c r="M1038" t="inlineStr">
        <is>
          <t>pw omega-psir *</t>
        </is>
      </c>
      <c r="N1038" t="inlineStr">
        <is>
          <t>P4</t>
        </is>
      </c>
      <c r="O1038" t="inlineStr">
        <is>
          <t>CVE - IP enrichment n/a</t>
        </is>
      </c>
      <c r="P1038" t="n">
        <v>0.0005</v>
      </c>
      <c r="Q1038" t="n">
        <v>0.1447</v>
      </c>
      <c r="R1038" t="inlineStr">
        <is>
          <t>T1189:Drive-by Compromise</t>
        </is>
      </c>
      <c r="S1038" t="n">
        <v>1</v>
      </c>
      <c r="T1038" t="inlineStr">
        <is>
          <t>LOW (40%)</t>
        </is>
      </c>
      <c r="U1038" t="inlineStr">
        <is>
          <t>UNLIKELY</t>
        </is>
      </c>
      <c r="V1038" t="inlineStr">
        <is>
          <t>CHECK_VENDOR</t>
        </is>
      </c>
      <c r="W1038" t="inlineStr">
        <is>
          <t>https://nvd.nist.gov/vuln/detail/CVE-2026-1434</t>
        </is>
      </c>
      <c r="X1038" t="inlineStr">
        <is>
          <t>NONE</t>
        </is>
      </c>
      <c r="Y1038" t="n">
        <v>0</v>
      </c>
      <c r="Z1038" t="inlineStr"/>
      <c r="AA1038" t="inlineStr">
        <is>
          <t>https://nvd.nist.gov/vuln/detail/CVE-2026-1434</t>
        </is>
      </c>
    </row>
    <row r="1039">
      <c r="A1039" t="inlineStr">
        <is>
          <t>CVE</t>
        </is>
      </c>
      <c r="B1039" t="inlineStr">
        <is>
          <t>CVE-2025-11251</t>
        </is>
      </c>
      <c r="C1039"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1039" t="n">
        <v>9.800000000000001</v>
      </c>
      <c r="E1039" t="inlineStr">
        <is>
          <t>CRITICAL</t>
        </is>
      </c>
      <c r="F1039" t="n">
        <v>2</v>
      </c>
      <c r="G1039" t="n">
        <v>3</v>
      </c>
      <c r="H1039" t="inlineStr">
        <is>
          <t>HIGH</t>
        </is>
      </c>
      <c r="I1039" t="n">
        <v>15.8</v>
      </c>
      <c r="J1039" t="inlineStr">
        <is>
          <t>NO</t>
        </is>
      </c>
      <c r="K1039" t="inlineStr">
        <is>
          <t>2026-02-27 20:47</t>
        </is>
      </c>
      <c r="L1039" t="inlineStr">
        <is>
          <t>CHECK_VENDOR</t>
        </is>
      </c>
      <c r="M1039" t="inlineStr">
        <is>
          <t>daynex woyio -</t>
        </is>
      </c>
      <c r="N1039" t="inlineStr">
        <is>
          <t>P3</t>
        </is>
      </c>
      <c r="O1039" t="inlineStr">
        <is>
          <t>CVE - IP enrichment n/a</t>
        </is>
      </c>
      <c r="P1039" t="n">
        <v>0.0003</v>
      </c>
      <c r="Q1039" t="n">
        <v>0.0853</v>
      </c>
      <c r="R1039" t="inlineStr">
        <is>
          <t>T1190:Exploit Public-Facing Application</t>
        </is>
      </c>
      <c r="S1039" t="n">
        <v>1</v>
      </c>
      <c r="T1039" t="inlineStr">
        <is>
          <t>LOW (40%)</t>
        </is>
      </c>
      <c r="U1039" t="inlineStr">
        <is>
          <t>UNLIKELY</t>
        </is>
      </c>
      <c r="V1039" t="inlineStr">
        <is>
          <t>CHECK_VENDOR</t>
        </is>
      </c>
      <c r="W1039" t="inlineStr">
        <is>
          <t>https://nvd.nist.gov/vuln/detail/CVE-2025-11251</t>
        </is>
      </c>
      <c r="X1039" t="inlineStr">
        <is>
          <t>NONE</t>
        </is>
      </c>
      <c r="Y1039" t="n">
        <v>0</v>
      </c>
      <c r="Z1039" t="inlineStr"/>
      <c r="AA1039" t="inlineStr">
        <is>
          <t>https://nvd.nist.gov/vuln/detail/CVE-2025-11251</t>
        </is>
      </c>
    </row>
    <row r="1040">
      <c r="A1040" t="inlineStr">
        <is>
          <t>CVE</t>
        </is>
      </c>
      <c r="B1040" t="inlineStr">
        <is>
          <t>CVE-2026-24350</t>
        </is>
      </c>
      <c r="C1040"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1040" t="n">
        <v>5</v>
      </c>
      <c r="E1040" t="inlineStr">
        <is>
          <t>MEDIUM</t>
        </is>
      </c>
      <c r="F1040" t="n">
        <v>2</v>
      </c>
      <c r="G1040" t="n">
        <v>2</v>
      </c>
      <c r="H1040" t="inlineStr">
        <is>
          <t>MEDIUM</t>
        </is>
      </c>
      <c r="I1040" t="n">
        <v>9</v>
      </c>
      <c r="J1040" t="inlineStr">
        <is>
          <t>NO</t>
        </is>
      </c>
      <c r="K1040" t="inlineStr">
        <is>
          <t>2026-02-27 20:47</t>
        </is>
      </c>
      <c r="L1040" t="inlineStr">
        <is>
          <t>CHECK_VENDOR</t>
        </is>
      </c>
      <c r="M1040" t="inlineStr">
        <is>
          <t>See CVE details</t>
        </is>
      </c>
      <c r="N1040" t="inlineStr">
        <is>
          <t>P4</t>
        </is>
      </c>
      <c r="O1040" t="inlineStr">
        <is>
          <t>CVE - IP enrichment n/a</t>
        </is>
      </c>
      <c r="P1040" t="n">
        <v>0.0005</v>
      </c>
      <c r="Q1040" t="n">
        <v>0.143</v>
      </c>
      <c r="R1040" t="inlineStr">
        <is>
          <t>T1189:Drive-by Compromise</t>
        </is>
      </c>
      <c r="S1040" t="n">
        <v>1</v>
      </c>
      <c r="T1040" t="inlineStr">
        <is>
          <t>LOW (40%)</t>
        </is>
      </c>
      <c r="U1040" t="inlineStr">
        <is>
          <t>UNLIKELY</t>
        </is>
      </c>
      <c r="V1040" t="inlineStr">
        <is>
          <t>CHECK_VENDOR</t>
        </is>
      </c>
      <c r="W1040" t="inlineStr">
        <is>
          <t>https://nvd.nist.gov/vuln/detail/CVE-2026-24350</t>
        </is>
      </c>
      <c r="X1040" t="inlineStr">
        <is>
          <t>NONE</t>
        </is>
      </c>
      <c r="Y1040" t="n">
        <v>0</v>
      </c>
      <c r="Z1040" t="inlineStr"/>
      <c r="AA1040" t="inlineStr">
        <is>
          <t>https://nvd.nist.gov/vuln/detail/CVE-2026-24350</t>
        </is>
      </c>
    </row>
    <row r="1041">
      <c r="A1041" t="inlineStr">
        <is>
          <t>CVE</t>
        </is>
      </c>
      <c r="B1041" t="inlineStr">
        <is>
          <t>CVE-2026-24351</t>
        </is>
      </c>
      <c r="C1041"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1041" t="n">
        <v>5</v>
      </c>
      <c r="E1041" t="inlineStr">
        <is>
          <t>MEDIUM</t>
        </is>
      </c>
      <c r="F1041" t="n">
        <v>2</v>
      </c>
      <c r="G1041" t="n">
        <v>2</v>
      </c>
      <c r="H1041" t="inlineStr">
        <is>
          <t>MEDIUM</t>
        </is>
      </c>
      <c r="I1041" t="n">
        <v>9</v>
      </c>
      <c r="J1041" t="inlineStr">
        <is>
          <t>NO</t>
        </is>
      </c>
      <c r="K1041" t="inlineStr">
        <is>
          <t>2026-02-27 20:47</t>
        </is>
      </c>
      <c r="L1041" t="inlineStr">
        <is>
          <t>CHECK_VENDOR</t>
        </is>
      </c>
      <c r="M1041" t="inlineStr">
        <is>
          <t>See CVE details</t>
        </is>
      </c>
      <c r="N1041" t="inlineStr">
        <is>
          <t>P4</t>
        </is>
      </c>
      <c r="O1041" t="inlineStr">
        <is>
          <t>CVE - IP enrichment n/a</t>
        </is>
      </c>
      <c r="P1041" t="n">
        <v>0.0005</v>
      </c>
      <c r="Q1041" t="n">
        <v>0.143</v>
      </c>
      <c r="R1041" t="inlineStr">
        <is>
          <t>T1189:Drive-by Compromise</t>
        </is>
      </c>
      <c r="S1041" t="n">
        <v>1</v>
      </c>
      <c r="T1041" t="inlineStr">
        <is>
          <t>LOW (40%)</t>
        </is>
      </c>
      <c r="U1041" t="inlineStr">
        <is>
          <t>UNLIKELY</t>
        </is>
      </c>
      <c r="V1041" t="inlineStr">
        <is>
          <t>CHECK_VENDOR</t>
        </is>
      </c>
      <c r="W1041" t="inlineStr">
        <is>
          <t>https://nvd.nist.gov/vuln/detail/CVE-2026-24351</t>
        </is>
      </c>
      <c r="X1041" t="inlineStr">
        <is>
          <t>NONE</t>
        </is>
      </c>
      <c r="Y1041" t="n">
        <v>0</v>
      </c>
      <c r="Z1041" t="inlineStr"/>
      <c r="AA1041" t="inlineStr">
        <is>
          <t>https://nvd.nist.gov/vuln/detail/CVE-2026-24351</t>
        </is>
      </c>
    </row>
    <row r="1042">
      <c r="A1042" t="inlineStr">
        <is>
          <t>CVE</t>
        </is>
      </c>
      <c r="B1042" t="inlineStr">
        <is>
          <t>CVE-2026-24352</t>
        </is>
      </c>
      <c r="C1042"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1042" t="n">
        <v>5</v>
      </c>
      <c r="E1042" t="inlineStr">
        <is>
          <t>MEDIUM</t>
        </is>
      </c>
      <c r="F1042" t="n">
        <v>2</v>
      </c>
      <c r="G1042" t="n">
        <v>2</v>
      </c>
      <c r="H1042" t="inlineStr">
        <is>
          <t>MEDIUM</t>
        </is>
      </c>
      <c r="I1042" t="n">
        <v>9</v>
      </c>
      <c r="J1042" t="inlineStr">
        <is>
          <t>NO</t>
        </is>
      </c>
      <c r="K1042" t="inlineStr">
        <is>
          <t>2026-02-27 20:47</t>
        </is>
      </c>
      <c r="L1042" t="inlineStr">
        <is>
          <t>CHECK_VENDOR</t>
        </is>
      </c>
      <c r="M1042" t="inlineStr">
        <is>
          <t>See CVE details</t>
        </is>
      </c>
      <c r="N1042" t="inlineStr">
        <is>
          <t>P4</t>
        </is>
      </c>
      <c r="O1042" t="inlineStr">
        <is>
          <t>CVE - IP enrichment n/a</t>
        </is>
      </c>
      <c r="P1042" t="n">
        <v>0.0002</v>
      </c>
      <c r="Q1042" t="n">
        <v>0.0544</v>
      </c>
      <c r="R1042" t="inlineStr">
        <is>
          <t>T1185:Browser Session Hijacking</t>
        </is>
      </c>
      <c r="S1042" t="n">
        <v>1</v>
      </c>
      <c r="T1042" t="inlineStr">
        <is>
          <t>LOW (40%)</t>
        </is>
      </c>
      <c r="U1042" t="inlineStr">
        <is>
          <t>UNLIKELY</t>
        </is>
      </c>
      <c r="V1042" t="inlineStr">
        <is>
          <t>CHECK_VENDOR</t>
        </is>
      </c>
      <c r="W1042" t="inlineStr">
        <is>
          <t>https://nvd.nist.gov/vuln/detail/CVE-2026-24352</t>
        </is>
      </c>
      <c r="X1042" t="inlineStr">
        <is>
          <t>NONE</t>
        </is>
      </c>
      <c r="Y1042" t="n">
        <v>0</v>
      </c>
      <c r="Z1042" t="inlineStr"/>
      <c r="AA1042" t="inlineStr">
        <is>
          <t>https://nvd.nist.gov/vuln/detail/CVE-2026-24352</t>
        </is>
      </c>
    </row>
    <row r="1043">
      <c r="A1043" t="inlineStr">
        <is>
          <t>CVE</t>
        </is>
      </c>
      <c r="B1043" t="inlineStr">
        <is>
          <t>CVE-2026-2831</t>
        </is>
      </c>
      <c r="C1043"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1043" t="n">
        <v>4.9</v>
      </c>
      <c r="E1043" t="inlineStr">
        <is>
          <t>MEDIUM</t>
        </is>
      </c>
      <c r="F1043" t="n">
        <v>2</v>
      </c>
      <c r="G1043" t="n">
        <v>2</v>
      </c>
      <c r="H1043" t="inlineStr">
        <is>
          <t>MEDIUM</t>
        </is>
      </c>
      <c r="I1043" t="n">
        <v>8.9</v>
      </c>
      <c r="J1043" t="inlineStr">
        <is>
          <t>NO</t>
        </is>
      </c>
      <c r="K1043" t="inlineStr">
        <is>
          <t>2026-02-27 20:47</t>
        </is>
      </c>
      <c r="L1043" t="inlineStr">
        <is>
          <t>CHECK_VENDOR</t>
        </is>
      </c>
      <c r="M1043" t="inlineStr">
        <is>
          <t>See CVE details</t>
        </is>
      </c>
      <c r="N1043" t="inlineStr">
        <is>
          <t>P4</t>
        </is>
      </c>
      <c r="O1043" t="inlineStr">
        <is>
          <t>CVE - IP enrichment n/a</t>
        </is>
      </c>
      <c r="P1043" t="n">
        <v>0.0002</v>
      </c>
      <c r="Q1043" t="n">
        <v>0.0578</v>
      </c>
      <c r="R1043" t="inlineStr">
        <is>
          <t>T1190:Exploit Public-Facing Application</t>
        </is>
      </c>
      <c r="S1043" t="n">
        <v>1</v>
      </c>
      <c r="T1043" t="inlineStr">
        <is>
          <t>LOW (40%)</t>
        </is>
      </c>
      <c r="U1043" t="inlineStr">
        <is>
          <t>UNLIKELY</t>
        </is>
      </c>
      <c r="V1043" t="inlineStr">
        <is>
          <t>CHECK_VENDOR</t>
        </is>
      </c>
      <c r="W1043" t="inlineStr">
        <is>
          <t>https://nvd.nist.gov/vuln/detail/CVE-2026-2831</t>
        </is>
      </c>
      <c r="X1043" t="inlineStr">
        <is>
          <t>NONE</t>
        </is>
      </c>
      <c r="Y1043" t="n">
        <v>0</v>
      </c>
      <c r="Z1043" t="inlineStr"/>
      <c r="AA1043" t="inlineStr">
        <is>
          <t>https://nvd.nist.gov/vuln/detail/CVE-2026-2831</t>
        </is>
      </c>
    </row>
    <row r="1044">
      <c r="A1044" t="inlineStr">
        <is>
          <t>CVE</t>
        </is>
      </c>
      <c r="B1044" t="inlineStr">
        <is>
          <t>CVE-2025-11252</t>
        </is>
      </c>
      <c r="C1044"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1044" t="n">
        <v>9.800000000000001</v>
      </c>
      <c r="E1044" t="inlineStr">
        <is>
          <t>CRITICAL</t>
        </is>
      </c>
      <c r="F1044" t="n">
        <v>2</v>
      </c>
      <c r="G1044" t="n">
        <v>3</v>
      </c>
      <c r="H1044" t="inlineStr">
        <is>
          <t>HIGH</t>
        </is>
      </c>
      <c r="I1044" t="n">
        <v>15.8</v>
      </c>
      <c r="J1044" t="inlineStr">
        <is>
          <t>NO</t>
        </is>
      </c>
      <c r="K1044" t="inlineStr">
        <is>
          <t>2026-02-27 20:47</t>
        </is>
      </c>
      <c r="L1044" t="inlineStr">
        <is>
          <t>CHECK_VENDOR</t>
        </is>
      </c>
      <c r="M1044" t="inlineStr">
        <is>
          <t>See CVE details</t>
        </is>
      </c>
      <c r="N1044" t="inlineStr">
        <is>
          <t>P3</t>
        </is>
      </c>
      <c r="O1044" t="inlineStr">
        <is>
          <t>CVE - IP enrichment n/a</t>
        </is>
      </c>
      <c r="P1044" t="n">
        <v>0</v>
      </c>
      <c r="Q1044" t="n">
        <v>0</v>
      </c>
      <c r="R1044" t="inlineStr">
        <is>
          <t>T1190:Exploit Public-Facing Application</t>
        </is>
      </c>
      <c r="S1044" t="n">
        <v>1</v>
      </c>
      <c r="T1044" t="inlineStr">
        <is>
          <t>LOW (40%)</t>
        </is>
      </c>
      <c r="U1044" t="inlineStr">
        <is>
          <t>UNLIKELY</t>
        </is>
      </c>
      <c r="V1044" t="inlineStr">
        <is>
          <t>CHECK_VENDOR</t>
        </is>
      </c>
      <c r="W1044" t="inlineStr">
        <is>
          <t>https://nvd.nist.gov/vuln/detail/CVE-2025-11252</t>
        </is>
      </c>
      <c r="X1044" t="inlineStr">
        <is>
          <t>NONE</t>
        </is>
      </c>
      <c r="Y1044" t="n">
        <v>0</v>
      </c>
      <c r="Z1044" t="inlineStr"/>
      <c r="AA1044" t="inlineStr">
        <is>
          <t>https://nvd.nist.gov/vuln/detail/CVE-2025-11252</t>
        </is>
      </c>
    </row>
    <row r="1045">
      <c r="A1045" t="inlineStr">
        <is>
          <t>CVE</t>
        </is>
      </c>
      <c r="B1045" t="inlineStr">
        <is>
          <t>CVE-2025-11950</t>
        </is>
      </c>
      <c r="C1045"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1045" t="n">
        <v>6.3</v>
      </c>
      <c r="E1045" t="inlineStr">
        <is>
          <t>MEDIUM</t>
        </is>
      </c>
      <c r="F1045" t="n">
        <v>2</v>
      </c>
      <c r="G1045" t="n">
        <v>2</v>
      </c>
      <c r="H1045" t="inlineStr">
        <is>
          <t>MEDIUM</t>
        </is>
      </c>
      <c r="I1045" t="n">
        <v>10.3</v>
      </c>
      <c r="J1045" t="inlineStr">
        <is>
          <t>NO</t>
        </is>
      </c>
      <c r="K1045" t="inlineStr">
        <is>
          <t>2026-02-27 20:47</t>
        </is>
      </c>
      <c r="L1045" t="inlineStr">
        <is>
          <t>CHECK_VENDOR</t>
        </is>
      </c>
      <c r="M1045" t="inlineStr">
        <is>
          <t>See CVE details</t>
        </is>
      </c>
      <c r="N1045" t="inlineStr">
        <is>
          <t>P4</t>
        </is>
      </c>
      <c r="O1045" t="inlineStr">
        <is>
          <t>CVE - IP enrichment n/a</t>
        </is>
      </c>
      <c r="P1045" t="n">
        <v>0</v>
      </c>
      <c r="Q1045" t="n">
        <v>0</v>
      </c>
      <c r="R1045" t="inlineStr">
        <is>
          <t>T1189:Drive-by Compromise</t>
        </is>
      </c>
      <c r="S1045" t="n">
        <v>1</v>
      </c>
      <c r="T1045" t="inlineStr">
        <is>
          <t>LOW (40%)</t>
        </is>
      </c>
      <c r="U1045" t="inlineStr">
        <is>
          <t>UNLIKELY</t>
        </is>
      </c>
      <c r="V1045" t="inlineStr">
        <is>
          <t>CHECK_VENDOR</t>
        </is>
      </c>
      <c r="W1045" t="inlineStr">
        <is>
          <t>https://nvd.nist.gov/vuln/detail/CVE-2025-11950</t>
        </is>
      </c>
      <c r="X1045" t="inlineStr">
        <is>
          <t>NONE</t>
        </is>
      </c>
      <c r="Y1045" t="n">
        <v>0</v>
      </c>
      <c r="Z1045" t="inlineStr"/>
      <c r="AA1045" t="inlineStr">
        <is>
          <t>https://nvd.nist.gov/vuln/detail/CVE-2025-11950</t>
        </is>
      </c>
    </row>
    <row r="1046">
      <c r="A1046" t="inlineStr">
        <is>
          <t>CVE</t>
        </is>
      </c>
      <c r="B1046" t="inlineStr">
        <is>
          <t>CVE-2025-10990</t>
        </is>
      </c>
      <c r="C1046"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1046" t="n">
        <v>7.5</v>
      </c>
      <c r="E1046" t="inlineStr">
        <is>
          <t>HIGH</t>
        </is>
      </c>
      <c r="F1046" t="n">
        <v>2</v>
      </c>
      <c r="G1046" t="n">
        <v>3</v>
      </c>
      <c r="H1046" t="inlineStr">
        <is>
          <t>HIGH</t>
        </is>
      </c>
      <c r="I1046" t="n">
        <v>13.5</v>
      </c>
      <c r="J1046" t="inlineStr">
        <is>
          <t>NO</t>
        </is>
      </c>
      <c r="K1046" t="inlineStr">
        <is>
          <t>2026-02-27 20:47</t>
        </is>
      </c>
      <c r="L1046" t="inlineStr">
        <is>
          <t>CHECK_VENDOR</t>
        </is>
      </c>
      <c r="M1046" t="inlineStr">
        <is>
          <t>See CVE details</t>
        </is>
      </c>
      <c r="N1046" t="inlineStr">
        <is>
          <t>P3</t>
        </is>
      </c>
      <c r="O1046" t="inlineStr">
        <is>
          <t>CVE - IP enrichment n/a</t>
        </is>
      </c>
      <c r="P1046" t="n">
        <v>0</v>
      </c>
      <c r="Q1046" t="n">
        <v>0</v>
      </c>
      <c r="R1046" t="inlineStr">
        <is>
          <t>T1499:Endpoint Denial of Service</t>
        </is>
      </c>
      <c r="S1046" t="n">
        <v>1</v>
      </c>
      <c r="T1046" t="inlineStr">
        <is>
          <t>LOW (40%)</t>
        </is>
      </c>
      <c r="U1046" t="inlineStr">
        <is>
          <t>UNLIKELY</t>
        </is>
      </c>
      <c r="V1046" t="inlineStr">
        <is>
          <t>CHECK_VENDOR</t>
        </is>
      </c>
      <c r="W1046" t="inlineStr">
        <is>
          <t>https://nvd.nist.gov/vuln/detail/CVE-2025-10990</t>
        </is>
      </c>
      <c r="X1046" t="inlineStr">
        <is>
          <t>NONE</t>
        </is>
      </c>
      <c r="Y1046" t="n">
        <v>0</v>
      </c>
      <c r="Z1046" t="inlineStr"/>
      <c r="AA1046" t="inlineStr">
        <is>
          <t>https://nvd.nist.gov/vuln/detail/CVE-2025-10990</t>
        </is>
      </c>
    </row>
    <row r="1047">
      <c r="A1047" t="inlineStr">
        <is>
          <t>CVE</t>
        </is>
      </c>
      <c r="B1047" t="inlineStr">
        <is>
          <t>CVE-2025-15498</t>
        </is>
      </c>
      <c r="C1047"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1047" t="n">
        <v>8.5</v>
      </c>
      <c r="E1047" t="inlineStr">
        <is>
          <t>HIGH</t>
        </is>
      </c>
      <c r="F1047" t="n">
        <v>2</v>
      </c>
      <c r="G1047" t="n">
        <v>3</v>
      </c>
      <c r="H1047" t="inlineStr">
        <is>
          <t>HIGH</t>
        </is>
      </c>
      <c r="I1047" t="n">
        <v>14.5</v>
      </c>
      <c r="J1047" t="inlineStr">
        <is>
          <t>NO</t>
        </is>
      </c>
      <c r="K1047" t="inlineStr">
        <is>
          <t>2026-02-27 20:47</t>
        </is>
      </c>
      <c r="L1047" t="inlineStr">
        <is>
          <t>CHECK_VENDOR</t>
        </is>
      </c>
      <c r="M1047" t="inlineStr">
        <is>
          <t>See CVE details</t>
        </is>
      </c>
      <c r="N1047" t="inlineStr">
        <is>
          <t>P3</t>
        </is>
      </c>
      <c r="O1047" t="inlineStr">
        <is>
          <t>CVE - IP enrichment n/a</t>
        </is>
      </c>
      <c r="P1047" t="n">
        <v>0</v>
      </c>
      <c r="Q1047" t="n">
        <v>0</v>
      </c>
      <c r="R1047" t="inlineStr">
        <is>
          <t>T1190:Exploit Public-Facing Application</t>
        </is>
      </c>
      <c r="S1047" t="n">
        <v>1</v>
      </c>
      <c r="T1047" t="inlineStr">
        <is>
          <t>LOW (40%)</t>
        </is>
      </c>
      <c r="U1047" t="inlineStr">
        <is>
          <t>UNLIKELY</t>
        </is>
      </c>
      <c r="V1047" t="inlineStr">
        <is>
          <t>CHECK_VENDOR</t>
        </is>
      </c>
      <c r="W1047" t="inlineStr">
        <is>
          <t>https://nvd.nist.gov/vuln/detail/CVE-2025-15498</t>
        </is>
      </c>
      <c r="X1047" t="inlineStr">
        <is>
          <t>NONE</t>
        </is>
      </c>
      <c r="Y1047" t="n">
        <v>0</v>
      </c>
      <c r="Z1047" t="inlineStr"/>
      <c r="AA1047" t="inlineStr">
        <is>
          <t>https://nvd.nist.gov/vuln/detail/CVE-2025-15498</t>
        </is>
      </c>
    </row>
    <row r="1048">
      <c r="A1048" t="inlineStr">
        <is>
          <t>CVE</t>
        </is>
      </c>
      <c r="B1048" t="inlineStr">
        <is>
          <t>CVE-2026-2751</t>
        </is>
      </c>
      <c r="C1048"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1048" t="n">
        <v>8.300000000000001</v>
      </c>
      <c r="E1048" t="inlineStr">
        <is>
          <t>HIGH</t>
        </is>
      </c>
      <c r="F1048" t="n">
        <v>2</v>
      </c>
      <c r="G1048" t="n">
        <v>3</v>
      </c>
      <c r="H1048" t="inlineStr">
        <is>
          <t>HIGH</t>
        </is>
      </c>
      <c r="I1048" t="n">
        <v>14.3</v>
      </c>
      <c r="J1048" t="inlineStr">
        <is>
          <t>NO</t>
        </is>
      </c>
      <c r="K1048" t="inlineStr">
        <is>
          <t>2026-02-27 20:47</t>
        </is>
      </c>
      <c r="L1048" t="inlineStr">
        <is>
          <t>CHECK_VENDOR</t>
        </is>
      </c>
      <c r="M1048" t="inlineStr">
        <is>
          <t>See CVE details</t>
        </is>
      </c>
      <c r="N1048" t="inlineStr">
        <is>
          <t>P3</t>
        </is>
      </c>
      <c r="O1048" t="inlineStr">
        <is>
          <t>CVE - IP enrichment n/a</t>
        </is>
      </c>
      <c r="P1048" t="n">
        <v>0</v>
      </c>
      <c r="Q1048" t="n">
        <v>0</v>
      </c>
      <c r="R1048" t="inlineStr">
        <is>
          <t>T1190:Exploit Public-Facing Application</t>
        </is>
      </c>
      <c r="S1048" t="n">
        <v>1</v>
      </c>
      <c r="T1048" t="inlineStr">
        <is>
          <t>LOW (40%)</t>
        </is>
      </c>
      <c r="U1048" t="inlineStr">
        <is>
          <t>UNLIKELY</t>
        </is>
      </c>
      <c r="V1048" t="inlineStr">
        <is>
          <t>CHECK_VENDOR</t>
        </is>
      </c>
      <c r="W1048" t="inlineStr">
        <is>
          <t>https://nvd.nist.gov/vuln/detail/CVE-2026-2751</t>
        </is>
      </c>
      <c r="X1048" t="inlineStr">
        <is>
          <t>NONE</t>
        </is>
      </c>
      <c r="Y1048" t="n">
        <v>0</v>
      </c>
      <c r="Z1048" t="inlineStr"/>
      <c r="AA1048" t="inlineStr">
        <is>
          <t>https://nvd.nist.gov/vuln/detail/CVE-2026-2751</t>
        </is>
      </c>
    </row>
    <row r="1049">
      <c r="A1049" t="inlineStr">
        <is>
          <t>CVE</t>
        </is>
      </c>
      <c r="B1049" t="inlineStr">
        <is>
          <t>CVE-2026-3223</t>
        </is>
      </c>
      <c r="C1049" t="inlineStr">
        <is>
          <t>Arbitrary file write &amp; potential privilege escalation exploiting zip slip vulnerability in Google Web Designer.</t>
        </is>
      </c>
      <c r="D1049" t="n">
        <v>5</v>
      </c>
      <c r="E1049" t="inlineStr">
        <is>
          <t>MEDIUM</t>
        </is>
      </c>
      <c r="F1049" t="n">
        <v>2</v>
      </c>
      <c r="G1049" t="n">
        <v>2</v>
      </c>
      <c r="H1049" t="inlineStr">
        <is>
          <t>MEDIUM</t>
        </is>
      </c>
      <c r="I1049" t="n">
        <v>9</v>
      </c>
      <c r="J1049" t="inlineStr">
        <is>
          <t>NO</t>
        </is>
      </c>
      <c r="K1049" t="inlineStr">
        <is>
          <t>2026-02-27 20:47</t>
        </is>
      </c>
      <c r="L1049" t="inlineStr">
        <is>
          <t>CHECK_VENDOR</t>
        </is>
      </c>
      <c r="M1049" t="inlineStr">
        <is>
          <t>See CVE details</t>
        </is>
      </c>
      <c r="N1049" t="inlineStr">
        <is>
          <t>P4</t>
        </is>
      </c>
      <c r="O1049" t="inlineStr">
        <is>
          <t>CVE - IP enrichment n/a</t>
        </is>
      </c>
      <c r="P1049" t="n">
        <v>0</v>
      </c>
      <c r="Q1049" t="n">
        <v>0</v>
      </c>
      <c r="R1049" t="inlineStr">
        <is>
          <t>T1083:File and Directory Discovery | T1068:Exploitation for Privilege Escalation</t>
        </is>
      </c>
      <c r="S1049" t="n">
        <v>1</v>
      </c>
      <c r="T1049" t="inlineStr">
        <is>
          <t>LOW (40%)</t>
        </is>
      </c>
      <c r="U1049" t="inlineStr">
        <is>
          <t>UNLIKELY</t>
        </is>
      </c>
      <c r="V1049" t="inlineStr">
        <is>
          <t>CHECK_VENDOR</t>
        </is>
      </c>
      <c r="W1049" t="inlineStr">
        <is>
          <t>https://nvd.nist.gov/vuln/detail/CVE-2026-3223</t>
        </is>
      </c>
      <c r="X1049" t="inlineStr">
        <is>
          <t>NONE</t>
        </is>
      </c>
      <c r="Y1049" t="n">
        <v>0</v>
      </c>
      <c r="Z1049" t="inlineStr"/>
      <c r="AA1049" t="inlineStr">
        <is>
          <t>https://nvd.nist.gov/vuln/detail/CVE-2026-3223</t>
        </is>
      </c>
    </row>
    <row r="1050">
      <c r="A1050" t="inlineStr">
        <is>
          <t>CVE</t>
        </is>
      </c>
      <c r="B1050" t="inlineStr">
        <is>
          <t>CVE-2026-3327</t>
        </is>
      </c>
      <c r="C1050"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1050" t="n">
        <v>8.5</v>
      </c>
      <c r="E1050" t="inlineStr">
        <is>
          <t>HIGH</t>
        </is>
      </c>
      <c r="F1050" t="n">
        <v>2</v>
      </c>
      <c r="G1050" t="n">
        <v>3</v>
      </c>
      <c r="H1050" t="inlineStr">
        <is>
          <t>HIGH</t>
        </is>
      </c>
      <c r="I1050" t="n">
        <v>14.5</v>
      </c>
      <c r="J1050" t="inlineStr">
        <is>
          <t>NO</t>
        </is>
      </c>
      <c r="K1050" t="inlineStr">
        <is>
          <t>2026-02-27 20:47</t>
        </is>
      </c>
      <c r="L1050" t="inlineStr">
        <is>
          <t>CHECK_VENDOR</t>
        </is>
      </c>
      <c r="M1050" t="inlineStr">
        <is>
          <t>See CVE details</t>
        </is>
      </c>
      <c r="N1050" t="inlineStr">
        <is>
          <t>P3</t>
        </is>
      </c>
      <c r="O1050" t="inlineStr">
        <is>
          <t>CVE - IP enrichment n/a</t>
        </is>
      </c>
      <c r="P1050" t="n">
        <v>0</v>
      </c>
      <c r="Q1050" t="n">
        <v>0</v>
      </c>
      <c r="R1050" t="inlineStr">
        <is>
          <t>T1189:Drive-by Compromise | T1190:Exploit Public-Facing Application</t>
        </is>
      </c>
      <c r="S1050" t="n">
        <v>1</v>
      </c>
      <c r="T1050" t="inlineStr">
        <is>
          <t>LOW (40%)</t>
        </is>
      </c>
      <c r="U1050" t="inlineStr">
        <is>
          <t>UNLIKELY</t>
        </is>
      </c>
      <c r="V1050" t="inlineStr">
        <is>
          <t>CHECK_VENDOR</t>
        </is>
      </c>
      <c r="W1050" t="inlineStr">
        <is>
          <t>https://nvd.nist.gov/vuln/detail/CVE-2026-3327</t>
        </is>
      </c>
      <c r="X1050" t="inlineStr">
        <is>
          <t>NONE</t>
        </is>
      </c>
      <c r="Y1050" t="n">
        <v>0</v>
      </c>
      <c r="Z1050" t="inlineStr"/>
      <c r="AA1050" t="inlineStr">
        <is>
          <t>https://nvd.nist.gov/vuln/detail/CVE-2026-3327</t>
        </is>
      </c>
    </row>
    <row r="1051">
      <c r="A1051" t="inlineStr">
        <is>
          <t>CVE</t>
        </is>
      </c>
      <c r="B1051" t="inlineStr">
        <is>
          <t>CVE-2026-2359</t>
        </is>
      </c>
      <c r="C1051"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1051" t="n">
        <v>8.5</v>
      </c>
      <c r="E1051" t="inlineStr">
        <is>
          <t>HIGH</t>
        </is>
      </c>
      <c r="F1051" t="n">
        <v>2</v>
      </c>
      <c r="G1051" t="n">
        <v>3</v>
      </c>
      <c r="H1051" t="inlineStr">
        <is>
          <t>HIGH</t>
        </is>
      </c>
      <c r="I1051" t="n">
        <v>14.5</v>
      </c>
      <c r="J1051" t="inlineStr">
        <is>
          <t>NO</t>
        </is>
      </c>
      <c r="K1051" t="inlineStr">
        <is>
          <t>2026-02-27 20:47</t>
        </is>
      </c>
      <c r="L1051" t="inlineStr">
        <is>
          <t>CHECK_VENDOR</t>
        </is>
      </c>
      <c r="M1051" t="inlineStr">
        <is>
          <t>See CVE details</t>
        </is>
      </c>
      <c r="N1051" t="inlineStr">
        <is>
          <t>P3</t>
        </is>
      </c>
      <c r="O1051" t="inlineStr">
        <is>
          <t>CVE - IP enrichment n/a</t>
        </is>
      </c>
      <c r="P1051" t="n">
        <v>0</v>
      </c>
      <c r="Q1051" t="n">
        <v>0</v>
      </c>
      <c r="R1051" t="inlineStr">
        <is>
          <t>T1190:Exploit Public-Facing Application | T1499:Endpoint Denial of Service</t>
        </is>
      </c>
      <c r="S1051" t="n">
        <v>1</v>
      </c>
      <c r="T1051" t="inlineStr">
        <is>
          <t>LOW (40%)</t>
        </is>
      </c>
      <c r="U1051" t="inlineStr">
        <is>
          <t>UNLIKELY</t>
        </is>
      </c>
      <c r="V1051" t="inlineStr">
        <is>
          <t>CHECK_VENDOR</t>
        </is>
      </c>
      <c r="W1051" t="inlineStr">
        <is>
          <t>https://nvd.nist.gov/vuln/detail/CVE-2026-2359</t>
        </is>
      </c>
      <c r="X1051" t="inlineStr">
        <is>
          <t>NONE</t>
        </is>
      </c>
      <c r="Y1051" t="n">
        <v>0</v>
      </c>
      <c r="Z1051" t="inlineStr"/>
      <c r="AA1051" t="inlineStr">
        <is>
          <t>https://nvd.nist.gov/vuln/detail/CVE-2026-2359</t>
        </is>
      </c>
    </row>
    <row r="1052">
      <c r="A1052" t="inlineStr">
        <is>
          <t>CVE</t>
        </is>
      </c>
      <c r="B1052" t="inlineStr">
        <is>
          <t>CVE-2026-2749</t>
        </is>
      </c>
      <c r="C1052" t="inlineStr">
        <is>
          <t>Vulnerability in Centreon Centreon Open Tickets on Central Server on Linux (Centroen Open Ticket modules).This issue affects Centreon Open Tickets on Central Server: from all before 25.10.3, 24.10.8, 24.04.7.</t>
        </is>
      </c>
      <c r="D1052" t="n">
        <v>9.9</v>
      </c>
      <c r="E1052" t="inlineStr">
        <is>
          <t>CRITICAL</t>
        </is>
      </c>
      <c r="F1052" t="n">
        <v>2</v>
      </c>
      <c r="G1052" t="n">
        <v>3</v>
      </c>
      <c r="H1052" t="inlineStr">
        <is>
          <t>HIGH</t>
        </is>
      </c>
      <c r="I1052" t="n">
        <v>15.9</v>
      </c>
      <c r="J1052" t="inlineStr">
        <is>
          <t>NO</t>
        </is>
      </c>
      <c r="K1052" t="inlineStr">
        <is>
          <t>2026-02-27 20:47</t>
        </is>
      </c>
      <c r="L1052" t="inlineStr">
        <is>
          <t>CHECK_VENDOR</t>
        </is>
      </c>
      <c r="M1052" t="inlineStr">
        <is>
          <t>See CVE details</t>
        </is>
      </c>
      <c r="N1052" t="inlineStr">
        <is>
          <t>P3</t>
        </is>
      </c>
      <c r="O1052" t="inlineStr">
        <is>
          <t>CVE - IP enrichment n/a</t>
        </is>
      </c>
      <c r="P1052" t="n">
        <v>0</v>
      </c>
      <c r="Q1052" t="n">
        <v>0</v>
      </c>
      <c r="R1052" t="inlineStr">
        <is>
          <t>T1190:Exploit Public-Facing Application</t>
        </is>
      </c>
      <c r="S1052" t="n">
        <v>1</v>
      </c>
      <c r="T1052" t="inlineStr">
        <is>
          <t>LOW (40%)</t>
        </is>
      </c>
      <c r="U1052" t="inlineStr">
        <is>
          <t>UNLIKELY</t>
        </is>
      </c>
      <c r="V1052" t="inlineStr">
        <is>
          <t>CHECK_VENDOR</t>
        </is>
      </c>
      <c r="W1052" t="inlineStr">
        <is>
          <t>https://nvd.nist.gov/vuln/detail/CVE-2026-2749</t>
        </is>
      </c>
      <c r="X1052" t="inlineStr">
        <is>
          <t>NONE</t>
        </is>
      </c>
      <c r="Y1052" t="n">
        <v>0</v>
      </c>
      <c r="Z1052" t="inlineStr"/>
      <c r="AA1052" t="inlineStr">
        <is>
          <t>https://nvd.nist.gov/vuln/detail/CVE-2026-2749</t>
        </is>
      </c>
    </row>
    <row r="1053">
      <c r="A1053" t="inlineStr">
        <is>
          <t>CVE</t>
        </is>
      </c>
      <c r="B1053" t="inlineStr">
        <is>
          <t>CVE-2026-2750</t>
        </is>
      </c>
      <c r="C1053" t="inlineStr">
        <is>
          <t>Improper Input Validation vulnerability in Centreon Centreon Open Tickets on Central Server on Linux (Centreon Open Tickets modules).This issue affects Centreon Open Tickets on Central Server: from all before 25.10; 24.10;24.04.</t>
        </is>
      </c>
      <c r="D1053" t="n">
        <v>9.1</v>
      </c>
      <c r="E1053" t="inlineStr">
        <is>
          <t>CRITICAL</t>
        </is>
      </c>
      <c r="F1053" t="n">
        <v>2</v>
      </c>
      <c r="G1053" t="n">
        <v>3</v>
      </c>
      <c r="H1053" t="inlineStr">
        <is>
          <t>HIGH</t>
        </is>
      </c>
      <c r="I1053" t="n">
        <v>15.1</v>
      </c>
      <c r="J1053" t="inlineStr">
        <is>
          <t>NO</t>
        </is>
      </c>
      <c r="K1053" t="inlineStr">
        <is>
          <t>2026-02-27 20:47</t>
        </is>
      </c>
      <c r="L1053" t="inlineStr">
        <is>
          <t>CHECK_VENDOR</t>
        </is>
      </c>
      <c r="M1053" t="inlineStr">
        <is>
          <t>See CVE details</t>
        </is>
      </c>
      <c r="N1053" t="inlineStr">
        <is>
          <t>P3</t>
        </is>
      </c>
      <c r="O1053" t="inlineStr">
        <is>
          <t>CVE - IP enrichment n/a</t>
        </is>
      </c>
      <c r="P1053" t="n">
        <v>0</v>
      </c>
      <c r="Q1053" t="n">
        <v>0</v>
      </c>
      <c r="R1053" t="inlineStr">
        <is>
          <t>T1190:Exploit Public-Facing Application</t>
        </is>
      </c>
      <c r="S1053" t="n">
        <v>1</v>
      </c>
      <c r="T1053" t="inlineStr">
        <is>
          <t>LOW (40%)</t>
        </is>
      </c>
      <c r="U1053" t="inlineStr">
        <is>
          <t>UNLIKELY</t>
        </is>
      </c>
      <c r="V1053" t="inlineStr">
        <is>
          <t>CHECK_VENDOR</t>
        </is>
      </c>
      <c r="W1053" t="inlineStr">
        <is>
          <t>https://nvd.nist.gov/vuln/detail/CVE-2026-2750</t>
        </is>
      </c>
      <c r="X1053" t="inlineStr">
        <is>
          <t>NONE</t>
        </is>
      </c>
      <c r="Y1053" t="n">
        <v>0</v>
      </c>
      <c r="Z1053" t="inlineStr"/>
      <c r="AA1053" t="inlineStr">
        <is>
          <t>https://nvd.nist.gov/vuln/detail/CVE-2026-2750</t>
        </is>
      </c>
    </row>
    <row r="1054">
      <c r="A1054" t="inlineStr">
        <is>
          <t>CVE</t>
        </is>
      </c>
      <c r="B1054" t="inlineStr">
        <is>
          <t>CVE-2026-3277</t>
        </is>
      </c>
      <c r="C1054"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1054" t="n">
        <v>5</v>
      </c>
      <c r="E1054" t="inlineStr">
        <is>
          <t>MEDIUM</t>
        </is>
      </c>
      <c r="F1054" t="n">
        <v>2</v>
      </c>
      <c r="G1054" t="n">
        <v>2</v>
      </c>
      <c r="H1054" t="inlineStr">
        <is>
          <t>MEDIUM</t>
        </is>
      </c>
      <c r="I1054" t="n">
        <v>9</v>
      </c>
      <c r="J1054" t="inlineStr">
        <is>
          <t>NO</t>
        </is>
      </c>
      <c r="K1054" t="inlineStr">
        <is>
          <t>2026-02-27 20:47</t>
        </is>
      </c>
      <c r="L1054" t="inlineStr">
        <is>
          <t>CHECK_VENDOR</t>
        </is>
      </c>
      <c r="M1054" t="inlineStr">
        <is>
          <t>See CVE details</t>
        </is>
      </c>
      <c r="N1054" t="inlineStr">
        <is>
          <t>P4</t>
        </is>
      </c>
      <c r="O1054" t="inlineStr">
        <is>
          <t>CVE - IP enrichment n/a</t>
        </is>
      </c>
      <c r="P1054" t="n">
        <v>0</v>
      </c>
      <c r="Q1054" t="n">
        <v>0</v>
      </c>
      <c r="R1054" t="inlineStr">
        <is>
          <t>T1552:Unsecured Credentials</t>
        </is>
      </c>
      <c r="S1054" t="n">
        <v>1</v>
      </c>
      <c r="T1054" t="inlineStr">
        <is>
          <t>LOW (40%)</t>
        </is>
      </c>
      <c r="U1054" t="inlineStr">
        <is>
          <t>UNLIKELY</t>
        </is>
      </c>
      <c r="V1054" t="inlineStr">
        <is>
          <t>CHECK_VENDOR</t>
        </is>
      </c>
      <c r="W1054" t="inlineStr">
        <is>
          <t>https://nvd.nist.gov/vuln/detail/CVE-2026-3277</t>
        </is>
      </c>
      <c r="X1054" t="inlineStr">
        <is>
          <t>NONE</t>
        </is>
      </c>
      <c r="Y1054" t="n">
        <v>0</v>
      </c>
      <c r="Z1054" t="inlineStr"/>
      <c r="AA1054" t="inlineStr">
        <is>
          <t>https://nvd.nist.gov/vuln/detail/CVE-2026-3277</t>
        </is>
      </c>
    </row>
    <row r="1055">
      <c r="A1055" t="inlineStr">
        <is>
          <t>CVE</t>
        </is>
      </c>
      <c r="B1055" t="inlineStr">
        <is>
          <t>CVE-2026-3304</t>
        </is>
      </c>
      <c r="C1055"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1055" t="n">
        <v>8.5</v>
      </c>
      <c r="E1055" t="inlineStr">
        <is>
          <t>HIGH</t>
        </is>
      </c>
      <c r="F1055" t="n">
        <v>2</v>
      </c>
      <c r="G1055" t="n">
        <v>3</v>
      </c>
      <c r="H1055" t="inlineStr">
        <is>
          <t>HIGH</t>
        </is>
      </c>
      <c r="I1055" t="n">
        <v>14.5</v>
      </c>
      <c r="J1055" t="inlineStr">
        <is>
          <t>NO</t>
        </is>
      </c>
      <c r="K1055" t="inlineStr">
        <is>
          <t>2026-02-27 20:47</t>
        </is>
      </c>
      <c r="L1055" t="inlineStr">
        <is>
          <t>CHECK_VENDOR</t>
        </is>
      </c>
      <c r="M1055" t="inlineStr">
        <is>
          <t>See CVE details</t>
        </is>
      </c>
      <c r="N1055" t="inlineStr">
        <is>
          <t>P3</t>
        </is>
      </c>
      <c r="O1055" t="inlineStr">
        <is>
          <t>CVE - IP enrichment n/a</t>
        </is>
      </c>
      <c r="P1055" t="n">
        <v>0</v>
      </c>
      <c r="Q1055" t="n">
        <v>0</v>
      </c>
      <c r="R1055" t="inlineStr">
        <is>
          <t>T1190:Exploit Public-Facing Application | T1499:Endpoint Denial of Service</t>
        </is>
      </c>
      <c r="S1055" t="n">
        <v>1</v>
      </c>
      <c r="T1055" t="inlineStr">
        <is>
          <t>LOW (40%)</t>
        </is>
      </c>
      <c r="U1055" t="inlineStr">
        <is>
          <t>UNLIKELY</t>
        </is>
      </c>
      <c r="V1055" t="inlineStr">
        <is>
          <t>CHECK_VENDOR</t>
        </is>
      </c>
      <c r="W1055" t="inlineStr">
        <is>
          <t>https://nvd.nist.gov/vuln/detail/CVE-2026-3304</t>
        </is>
      </c>
      <c r="X1055" t="inlineStr">
        <is>
          <t>NONE</t>
        </is>
      </c>
      <c r="Y1055" t="n">
        <v>0</v>
      </c>
      <c r="Z1055" t="inlineStr"/>
      <c r="AA1055" t="inlineStr">
        <is>
          <t>https://nvd.nist.gov/vuln/detail/CVE-2026-3304</t>
        </is>
      </c>
    </row>
    <row r="1056">
      <c r="A1056" t="inlineStr">
        <is>
          <t>CVE</t>
        </is>
      </c>
      <c r="B1056" t="inlineStr">
        <is>
          <t>CVE-2025-69437</t>
        </is>
      </c>
      <c r="C1056"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1056" t="n">
        <v>5</v>
      </c>
      <c r="E1056" t="inlineStr">
        <is>
          <t>MEDIUM</t>
        </is>
      </c>
      <c r="F1056" t="n">
        <v>2</v>
      </c>
      <c r="G1056" t="n">
        <v>2</v>
      </c>
      <c r="H1056" t="inlineStr">
        <is>
          <t>MEDIUM</t>
        </is>
      </c>
      <c r="I1056" t="n">
        <v>9</v>
      </c>
      <c r="J1056" t="inlineStr">
        <is>
          <t>NO</t>
        </is>
      </c>
      <c r="K1056" t="inlineStr">
        <is>
          <t>2026-02-27 20:47</t>
        </is>
      </c>
      <c r="L1056" t="inlineStr">
        <is>
          <t>CHECK_VENDOR</t>
        </is>
      </c>
      <c r="M1056" t="inlineStr">
        <is>
          <t>See CVE details</t>
        </is>
      </c>
      <c r="N1056" t="inlineStr">
        <is>
          <t>P4</t>
        </is>
      </c>
      <c r="O1056" t="inlineStr">
        <is>
          <t>CVE - IP enrichment n/a</t>
        </is>
      </c>
      <c r="P1056" t="n">
        <v>0</v>
      </c>
      <c r="Q1056" t="n">
        <v>0</v>
      </c>
      <c r="R1056" t="inlineStr">
        <is>
          <t>T1189:Drive-by Compromise | T1552:Unsecured Credentials</t>
        </is>
      </c>
      <c r="S1056" t="n">
        <v>1</v>
      </c>
      <c r="T1056" t="inlineStr">
        <is>
          <t>LOW (40%)</t>
        </is>
      </c>
      <c r="U1056" t="inlineStr">
        <is>
          <t>UNLIKELY</t>
        </is>
      </c>
      <c r="V1056" t="inlineStr">
        <is>
          <t>CHECK_VENDOR</t>
        </is>
      </c>
      <c r="W1056" t="inlineStr">
        <is>
          <t>https://nvd.nist.gov/vuln/detail/CVE-2025-69437</t>
        </is>
      </c>
      <c r="X1056" t="inlineStr">
        <is>
          <t>NONE</t>
        </is>
      </c>
      <c r="Y1056" t="n">
        <v>0</v>
      </c>
      <c r="Z1056" t="inlineStr"/>
      <c r="AA1056" t="inlineStr">
        <is>
          <t>https://nvd.nist.gov/vuln/detail/CVE-2025-69437</t>
        </is>
      </c>
    </row>
    <row r="1057">
      <c r="A1057" t="inlineStr">
        <is>
          <t>CVE</t>
        </is>
      </c>
      <c r="B1057" t="inlineStr">
        <is>
          <t>CVE-2026-24488</t>
        </is>
      </c>
      <c r="C1057"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1057" t="n">
        <v>6.5</v>
      </c>
      <c r="E1057" t="inlineStr">
        <is>
          <t>MEDIUM</t>
        </is>
      </c>
      <c r="F1057" t="n">
        <v>2</v>
      </c>
      <c r="G1057" t="n">
        <v>2</v>
      </c>
      <c r="H1057" t="inlineStr">
        <is>
          <t>MEDIUM</t>
        </is>
      </c>
      <c r="I1057" t="n">
        <v>10.5</v>
      </c>
      <c r="J1057" t="inlineStr">
        <is>
          <t>NO</t>
        </is>
      </c>
      <c r="K1057" t="inlineStr">
        <is>
          <t>2026-02-27 20:47</t>
        </is>
      </c>
      <c r="L1057" t="inlineStr">
        <is>
          <t>CHECK_VENDOR</t>
        </is>
      </c>
      <c r="M1057" t="inlineStr">
        <is>
          <t>See CVE details</t>
        </is>
      </c>
      <c r="N1057" t="inlineStr">
        <is>
          <t>P4</t>
        </is>
      </c>
      <c r="O1057" t="inlineStr">
        <is>
          <t>CVE - IP enrichment n/a</t>
        </is>
      </c>
      <c r="P1057" t="n">
        <v>0</v>
      </c>
      <c r="Q1057" t="n">
        <v>0</v>
      </c>
      <c r="R1057" t="inlineStr">
        <is>
          <t>T1083:File and Directory Discovery | T1190:Exploit Public-Facing Application | T1552:Unsecured Credentials</t>
        </is>
      </c>
      <c r="S1057" t="n">
        <v>1</v>
      </c>
      <c r="T1057" t="inlineStr">
        <is>
          <t>LOW (40%)</t>
        </is>
      </c>
      <c r="U1057" t="inlineStr">
        <is>
          <t>UNLIKELY</t>
        </is>
      </c>
      <c r="V1057" t="inlineStr">
        <is>
          <t>CHECK_VENDOR</t>
        </is>
      </c>
      <c r="W1057" t="inlineStr">
        <is>
          <t>https://nvd.nist.gov/vuln/detail/CVE-2026-24488</t>
        </is>
      </c>
      <c r="X1057" t="inlineStr">
        <is>
          <t>NONE</t>
        </is>
      </c>
      <c r="Y1057" t="n">
        <v>0</v>
      </c>
      <c r="Z1057" t="inlineStr"/>
      <c r="AA1057" t="inlineStr">
        <is>
          <t>https://nvd.nist.gov/vuln/detail/CVE-2026-24488</t>
        </is>
      </c>
    </row>
    <row r="1058">
      <c r="A1058" t="inlineStr">
        <is>
          <t>CVE</t>
        </is>
      </c>
      <c r="B1058" t="inlineStr">
        <is>
          <t>CVE-2026-25147</t>
        </is>
      </c>
      <c r="C1058"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1058" t="n">
        <v>7.1</v>
      </c>
      <c r="E1058" t="inlineStr">
        <is>
          <t>HIGH</t>
        </is>
      </c>
      <c r="F1058" t="n">
        <v>2</v>
      </c>
      <c r="G1058" t="n">
        <v>3</v>
      </c>
      <c r="H1058" t="inlineStr">
        <is>
          <t>HIGH</t>
        </is>
      </c>
      <c r="I1058" t="n">
        <v>13.1</v>
      </c>
      <c r="J1058" t="inlineStr">
        <is>
          <t>NO</t>
        </is>
      </c>
      <c r="K1058" t="inlineStr">
        <is>
          <t>2026-02-27 20:47</t>
        </is>
      </c>
      <c r="L1058" t="inlineStr">
        <is>
          <t>CHECK_VENDOR</t>
        </is>
      </c>
      <c r="M1058" t="inlineStr">
        <is>
          <t>See CVE details</t>
        </is>
      </c>
      <c r="N1058" t="inlineStr">
        <is>
          <t>P3</t>
        </is>
      </c>
      <c r="O1058" t="inlineStr">
        <is>
          <t>CVE - IP enrichment n/a</t>
        </is>
      </c>
      <c r="P1058" t="n">
        <v>0</v>
      </c>
      <c r="Q1058" t="n">
        <v>0</v>
      </c>
      <c r="R1058" t="inlineStr">
        <is>
          <t>T1190:Exploit Public-Facing Application | T1068:Exploitation for Privilege Escalation</t>
        </is>
      </c>
      <c r="S1058" t="n">
        <v>1</v>
      </c>
      <c r="T1058" t="inlineStr">
        <is>
          <t>LOW (40%)</t>
        </is>
      </c>
      <c r="U1058" t="inlineStr">
        <is>
          <t>UNLIKELY</t>
        </is>
      </c>
      <c r="V1058" t="inlineStr">
        <is>
          <t>CHECK_VENDOR</t>
        </is>
      </c>
      <c r="W1058" t="inlineStr">
        <is>
          <t>https://nvd.nist.gov/vuln/detail/CVE-2026-25147</t>
        </is>
      </c>
      <c r="X1058" t="inlineStr">
        <is>
          <t>NONE</t>
        </is>
      </c>
      <c r="Y1058" t="n">
        <v>0</v>
      </c>
      <c r="Z1058" t="inlineStr"/>
      <c r="AA1058" t="inlineStr">
        <is>
          <t>https://nvd.nist.gov/vuln/detail/CVE-2026-25147</t>
        </is>
      </c>
    </row>
    <row r="1059">
      <c r="A1059" t="inlineStr">
        <is>
          <t>CVE</t>
        </is>
      </c>
      <c r="B1059" t="inlineStr">
        <is>
          <t>CVE-2026-2293</t>
        </is>
      </c>
      <c r="C1059" t="inlineStr">
        <is>
          <t>A NestJS application using @nestjs/platform-fastify can allow bypass of authentication/authorization middleware when Fastify path-normalization options are enabled.
This issue affects nest.Js: 11.1.13.</t>
        </is>
      </c>
      <c r="D1059" t="n">
        <v>5</v>
      </c>
      <c r="E1059" t="inlineStr">
        <is>
          <t>MEDIUM</t>
        </is>
      </c>
      <c r="F1059" t="n">
        <v>2</v>
      </c>
      <c r="G1059" t="n">
        <v>2</v>
      </c>
      <c r="H1059" t="inlineStr">
        <is>
          <t>MEDIUM</t>
        </is>
      </c>
      <c r="I1059" t="n">
        <v>9</v>
      </c>
      <c r="J1059" t="inlineStr">
        <is>
          <t>NO</t>
        </is>
      </c>
      <c r="K1059" t="inlineStr">
        <is>
          <t>2026-02-27 20:47</t>
        </is>
      </c>
      <c r="L1059" t="inlineStr">
        <is>
          <t>CHECK_VENDOR</t>
        </is>
      </c>
      <c r="M1059" t="inlineStr">
        <is>
          <t>See CVE details</t>
        </is>
      </c>
      <c r="N1059" t="inlineStr">
        <is>
          <t>P4</t>
        </is>
      </c>
      <c r="O1059" t="inlineStr">
        <is>
          <t>CVE - IP enrichment n/a</t>
        </is>
      </c>
      <c r="P1059" t="n">
        <v>0</v>
      </c>
      <c r="Q1059" t="n">
        <v>0</v>
      </c>
      <c r="R1059" t="inlineStr">
        <is>
          <t>T1190:Exploit Public-Facing Application</t>
        </is>
      </c>
      <c r="S1059" t="n">
        <v>1</v>
      </c>
      <c r="T1059" t="inlineStr">
        <is>
          <t>LOW (40%)</t>
        </is>
      </c>
      <c r="U1059" t="inlineStr">
        <is>
          <t>UNLIKELY</t>
        </is>
      </c>
      <c r="V1059" t="inlineStr">
        <is>
          <t>CHECK_VENDOR</t>
        </is>
      </c>
      <c r="W1059" t="inlineStr">
        <is>
          <t>https://nvd.nist.gov/vuln/detail/CVE-2026-2293</t>
        </is>
      </c>
      <c r="X1059" t="inlineStr">
        <is>
          <t>NONE</t>
        </is>
      </c>
      <c r="Y1059" t="n">
        <v>0</v>
      </c>
      <c r="Z1059" t="inlineStr"/>
      <c r="AA1059" t="inlineStr">
        <is>
          <t>https://nvd.nist.gov/vuln/detail/CVE-2026-2293</t>
        </is>
      </c>
    </row>
    <row r="1060">
      <c r="A1060" t="inlineStr">
        <is>
          <t>CVE</t>
        </is>
      </c>
      <c r="B1060" t="inlineStr">
        <is>
          <t>CVE-2019-25489</t>
        </is>
      </c>
      <c r="C1060"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1060" t="n">
        <v>8.199999999999999</v>
      </c>
      <c r="E1060" t="inlineStr">
        <is>
          <t>HIGH</t>
        </is>
      </c>
      <c r="F1060" t="n">
        <v>2</v>
      </c>
      <c r="G1060" t="n">
        <v>3</v>
      </c>
      <c r="H1060" t="inlineStr">
        <is>
          <t>HIGH</t>
        </is>
      </c>
      <c r="I1060" t="n">
        <v>14.2</v>
      </c>
      <c r="J1060" t="inlineStr">
        <is>
          <t>NO</t>
        </is>
      </c>
      <c r="K1060" t="inlineStr">
        <is>
          <t>2026-02-27 20:47</t>
        </is>
      </c>
      <c r="L1060" t="inlineStr">
        <is>
          <t>CHECK_VENDOR</t>
        </is>
      </c>
      <c r="M1060" t="inlineStr">
        <is>
          <t>See CVE details</t>
        </is>
      </c>
      <c r="N1060" t="inlineStr">
        <is>
          <t>P3</t>
        </is>
      </c>
      <c r="O1060" t="inlineStr">
        <is>
          <t>CVE - IP enrichment n/a</t>
        </is>
      </c>
      <c r="P1060" t="n">
        <v>0</v>
      </c>
      <c r="Q1060" t="n">
        <v>0</v>
      </c>
      <c r="R1060" t="inlineStr">
        <is>
          <t>T1190:Exploit Public-Facing Application | T1499:Endpoint Denial of Service</t>
        </is>
      </c>
      <c r="S1060" t="n">
        <v>1</v>
      </c>
      <c r="T1060" t="inlineStr">
        <is>
          <t>LOW (40%)</t>
        </is>
      </c>
      <c r="U1060" t="inlineStr">
        <is>
          <t>UNLIKELY</t>
        </is>
      </c>
      <c r="V1060" t="inlineStr">
        <is>
          <t>CHECK_VENDOR</t>
        </is>
      </c>
      <c r="W1060" t="inlineStr">
        <is>
          <t>https://nvd.nist.gov/vuln/detail/CVE-2019-25489</t>
        </is>
      </c>
      <c r="X1060" t="inlineStr">
        <is>
          <t>NONE</t>
        </is>
      </c>
      <c r="Y1060" t="n">
        <v>0</v>
      </c>
      <c r="Z1060" t="inlineStr"/>
      <c r="AA1060" t="inlineStr">
        <is>
          <t>https://nvd.nist.gov/vuln/detail/CVE-2019-25489</t>
        </is>
      </c>
    </row>
    <row r="1061">
      <c r="A1061" t="inlineStr">
        <is>
          <t>CVE</t>
        </is>
      </c>
      <c r="B1061" t="inlineStr">
        <is>
          <t>CVE-2019-25490</t>
        </is>
      </c>
      <c r="C1061"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1061" t="n">
        <v>8.199999999999999</v>
      </c>
      <c r="E1061" t="inlineStr">
        <is>
          <t>HIGH</t>
        </is>
      </c>
      <c r="F1061" t="n">
        <v>2</v>
      </c>
      <c r="G1061" t="n">
        <v>3</v>
      </c>
      <c r="H1061" t="inlineStr">
        <is>
          <t>HIGH</t>
        </is>
      </c>
      <c r="I1061" t="n">
        <v>14.2</v>
      </c>
      <c r="J1061" t="inlineStr">
        <is>
          <t>NO</t>
        </is>
      </c>
      <c r="K1061" t="inlineStr">
        <is>
          <t>2026-02-27 20:47</t>
        </is>
      </c>
      <c r="L1061" t="inlineStr">
        <is>
          <t>CHECK_VENDOR</t>
        </is>
      </c>
      <c r="M1061" t="inlineStr">
        <is>
          <t>See CVE details</t>
        </is>
      </c>
      <c r="N1061" t="inlineStr">
        <is>
          <t>P3</t>
        </is>
      </c>
      <c r="O1061" t="inlineStr">
        <is>
          <t>CVE - IP enrichment n/a</t>
        </is>
      </c>
      <c r="P1061" t="n">
        <v>0</v>
      </c>
      <c r="Q1061" t="n">
        <v>0</v>
      </c>
      <c r="R1061" t="inlineStr">
        <is>
          <t>T1190:Exploit Public-Facing Application</t>
        </is>
      </c>
      <c r="S1061" t="n">
        <v>1</v>
      </c>
      <c r="T1061" t="inlineStr">
        <is>
          <t>LOW (40%)</t>
        </is>
      </c>
      <c r="U1061" t="inlineStr">
        <is>
          <t>UNLIKELY</t>
        </is>
      </c>
      <c r="V1061" t="inlineStr">
        <is>
          <t>CHECK_VENDOR</t>
        </is>
      </c>
      <c r="W1061" t="inlineStr">
        <is>
          <t>https://nvd.nist.gov/vuln/detail/CVE-2019-25490</t>
        </is>
      </c>
      <c r="X1061" t="inlineStr">
        <is>
          <t>NONE</t>
        </is>
      </c>
      <c r="Y1061" t="n">
        <v>0</v>
      </c>
      <c r="Z1061" t="inlineStr"/>
      <c r="AA1061" t="inlineStr">
        <is>
          <t>https://nvd.nist.gov/vuln/detail/CVE-2019-25490</t>
        </is>
      </c>
    </row>
    <row r="1062">
      <c r="A1062" t="inlineStr">
        <is>
          <t>CVE</t>
        </is>
      </c>
      <c r="B1062" t="inlineStr">
        <is>
          <t>CVE-2019-25491</t>
        </is>
      </c>
      <c r="C1062"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1062" t="n">
        <v>8.199999999999999</v>
      </c>
      <c r="E1062" t="inlineStr">
        <is>
          <t>HIGH</t>
        </is>
      </c>
      <c r="F1062" t="n">
        <v>2</v>
      </c>
      <c r="G1062" t="n">
        <v>3</v>
      </c>
      <c r="H1062" t="inlineStr">
        <is>
          <t>HIGH</t>
        </is>
      </c>
      <c r="I1062" t="n">
        <v>14.2</v>
      </c>
      <c r="J1062" t="inlineStr">
        <is>
          <t>NO</t>
        </is>
      </c>
      <c r="K1062" t="inlineStr">
        <is>
          <t>2026-02-27 20:47</t>
        </is>
      </c>
      <c r="L1062" t="inlineStr">
        <is>
          <t>CHECK_VENDOR</t>
        </is>
      </c>
      <c r="M1062" t="inlineStr">
        <is>
          <t>See CVE details</t>
        </is>
      </c>
      <c r="N1062" t="inlineStr">
        <is>
          <t>P3</t>
        </is>
      </c>
      <c r="O1062" t="inlineStr">
        <is>
          <t>CVE - IP enrichment n/a</t>
        </is>
      </c>
      <c r="P1062" t="n">
        <v>0</v>
      </c>
      <c r="Q1062" t="n">
        <v>0</v>
      </c>
      <c r="R1062" t="inlineStr">
        <is>
          <t>T1190:Exploit Public-Facing Application</t>
        </is>
      </c>
      <c r="S1062" t="n">
        <v>1</v>
      </c>
      <c r="T1062" t="inlineStr">
        <is>
          <t>LOW (40%)</t>
        </is>
      </c>
      <c r="U1062" t="inlineStr">
        <is>
          <t>UNLIKELY</t>
        </is>
      </c>
      <c r="V1062" t="inlineStr">
        <is>
          <t>CHECK_VENDOR</t>
        </is>
      </c>
      <c r="W1062" t="inlineStr">
        <is>
          <t>https://nvd.nist.gov/vuln/detail/CVE-2019-25491</t>
        </is>
      </c>
      <c r="X1062" t="inlineStr">
        <is>
          <t>NONE</t>
        </is>
      </c>
      <c r="Y1062" t="n">
        <v>0</v>
      </c>
      <c r="Z1062" t="inlineStr"/>
      <c r="AA1062" t="inlineStr">
        <is>
          <t>https://nvd.nist.gov/vuln/detail/CVE-2019-25491</t>
        </is>
      </c>
    </row>
    <row r="1063">
      <c r="A1063" t="inlineStr">
        <is>
          <t>CVE</t>
        </is>
      </c>
      <c r="B1063" t="inlineStr">
        <is>
          <t>CVE-2019-25492</t>
        </is>
      </c>
      <c r="C1063"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1063" t="n">
        <v>8.199999999999999</v>
      </c>
      <c r="E1063" t="inlineStr">
        <is>
          <t>HIGH</t>
        </is>
      </c>
      <c r="F1063" t="n">
        <v>2</v>
      </c>
      <c r="G1063" t="n">
        <v>3</v>
      </c>
      <c r="H1063" t="inlineStr">
        <is>
          <t>HIGH</t>
        </is>
      </c>
      <c r="I1063" t="n">
        <v>14.2</v>
      </c>
      <c r="J1063" t="inlineStr">
        <is>
          <t>NO</t>
        </is>
      </c>
      <c r="K1063" t="inlineStr">
        <is>
          <t>2026-02-27 20:47</t>
        </is>
      </c>
      <c r="L1063" t="inlineStr">
        <is>
          <t>CHECK_VENDOR</t>
        </is>
      </c>
      <c r="M1063" t="inlineStr">
        <is>
          <t>See CVE details</t>
        </is>
      </c>
      <c r="N1063" t="inlineStr">
        <is>
          <t>P3</t>
        </is>
      </c>
      <c r="O1063" t="inlineStr">
        <is>
          <t>CVE - IP enrichment n/a</t>
        </is>
      </c>
      <c r="P1063" t="n">
        <v>0</v>
      </c>
      <c r="Q1063" t="n">
        <v>0</v>
      </c>
      <c r="R1063" t="inlineStr">
        <is>
          <t>T1190:Exploit Public-Facing Application</t>
        </is>
      </c>
      <c r="S1063" t="n">
        <v>1</v>
      </c>
      <c r="T1063" t="inlineStr">
        <is>
          <t>LOW (40%)</t>
        </is>
      </c>
      <c r="U1063" t="inlineStr">
        <is>
          <t>UNLIKELY</t>
        </is>
      </c>
      <c r="V1063" t="inlineStr">
        <is>
          <t>CHECK_VENDOR</t>
        </is>
      </c>
      <c r="W1063" t="inlineStr">
        <is>
          <t>https://nvd.nist.gov/vuln/detail/CVE-2019-25492</t>
        </is>
      </c>
      <c r="X1063" t="inlineStr">
        <is>
          <t>NONE</t>
        </is>
      </c>
      <c r="Y1063" t="n">
        <v>0</v>
      </c>
      <c r="Z1063" t="inlineStr"/>
      <c r="AA1063" t="inlineStr">
        <is>
          <t>https://nvd.nist.gov/vuln/detail/CVE-2019-25492</t>
        </is>
      </c>
    </row>
    <row r="1064">
      <c r="A1064" t="inlineStr">
        <is>
          <t>CVE</t>
        </is>
      </c>
      <c r="B1064" t="inlineStr">
        <is>
          <t>CVE-2019-25493</t>
        </is>
      </c>
      <c r="C1064"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1064" t="n">
        <v>8.199999999999999</v>
      </c>
      <c r="E1064" t="inlineStr">
        <is>
          <t>HIGH</t>
        </is>
      </c>
      <c r="F1064" t="n">
        <v>2</v>
      </c>
      <c r="G1064" t="n">
        <v>3</v>
      </c>
      <c r="H1064" t="inlineStr">
        <is>
          <t>HIGH</t>
        </is>
      </c>
      <c r="I1064" t="n">
        <v>14.2</v>
      </c>
      <c r="J1064" t="inlineStr">
        <is>
          <t>NO</t>
        </is>
      </c>
      <c r="K1064" t="inlineStr">
        <is>
          <t>2026-02-27 20:47</t>
        </is>
      </c>
      <c r="L1064" t="inlineStr">
        <is>
          <t>CHECK_VENDOR</t>
        </is>
      </c>
      <c r="M1064" t="inlineStr">
        <is>
          <t>See CVE details</t>
        </is>
      </c>
      <c r="N1064" t="inlineStr">
        <is>
          <t>P3</t>
        </is>
      </c>
      <c r="O1064" t="inlineStr">
        <is>
          <t>CVE - IP enrichment n/a</t>
        </is>
      </c>
      <c r="P1064" t="n">
        <v>0</v>
      </c>
      <c r="Q1064" t="n">
        <v>0</v>
      </c>
      <c r="R1064" t="inlineStr">
        <is>
          <t>T1190:Exploit Public-Facing Application</t>
        </is>
      </c>
      <c r="S1064" t="n">
        <v>1</v>
      </c>
      <c r="T1064" t="inlineStr">
        <is>
          <t>LOW (40%)</t>
        </is>
      </c>
      <c r="U1064" t="inlineStr">
        <is>
          <t>UNLIKELY</t>
        </is>
      </c>
      <c r="V1064" t="inlineStr">
        <is>
          <t>CHECK_VENDOR</t>
        </is>
      </c>
      <c r="W1064" t="inlineStr">
        <is>
          <t>https://nvd.nist.gov/vuln/detail/CVE-2019-25493</t>
        </is>
      </c>
      <c r="X1064" t="inlineStr">
        <is>
          <t>NONE</t>
        </is>
      </c>
      <c r="Y1064" t="n">
        <v>0</v>
      </c>
      <c r="Z1064" t="inlineStr"/>
      <c r="AA1064" t="inlineStr">
        <is>
          <t>https://nvd.nist.gov/vuln/detail/CVE-2019-25493</t>
        </is>
      </c>
    </row>
    <row r="1065">
      <c r="A1065" t="inlineStr">
        <is>
          <t>CVE</t>
        </is>
      </c>
      <c r="B1065" t="inlineStr">
        <is>
          <t>CVE-2019-25494</t>
        </is>
      </c>
      <c r="C1065"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1065" t="n">
        <v>8.199999999999999</v>
      </c>
      <c r="E1065" t="inlineStr">
        <is>
          <t>HIGH</t>
        </is>
      </c>
      <c r="F1065" t="n">
        <v>2</v>
      </c>
      <c r="G1065" t="n">
        <v>3</v>
      </c>
      <c r="H1065" t="inlineStr">
        <is>
          <t>HIGH</t>
        </is>
      </c>
      <c r="I1065" t="n">
        <v>14.2</v>
      </c>
      <c r="J1065" t="inlineStr">
        <is>
          <t>NO</t>
        </is>
      </c>
      <c r="K1065" t="inlineStr">
        <is>
          <t>2026-02-27 20:47</t>
        </is>
      </c>
      <c r="L1065" t="inlineStr">
        <is>
          <t>CHECK_VENDOR</t>
        </is>
      </c>
      <c r="M1065" t="inlineStr">
        <is>
          <t>See CVE details</t>
        </is>
      </c>
      <c r="N1065" t="inlineStr">
        <is>
          <t>P3</t>
        </is>
      </c>
      <c r="O1065" t="inlineStr">
        <is>
          <t>CVE - IP enrichment n/a</t>
        </is>
      </c>
      <c r="P1065" t="n">
        <v>0</v>
      </c>
      <c r="Q1065" t="n">
        <v>0</v>
      </c>
      <c r="R1065" t="inlineStr">
        <is>
          <t>T1190:Exploit Public-Facing Application | T1552:Unsecured Credentials</t>
        </is>
      </c>
      <c r="S1065" t="n">
        <v>1</v>
      </c>
      <c r="T1065" t="inlineStr">
        <is>
          <t>LOW (40%)</t>
        </is>
      </c>
      <c r="U1065" t="inlineStr">
        <is>
          <t>UNLIKELY</t>
        </is>
      </c>
      <c r="V1065" t="inlineStr">
        <is>
          <t>CHECK_VENDOR</t>
        </is>
      </c>
      <c r="W1065" t="inlineStr">
        <is>
          <t>https://nvd.nist.gov/vuln/detail/CVE-2019-25494</t>
        </is>
      </c>
      <c r="X1065" t="inlineStr">
        <is>
          <t>NONE</t>
        </is>
      </c>
      <c r="Y1065" t="n">
        <v>0</v>
      </c>
      <c r="Z1065" t="inlineStr"/>
      <c r="AA1065" t="inlineStr">
        <is>
          <t>https://nvd.nist.gov/vuln/detail/CVE-2019-25494</t>
        </is>
      </c>
    </row>
    <row r="1066">
      <c r="A1066" t="inlineStr">
        <is>
          <t>CVE</t>
        </is>
      </c>
      <c r="B1066" t="inlineStr">
        <is>
          <t>CVE-2019-25495</t>
        </is>
      </c>
      <c r="C1066"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1066" t="n">
        <v>8.199999999999999</v>
      </c>
      <c r="E1066" t="inlineStr">
        <is>
          <t>HIGH</t>
        </is>
      </c>
      <c r="F1066" t="n">
        <v>2</v>
      </c>
      <c r="G1066" t="n">
        <v>3</v>
      </c>
      <c r="H1066" t="inlineStr">
        <is>
          <t>HIGH</t>
        </is>
      </c>
      <c r="I1066" t="n">
        <v>14.2</v>
      </c>
      <c r="J1066" t="inlineStr">
        <is>
          <t>NO</t>
        </is>
      </c>
      <c r="K1066" t="inlineStr">
        <is>
          <t>2026-02-27 20:47</t>
        </is>
      </c>
      <c r="L1066" t="inlineStr">
        <is>
          <t>CHECK_VENDOR</t>
        </is>
      </c>
      <c r="M1066" t="inlineStr">
        <is>
          <t>See CVE details</t>
        </is>
      </c>
      <c r="N1066" t="inlineStr">
        <is>
          <t>P3</t>
        </is>
      </c>
      <c r="O1066" t="inlineStr">
        <is>
          <t>CVE - IP enrichment n/a</t>
        </is>
      </c>
      <c r="P1066" t="n">
        <v>0</v>
      </c>
      <c r="Q1066" t="n">
        <v>0</v>
      </c>
      <c r="R1066" t="inlineStr">
        <is>
          <t>T1190:Exploit Public-Facing Application</t>
        </is>
      </c>
      <c r="S1066" t="n">
        <v>1</v>
      </c>
      <c r="T1066" t="inlineStr">
        <is>
          <t>LOW (40%)</t>
        </is>
      </c>
      <c r="U1066" t="inlineStr">
        <is>
          <t>UNLIKELY</t>
        </is>
      </c>
      <c r="V1066" t="inlineStr">
        <is>
          <t>CHECK_VENDOR</t>
        </is>
      </c>
      <c r="W1066" t="inlineStr">
        <is>
          <t>https://nvd.nist.gov/vuln/detail/CVE-2019-25495</t>
        </is>
      </c>
      <c r="X1066" t="inlineStr">
        <is>
          <t>NONE</t>
        </is>
      </c>
      <c r="Y1066" t="n">
        <v>0</v>
      </c>
      <c r="Z1066" t="inlineStr"/>
      <c r="AA1066" t="inlineStr">
        <is>
          <t>https://nvd.nist.gov/vuln/detail/CVE-2019-25495</t>
        </is>
      </c>
    </row>
    <row r="1067">
      <c r="A1067" t="inlineStr">
        <is>
          <t>CVE</t>
        </is>
      </c>
      <c r="B1067" t="inlineStr">
        <is>
          <t>CVE-2019-25496</t>
        </is>
      </c>
      <c r="C1067"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1067" t="n">
        <v>8.199999999999999</v>
      </c>
      <c r="E1067" t="inlineStr">
        <is>
          <t>HIGH</t>
        </is>
      </c>
      <c r="F1067" t="n">
        <v>2</v>
      </c>
      <c r="G1067" t="n">
        <v>3</v>
      </c>
      <c r="H1067" t="inlineStr">
        <is>
          <t>HIGH</t>
        </is>
      </c>
      <c r="I1067" t="n">
        <v>14.2</v>
      </c>
      <c r="J1067" t="inlineStr">
        <is>
          <t>NO</t>
        </is>
      </c>
      <c r="K1067" t="inlineStr">
        <is>
          <t>2026-02-27 20:47</t>
        </is>
      </c>
      <c r="L1067" t="inlineStr">
        <is>
          <t>CHECK_VENDOR</t>
        </is>
      </c>
      <c r="M1067" t="inlineStr">
        <is>
          <t>See CVE details</t>
        </is>
      </c>
      <c r="N1067" t="inlineStr">
        <is>
          <t>P3</t>
        </is>
      </c>
      <c r="O1067" t="inlineStr">
        <is>
          <t>CVE - IP enrichment n/a</t>
        </is>
      </c>
      <c r="P1067" t="n">
        <v>0</v>
      </c>
      <c r="Q1067" t="n">
        <v>0</v>
      </c>
      <c r="R1067" t="inlineStr">
        <is>
          <t>T1190:Exploit Public-Facing Application</t>
        </is>
      </c>
      <c r="S1067" t="n">
        <v>1</v>
      </c>
      <c r="T1067" t="inlineStr">
        <is>
          <t>LOW (40%)</t>
        </is>
      </c>
      <c r="U1067" t="inlineStr">
        <is>
          <t>UNLIKELY</t>
        </is>
      </c>
      <c r="V1067" t="inlineStr">
        <is>
          <t>CHECK_VENDOR</t>
        </is>
      </c>
      <c r="W1067" t="inlineStr">
        <is>
          <t>https://nvd.nist.gov/vuln/detail/CVE-2019-25496</t>
        </is>
      </c>
      <c r="X1067" t="inlineStr">
        <is>
          <t>NONE</t>
        </is>
      </c>
      <c r="Y1067" t="n">
        <v>0</v>
      </c>
      <c r="Z1067" t="inlineStr"/>
      <c r="AA1067" t="inlineStr">
        <is>
          <t>https://nvd.nist.gov/vuln/detail/CVE-2019-25496</t>
        </is>
      </c>
    </row>
    <row r="1068">
      <c r="A1068" t="inlineStr">
        <is>
          <t>CVE</t>
        </is>
      </c>
      <c r="B1068" t="inlineStr">
        <is>
          <t>CVE-2019-25497</t>
        </is>
      </c>
      <c r="C1068"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1068" t="n">
        <v>8.199999999999999</v>
      </c>
      <c r="E1068" t="inlineStr">
        <is>
          <t>HIGH</t>
        </is>
      </c>
      <c r="F1068" t="n">
        <v>2</v>
      </c>
      <c r="G1068" t="n">
        <v>3</v>
      </c>
      <c r="H1068" t="inlineStr">
        <is>
          <t>HIGH</t>
        </is>
      </c>
      <c r="I1068" t="n">
        <v>14.2</v>
      </c>
      <c r="J1068" t="inlineStr">
        <is>
          <t>NO</t>
        </is>
      </c>
      <c r="K1068" t="inlineStr">
        <is>
          <t>2026-02-27 20:47</t>
        </is>
      </c>
      <c r="L1068" t="inlineStr">
        <is>
          <t>CHECK_VENDOR</t>
        </is>
      </c>
      <c r="M1068" t="inlineStr">
        <is>
          <t>See CVE details</t>
        </is>
      </c>
      <c r="N1068" t="inlineStr">
        <is>
          <t>P3</t>
        </is>
      </c>
      <c r="O1068" t="inlineStr">
        <is>
          <t>CVE - IP enrichment n/a</t>
        </is>
      </c>
      <c r="P1068" t="n">
        <v>0</v>
      </c>
      <c r="Q1068" t="n">
        <v>0</v>
      </c>
      <c r="R1068" t="inlineStr">
        <is>
          <t>T1190:Exploit Public-Facing Application</t>
        </is>
      </c>
      <c r="S1068" t="n">
        <v>1</v>
      </c>
      <c r="T1068" t="inlineStr">
        <is>
          <t>LOW (40%)</t>
        </is>
      </c>
      <c r="U1068" t="inlineStr">
        <is>
          <t>UNLIKELY</t>
        </is>
      </c>
      <c r="V1068" t="inlineStr">
        <is>
          <t>CHECK_VENDOR</t>
        </is>
      </c>
      <c r="W1068" t="inlineStr">
        <is>
          <t>https://nvd.nist.gov/vuln/detail/CVE-2019-25497</t>
        </is>
      </c>
      <c r="X1068" t="inlineStr">
        <is>
          <t>NONE</t>
        </is>
      </c>
      <c r="Y1068" t="n">
        <v>0</v>
      </c>
      <c r="Z1068" t="inlineStr"/>
      <c r="AA1068" t="inlineStr">
        <is>
          <t>https://nvd.nist.gov/vuln/detail/CVE-2019-25497</t>
        </is>
      </c>
    </row>
    <row r="1069">
      <c r="A1069" t="inlineStr">
        <is>
          <t>CVE</t>
        </is>
      </c>
      <c r="B1069" t="inlineStr">
        <is>
          <t>CVE-2026-21619</t>
        </is>
      </c>
      <c r="C1069"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1069" t="n">
        <v>8.5</v>
      </c>
      <c r="E1069" t="inlineStr">
        <is>
          <t>HIGH</t>
        </is>
      </c>
      <c r="F1069" t="n">
        <v>2</v>
      </c>
      <c r="G1069" t="n">
        <v>3</v>
      </c>
      <c r="H1069" t="inlineStr">
        <is>
          <t>HIGH</t>
        </is>
      </c>
      <c r="I1069" t="n">
        <v>14.5</v>
      </c>
      <c r="J1069" t="inlineStr">
        <is>
          <t>NO</t>
        </is>
      </c>
      <c r="K1069" t="inlineStr">
        <is>
          <t>2026-02-27 20:47</t>
        </is>
      </c>
      <c r="L1069" t="inlineStr">
        <is>
          <t>CHECK_VENDOR</t>
        </is>
      </c>
      <c r="M1069" t="inlineStr">
        <is>
          <t>See CVE details</t>
        </is>
      </c>
      <c r="N1069" t="inlineStr">
        <is>
          <t>P3</t>
        </is>
      </c>
      <c r="O1069" t="inlineStr">
        <is>
          <t>CVE - IP enrichment n/a</t>
        </is>
      </c>
      <c r="P1069" t="n">
        <v>0</v>
      </c>
      <c r="Q1069" t="n">
        <v>0</v>
      </c>
      <c r="R1069" t="inlineStr">
        <is>
          <t>T1190:Exploit Public-Facing Application | T1059:Command and Scripting Interpreter</t>
        </is>
      </c>
      <c r="S1069" t="n">
        <v>1</v>
      </c>
      <c r="T1069" t="inlineStr">
        <is>
          <t>LOW (40%)</t>
        </is>
      </c>
      <c r="U1069" t="inlineStr">
        <is>
          <t>UNLIKELY</t>
        </is>
      </c>
      <c r="V1069" t="inlineStr">
        <is>
          <t>CHECK_VENDOR</t>
        </is>
      </c>
      <c r="W1069" t="inlineStr">
        <is>
          <t>https://nvd.nist.gov/vuln/detail/CVE-2026-21619</t>
        </is>
      </c>
      <c r="X1069" t="inlineStr">
        <is>
          <t>NONE</t>
        </is>
      </c>
      <c r="Y1069" t="n">
        <v>0</v>
      </c>
      <c r="Z1069" t="inlineStr"/>
      <c r="AA1069" t="inlineStr">
        <is>
          <t>https://nvd.nist.gov/vuln/detail/CVE-2026-21619</t>
        </is>
      </c>
    </row>
    <row r="1070">
      <c r="A1070" t="inlineStr">
        <is>
          <t>CVE</t>
        </is>
      </c>
      <c r="B1070" t="inlineStr">
        <is>
          <t>CVE-2026-26861</t>
        </is>
      </c>
      <c r="C1070"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1070" t="n">
        <v>5</v>
      </c>
      <c r="E1070" t="inlineStr">
        <is>
          <t>MEDIUM</t>
        </is>
      </c>
      <c r="F1070" t="n">
        <v>2</v>
      </c>
      <c r="G1070" t="n">
        <v>2</v>
      </c>
      <c r="H1070" t="inlineStr">
        <is>
          <t>MEDIUM</t>
        </is>
      </c>
      <c r="I1070" t="n">
        <v>9</v>
      </c>
      <c r="J1070" t="inlineStr">
        <is>
          <t>NO</t>
        </is>
      </c>
      <c r="K1070" t="inlineStr">
        <is>
          <t>2026-02-27 20:47</t>
        </is>
      </c>
      <c r="L1070" t="inlineStr">
        <is>
          <t>CHECK_VENDOR</t>
        </is>
      </c>
      <c r="M1070" t="inlineStr">
        <is>
          <t>See CVE details</t>
        </is>
      </c>
      <c r="N1070" t="inlineStr">
        <is>
          <t>P4</t>
        </is>
      </c>
      <c r="O1070" t="inlineStr">
        <is>
          <t>CVE - IP enrichment n/a</t>
        </is>
      </c>
      <c r="P1070" t="n">
        <v>0</v>
      </c>
      <c r="Q1070" t="n">
        <v>0</v>
      </c>
      <c r="R1070" t="inlineStr">
        <is>
          <t>T1189:Drive-by Compromise</t>
        </is>
      </c>
      <c r="S1070" t="n">
        <v>1</v>
      </c>
      <c r="T1070" t="inlineStr">
        <is>
          <t>LOW (40%)</t>
        </is>
      </c>
      <c r="U1070" t="inlineStr">
        <is>
          <t>UNLIKELY</t>
        </is>
      </c>
      <c r="V1070" t="inlineStr">
        <is>
          <t>CHECK_VENDOR</t>
        </is>
      </c>
      <c r="W1070" t="inlineStr">
        <is>
          <t>https://nvd.nist.gov/vuln/detail/CVE-2026-26861</t>
        </is>
      </c>
      <c r="X1070" t="inlineStr">
        <is>
          <t>NONE</t>
        </is>
      </c>
      <c r="Y1070" t="n">
        <v>0</v>
      </c>
      <c r="Z1070" t="inlineStr"/>
      <c r="AA1070" t="inlineStr">
        <is>
          <t>https://nvd.nist.gov/vuln/detail/CVE-2026-26861</t>
        </is>
      </c>
    </row>
    <row r="1071">
      <c r="A1071" t="inlineStr">
        <is>
          <t>CVE</t>
        </is>
      </c>
      <c r="B1071" t="inlineStr">
        <is>
          <t>CVE-2026-26862</t>
        </is>
      </c>
      <c r="C1071"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1071" t="n">
        <v>5</v>
      </c>
      <c r="E1071" t="inlineStr">
        <is>
          <t>MEDIUM</t>
        </is>
      </c>
      <c r="F1071" t="n">
        <v>2</v>
      </c>
      <c r="G1071" t="n">
        <v>2</v>
      </c>
      <c r="H1071" t="inlineStr">
        <is>
          <t>MEDIUM</t>
        </is>
      </c>
      <c r="I1071" t="n">
        <v>9</v>
      </c>
      <c r="J1071" t="inlineStr">
        <is>
          <t>NO</t>
        </is>
      </c>
      <c r="K1071" t="inlineStr">
        <is>
          <t>2026-02-27 20:47</t>
        </is>
      </c>
      <c r="L1071" t="inlineStr">
        <is>
          <t>CHECK_VENDOR</t>
        </is>
      </c>
      <c r="M1071" t="inlineStr">
        <is>
          <t>See CVE details</t>
        </is>
      </c>
      <c r="N1071" t="inlineStr">
        <is>
          <t>P4</t>
        </is>
      </c>
      <c r="O1071" t="inlineStr">
        <is>
          <t>CVE - IP enrichment n/a</t>
        </is>
      </c>
      <c r="P1071" t="n">
        <v>0</v>
      </c>
      <c r="Q1071" t="n">
        <v>0</v>
      </c>
      <c r="R1071" t="inlineStr">
        <is>
          <t>T1189:Drive-by Compromise</t>
        </is>
      </c>
      <c r="S1071" t="n">
        <v>1</v>
      </c>
      <c r="T1071" t="inlineStr">
        <is>
          <t>LOW (40%)</t>
        </is>
      </c>
      <c r="U1071" t="inlineStr">
        <is>
          <t>UNLIKELY</t>
        </is>
      </c>
      <c r="V1071" t="inlineStr">
        <is>
          <t>CHECK_VENDOR</t>
        </is>
      </c>
      <c r="W1071" t="inlineStr">
        <is>
          <t>https://nvd.nist.gov/vuln/detail/CVE-2026-26862</t>
        </is>
      </c>
      <c r="X1071" t="inlineStr">
        <is>
          <t>NONE</t>
        </is>
      </c>
      <c r="Y1071" t="n">
        <v>0</v>
      </c>
      <c r="Z1071" t="inlineStr"/>
      <c r="AA1071" t="inlineStr">
        <is>
          <t>https://nvd.nist.gov/vuln/detail/CVE-2026-26862</t>
        </is>
      </c>
    </row>
    <row r="1072">
      <c r="A1072" t="inlineStr">
        <is>
          <t>CVE</t>
        </is>
      </c>
      <c r="B1072" t="inlineStr">
        <is>
          <t>CVE-2026-27751</t>
        </is>
      </c>
      <c r="C1072"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1072" t="n">
        <v>9.800000000000001</v>
      </c>
      <c r="E1072" t="inlineStr">
        <is>
          <t>CRITICAL</t>
        </is>
      </c>
      <c r="F1072" t="n">
        <v>2</v>
      </c>
      <c r="G1072" t="n">
        <v>3</v>
      </c>
      <c r="H1072" t="inlineStr">
        <is>
          <t>HIGH</t>
        </is>
      </c>
      <c r="I1072" t="n">
        <v>15.8</v>
      </c>
      <c r="J1072" t="inlineStr">
        <is>
          <t>NO</t>
        </is>
      </c>
      <c r="K1072" t="inlineStr">
        <is>
          <t>2026-02-27 20:47</t>
        </is>
      </c>
      <c r="L1072" t="inlineStr">
        <is>
          <t>CHECK_VENDOR</t>
        </is>
      </c>
      <c r="M1072" t="inlineStr">
        <is>
          <t>See CVE details</t>
        </is>
      </c>
      <c r="N1072" t="inlineStr">
        <is>
          <t>P3</t>
        </is>
      </c>
      <c r="O1072" t="inlineStr">
        <is>
          <t>CVE - IP enrichment n/a</t>
        </is>
      </c>
      <c r="P1072" t="n">
        <v>0</v>
      </c>
      <c r="Q1072" t="n">
        <v>0</v>
      </c>
      <c r="R1072" t="inlineStr">
        <is>
          <t>T1190:Exploit Public-Facing Application | T1552:Unsecured Credentials</t>
        </is>
      </c>
      <c r="S1072" t="n">
        <v>1</v>
      </c>
      <c r="T1072" t="inlineStr">
        <is>
          <t>LOW (40%)</t>
        </is>
      </c>
      <c r="U1072" t="inlineStr">
        <is>
          <t>UNLIKELY</t>
        </is>
      </c>
      <c r="V1072" t="inlineStr">
        <is>
          <t>CHECK_VENDOR</t>
        </is>
      </c>
      <c r="W1072" t="inlineStr">
        <is>
          <t>https://nvd.nist.gov/vuln/detail/CVE-2026-27751</t>
        </is>
      </c>
      <c r="X1072" t="inlineStr">
        <is>
          <t>NONE</t>
        </is>
      </c>
      <c r="Y1072" t="n">
        <v>0</v>
      </c>
      <c r="Z1072" t="inlineStr"/>
      <c r="AA1072" t="inlineStr">
        <is>
          <t>https://nvd.nist.gov/vuln/detail/CVE-2026-27751</t>
        </is>
      </c>
    </row>
    <row r="1073">
      <c r="A1073" t="inlineStr">
        <is>
          <t>CVE</t>
        </is>
      </c>
      <c r="B1073" t="inlineStr">
        <is>
          <t>CVE-2026-27752</t>
        </is>
      </c>
      <c r="C1073"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1073" t="n">
        <v>5.9</v>
      </c>
      <c r="E1073" t="inlineStr">
        <is>
          <t>MEDIUM</t>
        </is>
      </c>
      <c r="F1073" t="n">
        <v>2</v>
      </c>
      <c r="G1073" t="n">
        <v>2</v>
      </c>
      <c r="H1073" t="inlineStr">
        <is>
          <t>MEDIUM</t>
        </is>
      </c>
      <c r="I1073" t="n">
        <v>9.9</v>
      </c>
      <c r="J1073" t="inlineStr">
        <is>
          <t>NO</t>
        </is>
      </c>
      <c r="K1073" t="inlineStr">
        <is>
          <t>2026-02-27 20:47</t>
        </is>
      </c>
      <c r="L1073" t="inlineStr">
        <is>
          <t>CHECK_VENDOR</t>
        </is>
      </c>
      <c r="M1073" t="inlineStr">
        <is>
          <t>See CVE details</t>
        </is>
      </c>
      <c r="N1073" t="inlineStr">
        <is>
          <t>P4</t>
        </is>
      </c>
      <c r="O1073" t="inlineStr">
        <is>
          <t>CVE - IP enrichment n/a</t>
        </is>
      </c>
      <c r="P1073" t="n">
        <v>0</v>
      </c>
      <c r="Q1073" t="n">
        <v>0</v>
      </c>
      <c r="R1073" t="inlineStr">
        <is>
          <t>T1190:Exploit Public-Facing Application | T1552:Unsecured Credentials</t>
        </is>
      </c>
      <c r="S1073" t="n">
        <v>1</v>
      </c>
      <c r="T1073" t="inlineStr">
        <is>
          <t>LOW (40%)</t>
        </is>
      </c>
      <c r="U1073" t="inlineStr">
        <is>
          <t>UNLIKELY</t>
        </is>
      </c>
      <c r="V1073" t="inlineStr">
        <is>
          <t>CHECK_VENDOR</t>
        </is>
      </c>
      <c r="W1073" t="inlineStr">
        <is>
          <t>https://nvd.nist.gov/vuln/detail/CVE-2026-27752</t>
        </is>
      </c>
      <c r="X1073" t="inlineStr">
        <is>
          <t>NONE</t>
        </is>
      </c>
      <c r="Y1073" t="n">
        <v>0</v>
      </c>
      <c r="Z1073" t="inlineStr"/>
      <c r="AA1073" t="inlineStr">
        <is>
          <t>https://nvd.nist.gov/vuln/detail/CVE-2026-27752</t>
        </is>
      </c>
    </row>
    <row r="1074">
      <c r="A1074" t="inlineStr">
        <is>
          <t>CVE</t>
        </is>
      </c>
      <c r="B1074" t="inlineStr">
        <is>
          <t>CVE-2026-27753</t>
        </is>
      </c>
      <c r="C1074"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1074" t="n">
        <v>6.5</v>
      </c>
      <c r="E1074" t="inlineStr">
        <is>
          <t>MEDIUM</t>
        </is>
      </c>
      <c r="F1074" t="n">
        <v>2</v>
      </c>
      <c r="G1074" t="n">
        <v>2</v>
      </c>
      <c r="H1074" t="inlineStr">
        <is>
          <t>MEDIUM</t>
        </is>
      </c>
      <c r="I1074" t="n">
        <v>10.5</v>
      </c>
      <c r="J1074" t="inlineStr">
        <is>
          <t>NO</t>
        </is>
      </c>
      <c r="K1074" t="inlineStr">
        <is>
          <t>2026-02-27 20:47</t>
        </is>
      </c>
      <c r="L1074" t="inlineStr">
        <is>
          <t>CHECK_VENDOR</t>
        </is>
      </c>
      <c r="M1074" t="inlineStr">
        <is>
          <t>See CVE details</t>
        </is>
      </c>
      <c r="N1074" t="inlineStr">
        <is>
          <t>P4</t>
        </is>
      </c>
      <c r="O1074" t="inlineStr">
        <is>
          <t>CVE - IP enrichment n/a</t>
        </is>
      </c>
      <c r="P1074" t="n">
        <v>0</v>
      </c>
      <c r="Q1074" t="n">
        <v>0</v>
      </c>
      <c r="R1074" t="inlineStr">
        <is>
          <t>T1078:Valid Accounts</t>
        </is>
      </c>
      <c r="S1074" t="n">
        <v>1</v>
      </c>
      <c r="T1074" t="inlineStr">
        <is>
          <t>LOW (40%)</t>
        </is>
      </c>
      <c r="U1074" t="inlineStr">
        <is>
          <t>UNLIKELY</t>
        </is>
      </c>
      <c r="V1074" t="inlineStr">
        <is>
          <t>CHECK_VENDOR</t>
        </is>
      </c>
      <c r="W1074" t="inlineStr">
        <is>
          <t>https://nvd.nist.gov/vuln/detail/CVE-2026-27753</t>
        </is>
      </c>
      <c r="X1074" t="inlineStr">
        <is>
          <t>NONE</t>
        </is>
      </c>
      <c r="Y1074" t="n">
        <v>0</v>
      </c>
      <c r="Z1074" t="inlineStr"/>
      <c r="AA1074" t="inlineStr">
        <is>
          <t>https://nvd.nist.gov/vuln/detail/CVE-2026-27753</t>
        </is>
      </c>
    </row>
    <row r="1075">
      <c r="A1075" t="inlineStr">
        <is>
          <t>EXPLOIT</t>
        </is>
      </c>
      <c r="B1075" t="inlineStr">
        <is>
          <t>264ee764a350</t>
        </is>
      </c>
      <c r="C1075" t="inlineStr">
        <is>
          <t>[webapps] motionEye 0.43.1b4 - RCE</t>
        </is>
      </c>
      <c r="D1075" t="n">
        <v>7.5</v>
      </c>
      <c r="E1075" t="inlineStr">
        <is>
          <t>HIGH</t>
        </is>
      </c>
      <c r="F1075" t="n">
        <v>3</v>
      </c>
      <c r="G1075" t="n">
        <v>3</v>
      </c>
      <c r="H1075" t="inlineStr">
        <is>
          <t>CRITICAL</t>
        </is>
      </c>
      <c r="I1075" t="n">
        <v>16.5</v>
      </c>
      <c r="J1075" t="inlineStr">
        <is>
          <t>NO</t>
        </is>
      </c>
      <c r="K1075" t="inlineStr">
        <is>
          <t>2026-02-11 00:00</t>
        </is>
      </c>
      <c r="L1075" t="inlineStr">
        <is>
          <t>CHECK_VENDOR</t>
        </is>
      </c>
      <c r="M1075" t="inlineStr">
        <is>
          <t>Various</t>
        </is>
      </c>
      <c r="N1075" t="inlineStr">
        <is>
          <t>P1</t>
        </is>
      </c>
      <c r="O1075" t="inlineStr">
        <is>
          <t>Exploit - IP enrichment N/A</t>
        </is>
      </c>
      <c r="P1075" t="n">
        <v>0</v>
      </c>
      <c r="Q1075" t="n">
        <v>0</v>
      </c>
      <c r="R1075" t="inlineStr">
        <is>
          <t>T1203:Exploitation for Client Execution</t>
        </is>
      </c>
      <c r="S1075" t="n">
        <v>1</v>
      </c>
      <c r="T1075" t="inlineStr">
        <is>
          <t>LOW (40%)</t>
        </is>
      </c>
      <c r="U1075" t="inlineStr">
        <is>
          <t>YES</t>
        </is>
      </c>
      <c r="V1075" t="inlineStr">
        <is>
          <t>CHECK_VENDOR</t>
        </is>
      </c>
      <c r="W1075" t="inlineStr">
        <is>
          <t>https://www.exploit-db.com/exploits/52481</t>
        </is>
      </c>
      <c r="X1075" t="inlineStr">
        <is>
          <t>NONE</t>
        </is>
      </c>
      <c r="Y1075" t="n">
        <v>0</v>
      </c>
      <c r="Z1075" t="inlineStr"/>
      <c r="AA1075" t="inlineStr">
        <is>
          <t>https://www.exploit-db.com/exploits/52481</t>
        </is>
      </c>
    </row>
    <row r="1076">
      <c r="A1076" t="inlineStr">
        <is>
          <t>EXPLOIT</t>
        </is>
      </c>
      <c r="B1076" t="inlineStr">
        <is>
          <t>16c218acca5e</t>
        </is>
      </c>
      <c r="C1076" t="inlineStr">
        <is>
          <t>[remote] Windows 10.0.17763.7009 - spoofing vulnerability</t>
        </is>
      </c>
      <c r="D1076" t="n">
        <v>7.5</v>
      </c>
      <c r="E1076" t="inlineStr">
        <is>
          <t>HIGH</t>
        </is>
      </c>
      <c r="F1076" t="n">
        <v>3</v>
      </c>
      <c r="G1076" t="n">
        <v>3</v>
      </c>
      <c r="H1076" t="inlineStr">
        <is>
          <t>CRITICAL</t>
        </is>
      </c>
      <c r="I1076" t="n">
        <v>16.5</v>
      </c>
      <c r="J1076" t="inlineStr">
        <is>
          <t>NO</t>
        </is>
      </c>
      <c r="K1076" t="inlineStr">
        <is>
          <t>2026-02-11 00:00</t>
        </is>
      </c>
      <c r="L1076" t="inlineStr">
        <is>
          <t>CHECK_VENDOR</t>
        </is>
      </c>
      <c r="M1076" t="inlineStr">
        <is>
          <t>Various</t>
        </is>
      </c>
      <c r="N1076" t="inlineStr">
        <is>
          <t>P1</t>
        </is>
      </c>
      <c r="O1076" t="inlineStr">
        <is>
          <t>Exploit - IP enrichment N/A</t>
        </is>
      </c>
      <c r="P1076" t="n">
        <v>0</v>
      </c>
      <c r="Q1076" t="n">
        <v>0</v>
      </c>
      <c r="R1076" t="inlineStr">
        <is>
          <t>T1203:Exploitation for Client Execution</t>
        </is>
      </c>
      <c r="S1076" t="n">
        <v>1</v>
      </c>
      <c r="T1076" t="inlineStr">
        <is>
          <t>LOW (40%)</t>
        </is>
      </c>
      <c r="U1076" t="inlineStr">
        <is>
          <t>YES</t>
        </is>
      </c>
      <c r="V1076" t="inlineStr">
        <is>
          <t>CHECK_VENDOR</t>
        </is>
      </c>
      <c r="W1076" t="inlineStr">
        <is>
          <t>https://www.exploit-db.com/exploits/52480</t>
        </is>
      </c>
      <c r="X1076" t="inlineStr">
        <is>
          <t>NONE</t>
        </is>
      </c>
      <c r="Y1076" t="n">
        <v>0</v>
      </c>
      <c r="Z1076" t="inlineStr"/>
      <c r="AA1076" t="inlineStr">
        <is>
          <t>https://www.exploit-db.com/exploits/52480</t>
        </is>
      </c>
    </row>
    <row r="1077">
      <c r="A1077" t="inlineStr">
        <is>
          <t>EXPLOIT</t>
        </is>
      </c>
      <c r="B1077" t="inlineStr">
        <is>
          <t>08ba2a1cd543</t>
        </is>
      </c>
      <c r="C1077" t="inlineStr">
        <is>
          <t>[local] glibc 2.38 - Buffer Overflow</t>
        </is>
      </c>
      <c r="D1077" t="n">
        <v>7.5</v>
      </c>
      <c r="E1077" t="inlineStr">
        <is>
          <t>HIGH</t>
        </is>
      </c>
      <c r="F1077" t="n">
        <v>3</v>
      </c>
      <c r="G1077" t="n">
        <v>3</v>
      </c>
      <c r="H1077" t="inlineStr">
        <is>
          <t>CRITICAL</t>
        </is>
      </c>
      <c r="I1077" t="n">
        <v>16.5</v>
      </c>
      <c r="J1077" t="inlineStr">
        <is>
          <t>NO</t>
        </is>
      </c>
      <c r="K1077" t="inlineStr">
        <is>
          <t>2026-02-11 00:00</t>
        </is>
      </c>
      <c r="L1077" t="inlineStr">
        <is>
          <t>CHECK_VENDOR</t>
        </is>
      </c>
      <c r="M1077" t="inlineStr">
        <is>
          <t>Various</t>
        </is>
      </c>
      <c r="N1077" t="inlineStr">
        <is>
          <t>P1</t>
        </is>
      </c>
      <c r="O1077" t="inlineStr">
        <is>
          <t>Exploit - IP enrichment N/A</t>
        </is>
      </c>
      <c r="P1077" t="n">
        <v>0</v>
      </c>
      <c r="Q1077" t="n">
        <v>0</v>
      </c>
      <c r="R1077" t="inlineStr">
        <is>
          <t>T1203:Exploitation for Client Execution</t>
        </is>
      </c>
      <c r="S1077" t="n">
        <v>1</v>
      </c>
      <c r="T1077" t="inlineStr">
        <is>
          <t>LOW (40%)</t>
        </is>
      </c>
      <c r="U1077" t="inlineStr">
        <is>
          <t>YES</t>
        </is>
      </c>
      <c r="V1077" t="inlineStr">
        <is>
          <t>CHECK_VENDOR</t>
        </is>
      </c>
      <c r="W1077" t="inlineStr">
        <is>
          <t>https://www.exploit-db.com/exploits/52479</t>
        </is>
      </c>
      <c r="X1077" t="inlineStr">
        <is>
          <t>NONE</t>
        </is>
      </c>
      <c r="Y1077" t="n">
        <v>0</v>
      </c>
      <c r="Z1077" t="inlineStr"/>
      <c r="AA1077" t="inlineStr">
        <is>
          <t>https://www.exploit-db.com/exploits/52479</t>
        </is>
      </c>
    </row>
    <row r="1078">
      <c r="A1078" t="inlineStr">
        <is>
          <t>EXPLOIT</t>
        </is>
      </c>
      <c r="B1078" t="inlineStr">
        <is>
          <t>e684f84451aa</t>
        </is>
      </c>
      <c r="C1078" t="inlineStr">
        <is>
          <t>[remote] windows 10/11 - NTLM Hash Disclosure Spoofing</t>
        </is>
      </c>
      <c r="D1078" t="n">
        <v>7.5</v>
      </c>
      <c r="E1078" t="inlineStr">
        <is>
          <t>HIGH</t>
        </is>
      </c>
      <c r="F1078" t="n">
        <v>3</v>
      </c>
      <c r="G1078" t="n">
        <v>3</v>
      </c>
      <c r="H1078" t="inlineStr">
        <is>
          <t>CRITICAL</t>
        </is>
      </c>
      <c r="I1078" t="n">
        <v>16.5</v>
      </c>
      <c r="J1078" t="inlineStr">
        <is>
          <t>NO</t>
        </is>
      </c>
      <c r="K1078" t="inlineStr">
        <is>
          <t>2026-02-04 00:00</t>
        </is>
      </c>
      <c r="L1078" t="inlineStr">
        <is>
          <t>CHECK_VENDOR</t>
        </is>
      </c>
      <c r="M1078" t="inlineStr">
        <is>
          <t>Various</t>
        </is>
      </c>
      <c r="N1078" t="inlineStr">
        <is>
          <t>P1</t>
        </is>
      </c>
      <c r="O1078" t="inlineStr">
        <is>
          <t>Exploit - IP enrichment N/A</t>
        </is>
      </c>
      <c r="P1078" t="n">
        <v>0</v>
      </c>
      <c r="Q1078" t="n">
        <v>0</v>
      </c>
      <c r="R1078" t="inlineStr">
        <is>
          <t>T1203:Exploitation for Client Execution</t>
        </is>
      </c>
      <c r="S1078" t="n">
        <v>1</v>
      </c>
      <c r="T1078" t="inlineStr">
        <is>
          <t>LOW (40%)</t>
        </is>
      </c>
      <c r="U1078" t="inlineStr">
        <is>
          <t>YES</t>
        </is>
      </c>
      <c r="V1078" t="inlineStr">
        <is>
          <t>CHECK_VENDOR</t>
        </is>
      </c>
      <c r="W1078" t="inlineStr">
        <is>
          <t>https://www.exploit-db.com/exploits/52478</t>
        </is>
      </c>
      <c r="X1078" t="inlineStr">
        <is>
          <t>NONE</t>
        </is>
      </c>
      <c r="Y1078" t="n">
        <v>0</v>
      </c>
      <c r="Z1078" t="inlineStr"/>
      <c r="AA1078" t="inlineStr">
        <is>
          <t>https://www.exploit-db.com/exploits/52478</t>
        </is>
      </c>
    </row>
    <row r="1079">
      <c r="A1079" t="inlineStr">
        <is>
          <t>EXPLOIT</t>
        </is>
      </c>
      <c r="B1079" t="inlineStr">
        <is>
          <t>fdac721057d5</t>
        </is>
      </c>
      <c r="C1079" t="inlineStr">
        <is>
          <t>[remote] Redis 8.0.2 - RCE</t>
        </is>
      </c>
      <c r="D1079" t="n">
        <v>7.5</v>
      </c>
      <c r="E1079" t="inlineStr">
        <is>
          <t>HIGH</t>
        </is>
      </c>
      <c r="F1079" t="n">
        <v>3</v>
      </c>
      <c r="G1079" t="n">
        <v>3</v>
      </c>
      <c r="H1079" t="inlineStr">
        <is>
          <t>CRITICAL</t>
        </is>
      </c>
      <c r="I1079" t="n">
        <v>16.5</v>
      </c>
      <c r="J1079" t="inlineStr">
        <is>
          <t>NO</t>
        </is>
      </c>
      <c r="K1079" t="inlineStr">
        <is>
          <t>2026-02-04 00:00</t>
        </is>
      </c>
      <c r="L1079" t="inlineStr">
        <is>
          <t>CHECK_VENDOR</t>
        </is>
      </c>
      <c r="M1079" t="inlineStr">
        <is>
          <t>Various</t>
        </is>
      </c>
      <c r="N1079" t="inlineStr">
        <is>
          <t>P1</t>
        </is>
      </c>
      <c r="O1079" t="inlineStr">
        <is>
          <t>Exploit - IP enrichment N/A</t>
        </is>
      </c>
      <c r="P1079" t="n">
        <v>0</v>
      </c>
      <c r="Q1079" t="n">
        <v>0</v>
      </c>
      <c r="R1079" t="inlineStr">
        <is>
          <t>T1203:Exploitation for Client Execution</t>
        </is>
      </c>
      <c r="S1079" t="n">
        <v>1</v>
      </c>
      <c r="T1079" t="inlineStr">
        <is>
          <t>LOW (40%)</t>
        </is>
      </c>
      <c r="U1079" t="inlineStr">
        <is>
          <t>YES</t>
        </is>
      </c>
      <c r="V1079" t="inlineStr">
        <is>
          <t>CHECK_VENDOR</t>
        </is>
      </c>
      <c r="W1079" t="inlineStr">
        <is>
          <t>https://www.exploit-db.com/exploits/52477</t>
        </is>
      </c>
      <c r="X1079" t="inlineStr">
        <is>
          <t>NONE</t>
        </is>
      </c>
      <c r="Y1079" t="n">
        <v>0</v>
      </c>
      <c r="Z1079" t="inlineStr"/>
      <c r="AA1079" t="inlineStr">
        <is>
          <t>https://www.exploit-db.com/exploits/52477</t>
        </is>
      </c>
    </row>
    <row r="1080">
      <c r="A1080" t="inlineStr">
        <is>
          <t>EXPLOIT</t>
        </is>
      </c>
      <c r="B1080" t="inlineStr">
        <is>
          <t>b844108c7945</t>
        </is>
      </c>
      <c r="C1080" t="inlineStr">
        <is>
          <t>[webapps] OctoPrint 1.11.2 - File Upload</t>
        </is>
      </c>
      <c r="D1080" t="n">
        <v>7.5</v>
      </c>
      <c r="E1080" t="inlineStr">
        <is>
          <t>HIGH</t>
        </is>
      </c>
      <c r="F1080" t="n">
        <v>3</v>
      </c>
      <c r="G1080" t="n">
        <v>3</v>
      </c>
      <c r="H1080" t="inlineStr">
        <is>
          <t>CRITICAL</t>
        </is>
      </c>
      <c r="I1080" t="n">
        <v>16.5</v>
      </c>
      <c r="J1080" t="inlineStr">
        <is>
          <t>NO</t>
        </is>
      </c>
      <c r="K1080" t="inlineStr">
        <is>
          <t>2026-02-04 00:00</t>
        </is>
      </c>
      <c r="L1080" t="inlineStr">
        <is>
          <t>CHECK_VENDOR</t>
        </is>
      </c>
      <c r="M1080" t="inlineStr">
        <is>
          <t>Various</t>
        </is>
      </c>
      <c r="N1080" t="inlineStr">
        <is>
          <t>P1</t>
        </is>
      </c>
      <c r="O1080" t="inlineStr">
        <is>
          <t>Exploit - IP enrichment N/A</t>
        </is>
      </c>
      <c r="P1080" t="n">
        <v>0</v>
      </c>
      <c r="Q1080" t="n">
        <v>0</v>
      </c>
      <c r="R1080" t="inlineStr">
        <is>
          <t>T1203:Exploitation for Client Execution</t>
        </is>
      </c>
      <c r="S1080" t="n">
        <v>1</v>
      </c>
      <c r="T1080" t="inlineStr">
        <is>
          <t>LOW (40%)</t>
        </is>
      </c>
      <c r="U1080" t="inlineStr">
        <is>
          <t>YES</t>
        </is>
      </c>
      <c r="V1080" t="inlineStr">
        <is>
          <t>CHECK_VENDOR</t>
        </is>
      </c>
      <c r="W1080" t="inlineStr">
        <is>
          <t>https://www.exploit-db.com/exploits/52476</t>
        </is>
      </c>
      <c r="X1080" t="inlineStr">
        <is>
          <t>NONE</t>
        </is>
      </c>
      <c r="Y1080" t="n">
        <v>0</v>
      </c>
      <c r="Z1080" t="inlineStr"/>
      <c r="AA1080" t="inlineStr">
        <is>
          <t>https://www.exploit-db.com/exploits/52476</t>
        </is>
      </c>
    </row>
    <row r="1081">
      <c r="A1081" t="inlineStr">
        <is>
          <t>EXPLOIT</t>
        </is>
      </c>
      <c r="B1081" t="inlineStr">
        <is>
          <t>1453e19b6a2e</t>
        </is>
      </c>
      <c r="C1081" t="inlineStr">
        <is>
          <t>[remote] Ingress-NGINX Admission Controller v1.11.1 - FD Injection to RCE</t>
        </is>
      </c>
      <c r="D1081" t="n">
        <v>7.5</v>
      </c>
      <c r="E1081" t="inlineStr">
        <is>
          <t>HIGH</t>
        </is>
      </c>
      <c r="F1081" t="n">
        <v>3</v>
      </c>
      <c r="G1081" t="n">
        <v>3</v>
      </c>
      <c r="H1081" t="inlineStr">
        <is>
          <t>CRITICAL</t>
        </is>
      </c>
      <c r="I1081" t="n">
        <v>16.5</v>
      </c>
      <c r="J1081" t="inlineStr">
        <is>
          <t>NO</t>
        </is>
      </c>
      <c r="K1081" t="inlineStr">
        <is>
          <t>2026-02-04 00:00</t>
        </is>
      </c>
      <c r="L1081" t="inlineStr">
        <is>
          <t>CHECK_VENDOR</t>
        </is>
      </c>
      <c r="M1081" t="inlineStr">
        <is>
          <t>Various</t>
        </is>
      </c>
      <c r="N1081" t="inlineStr">
        <is>
          <t>P1</t>
        </is>
      </c>
      <c r="O1081" t="inlineStr">
        <is>
          <t>Exploit - IP enrichment N/A</t>
        </is>
      </c>
      <c r="P1081" t="n">
        <v>0</v>
      </c>
      <c r="Q1081" t="n">
        <v>0</v>
      </c>
      <c r="R1081" t="inlineStr">
        <is>
          <t>T1203:Exploitation for Client Execution</t>
        </is>
      </c>
      <c r="S1081" t="n">
        <v>1</v>
      </c>
      <c r="T1081" t="inlineStr">
        <is>
          <t>LOW (40%)</t>
        </is>
      </c>
      <c r="U1081" t="inlineStr">
        <is>
          <t>YES</t>
        </is>
      </c>
      <c r="V1081" t="inlineStr">
        <is>
          <t>CHECK_VENDOR</t>
        </is>
      </c>
      <c r="W1081" t="inlineStr">
        <is>
          <t>https://www.exploit-db.com/exploits/52475</t>
        </is>
      </c>
      <c r="X1081" t="inlineStr">
        <is>
          <t>NONE</t>
        </is>
      </c>
      <c r="Y1081" t="n">
        <v>0</v>
      </c>
      <c r="Z1081" t="inlineStr"/>
      <c r="AA1081" t="inlineStr">
        <is>
          <t>https://www.exploit-db.com/exploits/52475</t>
        </is>
      </c>
    </row>
    <row r="1082">
      <c r="A1082" t="inlineStr">
        <is>
          <t>EXPLOIT</t>
        </is>
      </c>
      <c r="B1082" t="inlineStr">
        <is>
          <t>4430cf019b0f</t>
        </is>
      </c>
      <c r="C1082" t="inlineStr">
        <is>
          <t>[webapps] aiohttp 3.9.1 - directory traversal PoC</t>
        </is>
      </c>
      <c r="D1082" t="n">
        <v>7.5</v>
      </c>
      <c r="E1082" t="inlineStr">
        <is>
          <t>HIGH</t>
        </is>
      </c>
      <c r="F1082" t="n">
        <v>3</v>
      </c>
      <c r="G1082" t="n">
        <v>3</v>
      </c>
      <c r="H1082" t="inlineStr">
        <is>
          <t>CRITICAL</t>
        </is>
      </c>
      <c r="I1082" t="n">
        <v>16.5</v>
      </c>
      <c r="J1082" t="inlineStr">
        <is>
          <t>NO</t>
        </is>
      </c>
      <c r="K1082" t="inlineStr">
        <is>
          <t>2026-02-04 00:00</t>
        </is>
      </c>
      <c r="L1082" t="inlineStr">
        <is>
          <t>CHECK_VENDOR</t>
        </is>
      </c>
      <c r="M1082" t="inlineStr">
        <is>
          <t>Various</t>
        </is>
      </c>
      <c r="N1082" t="inlineStr">
        <is>
          <t>P1</t>
        </is>
      </c>
      <c r="O1082" t="inlineStr">
        <is>
          <t>Exploit - IP enrichment N/A</t>
        </is>
      </c>
      <c r="P1082" t="n">
        <v>0</v>
      </c>
      <c r="Q1082" t="n">
        <v>0</v>
      </c>
      <c r="R1082" t="inlineStr">
        <is>
          <t>T1203:Exploitation for Client Execution</t>
        </is>
      </c>
      <c r="S1082" t="n">
        <v>1</v>
      </c>
      <c r="T1082" t="inlineStr">
        <is>
          <t>LOW (40%)</t>
        </is>
      </c>
      <c r="U1082" t="inlineStr">
        <is>
          <t>YES</t>
        </is>
      </c>
      <c r="V1082" t="inlineStr">
        <is>
          <t>CHECK_VENDOR</t>
        </is>
      </c>
      <c r="W1082" t="inlineStr">
        <is>
          <t>https://www.exploit-db.com/exploits/52474</t>
        </is>
      </c>
      <c r="X1082" t="inlineStr">
        <is>
          <t>NONE</t>
        </is>
      </c>
      <c r="Y1082" t="n">
        <v>0</v>
      </c>
      <c r="Z1082" t="inlineStr"/>
      <c r="AA1082" t="inlineStr">
        <is>
          <t>https://www.exploit-db.com/exploits/52474</t>
        </is>
      </c>
    </row>
    <row r="1083">
      <c r="A1083" t="inlineStr">
        <is>
          <t>EXPLOIT</t>
        </is>
      </c>
      <c r="B1083" t="inlineStr">
        <is>
          <t>6789a52381fc</t>
        </is>
      </c>
      <c r="C1083" t="inlineStr">
        <is>
          <t>[webapps] FortiWeb Fabric Connector 7.6.x - SQL Injection to Remote Code Execution</t>
        </is>
      </c>
      <c r="D1083" t="n">
        <v>7.5</v>
      </c>
      <c r="E1083" t="inlineStr">
        <is>
          <t>HIGH</t>
        </is>
      </c>
      <c r="F1083" t="n">
        <v>3</v>
      </c>
      <c r="G1083" t="n">
        <v>3</v>
      </c>
      <c r="H1083" t="inlineStr">
        <is>
          <t>CRITICAL</t>
        </is>
      </c>
      <c r="I1083" t="n">
        <v>16.5</v>
      </c>
      <c r="J1083" t="inlineStr">
        <is>
          <t>NO</t>
        </is>
      </c>
      <c r="K1083" t="inlineStr">
        <is>
          <t>2026-02-04 00:00</t>
        </is>
      </c>
      <c r="L1083" t="inlineStr">
        <is>
          <t>CHECK_VENDOR</t>
        </is>
      </c>
      <c r="M1083" t="inlineStr">
        <is>
          <t>Various</t>
        </is>
      </c>
      <c r="N1083" t="inlineStr">
        <is>
          <t>P1</t>
        </is>
      </c>
      <c r="O1083" t="inlineStr">
        <is>
          <t>Exploit - IP enrichment N/A</t>
        </is>
      </c>
      <c r="P1083" t="n">
        <v>0</v>
      </c>
      <c r="Q1083" t="n">
        <v>0</v>
      </c>
      <c r="R1083" t="inlineStr">
        <is>
          <t>T1203:Exploitation for Client Execution</t>
        </is>
      </c>
      <c r="S1083" t="n">
        <v>1</v>
      </c>
      <c r="T1083" t="inlineStr">
        <is>
          <t>LOW (40%)</t>
        </is>
      </c>
      <c r="U1083" t="inlineStr">
        <is>
          <t>YES</t>
        </is>
      </c>
      <c r="V1083" t="inlineStr">
        <is>
          <t>CHECK_VENDOR</t>
        </is>
      </c>
      <c r="W1083" t="inlineStr">
        <is>
          <t>https://www.exploit-db.com/exploits/52473</t>
        </is>
      </c>
      <c r="X1083" t="inlineStr">
        <is>
          <t>NONE</t>
        </is>
      </c>
      <c r="Y1083" t="n">
        <v>0</v>
      </c>
      <c r="Z1083" t="inlineStr"/>
      <c r="AA1083" t="inlineStr">
        <is>
          <t>https://www.exploit-db.com/exploits/52473</t>
        </is>
      </c>
    </row>
    <row r="1084">
      <c r="A1084" t="inlineStr">
        <is>
          <t>EXPLOIT</t>
        </is>
      </c>
      <c r="B1084" t="inlineStr">
        <is>
          <t>8aa4096ab8cc</t>
        </is>
      </c>
      <c r="C1084" t="inlineStr">
        <is>
          <t>[local] Docker Desktop 4.44.3 - Unauthenticated  API Exposure</t>
        </is>
      </c>
      <c r="D1084" t="n">
        <v>7.5</v>
      </c>
      <c r="E1084" t="inlineStr">
        <is>
          <t>HIGH</t>
        </is>
      </c>
      <c r="F1084" t="n">
        <v>3</v>
      </c>
      <c r="G1084" t="n">
        <v>3</v>
      </c>
      <c r="H1084" t="inlineStr">
        <is>
          <t>CRITICAL</t>
        </is>
      </c>
      <c r="I1084" t="n">
        <v>16.5</v>
      </c>
      <c r="J1084" t="inlineStr">
        <is>
          <t>NO</t>
        </is>
      </c>
      <c r="K1084" t="inlineStr">
        <is>
          <t>2026-02-04 00:00</t>
        </is>
      </c>
      <c r="L1084" t="inlineStr">
        <is>
          <t>CHECK_VENDOR</t>
        </is>
      </c>
      <c r="M1084" t="inlineStr">
        <is>
          <t>Various</t>
        </is>
      </c>
      <c r="N1084" t="inlineStr">
        <is>
          <t>P1</t>
        </is>
      </c>
      <c r="O1084" t="inlineStr">
        <is>
          <t>Exploit - IP enrichment N/A</t>
        </is>
      </c>
      <c r="P1084" t="n">
        <v>0</v>
      </c>
      <c r="Q1084" t="n">
        <v>0</v>
      </c>
      <c r="R1084" t="inlineStr">
        <is>
          <t>T1203:Exploitation for Client Execution</t>
        </is>
      </c>
      <c r="S1084" t="n">
        <v>1</v>
      </c>
      <c r="T1084" t="inlineStr">
        <is>
          <t>LOW (40%)</t>
        </is>
      </c>
      <c r="U1084" t="inlineStr">
        <is>
          <t>YES</t>
        </is>
      </c>
      <c r="V1084" t="inlineStr">
        <is>
          <t>CHECK_VENDOR</t>
        </is>
      </c>
      <c r="W1084" t="inlineStr">
        <is>
          <t>https://www.exploit-db.com/exploits/52472</t>
        </is>
      </c>
      <c r="X1084" t="inlineStr">
        <is>
          <t>NONE</t>
        </is>
      </c>
      <c r="Y1084" t="n">
        <v>0</v>
      </c>
      <c r="Z1084" t="inlineStr"/>
      <c r="AA1084" t="inlineStr">
        <is>
          <t>https://www.exploit-db.com/exploits/52472</t>
        </is>
      </c>
    </row>
    <row r="1085">
      <c r="A1085" t="inlineStr">
        <is>
          <t>EXPLOIT</t>
        </is>
      </c>
      <c r="B1085" t="inlineStr">
        <is>
          <t>76316903045d</t>
        </is>
      </c>
      <c r="C1085" t="inlineStr">
        <is>
          <t>[webapps] Piranha CMS 12.0 - Stored XSS in Text Block</t>
        </is>
      </c>
      <c r="D1085" t="n">
        <v>7.5</v>
      </c>
      <c r="E1085" t="inlineStr">
        <is>
          <t>HIGH</t>
        </is>
      </c>
      <c r="F1085" t="n">
        <v>3</v>
      </c>
      <c r="G1085" t="n">
        <v>3</v>
      </c>
      <c r="H1085" t="inlineStr">
        <is>
          <t>CRITICAL</t>
        </is>
      </c>
      <c r="I1085" t="n">
        <v>16.5</v>
      </c>
      <c r="J1085" t="inlineStr">
        <is>
          <t>NO</t>
        </is>
      </c>
      <c r="K1085" t="inlineStr">
        <is>
          <t>2026-02-02 00:00</t>
        </is>
      </c>
      <c r="L1085" t="inlineStr">
        <is>
          <t>CHECK_VENDOR</t>
        </is>
      </c>
      <c r="M1085" t="inlineStr">
        <is>
          <t>Various</t>
        </is>
      </c>
      <c r="N1085" t="inlineStr">
        <is>
          <t>P1</t>
        </is>
      </c>
      <c r="O1085" t="inlineStr">
        <is>
          <t>Exploit - IP enrichment N/A</t>
        </is>
      </c>
      <c r="P1085" t="n">
        <v>0</v>
      </c>
      <c r="Q1085" t="n">
        <v>0</v>
      </c>
      <c r="R1085" t="inlineStr">
        <is>
          <t>T1203:Exploitation for Client Execution</t>
        </is>
      </c>
      <c r="S1085" t="n">
        <v>1</v>
      </c>
      <c r="T1085" t="inlineStr">
        <is>
          <t>LOW (40%)</t>
        </is>
      </c>
      <c r="U1085" t="inlineStr">
        <is>
          <t>YES</t>
        </is>
      </c>
      <c r="V1085" t="inlineStr">
        <is>
          <t>CHECK_VENDOR</t>
        </is>
      </c>
      <c r="W1085" t="inlineStr">
        <is>
          <t>https://www.exploit-db.com/exploits/52471</t>
        </is>
      </c>
      <c r="X1085" t="inlineStr">
        <is>
          <t>NONE</t>
        </is>
      </c>
      <c r="Y1085" t="n">
        <v>0</v>
      </c>
      <c r="Z1085" t="inlineStr"/>
      <c r="AA1085" t="inlineStr">
        <is>
          <t>https://www.exploit-db.com/exploits/52471</t>
        </is>
      </c>
    </row>
    <row r="1086">
      <c r="A1086" t="inlineStr">
        <is>
          <t>EXPLOIT</t>
        </is>
      </c>
      <c r="B1086" t="inlineStr">
        <is>
          <t>e89317565977</t>
        </is>
      </c>
      <c r="C1086" t="inlineStr">
        <is>
          <t>[webapps] RPi-Jukebox-RFID 2.8.0 - Stored Cross-Site Scripting (XSS)</t>
        </is>
      </c>
      <c r="D1086" t="n">
        <v>7.5</v>
      </c>
      <c r="E1086" t="inlineStr">
        <is>
          <t>HIGH</t>
        </is>
      </c>
      <c r="F1086" t="n">
        <v>3</v>
      </c>
      <c r="G1086" t="n">
        <v>3</v>
      </c>
      <c r="H1086" t="inlineStr">
        <is>
          <t>CRITICAL</t>
        </is>
      </c>
      <c r="I1086" t="n">
        <v>16.5</v>
      </c>
      <c r="J1086" t="inlineStr">
        <is>
          <t>NO</t>
        </is>
      </c>
      <c r="K1086" t="inlineStr">
        <is>
          <t>2026-02-02 00:00</t>
        </is>
      </c>
      <c r="L1086" t="inlineStr">
        <is>
          <t>CHECK_VENDOR</t>
        </is>
      </c>
      <c r="M1086" t="inlineStr">
        <is>
          <t>Various</t>
        </is>
      </c>
      <c r="N1086" t="inlineStr">
        <is>
          <t>P1</t>
        </is>
      </c>
      <c r="O1086" t="inlineStr">
        <is>
          <t>Exploit - IP enrichment N/A</t>
        </is>
      </c>
      <c r="P1086" t="n">
        <v>0</v>
      </c>
      <c r="Q1086" t="n">
        <v>0</v>
      </c>
      <c r="R1086" t="inlineStr">
        <is>
          <t>T1203:Exploitation for Client Execution</t>
        </is>
      </c>
      <c r="S1086" t="n">
        <v>1</v>
      </c>
      <c r="T1086" t="inlineStr">
        <is>
          <t>LOW (40%)</t>
        </is>
      </c>
      <c r="U1086" t="inlineStr">
        <is>
          <t>YES</t>
        </is>
      </c>
      <c r="V1086" t="inlineStr">
        <is>
          <t>CHECK_VENDOR</t>
        </is>
      </c>
      <c r="W1086" t="inlineStr">
        <is>
          <t>https://www.exploit-db.com/exploits/52470</t>
        </is>
      </c>
      <c r="X1086" t="inlineStr">
        <is>
          <t>NONE</t>
        </is>
      </c>
      <c r="Y1086" t="n">
        <v>0</v>
      </c>
      <c r="Z1086" t="inlineStr"/>
      <c r="AA1086" t="inlineStr">
        <is>
          <t>https://www.exploit-db.com/exploits/52470</t>
        </is>
      </c>
    </row>
    <row r="1087">
      <c r="A1087" t="inlineStr">
        <is>
          <t>EXPLOIT</t>
        </is>
      </c>
      <c r="B1087" t="inlineStr">
        <is>
          <t>1c351f3b56ac</t>
        </is>
      </c>
      <c r="C1087" t="inlineStr">
        <is>
          <t>[hardware] D-Link DIR-825 Rev.B 2.10 - Stack Buffer Overflow (DoS)</t>
        </is>
      </c>
      <c r="D1087" t="n">
        <v>7.5</v>
      </c>
      <c r="E1087" t="inlineStr">
        <is>
          <t>HIGH</t>
        </is>
      </c>
      <c r="F1087" t="n">
        <v>3</v>
      </c>
      <c r="G1087" t="n">
        <v>3</v>
      </c>
      <c r="H1087" t="inlineStr">
        <is>
          <t>CRITICAL</t>
        </is>
      </c>
      <c r="I1087" t="n">
        <v>16.5</v>
      </c>
      <c r="J1087" t="inlineStr">
        <is>
          <t>NO</t>
        </is>
      </c>
      <c r="K1087" t="inlineStr">
        <is>
          <t>2026-02-02 00:00</t>
        </is>
      </c>
      <c r="L1087" t="inlineStr">
        <is>
          <t>CHECK_VENDOR</t>
        </is>
      </c>
      <c r="M1087" t="inlineStr">
        <is>
          <t>Various</t>
        </is>
      </c>
      <c r="N1087" t="inlineStr">
        <is>
          <t>P1</t>
        </is>
      </c>
      <c r="O1087" t="inlineStr">
        <is>
          <t>Exploit - IP enrichment N/A</t>
        </is>
      </c>
      <c r="P1087" t="n">
        <v>0</v>
      </c>
      <c r="Q1087" t="n">
        <v>0</v>
      </c>
      <c r="R1087" t="inlineStr">
        <is>
          <t>T1203:Exploitation for Client Execution</t>
        </is>
      </c>
      <c r="S1087" t="n">
        <v>1</v>
      </c>
      <c r="T1087" t="inlineStr">
        <is>
          <t>LOW (40%)</t>
        </is>
      </c>
      <c r="U1087" t="inlineStr">
        <is>
          <t>YES</t>
        </is>
      </c>
      <c r="V1087" t="inlineStr">
        <is>
          <t>CHECK_VENDOR</t>
        </is>
      </c>
      <c r="W1087" t="inlineStr">
        <is>
          <t>https://www.exploit-db.com/exploits/52469</t>
        </is>
      </c>
      <c r="X1087" t="inlineStr">
        <is>
          <t>NONE</t>
        </is>
      </c>
      <c r="Y1087" t="n">
        <v>0</v>
      </c>
      <c r="Z1087" t="inlineStr"/>
      <c r="AA1087" t="inlineStr">
        <is>
          <t>https://www.exploit-db.com/exploits/52469</t>
        </is>
      </c>
    </row>
    <row r="1088">
      <c r="A1088" t="inlineStr">
        <is>
          <t>GH_ADVISORY</t>
        </is>
      </c>
      <c r="B1088" t="inlineStr">
        <is>
          <t>GHSA-r492-hjgh-c9gw</t>
        </is>
      </c>
      <c r="C1088" t="inlineStr">
        <is>
          <t>Vitess users with backup storage access can write to arbitrary file paths on restore</t>
        </is>
      </c>
      <c r="D1088" t="n">
        <v>7</v>
      </c>
      <c r="E1088" t="inlineStr">
        <is>
          <t>CRITICAL</t>
        </is>
      </c>
      <c r="F1088" t="n">
        <v>2</v>
      </c>
      <c r="G1088" t="n">
        <v>2</v>
      </c>
      <c r="H1088" t="inlineStr">
        <is>
          <t>MEDIUM</t>
        </is>
      </c>
      <c r="I1088" t="n">
        <v>11</v>
      </c>
      <c r="J1088" t="inlineStr">
        <is>
          <t>NO</t>
        </is>
      </c>
      <c r="K1088" t="inlineStr">
        <is>
          <t>2026-02-27T16:03:54Z</t>
        </is>
      </c>
      <c r="L1088" t="inlineStr">
        <is>
          <t>CHECK_GITHUB</t>
        </is>
      </c>
      <c r="M1088" t="inlineStr">
        <is>
          <t>vitess.io/vitess, vitess.io/vitess</t>
        </is>
      </c>
      <c r="N1088" t="inlineStr">
        <is>
          <t>P4</t>
        </is>
      </c>
      <c r="O1088" t="inlineStr">
        <is>
          <t>Advisory - IP enrichment N/A</t>
        </is>
      </c>
      <c r="P1088" t="n">
        <v>0</v>
      </c>
      <c r="Q1088" t="n">
        <v>0</v>
      </c>
      <c r="R1088" t="inlineStr">
        <is>
          <t>T1190:Exploit Public-Facing Application</t>
        </is>
      </c>
      <c r="S1088" t="n">
        <v>1</v>
      </c>
      <c r="T1088" t="inlineStr">
        <is>
          <t>LOW (40%)</t>
        </is>
      </c>
      <c r="U1088" t="inlineStr">
        <is>
          <t>CHECK_GITHUB</t>
        </is>
      </c>
      <c r="V1088" t="inlineStr">
        <is>
          <t>YES</t>
        </is>
      </c>
      <c r="W1088" t="inlineStr">
        <is>
          <t>https://github.com/advisories/GHSA-r492-hjgh-c9gw</t>
        </is>
      </c>
      <c r="X1088" t="inlineStr">
        <is>
          <t>NONE</t>
        </is>
      </c>
      <c r="Y1088" t="n">
        <v>0</v>
      </c>
      <c r="Z1088" t="inlineStr"/>
      <c r="AA1088" t="inlineStr">
        <is>
          <t>https://github.com/advisories/GHSA-r492-hjgh-c9gw</t>
        </is>
      </c>
    </row>
    <row r="1089">
      <c r="A1089" t="inlineStr">
        <is>
          <t>GH_ADVISORY</t>
        </is>
      </c>
      <c r="B1089" t="inlineStr">
        <is>
          <t>GHSA-747p-wmpv-9c78</t>
        </is>
      </c>
      <c r="C1089" t="inlineStr">
        <is>
          <t>AWS CLI: cli_history database does not restrict file permissions on Unix systems</t>
        </is>
      </c>
      <c r="D1089" t="n">
        <v>5.9</v>
      </c>
      <c r="E1089" t="inlineStr">
        <is>
          <t>MEDIUM</t>
        </is>
      </c>
      <c r="F1089" t="n">
        <v>2</v>
      </c>
      <c r="G1089" t="n">
        <v>2</v>
      </c>
      <c r="H1089" t="inlineStr">
        <is>
          <t>MEDIUM</t>
        </is>
      </c>
      <c r="I1089" t="n">
        <v>9.9</v>
      </c>
      <c r="J1089" t="inlineStr">
        <is>
          <t>NO</t>
        </is>
      </c>
      <c r="K1089" t="inlineStr">
        <is>
          <t>2026-02-27T15:50:32Z</t>
        </is>
      </c>
      <c r="L1089" t="inlineStr">
        <is>
          <t>CHECK_GITHUB</t>
        </is>
      </c>
      <c r="M1089" t="inlineStr">
        <is>
          <t>awscli</t>
        </is>
      </c>
      <c r="N1089" t="inlineStr">
        <is>
          <t>P4</t>
        </is>
      </c>
      <c r="O1089" t="inlineStr">
        <is>
          <t>Advisory - IP enrichment N/A</t>
        </is>
      </c>
      <c r="P1089" t="n">
        <v>0</v>
      </c>
      <c r="Q1089" t="n">
        <v>0</v>
      </c>
      <c r="R1089" t="inlineStr">
        <is>
          <t>T1190:Exploit Public-Facing Application</t>
        </is>
      </c>
      <c r="S1089" t="n">
        <v>1</v>
      </c>
      <c r="T1089" t="inlineStr">
        <is>
          <t>LOW (40%)</t>
        </is>
      </c>
      <c r="U1089" t="inlineStr">
        <is>
          <t>CHECK_GITHUB</t>
        </is>
      </c>
      <c r="V1089" t="inlineStr">
        <is>
          <t>YES</t>
        </is>
      </c>
      <c r="W1089" t="inlineStr">
        <is>
          <t>https://github.com/advisories/GHSA-747p-wmpv-9c78</t>
        </is>
      </c>
      <c r="X1089" t="inlineStr">
        <is>
          <t>NONE</t>
        </is>
      </c>
      <c r="Y1089" t="n">
        <v>0</v>
      </c>
      <c r="Z1089" t="inlineStr"/>
      <c r="AA1089" t="inlineStr">
        <is>
          <t>https://github.com/advisories/GHSA-747p-wmpv-9c78</t>
        </is>
      </c>
    </row>
    <row r="1090">
      <c r="A1090" t="inlineStr">
        <is>
          <t>GH_ADVISORY</t>
        </is>
      </c>
      <c r="B1090" t="inlineStr">
        <is>
          <t>GHSA-3645-fxcv-hqr4</t>
        </is>
      </c>
      <c r="C1090" t="inlineStr">
        <is>
          <t>Langflow has Remote Code Execution in CSV Agent</t>
        </is>
      </c>
      <c r="D1090" t="n">
        <v>9.800000000000001</v>
      </c>
      <c r="E1090" t="inlineStr">
        <is>
          <t>CRITICAL</t>
        </is>
      </c>
      <c r="F1090" t="n">
        <v>2</v>
      </c>
      <c r="G1090" t="n">
        <v>2</v>
      </c>
      <c r="H1090" t="inlineStr">
        <is>
          <t>MEDIUM</t>
        </is>
      </c>
      <c r="I1090" t="n">
        <v>13.8</v>
      </c>
      <c r="J1090" t="inlineStr">
        <is>
          <t>NO</t>
        </is>
      </c>
      <c r="K1090" t="inlineStr">
        <is>
          <t>2026-02-27T15:47:29Z</t>
        </is>
      </c>
      <c r="L1090" t="inlineStr">
        <is>
          <t>CHECK_GITHUB</t>
        </is>
      </c>
      <c r="M1090" t="inlineStr">
        <is>
          <t>langflow</t>
        </is>
      </c>
      <c r="N1090" t="inlineStr">
        <is>
          <t>P4</t>
        </is>
      </c>
      <c r="O1090" t="inlineStr">
        <is>
          <t>Advisory - IP enrichment N/A</t>
        </is>
      </c>
      <c r="P1090" t="n">
        <v>0</v>
      </c>
      <c r="Q1090" t="n">
        <v>0</v>
      </c>
      <c r="R1090" t="inlineStr">
        <is>
          <t>T1190:Exploit Public-Facing Application</t>
        </is>
      </c>
      <c r="S1090" t="n">
        <v>1</v>
      </c>
      <c r="T1090" t="inlineStr">
        <is>
          <t>LOW (40%)</t>
        </is>
      </c>
      <c r="U1090" t="inlineStr">
        <is>
          <t>CHECK_GITHUB</t>
        </is>
      </c>
      <c r="V1090" t="inlineStr">
        <is>
          <t>YES</t>
        </is>
      </c>
      <c r="W1090" t="inlineStr">
        <is>
          <t>https://github.com/advisories/GHSA-3645-fxcv-hqr4</t>
        </is>
      </c>
      <c r="X1090" t="inlineStr">
        <is>
          <t>NONE</t>
        </is>
      </c>
      <c r="Y1090" t="n">
        <v>0</v>
      </c>
      <c r="Z1090" t="inlineStr"/>
      <c r="AA1090" t="inlineStr">
        <is>
          <t>https://github.com/advisories/GHSA-3645-fxcv-hqr4</t>
        </is>
      </c>
    </row>
    <row r="1091">
      <c r="A1091" t="inlineStr">
        <is>
          <t>GH_ADVISORY</t>
        </is>
      </c>
      <c r="B1091" t="inlineStr">
        <is>
          <t>GHSA-8g8j-r87h-p36x</t>
        </is>
      </c>
      <c r="C1091" t="inlineStr">
        <is>
          <t>Vitess users with backup storage access can gain unauthorized access to production deployment environments</t>
        </is>
      </c>
      <c r="D1091" t="n">
        <v>7</v>
      </c>
      <c r="E1091" t="inlineStr">
        <is>
          <t>HIGH</t>
        </is>
      </c>
      <c r="F1091" t="n">
        <v>2</v>
      </c>
      <c r="G1091" t="n">
        <v>2</v>
      </c>
      <c r="H1091" t="inlineStr">
        <is>
          <t>MEDIUM</t>
        </is>
      </c>
      <c r="I1091" t="n">
        <v>11</v>
      </c>
      <c r="J1091" t="inlineStr">
        <is>
          <t>NO</t>
        </is>
      </c>
      <c r="K1091" t="inlineStr">
        <is>
          <t>2026-02-26T22:50:37Z</t>
        </is>
      </c>
      <c r="L1091" t="inlineStr">
        <is>
          <t>CHECK_GITHUB</t>
        </is>
      </c>
      <c r="M1091" t="inlineStr">
        <is>
          <t>vitess.io/vitess</t>
        </is>
      </c>
      <c r="N1091" t="inlineStr">
        <is>
          <t>P4</t>
        </is>
      </c>
      <c r="O1091" t="inlineStr">
        <is>
          <t>Advisory - IP enrichment N/A</t>
        </is>
      </c>
      <c r="P1091" t="n">
        <v>0</v>
      </c>
      <c r="Q1091" t="n">
        <v>0</v>
      </c>
      <c r="R1091" t="inlineStr">
        <is>
          <t>T1190:Exploit Public-Facing Application</t>
        </is>
      </c>
      <c r="S1091" t="n">
        <v>1</v>
      </c>
      <c r="T1091" t="inlineStr">
        <is>
          <t>LOW (40%)</t>
        </is>
      </c>
      <c r="U1091" t="inlineStr">
        <is>
          <t>CHECK_GITHUB</t>
        </is>
      </c>
      <c r="V1091" t="inlineStr">
        <is>
          <t>YES</t>
        </is>
      </c>
      <c r="W1091" t="inlineStr">
        <is>
          <t>https://github.com/advisories/GHSA-8g8j-r87h-p36x</t>
        </is>
      </c>
      <c r="X1091" t="inlineStr">
        <is>
          <t>NONE</t>
        </is>
      </c>
      <c r="Y1091" t="n">
        <v>0</v>
      </c>
      <c r="Z1091" t="inlineStr"/>
      <c r="AA1091" t="inlineStr">
        <is>
          <t>https://github.com/advisories/GHSA-8g8j-r87h-p36x</t>
        </is>
      </c>
    </row>
    <row r="1092">
      <c r="A1092" t="inlineStr">
        <is>
          <t>GH_ADVISORY</t>
        </is>
      </c>
      <c r="B1092" t="inlineStr">
        <is>
          <t>GHSA-465p-v42x-3fmj</t>
        </is>
      </c>
      <c r="C1092" t="inlineStr">
        <is>
          <t>Sealed Secrets for Kubernetes: Rotate API Allows Scope Widening from Strict/Namespace-Wide to Cluster-Wide via Untrusted Template Annotations</t>
        </is>
      </c>
      <c r="D1092" t="n">
        <v>4.9</v>
      </c>
      <c r="E1092" t="inlineStr">
        <is>
          <t>MEDIUM</t>
        </is>
      </c>
      <c r="F1092" t="n">
        <v>2</v>
      </c>
      <c r="G1092" t="n">
        <v>2</v>
      </c>
      <c r="H1092" t="inlineStr">
        <is>
          <t>MEDIUM</t>
        </is>
      </c>
      <c r="I1092" t="n">
        <v>8.9</v>
      </c>
      <c r="J1092" t="inlineStr">
        <is>
          <t>NO</t>
        </is>
      </c>
      <c r="K1092" t="inlineStr">
        <is>
          <t>2026-02-26T22:49:14Z</t>
        </is>
      </c>
      <c r="L1092" t="inlineStr">
        <is>
          <t>CHECK_GITHUB</t>
        </is>
      </c>
      <c r="M1092" t="inlineStr">
        <is>
          <t>github.com/bitnami-labs/sealed-secrets</t>
        </is>
      </c>
      <c r="N1092" t="inlineStr">
        <is>
          <t>P4</t>
        </is>
      </c>
      <c r="O1092" t="inlineStr">
        <is>
          <t>Advisory - IP enrichment N/A</t>
        </is>
      </c>
      <c r="P1092" t="n">
        <v>0</v>
      </c>
      <c r="Q1092" t="n">
        <v>0</v>
      </c>
      <c r="R1092" t="inlineStr">
        <is>
          <t>T1190:Exploit Public-Facing Application</t>
        </is>
      </c>
      <c r="S1092" t="n">
        <v>1</v>
      </c>
      <c r="T1092" t="inlineStr">
        <is>
          <t>LOW (40%)</t>
        </is>
      </c>
      <c r="U1092" t="inlineStr">
        <is>
          <t>CHECK_GITHUB</t>
        </is>
      </c>
      <c r="V1092" t="inlineStr">
        <is>
          <t>YES</t>
        </is>
      </c>
      <c r="W1092" t="inlineStr">
        <is>
          <t>https://github.com/advisories/GHSA-465p-v42x-3fmj</t>
        </is>
      </c>
      <c r="X1092" t="inlineStr">
        <is>
          <t>NONE</t>
        </is>
      </c>
      <c r="Y1092" t="n">
        <v>0</v>
      </c>
      <c r="Z1092" t="inlineStr"/>
      <c r="AA1092" t="inlineStr">
        <is>
          <t>https://github.com/advisories/GHSA-465p-v42x-3fmj</t>
        </is>
      </c>
    </row>
    <row r="1093">
      <c r="A1093" t="inlineStr">
        <is>
          <t>GH_ADVISORY</t>
        </is>
      </c>
      <c r="B1093" t="inlineStr">
        <is>
          <t>GHSA-gj6x-q8rh-wj6x</t>
        </is>
      </c>
      <c r="C1093" t="inlineStr">
        <is>
          <t>Curio exposes database credentials to users with network access through verbose HTTP error responses</t>
        </is>
      </c>
      <c r="D1093" t="n">
        <v>7</v>
      </c>
      <c r="E1093" t="inlineStr">
        <is>
          <t>HIGH</t>
        </is>
      </c>
      <c r="F1093" t="n">
        <v>2</v>
      </c>
      <c r="G1093" t="n">
        <v>2</v>
      </c>
      <c r="H1093" t="inlineStr">
        <is>
          <t>MEDIUM</t>
        </is>
      </c>
      <c r="I1093" t="n">
        <v>11</v>
      </c>
      <c r="J1093" t="inlineStr">
        <is>
          <t>NO</t>
        </is>
      </c>
      <c r="K1093" t="inlineStr">
        <is>
          <t>2026-02-26T22:48:00Z</t>
        </is>
      </c>
      <c r="L1093" t="inlineStr">
        <is>
          <t>CHECK_GITHUB</t>
        </is>
      </c>
      <c r="M1093" t="inlineStr">
        <is>
          <t>github.com/filecoin-project/curio</t>
        </is>
      </c>
      <c r="N1093" t="inlineStr">
        <is>
          <t>P4</t>
        </is>
      </c>
      <c r="O1093" t="inlineStr">
        <is>
          <t>Advisory - IP enrichment N/A</t>
        </is>
      </c>
      <c r="P1093" t="n">
        <v>0</v>
      </c>
      <c r="Q1093" t="n">
        <v>0</v>
      </c>
      <c r="R1093" t="inlineStr">
        <is>
          <t>T1190:Exploit Public-Facing Application</t>
        </is>
      </c>
      <c r="S1093" t="n">
        <v>1</v>
      </c>
      <c r="T1093" t="inlineStr">
        <is>
          <t>LOW (40%)</t>
        </is>
      </c>
      <c r="U1093" t="inlineStr">
        <is>
          <t>CHECK_GITHUB</t>
        </is>
      </c>
      <c r="V1093" t="inlineStr">
        <is>
          <t>YES</t>
        </is>
      </c>
      <c r="W1093" t="inlineStr">
        <is>
          <t>https://github.com/advisories/GHSA-gj6x-q8rh-wj6x</t>
        </is>
      </c>
      <c r="X1093" t="inlineStr">
        <is>
          <t>NONE</t>
        </is>
      </c>
      <c r="Y1093" t="n">
        <v>0</v>
      </c>
      <c r="Z1093" t="inlineStr"/>
      <c r="AA1093" t="inlineStr">
        <is>
          <t>https://github.com/advisories/GHSA-gj6x-q8rh-wj6x</t>
        </is>
      </c>
    </row>
    <row r="1094">
      <c r="A1094" t="inlineStr">
        <is>
          <t>GH_ADVISORY</t>
        </is>
      </c>
      <c r="B1094" t="inlineStr">
        <is>
          <t>GHSA-38c7-23hj-2wgq</t>
        </is>
      </c>
      <c r="C1094" t="inlineStr">
        <is>
          <t>n8n has Webhook Forgery on Zendesk Trigger Node</t>
        </is>
      </c>
      <c r="D1094" t="n">
        <v>4</v>
      </c>
      <c r="E1094" t="inlineStr">
        <is>
          <t>MEDIUM</t>
        </is>
      </c>
      <c r="F1094" t="n">
        <v>2</v>
      </c>
      <c r="G1094" t="n">
        <v>2</v>
      </c>
      <c r="H1094" t="inlineStr">
        <is>
          <t>MEDIUM</t>
        </is>
      </c>
      <c r="I1094" t="n">
        <v>8</v>
      </c>
      <c r="J1094" t="inlineStr">
        <is>
          <t>NO</t>
        </is>
      </c>
      <c r="K1094" t="inlineStr">
        <is>
          <t>2026-02-26T22:47:06Z</t>
        </is>
      </c>
      <c r="L1094" t="inlineStr">
        <is>
          <t>CHECK_GITHUB</t>
        </is>
      </c>
      <c r="M1094" t="inlineStr">
        <is>
          <t>n8n, n8n</t>
        </is>
      </c>
      <c r="N1094" t="inlineStr">
        <is>
          <t>P4</t>
        </is>
      </c>
      <c r="O1094" t="inlineStr">
        <is>
          <t>Advisory - IP enrichment N/A</t>
        </is>
      </c>
      <c r="P1094" t="n">
        <v>0</v>
      </c>
      <c r="Q1094" t="n">
        <v>0</v>
      </c>
      <c r="R1094" t="inlineStr">
        <is>
          <t>T1190:Exploit Public-Facing Application</t>
        </is>
      </c>
      <c r="S1094" t="n">
        <v>1</v>
      </c>
      <c r="T1094" t="inlineStr">
        <is>
          <t>LOW (40%)</t>
        </is>
      </c>
      <c r="U1094" t="inlineStr">
        <is>
          <t>CHECK_GITHUB</t>
        </is>
      </c>
      <c r="V1094" t="inlineStr">
        <is>
          <t>YES</t>
        </is>
      </c>
      <c r="W1094" t="inlineStr">
        <is>
          <t>https://github.com/advisories/GHSA-38c7-23hj-2wgq</t>
        </is>
      </c>
      <c r="X1094" t="inlineStr">
        <is>
          <t>NONE</t>
        </is>
      </c>
      <c r="Y1094" t="n">
        <v>0</v>
      </c>
      <c r="Z1094" t="inlineStr"/>
      <c r="AA1094" t="inlineStr">
        <is>
          <t>https://github.com/advisories/GHSA-38c7-23hj-2wgq</t>
        </is>
      </c>
    </row>
    <row r="1095">
      <c r="A1095" t="inlineStr">
        <is>
          <t>GH_ADVISORY</t>
        </is>
      </c>
      <c r="B1095" t="inlineStr">
        <is>
          <t>GHSA-fvfv-ppw4-7h2w</t>
        </is>
      </c>
      <c r="C1095" t="inlineStr">
        <is>
          <t>n8n has a Guardrail Node Bypass</t>
        </is>
      </c>
      <c r="D1095" t="n">
        <v>3.7</v>
      </c>
      <c r="E1095" t="inlineStr">
        <is>
          <t>MEDIUM</t>
        </is>
      </c>
      <c r="F1095" t="n">
        <v>2</v>
      </c>
      <c r="G1095" t="n">
        <v>2</v>
      </c>
      <c r="H1095" t="inlineStr">
        <is>
          <t>MEDIUM</t>
        </is>
      </c>
      <c r="I1095" t="n">
        <v>7.7</v>
      </c>
      <c r="J1095" t="inlineStr">
        <is>
          <t>NO</t>
        </is>
      </c>
      <c r="K1095" t="inlineStr">
        <is>
          <t>2026-02-26T22:46:42Z</t>
        </is>
      </c>
      <c r="L1095" t="inlineStr">
        <is>
          <t>CHECK_GITHUB</t>
        </is>
      </c>
      <c r="M1095" t="inlineStr">
        <is>
          <t>n8n</t>
        </is>
      </c>
      <c r="N1095" t="inlineStr">
        <is>
          <t>P4</t>
        </is>
      </c>
      <c r="O1095" t="inlineStr">
        <is>
          <t>Advisory - IP enrichment N/A</t>
        </is>
      </c>
      <c r="P1095" t="n">
        <v>0</v>
      </c>
      <c r="Q1095" t="n">
        <v>0</v>
      </c>
      <c r="R1095" t="inlineStr">
        <is>
          <t>T1190:Exploit Public-Facing Application</t>
        </is>
      </c>
      <c r="S1095" t="n">
        <v>1</v>
      </c>
      <c r="T1095" t="inlineStr">
        <is>
          <t>LOW (40%)</t>
        </is>
      </c>
      <c r="U1095" t="inlineStr">
        <is>
          <t>CHECK_GITHUB</t>
        </is>
      </c>
      <c r="V1095" t="inlineStr">
        <is>
          <t>YES</t>
        </is>
      </c>
      <c r="W1095" t="inlineStr">
        <is>
          <t>https://github.com/advisories/GHSA-fvfv-ppw4-7h2w</t>
        </is>
      </c>
      <c r="X1095" t="inlineStr">
        <is>
          <t>NONE</t>
        </is>
      </c>
      <c r="Y1095" t="n">
        <v>0</v>
      </c>
      <c r="Z1095" t="inlineStr"/>
      <c r="AA1095" t="inlineStr">
        <is>
          <t>https://github.com/advisories/GHSA-fvfv-ppw4-7h2w</t>
        </is>
      </c>
    </row>
    <row r="1096">
      <c r="A1096" t="inlineStr">
        <is>
          <t>GH_ADVISORY</t>
        </is>
      </c>
      <c r="B1096" t="inlineStr">
        <is>
          <t>GHSA-jh8h-6c9q-7gmw</t>
        </is>
      </c>
      <c r="C1096" t="inlineStr">
        <is>
          <t>n8n has an Authentication Bypass in its Chat Trigger Node</t>
        </is>
      </c>
      <c r="D1096" t="n">
        <v>4.8</v>
      </c>
      <c r="E1096" t="inlineStr">
        <is>
          <t>MEDIUM</t>
        </is>
      </c>
      <c r="F1096" t="n">
        <v>2</v>
      </c>
      <c r="G1096" t="n">
        <v>2</v>
      </c>
      <c r="H1096" t="inlineStr">
        <is>
          <t>MEDIUM</t>
        </is>
      </c>
      <c r="I1096" t="n">
        <v>8.800000000000001</v>
      </c>
      <c r="J1096" t="inlineStr">
        <is>
          <t>NO</t>
        </is>
      </c>
      <c r="K1096" t="inlineStr">
        <is>
          <t>2026-02-26T22:45:41Z</t>
        </is>
      </c>
      <c r="L1096" t="inlineStr">
        <is>
          <t>CHECK_GITHUB</t>
        </is>
      </c>
      <c r="M1096" t="inlineStr">
        <is>
          <t>n8n, n8n, n8n</t>
        </is>
      </c>
      <c r="N1096" t="inlineStr">
        <is>
          <t>P4</t>
        </is>
      </c>
      <c r="O1096" t="inlineStr">
        <is>
          <t>Advisory - IP enrichment N/A</t>
        </is>
      </c>
      <c r="P1096" t="n">
        <v>0</v>
      </c>
      <c r="Q1096" t="n">
        <v>0</v>
      </c>
      <c r="R1096" t="inlineStr">
        <is>
          <t>T1190:Exploit Public-Facing Application</t>
        </is>
      </c>
      <c r="S1096" t="n">
        <v>1</v>
      </c>
      <c r="T1096" t="inlineStr">
        <is>
          <t>LOW (40%)</t>
        </is>
      </c>
      <c r="U1096" t="inlineStr">
        <is>
          <t>CHECK_GITHUB</t>
        </is>
      </c>
      <c r="V1096" t="inlineStr">
        <is>
          <t>YES</t>
        </is>
      </c>
      <c r="W1096" t="inlineStr">
        <is>
          <t>https://github.com/advisories/GHSA-jh8h-6c9q-7gmw</t>
        </is>
      </c>
      <c r="X1096" t="inlineStr">
        <is>
          <t>NONE</t>
        </is>
      </c>
      <c r="Y1096" t="n">
        <v>0</v>
      </c>
      <c r="Z1096" t="inlineStr"/>
      <c r="AA1096" t="inlineStr">
        <is>
          <t>https://github.com/advisories/GHSA-jh8h-6c9q-7gmw</t>
        </is>
      </c>
    </row>
    <row r="1097">
      <c r="A1097" t="inlineStr">
        <is>
          <t>GH_ADVISORY</t>
        </is>
      </c>
      <c r="B1097" t="inlineStr">
        <is>
          <t>GHSA-vjf3-2gpj-233v</t>
        </is>
      </c>
      <c r="C1097" t="inlineStr">
        <is>
          <t>n8n has an SSO Enforcement Bypass in its Self-Service Settings API</t>
        </is>
      </c>
      <c r="D1097" t="n">
        <v>6.3</v>
      </c>
      <c r="E1097" t="inlineStr">
        <is>
          <t>MEDIUM</t>
        </is>
      </c>
      <c r="F1097" t="n">
        <v>2</v>
      </c>
      <c r="G1097" t="n">
        <v>2</v>
      </c>
      <c r="H1097" t="inlineStr">
        <is>
          <t>MEDIUM</t>
        </is>
      </c>
      <c r="I1097" t="n">
        <v>10.3</v>
      </c>
      <c r="J1097" t="inlineStr">
        <is>
          <t>NO</t>
        </is>
      </c>
      <c r="K1097" t="inlineStr">
        <is>
          <t>2026-02-26T22:45:13Z</t>
        </is>
      </c>
      <c r="L1097" t="inlineStr">
        <is>
          <t>CHECK_GITHUB</t>
        </is>
      </c>
      <c r="M1097" t="inlineStr">
        <is>
          <t>n8n</t>
        </is>
      </c>
      <c r="N1097" t="inlineStr">
        <is>
          <t>P4</t>
        </is>
      </c>
      <c r="O1097" t="inlineStr">
        <is>
          <t>Advisory - IP enrichment N/A</t>
        </is>
      </c>
      <c r="P1097" t="n">
        <v>0</v>
      </c>
      <c r="Q1097" t="n">
        <v>0</v>
      </c>
      <c r="R1097" t="inlineStr">
        <is>
          <t>T1190:Exploit Public-Facing Application</t>
        </is>
      </c>
      <c r="S1097" t="n">
        <v>1</v>
      </c>
      <c r="T1097" t="inlineStr">
        <is>
          <t>LOW (40%)</t>
        </is>
      </c>
      <c r="U1097" t="inlineStr">
        <is>
          <t>CHECK_GITHUB</t>
        </is>
      </c>
      <c r="V1097" t="inlineStr">
        <is>
          <t>YES</t>
        </is>
      </c>
      <c r="W1097" t="inlineStr">
        <is>
          <t>https://github.com/advisories/GHSA-vjf3-2gpj-233v</t>
        </is>
      </c>
      <c r="X1097" t="inlineStr">
        <is>
          <t>NONE</t>
        </is>
      </c>
      <c r="Y1097" t="n">
        <v>0</v>
      </c>
      <c r="Z1097" t="inlineStr"/>
      <c r="AA1097" t="inlineStr">
        <is>
          <t>https://github.com/advisories/GHSA-vjf3-2gpj-233v</t>
        </is>
      </c>
    </row>
    <row r="1098">
      <c r="A1098" t="inlineStr">
        <is>
          <t>GH_ADVISORY</t>
        </is>
      </c>
      <c r="B1098" t="inlineStr">
        <is>
          <t>GHSA-7gcc-r8m5-44qm</t>
        </is>
      </c>
      <c r="C1098" t="inlineStr">
        <is>
          <t>Koa has Host Header Injection via ctx.hostname</t>
        </is>
      </c>
      <c r="D1098" t="n">
        <v>7.5</v>
      </c>
      <c r="E1098" t="inlineStr">
        <is>
          <t>HIGH</t>
        </is>
      </c>
      <c r="F1098" t="n">
        <v>2</v>
      </c>
      <c r="G1098" t="n">
        <v>2</v>
      </c>
      <c r="H1098" t="inlineStr">
        <is>
          <t>MEDIUM</t>
        </is>
      </c>
      <c r="I1098" t="n">
        <v>11.5</v>
      </c>
      <c r="J1098" t="inlineStr">
        <is>
          <t>NO</t>
        </is>
      </c>
      <c r="K1098" t="inlineStr">
        <is>
          <t>2026-02-26T22:42:57Z</t>
        </is>
      </c>
      <c r="L1098" t="inlineStr">
        <is>
          <t>CHECK_GITHUB</t>
        </is>
      </c>
      <c r="M1098" t="inlineStr">
        <is>
          <t>koa, koa</t>
        </is>
      </c>
      <c r="N1098" t="inlineStr">
        <is>
          <t>P4</t>
        </is>
      </c>
      <c r="O1098" t="inlineStr">
        <is>
          <t>Advisory - IP enrichment N/A</t>
        </is>
      </c>
      <c r="P1098" t="n">
        <v>0</v>
      </c>
      <c r="Q1098" t="n">
        <v>0</v>
      </c>
      <c r="R1098" t="inlineStr">
        <is>
          <t>T1190:Exploit Public-Facing Application</t>
        </is>
      </c>
      <c r="S1098" t="n">
        <v>1</v>
      </c>
      <c r="T1098" t="inlineStr">
        <is>
          <t>LOW (40%)</t>
        </is>
      </c>
      <c r="U1098" t="inlineStr">
        <is>
          <t>CHECK_GITHUB</t>
        </is>
      </c>
      <c r="V1098" t="inlineStr">
        <is>
          <t>YES</t>
        </is>
      </c>
      <c r="W1098" t="inlineStr">
        <is>
          <t>https://github.com/advisories/GHSA-7gcc-r8m5-44qm</t>
        </is>
      </c>
      <c r="X1098" t="inlineStr">
        <is>
          <t>NONE</t>
        </is>
      </c>
      <c r="Y1098" t="n">
        <v>0</v>
      </c>
      <c r="Z1098" t="inlineStr"/>
      <c r="AA1098" t="inlineStr">
        <is>
          <t>https://github.com/advisories/GHSA-7gcc-r8m5-44qm</t>
        </is>
      </c>
    </row>
    <row r="1099">
      <c r="A1099" t="inlineStr">
        <is>
          <t>GH_ADVISORY</t>
        </is>
      </c>
      <c r="B1099" t="inlineStr">
        <is>
          <t>GHSA-62cr-6wp5-q43h</t>
        </is>
      </c>
      <c r="C1099" t="inlineStr">
        <is>
          <t>Copyparty vulnerable to reflected XSS via setck parameter</t>
        </is>
      </c>
      <c r="D1099" t="n">
        <v>5.4</v>
      </c>
      <c r="E1099" t="inlineStr">
        <is>
          <t>MEDIUM</t>
        </is>
      </c>
      <c r="F1099" t="n">
        <v>2</v>
      </c>
      <c r="G1099" t="n">
        <v>2</v>
      </c>
      <c r="H1099" t="inlineStr">
        <is>
          <t>MEDIUM</t>
        </is>
      </c>
      <c r="I1099" t="n">
        <v>9.4</v>
      </c>
      <c r="J1099" t="inlineStr">
        <is>
          <t>NO</t>
        </is>
      </c>
      <c r="K1099" t="inlineStr">
        <is>
          <t>2026-02-26T22:33:46Z</t>
        </is>
      </c>
      <c r="L1099" t="inlineStr">
        <is>
          <t>CHECK_GITHUB</t>
        </is>
      </c>
      <c r="M1099" t="inlineStr">
        <is>
          <t>copyparty</t>
        </is>
      </c>
      <c r="N1099" t="inlineStr">
        <is>
          <t>P4</t>
        </is>
      </c>
      <c r="O1099" t="inlineStr">
        <is>
          <t>Advisory - IP enrichment N/A</t>
        </is>
      </c>
      <c r="P1099" t="n">
        <v>0</v>
      </c>
      <c r="Q1099" t="n">
        <v>0</v>
      </c>
      <c r="R1099" t="inlineStr">
        <is>
          <t>T1190:Exploit Public-Facing Application</t>
        </is>
      </c>
      <c r="S1099" t="n">
        <v>1</v>
      </c>
      <c r="T1099" t="inlineStr">
        <is>
          <t>LOW (40%)</t>
        </is>
      </c>
      <c r="U1099" t="inlineStr">
        <is>
          <t>CHECK_GITHUB</t>
        </is>
      </c>
      <c r="V1099" t="inlineStr">
        <is>
          <t>YES</t>
        </is>
      </c>
      <c r="W1099" t="inlineStr">
        <is>
          <t>https://github.com/advisories/GHSA-62cr-6wp5-q43h</t>
        </is>
      </c>
      <c r="X1099" t="inlineStr">
        <is>
          <t>NONE</t>
        </is>
      </c>
      <c r="Y1099" t="n">
        <v>0</v>
      </c>
      <c r="Z1099" t="inlineStr"/>
      <c r="AA1099" t="inlineStr">
        <is>
          <t>https://github.com/advisories/GHSA-62cr-6wp5-q43h</t>
        </is>
      </c>
    </row>
    <row r="1100">
      <c r="A1100" t="inlineStr">
        <is>
          <t>GH_ADVISORY</t>
        </is>
      </c>
      <c r="B1100" t="inlineStr">
        <is>
          <t>GHSA-fj3w-jwp8-x2g3</t>
        </is>
      </c>
      <c r="C1100" t="inlineStr">
        <is>
          <t>fast-xml-parser has stack overflow in XMLBuilder with preserveOrder</t>
        </is>
      </c>
      <c r="D1100" t="n">
        <v>7</v>
      </c>
      <c r="E1100" t="inlineStr">
        <is>
          <t>LOW</t>
        </is>
      </c>
      <c r="F1100" t="n">
        <v>2</v>
      </c>
      <c r="G1100" t="n">
        <v>2</v>
      </c>
      <c r="H1100" t="inlineStr">
        <is>
          <t>MEDIUM</t>
        </is>
      </c>
      <c r="I1100" t="n">
        <v>11</v>
      </c>
      <c r="J1100" t="inlineStr">
        <is>
          <t>NO</t>
        </is>
      </c>
      <c r="K1100" t="inlineStr">
        <is>
          <t>2026-02-26T22:33:10Z</t>
        </is>
      </c>
      <c r="L1100" t="inlineStr">
        <is>
          <t>CHECK_GITHUB</t>
        </is>
      </c>
      <c r="M1100" t="inlineStr">
        <is>
          <t>fast-xml-parser</t>
        </is>
      </c>
      <c r="N1100" t="inlineStr">
        <is>
          <t>P4</t>
        </is>
      </c>
      <c r="O1100" t="inlineStr">
        <is>
          <t>Advisory - IP enrichment N/A</t>
        </is>
      </c>
      <c r="P1100" t="n">
        <v>0</v>
      </c>
      <c r="Q1100" t="n">
        <v>0</v>
      </c>
      <c r="R1100" t="inlineStr">
        <is>
          <t>T1190:Exploit Public-Facing Application</t>
        </is>
      </c>
      <c r="S1100" t="n">
        <v>1</v>
      </c>
      <c r="T1100" t="inlineStr">
        <is>
          <t>LOW (40%)</t>
        </is>
      </c>
      <c r="U1100" t="inlineStr">
        <is>
          <t>CHECK_GITHUB</t>
        </is>
      </c>
      <c r="V1100" t="inlineStr">
        <is>
          <t>YES</t>
        </is>
      </c>
      <c r="W1100" t="inlineStr">
        <is>
          <t>https://github.com/advisories/GHSA-fj3w-jwp8-x2g3</t>
        </is>
      </c>
      <c r="X1100" t="inlineStr">
        <is>
          <t>NONE</t>
        </is>
      </c>
      <c r="Y1100" t="n">
        <v>0</v>
      </c>
      <c r="Z1100" t="inlineStr"/>
      <c r="AA1100" t="inlineStr">
        <is>
          <t>https://github.com/advisories/GHSA-fj3w-jwp8-x2g3</t>
        </is>
      </c>
    </row>
    <row r="1101">
      <c r="A1101" t="inlineStr">
        <is>
          <t>GH_ADVISORY</t>
        </is>
      </c>
      <c r="B1101" t="inlineStr">
        <is>
          <t>GHSA-qgvg-pr8v-6rr3</t>
        </is>
      </c>
      <c r="C1101" t="inlineStr">
        <is>
          <t>Svelte: XSS via HTML Comment Injection in SSR Error Boundary Hydration Markers</t>
        </is>
      </c>
      <c r="D1101" t="n">
        <v>7</v>
      </c>
      <c r="E1101" t="inlineStr">
        <is>
          <t>MEDIUM</t>
        </is>
      </c>
      <c r="F1101" t="n">
        <v>2</v>
      </c>
      <c r="G1101" t="n">
        <v>2</v>
      </c>
      <c r="H1101" t="inlineStr">
        <is>
          <t>MEDIUM</t>
        </is>
      </c>
      <c r="I1101" t="n">
        <v>11</v>
      </c>
      <c r="J1101" t="inlineStr">
        <is>
          <t>NO</t>
        </is>
      </c>
      <c r="K1101" t="inlineStr">
        <is>
          <t>2026-02-26T22:25:45Z</t>
        </is>
      </c>
      <c r="L1101" t="inlineStr">
        <is>
          <t>CHECK_GITHUB</t>
        </is>
      </c>
      <c r="M1101" t="inlineStr">
        <is>
          <t>svelte</t>
        </is>
      </c>
      <c r="N1101" t="inlineStr">
        <is>
          <t>P4</t>
        </is>
      </c>
      <c r="O1101" t="inlineStr">
        <is>
          <t>Advisory - IP enrichment N/A</t>
        </is>
      </c>
      <c r="P1101" t="n">
        <v>0</v>
      </c>
      <c r="Q1101" t="n">
        <v>0</v>
      </c>
      <c r="R1101" t="inlineStr">
        <is>
          <t>T1190:Exploit Public-Facing Application</t>
        </is>
      </c>
      <c r="S1101" t="n">
        <v>1</v>
      </c>
      <c r="T1101" t="inlineStr">
        <is>
          <t>LOW (40%)</t>
        </is>
      </c>
      <c r="U1101" t="inlineStr">
        <is>
          <t>CHECK_GITHUB</t>
        </is>
      </c>
      <c r="V1101" t="inlineStr">
        <is>
          <t>YES</t>
        </is>
      </c>
      <c r="W1101" t="inlineStr">
        <is>
          <t>https://github.com/advisories/GHSA-qgvg-pr8v-6rr3</t>
        </is>
      </c>
      <c r="X1101" t="inlineStr">
        <is>
          <t>NONE</t>
        </is>
      </c>
      <c r="Y1101" t="n">
        <v>0</v>
      </c>
      <c r="Z1101" t="inlineStr"/>
      <c r="AA1101" t="inlineStr">
        <is>
          <t>https://github.com/advisories/GHSA-qgvg-pr8v-6rr3</t>
        </is>
      </c>
    </row>
    <row r="1102">
      <c r="A1102" t="inlineStr">
        <is>
          <t>GH_ADVISORY</t>
        </is>
      </c>
      <c r="B1102" t="inlineStr">
        <is>
          <t>GHSA-phwv-c562-gvmh</t>
        </is>
      </c>
      <c r="C1102" t="inlineStr">
        <is>
          <t>Svelte vulnerable to XSS during SSR with contenteditable `bind:innerText` and `bind:textContent`</t>
        </is>
      </c>
      <c r="D1102" t="n">
        <v>7</v>
      </c>
      <c r="E1102" t="inlineStr">
        <is>
          <t>MEDIUM</t>
        </is>
      </c>
      <c r="F1102" t="n">
        <v>2</v>
      </c>
      <c r="G1102" t="n">
        <v>2</v>
      </c>
      <c r="H1102" t="inlineStr">
        <is>
          <t>MEDIUM</t>
        </is>
      </c>
      <c r="I1102" t="n">
        <v>11</v>
      </c>
      <c r="J1102" t="inlineStr">
        <is>
          <t>NO</t>
        </is>
      </c>
      <c r="K1102" t="inlineStr">
        <is>
          <t>2026-02-26T22:24:54Z</t>
        </is>
      </c>
      <c r="L1102" t="inlineStr">
        <is>
          <t>CHECK_GITHUB</t>
        </is>
      </c>
      <c r="M1102" t="inlineStr">
        <is>
          <t>svelte</t>
        </is>
      </c>
      <c r="N1102" t="inlineStr">
        <is>
          <t>P4</t>
        </is>
      </c>
      <c r="O1102" t="inlineStr">
        <is>
          <t>Advisory - IP enrichment N/A</t>
        </is>
      </c>
      <c r="P1102" t="n">
        <v>0</v>
      </c>
      <c r="Q1102" t="n">
        <v>0</v>
      </c>
      <c r="R1102" t="inlineStr">
        <is>
          <t>T1190:Exploit Public-Facing Application</t>
        </is>
      </c>
      <c r="S1102" t="n">
        <v>1</v>
      </c>
      <c r="T1102" t="inlineStr">
        <is>
          <t>LOW (40%)</t>
        </is>
      </c>
      <c r="U1102" t="inlineStr">
        <is>
          <t>CHECK_GITHUB</t>
        </is>
      </c>
      <c r="V1102" t="inlineStr">
        <is>
          <t>YES</t>
        </is>
      </c>
      <c r="W1102" t="inlineStr">
        <is>
          <t>https://github.com/advisories/GHSA-phwv-c562-gvmh</t>
        </is>
      </c>
      <c r="X1102" t="inlineStr">
        <is>
          <t>NONE</t>
        </is>
      </c>
      <c r="Y1102" t="n">
        <v>0</v>
      </c>
      <c r="Z1102" t="inlineStr"/>
      <c r="AA1102" t="inlineStr">
        <is>
          <t>https://github.com/advisories/GHSA-phwv-c562-gvmh</t>
        </is>
      </c>
    </row>
    <row r="1103">
      <c r="A1103" t="inlineStr">
        <is>
          <t>GH_ADVISORY</t>
        </is>
      </c>
      <c r="B1103" t="inlineStr">
        <is>
          <t>GHSA-5rmx-256w-8mj9</t>
        </is>
      </c>
      <c r="C1103" t="inlineStr">
        <is>
          <t>WireGuard Portal is Vulnerable to Privilege Escalation via User Self-Update to Admin Level</t>
        </is>
      </c>
      <c r="D1103" t="n">
        <v>8.800000000000001</v>
      </c>
      <c r="E1103" t="inlineStr">
        <is>
          <t>HIGH</t>
        </is>
      </c>
      <c r="F1103" t="n">
        <v>2</v>
      </c>
      <c r="G1103" t="n">
        <v>2</v>
      </c>
      <c r="H1103" t="inlineStr">
        <is>
          <t>MEDIUM</t>
        </is>
      </c>
      <c r="I1103" t="n">
        <v>12.8</v>
      </c>
      <c r="J1103" t="inlineStr">
        <is>
          <t>NO</t>
        </is>
      </c>
      <c r="K1103" t="inlineStr">
        <is>
          <t>2026-02-26T22:22:23Z</t>
        </is>
      </c>
      <c r="L1103" t="inlineStr">
        <is>
          <t>CHECK_GITHUB</t>
        </is>
      </c>
      <c r="M1103" t="inlineStr">
        <is>
          <t>github.com/h44z/wg-portal</t>
        </is>
      </c>
      <c r="N1103" t="inlineStr">
        <is>
          <t>P4</t>
        </is>
      </c>
      <c r="O1103" t="inlineStr">
        <is>
          <t>Advisory - IP enrichment N/A</t>
        </is>
      </c>
      <c r="P1103" t="n">
        <v>0</v>
      </c>
      <c r="Q1103" t="n">
        <v>0</v>
      </c>
      <c r="R1103" t="inlineStr">
        <is>
          <t>T1190:Exploit Public-Facing Application</t>
        </is>
      </c>
      <c r="S1103" t="n">
        <v>1</v>
      </c>
      <c r="T1103" t="inlineStr">
        <is>
          <t>LOW (40%)</t>
        </is>
      </c>
      <c r="U1103" t="inlineStr">
        <is>
          <t>CHECK_GITHUB</t>
        </is>
      </c>
      <c r="V1103" t="inlineStr">
        <is>
          <t>YES</t>
        </is>
      </c>
      <c r="W1103" t="inlineStr">
        <is>
          <t>https://github.com/advisories/GHSA-5rmx-256w-8mj9</t>
        </is>
      </c>
      <c r="X1103" t="inlineStr">
        <is>
          <t>NONE</t>
        </is>
      </c>
      <c r="Y1103" t="n">
        <v>0</v>
      </c>
      <c r="Z1103" t="inlineStr"/>
      <c r="AA1103" t="inlineStr">
        <is>
          <t>https://github.com/advisories/GHSA-5rmx-256w-8mj9</t>
        </is>
      </c>
    </row>
    <row r="1104">
      <c r="A1104" t="inlineStr">
        <is>
          <t>GH_ADVISORY</t>
        </is>
      </c>
      <c r="B1104" t="inlineStr">
        <is>
          <t>GHSA-wvj2-96wp-fq3f</t>
        </is>
      </c>
      <c r="C1104" t="inlineStr">
        <is>
          <t>MCP Go SDK Vulnerable to Improper Handling of Case Sensitivity</t>
        </is>
      </c>
      <c r="D1104" t="n">
        <v>7</v>
      </c>
      <c r="E1104" t="inlineStr">
        <is>
          <t>HIGH</t>
        </is>
      </c>
      <c r="F1104" t="n">
        <v>2</v>
      </c>
      <c r="G1104" t="n">
        <v>2</v>
      </c>
      <c r="H1104" t="inlineStr">
        <is>
          <t>MEDIUM</t>
        </is>
      </c>
      <c r="I1104" t="n">
        <v>11</v>
      </c>
      <c r="J1104" t="inlineStr">
        <is>
          <t>NO</t>
        </is>
      </c>
      <c r="K1104" t="inlineStr">
        <is>
          <t>2026-02-26T22:20:08Z</t>
        </is>
      </c>
      <c r="L1104" t="inlineStr">
        <is>
          <t>CHECK_GITHUB</t>
        </is>
      </c>
      <c r="M1104" t="inlineStr">
        <is>
          <t>github.com/modelcontextprotocol/go-sdk</t>
        </is>
      </c>
      <c r="N1104" t="inlineStr">
        <is>
          <t>P4</t>
        </is>
      </c>
      <c r="O1104" t="inlineStr">
        <is>
          <t>Advisory - IP enrichment N/A</t>
        </is>
      </c>
      <c r="P1104" t="n">
        <v>0</v>
      </c>
      <c r="Q1104" t="n">
        <v>0</v>
      </c>
      <c r="R1104" t="inlineStr">
        <is>
          <t>T1190:Exploit Public-Facing Application</t>
        </is>
      </c>
      <c r="S1104" t="n">
        <v>1</v>
      </c>
      <c r="T1104" t="inlineStr">
        <is>
          <t>LOW (40%)</t>
        </is>
      </c>
      <c r="U1104" t="inlineStr">
        <is>
          <t>CHECK_GITHUB</t>
        </is>
      </c>
      <c r="V1104" t="inlineStr">
        <is>
          <t>YES</t>
        </is>
      </c>
      <c r="W1104" t="inlineStr">
        <is>
          <t>https://github.com/advisories/GHSA-wvj2-96wp-fq3f</t>
        </is>
      </c>
      <c r="X1104" t="inlineStr">
        <is>
          <t>NONE</t>
        </is>
      </c>
      <c r="Y1104" t="n">
        <v>0</v>
      </c>
      <c r="Z1104" t="inlineStr"/>
      <c r="AA1104" t="inlineStr">
        <is>
          <t>https://github.com/advisories/GHSA-wvj2-96wp-fq3f</t>
        </is>
      </c>
    </row>
    <row r="1105">
      <c r="A1105" t="inlineStr">
        <is>
          <t>GH_ADVISORY</t>
        </is>
      </c>
      <c r="B1105" t="inlineStr">
        <is>
          <t>GHSA-g8gc-6c4h-jg86</t>
        </is>
      </c>
      <c r="C1105" t="inlineStr">
        <is>
          <t>wger: IDOR in nutritional_values endpoints exposes private dietary data via direct ORM lookup</t>
        </is>
      </c>
      <c r="D1105" t="n">
        <v>4.3</v>
      </c>
      <c r="E1105" t="inlineStr">
        <is>
          <t>MEDIUM</t>
        </is>
      </c>
      <c r="F1105" t="n">
        <v>2</v>
      </c>
      <c r="G1105" t="n">
        <v>2</v>
      </c>
      <c r="H1105" t="inlineStr">
        <is>
          <t>MEDIUM</t>
        </is>
      </c>
      <c r="I1105" t="n">
        <v>8.300000000000001</v>
      </c>
      <c r="J1105" t="inlineStr">
        <is>
          <t>NO</t>
        </is>
      </c>
      <c r="K1105" t="inlineStr">
        <is>
          <t>2026-02-26T22:15:51Z</t>
        </is>
      </c>
      <c r="L1105" t="inlineStr">
        <is>
          <t>CHECK_GITHUB</t>
        </is>
      </c>
      <c r="M1105" t="inlineStr">
        <is>
          <t>wger</t>
        </is>
      </c>
      <c r="N1105" t="inlineStr">
        <is>
          <t>P4</t>
        </is>
      </c>
      <c r="O1105" t="inlineStr">
        <is>
          <t>Advisory - IP enrichment N/A</t>
        </is>
      </c>
      <c r="P1105" t="n">
        <v>0</v>
      </c>
      <c r="Q1105" t="n">
        <v>0</v>
      </c>
      <c r="R1105" t="inlineStr">
        <is>
          <t>T1190:Exploit Public-Facing Application</t>
        </is>
      </c>
      <c r="S1105" t="n">
        <v>1</v>
      </c>
      <c r="T1105" t="inlineStr">
        <is>
          <t>LOW (40%)</t>
        </is>
      </c>
      <c r="U1105" t="inlineStr">
        <is>
          <t>CHECK_GITHUB</t>
        </is>
      </c>
      <c r="V1105" t="inlineStr">
        <is>
          <t>YES</t>
        </is>
      </c>
      <c r="W1105" t="inlineStr">
        <is>
          <t>https://github.com/advisories/GHSA-g8gc-6c4h-jg86</t>
        </is>
      </c>
      <c r="X1105" t="inlineStr">
        <is>
          <t>NONE</t>
        </is>
      </c>
      <c r="Y1105" t="n">
        <v>0</v>
      </c>
      <c r="Z1105" t="inlineStr"/>
      <c r="AA1105" t="inlineStr">
        <is>
          <t>https://github.com/advisories/GHSA-g8gc-6c4h-jg86</t>
        </is>
      </c>
    </row>
    <row r="1106">
      <c r="A1106" t="inlineStr">
        <is>
          <t>GH_ADVISORY</t>
        </is>
      </c>
      <c r="B1106" t="inlineStr">
        <is>
          <t>GHSA-42cr-w2gr-m54q</t>
        </is>
      </c>
      <c r="C1106" t="inlineStr">
        <is>
          <t>wger: IDOR via user-unscoped cache keys on routine API actions exposes workout data</t>
        </is>
      </c>
      <c r="D1106" t="n">
        <v>3.1</v>
      </c>
      <c r="E1106" t="inlineStr">
        <is>
          <t>LOW</t>
        </is>
      </c>
      <c r="F1106" t="n">
        <v>2</v>
      </c>
      <c r="G1106" t="n">
        <v>2</v>
      </c>
      <c r="H1106" t="inlineStr">
        <is>
          <t>MEDIUM</t>
        </is>
      </c>
      <c r="I1106" t="n">
        <v>7.1</v>
      </c>
      <c r="J1106" t="inlineStr">
        <is>
          <t>NO</t>
        </is>
      </c>
      <c r="K1106" t="inlineStr">
        <is>
          <t>2026-02-26T22:15:30Z</t>
        </is>
      </c>
      <c r="L1106" t="inlineStr">
        <is>
          <t>CHECK_GITHUB</t>
        </is>
      </c>
      <c r="M1106" t="inlineStr">
        <is>
          <t>wger</t>
        </is>
      </c>
      <c r="N1106" t="inlineStr">
        <is>
          <t>P4</t>
        </is>
      </c>
      <c r="O1106" t="inlineStr">
        <is>
          <t>Advisory - IP enrichment N/A</t>
        </is>
      </c>
      <c r="P1106" t="n">
        <v>0</v>
      </c>
      <c r="Q1106" t="n">
        <v>0</v>
      </c>
      <c r="R1106" t="inlineStr">
        <is>
          <t>T1190:Exploit Public-Facing Application</t>
        </is>
      </c>
      <c r="S1106" t="n">
        <v>1</v>
      </c>
      <c r="T1106" t="inlineStr">
        <is>
          <t>LOW (40%)</t>
        </is>
      </c>
      <c r="U1106" t="inlineStr">
        <is>
          <t>CHECK_GITHUB</t>
        </is>
      </c>
      <c r="V1106" t="inlineStr">
        <is>
          <t>YES</t>
        </is>
      </c>
      <c r="W1106" t="inlineStr">
        <is>
          <t>https://github.com/advisories/GHSA-42cr-w2gr-m54q</t>
        </is>
      </c>
      <c r="X1106" t="inlineStr">
        <is>
          <t>NONE</t>
        </is>
      </c>
      <c r="Y1106" t="n">
        <v>0</v>
      </c>
      <c r="Z1106" t="inlineStr"/>
      <c r="AA1106" t="inlineStr">
        <is>
          <t>https://github.com/advisories/GHSA-42cr-w2gr-m54q</t>
        </is>
      </c>
    </row>
    <row r="1107">
      <c r="A1107" t="inlineStr">
        <is>
          <t>GH_ADVISORY</t>
        </is>
      </c>
      <c r="B1107" t="inlineStr">
        <is>
          <t>GHSA-xf68-8hjw-7mpm</t>
        </is>
      </c>
      <c r="C1107" t="inlineStr">
        <is>
          <t>wger: IDOR in RepetitionsConfig and MaxRepetitionsConfig API leak other users' workout data</t>
        </is>
      </c>
      <c r="D1107" t="n">
        <v>4.3</v>
      </c>
      <c r="E1107" t="inlineStr">
        <is>
          <t>MEDIUM</t>
        </is>
      </c>
      <c r="F1107" t="n">
        <v>2</v>
      </c>
      <c r="G1107" t="n">
        <v>2</v>
      </c>
      <c r="H1107" t="inlineStr">
        <is>
          <t>MEDIUM</t>
        </is>
      </c>
      <c r="I1107" t="n">
        <v>8.300000000000001</v>
      </c>
      <c r="J1107" t="inlineStr">
        <is>
          <t>NO</t>
        </is>
      </c>
      <c r="K1107" t="inlineStr">
        <is>
          <t>2026-02-26T22:13:13Z</t>
        </is>
      </c>
      <c r="L1107" t="inlineStr">
        <is>
          <t>CHECK_GITHUB</t>
        </is>
      </c>
      <c r="M1107" t="inlineStr">
        <is>
          <t>wger</t>
        </is>
      </c>
      <c r="N1107" t="inlineStr">
        <is>
          <t>P4</t>
        </is>
      </c>
      <c r="O1107" t="inlineStr">
        <is>
          <t>Advisory - IP enrichment N/A</t>
        </is>
      </c>
      <c r="P1107" t="n">
        <v>0</v>
      </c>
      <c r="Q1107" t="n">
        <v>0</v>
      </c>
      <c r="R1107" t="inlineStr">
        <is>
          <t>T1190:Exploit Public-Facing Application</t>
        </is>
      </c>
      <c r="S1107" t="n">
        <v>1</v>
      </c>
      <c r="T1107" t="inlineStr">
        <is>
          <t>LOW (40%)</t>
        </is>
      </c>
      <c r="U1107" t="inlineStr">
        <is>
          <t>CHECK_GITHUB</t>
        </is>
      </c>
      <c r="V1107" t="inlineStr">
        <is>
          <t>YES</t>
        </is>
      </c>
      <c r="W1107" t="inlineStr">
        <is>
          <t>https://github.com/advisories/GHSA-xf68-8hjw-7mpm</t>
        </is>
      </c>
      <c r="X1107" t="inlineStr">
        <is>
          <t>NONE</t>
        </is>
      </c>
      <c r="Y1107" t="n">
        <v>0</v>
      </c>
      <c r="Z1107" t="inlineStr"/>
      <c r="AA1107" t="inlineStr">
        <is>
          <t>https://github.com/advisories/GHSA-xf68-8hjw-7mpm</t>
        </is>
      </c>
    </row>
    <row r="1108">
      <c r="A1108" t="inlineStr">
        <is>
          <t>MAL_URL</t>
        </is>
      </c>
      <c r="B1108" t="inlineStr">
        <is>
          <t>3787005</t>
        </is>
      </c>
      <c r="C1108" t="inlineStr">
        <is>
          <t>Malware Host [online]: http://125.40.122.234:40013/bin.sh | Threat: malware_download | Tags: 32-bit,elf,mips,Mozi</t>
        </is>
      </c>
      <c r="D1108" t="n">
        <v>7.5</v>
      </c>
      <c r="E1108" t="inlineStr">
        <is>
          <t>HIGH</t>
        </is>
      </c>
      <c r="F1108" t="n">
        <v>3</v>
      </c>
      <c r="G1108" t="n">
        <v>2</v>
      </c>
      <c r="H1108" t="inlineStr">
        <is>
          <t>HIGH</t>
        </is>
      </c>
      <c r="I1108" t="n">
        <v>13.5</v>
      </c>
      <c r="J1108" t="inlineStr">
        <is>
          <t>NO</t>
        </is>
      </c>
      <c r="K1108" t="inlineStr">
        <is>
          <t>2026-02-27 18:13:18</t>
        </is>
      </c>
      <c r="L1108" t="inlineStr">
        <is>
          <t>Block URL</t>
        </is>
      </c>
      <c r="M1108" t="inlineStr">
        <is>
          <t>Network/Web Proxy</t>
        </is>
      </c>
      <c r="N1108" t="inlineStr">
        <is>
          <t>P3</t>
        </is>
      </c>
      <c r="O1108" t="inlineStr">
        <is>
          <t>URL IOC - check host IP separately</t>
        </is>
      </c>
      <c r="P1108" t="n">
        <v>0</v>
      </c>
      <c r="Q1108" t="n">
        <v>0</v>
      </c>
      <c r="R1108" t="inlineStr">
        <is>
          <t>T1189:Drive-by Compromise | T1566:Phishing</t>
        </is>
      </c>
      <c r="S1108" t="n">
        <v>1</v>
      </c>
      <c r="T1108" t="inlineStr">
        <is>
          <t>LOW (40%)</t>
        </is>
      </c>
      <c r="U1108" t="inlineStr">
        <is>
          <t>YES</t>
        </is>
      </c>
      <c r="V1108" t="inlineStr">
        <is>
          <t>Block URL</t>
        </is>
      </c>
      <c r="W1108" t="inlineStr">
        <is>
          <t>https://urlhaus.abuse.ch/url/3787005/</t>
        </is>
      </c>
      <c r="X1108" t="inlineStr">
        <is>
          <t>NONE</t>
        </is>
      </c>
      <c r="Y1108" t="n">
        <v>0</v>
      </c>
      <c r="Z1108" t="inlineStr"/>
      <c r="AA1108" t="inlineStr">
        <is>
          <t>https://urlhaus.abuse.ch/url/3787005/</t>
        </is>
      </c>
    </row>
    <row r="1109">
      <c r="A1109" t="inlineStr">
        <is>
          <t>MAL_URL</t>
        </is>
      </c>
      <c r="B1109" t="inlineStr">
        <is>
          <t>3787004</t>
        </is>
      </c>
      <c r="C1109" t="inlineStr">
        <is>
          <t>Malware Host [online]: http://83.228.109.209:54558/bin.sh | Threat: malware_download | Tags: 32-bit,elf,mips,Mozi</t>
        </is>
      </c>
      <c r="D1109" t="n">
        <v>7.5</v>
      </c>
      <c r="E1109" t="inlineStr">
        <is>
          <t>HIGH</t>
        </is>
      </c>
      <c r="F1109" t="n">
        <v>3</v>
      </c>
      <c r="G1109" t="n">
        <v>2</v>
      </c>
      <c r="H1109" t="inlineStr">
        <is>
          <t>HIGH</t>
        </is>
      </c>
      <c r="I1109" t="n">
        <v>13.5</v>
      </c>
      <c r="J1109" t="inlineStr">
        <is>
          <t>NO</t>
        </is>
      </c>
      <c r="K1109" t="inlineStr">
        <is>
          <t>2026-02-27 18:07:07</t>
        </is>
      </c>
      <c r="L1109" t="inlineStr">
        <is>
          <t>Block URL</t>
        </is>
      </c>
      <c r="M1109" t="inlineStr">
        <is>
          <t>Network/Web Proxy</t>
        </is>
      </c>
      <c r="N1109" t="inlineStr">
        <is>
          <t>P3</t>
        </is>
      </c>
      <c r="O1109" t="inlineStr">
        <is>
          <t>URL IOC - check host IP separately</t>
        </is>
      </c>
      <c r="P1109" t="n">
        <v>0</v>
      </c>
      <c r="Q1109" t="n">
        <v>0</v>
      </c>
      <c r="R1109" t="inlineStr">
        <is>
          <t>T1189:Drive-by Compromise | T1566:Phishing</t>
        </is>
      </c>
      <c r="S1109" t="n">
        <v>1</v>
      </c>
      <c r="T1109" t="inlineStr">
        <is>
          <t>LOW (40%)</t>
        </is>
      </c>
      <c r="U1109" t="inlineStr">
        <is>
          <t>YES</t>
        </is>
      </c>
      <c r="V1109" t="inlineStr">
        <is>
          <t>Block URL</t>
        </is>
      </c>
      <c r="W1109" t="inlineStr">
        <is>
          <t>https://urlhaus.abuse.ch/url/3787004/</t>
        </is>
      </c>
      <c r="X1109" t="inlineStr">
        <is>
          <t>NONE</t>
        </is>
      </c>
      <c r="Y1109" t="n">
        <v>0</v>
      </c>
      <c r="Z1109" t="inlineStr"/>
      <c r="AA1109" t="inlineStr">
        <is>
          <t>https://urlhaus.abuse.ch/url/3787004/</t>
        </is>
      </c>
    </row>
    <row r="1110">
      <c r="A1110" t="inlineStr">
        <is>
          <t>MAL_URL</t>
        </is>
      </c>
      <c r="B1110" t="inlineStr">
        <is>
          <t>3787003</t>
        </is>
      </c>
      <c r="C1110" t="inlineStr">
        <is>
          <t>Malware Host [online]: http://42.232.178.119:57580/bin.sh | Threat: malware_download | Tags: 32-bit,elf,mips,Mozi</t>
        </is>
      </c>
      <c r="D1110" t="n">
        <v>7.5</v>
      </c>
      <c r="E1110" t="inlineStr">
        <is>
          <t>HIGH</t>
        </is>
      </c>
      <c r="F1110" t="n">
        <v>3</v>
      </c>
      <c r="G1110" t="n">
        <v>2</v>
      </c>
      <c r="H1110" t="inlineStr">
        <is>
          <t>HIGH</t>
        </is>
      </c>
      <c r="I1110" t="n">
        <v>13.5</v>
      </c>
      <c r="J1110" t="inlineStr">
        <is>
          <t>NO</t>
        </is>
      </c>
      <c r="K1110" t="inlineStr">
        <is>
          <t>2026-02-27 18:03:20</t>
        </is>
      </c>
      <c r="L1110" t="inlineStr">
        <is>
          <t>Block URL</t>
        </is>
      </c>
      <c r="M1110" t="inlineStr">
        <is>
          <t>Network/Web Proxy</t>
        </is>
      </c>
      <c r="N1110" t="inlineStr">
        <is>
          <t>P3</t>
        </is>
      </c>
      <c r="O1110" t="inlineStr">
        <is>
          <t>URL IOC - check host IP separately</t>
        </is>
      </c>
      <c r="P1110" t="n">
        <v>0</v>
      </c>
      <c r="Q1110" t="n">
        <v>0</v>
      </c>
      <c r="R1110" t="inlineStr">
        <is>
          <t>T1189:Drive-by Compromise | T1566:Phishing</t>
        </is>
      </c>
      <c r="S1110" t="n">
        <v>1</v>
      </c>
      <c r="T1110" t="inlineStr">
        <is>
          <t>LOW (40%)</t>
        </is>
      </c>
      <c r="U1110" t="inlineStr">
        <is>
          <t>YES</t>
        </is>
      </c>
      <c r="V1110" t="inlineStr">
        <is>
          <t>Block URL</t>
        </is>
      </c>
      <c r="W1110" t="inlineStr">
        <is>
          <t>https://urlhaus.abuse.ch/url/3787003/</t>
        </is>
      </c>
      <c r="X1110" t="inlineStr">
        <is>
          <t>NONE</t>
        </is>
      </c>
      <c r="Y1110" t="n">
        <v>0</v>
      </c>
      <c r="Z1110" t="inlineStr"/>
      <c r="AA1110" t="inlineStr">
        <is>
          <t>https://urlhaus.abuse.ch/url/3787003/</t>
        </is>
      </c>
    </row>
    <row r="1111">
      <c r="A1111" t="inlineStr">
        <is>
          <t>MAL_URL</t>
        </is>
      </c>
      <c r="B1111" t="inlineStr">
        <is>
          <t>3787002</t>
        </is>
      </c>
      <c r="C1111" t="inlineStr">
        <is>
          <t>Malware Host [online]: http://115.55.192.201:40838/bin.sh | Threat: malware_download | Tags: 32-bit,elf,mips,Mozi</t>
        </is>
      </c>
      <c r="D1111" t="n">
        <v>7.5</v>
      </c>
      <c r="E1111" t="inlineStr">
        <is>
          <t>HIGH</t>
        </is>
      </c>
      <c r="F1111" t="n">
        <v>3</v>
      </c>
      <c r="G1111" t="n">
        <v>2</v>
      </c>
      <c r="H1111" t="inlineStr">
        <is>
          <t>HIGH</t>
        </is>
      </c>
      <c r="I1111" t="n">
        <v>13.5</v>
      </c>
      <c r="J1111" t="inlineStr">
        <is>
          <t>NO</t>
        </is>
      </c>
      <c r="K1111" t="inlineStr">
        <is>
          <t>2026-02-27 17:57:19</t>
        </is>
      </c>
      <c r="L1111" t="inlineStr">
        <is>
          <t>Block URL</t>
        </is>
      </c>
      <c r="M1111" t="inlineStr">
        <is>
          <t>Network/Web Proxy</t>
        </is>
      </c>
      <c r="N1111" t="inlineStr">
        <is>
          <t>P3</t>
        </is>
      </c>
      <c r="O1111" t="inlineStr">
        <is>
          <t>URL IOC - check host IP separately</t>
        </is>
      </c>
      <c r="P1111" t="n">
        <v>0</v>
      </c>
      <c r="Q1111" t="n">
        <v>0</v>
      </c>
      <c r="R1111" t="inlineStr">
        <is>
          <t>T1189:Drive-by Compromise | T1566:Phishing</t>
        </is>
      </c>
      <c r="S1111" t="n">
        <v>1</v>
      </c>
      <c r="T1111" t="inlineStr">
        <is>
          <t>LOW (40%)</t>
        </is>
      </c>
      <c r="U1111" t="inlineStr">
        <is>
          <t>YES</t>
        </is>
      </c>
      <c r="V1111" t="inlineStr">
        <is>
          <t>Block URL</t>
        </is>
      </c>
      <c r="W1111" t="inlineStr">
        <is>
          <t>https://urlhaus.abuse.ch/url/3787002/</t>
        </is>
      </c>
      <c r="X1111" t="inlineStr">
        <is>
          <t>NONE</t>
        </is>
      </c>
      <c r="Y1111" t="n">
        <v>0</v>
      </c>
      <c r="Z1111" t="inlineStr"/>
      <c r="AA1111" t="inlineStr">
        <is>
          <t>https://urlhaus.abuse.ch/url/3787002/</t>
        </is>
      </c>
    </row>
    <row r="1112">
      <c r="A1112" t="inlineStr">
        <is>
          <t>MAL_URL</t>
        </is>
      </c>
      <c r="B1112" t="inlineStr">
        <is>
          <t>3787001</t>
        </is>
      </c>
      <c r="C1112" t="inlineStr">
        <is>
          <t>Malware Host [online]: http://222.138.103.47:45045/bin.sh | Threat: malware_download | Tags: 32-bit,elf,mips,Mozi</t>
        </is>
      </c>
      <c r="D1112" t="n">
        <v>7.5</v>
      </c>
      <c r="E1112" t="inlineStr">
        <is>
          <t>HIGH</t>
        </is>
      </c>
      <c r="F1112" t="n">
        <v>3</v>
      </c>
      <c r="G1112" t="n">
        <v>2</v>
      </c>
      <c r="H1112" t="inlineStr">
        <is>
          <t>HIGH</t>
        </is>
      </c>
      <c r="I1112" t="n">
        <v>13.5</v>
      </c>
      <c r="J1112" t="inlineStr">
        <is>
          <t>NO</t>
        </is>
      </c>
      <c r="K1112" t="inlineStr">
        <is>
          <t>2026-02-27 17:57:18</t>
        </is>
      </c>
      <c r="L1112" t="inlineStr">
        <is>
          <t>Block URL</t>
        </is>
      </c>
      <c r="M1112" t="inlineStr">
        <is>
          <t>Network/Web Proxy</t>
        </is>
      </c>
      <c r="N1112" t="inlineStr">
        <is>
          <t>P3</t>
        </is>
      </c>
      <c r="O1112" t="inlineStr">
        <is>
          <t>URL IOC - check host IP separately</t>
        </is>
      </c>
      <c r="P1112" t="n">
        <v>0</v>
      </c>
      <c r="Q1112" t="n">
        <v>0</v>
      </c>
      <c r="R1112" t="inlineStr">
        <is>
          <t>T1189:Drive-by Compromise | T1566:Phishing</t>
        </is>
      </c>
      <c r="S1112" t="n">
        <v>1</v>
      </c>
      <c r="T1112" t="inlineStr">
        <is>
          <t>LOW (40%)</t>
        </is>
      </c>
      <c r="U1112" t="inlineStr">
        <is>
          <t>YES</t>
        </is>
      </c>
      <c r="V1112" t="inlineStr">
        <is>
          <t>Block URL</t>
        </is>
      </c>
      <c r="W1112" t="inlineStr">
        <is>
          <t>https://urlhaus.abuse.ch/url/3787001/</t>
        </is>
      </c>
      <c r="X1112" t="inlineStr">
        <is>
          <t>NONE</t>
        </is>
      </c>
      <c r="Y1112" t="n">
        <v>0</v>
      </c>
      <c r="Z1112" t="inlineStr"/>
      <c r="AA1112" t="inlineStr">
        <is>
          <t>https://urlhaus.abuse.ch/url/3787001/</t>
        </is>
      </c>
    </row>
    <row r="1113">
      <c r="A1113" t="inlineStr">
        <is>
          <t>MAL_URL</t>
        </is>
      </c>
      <c r="B1113" t="inlineStr">
        <is>
          <t>3787000</t>
        </is>
      </c>
      <c r="C1113" t="inlineStr">
        <is>
          <t>Malware Host [online]: http://45.128.118.140/bot_x86.exe | Threat: malware_download | Tags: exe,LummaStealer,opendir,ua-wget</t>
        </is>
      </c>
      <c r="D1113" t="n">
        <v>7.5</v>
      </c>
      <c r="E1113" t="inlineStr">
        <is>
          <t>HIGH</t>
        </is>
      </c>
      <c r="F1113" t="n">
        <v>3</v>
      </c>
      <c r="G1113" t="n">
        <v>2</v>
      </c>
      <c r="H1113" t="inlineStr">
        <is>
          <t>HIGH</t>
        </is>
      </c>
      <c r="I1113" t="n">
        <v>13.5</v>
      </c>
      <c r="J1113" t="inlineStr">
        <is>
          <t>NO</t>
        </is>
      </c>
      <c r="K1113" t="inlineStr">
        <is>
          <t>2026-02-27 17:55:14</t>
        </is>
      </c>
      <c r="L1113" t="inlineStr">
        <is>
          <t>Block URL</t>
        </is>
      </c>
      <c r="M1113" t="inlineStr">
        <is>
          <t>Network/Web Proxy</t>
        </is>
      </c>
      <c r="N1113" t="inlineStr">
        <is>
          <t>P3</t>
        </is>
      </c>
      <c r="O1113" t="inlineStr">
        <is>
          <t>URL IOC - check host IP separately</t>
        </is>
      </c>
      <c r="P1113" t="n">
        <v>0</v>
      </c>
      <c r="Q1113" t="n">
        <v>0</v>
      </c>
      <c r="R1113" t="inlineStr">
        <is>
          <t>T1189:Drive-by Compromise | T1566:Phishing</t>
        </is>
      </c>
      <c r="S1113" t="n">
        <v>1</v>
      </c>
      <c r="T1113" t="inlineStr">
        <is>
          <t>LOW (40%)</t>
        </is>
      </c>
      <c r="U1113" t="inlineStr">
        <is>
          <t>YES</t>
        </is>
      </c>
      <c r="V1113" t="inlineStr">
        <is>
          <t>Block URL</t>
        </is>
      </c>
      <c r="W1113" t="inlineStr">
        <is>
          <t>https://urlhaus.abuse.ch/url/3787000/</t>
        </is>
      </c>
      <c r="X1113" t="inlineStr">
        <is>
          <t>NONE</t>
        </is>
      </c>
      <c r="Y1113" t="n">
        <v>0</v>
      </c>
      <c r="Z1113" t="inlineStr"/>
      <c r="AA1113" t="inlineStr">
        <is>
          <t>https://urlhaus.abuse.ch/url/3787000/</t>
        </is>
      </c>
    </row>
    <row r="1114">
      <c r="A1114" t="inlineStr">
        <is>
          <t>MAL_URL</t>
        </is>
      </c>
      <c r="B1114" t="inlineStr">
        <is>
          <t>3786999</t>
        </is>
      </c>
      <c r="C1114" t="inlineStr">
        <is>
          <t>Malware Host [online]: http://45.128.118.140/bot.exe | Threat: malware_download | Tags: exe,opendir,ua-wget</t>
        </is>
      </c>
      <c r="D1114" t="n">
        <v>7.5</v>
      </c>
      <c r="E1114" t="inlineStr">
        <is>
          <t>HIGH</t>
        </is>
      </c>
      <c r="F1114" t="n">
        <v>3</v>
      </c>
      <c r="G1114" t="n">
        <v>2</v>
      </c>
      <c r="H1114" t="inlineStr">
        <is>
          <t>HIGH</t>
        </is>
      </c>
      <c r="I1114" t="n">
        <v>13.5</v>
      </c>
      <c r="J1114" t="inlineStr">
        <is>
          <t>NO</t>
        </is>
      </c>
      <c r="K1114" t="inlineStr">
        <is>
          <t>2026-02-27 17:55:12</t>
        </is>
      </c>
      <c r="L1114" t="inlineStr">
        <is>
          <t>Block URL</t>
        </is>
      </c>
      <c r="M1114" t="inlineStr">
        <is>
          <t>Network/Web Proxy</t>
        </is>
      </c>
      <c r="N1114" t="inlineStr">
        <is>
          <t>P3</t>
        </is>
      </c>
      <c r="O1114" t="inlineStr">
        <is>
          <t>URL IOC - check host IP separately</t>
        </is>
      </c>
      <c r="P1114" t="n">
        <v>0</v>
      </c>
      <c r="Q1114" t="n">
        <v>0</v>
      </c>
      <c r="R1114" t="inlineStr">
        <is>
          <t>T1189:Drive-by Compromise | T1566:Phishing</t>
        </is>
      </c>
      <c r="S1114" t="n">
        <v>1</v>
      </c>
      <c r="T1114" t="inlineStr">
        <is>
          <t>LOW (40%)</t>
        </is>
      </c>
      <c r="U1114" t="inlineStr">
        <is>
          <t>YES</t>
        </is>
      </c>
      <c r="V1114" t="inlineStr">
        <is>
          <t>Block URL</t>
        </is>
      </c>
      <c r="W1114" t="inlineStr">
        <is>
          <t>https://urlhaus.abuse.ch/url/3786999/</t>
        </is>
      </c>
      <c r="X1114" t="inlineStr">
        <is>
          <t>NONE</t>
        </is>
      </c>
      <c r="Y1114" t="n">
        <v>0</v>
      </c>
      <c r="Z1114" t="inlineStr"/>
      <c r="AA1114" t="inlineStr">
        <is>
          <t>https://urlhaus.abuse.ch/url/3786999/</t>
        </is>
      </c>
    </row>
    <row r="1115">
      <c r="A1115" t="inlineStr">
        <is>
          <t>MAL_URL</t>
        </is>
      </c>
      <c r="B1115" t="inlineStr">
        <is>
          <t>3786998</t>
        </is>
      </c>
      <c r="C1115" t="inlineStr">
        <is>
          <t>Malware Host [online]: http://45.128.118.140/mips | Threat: malware_download | Tags: elf,opendir,ua-wget</t>
        </is>
      </c>
      <c r="D1115" t="n">
        <v>7.5</v>
      </c>
      <c r="E1115" t="inlineStr">
        <is>
          <t>HIGH</t>
        </is>
      </c>
      <c r="F1115" t="n">
        <v>3</v>
      </c>
      <c r="G1115" t="n">
        <v>2</v>
      </c>
      <c r="H1115" t="inlineStr">
        <is>
          <t>HIGH</t>
        </is>
      </c>
      <c r="I1115" t="n">
        <v>13.5</v>
      </c>
      <c r="J1115" t="inlineStr">
        <is>
          <t>NO</t>
        </is>
      </c>
      <c r="K1115" t="inlineStr">
        <is>
          <t>2026-02-27 17:52:15</t>
        </is>
      </c>
      <c r="L1115" t="inlineStr">
        <is>
          <t>Block URL</t>
        </is>
      </c>
      <c r="M1115" t="inlineStr">
        <is>
          <t>Network/Web Proxy</t>
        </is>
      </c>
      <c r="N1115" t="inlineStr">
        <is>
          <t>P3</t>
        </is>
      </c>
      <c r="O1115" t="inlineStr">
        <is>
          <t>URL IOC - check host IP separately</t>
        </is>
      </c>
      <c r="P1115" t="n">
        <v>0</v>
      </c>
      <c r="Q1115" t="n">
        <v>0</v>
      </c>
      <c r="R1115" t="inlineStr">
        <is>
          <t>T1189:Drive-by Compromise | T1566:Phishing</t>
        </is>
      </c>
      <c r="S1115" t="n">
        <v>1</v>
      </c>
      <c r="T1115" t="inlineStr">
        <is>
          <t>LOW (40%)</t>
        </is>
      </c>
      <c r="U1115" t="inlineStr">
        <is>
          <t>YES</t>
        </is>
      </c>
      <c r="V1115" t="inlineStr">
        <is>
          <t>Block URL</t>
        </is>
      </c>
      <c r="W1115" t="inlineStr">
        <is>
          <t>https://urlhaus.abuse.ch/url/3786998/</t>
        </is>
      </c>
      <c r="X1115" t="inlineStr">
        <is>
          <t>NONE</t>
        </is>
      </c>
      <c r="Y1115" t="n">
        <v>0</v>
      </c>
      <c r="Z1115" t="inlineStr"/>
      <c r="AA1115" t="inlineStr">
        <is>
          <t>https://urlhaus.abuse.ch/url/3786998/</t>
        </is>
      </c>
    </row>
    <row r="1116">
      <c r="A1116" t="inlineStr">
        <is>
          <t>MAL_URL</t>
        </is>
      </c>
      <c r="B1116" t="inlineStr">
        <is>
          <t>3786997</t>
        </is>
      </c>
      <c r="C1116" t="inlineStr">
        <is>
          <t>Malware Host [online]: http://45.128.118.140/x86 | Threat: malware_download | Tags: elf,opendir,ua-wget</t>
        </is>
      </c>
      <c r="D1116" t="n">
        <v>7.5</v>
      </c>
      <c r="E1116" t="inlineStr">
        <is>
          <t>HIGH</t>
        </is>
      </c>
      <c r="F1116" t="n">
        <v>3</v>
      </c>
      <c r="G1116" t="n">
        <v>2</v>
      </c>
      <c r="H1116" t="inlineStr">
        <is>
          <t>HIGH</t>
        </is>
      </c>
      <c r="I1116" t="n">
        <v>13.5</v>
      </c>
      <c r="J1116" t="inlineStr">
        <is>
          <t>NO</t>
        </is>
      </c>
      <c r="K1116" t="inlineStr">
        <is>
          <t>2026-02-27 17:51:14</t>
        </is>
      </c>
      <c r="L1116" t="inlineStr">
        <is>
          <t>Block URL</t>
        </is>
      </c>
      <c r="M1116" t="inlineStr">
        <is>
          <t>Network/Web Proxy</t>
        </is>
      </c>
      <c r="N1116" t="inlineStr">
        <is>
          <t>P3</t>
        </is>
      </c>
      <c r="O1116" t="inlineStr">
        <is>
          <t>URL IOC - check host IP separately</t>
        </is>
      </c>
      <c r="P1116" t="n">
        <v>0</v>
      </c>
      <c r="Q1116" t="n">
        <v>0</v>
      </c>
      <c r="R1116" t="inlineStr">
        <is>
          <t>T1189:Drive-by Compromise | T1566:Phishing</t>
        </is>
      </c>
      <c r="S1116" t="n">
        <v>1</v>
      </c>
      <c r="T1116" t="inlineStr">
        <is>
          <t>LOW (40%)</t>
        </is>
      </c>
      <c r="U1116" t="inlineStr">
        <is>
          <t>YES</t>
        </is>
      </c>
      <c r="V1116" t="inlineStr">
        <is>
          <t>Block URL</t>
        </is>
      </c>
      <c r="W1116" t="inlineStr">
        <is>
          <t>https://urlhaus.abuse.ch/url/3786997/</t>
        </is>
      </c>
      <c r="X1116" t="inlineStr">
        <is>
          <t>NONE</t>
        </is>
      </c>
      <c r="Y1116" t="n">
        <v>0</v>
      </c>
      <c r="Z1116" t="inlineStr"/>
      <c r="AA1116" t="inlineStr">
        <is>
          <t>https://urlhaus.abuse.ch/url/3786997/</t>
        </is>
      </c>
    </row>
    <row r="1117">
      <c r="A1117" t="inlineStr">
        <is>
          <t>MAL_URL</t>
        </is>
      </c>
      <c r="B1117" t="inlineStr">
        <is>
          <t>3786996</t>
        </is>
      </c>
      <c r="C1117" t="inlineStr">
        <is>
          <t>Malware Host [online]: http://45.128.118.140/mipsle | Threat: malware_download | Tags: elf,opendir,ua-wget</t>
        </is>
      </c>
      <c r="D1117" t="n">
        <v>7.5</v>
      </c>
      <c r="E1117" t="inlineStr">
        <is>
          <t>HIGH</t>
        </is>
      </c>
      <c r="F1117" t="n">
        <v>3</v>
      </c>
      <c r="G1117" t="n">
        <v>2</v>
      </c>
      <c r="H1117" t="inlineStr">
        <is>
          <t>HIGH</t>
        </is>
      </c>
      <c r="I1117" t="n">
        <v>13.5</v>
      </c>
      <c r="J1117" t="inlineStr">
        <is>
          <t>NO</t>
        </is>
      </c>
      <c r="K1117" t="inlineStr">
        <is>
          <t>2026-02-27 17:51:13</t>
        </is>
      </c>
      <c r="L1117" t="inlineStr">
        <is>
          <t>Block URL</t>
        </is>
      </c>
      <c r="M1117" t="inlineStr">
        <is>
          <t>Network/Web Proxy</t>
        </is>
      </c>
      <c r="N1117" t="inlineStr">
        <is>
          <t>P3</t>
        </is>
      </c>
      <c r="O1117" t="inlineStr">
        <is>
          <t>URL IOC - check host IP separately</t>
        </is>
      </c>
      <c r="P1117" t="n">
        <v>0</v>
      </c>
      <c r="Q1117" t="n">
        <v>0</v>
      </c>
      <c r="R1117" t="inlineStr">
        <is>
          <t>T1189:Drive-by Compromise | T1566:Phishing</t>
        </is>
      </c>
      <c r="S1117" t="n">
        <v>1</v>
      </c>
      <c r="T1117" t="inlineStr">
        <is>
          <t>LOW (40%)</t>
        </is>
      </c>
      <c r="U1117" t="inlineStr">
        <is>
          <t>YES</t>
        </is>
      </c>
      <c r="V1117" t="inlineStr">
        <is>
          <t>Block URL</t>
        </is>
      </c>
      <c r="W1117" t="inlineStr">
        <is>
          <t>https://urlhaus.abuse.ch/url/3786996/</t>
        </is>
      </c>
      <c r="X1117" t="inlineStr">
        <is>
          <t>NONE</t>
        </is>
      </c>
      <c r="Y1117" t="n">
        <v>0</v>
      </c>
      <c r="Z1117" t="inlineStr"/>
      <c r="AA1117" t="inlineStr">
        <is>
          <t>https://urlhaus.abuse.ch/url/3786996/</t>
        </is>
      </c>
    </row>
    <row r="1118">
      <c r="A1118" t="inlineStr">
        <is>
          <t>MAL_URL</t>
        </is>
      </c>
      <c r="B1118" t="inlineStr">
        <is>
          <t>3786995</t>
        </is>
      </c>
      <c r="C1118" t="inlineStr">
        <is>
          <t>Malware Host [online]: http://61.53.239.177:41435/i | Threat: malware_download | Tags: 32-bit,elf,mips,Mozi</t>
        </is>
      </c>
      <c r="D1118" t="n">
        <v>7.5</v>
      </c>
      <c r="E1118" t="inlineStr">
        <is>
          <t>HIGH</t>
        </is>
      </c>
      <c r="F1118" t="n">
        <v>3</v>
      </c>
      <c r="G1118" t="n">
        <v>2</v>
      </c>
      <c r="H1118" t="inlineStr">
        <is>
          <t>HIGH</t>
        </is>
      </c>
      <c r="I1118" t="n">
        <v>13.5</v>
      </c>
      <c r="J1118" t="inlineStr">
        <is>
          <t>NO</t>
        </is>
      </c>
      <c r="K1118" t="inlineStr">
        <is>
          <t>2026-02-27 17:37:09</t>
        </is>
      </c>
      <c r="L1118" t="inlineStr">
        <is>
          <t>Block URL</t>
        </is>
      </c>
      <c r="M1118" t="inlineStr">
        <is>
          <t>Network/Web Proxy</t>
        </is>
      </c>
      <c r="N1118" t="inlineStr">
        <is>
          <t>P3</t>
        </is>
      </c>
      <c r="O1118" t="inlineStr">
        <is>
          <t>URL IOC - check host IP separately</t>
        </is>
      </c>
      <c r="P1118" t="n">
        <v>0</v>
      </c>
      <c r="Q1118" t="n">
        <v>0</v>
      </c>
      <c r="R1118" t="inlineStr">
        <is>
          <t>T1189:Drive-by Compromise | T1566:Phishing</t>
        </is>
      </c>
      <c r="S1118" t="n">
        <v>1</v>
      </c>
      <c r="T1118" t="inlineStr">
        <is>
          <t>LOW (40%)</t>
        </is>
      </c>
      <c r="U1118" t="inlineStr">
        <is>
          <t>YES</t>
        </is>
      </c>
      <c r="V1118" t="inlineStr">
        <is>
          <t>Block URL</t>
        </is>
      </c>
      <c r="W1118" t="inlineStr">
        <is>
          <t>https://urlhaus.abuse.ch/url/3786995/</t>
        </is>
      </c>
      <c r="X1118" t="inlineStr">
        <is>
          <t>NONE</t>
        </is>
      </c>
      <c r="Y1118" t="n">
        <v>0</v>
      </c>
      <c r="Z1118" t="inlineStr"/>
      <c r="AA1118" t="inlineStr">
        <is>
          <t>https://urlhaus.abuse.ch/url/3786995/</t>
        </is>
      </c>
    </row>
    <row r="1119">
      <c r="A1119" t="inlineStr">
        <is>
          <t>MAL_URL</t>
        </is>
      </c>
      <c r="B1119" t="inlineStr">
        <is>
          <t>3786994</t>
        </is>
      </c>
      <c r="C1119" t="inlineStr">
        <is>
          <t>Malware Host [online]: http://113.230.233.171:59928/i | Threat: malware_download | Tags: 32-bit,elf,mips,Mozi</t>
        </is>
      </c>
      <c r="D1119" t="n">
        <v>7.5</v>
      </c>
      <c r="E1119" t="inlineStr">
        <is>
          <t>HIGH</t>
        </is>
      </c>
      <c r="F1119" t="n">
        <v>3</v>
      </c>
      <c r="G1119" t="n">
        <v>2</v>
      </c>
      <c r="H1119" t="inlineStr">
        <is>
          <t>HIGH</t>
        </is>
      </c>
      <c r="I1119" t="n">
        <v>13.5</v>
      </c>
      <c r="J1119" t="inlineStr">
        <is>
          <t>NO</t>
        </is>
      </c>
      <c r="K1119" t="inlineStr">
        <is>
          <t>2026-02-27 17:36:21</t>
        </is>
      </c>
      <c r="L1119" t="inlineStr">
        <is>
          <t>Block URL</t>
        </is>
      </c>
      <c r="M1119" t="inlineStr">
        <is>
          <t>Network/Web Proxy</t>
        </is>
      </c>
      <c r="N1119" t="inlineStr">
        <is>
          <t>P3</t>
        </is>
      </c>
      <c r="O1119" t="inlineStr">
        <is>
          <t>URL IOC - check host IP separately</t>
        </is>
      </c>
      <c r="P1119" t="n">
        <v>0</v>
      </c>
      <c r="Q1119" t="n">
        <v>0</v>
      </c>
      <c r="R1119" t="inlineStr">
        <is>
          <t>T1189:Drive-by Compromise | T1566:Phishing</t>
        </is>
      </c>
      <c r="S1119" t="n">
        <v>1</v>
      </c>
      <c r="T1119" t="inlineStr">
        <is>
          <t>LOW (40%)</t>
        </is>
      </c>
      <c r="U1119" t="inlineStr">
        <is>
          <t>YES</t>
        </is>
      </c>
      <c r="V1119" t="inlineStr">
        <is>
          <t>Block URL</t>
        </is>
      </c>
      <c r="W1119" t="inlineStr">
        <is>
          <t>https://urlhaus.abuse.ch/url/3786994/</t>
        </is>
      </c>
      <c r="X1119" t="inlineStr">
        <is>
          <t>NONE</t>
        </is>
      </c>
      <c r="Y1119" t="n">
        <v>0</v>
      </c>
      <c r="Z1119" t="inlineStr"/>
      <c r="AA1119" t="inlineStr">
        <is>
          <t>https://urlhaus.abuse.ch/url/3786994/</t>
        </is>
      </c>
    </row>
    <row r="1120">
      <c r="A1120" t="inlineStr">
        <is>
          <t>MAL_URL</t>
        </is>
      </c>
      <c r="B1120" t="inlineStr">
        <is>
          <t>3786993</t>
        </is>
      </c>
      <c r="C1120" t="inlineStr">
        <is>
          <t>Malware Host [online]: http://130.12.180.69/amd64 | Threat: malware_download | Tags: elf,ua-wget</t>
        </is>
      </c>
      <c r="D1120" t="n">
        <v>7.5</v>
      </c>
      <c r="E1120" t="inlineStr">
        <is>
          <t>HIGH</t>
        </is>
      </c>
      <c r="F1120" t="n">
        <v>3</v>
      </c>
      <c r="G1120" t="n">
        <v>2</v>
      </c>
      <c r="H1120" t="inlineStr">
        <is>
          <t>HIGH</t>
        </is>
      </c>
      <c r="I1120" t="n">
        <v>13.5</v>
      </c>
      <c r="J1120" t="inlineStr">
        <is>
          <t>NO</t>
        </is>
      </c>
      <c r="K1120" t="inlineStr">
        <is>
          <t>2026-02-27 17:33:18</t>
        </is>
      </c>
      <c r="L1120" t="inlineStr">
        <is>
          <t>Block URL</t>
        </is>
      </c>
      <c r="M1120" t="inlineStr">
        <is>
          <t>Network/Web Proxy</t>
        </is>
      </c>
      <c r="N1120" t="inlineStr">
        <is>
          <t>P3</t>
        </is>
      </c>
      <c r="O1120" t="inlineStr">
        <is>
          <t>URL IOC - check host IP separately</t>
        </is>
      </c>
      <c r="P1120" t="n">
        <v>0</v>
      </c>
      <c r="Q1120" t="n">
        <v>0</v>
      </c>
      <c r="R1120" t="inlineStr">
        <is>
          <t>T1189:Drive-by Compromise | T1566:Phishing</t>
        </is>
      </c>
      <c r="S1120" t="n">
        <v>1</v>
      </c>
      <c r="T1120" t="inlineStr">
        <is>
          <t>LOW (40%)</t>
        </is>
      </c>
      <c r="U1120" t="inlineStr">
        <is>
          <t>YES</t>
        </is>
      </c>
      <c r="V1120" t="inlineStr">
        <is>
          <t>Block URL</t>
        </is>
      </c>
      <c r="W1120" t="inlineStr">
        <is>
          <t>https://urlhaus.abuse.ch/url/3786993/</t>
        </is>
      </c>
      <c r="X1120" t="inlineStr">
        <is>
          <t>NONE</t>
        </is>
      </c>
      <c r="Y1120" t="n">
        <v>0</v>
      </c>
      <c r="Z1120" t="inlineStr"/>
      <c r="AA1120" t="inlineStr">
        <is>
          <t>https://urlhaus.abuse.ch/url/3786993/</t>
        </is>
      </c>
    </row>
    <row r="1121">
      <c r="A1121" t="inlineStr">
        <is>
          <t>MAL_URL</t>
        </is>
      </c>
      <c r="B1121" t="inlineStr">
        <is>
          <t>3786992</t>
        </is>
      </c>
      <c r="C1121" t="inlineStr">
        <is>
          <t>Malware Host [online]: http://130.12.180.69/cnpilot.sh | Threat: malware_download | Tags: sh,ua-wget</t>
        </is>
      </c>
      <c r="D1121" t="n">
        <v>7.5</v>
      </c>
      <c r="E1121" t="inlineStr">
        <is>
          <t>HIGH</t>
        </is>
      </c>
      <c r="F1121" t="n">
        <v>3</v>
      </c>
      <c r="G1121" t="n">
        <v>2</v>
      </c>
      <c r="H1121" t="inlineStr">
        <is>
          <t>HIGH</t>
        </is>
      </c>
      <c r="I1121" t="n">
        <v>13.5</v>
      </c>
      <c r="J1121" t="inlineStr">
        <is>
          <t>NO</t>
        </is>
      </c>
      <c r="K1121" t="inlineStr">
        <is>
          <t>2026-02-27 17:33:14</t>
        </is>
      </c>
      <c r="L1121" t="inlineStr">
        <is>
          <t>Block URL</t>
        </is>
      </c>
      <c r="M1121" t="inlineStr">
        <is>
          <t>Network/Web Proxy</t>
        </is>
      </c>
      <c r="N1121" t="inlineStr">
        <is>
          <t>P3</t>
        </is>
      </c>
      <c r="O1121" t="inlineStr">
        <is>
          <t>URL IOC - check host IP separately</t>
        </is>
      </c>
      <c r="P1121" t="n">
        <v>0</v>
      </c>
      <c r="Q1121" t="n">
        <v>0</v>
      </c>
      <c r="R1121" t="inlineStr">
        <is>
          <t>T1189:Drive-by Compromise | T1566:Phishing</t>
        </is>
      </c>
      <c r="S1121" t="n">
        <v>1</v>
      </c>
      <c r="T1121" t="inlineStr">
        <is>
          <t>LOW (40%)</t>
        </is>
      </c>
      <c r="U1121" t="inlineStr">
        <is>
          <t>YES</t>
        </is>
      </c>
      <c r="V1121" t="inlineStr">
        <is>
          <t>Block URL</t>
        </is>
      </c>
      <c r="W1121" t="inlineStr">
        <is>
          <t>https://urlhaus.abuse.ch/url/3786992/</t>
        </is>
      </c>
      <c r="X1121" t="inlineStr">
        <is>
          <t>NONE</t>
        </is>
      </c>
      <c r="Y1121" t="n">
        <v>0</v>
      </c>
      <c r="Z1121" t="inlineStr"/>
      <c r="AA1121" t="inlineStr">
        <is>
          <t>https://urlhaus.abuse.ch/url/3786992/</t>
        </is>
      </c>
    </row>
    <row r="1122">
      <c r="A1122" t="inlineStr">
        <is>
          <t>MAL_URL</t>
        </is>
      </c>
      <c r="B1122" t="inlineStr">
        <is>
          <t>3786991</t>
        </is>
      </c>
      <c r="C1122" t="inlineStr">
        <is>
          <t>Malware Host [offline]: https://api.files.link/v1/p/6eb195dd-ee4b-48a8-8166-346fc97280d7 | Threat: malware_download | Tags: None</t>
        </is>
      </c>
      <c r="D1122" t="n">
        <v>7.5</v>
      </c>
      <c r="E1122" t="inlineStr">
        <is>
          <t>HIGH</t>
        </is>
      </c>
      <c r="F1122" t="n">
        <v>3</v>
      </c>
      <c r="G1122" t="n">
        <v>2</v>
      </c>
      <c r="H1122" t="inlineStr">
        <is>
          <t>HIGH</t>
        </is>
      </c>
      <c r="I1122" t="n">
        <v>13.5</v>
      </c>
      <c r="J1122" t="inlineStr">
        <is>
          <t>NO</t>
        </is>
      </c>
      <c r="K1122" t="inlineStr">
        <is>
          <t>2026-02-27 17:31:20</t>
        </is>
      </c>
      <c r="L1122" t="inlineStr">
        <is>
          <t>Block URL</t>
        </is>
      </c>
      <c r="M1122" t="inlineStr">
        <is>
          <t>Network/Web Proxy</t>
        </is>
      </c>
      <c r="N1122" t="inlineStr">
        <is>
          <t>P3</t>
        </is>
      </c>
      <c r="O1122" t="inlineStr">
        <is>
          <t>URL IOC - check host IP separately</t>
        </is>
      </c>
      <c r="P1122" t="n">
        <v>0</v>
      </c>
      <c r="Q1122" t="n">
        <v>0</v>
      </c>
      <c r="R1122" t="inlineStr">
        <is>
          <t>T1189:Drive-by Compromise | T1566:Phishing</t>
        </is>
      </c>
      <c r="S1122" t="n">
        <v>1</v>
      </c>
      <c r="T1122" t="inlineStr">
        <is>
          <t>LOW (40%)</t>
        </is>
      </c>
      <c r="U1122" t="inlineStr">
        <is>
          <t>YES</t>
        </is>
      </c>
      <c r="V1122" t="inlineStr">
        <is>
          <t>Block URL</t>
        </is>
      </c>
      <c r="W1122" t="inlineStr">
        <is>
          <t>https://urlhaus.abuse.ch/url/3786991/</t>
        </is>
      </c>
      <c r="X1122" t="inlineStr">
        <is>
          <t>NONE</t>
        </is>
      </c>
      <c r="Y1122" t="n">
        <v>0</v>
      </c>
      <c r="Z1122" t="inlineStr"/>
      <c r="AA1122" t="inlineStr">
        <is>
          <t>https://urlhaus.abuse.ch/url/3786991/</t>
        </is>
      </c>
    </row>
    <row r="1123">
      <c r="A1123" t="inlineStr">
        <is>
          <t>MAL_URL</t>
        </is>
      </c>
      <c r="B1123" t="inlineStr">
        <is>
          <t>3786990</t>
        </is>
      </c>
      <c r="C1123" t="inlineStr">
        <is>
          <t>Malware Host [online]: http://182.113.40.61:33933/i | Threat: malware_download | Tags: 32-bit,elf,mips,Mozi</t>
        </is>
      </c>
      <c r="D1123" t="n">
        <v>7.5</v>
      </c>
      <c r="E1123" t="inlineStr">
        <is>
          <t>HIGH</t>
        </is>
      </c>
      <c r="F1123" t="n">
        <v>3</v>
      </c>
      <c r="G1123" t="n">
        <v>2</v>
      </c>
      <c r="H1123" t="inlineStr">
        <is>
          <t>HIGH</t>
        </is>
      </c>
      <c r="I1123" t="n">
        <v>13.5</v>
      </c>
      <c r="J1123" t="inlineStr">
        <is>
          <t>NO</t>
        </is>
      </c>
      <c r="K1123" t="inlineStr">
        <is>
          <t>2026-02-27 17:31:19</t>
        </is>
      </c>
      <c r="L1123" t="inlineStr">
        <is>
          <t>Block URL</t>
        </is>
      </c>
      <c r="M1123" t="inlineStr">
        <is>
          <t>Network/Web Proxy</t>
        </is>
      </c>
      <c r="N1123" t="inlineStr">
        <is>
          <t>P3</t>
        </is>
      </c>
      <c r="O1123" t="inlineStr">
        <is>
          <t>URL IOC - check host IP separately</t>
        </is>
      </c>
      <c r="P1123" t="n">
        <v>0</v>
      </c>
      <c r="Q1123" t="n">
        <v>0</v>
      </c>
      <c r="R1123" t="inlineStr">
        <is>
          <t>T1189:Drive-by Compromise | T1566:Phishing</t>
        </is>
      </c>
      <c r="S1123" t="n">
        <v>1</v>
      </c>
      <c r="T1123" t="inlineStr">
        <is>
          <t>LOW (40%)</t>
        </is>
      </c>
      <c r="U1123" t="inlineStr">
        <is>
          <t>YES</t>
        </is>
      </c>
      <c r="V1123" t="inlineStr">
        <is>
          <t>Block URL</t>
        </is>
      </c>
      <c r="W1123" t="inlineStr">
        <is>
          <t>https://urlhaus.abuse.ch/url/3786990/</t>
        </is>
      </c>
      <c r="X1123" t="inlineStr">
        <is>
          <t>NONE</t>
        </is>
      </c>
      <c r="Y1123" t="n">
        <v>0</v>
      </c>
      <c r="Z1123" t="inlineStr"/>
      <c r="AA1123" t="inlineStr">
        <is>
          <t>https://urlhaus.abuse.ch/url/3786990/</t>
        </is>
      </c>
    </row>
    <row r="1124">
      <c r="A1124" t="inlineStr">
        <is>
          <t>MAL_URL</t>
        </is>
      </c>
      <c r="B1124" t="inlineStr">
        <is>
          <t>3786989</t>
        </is>
      </c>
      <c r="C1124" t="inlineStr">
        <is>
          <t>Malware Host [online]: http://182.127.56.186:45376/bin.sh | Threat: malware_download | Tags: 32-bit,elf,mips,Mozi</t>
        </is>
      </c>
      <c r="D1124" t="n">
        <v>7.5</v>
      </c>
      <c r="E1124" t="inlineStr">
        <is>
          <t>HIGH</t>
        </is>
      </c>
      <c r="F1124" t="n">
        <v>3</v>
      </c>
      <c r="G1124" t="n">
        <v>2</v>
      </c>
      <c r="H1124" t="inlineStr">
        <is>
          <t>HIGH</t>
        </is>
      </c>
      <c r="I1124" t="n">
        <v>13.5</v>
      </c>
      <c r="J1124" t="inlineStr">
        <is>
          <t>NO</t>
        </is>
      </c>
      <c r="K1124" t="inlineStr">
        <is>
          <t>2026-02-27 17:28:20</t>
        </is>
      </c>
      <c r="L1124" t="inlineStr">
        <is>
          <t>Block URL</t>
        </is>
      </c>
      <c r="M1124" t="inlineStr">
        <is>
          <t>Network/Web Proxy</t>
        </is>
      </c>
      <c r="N1124" t="inlineStr">
        <is>
          <t>P3</t>
        </is>
      </c>
      <c r="O1124" t="inlineStr">
        <is>
          <t>URL IOC - check host IP separately</t>
        </is>
      </c>
      <c r="P1124" t="n">
        <v>0</v>
      </c>
      <c r="Q1124" t="n">
        <v>0</v>
      </c>
      <c r="R1124" t="inlineStr">
        <is>
          <t>T1189:Drive-by Compromise | T1566:Phishing</t>
        </is>
      </c>
      <c r="S1124" t="n">
        <v>1</v>
      </c>
      <c r="T1124" t="inlineStr">
        <is>
          <t>LOW (40%)</t>
        </is>
      </c>
      <c r="U1124" t="inlineStr">
        <is>
          <t>YES</t>
        </is>
      </c>
      <c r="V1124" t="inlineStr">
        <is>
          <t>Block URL</t>
        </is>
      </c>
      <c r="W1124" t="inlineStr">
        <is>
          <t>https://urlhaus.abuse.ch/url/3786989/</t>
        </is>
      </c>
      <c r="X1124" t="inlineStr">
        <is>
          <t>NONE</t>
        </is>
      </c>
      <c r="Y1124" t="n">
        <v>0</v>
      </c>
      <c r="Z1124" t="inlineStr"/>
      <c r="AA1124" t="inlineStr">
        <is>
          <t>https://urlhaus.abuse.ch/url/3786989/</t>
        </is>
      </c>
    </row>
    <row r="1125">
      <c r="A1125" t="inlineStr">
        <is>
          <t>MAL_URL</t>
        </is>
      </c>
      <c r="B1125" t="inlineStr">
        <is>
          <t>3786988</t>
        </is>
      </c>
      <c r="C1125" t="inlineStr">
        <is>
          <t>Malware Host [offline]: https://one-graup.com/LAH.hta | Threat: malware_download | Tags: hta</t>
        </is>
      </c>
      <c r="D1125" t="n">
        <v>7.5</v>
      </c>
      <c r="E1125" t="inlineStr">
        <is>
          <t>HIGH</t>
        </is>
      </c>
      <c r="F1125" t="n">
        <v>3</v>
      </c>
      <c r="G1125" t="n">
        <v>2</v>
      </c>
      <c r="H1125" t="inlineStr">
        <is>
          <t>HIGH</t>
        </is>
      </c>
      <c r="I1125" t="n">
        <v>13.5</v>
      </c>
      <c r="J1125" t="inlineStr">
        <is>
          <t>NO</t>
        </is>
      </c>
      <c r="K1125" t="inlineStr">
        <is>
          <t>2026-02-27 17:27:20</t>
        </is>
      </c>
      <c r="L1125" t="inlineStr">
        <is>
          <t>Block URL</t>
        </is>
      </c>
      <c r="M1125" t="inlineStr">
        <is>
          <t>Network/Web Proxy</t>
        </is>
      </c>
      <c r="N1125" t="inlineStr">
        <is>
          <t>P3</t>
        </is>
      </c>
      <c r="O1125" t="inlineStr">
        <is>
          <t>URL IOC - check host IP separately</t>
        </is>
      </c>
      <c r="P1125" t="n">
        <v>0</v>
      </c>
      <c r="Q1125" t="n">
        <v>0</v>
      </c>
      <c r="R1125" t="inlineStr">
        <is>
          <t>T1189:Drive-by Compromise | T1566:Phishing</t>
        </is>
      </c>
      <c r="S1125" t="n">
        <v>1</v>
      </c>
      <c r="T1125" t="inlineStr">
        <is>
          <t>LOW (40%)</t>
        </is>
      </c>
      <c r="U1125" t="inlineStr">
        <is>
          <t>YES</t>
        </is>
      </c>
      <c r="V1125" t="inlineStr">
        <is>
          <t>Block URL</t>
        </is>
      </c>
      <c r="W1125" t="inlineStr">
        <is>
          <t>https://urlhaus.abuse.ch/url/3786988/</t>
        </is>
      </c>
      <c r="X1125" t="inlineStr">
        <is>
          <t>NONE</t>
        </is>
      </c>
      <c r="Y1125" t="n">
        <v>0</v>
      </c>
      <c r="Z1125" t="inlineStr"/>
      <c r="AA1125" t="inlineStr">
        <is>
          <t>https://urlhaus.abuse.ch/url/3786988/</t>
        </is>
      </c>
    </row>
    <row r="1126">
      <c r="A1126" t="inlineStr">
        <is>
          <t>MAL_URL</t>
        </is>
      </c>
      <c r="B1126" t="inlineStr">
        <is>
          <t>3786987</t>
        </is>
      </c>
      <c r="C1126" t="inlineStr">
        <is>
          <t>Malware Host [online]: https://www.kotojuki.com/upload/upl/aIh2Q8_tdPWA9w6hskn5/539869.pdf | Threat: malware_download | Tags: Formbook</t>
        </is>
      </c>
      <c r="D1126" t="n">
        <v>7.5</v>
      </c>
      <c r="E1126" t="inlineStr">
        <is>
          <t>HIGH</t>
        </is>
      </c>
      <c r="F1126" t="n">
        <v>3</v>
      </c>
      <c r="G1126" t="n">
        <v>2</v>
      </c>
      <c r="H1126" t="inlineStr">
        <is>
          <t>HIGH</t>
        </is>
      </c>
      <c r="I1126" t="n">
        <v>13.5</v>
      </c>
      <c r="J1126" t="inlineStr">
        <is>
          <t>NO</t>
        </is>
      </c>
      <c r="K1126" t="inlineStr">
        <is>
          <t>2026-02-27 17:27:10</t>
        </is>
      </c>
      <c r="L1126" t="inlineStr">
        <is>
          <t>Block URL</t>
        </is>
      </c>
      <c r="M1126" t="inlineStr">
        <is>
          <t>Network/Web Proxy</t>
        </is>
      </c>
      <c r="N1126" t="inlineStr">
        <is>
          <t>P3</t>
        </is>
      </c>
      <c r="O1126" t="inlineStr">
        <is>
          <t>URL IOC - check host IP separately</t>
        </is>
      </c>
      <c r="P1126" t="n">
        <v>0</v>
      </c>
      <c r="Q1126" t="n">
        <v>0</v>
      </c>
      <c r="R1126" t="inlineStr">
        <is>
          <t>T1189:Drive-by Compromise | T1566:Phishing</t>
        </is>
      </c>
      <c r="S1126" t="n">
        <v>1</v>
      </c>
      <c r="T1126" t="inlineStr">
        <is>
          <t>LOW (40%)</t>
        </is>
      </c>
      <c r="U1126" t="inlineStr">
        <is>
          <t>YES</t>
        </is>
      </c>
      <c r="V1126" t="inlineStr">
        <is>
          <t>Block URL</t>
        </is>
      </c>
      <c r="W1126" t="inlineStr">
        <is>
          <t>https://urlhaus.abuse.ch/url/3786987/</t>
        </is>
      </c>
      <c r="X1126" t="inlineStr">
        <is>
          <t>NONE</t>
        </is>
      </c>
      <c r="Y1126" t="n">
        <v>0</v>
      </c>
      <c r="Z1126" t="inlineStr"/>
      <c r="AA1126" t="inlineStr">
        <is>
          <t>https://urlhaus.abuse.ch/url/3786987/</t>
        </is>
      </c>
    </row>
    <row r="1127">
      <c r="A1127" t="inlineStr">
        <is>
          <t>MAL_URL</t>
        </is>
      </c>
      <c r="B1127" t="inlineStr">
        <is>
          <t>3786986</t>
        </is>
      </c>
      <c r="C1127" t="inlineStr">
        <is>
          <t>Malware Host [offline]: https://uploads.otzo.com/1D/a5c1D.exe | Threat: malware_download | Tags: exe</t>
        </is>
      </c>
      <c r="D1127" t="n">
        <v>7.5</v>
      </c>
      <c r="E1127" t="inlineStr">
        <is>
          <t>HIGH</t>
        </is>
      </c>
      <c r="F1127" t="n">
        <v>3</v>
      </c>
      <c r="G1127" t="n">
        <v>2</v>
      </c>
      <c r="H1127" t="inlineStr">
        <is>
          <t>HIGH</t>
        </is>
      </c>
      <c r="I1127" t="n">
        <v>13.5</v>
      </c>
      <c r="J1127" t="inlineStr">
        <is>
          <t>NO</t>
        </is>
      </c>
      <c r="K1127" t="inlineStr">
        <is>
          <t>2026-02-27 17:26:21</t>
        </is>
      </c>
      <c r="L1127" t="inlineStr">
        <is>
          <t>Block URL</t>
        </is>
      </c>
      <c r="M1127" t="inlineStr">
        <is>
          <t>Network/Web Proxy</t>
        </is>
      </c>
      <c r="N1127" t="inlineStr">
        <is>
          <t>P3</t>
        </is>
      </c>
      <c r="O1127" t="inlineStr">
        <is>
          <t>URL IOC - check host IP separately</t>
        </is>
      </c>
      <c r="P1127" t="n">
        <v>0</v>
      </c>
      <c r="Q1127" t="n">
        <v>0</v>
      </c>
      <c r="R1127" t="inlineStr">
        <is>
          <t>T1189:Drive-by Compromise | T1566:Phishing</t>
        </is>
      </c>
      <c r="S1127" t="n">
        <v>1</v>
      </c>
      <c r="T1127" t="inlineStr">
        <is>
          <t>LOW (40%)</t>
        </is>
      </c>
      <c r="U1127" t="inlineStr">
        <is>
          <t>YES</t>
        </is>
      </c>
      <c r="V1127" t="inlineStr">
        <is>
          <t>Block URL</t>
        </is>
      </c>
      <c r="W1127" t="inlineStr">
        <is>
          <t>https://urlhaus.abuse.ch/url/3786986/</t>
        </is>
      </c>
      <c r="X1127" t="inlineStr">
        <is>
          <t>NONE</t>
        </is>
      </c>
      <c r="Y1127" t="n">
        <v>0</v>
      </c>
      <c r="Z1127" t="inlineStr"/>
      <c r="AA1127" t="inlineStr">
        <is>
          <t>https://urlhaus.abuse.ch/url/3786986/</t>
        </is>
      </c>
    </row>
    <row r="1128">
      <c r="A1128" t="inlineStr">
        <is>
          <t>MAL_URL</t>
        </is>
      </c>
      <c r="B1128" t="inlineStr">
        <is>
          <t>3786982</t>
        </is>
      </c>
      <c r="C1128" t="inlineStr">
        <is>
          <t>Malware Host [online]: http://103.116.52.44/jack5tr.sh | Threat: malware_download | Tags: mirai,sh,ua-wget</t>
        </is>
      </c>
      <c r="D1128" t="n">
        <v>7.5</v>
      </c>
      <c r="E1128" t="inlineStr">
        <is>
          <t>HIGH</t>
        </is>
      </c>
      <c r="F1128" t="n">
        <v>3</v>
      </c>
      <c r="G1128" t="n">
        <v>2</v>
      </c>
      <c r="H1128" t="inlineStr">
        <is>
          <t>HIGH</t>
        </is>
      </c>
      <c r="I1128" t="n">
        <v>13.5</v>
      </c>
      <c r="J1128" t="inlineStr">
        <is>
          <t>NO</t>
        </is>
      </c>
      <c r="K1128" t="inlineStr">
        <is>
          <t>2026-02-27 17:25:17</t>
        </is>
      </c>
      <c r="L1128" t="inlineStr">
        <is>
          <t>Block URL</t>
        </is>
      </c>
      <c r="M1128" t="inlineStr">
        <is>
          <t>Network/Web Proxy</t>
        </is>
      </c>
      <c r="N1128" t="inlineStr">
        <is>
          <t>P3</t>
        </is>
      </c>
      <c r="O1128" t="inlineStr">
        <is>
          <t>URL IOC - check host IP separately</t>
        </is>
      </c>
      <c r="P1128" t="n">
        <v>0</v>
      </c>
      <c r="Q1128" t="n">
        <v>0</v>
      </c>
      <c r="R1128" t="inlineStr">
        <is>
          <t>T1189:Drive-by Compromise | T1566:Phishing</t>
        </is>
      </c>
      <c r="S1128" t="n">
        <v>1</v>
      </c>
      <c r="T1128" t="inlineStr">
        <is>
          <t>LOW (40%)</t>
        </is>
      </c>
      <c r="U1128" t="inlineStr">
        <is>
          <t>YES</t>
        </is>
      </c>
      <c r="V1128" t="inlineStr">
        <is>
          <t>Block URL</t>
        </is>
      </c>
      <c r="W1128" t="inlineStr">
        <is>
          <t>https://urlhaus.abuse.ch/url/3786982/</t>
        </is>
      </c>
      <c r="X1128" t="inlineStr">
        <is>
          <t>NONE</t>
        </is>
      </c>
      <c r="Y1128" t="n">
        <v>0</v>
      </c>
      <c r="Z1128" t="inlineStr"/>
      <c r="AA1128" t="inlineStr">
        <is>
          <t>https://urlhaus.abuse.ch/url/3786982/</t>
        </is>
      </c>
    </row>
    <row r="1129">
      <c r="A1129" t="inlineStr">
        <is>
          <t>MAL_URL</t>
        </is>
      </c>
      <c r="B1129" t="inlineStr">
        <is>
          <t>3786983</t>
        </is>
      </c>
      <c r="C1129" t="inlineStr">
        <is>
          <t>Malware Host [online]: http://103.116.52.44/abc1.sh | Threat: malware_download | Tags: mirai,sh,ua-wget</t>
        </is>
      </c>
      <c r="D1129" t="n">
        <v>7.5</v>
      </c>
      <c r="E1129" t="inlineStr">
        <is>
          <t>HIGH</t>
        </is>
      </c>
      <c r="F1129" t="n">
        <v>3</v>
      </c>
      <c r="G1129" t="n">
        <v>2</v>
      </c>
      <c r="H1129" t="inlineStr">
        <is>
          <t>HIGH</t>
        </is>
      </c>
      <c r="I1129" t="n">
        <v>13.5</v>
      </c>
      <c r="J1129" t="inlineStr">
        <is>
          <t>NO</t>
        </is>
      </c>
      <c r="K1129" t="inlineStr">
        <is>
          <t>2026-02-27 17:25:17</t>
        </is>
      </c>
      <c r="L1129" t="inlineStr">
        <is>
          <t>Block URL</t>
        </is>
      </c>
      <c r="M1129" t="inlineStr">
        <is>
          <t>Network/Web Proxy</t>
        </is>
      </c>
      <c r="N1129" t="inlineStr">
        <is>
          <t>P3</t>
        </is>
      </c>
      <c r="O1129" t="inlineStr">
        <is>
          <t>URL IOC - check host IP separately</t>
        </is>
      </c>
      <c r="P1129" t="n">
        <v>0</v>
      </c>
      <c r="Q1129" t="n">
        <v>0</v>
      </c>
      <c r="R1129" t="inlineStr">
        <is>
          <t>T1189:Drive-by Compromise | T1566:Phishing</t>
        </is>
      </c>
      <c r="S1129" t="n">
        <v>1</v>
      </c>
      <c r="T1129" t="inlineStr">
        <is>
          <t>LOW (40%)</t>
        </is>
      </c>
      <c r="U1129" t="inlineStr">
        <is>
          <t>YES</t>
        </is>
      </c>
      <c r="V1129" t="inlineStr">
        <is>
          <t>Block URL</t>
        </is>
      </c>
      <c r="W1129" t="inlineStr">
        <is>
          <t>https://urlhaus.abuse.ch/url/3786983/</t>
        </is>
      </c>
      <c r="X1129" t="inlineStr">
        <is>
          <t>NONE</t>
        </is>
      </c>
      <c r="Y1129" t="n">
        <v>0</v>
      </c>
      <c r="Z1129" t="inlineStr"/>
      <c r="AA1129" t="inlineStr">
        <is>
          <t>https://urlhaus.abuse.ch/url/3786983/</t>
        </is>
      </c>
    </row>
    <row r="1130">
      <c r="A1130" t="inlineStr">
        <is>
          <t>MAL_URL</t>
        </is>
      </c>
      <c r="B1130" t="inlineStr">
        <is>
          <t>3786984</t>
        </is>
      </c>
      <c r="C1130" t="inlineStr">
        <is>
          <t>Malware Host [online]: http://103.116.52.44/abc3.sh | Threat: malware_download | Tags: mirai,sh,ua-wget</t>
        </is>
      </c>
      <c r="D1130" t="n">
        <v>7.5</v>
      </c>
      <c r="E1130" t="inlineStr">
        <is>
          <t>HIGH</t>
        </is>
      </c>
      <c r="F1130" t="n">
        <v>3</v>
      </c>
      <c r="G1130" t="n">
        <v>2</v>
      </c>
      <c r="H1130" t="inlineStr">
        <is>
          <t>HIGH</t>
        </is>
      </c>
      <c r="I1130" t="n">
        <v>13.5</v>
      </c>
      <c r="J1130" t="inlineStr">
        <is>
          <t>NO</t>
        </is>
      </c>
      <c r="K1130" t="inlineStr">
        <is>
          <t>2026-02-27 17:25:17</t>
        </is>
      </c>
      <c r="L1130" t="inlineStr">
        <is>
          <t>Block URL</t>
        </is>
      </c>
      <c r="M1130" t="inlineStr">
        <is>
          <t>Network/Web Proxy</t>
        </is>
      </c>
      <c r="N1130" t="inlineStr">
        <is>
          <t>P3</t>
        </is>
      </c>
      <c r="O1130" t="inlineStr">
        <is>
          <t>URL IOC - check host IP separately</t>
        </is>
      </c>
      <c r="P1130" t="n">
        <v>0</v>
      </c>
      <c r="Q1130" t="n">
        <v>0</v>
      </c>
      <c r="R1130" t="inlineStr">
        <is>
          <t>T1189:Drive-by Compromise | T1566:Phishing</t>
        </is>
      </c>
      <c r="S1130" t="n">
        <v>1</v>
      </c>
      <c r="T1130" t="inlineStr">
        <is>
          <t>LOW (40%)</t>
        </is>
      </c>
      <c r="U1130" t="inlineStr">
        <is>
          <t>YES</t>
        </is>
      </c>
      <c r="V1130" t="inlineStr">
        <is>
          <t>Block URL</t>
        </is>
      </c>
      <c r="W1130" t="inlineStr">
        <is>
          <t>https://urlhaus.abuse.ch/url/3786984/</t>
        </is>
      </c>
      <c r="X1130" t="inlineStr">
        <is>
          <t>NONE</t>
        </is>
      </c>
      <c r="Y1130" t="n">
        <v>0</v>
      </c>
      <c r="Z1130" t="inlineStr"/>
      <c r="AA1130" t="inlineStr">
        <is>
          <t>https://urlhaus.abuse.ch/url/3786984/</t>
        </is>
      </c>
    </row>
    <row r="1131">
      <c r="A1131" t="inlineStr">
        <is>
          <t>MAL_URL</t>
        </is>
      </c>
      <c r="B1131" t="inlineStr">
        <is>
          <t>3786985</t>
        </is>
      </c>
      <c r="C1131" t="inlineStr">
        <is>
          <t>Malware Host [online]: http://103.116.52.44/abc2.sh | Threat: malware_download | Tags: mirai,sh,ua-wget</t>
        </is>
      </c>
      <c r="D1131" t="n">
        <v>7.5</v>
      </c>
      <c r="E1131" t="inlineStr">
        <is>
          <t>HIGH</t>
        </is>
      </c>
      <c r="F1131" t="n">
        <v>3</v>
      </c>
      <c r="G1131" t="n">
        <v>2</v>
      </c>
      <c r="H1131" t="inlineStr">
        <is>
          <t>HIGH</t>
        </is>
      </c>
      <c r="I1131" t="n">
        <v>13.5</v>
      </c>
      <c r="J1131" t="inlineStr">
        <is>
          <t>NO</t>
        </is>
      </c>
      <c r="K1131" t="inlineStr">
        <is>
          <t>2026-02-27 17:25:17</t>
        </is>
      </c>
      <c r="L1131" t="inlineStr">
        <is>
          <t>Block URL</t>
        </is>
      </c>
      <c r="M1131" t="inlineStr">
        <is>
          <t>Network/Web Proxy</t>
        </is>
      </c>
      <c r="N1131" t="inlineStr">
        <is>
          <t>P3</t>
        </is>
      </c>
      <c r="O1131" t="inlineStr">
        <is>
          <t>URL IOC - check host IP separately</t>
        </is>
      </c>
      <c r="P1131" t="n">
        <v>0</v>
      </c>
      <c r="Q1131" t="n">
        <v>0</v>
      </c>
      <c r="R1131" t="inlineStr">
        <is>
          <t>T1189:Drive-by Compromise | T1566:Phishing</t>
        </is>
      </c>
      <c r="S1131" t="n">
        <v>1</v>
      </c>
      <c r="T1131" t="inlineStr">
        <is>
          <t>LOW (40%)</t>
        </is>
      </c>
      <c r="U1131" t="inlineStr">
        <is>
          <t>YES</t>
        </is>
      </c>
      <c r="V1131" t="inlineStr">
        <is>
          <t>Block URL</t>
        </is>
      </c>
      <c r="W1131" t="inlineStr">
        <is>
          <t>https://urlhaus.abuse.ch/url/3786985/</t>
        </is>
      </c>
      <c r="X1131" t="inlineStr">
        <is>
          <t>NONE</t>
        </is>
      </c>
      <c r="Y1131" t="n">
        <v>0</v>
      </c>
      <c r="Z1131" t="inlineStr"/>
      <c r="AA1131" t="inlineStr">
        <is>
          <t>https://urlhaus.abuse.ch/url/3786985/</t>
        </is>
      </c>
    </row>
    <row r="1132">
      <c r="A1132" t="inlineStr">
        <is>
          <t>MAL_URL</t>
        </is>
      </c>
      <c r="B1132" t="inlineStr">
        <is>
          <t>3786981</t>
        </is>
      </c>
      <c r="C1132" t="inlineStr">
        <is>
          <t>Malware Host [online]: http://103.116.52.44/debug.dbg | Threat: malware_download | Tags: elf,mirai,ua-wget</t>
        </is>
      </c>
      <c r="D1132" t="n">
        <v>7.5</v>
      </c>
      <c r="E1132" t="inlineStr">
        <is>
          <t>HIGH</t>
        </is>
      </c>
      <c r="F1132" t="n">
        <v>3</v>
      </c>
      <c r="G1132" t="n">
        <v>2</v>
      </c>
      <c r="H1132" t="inlineStr">
        <is>
          <t>HIGH</t>
        </is>
      </c>
      <c r="I1132" t="n">
        <v>13.5</v>
      </c>
      <c r="J1132" t="inlineStr">
        <is>
          <t>NO</t>
        </is>
      </c>
      <c r="K1132" t="inlineStr">
        <is>
          <t>2026-02-27 17:25:16</t>
        </is>
      </c>
      <c r="L1132" t="inlineStr">
        <is>
          <t>Block URL</t>
        </is>
      </c>
      <c r="M1132" t="inlineStr">
        <is>
          <t>Network/Web Proxy</t>
        </is>
      </c>
      <c r="N1132" t="inlineStr">
        <is>
          <t>P3</t>
        </is>
      </c>
      <c r="O1132" t="inlineStr">
        <is>
          <t>URL IOC - check host IP separately</t>
        </is>
      </c>
      <c r="P1132" t="n">
        <v>0</v>
      </c>
      <c r="Q1132" t="n">
        <v>0</v>
      </c>
      <c r="R1132" t="inlineStr">
        <is>
          <t>T1189:Drive-by Compromise | T1566:Phishing</t>
        </is>
      </c>
      <c r="S1132" t="n">
        <v>1</v>
      </c>
      <c r="T1132" t="inlineStr">
        <is>
          <t>LOW (40%)</t>
        </is>
      </c>
      <c r="U1132" t="inlineStr">
        <is>
          <t>YES</t>
        </is>
      </c>
      <c r="V1132" t="inlineStr">
        <is>
          <t>Block URL</t>
        </is>
      </c>
      <c r="W1132" t="inlineStr">
        <is>
          <t>https://urlhaus.abuse.ch/url/3786981/</t>
        </is>
      </c>
      <c r="X1132" t="inlineStr">
        <is>
          <t>NONE</t>
        </is>
      </c>
      <c r="Y1132" t="n">
        <v>0</v>
      </c>
      <c r="Z1132" t="inlineStr"/>
      <c r="AA1132" t="inlineStr">
        <is>
          <t>https://urlhaus.abuse.ch/url/3786981/</t>
        </is>
      </c>
    </row>
    <row r="1133">
      <c r="A1133" t="inlineStr">
        <is>
          <t>MAL_URL</t>
        </is>
      </c>
      <c r="B1133" t="inlineStr">
        <is>
          <t>3786980</t>
        </is>
      </c>
      <c r="C1133" t="inlineStr">
        <is>
          <t>Malware Host [online]: https://eyasinarafat.com/wp-admin/js/opkarig.txt | Threat: malware_download | Tags: ascii,PhantomStealer</t>
        </is>
      </c>
      <c r="D1133" t="n">
        <v>7.5</v>
      </c>
      <c r="E1133" t="inlineStr">
        <is>
          <t>HIGH</t>
        </is>
      </c>
      <c r="F1133" t="n">
        <v>3</v>
      </c>
      <c r="G1133" t="n">
        <v>2</v>
      </c>
      <c r="H1133" t="inlineStr">
        <is>
          <t>HIGH</t>
        </is>
      </c>
      <c r="I1133" t="n">
        <v>13.5</v>
      </c>
      <c r="J1133" t="inlineStr">
        <is>
          <t>NO</t>
        </is>
      </c>
      <c r="K1133" t="inlineStr">
        <is>
          <t>2026-02-27 17:25:09</t>
        </is>
      </c>
      <c r="L1133" t="inlineStr">
        <is>
          <t>Block URL</t>
        </is>
      </c>
      <c r="M1133" t="inlineStr">
        <is>
          <t>Network/Web Proxy</t>
        </is>
      </c>
      <c r="N1133" t="inlineStr">
        <is>
          <t>P3</t>
        </is>
      </c>
      <c r="O1133" t="inlineStr">
        <is>
          <t>URL IOC - check host IP separately</t>
        </is>
      </c>
      <c r="P1133" t="n">
        <v>0</v>
      </c>
      <c r="Q1133" t="n">
        <v>0</v>
      </c>
      <c r="R1133" t="inlineStr">
        <is>
          <t>T1189:Drive-by Compromise | T1566:Phishing</t>
        </is>
      </c>
      <c r="S1133" t="n">
        <v>1</v>
      </c>
      <c r="T1133" t="inlineStr">
        <is>
          <t>LOW (40%)</t>
        </is>
      </c>
      <c r="U1133" t="inlineStr">
        <is>
          <t>YES</t>
        </is>
      </c>
      <c r="V1133" t="inlineStr">
        <is>
          <t>Block URL</t>
        </is>
      </c>
      <c r="W1133" t="inlineStr">
        <is>
          <t>https://urlhaus.abuse.ch/url/3786980/</t>
        </is>
      </c>
      <c r="X1133" t="inlineStr">
        <is>
          <t>NONE</t>
        </is>
      </c>
      <c r="Y1133" t="n">
        <v>0</v>
      </c>
      <c r="Z1133" t="inlineStr"/>
      <c r="AA1133" t="inlineStr">
        <is>
          <t>https://urlhaus.abuse.ch/url/3786980/</t>
        </is>
      </c>
    </row>
    <row r="1134">
      <c r="A1134" t="inlineStr">
        <is>
          <t>MAL_URL</t>
        </is>
      </c>
      <c r="B1134" t="inlineStr">
        <is>
          <t>3786979</t>
        </is>
      </c>
      <c r="C1134" t="inlineStr">
        <is>
          <t>Malware Host [online]: http://42.231.92.19:51879/i | Threat: malware_download | Tags: 32-bit,elf,mips,Mozi</t>
        </is>
      </c>
      <c r="D1134" t="n">
        <v>7.5</v>
      </c>
      <c r="E1134" t="inlineStr">
        <is>
          <t>HIGH</t>
        </is>
      </c>
      <c r="F1134" t="n">
        <v>3</v>
      </c>
      <c r="G1134" t="n">
        <v>2</v>
      </c>
      <c r="H1134" t="inlineStr">
        <is>
          <t>HIGH</t>
        </is>
      </c>
      <c r="I1134" t="n">
        <v>13.5</v>
      </c>
      <c r="J1134" t="inlineStr">
        <is>
          <t>NO</t>
        </is>
      </c>
      <c r="K1134" t="inlineStr">
        <is>
          <t>2026-02-27 17:24:18</t>
        </is>
      </c>
      <c r="L1134" t="inlineStr">
        <is>
          <t>Block URL</t>
        </is>
      </c>
      <c r="M1134" t="inlineStr">
        <is>
          <t>Network/Web Proxy</t>
        </is>
      </c>
      <c r="N1134" t="inlineStr">
        <is>
          <t>P3</t>
        </is>
      </c>
      <c r="O1134" t="inlineStr">
        <is>
          <t>URL IOC - check host IP separately</t>
        </is>
      </c>
      <c r="P1134" t="n">
        <v>0</v>
      </c>
      <c r="Q1134" t="n">
        <v>0</v>
      </c>
      <c r="R1134" t="inlineStr">
        <is>
          <t>T1189:Drive-by Compromise | T1566:Phishing</t>
        </is>
      </c>
      <c r="S1134" t="n">
        <v>1</v>
      </c>
      <c r="T1134" t="inlineStr">
        <is>
          <t>LOW (40%)</t>
        </is>
      </c>
      <c r="U1134" t="inlineStr">
        <is>
          <t>YES</t>
        </is>
      </c>
      <c r="V1134" t="inlineStr">
        <is>
          <t>Block URL</t>
        </is>
      </c>
      <c r="W1134" t="inlineStr">
        <is>
          <t>https://urlhaus.abuse.ch/url/3786979/</t>
        </is>
      </c>
      <c r="X1134" t="inlineStr">
        <is>
          <t>NONE</t>
        </is>
      </c>
      <c r="Y1134" t="n">
        <v>0</v>
      </c>
      <c r="Z1134" t="inlineStr"/>
      <c r="AA1134" t="inlineStr">
        <is>
          <t>https://urlhaus.abuse.ch/url/3786979/</t>
        </is>
      </c>
    </row>
    <row r="1135">
      <c r="A1135" t="inlineStr">
        <is>
          <t>MAL_URL</t>
        </is>
      </c>
      <c r="B1135" t="inlineStr">
        <is>
          <t>3786977</t>
        </is>
      </c>
      <c r="C1135" t="inlineStr">
        <is>
          <t>Malware Host [offline]: https://pastefy.app/sLC7Jpkp/raw | Threat: malware_download | Tags: VIPKeylogger</t>
        </is>
      </c>
      <c r="D1135" t="n">
        <v>7.5</v>
      </c>
      <c r="E1135" t="inlineStr">
        <is>
          <t>HIGH</t>
        </is>
      </c>
      <c r="F1135" t="n">
        <v>3</v>
      </c>
      <c r="G1135" t="n">
        <v>2</v>
      </c>
      <c r="H1135" t="inlineStr">
        <is>
          <t>HIGH</t>
        </is>
      </c>
      <c r="I1135" t="n">
        <v>13.5</v>
      </c>
      <c r="J1135" t="inlineStr">
        <is>
          <t>NO</t>
        </is>
      </c>
      <c r="K1135" t="inlineStr">
        <is>
          <t>2026-02-27 17:23:11</t>
        </is>
      </c>
      <c r="L1135" t="inlineStr">
        <is>
          <t>Block URL</t>
        </is>
      </c>
      <c r="M1135" t="inlineStr">
        <is>
          <t>Network/Web Proxy</t>
        </is>
      </c>
      <c r="N1135" t="inlineStr">
        <is>
          <t>P3</t>
        </is>
      </c>
      <c r="O1135" t="inlineStr">
        <is>
          <t>URL IOC - check host IP separately</t>
        </is>
      </c>
      <c r="P1135" t="n">
        <v>0</v>
      </c>
      <c r="Q1135" t="n">
        <v>0</v>
      </c>
      <c r="R1135" t="inlineStr">
        <is>
          <t>T1189:Drive-by Compromise | T1566:Phishing</t>
        </is>
      </c>
      <c r="S1135" t="n">
        <v>1</v>
      </c>
      <c r="T1135" t="inlineStr">
        <is>
          <t>LOW (40%)</t>
        </is>
      </c>
      <c r="U1135" t="inlineStr">
        <is>
          <t>YES</t>
        </is>
      </c>
      <c r="V1135" t="inlineStr">
        <is>
          <t>Block URL</t>
        </is>
      </c>
      <c r="W1135" t="inlineStr">
        <is>
          <t>https://urlhaus.abuse.ch/url/3786977/</t>
        </is>
      </c>
      <c r="X1135" t="inlineStr">
        <is>
          <t>NONE</t>
        </is>
      </c>
      <c r="Y1135" t="n">
        <v>0</v>
      </c>
      <c r="Z1135" t="inlineStr"/>
      <c r="AA1135" t="inlineStr">
        <is>
          <t>https://urlhaus.abuse.ch/url/3786977/</t>
        </is>
      </c>
    </row>
    <row r="1136">
      <c r="A1136" t="inlineStr">
        <is>
          <t>MAL_URL</t>
        </is>
      </c>
      <c r="B1136" t="inlineStr">
        <is>
          <t>3786978</t>
        </is>
      </c>
      <c r="C1136" t="inlineStr">
        <is>
          <t>Malware Host [online]: http://fil.ydns.eu/wkijh/FnIeaoI.txt | Threat: malware_download | Tags: VIPKeylogger</t>
        </is>
      </c>
      <c r="D1136" t="n">
        <v>7.5</v>
      </c>
      <c r="E1136" t="inlineStr">
        <is>
          <t>HIGH</t>
        </is>
      </c>
      <c r="F1136" t="n">
        <v>3</v>
      </c>
      <c r="G1136" t="n">
        <v>2</v>
      </c>
      <c r="H1136" t="inlineStr">
        <is>
          <t>HIGH</t>
        </is>
      </c>
      <c r="I1136" t="n">
        <v>13.5</v>
      </c>
      <c r="J1136" t="inlineStr">
        <is>
          <t>NO</t>
        </is>
      </c>
      <c r="K1136" t="inlineStr">
        <is>
          <t>2026-02-27 17:23:11</t>
        </is>
      </c>
      <c r="L1136" t="inlineStr">
        <is>
          <t>Block URL</t>
        </is>
      </c>
      <c r="M1136" t="inlineStr">
        <is>
          <t>Network/Web Proxy</t>
        </is>
      </c>
      <c r="N1136" t="inlineStr">
        <is>
          <t>P3</t>
        </is>
      </c>
      <c r="O1136" t="inlineStr">
        <is>
          <t>URL IOC - check host IP separately</t>
        </is>
      </c>
      <c r="P1136" t="n">
        <v>0</v>
      </c>
      <c r="Q1136" t="n">
        <v>0</v>
      </c>
      <c r="R1136" t="inlineStr">
        <is>
          <t>T1189:Drive-by Compromise | T1566:Phishing</t>
        </is>
      </c>
      <c r="S1136" t="n">
        <v>1</v>
      </c>
      <c r="T1136" t="inlineStr">
        <is>
          <t>LOW (40%)</t>
        </is>
      </c>
      <c r="U1136" t="inlineStr">
        <is>
          <t>YES</t>
        </is>
      </c>
      <c r="V1136" t="inlineStr">
        <is>
          <t>Block URL</t>
        </is>
      </c>
      <c r="W1136" t="inlineStr">
        <is>
          <t>https://urlhaus.abuse.ch/url/3786978/</t>
        </is>
      </c>
      <c r="X1136" t="inlineStr">
        <is>
          <t>NONE</t>
        </is>
      </c>
      <c r="Y1136" t="n">
        <v>0</v>
      </c>
      <c r="Z1136" t="inlineStr"/>
      <c r="AA1136" t="inlineStr">
        <is>
          <t>https://urlhaus.abuse.ch/url/3786978/</t>
        </is>
      </c>
    </row>
    <row r="1137">
      <c r="A1137" t="inlineStr">
        <is>
          <t>MAL_URL</t>
        </is>
      </c>
      <c r="B1137" t="inlineStr">
        <is>
          <t>3786976</t>
        </is>
      </c>
      <c r="C1137" t="inlineStr">
        <is>
          <t>Malware Host [offline]: https://yaso.su/raw/UpxC8OJX | Threat: malware_download | Tags: VIPKeylogger</t>
        </is>
      </c>
      <c r="D1137" t="n">
        <v>7.5</v>
      </c>
      <c r="E1137" t="inlineStr">
        <is>
          <t>HIGH</t>
        </is>
      </c>
      <c r="F1137" t="n">
        <v>3</v>
      </c>
      <c r="G1137" t="n">
        <v>2</v>
      </c>
      <c r="H1137" t="inlineStr">
        <is>
          <t>HIGH</t>
        </is>
      </c>
      <c r="I1137" t="n">
        <v>13.5</v>
      </c>
      <c r="J1137" t="inlineStr">
        <is>
          <t>NO</t>
        </is>
      </c>
      <c r="K1137" t="inlineStr">
        <is>
          <t>2026-02-27 17:23:10</t>
        </is>
      </c>
      <c r="L1137" t="inlineStr">
        <is>
          <t>Block URL</t>
        </is>
      </c>
      <c r="M1137" t="inlineStr">
        <is>
          <t>Network/Web Proxy</t>
        </is>
      </c>
      <c r="N1137" t="inlineStr">
        <is>
          <t>P3</t>
        </is>
      </c>
      <c r="O1137" t="inlineStr">
        <is>
          <t>URL IOC - check host IP separately</t>
        </is>
      </c>
      <c r="P1137" t="n">
        <v>0</v>
      </c>
      <c r="Q1137" t="n">
        <v>0</v>
      </c>
      <c r="R1137" t="inlineStr">
        <is>
          <t>T1189:Drive-by Compromise | T1566:Phishing</t>
        </is>
      </c>
      <c r="S1137" t="n">
        <v>1</v>
      </c>
      <c r="T1137" t="inlineStr">
        <is>
          <t>LOW (40%)</t>
        </is>
      </c>
      <c r="U1137" t="inlineStr">
        <is>
          <t>YES</t>
        </is>
      </c>
      <c r="V1137" t="inlineStr">
        <is>
          <t>Block URL</t>
        </is>
      </c>
      <c r="W1137" t="inlineStr">
        <is>
          <t>https://urlhaus.abuse.ch/url/3786976/</t>
        </is>
      </c>
      <c r="X1137" t="inlineStr">
        <is>
          <t>NONE</t>
        </is>
      </c>
      <c r="Y1137" t="n">
        <v>0</v>
      </c>
      <c r="Z1137" t="inlineStr"/>
      <c r="AA1137" t="inlineStr">
        <is>
          <t>https://urlhaus.abuse.ch/url/3786976/</t>
        </is>
      </c>
    </row>
    <row r="1138">
      <c r="A1138" t="inlineStr">
        <is>
          <t>PHISH</t>
        </is>
      </c>
      <c r="B1138" t="inlineStr"/>
      <c r="C1138" t="inlineStr">
        <is>
          <t>Phishing site targeting: www.re11133.vercel.app | URL: http://www.re11133.vercel.app/</t>
        </is>
      </c>
      <c r="D1138" t="n">
        <v>6</v>
      </c>
      <c r="E1138" t="inlineStr">
        <is>
          <t>MEDIUM</t>
        </is>
      </c>
      <c r="F1138" t="n">
        <v>3</v>
      </c>
      <c r="G1138" t="n">
        <v>1</v>
      </c>
      <c r="H1138" t="inlineStr">
        <is>
          <t>MEDIUM</t>
        </is>
      </c>
      <c r="I1138" t="n">
        <v>9</v>
      </c>
      <c r="J1138" t="inlineStr">
        <is>
          <t>NO</t>
        </is>
      </c>
      <c r="K1138" t="inlineStr">
        <is>
          <t>2026-02-27T18:17:32+00:00</t>
        </is>
      </c>
      <c r="L1138" t="inlineStr">
        <is>
          <t>Block URL</t>
        </is>
      </c>
      <c r="M1138" t="inlineStr">
        <is>
          <t>Email users / www.re11133.vercel.app</t>
        </is>
      </c>
      <c r="N1138" t="inlineStr">
        <is>
          <t>P4</t>
        </is>
      </c>
      <c r="O1138" t="inlineStr">
        <is>
          <t>Phishing URL</t>
        </is>
      </c>
      <c r="P1138" t="n">
        <v>0</v>
      </c>
      <c r="Q1138" t="n">
        <v>0</v>
      </c>
      <c r="R1138" t="inlineStr">
        <is>
          <t>T1566:Phishing | T1566.002:Spearphishing Link</t>
        </is>
      </c>
      <c r="S1138" t="n">
        <v>1</v>
      </c>
      <c r="T1138" t="inlineStr">
        <is>
          <t>LOW (40%)</t>
        </is>
      </c>
      <c r="U1138" t="inlineStr">
        <is>
          <t>NONE</t>
        </is>
      </c>
      <c r="V1138" t="inlineStr">
        <is>
          <t>NONE</t>
        </is>
      </c>
      <c r="W1138" t="inlineStr">
        <is>
          <t>http://www.re11133.vercel.app/</t>
        </is>
      </c>
      <c r="X1138" t="inlineStr">
        <is>
          <t>NONE</t>
        </is>
      </c>
      <c r="Y1138" t="n">
        <v>0</v>
      </c>
      <c r="Z1138" t="inlineStr"/>
      <c r="AA1138" t="inlineStr">
        <is>
          <t>http://www.re11133.vercel.app/</t>
        </is>
      </c>
    </row>
    <row r="1139">
      <c r="A1139" t="inlineStr">
        <is>
          <t>PHISH</t>
        </is>
      </c>
      <c r="B1139" t="inlineStr"/>
      <c r="C1139" t="inlineStr">
        <is>
          <t>Phishing site targeting: admin2.ondoc.co.kr | URL: https://admin2.ondoc.co.kr/vxgo4kiuum3baoChromepublicfari537.html?eta=3mail@a.b.c0</t>
        </is>
      </c>
      <c r="D1139" t="n">
        <v>6</v>
      </c>
      <c r="E1139" t="inlineStr">
        <is>
          <t>MEDIUM</t>
        </is>
      </c>
      <c r="F1139" t="n">
        <v>3</v>
      </c>
      <c r="G1139" t="n">
        <v>1</v>
      </c>
      <c r="H1139" t="inlineStr">
        <is>
          <t>MEDIUM</t>
        </is>
      </c>
      <c r="I1139" t="n">
        <v>9</v>
      </c>
      <c r="J1139" t="inlineStr">
        <is>
          <t>NO</t>
        </is>
      </c>
      <c r="K1139" t="inlineStr">
        <is>
          <t>2026-02-27T18:17:32+00:00</t>
        </is>
      </c>
      <c r="L1139" t="inlineStr">
        <is>
          <t>Block URL</t>
        </is>
      </c>
      <c r="M1139" t="inlineStr">
        <is>
          <t>Email users / admin2.ondoc.co.kr</t>
        </is>
      </c>
      <c r="N1139" t="inlineStr">
        <is>
          <t>P4</t>
        </is>
      </c>
      <c r="O1139" t="inlineStr">
        <is>
          <t>Phishing URL</t>
        </is>
      </c>
      <c r="P1139" t="n">
        <v>0</v>
      </c>
      <c r="Q1139" t="n">
        <v>0</v>
      </c>
      <c r="R1139" t="inlineStr">
        <is>
          <t>T1566:Phishing | T1566.002:Spearphishing Link</t>
        </is>
      </c>
      <c r="S1139" t="n">
        <v>1</v>
      </c>
      <c r="T1139" t="inlineStr">
        <is>
          <t>LOW (40%)</t>
        </is>
      </c>
      <c r="U1139" t="inlineStr">
        <is>
          <t>NONE</t>
        </is>
      </c>
      <c r="V1139" t="inlineStr">
        <is>
          <t>NONE</t>
        </is>
      </c>
      <c r="W1139" t="inlineStr">
        <is>
          <t>https://admin2.ondoc.co.kr/vxgo4kiuum3baoChromepublicfari537.html?eta=3mail@a.b.c0</t>
        </is>
      </c>
      <c r="X1139" t="inlineStr">
        <is>
          <t>NONE</t>
        </is>
      </c>
      <c r="Y1139" t="n">
        <v>0</v>
      </c>
      <c r="Z1139" t="inlineStr"/>
      <c r="AA1139" t="inlineStr">
        <is>
          <t>https://admin2.ondoc.co.kr/vxgo4kiuum3baoChromepublicfari537.html?eta=3mail@a.b.c0</t>
        </is>
      </c>
    </row>
    <row r="1140">
      <c r="A1140" t="inlineStr">
        <is>
          <t>PHISH</t>
        </is>
      </c>
      <c r="B1140" t="inlineStr"/>
      <c r="C1140" t="inlineStr">
        <is>
          <t>Phishing site targeting: pub-8c1be1f2764c443096fe5ba20d7802b5.r2.dev | URL: http://pub-8c1be1f2764c443096fe5ba20d7802b5.r2.dev/index.html</t>
        </is>
      </c>
      <c r="D1140" t="n">
        <v>6</v>
      </c>
      <c r="E1140" t="inlineStr">
        <is>
          <t>MEDIUM</t>
        </is>
      </c>
      <c r="F1140" t="n">
        <v>3</v>
      </c>
      <c r="G1140" t="n">
        <v>1</v>
      </c>
      <c r="H1140" t="inlineStr">
        <is>
          <t>MEDIUM</t>
        </is>
      </c>
      <c r="I1140" t="n">
        <v>9</v>
      </c>
      <c r="J1140" t="inlineStr">
        <is>
          <t>NO</t>
        </is>
      </c>
      <c r="K1140" t="inlineStr">
        <is>
          <t>2026-02-27T18:17:32+00:00</t>
        </is>
      </c>
      <c r="L1140" t="inlineStr">
        <is>
          <t>Block URL</t>
        </is>
      </c>
      <c r="M1140" t="inlineStr">
        <is>
          <t>Email users / pub-8c1be1f2764c443096fe5ba20d7802b5.r2.dev</t>
        </is>
      </c>
      <c r="N1140" t="inlineStr">
        <is>
          <t>P4</t>
        </is>
      </c>
      <c r="O1140" t="inlineStr">
        <is>
          <t>Phishing URL</t>
        </is>
      </c>
      <c r="P1140" t="n">
        <v>0</v>
      </c>
      <c r="Q1140" t="n">
        <v>0</v>
      </c>
      <c r="R1140" t="inlineStr">
        <is>
          <t>T1566:Phishing | T1566.002:Spearphishing Link</t>
        </is>
      </c>
      <c r="S1140" t="n">
        <v>1</v>
      </c>
      <c r="T1140" t="inlineStr">
        <is>
          <t>LOW (40%)</t>
        </is>
      </c>
      <c r="U1140" t="inlineStr">
        <is>
          <t>NONE</t>
        </is>
      </c>
      <c r="V1140" t="inlineStr">
        <is>
          <t>NONE</t>
        </is>
      </c>
      <c r="W1140" t="inlineStr">
        <is>
          <t>http://pub-8c1be1f2764c443096fe5ba20d7802b5.r2.dev/index.html</t>
        </is>
      </c>
      <c r="X1140" t="inlineStr">
        <is>
          <t>NONE</t>
        </is>
      </c>
      <c r="Y1140" t="n">
        <v>0</v>
      </c>
      <c r="Z1140" t="inlineStr"/>
      <c r="AA1140" t="inlineStr">
        <is>
          <t>http://pub-8c1be1f2764c443096fe5ba20d7802b5.r2.dev/index.html</t>
        </is>
      </c>
    </row>
    <row r="1141">
      <c r="A1141" t="inlineStr">
        <is>
          <t>PHISH</t>
        </is>
      </c>
      <c r="B1141" t="inlineStr"/>
      <c r="C1141" t="inlineStr">
        <is>
          <t>Phishing site targeting: www.airbnb-demo-jade.vercel.app | URL: http://www.airbnb-demo-jade.vercel.app/</t>
        </is>
      </c>
      <c r="D1141" t="n">
        <v>6</v>
      </c>
      <c r="E1141" t="inlineStr">
        <is>
          <t>MEDIUM</t>
        </is>
      </c>
      <c r="F1141" t="n">
        <v>3</v>
      </c>
      <c r="G1141" t="n">
        <v>1</v>
      </c>
      <c r="H1141" t="inlineStr">
        <is>
          <t>MEDIUM</t>
        </is>
      </c>
      <c r="I1141" t="n">
        <v>9</v>
      </c>
      <c r="J1141" t="inlineStr">
        <is>
          <t>NO</t>
        </is>
      </c>
      <c r="K1141" t="inlineStr">
        <is>
          <t>2026-02-27T18:17:32+00:00</t>
        </is>
      </c>
      <c r="L1141" t="inlineStr">
        <is>
          <t>Block URL</t>
        </is>
      </c>
      <c r="M1141" t="inlineStr">
        <is>
          <t>Email users / www.airbnb-demo-jade.vercel.app</t>
        </is>
      </c>
      <c r="N1141" t="inlineStr">
        <is>
          <t>P4</t>
        </is>
      </c>
      <c r="O1141" t="inlineStr">
        <is>
          <t>Phishing URL</t>
        </is>
      </c>
      <c r="P1141" t="n">
        <v>0</v>
      </c>
      <c r="Q1141" t="n">
        <v>0</v>
      </c>
      <c r="R1141" t="inlineStr">
        <is>
          <t>T1566:Phishing | T1566.002:Spearphishing Link</t>
        </is>
      </c>
      <c r="S1141" t="n">
        <v>1</v>
      </c>
      <c r="T1141" t="inlineStr">
        <is>
          <t>LOW (40%)</t>
        </is>
      </c>
      <c r="U1141" t="inlineStr">
        <is>
          <t>NONE</t>
        </is>
      </c>
      <c r="V1141" t="inlineStr">
        <is>
          <t>NONE</t>
        </is>
      </c>
      <c r="W1141" t="inlineStr">
        <is>
          <t>http://www.airbnb-demo-jade.vercel.app/</t>
        </is>
      </c>
      <c r="X1141" t="inlineStr">
        <is>
          <t>NONE</t>
        </is>
      </c>
      <c r="Y1141" t="n">
        <v>0</v>
      </c>
      <c r="Z1141" t="inlineStr"/>
      <c r="AA1141" t="inlineStr">
        <is>
          <t>http://www.airbnb-demo-jade.vercel.app/</t>
        </is>
      </c>
    </row>
    <row r="1142">
      <c r="A1142" t="inlineStr">
        <is>
          <t>PHISH</t>
        </is>
      </c>
      <c r="B1142" t="inlineStr"/>
      <c r="C1142" t="inlineStr">
        <is>
          <t>Phishing site targeting: www.5mp.eu | URL: https://www.5mp.eu/fajlok2/email/index_www.5mp.eu_.html</t>
        </is>
      </c>
      <c r="D1142" t="n">
        <v>6</v>
      </c>
      <c r="E1142" t="inlineStr">
        <is>
          <t>MEDIUM</t>
        </is>
      </c>
      <c r="F1142" t="n">
        <v>3</v>
      </c>
      <c r="G1142" t="n">
        <v>1</v>
      </c>
      <c r="H1142" t="inlineStr">
        <is>
          <t>MEDIUM</t>
        </is>
      </c>
      <c r="I1142" t="n">
        <v>9</v>
      </c>
      <c r="J1142" t="inlineStr">
        <is>
          <t>NO</t>
        </is>
      </c>
      <c r="K1142" t="inlineStr">
        <is>
          <t>2026-02-27T18:17:32+00:00</t>
        </is>
      </c>
      <c r="L1142" t="inlineStr">
        <is>
          <t>Block URL</t>
        </is>
      </c>
      <c r="M1142" t="inlineStr">
        <is>
          <t>Email users / www.5mp.eu</t>
        </is>
      </c>
      <c r="N1142" t="inlineStr">
        <is>
          <t>P4</t>
        </is>
      </c>
      <c r="O1142" t="inlineStr">
        <is>
          <t>Phishing URL</t>
        </is>
      </c>
      <c r="P1142" t="n">
        <v>0</v>
      </c>
      <c r="Q1142" t="n">
        <v>0</v>
      </c>
      <c r="R1142" t="inlineStr">
        <is>
          <t>T1566:Phishing | T1566.002:Spearphishing Link</t>
        </is>
      </c>
      <c r="S1142" t="n">
        <v>1</v>
      </c>
      <c r="T1142" t="inlineStr">
        <is>
          <t>LOW (40%)</t>
        </is>
      </c>
      <c r="U1142" t="inlineStr">
        <is>
          <t>NONE</t>
        </is>
      </c>
      <c r="V1142" t="inlineStr">
        <is>
          <t>NONE</t>
        </is>
      </c>
      <c r="W1142" t="inlineStr">
        <is>
          <t>https://www.5mp.eu/fajlok2/email/index_www.5mp.eu_.html</t>
        </is>
      </c>
      <c r="X1142" t="inlineStr">
        <is>
          <t>NONE</t>
        </is>
      </c>
      <c r="Y1142" t="n">
        <v>0</v>
      </c>
      <c r="Z1142" t="inlineStr"/>
      <c r="AA1142" t="inlineStr">
        <is>
          <t>https://www.5mp.eu/fajlok2/email/index_www.5mp.eu_.html</t>
        </is>
      </c>
    </row>
    <row r="1143">
      <c r="A1143" t="inlineStr">
        <is>
          <t>PHISH</t>
        </is>
      </c>
      <c r="B1143" t="inlineStr"/>
      <c r="C1143" t="inlineStr">
        <is>
          <t>Phishing site targeting: robl.vercel.app | URL: http://robl.vercel.app/</t>
        </is>
      </c>
      <c r="D1143" t="n">
        <v>6</v>
      </c>
      <c r="E1143" t="inlineStr">
        <is>
          <t>MEDIUM</t>
        </is>
      </c>
      <c r="F1143" t="n">
        <v>3</v>
      </c>
      <c r="G1143" t="n">
        <v>1</v>
      </c>
      <c r="H1143" t="inlineStr">
        <is>
          <t>MEDIUM</t>
        </is>
      </c>
      <c r="I1143" t="n">
        <v>9</v>
      </c>
      <c r="J1143" t="inlineStr">
        <is>
          <t>NO</t>
        </is>
      </c>
      <c r="K1143" t="inlineStr">
        <is>
          <t>2026-02-27T18:17:32+00:00</t>
        </is>
      </c>
      <c r="L1143" t="inlineStr">
        <is>
          <t>Block URL</t>
        </is>
      </c>
      <c r="M1143" t="inlineStr">
        <is>
          <t>Email users / robl.vercel.app</t>
        </is>
      </c>
      <c r="N1143" t="inlineStr">
        <is>
          <t>P4</t>
        </is>
      </c>
      <c r="O1143" t="inlineStr">
        <is>
          <t>Phishing URL</t>
        </is>
      </c>
      <c r="P1143" t="n">
        <v>0</v>
      </c>
      <c r="Q1143" t="n">
        <v>0</v>
      </c>
      <c r="R1143" t="inlineStr">
        <is>
          <t>T1566:Phishing | T1566.002:Spearphishing Link</t>
        </is>
      </c>
      <c r="S1143" t="n">
        <v>1</v>
      </c>
      <c r="T1143" t="inlineStr">
        <is>
          <t>LOW (40%)</t>
        </is>
      </c>
      <c r="U1143" t="inlineStr">
        <is>
          <t>NONE</t>
        </is>
      </c>
      <c r="V1143" t="inlineStr">
        <is>
          <t>NONE</t>
        </is>
      </c>
      <c r="W1143" t="inlineStr">
        <is>
          <t>http://robl.vercel.app/</t>
        </is>
      </c>
      <c r="X1143" t="inlineStr">
        <is>
          <t>NONE</t>
        </is>
      </c>
      <c r="Y1143" t="n">
        <v>0</v>
      </c>
      <c r="Z1143" t="inlineStr"/>
      <c r="AA1143" t="inlineStr">
        <is>
          <t>http://robl.vercel.app/</t>
        </is>
      </c>
    </row>
    <row r="1144">
      <c r="A1144" t="inlineStr">
        <is>
          <t>PHISH</t>
        </is>
      </c>
      <c r="B1144" t="inlineStr"/>
      <c r="C1144" t="inlineStr">
        <is>
          <t>Phishing site targeting: easy-bank-code.vercel.app | URL: http://easy-bank-code.vercel.app/</t>
        </is>
      </c>
      <c r="D1144" t="n">
        <v>6</v>
      </c>
      <c r="E1144" t="inlineStr">
        <is>
          <t>MEDIUM</t>
        </is>
      </c>
      <c r="F1144" t="n">
        <v>3</v>
      </c>
      <c r="G1144" t="n">
        <v>1</v>
      </c>
      <c r="H1144" t="inlineStr">
        <is>
          <t>MEDIUM</t>
        </is>
      </c>
      <c r="I1144" t="n">
        <v>9</v>
      </c>
      <c r="J1144" t="inlineStr">
        <is>
          <t>NO</t>
        </is>
      </c>
      <c r="K1144" t="inlineStr">
        <is>
          <t>2026-02-27T18:17:32+00:00</t>
        </is>
      </c>
      <c r="L1144" t="inlineStr">
        <is>
          <t>Block URL</t>
        </is>
      </c>
      <c r="M1144" t="inlineStr">
        <is>
          <t>Email users / easy-bank-code.vercel.app</t>
        </is>
      </c>
      <c r="N1144" t="inlineStr">
        <is>
          <t>P4</t>
        </is>
      </c>
      <c r="O1144" t="inlineStr">
        <is>
          <t>Phishing URL</t>
        </is>
      </c>
      <c r="P1144" t="n">
        <v>0</v>
      </c>
      <c r="Q1144" t="n">
        <v>0</v>
      </c>
      <c r="R1144" t="inlineStr">
        <is>
          <t>T1566:Phishing | T1566.002:Spearphishing Link</t>
        </is>
      </c>
      <c r="S1144" t="n">
        <v>1</v>
      </c>
      <c r="T1144" t="inlineStr">
        <is>
          <t>LOW (40%)</t>
        </is>
      </c>
      <c r="U1144" t="inlineStr">
        <is>
          <t>NONE</t>
        </is>
      </c>
      <c r="V1144" t="inlineStr">
        <is>
          <t>NONE</t>
        </is>
      </c>
      <c r="W1144" t="inlineStr">
        <is>
          <t>http://easy-bank-code.vercel.app/</t>
        </is>
      </c>
      <c r="X1144" t="inlineStr">
        <is>
          <t>NONE</t>
        </is>
      </c>
      <c r="Y1144" t="n">
        <v>0</v>
      </c>
      <c r="Z1144" t="inlineStr"/>
      <c r="AA1144" t="inlineStr">
        <is>
          <t>http://easy-bank-code.vercel.app/</t>
        </is>
      </c>
    </row>
    <row r="1145">
      <c r="A1145" t="inlineStr">
        <is>
          <t>PHISH</t>
        </is>
      </c>
      <c r="B1145" t="inlineStr"/>
      <c r="C1145" t="inlineStr">
        <is>
          <t>Phishing site targeting: invoicenotices.com | URL: http://invoicenotices.com/s/63BZGFSVBWSFCDX7Y9/584dd8/90eab167-7429-489f-99f6-ce86e8d0d81a</t>
        </is>
      </c>
      <c r="D1145" t="n">
        <v>6</v>
      </c>
      <c r="E1145" t="inlineStr">
        <is>
          <t>MEDIUM</t>
        </is>
      </c>
      <c r="F1145" t="n">
        <v>3</v>
      </c>
      <c r="G1145" t="n">
        <v>1</v>
      </c>
      <c r="H1145" t="inlineStr">
        <is>
          <t>MEDIUM</t>
        </is>
      </c>
      <c r="I1145" t="n">
        <v>9</v>
      </c>
      <c r="J1145" t="inlineStr">
        <is>
          <t>NO</t>
        </is>
      </c>
      <c r="K1145" t="inlineStr">
        <is>
          <t>2026-02-27T18:17:32+00:00</t>
        </is>
      </c>
      <c r="L1145" t="inlineStr">
        <is>
          <t>Block URL</t>
        </is>
      </c>
      <c r="M1145" t="inlineStr">
        <is>
          <t>Email users / invoicenotices.com</t>
        </is>
      </c>
      <c r="N1145" t="inlineStr">
        <is>
          <t>P4</t>
        </is>
      </c>
      <c r="O1145" t="inlineStr">
        <is>
          <t>Phishing URL</t>
        </is>
      </c>
      <c r="P1145" t="n">
        <v>0</v>
      </c>
      <c r="Q1145" t="n">
        <v>0</v>
      </c>
      <c r="R1145" t="inlineStr">
        <is>
          <t>T1566:Phishing | T1566.002:Spearphishing Link</t>
        </is>
      </c>
      <c r="S1145" t="n">
        <v>1</v>
      </c>
      <c r="T1145" t="inlineStr">
        <is>
          <t>LOW (40%)</t>
        </is>
      </c>
      <c r="U1145" t="inlineStr">
        <is>
          <t>NONE</t>
        </is>
      </c>
      <c r="V1145" t="inlineStr">
        <is>
          <t>NONE</t>
        </is>
      </c>
      <c r="W1145" t="inlineStr">
        <is>
          <t>http://invoicenotices.com/s/63BZGFSVBWSFCDX7Y9/584dd8/90eab167-7429-489f-99f6-ce86e8d0d81a</t>
        </is>
      </c>
      <c r="X1145" t="inlineStr">
        <is>
          <t>NONE</t>
        </is>
      </c>
      <c r="Y1145" t="n">
        <v>0</v>
      </c>
      <c r="Z1145" t="inlineStr"/>
      <c r="AA1145" t="inlineStr">
        <is>
          <t>http://invoicenotices.com/s/63BZGFSVBWSFCDX7Y9/584dd8/90eab167-7429-489f-99f6-ce86e8d0d81a</t>
        </is>
      </c>
    </row>
    <row r="1146">
      <c r="A1146" t="inlineStr">
        <is>
          <t>PHISH</t>
        </is>
      </c>
      <c r="B1146" t="inlineStr"/>
      <c r="C1146" t="inlineStr">
        <is>
          <t>Phishing site targeting: tech-institute.org | URL: http://tech-institute.org/s/63BZGFSVBWSFCDX7Y9/584dd8/90eab167-7429-489f-99f6-ce86e8d0d81a</t>
        </is>
      </c>
      <c r="D1146" t="n">
        <v>6</v>
      </c>
      <c r="E1146" t="inlineStr">
        <is>
          <t>MEDIUM</t>
        </is>
      </c>
      <c r="F1146" t="n">
        <v>3</v>
      </c>
      <c r="G1146" t="n">
        <v>1</v>
      </c>
      <c r="H1146" t="inlineStr">
        <is>
          <t>MEDIUM</t>
        </is>
      </c>
      <c r="I1146" t="n">
        <v>9</v>
      </c>
      <c r="J1146" t="inlineStr">
        <is>
          <t>NO</t>
        </is>
      </c>
      <c r="K1146" t="inlineStr">
        <is>
          <t>2026-02-27T18:17:32+00:00</t>
        </is>
      </c>
      <c r="L1146" t="inlineStr">
        <is>
          <t>Block URL</t>
        </is>
      </c>
      <c r="M1146" t="inlineStr">
        <is>
          <t>Email users / tech-institute.org</t>
        </is>
      </c>
      <c r="N1146" t="inlineStr">
        <is>
          <t>P4</t>
        </is>
      </c>
      <c r="O1146" t="inlineStr">
        <is>
          <t>Phishing URL</t>
        </is>
      </c>
      <c r="P1146" t="n">
        <v>0</v>
      </c>
      <c r="Q1146" t="n">
        <v>0</v>
      </c>
      <c r="R1146" t="inlineStr">
        <is>
          <t>T1566:Phishing | T1566.002:Spearphishing Link</t>
        </is>
      </c>
      <c r="S1146" t="n">
        <v>1</v>
      </c>
      <c r="T1146" t="inlineStr">
        <is>
          <t>LOW (40%)</t>
        </is>
      </c>
      <c r="U1146" t="inlineStr">
        <is>
          <t>NONE</t>
        </is>
      </c>
      <c r="V1146" t="inlineStr">
        <is>
          <t>NONE</t>
        </is>
      </c>
      <c r="W1146" t="inlineStr">
        <is>
          <t>http://tech-institute.org/s/63BZGFSVBWSFCDX7Y9/584dd8/90eab167-7429-489f-99f6-ce86e8d0d81a</t>
        </is>
      </c>
      <c r="X1146" t="inlineStr">
        <is>
          <t>NONE</t>
        </is>
      </c>
      <c r="Y1146" t="n">
        <v>0</v>
      </c>
      <c r="Z1146" t="inlineStr"/>
      <c r="AA1146" t="inlineStr">
        <is>
          <t>http://tech-institute.org/s/63BZGFSVBWSFCDX7Y9/584dd8/90eab167-7429-489f-99f6-ce86e8d0d81a</t>
        </is>
      </c>
    </row>
    <row r="1147">
      <c r="A1147" t="inlineStr">
        <is>
          <t>PHISH</t>
        </is>
      </c>
      <c r="B1147" t="inlineStr"/>
      <c r="C1147" t="inlineStr">
        <is>
          <t>Phishing site targeting: im.nbpublic.com | URL: 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t>
        </is>
      </c>
      <c r="D1147" t="n">
        <v>6</v>
      </c>
      <c r="E1147" t="inlineStr">
        <is>
          <t>MEDIUM</t>
        </is>
      </c>
      <c r="F1147" t="n">
        <v>3</v>
      </c>
      <c r="G1147" t="n">
        <v>1</v>
      </c>
      <c r="H1147" t="inlineStr">
        <is>
          <t>MEDIUM</t>
        </is>
      </c>
      <c r="I1147" t="n">
        <v>9</v>
      </c>
      <c r="J1147" t="inlineStr">
        <is>
          <t>NO</t>
        </is>
      </c>
      <c r="K1147" t="inlineStr">
        <is>
          <t>2026-02-27T18:17:32+00:00</t>
        </is>
      </c>
      <c r="L1147" t="inlineStr">
        <is>
          <t>Block URL</t>
        </is>
      </c>
      <c r="M1147" t="inlineStr">
        <is>
          <t>Email users / im.nbpublic.com</t>
        </is>
      </c>
      <c r="N1147" t="inlineStr">
        <is>
          <t>P4</t>
        </is>
      </c>
      <c r="O1147" t="inlineStr">
        <is>
          <t>Phishing URL</t>
        </is>
      </c>
      <c r="P1147" t="n">
        <v>0</v>
      </c>
      <c r="Q1147" t="n">
        <v>0</v>
      </c>
      <c r="R1147" t="inlineStr">
        <is>
          <t>T1566:Phishing | T1566.002:Spearphishing Link</t>
        </is>
      </c>
      <c r="S1147" t="n">
        <v>1</v>
      </c>
      <c r="T1147" t="inlineStr">
        <is>
          <t>LOW (40%)</t>
        </is>
      </c>
      <c r="U1147" t="inlineStr">
        <is>
          <t>NONE</t>
        </is>
      </c>
      <c r="V1147" t="inlineStr">
        <is>
          <t>NONE</t>
        </is>
      </c>
      <c r="W1147" t="inlineStr">
        <is>
          <t>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AwR4fTCgV7vL4/P4AnxhKqLCAodDRdabPBcNAbHgMwSHVisOzXe7gYG3HmQAAeSCw+LeuJAAHktFoIFUyTgKVTbnSIFtBszWezOWhrtIHnyadhqDABRBhVgwABXFEogC+drkoPBMAiFXKCAqELxIC4VqqSLASAAcsCAJK/c1YahyQRVH6giN/MZKKGwx0gZQwJF/JFcEWYJBVK0QOQARyUUR9ODQ8hgs0iC2Wt2ANfrczUdp8NbrFRlcpbPelsqqYbQXbkOBlCBRCBwGJbAAF/loKrklFbBPWwWBICjFxPcL8qhV0C3rvIx4fiSez2fAiJosAL2OALIiQ9cWdcADWS5Xa5fggv7oAeMxIvOCDyDcRogMAXAQQE0FXuBECQdB2LhBK8GIVBEDBlhh6LAs6hwcR6BESRMAPmQT7kWg75kIe6BaDgT4sTgzFoKx1GPtgwAcYxzHBAg7EicJEAILxtH8UEklCT4gQ4FwT5KVwh5qdJqnKQpcgVCRT76RRPhGViNGGSRukgH2I6YcET7LmAq65A28xLGAuQ2QOYBYWBchWmx/EBYeVpWrBwCOc5rlNh5PnBGBGZZpAUBYKxKJKBAdpAA</t>
        </is>
      </c>
      <c r="X1147" t="inlineStr">
        <is>
          <t>NONE</t>
        </is>
      </c>
      <c r="Y1147" t="n">
        <v>0</v>
      </c>
      <c r="Z1147" t="inlineStr"/>
      <c r="AA1147" t="inlineStr">
        <is>
          <t>http://im.nbpublic.com/loading_page_cpl/amazon/amazon_cf_4/index.html?lptoken=17aa60187602241299c8&amp;cep=N4Igdgpg7g+gFgSwC4wQExALhAQwOxp54QCMArALQ4AMALCRbQJx4BMFTtAxgBwXU4ARmjJNq1IrVYgANCABuCAM7JUGbDhIAzVhFY8AbBQDMEJjkZMmgqgbTV+aLrR5NjNJmQOyFy1UgQAWwglJBxAgAcsEFZqVkoSBxIeABU6TBISTGMmADo8AzwALR9FFSQAewAnNWicMmMeEjRWGxwICGNGFpseWIZWLjwtJq4ILjIeah8ucIicBABzMFrsAx4O6h58Lw3WPHESVuMtA3qfMAq0CFWQablL65gkAE8IiGiAGRwwNAQwRYXK43LhwBZgLAAbTuIAAunIIlUQhAADbjJAQNAwR4fTCgV7vL4/P4AnxhKqLCAodDRdabPBcNAbHgMwSHVisOzXe7gYG3HmQAAeSCw+LeuJAAHktFoIFUyTgKVTbnSIFtBszWezOWhrtIHnyadhqDABRBhVgwABXFEogC+drkoPBMAiFXKCAqELxIC4VqqSLASAAcsCAJK/c1YahyQRVH6giN/MZKKGwx0gZQwJF/JFcEWYJBVK0QOQARyUUR9ODQ8hgs0iC2Wt2ANfrczUdp8NbrFRlcpbPelsqqYbQXbkOBlCBRCBwGJbAAF/loKrklFbBPWwWBICjFxPcL8qhV0C3rvIx4fiSez2fAiJosAL2OALIiQ9cWdcADWS5Xa5fggv7oAeMxIvOCDyDcRogMAXAQQE0FXuBECQdB2LhBK8GIVBEDBlhh6LAs6hwcR6BESRMAPmQT7kWg75kIe6BaDgT4sTgzFoKx1GPtgwAcYxzHBAg7EicJEAILxtH8UEklCT4gQ4FwT5KVwh5qdJqnKQpcgVCRT76RRPhGViNGGSRukgH2I6YcET7LmAq65A28xLGAuQ2QOYBYWBchWmx/EBYeVpWrBwCOc5rlNh5PnBGBGZZpAUBYKxKJKBAdpAA</t>
        </is>
      </c>
    </row>
    <row r="1148">
      <c r="A1148" t="inlineStr">
        <is>
          <t>PHISH</t>
        </is>
      </c>
      <c r="B1148" t="inlineStr"/>
      <c r="C1148" t="inlineStr">
        <is>
          <t>Phishing site targeting: im.nbpublic.com | URL: 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t>
        </is>
      </c>
      <c r="D1148" t="n">
        <v>6</v>
      </c>
      <c r="E1148" t="inlineStr">
        <is>
          <t>MEDIUM</t>
        </is>
      </c>
      <c r="F1148" t="n">
        <v>3</v>
      </c>
      <c r="G1148" t="n">
        <v>1</v>
      </c>
      <c r="H1148" t="inlineStr">
        <is>
          <t>MEDIUM</t>
        </is>
      </c>
      <c r="I1148" t="n">
        <v>9</v>
      </c>
      <c r="J1148" t="inlineStr">
        <is>
          <t>NO</t>
        </is>
      </c>
      <c r="K1148" t="inlineStr">
        <is>
          <t>2026-02-27T18:17:32+00:00</t>
        </is>
      </c>
      <c r="L1148" t="inlineStr">
        <is>
          <t>Block URL</t>
        </is>
      </c>
      <c r="M1148" t="inlineStr">
        <is>
          <t>Email users / im.nbpublic.com</t>
        </is>
      </c>
      <c r="N1148" t="inlineStr">
        <is>
          <t>P4</t>
        </is>
      </c>
      <c r="O1148" t="inlineStr">
        <is>
          <t>Phishing URL</t>
        </is>
      </c>
      <c r="P1148" t="n">
        <v>0</v>
      </c>
      <c r="Q1148" t="n">
        <v>0</v>
      </c>
      <c r="R1148" t="inlineStr">
        <is>
          <t>T1566:Phishing | T1566.002:Spearphishing Link</t>
        </is>
      </c>
      <c r="S1148" t="n">
        <v>1</v>
      </c>
      <c r="T1148" t="inlineStr">
        <is>
          <t>LOW (40%)</t>
        </is>
      </c>
      <c r="U1148" t="inlineStr">
        <is>
          <t>NONE</t>
        </is>
      </c>
      <c r="V1148" t="inlineStr">
        <is>
          <t>NONE</t>
        </is>
      </c>
      <c r="W1148" t="inlineStr">
        <is>
          <t>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qywoEezzeHy+PzcAVKkwgKHQoXmixwaGYBAIVCYdAgOzIEQITlEfzuFOwl2uskgAA8kFiQDiXtgAPJ4PAQUpEqgksnnKlLHBUVjORpGOy7VJCGnc86XU0AH35MCYFpgBCtxwgIqwYAArgiEQBfD0jQHfGBBYpFBDFYGYUDOF2lOFgJAAOVuAElPo6sExZDhSh8AUmvs4/KDId6QEoYHCvnCUVgkKUXRBZABHRQhMMgZwIhDOADW52AbY73fQHrczjhVC8ch5ahAvdH48nQ9kVDQchgo2CE2mPaXK7X4ymM0Hw9nCAn6MCkunI4gY5PdzA54XIBdLt50+fh8Xy5gxVl8q3X5/OVyg/EBAL/e9fFCYAwPKCCIEfIw8AQdsx0nKDEOQhBUNUR90DwKgoLwqhcLQfCYG8NAuWwYAiPIyjH0mCYp2ARiQNYtA6Ko6d2M43DfAQQj+L4iAEE4wSRN4tx8VKYp0C3T4ZLkkDpNkji5IorjgBUpSOI0x9vCoVxqIM5x9MMsTjPMvS3GKJioNskCHN0yj7KYyTZBdAjqM8ocixLSAoCwfCEUUeCgA=</t>
        </is>
      </c>
      <c r="X1148" t="inlineStr">
        <is>
          <t>NONE</t>
        </is>
      </c>
      <c r="Y1148" t="n">
        <v>0</v>
      </c>
      <c r="Z1148" t="inlineStr"/>
      <c r="AA1148" t="inlineStr">
        <is>
          <t>http://im.nbpublic.com/loading_page/amazon/AmazonGiftCard_10/index.html?lptoken=17e1629705be74da1605&amp;cep=N4Igdgpg7g+gFgSwC4wQExALhAIwGYBMAzAIzF4C0AhiXgCwV0AMEAnBQByFEU4DshCGho4ArKwBsIADQgAbggDOyVBmwcqdAhwIkGHVlUrMiaCqz0MmEqgRY6+EEgGMZ8pSqQIAthEVIqbwAHLBA7AlEKEhIKJgIAFSYiTFFkolEAOlY+DgAtNwVlJAB7ACdVUKJbPkMIBj4+KghGQypePiIeAgkIHS0JcQgpWWdAoKoEAHMwCuwJViYSHGc0CCIJJjxxJkXu5zoiMTcwYtXZkCYYEmPTiBgkAE8giFCAGSowNAQwSZuz5zgEzAWAA2hcriAALqyIKlPwQAA2EGcSCEMBOqywoEezzeHy+PzcAVKkwgKHQoXmixwaGYBAIVCYdAgOzIEQITlEfzuFOwl2uskgAA8kFiQDiXtgAPJ4PAQUpEqgksnnKlLHBUVjORpGOy7VJCGnc86XU0AH35MCYFpgBCtxwgIqwYAArgiEQBfD0jQHfGBBYpFBDFYGYUDOF2lOFgJAAOVuAElPo6sExZDhSh8AUmvs4/KDId6QEoYHCvnCUVgkKUXRBZABHRQhMMgZwIhDOADW52AbY73fQHrczjhVC8ch5ahAvdH48nQ9kVDQchgo2CE2mPaXK7X4ymM0Hw9nCAn6MCkunI4gY5PdzA54XIBdLt50+fh8Xy5gxVl8q3X5/OVyg/EBAL/e9fFCYAwPKCCIEfIw8AQdsx0nKDEOQhBUNUR90DwKgoLwqhcLQfCYG8NAuWwYAiPIyjH0mCYp2ARiQNYtA6Ko6d2M43DfAQQj+L4iAEE4wSRN4tx8VKYp0C3T4ZLkkDpNkji5IorjgBUpSOI0x9vCoVxqIM5x9MMsTjPMvS3GKJioNskCHN0yj7KYyTZBdAjqM8ocixLSAoCwfCEUUeCgA=</t>
        </is>
      </c>
    </row>
    <row r="1149">
      <c r="A1149" t="inlineStr">
        <is>
          <t>PHISH</t>
        </is>
      </c>
      <c r="B1149" t="inlineStr"/>
      <c r="C1149" t="inlineStr">
        <is>
          <t>Phishing site targeting: wanderson-a-timoteo.github.io | URL: https://wanderson-a-timoteo.github.io/instagram-interface/</t>
        </is>
      </c>
      <c r="D1149" t="n">
        <v>6</v>
      </c>
      <c r="E1149" t="inlineStr">
        <is>
          <t>MEDIUM</t>
        </is>
      </c>
      <c r="F1149" t="n">
        <v>3</v>
      </c>
      <c r="G1149" t="n">
        <v>1</v>
      </c>
      <c r="H1149" t="inlineStr">
        <is>
          <t>MEDIUM</t>
        </is>
      </c>
      <c r="I1149" t="n">
        <v>9</v>
      </c>
      <c r="J1149" t="inlineStr">
        <is>
          <t>NO</t>
        </is>
      </c>
      <c r="K1149" t="inlineStr">
        <is>
          <t>2026-02-27T18:17:32+00:00</t>
        </is>
      </c>
      <c r="L1149" t="inlineStr">
        <is>
          <t>Block URL</t>
        </is>
      </c>
      <c r="M1149" t="inlineStr">
        <is>
          <t>Email users / wanderson-a-timoteo.github.io</t>
        </is>
      </c>
      <c r="N1149" t="inlineStr">
        <is>
          <t>P4</t>
        </is>
      </c>
      <c r="O1149" t="inlineStr">
        <is>
          <t>Phishing URL</t>
        </is>
      </c>
      <c r="P1149" t="n">
        <v>0</v>
      </c>
      <c r="Q1149" t="n">
        <v>0</v>
      </c>
      <c r="R1149" t="inlineStr">
        <is>
          <t>T1566:Phishing | T1566.002:Spearphishing Link</t>
        </is>
      </c>
      <c r="S1149" t="n">
        <v>1</v>
      </c>
      <c r="T1149" t="inlineStr">
        <is>
          <t>LOW (40%)</t>
        </is>
      </c>
      <c r="U1149" t="inlineStr">
        <is>
          <t>NONE</t>
        </is>
      </c>
      <c r="V1149" t="inlineStr">
        <is>
          <t>NONE</t>
        </is>
      </c>
      <c r="W1149" t="inlineStr">
        <is>
          <t>https://wanderson-a-timoteo.github.io/instagram-interface/</t>
        </is>
      </c>
      <c r="X1149" t="inlineStr">
        <is>
          <t>NONE</t>
        </is>
      </c>
      <c r="Y1149" t="n">
        <v>0</v>
      </c>
      <c r="Z1149" t="inlineStr"/>
      <c r="AA1149" t="inlineStr">
        <is>
          <t>https://wanderson-a-timoteo.github.io/instagram-interface/</t>
        </is>
      </c>
    </row>
    <row r="1150">
      <c r="A1150" t="inlineStr">
        <is>
          <t>PHISH</t>
        </is>
      </c>
      <c r="B1150" t="inlineStr"/>
      <c r="C1150" t="inlineStr">
        <is>
          <t>Phishing site targeting: account-log.kesug.com | URL: https://account-log.kesug.com/check-action.php?i=1</t>
        </is>
      </c>
      <c r="D1150" t="n">
        <v>6</v>
      </c>
      <c r="E1150" t="inlineStr">
        <is>
          <t>MEDIUM</t>
        </is>
      </c>
      <c r="F1150" t="n">
        <v>3</v>
      </c>
      <c r="G1150" t="n">
        <v>1</v>
      </c>
      <c r="H1150" t="inlineStr">
        <is>
          <t>MEDIUM</t>
        </is>
      </c>
      <c r="I1150" t="n">
        <v>9</v>
      </c>
      <c r="J1150" t="inlineStr">
        <is>
          <t>NO</t>
        </is>
      </c>
      <c r="K1150" t="inlineStr">
        <is>
          <t>2026-02-27T18:17:32+00:00</t>
        </is>
      </c>
      <c r="L1150" t="inlineStr">
        <is>
          <t>Block URL</t>
        </is>
      </c>
      <c r="M1150" t="inlineStr">
        <is>
          <t>Email users / account-log.kesug.com</t>
        </is>
      </c>
      <c r="N1150" t="inlineStr">
        <is>
          <t>P4</t>
        </is>
      </c>
      <c r="O1150" t="inlineStr">
        <is>
          <t>Phishing URL</t>
        </is>
      </c>
      <c r="P1150" t="n">
        <v>0</v>
      </c>
      <c r="Q1150" t="n">
        <v>0</v>
      </c>
      <c r="R1150" t="inlineStr">
        <is>
          <t>T1566:Phishing | T1566.002:Spearphishing Link</t>
        </is>
      </c>
      <c r="S1150" t="n">
        <v>1</v>
      </c>
      <c r="T1150" t="inlineStr">
        <is>
          <t>LOW (40%)</t>
        </is>
      </c>
      <c r="U1150" t="inlineStr">
        <is>
          <t>NONE</t>
        </is>
      </c>
      <c r="V1150" t="inlineStr">
        <is>
          <t>NONE</t>
        </is>
      </c>
      <c r="W1150" t="inlineStr">
        <is>
          <t>https://account-log.kesug.com/check-action.php?i=1</t>
        </is>
      </c>
      <c r="X1150" t="inlineStr">
        <is>
          <t>NONE</t>
        </is>
      </c>
      <c r="Y1150" t="n">
        <v>0</v>
      </c>
      <c r="Z1150" t="inlineStr"/>
      <c r="AA1150" t="inlineStr">
        <is>
          <t>https://account-log.kesug.com/check-action.php?i=1</t>
        </is>
      </c>
    </row>
    <row r="1151">
      <c r="A1151" t="inlineStr">
        <is>
          <t>PHISH</t>
        </is>
      </c>
      <c r="B1151" t="inlineStr"/>
      <c r="C1151" t="inlineStr">
        <is>
          <t>Phishing site targeting: proteceng.jp | URL: https://proteceng.jp/mpp.php?mc_phishing_protection_id=28396-d6gjl4fs2tuvppksptk0</t>
        </is>
      </c>
      <c r="D1151" t="n">
        <v>6</v>
      </c>
      <c r="E1151" t="inlineStr">
        <is>
          <t>MEDIUM</t>
        </is>
      </c>
      <c r="F1151" t="n">
        <v>3</v>
      </c>
      <c r="G1151" t="n">
        <v>1</v>
      </c>
      <c r="H1151" t="inlineStr">
        <is>
          <t>MEDIUM</t>
        </is>
      </c>
      <c r="I1151" t="n">
        <v>9</v>
      </c>
      <c r="J1151" t="inlineStr">
        <is>
          <t>NO</t>
        </is>
      </c>
      <c r="K1151" t="inlineStr">
        <is>
          <t>2026-02-27T18:17:32+00:00</t>
        </is>
      </c>
      <c r="L1151" t="inlineStr">
        <is>
          <t>Block URL</t>
        </is>
      </c>
      <c r="M1151" t="inlineStr">
        <is>
          <t>Email users / proteceng.jp</t>
        </is>
      </c>
      <c r="N1151" t="inlineStr">
        <is>
          <t>P4</t>
        </is>
      </c>
      <c r="O1151" t="inlineStr">
        <is>
          <t>Phishing URL</t>
        </is>
      </c>
      <c r="P1151" t="n">
        <v>0</v>
      </c>
      <c r="Q1151" t="n">
        <v>0</v>
      </c>
      <c r="R1151" t="inlineStr">
        <is>
          <t>T1566:Phishing | T1566.002:Spearphishing Link</t>
        </is>
      </c>
      <c r="S1151" t="n">
        <v>1</v>
      </c>
      <c r="T1151" t="inlineStr">
        <is>
          <t>LOW (40%)</t>
        </is>
      </c>
      <c r="U1151" t="inlineStr">
        <is>
          <t>NONE</t>
        </is>
      </c>
      <c r="V1151" t="inlineStr">
        <is>
          <t>NONE</t>
        </is>
      </c>
      <c r="W1151" t="inlineStr">
        <is>
          <t>https://proteceng.jp/mpp.php?mc_phishing_protection_id=28396-d6gjl4fs2tuvppksptk0</t>
        </is>
      </c>
      <c r="X1151" t="inlineStr">
        <is>
          <t>NONE</t>
        </is>
      </c>
      <c r="Y1151" t="n">
        <v>0</v>
      </c>
      <c r="Z1151" t="inlineStr"/>
      <c r="AA1151" t="inlineStr">
        <is>
          <t>https://proteceng.jp/mpp.php?mc_phishing_protection_id=28396-d6gjl4fs2tuvppksptk0</t>
        </is>
      </c>
    </row>
    <row r="1152">
      <c r="A1152" t="inlineStr">
        <is>
          <t>PHISH</t>
        </is>
      </c>
      <c r="B1152" t="inlineStr"/>
      <c r="C1152" t="inlineStr">
        <is>
          <t>Phishing site targeting: verification-coinbase.venezuelacybernetica.com | URL: http://verification-coinbase.venezuelacybernetica.com/</t>
        </is>
      </c>
      <c r="D1152" t="n">
        <v>6</v>
      </c>
      <c r="E1152" t="inlineStr">
        <is>
          <t>MEDIUM</t>
        </is>
      </c>
      <c r="F1152" t="n">
        <v>3</v>
      </c>
      <c r="G1152" t="n">
        <v>1</v>
      </c>
      <c r="H1152" t="inlineStr">
        <is>
          <t>MEDIUM</t>
        </is>
      </c>
      <c r="I1152" t="n">
        <v>9</v>
      </c>
      <c r="J1152" t="inlineStr">
        <is>
          <t>NO</t>
        </is>
      </c>
      <c r="K1152" t="inlineStr">
        <is>
          <t>2026-02-27T18:17:32+00:00</t>
        </is>
      </c>
      <c r="L1152" t="inlineStr">
        <is>
          <t>Block URL</t>
        </is>
      </c>
      <c r="M1152" t="inlineStr">
        <is>
          <t>Email users / verification-coinbase.venezuelacybernetica.com</t>
        </is>
      </c>
      <c r="N1152" t="inlineStr">
        <is>
          <t>P4</t>
        </is>
      </c>
      <c r="O1152" t="inlineStr">
        <is>
          <t>Phishing URL</t>
        </is>
      </c>
      <c r="P1152" t="n">
        <v>0</v>
      </c>
      <c r="Q1152" t="n">
        <v>0</v>
      </c>
      <c r="R1152" t="inlineStr">
        <is>
          <t>T1566:Phishing | T1566.002:Spearphishing Link</t>
        </is>
      </c>
      <c r="S1152" t="n">
        <v>1</v>
      </c>
      <c r="T1152" t="inlineStr">
        <is>
          <t>LOW (40%)</t>
        </is>
      </c>
      <c r="U1152" t="inlineStr">
        <is>
          <t>NONE</t>
        </is>
      </c>
      <c r="V1152" t="inlineStr">
        <is>
          <t>NONE</t>
        </is>
      </c>
      <c r="W1152" t="inlineStr">
        <is>
          <t>http://verification-coinbase.venezuelacybernetica.com/</t>
        </is>
      </c>
      <c r="X1152" t="inlineStr">
        <is>
          <t>NONE</t>
        </is>
      </c>
      <c r="Y1152" t="n">
        <v>0</v>
      </c>
      <c r="Z1152" t="inlineStr"/>
      <c r="AA1152" t="inlineStr">
        <is>
          <t>http://verification-coinbase.venezuelacybernetica.com/</t>
        </is>
      </c>
    </row>
    <row r="1153">
      <c r="A1153" t="inlineStr">
        <is>
          <t>PHISH</t>
        </is>
      </c>
      <c r="B1153" t="inlineStr"/>
      <c r="C1153" t="inlineStr">
        <is>
          <t>Phishing site targeting: girl.indonesiya.com | URL: https://girl.indonesiya.com/?m=1</t>
        </is>
      </c>
      <c r="D1153" t="n">
        <v>6</v>
      </c>
      <c r="E1153" t="inlineStr">
        <is>
          <t>MEDIUM</t>
        </is>
      </c>
      <c r="F1153" t="n">
        <v>3</v>
      </c>
      <c r="G1153" t="n">
        <v>1</v>
      </c>
      <c r="H1153" t="inlineStr">
        <is>
          <t>MEDIUM</t>
        </is>
      </c>
      <c r="I1153" t="n">
        <v>9</v>
      </c>
      <c r="J1153" t="inlineStr">
        <is>
          <t>NO</t>
        </is>
      </c>
      <c r="K1153" t="inlineStr">
        <is>
          <t>2026-02-27T18:17:32+00:00</t>
        </is>
      </c>
      <c r="L1153" t="inlineStr">
        <is>
          <t>Block URL</t>
        </is>
      </c>
      <c r="M1153" t="inlineStr">
        <is>
          <t>Email users / girl.indonesiya.com</t>
        </is>
      </c>
      <c r="N1153" t="inlineStr">
        <is>
          <t>P4</t>
        </is>
      </c>
      <c r="O1153" t="inlineStr">
        <is>
          <t>Phishing URL</t>
        </is>
      </c>
      <c r="P1153" t="n">
        <v>0</v>
      </c>
      <c r="Q1153" t="n">
        <v>0</v>
      </c>
      <c r="R1153" t="inlineStr">
        <is>
          <t>T1566:Phishing | T1566.002:Spearphishing Link</t>
        </is>
      </c>
      <c r="S1153" t="n">
        <v>1</v>
      </c>
      <c r="T1153" t="inlineStr">
        <is>
          <t>LOW (40%)</t>
        </is>
      </c>
      <c r="U1153" t="inlineStr">
        <is>
          <t>NONE</t>
        </is>
      </c>
      <c r="V1153" t="inlineStr">
        <is>
          <t>NONE</t>
        </is>
      </c>
      <c r="W1153" t="inlineStr">
        <is>
          <t>https://girl.indonesiya.com/?m=1</t>
        </is>
      </c>
      <c r="X1153" t="inlineStr">
        <is>
          <t>NONE</t>
        </is>
      </c>
      <c r="Y1153" t="n">
        <v>0</v>
      </c>
      <c r="Z1153" t="inlineStr"/>
      <c r="AA1153" t="inlineStr">
        <is>
          <t>https://girl.indonesiya.com/?m=1</t>
        </is>
      </c>
    </row>
    <row r="1154">
      <c r="A1154" t="inlineStr">
        <is>
          <t>PHISH</t>
        </is>
      </c>
      <c r="B1154" t="inlineStr"/>
      <c r="C1154" t="inlineStr">
        <is>
          <t>Phishing site targeting: abhiruproy599.github.io | URL: http://abhiruproy599.github.io/amazon-clone</t>
        </is>
      </c>
      <c r="D1154" t="n">
        <v>6</v>
      </c>
      <c r="E1154" t="inlineStr">
        <is>
          <t>MEDIUM</t>
        </is>
      </c>
      <c r="F1154" t="n">
        <v>3</v>
      </c>
      <c r="G1154" t="n">
        <v>1</v>
      </c>
      <c r="H1154" t="inlineStr">
        <is>
          <t>MEDIUM</t>
        </is>
      </c>
      <c r="I1154" t="n">
        <v>9</v>
      </c>
      <c r="J1154" t="inlineStr">
        <is>
          <t>NO</t>
        </is>
      </c>
      <c r="K1154" t="inlineStr">
        <is>
          <t>2026-02-27T18:17:32+00:00</t>
        </is>
      </c>
      <c r="L1154" t="inlineStr">
        <is>
          <t>Block URL</t>
        </is>
      </c>
      <c r="M1154" t="inlineStr">
        <is>
          <t>Email users / abhiruproy599.github.io</t>
        </is>
      </c>
      <c r="N1154" t="inlineStr">
        <is>
          <t>P4</t>
        </is>
      </c>
      <c r="O1154" t="inlineStr">
        <is>
          <t>Phishing URL</t>
        </is>
      </c>
      <c r="P1154" t="n">
        <v>0</v>
      </c>
      <c r="Q1154" t="n">
        <v>0</v>
      </c>
      <c r="R1154" t="inlineStr">
        <is>
          <t>T1566:Phishing | T1566.002:Spearphishing Link</t>
        </is>
      </c>
      <c r="S1154" t="n">
        <v>1</v>
      </c>
      <c r="T1154" t="inlineStr">
        <is>
          <t>LOW (40%)</t>
        </is>
      </c>
      <c r="U1154" t="inlineStr">
        <is>
          <t>NONE</t>
        </is>
      </c>
      <c r="V1154" t="inlineStr">
        <is>
          <t>NONE</t>
        </is>
      </c>
      <c r="W1154" t="inlineStr">
        <is>
          <t>http://abhiruproy599.github.io/amazon-clone</t>
        </is>
      </c>
      <c r="X1154" t="inlineStr">
        <is>
          <t>NONE</t>
        </is>
      </c>
      <c r="Y1154" t="n">
        <v>0</v>
      </c>
      <c r="Z1154" t="inlineStr"/>
      <c r="AA1154" t="inlineStr">
        <is>
          <t>http://abhiruproy599.github.io/amazon-clone</t>
        </is>
      </c>
    </row>
    <row r="1155">
      <c r="A1155" t="inlineStr">
        <is>
          <t>PHISH</t>
        </is>
      </c>
      <c r="B1155" t="inlineStr"/>
      <c r="C1155" t="inlineStr">
        <is>
          <t>Phishing site targeting: www.apple-care101eow.vercel.app | URL: https://www.apple-care101eow.vercel.app/</t>
        </is>
      </c>
      <c r="D1155" t="n">
        <v>6</v>
      </c>
      <c r="E1155" t="inlineStr">
        <is>
          <t>MEDIUM</t>
        </is>
      </c>
      <c r="F1155" t="n">
        <v>3</v>
      </c>
      <c r="G1155" t="n">
        <v>1</v>
      </c>
      <c r="H1155" t="inlineStr">
        <is>
          <t>MEDIUM</t>
        </is>
      </c>
      <c r="I1155" t="n">
        <v>9</v>
      </c>
      <c r="J1155" t="inlineStr">
        <is>
          <t>NO</t>
        </is>
      </c>
      <c r="K1155" t="inlineStr">
        <is>
          <t>2026-02-27T18:17:32+00:00</t>
        </is>
      </c>
      <c r="L1155" t="inlineStr">
        <is>
          <t>Block URL</t>
        </is>
      </c>
      <c r="M1155" t="inlineStr">
        <is>
          <t>Email users / www.apple-care101eow.vercel.app</t>
        </is>
      </c>
      <c r="N1155" t="inlineStr">
        <is>
          <t>P4</t>
        </is>
      </c>
      <c r="O1155" t="inlineStr">
        <is>
          <t>Phishing URL</t>
        </is>
      </c>
      <c r="P1155" t="n">
        <v>0</v>
      </c>
      <c r="Q1155" t="n">
        <v>0</v>
      </c>
      <c r="R1155" t="inlineStr">
        <is>
          <t>T1566:Phishing | T1566.002:Spearphishing Link</t>
        </is>
      </c>
      <c r="S1155" t="n">
        <v>1</v>
      </c>
      <c r="T1155" t="inlineStr">
        <is>
          <t>LOW (40%)</t>
        </is>
      </c>
      <c r="U1155" t="inlineStr">
        <is>
          <t>NONE</t>
        </is>
      </c>
      <c r="V1155" t="inlineStr">
        <is>
          <t>NONE</t>
        </is>
      </c>
      <c r="W1155" t="inlineStr">
        <is>
          <t>https://www.apple-care101eow.vercel.app/</t>
        </is>
      </c>
      <c r="X1155" t="inlineStr">
        <is>
          <t>NONE</t>
        </is>
      </c>
      <c r="Y1155" t="n">
        <v>0</v>
      </c>
      <c r="Z1155" t="inlineStr"/>
      <c r="AA1155" t="inlineStr">
        <is>
          <t>https://www.apple-care101eow.vercel.app/</t>
        </is>
      </c>
    </row>
    <row r="1156">
      <c r="A1156" t="inlineStr">
        <is>
          <t>PHISH</t>
        </is>
      </c>
      <c r="B1156" t="inlineStr"/>
      <c r="C1156" t="inlineStr">
        <is>
          <t>Phishing site targeting: airbnb-seven-lime.vercel.app | URL: http://airbnb-seven-lime.vercel.app/</t>
        </is>
      </c>
      <c r="D1156" t="n">
        <v>6</v>
      </c>
      <c r="E1156" t="inlineStr">
        <is>
          <t>MEDIUM</t>
        </is>
      </c>
      <c r="F1156" t="n">
        <v>3</v>
      </c>
      <c r="G1156" t="n">
        <v>1</v>
      </c>
      <c r="H1156" t="inlineStr">
        <is>
          <t>MEDIUM</t>
        </is>
      </c>
      <c r="I1156" t="n">
        <v>9</v>
      </c>
      <c r="J1156" t="inlineStr">
        <is>
          <t>NO</t>
        </is>
      </c>
      <c r="K1156" t="inlineStr">
        <is>
          <t>2026-02-27T18:17:32+00:00</t>
        </is>
      </c>
      <c r="L1156" t="inlineStr">
        <is>
          <t>Block URL</t>
        </is>
      </c>
      <c r="M1156" t="inlineStr">
        <is>
          <t>Email users / airbnb-seven-lime.vercel.app</t>
        </is>
      </c>
      <c r="N1156" t="inlineStr">
        <is>
          <t>P4</t>
        </is>
      </c>
      <c r="O1156" t="inlineStr">
        <is>
          <t>Phishing URL</t>
        </is>
      </c>
      <c r="P1156" t="n">
        <v>0</v>
      </c>
      <c r="Q1156" t="n">
        <v>0</v>
      </c>
      <c r="R1156" t="inlineStr">
        <is>
          <t>T1566:Phishing | T1566.002:Spearphishing Link</t>
        </is>
      </c>
      <c r="S1156" t="n">
        <v>1</v>
      </c>
      <c r="T1156" t="inlineStr">
        <is>
          <t>LOW (40%)</t>
        </is>
      </c>
      <c r="U1156" t="inlineStr">
        <is>
          <t>NONE</t>
        </is>
      </c>
      <c r="V1156" t="inlineStr">
        <is>
          <t>NONE</t>
        </is>
      </c>
      <c r="W1156" t="inlineStr">
        <is>
          <t>http://airbnb-seven-lime.vercel.app/</t>
        </is>
      </c>
      <c r="X1156" t="inlineStr">
        <is>
          <t>NONE</t>
        </is>
      </c>
      <c r="Y1156" t="n">
        <v>0</v>
      </c>
      <c r="Z1156" t="inlineStr"/>
      <c r="AA1156" t="inlineStr">
        <is>
          <t>http://airbnb-seven-lime.vercel.app/</t>
        </is>
      </c>
    </row>
    <row r="1157">
      <c r="A1157" t="inlineStr">
        <is>
          <t>PHISH</t>
        </is>
      </c>
      <c r="B1157" t="inlineStr"/>
      <c r="C1157" t="inlineStr">
        <is>
          <t>Phishing site targeting: eu.jotform.com | URL: http://eu.jotform.com/app/251738103149354</t>
        </is>
      </c>
      <c r="D1157" t="n">
        <v>6</v>
      </c>
      <c r="E1157" t="inlineStr">
        <is>
          <t>MEDIUM</t>
        </is>
      </c>
      <c r="F1157" t="n">
        <v>3</v>
      </c>
      <c r="G1157" t="n">
        <v>1</v>
      </c>
      <c r="H1157" t="inlineStr">
        <is>
          <t>MEDIUM</t>
        </is>
      </c>
      <c r="I1157" t="n">
        <v>9</v>
      </c>
      <c r="J1157" t="inlineStr">
        <is>
          <t>NO</t>
        </is>
      </c>
      <c r="K1157" t="inlineStr">
        <is>
          <t>2026-02-27T18:17:32+00:00</t>
        </is>
      </c>
      <c r="L1157" t="inlineStr">
        <is>
          <t>Block URL</t>
        </is>
      </c>
      <c r="M1157" t="inlineStr">
        <is>
          <t>Email users / eu.jotform.com</t>
        </is>
      </c>
      <c r="N1157" t="inlineStr">
        <is>
          <t>P4</t>
        </is>
      </c>
      <c r="O1157" t="inlineStr">
        <is>
          <t>Phishing URL</t>
        </is>
      </c>
      <c r="P1157" t="n">
        <v>0</v>
      </c>
      <c r="Q1157" t="n">
        <v>0</v>
      </c>
      <c r="R1157" t="inlineStr">
        <is>
          <t>T1566:Phishing | T1566.002:Spearphishing Link</t>
        </is>
      </c>
      <c r="S1157" t="n">
        <v>1</v>
      </c>
      <c r="T1157" t="inlineStr">
        <is>
          <t>LOW (40%)</t>
        </is>
      </c>
      <c r="U1157" t="inlineStr">
        <is>
          <t>NONE</t>
        </is>
      </c>
      <c r="V1157" t="inlineStr">
        <is>
          <t>NONE</t>
        </is>
      </c>
      <c r="W1157" t="inlineStr">
        <is>
          <t>http://eu.jotform.com/app/251738103149354</t>
        </is>
      </c>
      <c r="X1157" t="inlineStr">
        <is>
          <t>NONE</t>
        </is>
      </c>
      <c r="Y1157" t="n">
        <v>0</v>
      </c>
      <c r="Z1157" t="inlineStr"/>
      <c r="AA1157" t="inlineStr">
        <is>
          <t>http://eu.jotform.com/app/251738103149354</t>
        </is>
      </c>
    </row>
    <row r="1158">
      <c r="A1158" t="inlineStr">
        <is>
          <t>PHISH</t>
        </is>
      </c>
      <c r="B1158" t="inlineStr"/>
      <c r="C1158" t="inlineStr">
        <is>
          <t>Phishing site targeting: easybanktheface.vercel.app | URL: https://easybanktheface.vercel.app/</t>
        </is>
      </c>
      <c r="D1158" t="n">
        <v>6</v>
      </c>
      <c r="E1158" t="inlineStr">
        <is>
          <t>MEDIUM</t>
        </is>
      </c>
      <c r="F1158" t="n">
        <v>3</v>
      </c>
      <c r="G1158" t="n">
        <v>1</v>
      </c>
      <c r="H1158" t="inlineStr">
        <is>
          <t>MEDIUM</t>
        </is>
      </c>
      <c r="I1158" t="n">
        <v>9</v>
      </c>
      <c r="J1158" t="inlineStr">
        <is>
          <t>NO</t>
        </is>
      </c>
      <c r="K1158" t="inlineStr">
        <is>
          <t>2026-02-27T18:17:32+00:00</t>
        </is>
      </c>
      <c r="L1158" t="inlineStr">
        <is>
          <t>Block URL</t>
        </is>
      </c>
      <c r="M1158" t="inlineStr">
        <is>
          <t>Email users / easybanktheface.vercel.app</t>
        </is>
      </c>
      <c r="N1158" t="inlineStr">
        <is>
          <t>P4</t>
        </is>
      </c>
      <c r="O1158" t="inlineStr">
        <is>
          <t>Phishing URL</t>
        </is>
      </c>
      <c r="P1158" t="n">
        <v>0</v>
      </c>
      <c r="Q1158" t="n">
        <v>0</v>
      </c>
      <c r="R1158" t="inlineStr">
        <is>
          <t>T1566:Phishing | T1566.002:Spearphishing Link</t>
        </is>
      </c>
      <c r="S1158" t="n">
        <v>1</v>
      </c>
      <c r="T1158" t="inlineStr">
        <is>
          <t>LOW (40%)</t>
        </is>
      </c>
      <c r="U1158" t="inlineStr">
        <is>
          <t>NONE</t>
        </is>
      </c>
      <c r="V1158" t="inlineStr">
        <is>
          <t>NONE</t>
        </is>
      </c>
      <c r="W1158" t="inlineStr">
        <is>
          <t>https://easybanktheface.vercel.app/</t>
        </is>
      </c>
      <c r="X1158" t="inlineStr">
        <is>
          <t>NONE</t>
        </is>
      </c>
      <c r="Y1158" t="n">
        <v>0</v>
      </c>
      <c r="Z1158" t="inlineStr"/>
      <c r="AA1158" t="inlineStr">
        <is>
          <t>https://easybanktheface.vercel.app/</t>
        </is>
      </c>
    </row>
    <row r="1159">
      <c r="A1159" t="inlineStr">
        <is>
          <t>PHISH</t>
        </is>
      </c>
      <c r="B1159" t="inlineStr"/>
      <c r="C1159" t="inlineStr">
        <is>
          <t>Phishing site targeting: www.easybanktheface.vercel.app | URL: https://www.easybanktheface.vercel.app/</t>
        </is>
      </c>
      <c r="D1159" t="n">
        <v>6</v>
      </c>
      <c r="E1159" t="inlineStr">
        <is>
          <t>MEDIUM</t>
        </is>
      </c>
      <c r="F1159" t="n">
        <v>3</v>
      </c>
      <c r="G1159" t="n">
        <v>1</v>
      </c>
      <c r="H1159" t="inlineStr">
        <is>
          <t>MEDIUM</t>
        </is>
      </c>
      <c r="I1159" t="n">
        <v>9</v>
      </c>
      <c r="J1159" t="inlineStr">
        <is>
          <t>NO</t>
        </is>
      </c>
      <c r="K1159" t="inlineStr">
        <is>
          <t>2026-02-27T18:17:32+00:00</t>
        </is>
      </c>
      <c r="L1159" t="inlineStr">
        <is>
          <t>Block URL</t>
        </is>
      </c>
      <c r="M1159" t="inlineStr">
        <is>
          <t>Email users / www.easybanktheface.vercel.app</t>
        </is>
      </c>
      <c r="N1159" t="inlineStr">
        <is>
          <t>P4</t>
        </is>
      </c>
      <c r="O1159" t="inlineStr">
        <is>
          <t>Phishing URL</t>
        </is>
      </c>
      <c r="P1159" t="n">
        <v>0</v>
      </c>
      <c r="Q1159" t="n">
        <v>0</v>
      </c>
      <c r="R1159" t="inlineStr">
        <is>
          <t>T1566:Phishing | T1566.002:Spearphishing Link</t>
        </is>
      </c>
      <c r="S1159" t="n">
        <v>1</v>
      </c>
      <c r="T1159" t="inlineStr">
        <is>
          <t>LOW (40%)</t>
        </is>
      </c>
      <c r="U1159" t="inlineStr">
        <is>
          <t>NONE</t>
        </is>
      </c>
      <c r="V1159" t="inlineStr">
        <is>
          <t>NONE</t>
        </is>
      </c>
      <c r="W1159" t="inlineStr">
        <is>
          <t>https://www.easybanktheface.vercel.app/</t>
        </is>
      </c>
      <c r="X1159" t="inlineStr">
        <is>
          <t>NONE</t>
        </is>
      </c>
      <c r="Y1159" t="n">
        <v>0</v>
      </c>
      <c r="Z1159" t="inlineStr"/>
      <c r="AA1159" t="inlineStr">
        <is>
          <t>https://www.easybanktheface.vercel.app/</t>
        </is>
      </c>
    </row>
    <row r="1160">
      <c r="A1160" t="inlineStr">
        <is>
          <t>PHISH</t>
        </is>
      </c>
      <c r="B1160" t="inlineStr"/>
      <c r="C1160" t="inlineStr">
        <is>
          <t>Phishing site targeting: airbnb-clone-farukipekcom.vercel.app | URL: https://airbnb-clone-farukipekcom.vercel.app/wanderlust.html</t>
        </is>
      </c>
      <c r="D1160" t="n">
        <v>6</v>
      </c>
      <c r="E1160" t="inlineStr">
        <is>
          <t>MEDIUM</t>
        </is>
      </c>
      <c r="F1160" t="n">
        <v>3</v>
      </c>
      <c r="G1160" t="n">
        <v>1</v>
      </c>
      <c r="H1160" t="inlineStr">
        <is>
          <t>MEDIUM</t>
        </is>
      </c>
      <c r="I1160" t="n">
        <v>9</v>
      </c>
      <c r="J1160" t="inlineStr">
        <is>
          <t>NO</t>
        </is>
      </c>
      <c r="K1160" t="inlineStr">
        <is>
          <t>2026-02-27T18:17:32+00:00</t>
        </is>
      </c>
      <c r="L1160" t="inlineStr">
        <is>
          <t>Block URL</t>
        </is>
      </c>
      <c r="M1160" t="inlineStr">
        <is>
          <t>Email users / airbnb-clone-farukipekcom.vercel.app</t>
        </is>
      </c>
      <c r="N1160" t="inlineStr">
        <is>
          <t>P4</t>
        </is>
      </c>
      <c r="O1160" t="inlineStr">
        <is>
          <t>Phishing URL</t>
        </is>
      </c>
      <c r="P1160" t="n">
        <v>0</v>
      </c>
      <c r="Q1160" t="n">
        <v>0</v>
      </c>
      <c r="R1160" t="inlineStr">
        <is>
          <t>T1566:Phishing | T1566.002:Spearphishing Link</t>
        </is>
      </c>
      <c r="S1160" t="n">
        <v>1</v>
      </c>
      <c r="T1160" t="inlineStr">
        <is>
          <t>LOW (40%)</t>
        </is>
      </c>
      <c r="U1160" t="inlineStr">
        <is>
          <t>NONE</t>
        </is>
      </c>
      <c r="V1160" t="inlineStr">
        <is>
          <t>NONE</t>
        </is>
      </c>
      <c r="W1160" t="inlineStr">
        <is>
          <t>https://airbnb-clone-farukipekcom.vercel.app/wanderlust.html</t>
        </is>
      </c>
      <c r="X1160" t="inlineStr">
        <is>
          <t>NONE</t>
        </is>
      </c>
      <c r="Y1160" t="n">
        <v>0</v>
      </c>
      <c r="Z1160" t="inlineStr"/>
      <c r="AA1160" t="inlineStr">
        <is>
          <t>https://airbnb-clone-farukipekcom.vercel.app/wanderlust.html</t>
        </is>
      </c>
    </row>
    <row r="1161">
      <c r="A1161" t="inlineStr">
        <is>
          <t>PHISH</t>
        </is>
      </c>
      <c r="B1161" t="inlineStr"/>
      <c r="C1161" t="inlineStr">
        <is>
          <t>Phishing site targeting: gemkilfygu.godaddysites.com | URL: http://gemkilfygu.godaddysites.com/</t>
        </is>
      </c>
      <c r="D1161" t="n">
        <v>6</v>
      </c>
      <c r="E1161" t="inlineStr">
        <is>
          <t>MEDIUM</t>
        </is>
      </c>
      <c r="F1161" t="n">
        <v>3</v>
      </c>
      <c r="G1161" t="n">
        <v>1</v>
      </c>
      <c r="H1161" t="inlineStr">
        <is>
          <t>MEDIUM</t>
        </is>
      </c>
      <c r="I1161" t="n">
        <v>9</v>
      </c>
      <c r="J1161" t="inlineStr">
        <is>
          <t>NO</t>
        </is>
      </c>
      <c r="K1161" t="inlineStr">
        <is>
          <t>2026-02-27T18:17:32+00:00</t>
        </is>
      </c>
      <c r="L1161" t="inlineStr">
        <is>
          <t>Block URL</t>
        </is>
      </c>
      <c r="M1161" t="inlineStr">
        <is>
          <t>Email users / gemkilfygu.godaddysites.com</t>
        </is>
      </c>
      <c r="N1161" t="inlineStr">
        <is>
          <t>P4</t>
        </is>
      </c>
      <c r="O1161" t="inlineStr">
        <is>
          <t>Phishing URL</t>
        </is>
      </c>
      <c r="P1161" t="n">
        <v>0</v>
      </c>
      <c r="Q1161" t="n">
        <v>0</v>
      </c>
      <c r="R1161" t="inlineStr">
        <is>
          <t>T1566:Phishing | T1566.002:Spearphishing Link</t>
        </is>
      </c>
      <c r="S1161" t="n">
        <v>1</v>
      </c>
      <c r="T1161" t="inlineStr">
        <is>
          <t>LOW (40%)</t>
        </is>
      </c>
      <c r="U1161" t="inlineStr">
        <is>
          <t>NONE</t>
        </is>
      </c>
      <c r="V1161" t="inlineStr">
        <is>
          <t>NONE</t>
        </is>
      </c>
      <c r="W1161" t="inlineStr">
        <is>
          <t>http://gemkilfygu.godaddysites.com/</t>
        </is>
      </c>
      <c r="X1161" t="inlineStr">
        <is>
          <t>NONE</t>
        </is>
      </c>
      <c r="Y1161" t="n">
        <v>0</v>
      </c>
      <c r="Z1161" t="inlineStr"/>
      <c r="AA1161" t="inlineStr">
        <is>
          <t>http://gemkilfygu.godaddysites.com/</t>
        </is>
      </c>
    </row>
    <row r="1162">
      <c r="A1162" t="inlineStr">
        <is>
          <t>PHISH</t>
        </is>
      </c>
      <c r="B1162" t="inlineStr"/>
      <c r="C1162" t="inlineStr">
        <is>
          <t>Phishing site targeting: pub-502b05dd72194beeb3dbb59e5ca29d96.r2.dev | URL: http://pub-502b05dd72194beeb3dbb59e5ca29d96.r2.dev/index.html</t>
        </is>
      </c>
      <c r="D1162" t="n">
        <v>6</v>
      </c>
      <c r="E1162" t="inlineStr">
        <is>
          <t>MEDIUM</t>
        </is>
      </c>
      <c r="F1162" t="n">
        <v>3</v>
      </c>
      <c r="G1162" t="n">
        <v>1</v>
      </c>
      <c r="H1162" t="inlineStr">
        <is>
          <t>MEDIUM</t>
        </is>
      </c>
      <c r="I1162" t="n">
        <v>9</v>
      </c>
      <c r="J1162" t="inlineStr">
        <is>
          <t>NO</t>
        </is>
      </c>
      <c r="K1162" t="inlineStr">
        <is>
          <t>2026-02-27T18:17:32+00:00</t>
        </is>
      </c>
      <c r="L1162" t="inlineStr">
        <is>
          <t>Block URL</t>
        </is>
      </c>
      <c r="M1162" t="inlineStr">
        <is>
          <t>Email users / pub-502b05dd72194beeb3dbb59e5ca29d96.r2.dev</t>
        </is>
      </c>
      <c r="N1162" t="inlineStr">
        <is>
          <t>P4</t>
        </is>
      </c>
      <c r="O1162" t="inlineStr">
        <is>
          <t>Phishing URL</t>
        </is>
      </c>
      <c r="P1162" t="n">
        <v>0</v>
      </c>
      <c r="Q1162" t="n">
        <v>0</v>
      </c>
      <c r="R1162" t="inlineStr">
        <is>
          <t>T1566:Phishing | T1566.002:Spearphishing Link</t>
        </is>
      </c>
      <c r="S1162" t="n">
        <v>1</v>
      </c>
      <c r="T1162" t="inlineStr">
        <is>
          <t>LOW (40%)</t>
        </is>
      </c>
      <c r="U1162" t="inlineStr">
        <is>
          <t>NONE</t>
        </is>
      </c>
      <c r="V1162" t="inlineStr">
        <is>
          <t>NONE</t>
        </is>
      </c>
      <c r="W1162" t="inlineStr">
        <is>
          <t>http://pub-502b05dd72194beeb3dbb59e5ca29d96.r2.dev/index.html</t>
        </is>
      </c>
      <c r="X1162" t="inlineStr">
        <is>
          <t>NONE</t>
        </is>
      </c>
      <c r="Y1162" t="n">
        <v>0</v>
      </c>
      <c r="Z1162" t="inlineStr"/>
      <c r="AA1162" t="inlineStr">
        <is>
          <t>http://pub-502b05dd72194beeb3dbb59e5ca29d96.r2.dev/index.html</t>
        </is>
      </c>
    </row>
    <row r="1163">
      <c r="A1163" t="inlineStr">
        <is>
          <t>PHISH</t>
        </is>
      </c>
      <c r="B1163" t="inlineStr"/>
      <c r="C1163" t="inlineStr">
        <is>
          <t>Phishing site targeting: bsb.test.nidgecloud.com | URL: http://bsb.test.nidgecloud.com/sm2</t>
        </is>
      </c>
      <c r="D1163" t="n">
        <v>6</v>
      </c>
      <c r="E1163" t="inlineStr">
        <is>
          <t>MEDIUM</t>
        </is>
      </c>
      <c r="F1163" t="n">
        <v>3</v>
      </c>
      <c r="G1163" t="n">
        <v>1</v>
      </c>
      <c r="H1163" t="inlineStr">
        <is>
          <t>MEDIUM</t>
        </is>
      </c>
      <c r="I1163" t="n">
        <v>9</v>
      </c>
      <c r="J1163" t="inlineStr">
        <is>
          <t>NO</t>
        </is>
      </c>
      <c r="K1163" t="inlineStr">
        <is>
          <t>2026-02-27T18:17:32+00:00</t>
        </is>
      </c>
      <c r="L1163" t="inlineStr">
        <is>
          <t>Block URL</t>
        </is>
      </c>
      <c r="M1163" t="inlineStr">
        <is>
          <t>Email users / bsb.test.nidgecloud.com</t>
        </is>
      </c>
      <c r="N1163" t="inlineStr">
        <is>
          <t>P4</t>
        </is>
      </c>
      <c r="O1163" t="inlineStr">
        <is>
          <t>Phishing URL</t>
        </is>
      </c>
      <c r="P1163" t="n">
        <v>0</v>
      </c>
      <c r="Q1163" t="n">
        <v>0</v>
      </c>
      <c r="R1163" t="inlineStr">
        <is>
          <t>T1566:Phishing | T1566.002:Spearphishing Link</t>
        </is>
      </c>
      <c r="S1163" t="n">
        <v>1</v>
      </c>
      <c r="T1163" t="inlineStr">
        <is>
          <t>LOW (40%)</t>
        </is>
      </c>
      <c r="U1163" t="inlineStr">
        <is>
          <t>NONE</t>
        </is>
      </c>
      <c r="V1163" t="inlineStr">
        <is>
          <t>NONE</t>
        </is>
      </c>
      <c r="W1163" t="inlineStr">
        <is>
          <t>http://bsb.test.nidgecloud.com/sm2</t>
        </is>
      </c>
      <c r="X1163" t="inlineStr">
        <is>
          <t>NONE</t>
        </is>
      </c>
      <c r="Y1163" t="n">
        <v>0</v>
      </c>
      <c r="Z1163" t="inlineStr"/>
      <c r="AA1163" t="inlineStr">
        <is>
          <t>http://bsb.test.nidgecloud.com/sm2</t>
        </is>
      </c>
    </row>
    <row r="1164">
      <c r="A1164" t="inlineStr">
        <is>
          <t>PHISH</t>
        </is>
      </c>
      <c r="B1164" t="inlineStr"/>
      <c r="C1164" t="inlineStr">
        <is>
          <t>Phishing site targeting: dtw.qlp.mybluehost.me | URL: https://dtw.qlp.mybluehost.me/input/login.php</t>
        </is>
      </c>
      <c r="D1164" t="n">
        <v>6</v>
      </c>
      <c r="E1164" t="inlineStr">
        <is>
          <t>MEDIUM</t>
        </is>
      </c>
      <c r="F1164" t="n">
        <v>3</v>
      </c>
      <c r="G1164" t="n">
        <v>1</v>
      </c>
      <c r="H1164" t="inlineStr">
        <is>
          <t>MEDIUM</t>
        </is>
      </c>
      <c r="I1164" t="n">
        <v>9</v>
      </c>
      <c r="J1164" t="inlineStr">
        <is>
          <t>NO</t>
        </is>
      </c>
      <c r="K1164" t="inlineStr">
        <is>
          <t>2026-02-27T18:17:32+00:00</t>
        </is>
      </c>
      <c r="L1164" t="inlineStr">
        <is>
          <t>Block URL</t>
        </is>
      </c>
      <c r="M1164" t="inlineStr">
        <is>
          <t>Email users / dtw.qlp.mybluehost.me</t>
        </is>
      </c>
      <c r="N1164" t="inlineStr">
        <is>
          <t>P4</t>
        </is>
      </c>
      <c r="O1164" t="inlineStr">
        <is>
          <t>Phishing URL</t>
        </is>
      </c>
      <c r="P1164" t="n">
        <v>0</v>
      </c>
      <c r="Q1164" t="n">
        <v>0</v>
      </c>
      <c r="R1164" t="inlineStr">
        <is>
          <t>T1566:Phishing | T1566.002:Spearphishing Link</t>
        </is>
      </c>
      <c r="S1164" t="n">
        <v>1</v>
      </c>
      <c r="T1164" t="inlineStr">
        <is>
          <t>LOW (40%)</t>
        </is>
      </c>
      <c r="U1164" t="inlineStr">
        <is>
          <t>NONE</t>
        </is>
      </c>
      <c r="V1164" t="inlineStr">
        <is>
          <t>NONE</t>
        </is>
      </c>
      <c r="W1164" t="inlineStr">
        <is>
          <t>https://dtw.qlp.mybluehost.me/input/login.php</t>
        </is>
      </c>
      <c r="X1164" t="inlineStr">
        <is>
          <t>NONE</t>
        </is>
      </c>
      <c r="Y1164" t="n">
        <v>0</v>
      </c>
      <c r="Z1164" t="inlineStr"/>
      <c r="AA1164" t="inlineStr">
        <is>
          <t>https://dtw.qlp.mybluehost.me/input/login.php</t>
        </is>
      </c>
    </row>
    <row r="1165">
      <c r="A1165" t="inlineStr">
        <is>
          <t>PHISH</t>
        </is>
      </c>
      <c r="B1165" t="inlineStr"/>
      <c r="C1165" t="inlineStr">
        <is>
          <t>Phishing site targeting: www.telkomservicenet.weebly.com | URL: http://www.telkomservicenet.weebly.com/</t>
        </is>
      </c>
      <c r="D1165" t="n">
        <v>6</v>
      </c>
      <c r="E1165" t="inlineStr">
        <is>
          <t>MEDIUM</t>
        </is>
      </c>
      <c r="F1165" t="n">
        <v>3</v>
      </c>
      <c r="G1165" t="n">
        <v>1</v>
      </c>
      <c r="H1165" t="inlineStr">
        <is>
          <t>MEDIUM</t>
        </is>
      </c>
      <c r="I1165" t="n">
        <v>9</v>
      </c>
      <c r="J1165" t="inlineStr">
        <is>
          <t>NO</t>
        </is>
      </c>
      <c r="K1165" t="inlineStr">
        <is>
          <t>2026-02-27T18:17:32+00:00</t>
        </is>
      </c>
      <c r="L1165" t="inlineStr">
        <is>
          <t>Block URL</t>
        </is>
      </c>
      <c r="M1165" t="inlineStr">
        <is>
          <t>Email users / www.telkomservicenet.weebly.com</t>
        </is>
      </c>
      <c r="N1165" t="inlineStr">
        <is>
          <t>P4</t>
        </is>
      </c>
      <c r="O1165" t="inlineStr">
        <is>
          <t>Phishing URL</t>
        </is>
      </c>
      <c r="P1165" t="n">
        <v>0</v>
      </c>
      <c r="Q1165" t="n">
        <v>0</v>
      </c>
      <c r="R1165" t="inlineStr">
        <is>
          <t>T1566:Phishing | T1566.002:Spearphishing Link</t>
        </is>
      </c>
      <c r="S1165" t="n">
        <v>1</v>
      </c>
      <c r="T1165" t="inlineStr">
        <is>
          <t>LOW (40%)</t>
        </is>
      </c>
      <c r="U1165" t="inlineStr">
        <is>
          <t>NONE</t>
        </is>
      </c>
      <c r="V1165" t="inlineStr">
        <is>
          <t>NONE</t>
        </is>
      </c>
      <c r="W1165" t="inlineStr">
        <is>
          <t>http://www.telkomservicenet.weebly.com/</t>
        </is>
      </c>
      <c r="X1165" t="inlineStr">
        <is>
          <t>NONE</t>
        </is>
      </c>
      <c r="Y1165" t="n">
        <v>0</v>
      </c>
      <c r="Z1165" t="inlineStr"/>
      <c r="AA1165" t="inlineStr">
        <is>
          <t>http://www.telkomservicenet.weebly.com/</t>
        </is>
      </c>
    </row>
    <row r="1166">
      <c r="A1166" t="inlineStr">
        <is>
          <t>PHISH</t>
        </is>
      </c>
      <c r="B1166" t="inlineStr"/>
      <c r="C1166" t="inlineStr">
        <is>
          <t>Phishing site targeting: easybank-landing-page-pearl.vercel.app | URL: http://easybank-landing-page-pearl.vercel.app/</t>
        </is>
      </c>
      <c r="D1166" t="n">
        <v>6</v>
      </c>
      <c r="E1166" t="inlineStr">
        <is>
          <t>MEDIUM</t>
        </is>
      </c>
      <c r="F1166" t="n">
        <v>3</v>
      </c>
      <c r="G1166" t="n">
        <v>1</v>
      </c>
      <c r="H1166" t="inlineStr">
        <is>
          <t>MEDIUM</t>
        </is>
      </c>
      <c r="I1166" t="n">
        <v>9</v>
      </c>
      <c r="J1166" t="inlineStr">
        <is>
          <t>NO</t>
        </is>
      </c>
      <c r="K1166" t="inlineStr">
        <is>
          <t>2026-02-27T18:17:32+00:00</t>
        </is>
      </c>
      <c r="L1166" t="inlineStr">
        <is>
          <t>Block URL</t>
        </is>
      </c>
      <c r="M1166" t="inlineStr">
        <is>
          <t>Email users / easybank-landing-page-pearl.vercel.app</t>
        </is>
      </c>
      <c r="N1166" t="inlineStr">
        <is>
          <t>P4</t>
        </is>
      </c>
      <c r="O1166" t="inlineStr">
        <is>
          <t>Phishing URL</t>
        </is>
      </c>
      <c r="P1166" t="n">
        <v>0</v>
      </c>
      <c r="Q1166" t="n">
        <v>0</v>
      </c>
      <c r="R1166" t="inlineStr">
        <is>
          <t>T1566:Phishing | T1566.002:Spearphishing Link</t>
        </is>
      </c>
      <c r="S1166" t="n">
        <v>1</v>
      </c>
      <c r="T1166" t="inlineStr">
        <is>
          <t>LOW (40%)</t>
        </is>
      </c>
      <c r="U1166" t="inlineStr">
        <is>
          <t>NONE</t>
        </is>
      </c>
      <c r="V1166" t="inlineStr">
        <is>
          <t>NONE</t>
        </is>
      </c>
      <c r="W1166" t="inlineStr">
        <is>
          <t>http://easybank-landing-page-pearl.vercel.app/</t>
        </is>
      </c>
      <c r="X1166" t="inlineStr">
        <is>
          <t>NONE</t>
        </is>
      </c>
      <c r="Y1166" t="n">
        <v>0</v>
      </c>
      <c r="Z1166" t="inlineStr"/>
      <c r="AA1166" t="inlineStr">
        <is>
          <t>http://easybank-landing-page-pearl.vercel.app/</t>
        </is>
      </c>
    </row>
    <row r="1167">
      <c r="A1167" t="inlineStr">
        <is>
          <t>PHISH</t>
        </is>
      </c>
      <c r="B1167" t="inlineStr"/>
      <c r="C1167" t="inlineStr">
        <is>
          <t>Phishing site targeting: www.instagram-clone-nu-seven.vercel.app | URL: https://www.instagram-clone-nu-seven.vercel.app/</t>
        </is>
      </c>
      <c r="D1167" t="n">
        <v>6</v>
      </c>
      <c r="E1167" t="inlineStr">
        <is>
          <t>MEDIUM</t>
        </is>
      </c>
      <c r="F1167" t="n">
        <v>3</v>
      </c>
      <c r="G1167" t="n">
        <v>1</v>
      </c>
      <c r="H1167" t="inlineStr">
        <is>
          <t>MEDIUM</t>
        </is>
      </c>
      <c r="I1167" t="n">
        <v>9</v>
      </c>
      <c r="J1167" t="inlineStr">
        <is>
          <t>NO</t>
        </is>
      </c>
      <c r="K1167" t="inlineStr">
        <is>
          <t>2026-02-27T18:17:32+00:00</t>
        </is>
      </c>
      <c r="L1167" t="inlineStr">
        <is>
          <t>Block URL</t>
        </is>
      </c>
      <c r="M1167" t="inlineStr">
        <is>
          <t>Email users / www.instagram-clone-nu-seven.vercel.app</t>
        </is>
      </c>
      <c r="N1167" t="inlineStr">
        <is>
          <t>P4</t>
        </is>
      </c>
      <c r="O1167" t="inlineStr">
        <is>
          <t>Phishing URL</t>
        </is>
      </c>
      <c r="P1167" t="n">
        <v>0</v>
      </c>
      <c r="Q1167" t="n">
        <v>0</v>
      </c>
      <c r="R1167" t="inlineStr">
        <is>
          <t>T1566:Phishing | T1566.002:Spearphishing Link</t>
        </is>
      </c>
      <c r="S1167" t="n">
        <v>1</v>
      </c>
      <c r="T1167" t="inlineStr">
        <is>
          <t>LOW (40%)</t>
        </is>
      </c>
      <c r="U1167" t="inlineStr">
        <is>
          <t>NONE</t>
        </is>
      </c>
      <c r="V1167" t="inlineStr">
        <is>
          <t>NONE</t>
        </is>
      </c>
      <c r="W1167" t="inlineStr">
        <is>
          <t>https://www.instagram-clone-nu-seven.vercel.app/</t>
        </is>
      </c>
      <c r="X1167" t="inlineStr">
        <is>
          <t>NONE</t>
        </is>
      </c>
      <c r="Y1167" t="n">
        <v>0</v>
      </c>
      <c r="Z1167" t="inlineStr"/>
      <c r="AA1167" t="inlineStr">
        <is>
          <t>https://www.instagram-clone-nu-seven.vercel.app/</t>
        </is>
      </c>
    </row>
    <row r="1168">
      <c r="A1168" t="inlineStr">
        <is>
          <t>OTX_PULSE</t>
        </is>
      </c>
      <c r="B1168" t="inlineStr">
        <is>
          <t>697a54c77c23553aa2d3be96</t>
        </is>
      </c>
      <c r="C1168"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68" t="n">
        <v>7</v>
      </c>
      <c r="E1168" t="inlineStr">
        <is>
          <t>HIGH</t>
        </is>
      </c>
      <c r="F1168" t="n">
        <v>3</v>
      </c>
      <c r="G1168" t="n">
        <v>2</v>
      </c>
      <c r="H1168" t="inlineStr">
        <is>
          <t>HIGH</t>
        </is>
      </c>
      <c r="I1168" t="n">
        <v>13</v>
      </c>
      <c r="J1168" t="inlineStr">
        <is>
          <t>NO</t>
        </is>
      </c>
      <c r="K1168" t="inlineStr">
        <is>
          <t>2026-01-28T18:26:15.886000</t>
        </is>
      </c>
      <c r="L1168" t="inlineStr">
        <is>
          <t>SEE_PULSE</t>
        </is>
      </c>
      <c r="M1168" t="inlineStr">
        <is>
          <t>xworm, email campaigns, ldr4, cybercrime, dcrat, xeno rat, clickfix, malware delivery, cobalt strike, tsundere bot, ursnif, warmcookie, initial access broker, social engineering</t>
        </is>
      </c>
      <c r="N1168" t="inlineStr">
        <is>
          <t>P3</t>
        </is>
      </c>
      <c r="O1168" t="inlineStr">
        <is>
          <t>OTX Pulse - check IP IOCs separately</t>
        </is>
      </c>
      <c r="P1168" t="n">
        <v>0</v>
      </c>
      <c r="Q1168" t="n">
        <v>0</v>
      </c>
      <c r="R1168" t="inlineStr">
        <is>
          <t>See OTX pulse tags</t>
        </is>
      </c>
      <c r="S1168" t="n">
        <v>1</v>
      </c>
      <c r="T1168" t="inlineStr">
        <is>
          <t>LOW (40%)</t>
        </is>
      </c>
      <c r="U1168" t="inlineStr">
        <is>
          <t>NONE</t>
        </is>
      </c>
      <c r="V1168" t="inlineStr">
        <is>
          <t>NONE</t>
        </is>
      </c>
      <c r="W1168" t="inlineStr">
        <is>
          <t>NONE</t>
        </is>
      </c>
      <c r="X1168" t="inlineStr">
        <is>
          <t>NONE</t>
        </is>
      </c>
      <c r="Y1168" t="n">
        <v>0</v>
      </c>
      <c r="Z1168" t="inlineStr"/>
      <c r="AA1168" t="inlineStr">
        <is>
          <t>https://www.proofpoint.com/us/blog/threat-insight/cant-stop-wont-stop-ta584-innovates-initial-access</t>
        </is>
      </c>
    </row>
    <row r="1169">
      <c r="A1169" t="inlineStr">
        <is>
          <t>OTX_PULSE</t>
        </is>
      </c>
      <c r="B1169" t="inlineStr">
        <is>
          <t>697a454330d96ae56f959ed4</t>
        </is>
      </c>
      <c r="C1169"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69" t="n">
        <v>7</v>
      </c>
      <c r="E1169" t="inlineStr">
        <is>
          <t>HIGH</t>
        </is>
      </c>
      <c r="F1169" t="n">
        <v>3</v>
      </c>
      <c r="G1169" t="n">
        <v>2</v>
      </c>
      <c r="H1169" t="inlineStr">
        <is>
          <t>HIGH</t>
        </is>
      </c>
      <c r="I1169" t="n">
        <v>13</v>
      </c>
      <c r="J1169" t="inlineStr">
        <is>
          <t>NO</t>
        </is>
      </c>
      <c r="K1169" t="inlineStr">
        <is>
          <t>2026-01-28T17:20:03.077000</t>
        </is>
      </c>
      <c r="L1169" t="inlineStr">
        <is>
          <t>SEE_PULSE</t>
        </is>
      </c>
      <c r="M1169" t="inlineStr">
        <is>
          <t>phishing, ai-assisted, sideloading, hvnc, vietnam, cybercrime, job offers, purerat</t>
        </is>
      </c>
      <c r="N1169" t="inlineStr">
        <is>
          <t>P3</t>
        </is>
      </c>
      <c r="O1169" t="inlineStr">
        <is>
          <t>OTX Pulse - check IP IOCs separately</t>
        </is>
      </c>
      <c r="P1169" t="n">
        <v>0</v>
      </c>
      <c r="Q1169" t="n">
        <v>0</v>
      </c>
      <c r="R1169" t="inlineStr">
        <is>
          <t>See OTX pulse tags</t>
        </is>
      </c>
      <c r="S1169" t="n">
        <v>1</v>
      </c>
      <c r="T1169" t="inlineStr">
        <is>
          <t>LOW (40%)</t>
        </is>
      </c>
      <c r="U1169" t="inlineStr">
        <is>
          <t>NONE</t>
        </is>
      </c>
      <c r="V1169" t="inlineStr">
        <is>
          <t>NONE</t>
        </is>
      </c>
      <c r="W1169" t="inlineStr">
        <is>
          <t>NONE</t>
        </is>
      </c>
      <c r="X1169" t="inlineStr">
        <is>
          <t>NONE</t>
        </is>
      </c>
      <c r="Y1169" t="n">
        <v>0</v>
      </c>
      <c r="Z1169" t="inlineStr"/>
      <c r="AA1169" t="inlineStr">
        <is>
          <t>https://www.security.com/threat-intelligence/ai-purerat-phishing</t>
        </is>
      </c>
    </row>
    <row r="1170">
      <c r="A1170" t="inlineStr">
        <is>
          <t>OTX_PULSE</t>
        </is>
      </c>
      <c r="B1170" t="inlineStr">
        <is>
          <t>6894566bd94b79b7fbdbade1</t>
        </is>
      </c>
      <c r="C1170"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70" t="n">
        <v>7</v>
      </c>
      <c r="E1170" t="inlineStr">
        <is>
          <t>HIGH</t>
        </is>
      </c>
      <c r="F1170" t="n">
        <v>3</v>
      </c>
      <c r="G1170" t="n">
        <v>2</v>
      </c>
      <c r="H1170" t="inlineStr">
        <is>
          <t>HIGH</t>
        </is>
      </c>
      <c r="I1170" t="n">
        <v>13</v>
      </c>
      <c r="J1170" t="inlineStr">
        <is>
          <t>NO</t>
        </is>
      </c>
      <c r="K1170" t="inlineStr">
        <is>
          <t>2025-08-07T07:31:55.617000</t>
        </is>
      </c>
      <c r="L1170" t="inlineStr">
        <is>
          <t>SEE_PULSE</t>
        </is>
      </c>
      <c r="M1170" t="inlineStr">
        <is>
          <t>Various</t>
        </is>
      </c>
      <c r="N1170" t="inlineStr">
        <is>
          <t>P3</t>
        </is>
      </c>
      <c r="O1170" t="inlineStr">
        <is>
          <t>OTX Pulse - check IP IOCs separately</t>
        </is>
      </c>
      <c r="P1170" t="n">
        <v>0</v>
      </c>
      <c r="Q1170" t="n">
        <v>0</v>
      </c>
      <c r="R1170" t="inlineStr">
        <is>
          <t>See OTX pulse tags</t>
        </is>
      </c>
      <c r="S1170" t="n">
        <v>1</v>
      </c>
      <c r="T1170" t="inlineStr">
        <is>
          <t>LOW (40%)</t>
        </is>
      </c>
      <c r="U1170" t="inlineStr">
        <is>
          <t>NONE</t>
        </is>
      </c>
      <c r="V1170" t="inlineStr">
        <is>
          <t>NONE</t>
        </is>
      </c>
      <c r="W1170" t="inlineStr">
        <is>
          <t>NONE</t>
        </is>
      </c>
      <c r="X1170" t="inlineStr">
        <is>
          <t>NONE</t>
        </is>
      </c>
      <c r="Y1170" t="n">
        <v>0</v>
      </c>
      <c r="Z1170" t="inlineStr"/>
      <c r="AA1170" t="inlineStr">
        <is>
          <t>https://otx.alienvault.com</t>
        </is>
      </c>
    </row>
    <row r="1171">
      <c r="A1171" t="inlineStr">
        <is>
          <t>OTX_PULSE</t>
        </is>
      </c>
      <c r="B1171" t="inlineStr">
        <is>
          <t>697a0fb2c327ef769cb46467</t>
        </is>
      </c>
      <c r="C1171"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71" t="n">
        <v>7</v>
      </c>
      <c r="E1171" t="inlineStr">
        <is>
          <t>HIGH</t>
        </is>
      </c>
      <c r="F1171" t="n">
        <v>3</v>
      </c>
      <c r="G1171" t="n">
        <v>2</v>
      </c>
      <c r="H1171" t="inlineStr">
        <is>
          <t>HIGH</t>
        </is>
      </c>
      <c r="I1171" t="n">
        <v>13</v>
      </c>
      <c r="J1171" t="inlineStr">
        <is>
          <t>NO</t>
        </is>
      </c>
      <c r="K1171" t="inlineStr">
        <is>
          <t>2026-01-28T13:31:30.733000</t>
        </is>
      </c>
      <c r="L1171" t="inlineStr">
        <is>
          <t>SEE_PULSE</t>
        </is>
      </c>
      <c r="M1171"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N1171" t="inlineStr">
        <is>
          <t>P3</t>
        </is>
      </c>
      <c r="O1171" t="inlineStr">
        <is>
          <t>OTX Pulse - check IP IOCs separately</t>
        </is>
      </c>
      <c r="P1171" t="n">
        <v>0</v>
      </c>
      <c r="Q1171" t="n">
        <v>0</v>
      </c>
      <c r="R1171" t="inlineStr">
        <is>
          <t>See OTX pulse tags</t>
        </is>
      </c>
      <c r="S1171" t="n">
        <v>1</v>
      </c>
      <c r="T1171" t="inlineStr">
        <is>
          <t>LOW (40%)</t>
        </is>
      </c>
      <c r="U1171" t="inlineStr">
        <is>
          <t>NONE</t>
        </is>
      </c>
      <c r="V1171" t="inlineStr">
        <is>
          <t>NONE</t>
        </is>
      </c>
      <c r="W1171" t="inlineStr">
        <is>
          <t>NONE</t>
        </is>
      </c>
      <c r="X1171" t="inlineStr">
        <is>
          <t>NONE</t>
        </is>
      </c>
      <c r="Y1171" t="n">
        <v>0</v>
      </c>
      <c r="Z1171" t="inlineStr"/>
      <c r="AA1171" t="inlineStr">
        <is>
          <t>https://www.f5.com/labs/articles/weekly-threat-bulletin-january-28th-2026</t>
        </is>
      </c>
    </row>
    <row r="1172">
      <c r="A1172" t="inlineStr">
        <is>
          <t>OTX_PULSE</t>
        </is>
      </c>
      <c r="B1172" t="inlineStr">
        <is>
          <t>69a1649bf2952cacd54d98fb</t>
        </is>
      </c>
      <c r="C1172"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72" t="n">
        <v>7</v>
      </c>
      <c r="E1172" t="inlineStr">
        <is>
          <t>HIGH</t>
        </is>
      </c>
      <c r="F1172" t="n">
        <v>3</v>
      </c>
      <c r="G1172" t="n">
        <v>2</v>
      </c>
      <c r="H1172" t="inlineStr">
        <is>
          <t>HIGH</t>
        </is>
      </c>
      <c r="I1172" t="n">
        <v>13</v>
      </c>
      <c r="J1172" t="inlineStr">
        <is>
          <t>NO</t>
        </is>
      </c>
      <c r="K1172" t="inlineStr">
        <is>
          <t>2026-02-27T09:32:11.659000</t>
        </is>
      </c>
      <c r="L1172" t="inlineStr">
        <is>
          <t>SEE_PULSE</t>
        </is>
      </c>
      <c r="M1172" t="inlineStr">
        <is>
          <t>healthcare, dll sideloading, dns-over-https, edr bypass, dohdoor, backdoor, united states, education</t>
        </is>
      </c>
      <c r="N1172" t="inlineStr">
        <is>
          <t>P3</t>
        </is>
      </c>
      <c r="O1172" t="inlineStr">
        <is>
          <t>OTX Pulse - check IP IOCs separately</t>
        </is>
      </c>
      <c r="P1172" t="n">
        <v>0</v>
      </c>
      <c r="Q1172" t="n">
        <v>0</v>
      </c>
      <c r="R1172" t="inlineStr">
        <is>
          <t>See OTX pulse tags</t>
        </is>
      </c>
      <c r="S1172" t="n">
        <v>1</v>
      </c>
      <c r="T1172" t="inlineStr">
        <is>
          <t>LOW (40%)</t>
        </is>
      </c>
      <c r="U1172" t="inlineStr">
        <is>
          <t>NONE</t>
        </is>
      </c>
      <c r="V1172" t="inlineStr">
        <is>
          <t>NONE</t>
        </is>
      </c>
      <c r="W1172" t="inlineStr">
        <is>
          <t>NONE</t>
        </is>
      </c>
      <c r="X1172" t="inlineStr">
        <is>
          <t>NONE</t>
        </is>
      </c>
      <c r="Y1172" t="n">
        <v>0</v>
      </c>
      <c r="Z1172" t="inlineStr"/>
      <c r="AA1172" t="inlineStr">
        <is>
          <t>https://blog.talosintelligence.com/new-dohdoor-malware-campaign/</t>
        </is>
      </c>
    </row>
    <row r="1173">
      <c r="A1173" t="inlineStr">
        <is>
          <t>OTX_PULSE</t>
        </is>
      </c>
      <c r="B1173" t="inlineStr">
        <is>
          <t>69a161489d57df80623a8b5c</t>
        </is>
      </c>
      <c r="C1173"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73" t="n">
        <v>7</v>
      </c>
      <c r="E1173" t="inlineStr">
        <is>
          <t>HIGH</t>
        </is>
      </c>
      <c r="F1173" t="n">
        <v>3</v>
      </c>
      <c r="G1173" t="n">
        <v>2</v>
      </c>
      <c r="H1173" t="inlineStr">
        <is>
          <t>HIGH</t>
        </is>
      </c>
      <c r="I1173" t="n">
        <v>13</v>
      </c>
      <c r="J1173" t="inlineStr">
        <is>
          <t>NO</t>
        </is>
      </c>
      <c r="K1173" t="inlineStr">
        <is>
          <t>2026-02-27T09:18:00.513000</t>
        </is>
      </c>
      <c r="L1173" t="inlineStr">
        <is>
          <t>SEE_PULSE</t>
        </is>
      </c>
      <c r="M1173" t="inlineStr">
        <is>
          <t>yandex cloud, detection evasion, preinstall script, supply chain, apfell, mythicagents, windows, npm, linux, reverse_ssh, open-source malware, macos</t>
        </is>
      </c>
      <c r="N1173" t="inlineStr">
        <is>
          <t>P3</t>
        </is>
      </c>
      <c r="O1173" t="inlineStr">
        <is>
          <t>OTX Pulse - check IP IOCs separately</t>
        </is>
      </c>
      <c r="P1173" t="n">
        <v>0</v>
      </c>
      <c r="Q1173" t="n">
        <v>0</v>
      </c>
      <c r="R1173" t="inlineStr">
        <is>
          <t>See OTX pulse tags</t>
        </is>
      </c>
      <c r="S1173" t="n">
        <v>1</v>
      </c>
      <c r="T1173" t="inlineStr">
        <is>
          <t>LOW (40%)</t>
        </is>
      </c>
      <c r="U1173" t="inlineStr">
        <is>
          <t>NONE</t>
        </is>
      </c>
      <c r="V1173" t="inlineStr">
        <is>
          <t>NONE</t>
        </is>
      </c>
      <c r="W1173" t="inlineStr">
        <is>
          <t>NONE</t>
        </is>
      </c>
      <c r="X1173" t="inlineStr">
        <is>
          <t>NONE</t>
        </is>
      </c>
      <c r="Y1173" t="n">
        <v>0</v>
      </c>
      <c r="Z1173" t="inlineStr"/>
      <c r="AA1173" t="inlineStr">
        <is>
          <t>https://www.tenable.com/blog/cybersecurity-research-faq-new-malicious-npm-package-ambar-src</t>
        </is>
      </c>
    </row>
    <row r="1174">
      <c r="A1174" t="inlineStr">
        <is>
          <t>OTX_PULSE</t>
        </is>
      </c>
      <c r="B1174" t="inlineStr">
        <is>
          <t>69a163c992e9afc70efc55d7</t>
        </is>
      </c>
      <c r="C1174"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74" t="n">
        <v>7</v>
      </c>
      <c r="E1174" t="inlineStr">
        <is>
          <t>HIGH</t>
        </is>
      </c>
      <c r="F1174" t="n">
        <v>3</v>
      </c>
      <c r="G1174" t="n">
        <v>2</v>
      </c>
      <c r="H1174" t="inlineStr">
        <is>
          <t>HIGH</t>
        </is>
      </c>
      <c r="I1174" t="n">
        <v>13</v>
      </c>
      <c r="J1174" t="inlineStr">
        <is>
          <t>NO</t>
        </is>
      </c>
      <c r="K1174" t="inlineStr">
        <is>
          <t>2026-02-27T09:28:41.886000</t>
        </is>
      </c>
      <c r="L1174" t="inlineStr">
        <is>
          <t>SEE_PULSE</t>
        </is>
      </c>
      <c r="M1174" t="inlineStr">
        <is>
          <t>ocrfix, etherhiding, typosquatting, obfuscation, botnet, multi-stage, phishing, defense evasion, bnb smart chain, clickfix</t>
        </is>
      </c>
      <c r="N1174" t="inlineStr">
        <is>
          <t>P3</t>
        </is>
      </c>
      <c r="O1174" t="inlineStr">
        <is>
          <t>OTX Pulse - check IP IOCs separately</t>
        </is>
      </c>
      <c r="P1174" t="n">
        <v>0</v>
      </c>
      <c r="Q1174" t="n">
        <v>0</v>
      </c>
      <c r="R1174" t="inlineStr">
        <is>
          <t>See OTX pulse tags</t>
        </is>
      </c>
      <c r="S1174" t="n">
        <v>1</v>
      </c>
      <c r="T1174" t="inlineStr">
        <is>
          <t>LOW (40%)</t>
        </is>
      </c>
      <c r="U1174" t="inlineStr">
        <is>
          <t>NONE</t>
        </is>
      </c>
      <c r="V1174" t="inlineStr">
        <is>
          <t>NONE</t>
        </is>
      </c>
      <c r="W1174" t="inlineStr">
        <is>
          <t>NONE</t>
        </is>
      </c>
      <c r="X1174" t="inlineStr">
        <is>
          <t>NONE</t>
        </is>
      </c>
      <c r="Y1174" t="n">
        <v>0</v>
      </c>
      <c r="Z1174" t="inlineStr"/>
      <c r="AA1174" t="inlineStr">
        <is>
          <t>https://www.cyjax.com/resources/blog/ocrfix-botnet-trojan-delivered-through-clickfix-and-etherhiding</t>
        </is>
      </c>
    </row>
    <row r="1175">
      <c r="A1175" t="inlineStr">
        <is>
          <t>OTX_PULSE</t>
        </is>
      </c>
      <c r="B1175" t="inlineStr">
        <is>
          <t>69a163a059457844f52c2502</t>
        </is>
      </c>
      <c r="C1175"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75" t="n">
        <v>7</v>
      </c>
      <c r="E1175" t="inlineStr">
        <is>
          <t>HIGH</t>
        </is>
      </c>
      <c r="F1175" t="n">
        <v>3</v>
      </c>
      <c r="G1175" t="n">
        <v>2</v>
      </c>
      <c r="H1175" t="inlineStr">
        <is>
          <t>HIGH</t>
        </is>
      </c>
      <c r="I1175" t="n">
        <v>13</v>
      </c>
      <c r="J1175" t="inlineStr">
        <is>
          <t>NO</t>
        </is>
      </c>
      <c r="K1175" t="inlineStr">
        <is>
          <t>2026-02-27T09:28:00.187000</t>
        </is>
      </c>
      <c r="L1175" t="inlineStr">
        <is>
          <t>SEE_PULSE</t>
        </is>
      </c>
      <c r="M1175" t="inlineStr">
        <is>
          <t>subdomain shadowing, ipv6, dns abuse, cname hijacking, phishing, arpa tld, reverse dns</t>
        </is>
      </c>
      <c r="N1175" t="inlineStr">
        <is>
          <t>P3</t>
        </is>
      </c>
      <c r="O1175" t="inlineStr">
        <is>
          <t>OTX Pulse - check IP IOCs separately</t>
        </is>
      </c>
      <c r="P1175" t="n">
        <v>0</v>
      </c>
      <c r="Q1175" t="n">
        <v>0</v>
      </c>
      <c r="R1175" t="inlineStr">
        <is>
          <t>See OTX pulse tags</t>
        </is>
      </c>
      <c r="S1175" t="n">
        <v>1</v>
      </c>
      <c r="T1175" t="inlineStr">
        <is>
          <t>LOW (40%)</t>
        </is>
      </c>
      <c r="U1175" t="inlineStr">
        <is>
          <t>NONE</t>
        </is>
      </c>
      <c r="V1175" t="inlineStr">
        <is>
          <t>NONE</t>
        </is>
      </c>
      <c r="W1175" t="inlineStr">
        <is>
          <t>NONE</t>
        </is>
      </c>
      <c r="X1175" t="inlineStr">
        <is>
          <t>NONE</t>
        </is>
      </c>
      <c r="Y1175" t="n">
        <v>0</v>
      </c>
      <c r="Z1175" t="inlineStr"/>
      <c r="AA1175" t="inlineStr">
        <is>
          <t>https://www.infoblox.com/blog/threat-intelligence/abusing-arpa-the-tld-that-isnt-supposed-to-host-anything/</t>
        </is>
      </c>
    </row>
    <row r="1176">
      <c r="A1176" t="inlineStr">
        <is>
          <t>OTX_PULSE</t>
        </is>
      </c>
      <c r="B1176" t="inlineStr">
        <is>
          <t>69a16400e81050e6038ad281</t>
        </is>
      </c>
      <c r="C1176"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76" t="n">
        <v>7</v>
      </c>
      <c r="E1176" t="inlineStr">
        <is>
          <t>HIGH</t>
        </is>
      </c>
      <c r="F1176" t="n">
        <v>3</v>
      </c>
      <c r="G1176" t="n">
        <v>2</v>
      </c>
      <c r="H1176" t="inlineStr">
        <is>
          <t>HIGH</t>
        </is>
      </c>
      <c r="I1176" t="n">
        <v>13</v>
      </c>
      <c r="J1176" t="inlineStr">
        <is>
          <t>NO</t>
        </is>
      </c>
      <c r="K1176" t="inlineStr">
        <is>
          <t>2026-02-27T09:29:36.415000</t>
        </is>
      </c>
      <c r="L1176" t="inlineStr">
        <is>
          <t>SEE_PULSE</t>
        </is>
      </c>
      <c r="M1176" t="inlineStr">
        <is>
          <t>bytecode vm, weaselstore, visual studio code, url shorteners, beavertail, obfuscation, pyarmor, ide, payload staging, cursor, github gists</t>
        </is>
      </c>
      <c r="N1176" t="inlineStr">
        <is>
          <t>P3</t>
        </is>
      </c>
      <c r="O1176" t="inlineStr">
        <is>
          <t>OTX Pulse - check IP IOCs separately</t>
        </is>
      </c>
      <c r="P1176" t="n">
        <v>0</v>
      </c>
      <c r="Q1176" t="n">
        <v>0</v>
      </c>
      <c r="R1176" t="inlineStr">
        <is>
          <t>See OTX pulse tags</t>
        </is>
      </c>
      <c r="S1176" t="n">
        <v>1</v>
      </c>
      <c r="T1176" t="inlineStr">
        <is>
          <t>LOW (40%)</t>
        </is>
      </c>
      <c r="U1176" t="inlineStr">
        <is>
          <t>NONE</t>
        </is>
      </c>
      <c r="V1176" t="inlineStr">
        <is>
          <t>NONE</t>
        </is>
      </c>
      <c r="W1176" t="inlineStr">
        <is>
          <t>NONE</t>
        </is>
      </c>
      <c r="X1176" t="inlineStr">
        <is>
          <t>NONE</t>
        </is>
      </c>
      <c r="Y1176" t="n">
        <v>0</v>
      </c>
      <c r="Z1176" t="inlineStr"/>
      <c r="AA1176" t="inlineStr">
        <is>
          <t>https://www.abstract.security/blog/contagious-interview-evolution-of-vscode-and-cursor-tasks-infection-chains</t>
        </is>
      </c>
    </row>
    <row r="1177">
      <c r="A1177" t="inlineStr">
        <is>
          <t>OTX_PULSE</t>
        </is>
      </c>
      <c r="B1177" t="inlineStr">
        <is>
          <t>69a0dfeb9760c4f36290ec61</t>
        </is>
      </c>
      <c r="C1177"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77" t="n">
        <v>7</v>
      </c>
      <c r="E1177" t="inlineStr">
        <is>
          <t>HIGH</t>
        </is>
      </c>
      <c r="F1177" t="n">
        <v>3</v>
      </c>
      <c r="G1177" t="n">
        <v>2</v>
      </c>
      <c r="H1177" t="inlineStr">
        <is>
          <t>HIGH</t>
        </is>
      </c>
      <c r="I1177" t="n">
        <v>13</v>
      </c>
      <c r="J1177" t="inlineStr">
        <is>
          <t>NO</t>
        </is>
      </c>
      <c r="K1177" t="inlineStr">
        <is>
          <t>2026-02-27T00:06:03.549000</t>
        </is>
      </c>
      <c r="L1177" t="inlineStr">
        <is>
          <t>SEE_PULSE</t>
        </is>
      </c>
      <c r="M1177" t="inlineStr">
        <is>
          <t>dns-over-https, cve-2026-20127, healthcare sector, ai adoption, dohdoor, education sector, threat intelligence, cybersecurity risks, dohdoor backdoor</t>
        </is>
      </c>
      <c r="N1177" t="inlineStr">
        <is>
          <t>P3</t>
        </is>
      </c>
      <c r="O1177" t="inlineStr">
        <is>
          <t>OTX Pulse - check IP IOCs separately</t>
        </is>
      </c>
      <c r="P1177" t="n">
        <v>0</v>
      </c>
      <c r="Q1177" t="n">
        <v>0</v>
      </c>
      <c r="R1177" t="inlineStr">
        <is>
          <t>See OTX pulse tags</t>
        </is>
      </c>
      <c r="S1177" t="n">
        <v>1</v>
      </c>
      <c r="T1177" t="inlineStr">
        <is>
          <t>LOW (40%)</t>
        </is>
      </c>
      <c r="U1177" t="inlineStr">
        <is>
          <t>NONE</t>
        </is>
      </c>
      <c r="V1177" t="inlineStr">
        <is>
          <t>NONE</t>
        </is>
      </c>
      <c r="W1177" t="inlineStr">
        <is>
          <t>NONE</t>
        </is>
      </c>
      <c r="X1177" t="inlineStr">
        <is>
          <t>NONE</t>
        </is>
      </c>
      <c r="Y1177" t="n">
        <v>0</v>
      </c>
      <c r="Z1177" t="inlineStr"/>
      <c r="AA1177" t="inlineStr">
        <is>
          <t>https://blog.talosintelligence.com/henry-iv-hotspur-hal-and-hallucinations/</t>
        </is>
      </c>
    </row>
    <row r="1178">
      <c r="A1178" t="inlineStr">
        <is>
          <t>OTX_PULSE</t>
        </is>
      </c>
      <c r="B1178" t="inlineStr">
        <is>
          <t>69a1276fbef301b2eb97cd94</t>
        </is>
      </c>
      <c r="C1178"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78" t="n">
        <v>7</v>
      </c>
      <c r="E1178" t="inlineStr">
        <is>
          <t>HIGH</t>
        </is>
      </c>
      <c r="F1178" t="n">
        <v>3</v>
      </c>
      <c r="G1178" t="n">
        <v>2</v>
      </c>
      <c r="H1178" t="inlineStr">
        <is>
          <t>HIGH</t>
        </is>
      </c>
      <c r="I1178" t="n">
        <v>13</v>
      </c>
      <c r="J1178" t="inlineStr">
        <is>
          <t>NO</t>
        </is>
      </c>
      <c r="K1178" t="inlineStr">
        <is>
          <t>2026-02-27T05:11:11.289000</t>
        </is>
      </c>
      <c r="L1178" t="inlineStr">
        <is>
          <t>SEE_PULSE</t>
        </is>
      </c>
      <c r="M1178" t="inlineStr">
        <is>
          <t>cryptography-impersonation, rekoobe, supply-chain-attack, linux-malware, backdoor, golang, password-theft, github-abuse</t>
        </is>
      </c>
      <c r="N1178" t="inlineStr">
        <is>
          <t>P3</t>
        </is>
      </c>
      <c r="O1178" t="inlineStr">
        <is>
          <t>OTX Pulse - check IP IOCs separately</t>
        </is>
      </c>
      <c r="P1178" t="n">
        <v>0</v>
      </c>
      <c r="Q1178" t="n">
        <v>0</v>
      </c>
      <c r="R1178" t="inlineStr">
        <is>
          <t>See OTX pulse tags</t>
        </is>
      </c>
      <c r="S1178" t="n">
        <v>1</v>
      </c>
      <c r="T1178" t="inlineStr">
        <is>
          <t>LOW (40%)</t>
        </is>
      </c>
      <c r="U1178" t="inlineStr">
        <is>
          <t>NONE</t>
        </is>
      </c>
      <c r="V1178" t="inlineStr">
        <is>
          <t>NONE</t>
        </is>
      </c>
      <c r="W1178" t="inlineStr">
        <is>
          <t>NONE</t>
        </is>
      </c>
      <c r="X1178" t="inlineStr">
        <is>
          <t>NONE</t>
        </is>
      </c>
      <c r="Y1178" t="n">
        <v>0</v>
      </c>
      <c r="Z1178" t="inlineStr"/>
      <c r="AA1178" t="inlineStr">
        <is>
          <t>https://socket.dev/blog/malicious-go-crypto-module-steals-passwords-and-deploys-rekoobe-backdoor</t>
        </is>
      </c>
    </row>
    <row r="1179">
      <c r="A1179" t="inlineStr">
        <is>
          <t>OTX_PULSE</t>
        </is>
      </c>
      <c r="B1179" t="inlineStr">
        <is>
          <t>69a06896d797f45ad8da76b0</t>
        </is>
      </c>
      <c r="C1179"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79" t="n">
        <v>7</v>
      </c>
      <c r="E1179" t="inlineStr">
        <is>
          <t>HIGH</t>
        </is>
      </c>
      <c r="F1179" t="n">
        <v>3</v>
      </c>
      <c r="G1179" t="n">
        <v>2</v>
      </c>
      <c r="H1179" t="inlineStr">
        <is>
          <t>HIGH</t>
        </is>
      </c>
      <c r="I1179" t="n">
        <v>13</v>
      </c>
      <c r="J1179" t="inlineStr">
        <is>
          <t>NO</t>
        </is>
      </c>
      <c r="K1179" t="inlineStr">
        <is>
          <t>2026-02-26T15:36:54.379000</t>
        </is>
      </c>
      <c r="L1179" t="inlineStr">
        <is>
          <t>SEE_PULSE</t>
        </is>
      </c>
      <c r="M1179" t="inlineStr">
        <is>
          <t>ruby, air-gapped networks, surveillance, bluelight, footwine, thumbsbd, removable media, shellcode, snakedropper, dprk, backdoor, virustask, restleaf, cloud storage</t>
        </is>
      </c>
      <c r="N1179" t="inlineStr">
        <is>
          <t>P3</t>
        </is>
      </c>
      <c r="O1179" t="inlineStr">
        <is>
          <t>OTX Pulse - check IP IOCs separately</t>
        </is>
      </c>
      <c r="P1179" t="n">
        <v>0</v>
      </c>
      <c r="Q1179" t="n">
        <v>0</v>
      </c>
      <c r="R1179" t="inlineStr">
        <is>
          <t>See OTX pulse tags</t>
        </is>
      </c>
      <c r="S1179" t="n">
        <v>1</v>
      </c>
      <c r="T1179" t="inlineStr">
        <is>
          <t>LOW (40%)</t>
        </is>
      </c>
      <c r="U1179" t="inlineStr">
        <is>
          <t>NONE</t>
        </is>
      </c>
      <c r="V1179" t="inlineStr">
        <is>
          <t>NONE</t>
        </is>
      </c>
      <c r="W1179" t="inlineStr">
        <is>
          <t>NONE</t>
        </is>
      </c>
      <c r="X1179" t="inlineStr">
        <is>
          <t>NONE</t>
        </is>
      </c>
      <c r="Y1179" t="n">
        <v>0</v>
      </c>
      <c r="Z1179" t="inlineStr"/>
      <c r="AA1179" t="inlineStr">
        <is>
          <t>https://www.zscaler.com/blogs/security-research/apt37-adds-new-capabilities-air-gapped-networks</t>
        </is>
      </c>
    </row>
    <row r="1180">
      <c r="A1180" t="inlineStr">
        <is>
          <t>OTX_PULSE</t>
        </is>
      </c>
      <c r="B1180" t="inlineStr">
        <is>
          <t>689455e11e25236fe810364b</t>
        </is>
      </c>
      <c r="C1180"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80" t="n">
        <v>7</v>
      </c>
      <c r="E1180" t="inlineStr">
        <is>
          <t>HIGH</t>
        </is>
      </c>
      <c r="F1180" t="n">
        <v>3</v>
      </c>
      <c r="G1180" t="n">
        <v>2</v>
      </c>
      <c r="H1180" t="inlineStr">
        <is>
          <t>HIGH</t>
        </is>
      </c>
      <c r="I1180" t="n">
        <v>13</v>
      </c>
      <c r="J1180" t="inlineStr">
        <is>
          <t>NO</t>
        </is>
      </c>
      <c r="K1180" t="inlineStr">
        <is>
          <t>2025-08-07T07:29:37.542000</t>
        </is>
      </c>
      <c r="L1180" t="inlineStr">
        <is>
          <t>SEE_PULSE</t>
        </is>
      </c>
      <c r="M1180" t="inlineStr">
        <is>
          <t>Various</t>
        </is>
      </c>
      <c r="N1180" t="inlineStr">
        <is>
          <t>P3</t>
        </is>
      </c>
      <c r="O1180" t="inlineStr">
        <is>
          <t>OTX Pulse - check IP IOCs separately</t>
        </is>
      </c>
      <c r="P1180" t="n">
        <v>0</v>
      </c>
      <c r="Q1180" t="n">
        <v>0</v>
      </c>
      <c r="R1180" t="inlineStr">
        <is>
          <t>See OTX pulse tags</t>
        </is>
      </c>
      <c r="S1180" t="n">
        <v>1</v>
      </c>
      <c r="T1180" t="inlineStr">
        <is>
          <t>LOW (40%)</t>
        </is>
      </c>
      <c r="U1180" t="inlineStr">
        <is>
          <t>NONE</t>
        </is>
      </c>
      <c r="V1180" t="inlineStr">
        <is>
          <t>NONE</t>
        </is>
      </c>
      <c r="W1180" t="inlineStr">
        <is>
          <t>NONE</t>
        </is>
      </c>
      <c r="X1180" t="inlineStr">
        <is>
          <t>NONE</t>
        </is>
      </c>
      <c r="Y1180" t="n">
        <v>0</v>
      </c>
      <c r="Z1180" t="inlineStr"/>
      <c r="AA1180" t="inlineStr">
        <is>
          <t>https://otx.alienvault.com</t>
        </is>
      </c>
    </row>
    <row r="1181">
      <c r="A1181" t="inlineStr">
        <is>
          <t>OTX_PULSE</t>
        </is>
      </c>
      <c r="B1181" t="inlineStr">
        <is>
          <t>689453a1603f3d4b93557f2a</t>
        </is>
      </c>
      <c r="C1181"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81" t="n">
        <v>7</v>
      </c>
      <c r="E1181" t="inlineStr">
        <is>
          <t>HIGH</t>
        </is>
      </c>
      <c r="F1181" t="n">
        <v>3</v>
      </c>
      <c r="G1181" t="n">
        <v>2</v>
      </c>
      <c r="H1181" t="inlineStr">
        <is>
          <t>HIGH</t>
        </is>
      </c>
      <c r="I1181" t="n">
        <v>13</v>
      </c>
      <c r="J1181" t="inlineStr">
        <is>
          <t>NO</t>
        </is>
      </c>
      <c r="K1181" t="inlineStr">
        <is>
          <t>2025-08-07T07:20:01.253000</t>
        </is>
      </c>
      <c r="L1181" t="inlineStr">
        <is>
          <t>SEE_PULSE</t>
        </is>
      </c>
      <c r="M1181" t="inlineStr">
        <is>
          <t>Various</t>
        </is>
      </c>
      <c r="N1181" t="inlineStr">
        <is>
          <t>P3</t>
        </is>
      </c>
      <c r="O1181" t="inlineStr">
        <is>
          <t>OTX Pulse - check IP IOCs separately</t>
        </is>
      </c>
      <c r="P1181" t="n">
        <v>0</v>
      </c>
      <c r="Q1181" t="n">
        <v>0</v>
      </c>
      <c r="R1181" t="inlineStr">
        <is>
          <t>See OTX pulse tags</t>
        </is>
      </c>
      <c r="S1181" t="n">
        <v>1</v>
      </c>
      <c r="T1181" t="inlineStr">
        <is>
          <t>LOW (40%)</t>
        </is>
      </c>
      <c r="U1181" t="inlineStr">
        <is>
          <t>NONE</t>
        </is>
      </c>
      <c r="V1181" t="inlineStr">
        <is>
          <t>NONE</t>
        </is>
      </c>
      <c r="W1181" t="inlineStr">
        <is>
          <t>NONE</t>
        </is>
      </c>
      <c r="X1181" t="inlineStr">
        <is>
          <t>NONE</t>
        </is>
      </c>
      <c r="Y1181" t="n">
        <v>0</v>
      </c>
      <c r="Z1181" t="inlineStr"/>
      <c r="AA1181" t="inlineStr">
        <is>
          <t>https://otx.alienvault.com</t>
        </is>
      </c>
    </row>
    <row r="1182">
      <c r="A1182" t="inlineStr">
        <is>
          <t>OTX_PULSE</t>
        </is>
      </c>
      <c r="B1182" t="inlineStr">
        <is>
          <t>69a028b4c9477a7b9420328f</t>
        </is>
      </c>
      <c r="C1182"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82" t="n">
        <v>7</v>
      </c>
      <c r="E1182" t="inlineStr">
        <is>
          <t>HIGH</t>
        </is>
      </c>
      <c r="F1182" t="n">
        <v>3</v>
      </c>
      <c r="G1182" t="n">
        <v>2</v>
      </c>
      <c r="H1182" t="inlineStr">
        <is>
          <t>HIGH</t>
        </is>
      </c>
      <c r="I1182" t="n">
        <v>13</v>
      </c>
      <c r="J1182" t="inlineStr">
        <is>
          <t>NO</t>
        </is>
      </c>
      <c r="K1182" t="inlineStr">
        <is>
          <t>2026-02-26T11:04:20.880000</t>
        </is>
      </c>
      <c r="L1182" t="inlineStr">
        <is>
          <t>SEE_PULSE</t>
        </is>
      </c>
      <c r="M1182" t="inlineStr">
        <is>
          <t>cyber espionage, google sheets, gridtide, china, backdoor, telecommunications, api abuse, government</t>
        </is>
      </c>
      <c r="N1182" t="inlineStr">
        <is>
          <t>P3</t>
        </is>
      </c>
      <c r="O1182" t="inlineStr">
        <is>
          <t>OTX Pulse - check IP IOCs separately</t>
        </is>
      </c>
      <c r="P1182" t="n">
        <v>0</v>
      </c>
      <c r="Q1182" t="n">
        <v>0</v>
      </c>
      <c r="R1182" t="inlineStr">
        <is>
          <t>See OTX pulse tags</t>
        </is>
      </c>
      <c r="S1182" t="n">
        <v>1</v>
      </c>
      <c r="T1182" t="inlineStr">
        <is>
          <t>LOW (40%)</t>
        </is>
      </c>
      <c r="U1182" t="inlineStr">
        <is>
          <t>NONE</t>
        </is>
      </c>
      <c r="V1182" t="inlineStr">
        <is>
          <t>NONE</t>
        </is>
      </c>
      <c r="W1182" t="inlineStr">
        <is>
          <t>NONE</t>
        </is>
      </c>
      <c r="X1182" t="inlineStr">
        <is>
          <t>NONE</t>
        </is>
      </c>
      <c r="Y1182" t="n">
        <v>0</v>
      </c>
      <c r="Z1182" t="inlineStr"/>
      <c r="AA1182" t="inlineStr">
        <is>
          <t>https://cloud.google.com/blog/topics/threat-intelligence/disrupting-gridtide-global-espionage-campaign</t>
        </is>
      </c>
    </row>
    <row r="1183">
      <c r="A1183" t="inlineStr">
        <is>
          <t>OTX_PULSE</t>
        </is>
      </c>
      <c r="B1183" t="inlineStr">
        <is>
          <t>6978a64af51a4e50807b6636</t>
        </is>
      </c>
      <c r="C1183"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83" t="n">
        <v>7</v>
      </c>
      <c r="E1183" t="inlineStr">
        <is>
          <t>HIGH</t>
        </is>
      </c>
      <c r="F1183" t="n">
        <v>3</v>
      </c>
      <c r="G1183" t="n">
        <v>2</v>
      </c>
      <c r="H1183" t="inlineStr">
        <is>
          <t>HIGH</t>
        </is>
      </c>
      <c r="I1183" t="n">
        <v>13</v>
      </c>
      <c r="J1183" t="inlineStr">
        <is>
          <t>NO</t>
        </is>
      </c>
      <c r="K1183" t="inlineStr">
        <is>
          <t>2026-01-27T11:49:30.682000</t>
        </is>
      </c>
      <c r="L1183" t="inlineStr">
        <is>
          <t>SEE_PULSE</t>
        </is>
      </c>
      <c r="M1183" t="inlineStr">
        <is>
          <t>data theft, plugx, southeast asia, toneshell, backdoor, credential stealing, luminousmoth, apt, coolclient, qreverse, government</t>
        </is>
      </c>
      <c r="N1183" t="inlineStr">
        <is>
          <t>P3</t>
        </is>
      </c>
      <c r="O1183" t="inlineStr">
        <is>
          <t>OTX Pulse - check IP IOCs separately</t>
        </is>
      </c>
      <c r="P1183" t="n">
        <v>0</v>
      </c>
      <c r="Q1183" t="n">
        <v>0</v>
      </c>
      <c r="R1183" t="inlineStr">
        <is>
          <t>See OTX pulse tags</t>
        </is>
      </c>
      <c r="S1183" t="n">
        <v>1</v>
      </c>
      <c r="T1183" t="inlineStr">
        <is>
          <t>LOW (40%)</t>
        </is>
      </c>
      <c r="U1183" t="inlineStr">
        <is>
          <t>NONE</t>
        </is>
      </c>
      <c r="V1183" t="inlineStr">
        <is>
          <t>NONE</t>
        </is>
      </c>
      <c r="W1183" t="inlineStr">
        <is>
          <t>NONE</t>
        </is>
      </c>
      <c r="X1183" t="inlineStr">
        <is>
          <t>NONE</t>
        </is>
      </c>
      <c r="Y1183" t="n">
        <v>0</v>
      </c>
      <c r="Z1183" t="inlineStr"/>
      <c r="AA1183" t="inlineStr">
        <is>
          <t>https://securelist.com/honeymyte-updates-coolclient-uses-browser-stealers-and-scripts/118664/</t>
        </is>
      </c>
    </row>
    <row r="1184">
      <c r="A1184" t="inlineStr">
        <is>
          <t>OTX_PULSE</t>
        </is>
      </c>
      <c r="B1184" t="inlineStr">
        <is>
          <t>6977cf000e82fbf4ca307f21</t>
        </is>
      </c>
      <c r="C1184"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84" t="n">
        <v>7</v>
      </c>
      <c r="E1184" t="inlineStr">
        <is>
          <t>HIGH</t>
        </is>
      </c>
      <c r="F1184" t="n">
        <v>3</v>
      </c>
      <c r="G1184" t="n">
        <v>2</v>
      </c>
      <c r="H1184" t="inlineStr">
        <is>
          <t>HIGH</t>
        </is>
      </c>
      <c r="I1184" t="n">
        <v>13</v>
      </c>
      <c r="J1184" t="inlineStr">
        <is>
          <t>NO</t>
        </is>
      </c>
      <c r="K1184" t="inlineStr">
        <is>
          <t>2026-01-26T20:30:56.423000</t>
        </is>
      </c>
      <c r="L1184" t="inlineStr">
        <is>
          <t>SEE_PULSE</t>
        </is>
      </c>
      <c r="M1184" t="inlineStr">
        <is>
          <t>c&amp;c framework, peckbirdy, wizardnet, cve-2020-16040, government, biopass rat, mkdoor, gambling, apt, jscript, darknimbus, holodonut, china-aligned, grayrabbit, lolbins</t>
        </is>
      </c>
      <c r="N1184" t="inlineStr">
        <is>
          <t>P3</t>
        </is>
      </c>
      <c r="O1184" t="inlineStr">
        <is>
          <t>OTX Pulse - check IP IOCs separately</t>
        </is>
      </c>
      <c r="P1184" t="n">
        <v>0</v>
      </c>
      <c r="Q1184" t="n">
        <v>0</v>
      </c>
      <c r="R1184" t="inlineStr">
        <is>
          <t>See OTX pulse tags</t>
        </is>
      </c>
      <c r="S1184" t="n">
        <v>1</v>
      </c>
      <c r="T1184" t="inlineStr">
        <is>
          <t>LOW (40%)</t>
        </is>
      </c>
      <c r="U1184" t="inlineStr">
        <is>
          <t>NONE</t>
        </is>
      </c>
      <c r="V1184" t="inlineStr">
        <is>
          <t>NONE</t>
        </is>
      </c>
      <c r="W1184" t="inlineStr">
        <is>
          <t>NONE</t>
        </is>
      </c>
      <c r="X1184" t="inlineStr">
        <is>
          <t>NONE</t>
        </is>
      </c>
      <c r="Y1184" t="n">
        <v>0</v>
      </c>
      <c r="Z1184" t="inlineStr"/>
      <c r="AA1184" t="inlineStr">
        <is>
          <t>https://www.trendmicro.com/en_us/research/26/a/peckbirdy-script-framework.html</t>
        </is>
      </c>
    </row>
    <row r="1185">
      <c r="A1185" t="inlineStr">
        <is>
          <t>OTX_PULSE</t>
        </is>
      </c>
      <c r="B1185" t="inlineStr">
        <is>
          <t>699f5536e9f0860107bbaba7</t>
        </is>
      </c>
      <c r="C1185"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85" t="n">
        <v>7</v>
      </c>
      <c r="E1185" t="inlineStr">
        <is>
          <t>HIGH</t>
        </is>
      </c>
      <c r="F1185" t="n">
        <v>3</v>
      </c>
      <c r="G1185" t="n">
        <v>2</v>
      </c>
      <c r="H1185" t="inlineStr">
        <is>
          <t>HIGH</t>
        </is>
      </c>
      <c r="I1185" t="n">
        <v>13</v>
      </c>
      <c r="J1185" t="inlineStr">
        <is>
          <t>NO</t>
        </is>
      </c>
      <c r="K1185" t="inlineStr">
        <is>
          <t>2026-02-25T20:01:58.886000</t>
        </is>
      </c>
      <c r="L1185" t="inlineStr">
        <is>
          <t>SEE_PULSE</t>
        </is>
      </c>
      <c r="M1185" t="inlineStr">
        <is>
          <t>credential harvesting, smtp, data exfiltration, anti-analysis, phishing, process hollowing, in-memory execution, agent tesla, multi-stage attack</t>
        </is>
      </c>
      <c r="N1185" t="inlineStr">
        <is>
          <t>P3</t>
        </is>
      </c>
      <c r="O1185" t="inlineStr">
        <is>
          <t>OTX Pulse - check IP IOCs separately</t>
        </is>
      </c>
      <c r="P1185" t="n">
        <v>0</v>
      </c>
      <c r="Q1185" t="n">
        <v>0</v>
      </c>
      <c r="R1185" t="inlineStr">
        <is>
          <t>See OTX pulse tags</t>
        </is>
      </c>
      <c r="S1185" t="n">
        <v>1</v>
      </c>
      <c r="T1185" t="inlineStr">
        <is>
          <t>LOW (40%)</t>
        </is>
      </c>
      <c r="U1185" t="inlineStr">
        <is>
          <t>NONE</t>
        </is>
      </c>
      <c r="V1185" t="inlineStr">
        <is>
          <t>NONE</t>
        </is>
      </c>
      <c r="W1185" t="inlineStr">
        <is>
          <t>NONE</t>
        </is>
      </c>
      <c r="X1185" t="inlineStr">
        <is>
          <t>NONE</t>
        </is>
      </c>
      <c r="Y1185" t="n">
        <v>0</v>
      </c>
      <c r="Z1185" t="inlineStr"/>
      <c r="AA1185" t="inlineStr">
        <is>
          <t>https://www.fortinet.com/blog/threat-research/unmasking-agent-tesla-deep-dive-into-multi-stage-campaign</t>
        </is>
      </c>
    </row>
    <row r="1186">
      <c r="A1186" t="inlineStr">
        <is>
          <t>OTX_PULSE</t>
        </is>
      </c>
      <c r="B1186" t="inlineStr">
        <is>
          <t>69778aef872cffc134e67ace</t>
        </is>
      </c>
      <c r="C1186"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86" t="n">
        <v>7</v>
      </c>
      <c r="E1186" t="inlineStr">
        <is>
          <t>HIGH</t>
        </is>
      </c>
      <c r="F1186" t="n">
        <v>3</v>
      </c>
      <c r="G1186" t="n">
        <v>2</v>
      </c>
      <c r="H1186" t="inlineStr">
        <is>
          <t>HIGH</t>
        </is>
      </c>
      <c r="I1186" t="n">
        <v>13</v>
      </c>
      <c r="J1186" t="inlineStr">
        <is>
          <t>NO</t>
        </is>
      </c>
      <c r="K1186" t="inlineStr">
        <is>
          <t>2026-01-26T15:40:31.078000</t>
        </is>
      </c>
      <c r="L1186" t="inlineStr">
        <is>
          <t>SEE_PULSE</t>
        </is>
      </c>
      <c r="M1186" t="inlineStr">
        <is>
          <t>data exfiltration, malicious extensions, xss vulnerability, security risks, cve-2020-28707, search hijacking, chrome extensions, remote code execution, clipboard access</t>
        </is>
      </c>
      <c r="N1186" t="inlineStr">
        <is>
          <t>P3</t>
        </is>
      </c>
      <c r="O1186" t="inlineStr">
        <is>
          <t>OTX Pulse - check IP IOCs separately</t>
        </is>
      </c>
      <c r="P1186" t="n">
        <v>0</v>
      </c>
      <c r="Q1186" t="n">
        <v>0</v>
      </c>
      <c r="R1186" t="inlineStr">
        <is>
          <t>See OTX pulse tags</t>
        </is>
      </c>
      <c r="S1186" t="n">
        <v>1</v>
      </c>
      <c r="T1186" t="inlineStr">
        <is>
          <t>LOW (40%)</t>
        </is>
      </c>
      <c r="U1186" t="inlineStr">
        <is>
          <t>NONE</t>
        </is>
      </c>
      <c r="V1186" t="inlineStr">
        <is>
          <t>NONE</t>
        </is>
      </c>
      <c r="W1186" t="inlineStr">
        <is>
          <t>NONE</t>
        </is>
      </c>
      <c r="X1186" t="inlineStr">
        <is>
          <t>NONE</t>
        </is>
      </c>
      <c r="Y1186" t="n">
        <v>0</v>
      </c>
      <c r="Z1186" t="inlineStr"/>
      <c r="AA1186" t="inlineStr">
        <is>
          <t>https://www.security.com/threat-intelligence/chrome-extensions-are-you-getting-more-you-bargained</t>
        </is>
      </c>
    </row>
    <row r="1187">
      <c r="A1187" t="inlineStr">
        <is>
          <t>OTX_PULSE</t>
        </is>
      </c>
      <c r="B1187" t="inlineStr">
        <is>
          <t>69777a203745e70e7425106f</t>
        </is>
      </c>
      <c r="C1187" t="inlineStr">
        <is>
          <t xml:space="preserve">Malware MoonPeak Executed via LNK Files: In January 2026, IIJ observed malicious LNK files targeting Korean users to execute the MoonPeak malware, attributed to North Korean threat actors. The infection chain begins with a LNK file that runs an obfuscated PowerShell script, which checks for analysis environments, creates additional scripts, and sets up persistence. The second stage downloads and executes a payload from GitHub, which is actually the MoonPeak malware. MoonPeak is obfuscated using </t>
        </is>
      </c>
      <c r="D1187" t="n">
        <v>7</v>
      </c>
      <c r="E1187" t="inlineStr">
        <is>
          <t>HIGH</t>
        </is>
      </c>
      <c r="F1187" t="n">
        <v>3</v>
      </c>
      <c r="G1187" t="n">
        <v>2</v>
      </c>
      <c r="H1187" t="inlineStr">
        <is>
          <t>HIGH</t>
        </is>
      </c>
      <c r="I1187" t="n">
        <v>13</v>
      </c>
      <c r="J1187" t="inlineStr">
        <is>
          <t>NO</t>
        </is>
      </c>
      <c r="K1187" t="inlineStr">
        <is>
          <t>2026-01-26T14:28:48.027000</t>
        </is>
      </c>
      <c r="L1187" t="inlineStr">
        <is>
          <t>SEE_PULSE</t>
        </is>
      </c>
      <c r="M1187" t="inlineStr">
        <is>
          <t>lots, korea, persistence, github, lnk files, xenorat, powershell, moonpeak, confuserex</t>
        </is>
      </c>
      <c r="N1187" t="inlineStr">
        <is>
          <t>P3</t>
        </is>
      </c>
      <c r="O1187" t="inlineStr">
        <is>
          <t>OTX Pulse - check IP IOCs separately</t>
        </is>
      </c>
      <c r="P1187" t="n">
        <v>0</v>
      </c>
      <c r="Q1187" t="n">
        <v>0</v>
      </c>
      <c r="R1187" t="inlineStr">
        <is>
          <t>See OTX pulse tags</t>
        </is>
      </c>
      <c r="S1187" t="n">
        <v>1</v>
      </c>
      <c r="T1187" t="inlineStr">
        <is>
          <t>LOW (40%)</t>
        </is>
      </c>
      <c r="U1187" t="inlineStr">
        <is>
          <t>NONE</t>
        </is>
      </c>
      <c r="V1187" t="inlineStr">
        <is>
          <t>NONE</t>
        </is>
      </c>
      <c r="W1187" t="inlineStr">
        <is>
          <t>NONE</t>
        </is>
      </c>
      <c r="X1187" t="inlineStr">
        <is>
          <t>NONE</t>
        </is>
      </c>
      <c r="Y1187" t="n">
        <v>0</v>
      </c>
      <c r="Z1187" t="inlineStr"/>
      <c r="AA1187" t="inlineStr">
        <is>
          <t>https://sect.iij.ad.jp/blog/2026/01/dprk-moonpeak-executed-via-malicious-lnk-file</t>
        </is>
      </c>
    </row>
    <row r="1188">
      <c r="A1188" t="inlineStr">
        <is>
          <t>THREATFOX_IOC</t>
        </is>
      </c>
      <c r="B1188" t="inlineStr">
        <is>
          <t>1755483</t>
        </is>
      </c>
      <c r="C1188" t="inlineStr">
        <is>
          <t>domain IOC:  | Malware: StrelaStealer | Confidence: 100%</t>
        </is>
      </c>
      <c r="D1188" t="n">
        <v>7.5</v>
      </c>
      <c r="E1188" t="inlineStr">
        <is>
          <t>HIGH</t>
        </is>
      </c>
      <c r="F1188" t="n">
        <v>3</v>
      </c>
      <c r="G1188" t="n">
        <v>2</v>
      </c>
      <c r="H1188" t="inlineStr">
        <is>
          <t>HIGH</t>
        </is>
      </c>
      <c r="I1188" t="n">
        <v>13.5</v>
      </c>
      <c r="J1188" t="inlineStr">
        <is>
          <t>NO</t>
        </is>
      </c>
      <c r="K1188" t="inlineStr">
        <is>
          <t>2026-02-27 18:14:17 UTC</t>
        </is>
      </c>
      <c r="L1188" t="inlineStr">
        <is>
          <t>Block IOC</t>
        </is>
      </c>
      <c r="M1188" t="inlineStr">
        <is>
          <t>payload_delivery</t>
        </is>
      </c>
      <c r="N1188" t="inlineStr">
        <is>
          <t>P3</t>
        </is>
      </c>
      <c r="O1188" t="inlineStr">
        <is>
          <t>Classification: Not checked | Context: Not enriched | Name: Not indexed</t>
        </is>
      </c>
      <c r="P1188" t="n">
        <v>0</v>
      </c>
      <c r="Q1188" t="n">
        <v>0</v>
      </c>
      <c r="R1188" t="inlineStr">
        <is>
          <t>T1071:Application Layer Protocol | T1102:Web Service</t>
        </is>
      </c>
      <c r="S1188" t="n">
        <v>1</v>
      </c>
      <c r="T1188" t="inlineStr">
        <is>
          <t>LOW (40%)</t>
        </is>
      </c>
      <c r="U1188" t="inlineStr">
        <is>
          <t>NONE</t>
        </is>
      </c>
      <c r="V1188" t="inlineStr">
        <is>
          <t>NONE</t>
        </is>
      </c>
      <c r="W1188" t="inlineStr">
        <is>
          <t>NONE</t>
        </is>
      </c>
      <c r="X1188" t="inlineStr">
        <is>
          <t>NONE</t>
        </is>
      </c>
      <c r="Y1188" t="n">
        <v>0</v>
      </c>
      <c r="Z1188" t="inlineStr"/>
      <c r="AA1188" t="inlineStr">
        <is>
          <t>https://threatfox.abuse.ch/ioc/1755483/</t>
        </is>
      </c>
    </row>
    <row r="1189">
      <c r="A1189" t="inlineStr">
        <is>
          <t>THREATFOX_IOC</t>
        </is>
      </c>
      <c r="B1189" t="inlineStr">
        <is>
          <t>1755482</t>
        </is>
      </c>
      <c r="C1189" t="inlineStr">
        <is>
          <t>domain IOC:  | Malware: AsyncRAT | Confidence: 100%</t>
        </is>
      </c>
      <c r="D1189" t="n">
        <v>7.5</v>
      </c>
      <c r="E1189" t="inlineStr">
        <is>
          <t>HIGH</t>
        </is>
      </c>
      <c r="F1189" t="n">
        <v>3</v>
      </c>
      <c r="G1189" t="n">
        <v>2</v>
      </c>
      <c r="H1189" t="inlineStr">
        <is>
          <t>HIGH</t>
        </is>
      </c>
      <c r="I1189" t="n">
        <v>13.5</v>
      </c>
      <c r="J1189" t="inlineStr">
        <is>
          <t>NO</t>
        </is>
      </c>
      <c r="K1189" t="inlineStr">
        <is>
          <t>2026-02-27 18:01:39 UTC</t>
        </is>
      </c>
      <c r="L1189" t="inlineStr">
        <is>
          <t>Block IOC</t>
        </is>
      </c>
      <c r="M1189" t="inlineStr">
        <is>
          <t>botnet_cc</t>
        </is>
      </c>
      <c r="N1189" t="inlineStr">
        <is>
          <t>P3</t>
        </is>
      </c>
      <c r="O1189" t="inlineStr">
        <is>
          <t>Classification: Not checked | Context: Not enriched | Name: Not indexed</t>
        </is>
      </c>
      <c r="P1189" t="n">
        <v>0</v>
      </c>
      <c r="Q1189" t="n">
        <v>0</v>
      </c>
      <c r="R1189" t="inlineStr">
        <is>
          <t>T1071:Application Layer Protocol | T1102:Web Service</t>
        </is>
      </c>
      <c r="S1189" t="n">
        <v>1</v>
      </c>
      <c r="T1189" t="inlineStr">
        <is>
          <t>LOW (40%)</t>
        </is>
      </c>
      <c r="U1189" t="inlineStr">
        <is>
          <t>NONE</t>
        </is>
      </c>
      <c r="V1189" t="inlineStr">
        <is>
          <t>NONE</t>
        </is>
      </c>
      <c r="W1189" t="inlineStr">
        <is>
          <t>NONE</t>
        </is>
      </c>
      <c r="X1189" t="inlineStr">
        <is>
          <t>NONE</t>
        </is>
      </c>
      <c r="Y1189" t="n">
        <v>0</v>
      </c>
      <c r="Z1189" t="inlineStr"/>
      <c r="AA1189" t="inlineStr">
        <is>
          <t>https://threatfox.abuse.ch/ioc/1755482/</t>
        </is>
      </c>
    </row>
    <row r="1190">
      <c r="A1190" t="inlineStr">
        <is>
          <t>THREATFOX_IOC</t>
        </is>
      </c>
      <c r="B1190" t="inlineStr">
        <is>
          <t>1755481</t>
        </is>
      </c>
      <c r="C1190" t="inlineStr">
        <is>
          <t>domain IOC:  | Malware: AsyncRAT | Confidence: 100%</t>
        </is>
      </c>
      <c r="D1190" t="n">
        <v>7.5</v>
      </c>
      <c r="E1190" t="inlineStr">
        <is>
          <t>HIGH</t>
        </is>
      </c>
      <c r="F1190" t="n">
        <v>3</v>
      </c>
      <c r="G1190" t="n">
        <v>2</v>
      </c>
      <c r="H1190" t="inlineStr">
        <is>
          <t>HIGH</t>
        </is>
      </c>
      <c r="I1190" t="n">
        <v>13.5</v>
      </c>
      <c r="J1190" t="inlineStr">
        <is>
          <t>NO</t>
        </is>
      </c>
      <c r="K1190" t="inlineStr">
        <is>
          <t>2026-02-27 18:01:36 UTC</t>
        </is>
      </c>
      <c r="L1190" t="inlineStr">
        <is>
          <t>Block IOC</t>
        </is>
      </c>
      <c r="M1190" t="inlineStr">
        <is>
          <t>botnet_cc</t>
        </is>
      </c>
      <c r="N1190" t="inlineStr">
        <is>
          <t>P3</t>
        </is>
      </c>
      <c r="O1190" t="inlineStr">
        <is>
          <t>Classification: Not checked | Context: Not enriched | Name: Not indexed</t>
        </is>
      </c>
      <c r="P1190" t="n">
        <v>0</v>
      </c>
      <c r="Q1190" t="n">
        <v>0</v>
      </c>
      <c r="R1190" t="inlineStr">
        <is>
          <t>T1071:Application Layer Protocol | T1102:Web Service</t>
        </is>
      </c>
      <c r="S1190" t="n">
        <v>1</v>
      </c>
      <c r="T1190" t="inlineStr">
        <is>
          <t>LOW (40%)</t>
        </is>
      </c>
      <c r="U1190" t="inlineStr">
        <is>
          <t>NONE</t>
        </is>
      </c>
      <c r="V1190" t="inlineStr">
        <is>
          <t>NONE</t>
        </is>
      </c>
      <c r="W1190" t="inlineStr">
        <is>
          <t>NONE</t>
        </is>
      </c>
      <c r="X1190" t="inlineStr">
        <is>
          <t>NONE</t>
        </is>
      </c>
      <c r="Y1190" t="n">
        <v>0</v>
      </c>
      <c r="Z1190" t="inlineStr"/>
      <c r="AA1190" t="inlineStr">
        <is>
          <t>https://threatfox.abuse.ch/ioc/1755481/</t>
        </is>
      </c>
    </row>
    <row r="1191">
      <c r="A1191" t="inlineStr">
        <is>
          <t>THREATFOX_IOC</t>
        </is>
      </c>
      <c r="B1191" t="inlineStr">
        <is>
          <t>1755480</t>
        </is>
      </c>
      <c r="C1191" t="inlineStr">
        <is>
          <t>domain IOC:  | Malware: AsyncRAT | Confidence: 100%</t>
        </is>
      </c>
      <c r="D1191" t="n">
        <v>7.5</v>
      </c>
      <c r="E1191" t="inlineStr">
        <is>
          <t>HIGH</t>
        </is>
      </c>
      <c r="F1191" t="n">
        <v>3</v>
      </c>
      <c r="G1191" t="n">
        <v>2</v>
      </c>
      <c r="H1191" t="inlineStr">
        <is>
          <t>HIGH</t>
        </is>
      </c>
      <c r="I1191" t="n">
        <v>13.5</v>
      </c>
      <c r="J1191" t="inlineStr">
        <is>
          <t>NO</t>
        </is>
      </c>
      <c r="K1191" t="inlineStr">
        <is>
          <t>2026-02-27 18:01:35 UTC</t>
        </is>
      </c>
      <c r="L1191" t="inlineStr">
        <is>
          <t>Block IOC</t>
        </is>
      </c>
      <c r="M1191" t="inlineStr">
        <is>
          <t>botnet_cc</t>
        </is>
      </c>
      <c r="N1191" t="inlineStr">
        <is>
          <t>P3</t>
        </is>
      </c>
      <c r="O1191" t="inlineStr">
        <is>
          <t>Classification: Not checked | Context: Not enriched | Name: Not indexed</t>
        </is>
      </c>
      <c r="P1191" t="n">
        <v>0</v>
      </c>
      <c r="Q1191" t="n">
        <v>0</v>
      </c>
      <c r="R1191" t="inlineStr">
        <is>
          <t>T1071:Application Layer Protocol | T1102:Web Service</t>
        </is>
      </c>
      <c r="S1191" t="n">
        <v>1</v>
      </c>
      <c r="T1191" t="inlineStr">
        <is>
          <t>LOW (40%)</t>
        </is>
      </c>
      <c r="U1191" t="inlineStr">
        <is>
          <t>NONE</t>
        </is>
      </c>
      <c r="V1191" t="inlineStr">
        <is>
          <t>NONE</t>
        </is>
      </c>
      <c r="W1191" t="inlineStr">
        <is>
          <t>NONE</t>
        </is>
      </c>
      <c r="X1191" t="inlineStr">
        <is>
          <t>NONE</t>
        </is>
      </c>
      <c r="Y1191" t="n">
        <v>0</v>
      </c>
      <c r="Z1191" t="inlineStr"/>
      <c r="AA1191" t="inlineStr">
        <is>
          <t>https://threatfox.abuse.ch/ioc/1755480/</t>
        </is>
      </c>
    </row>
    <row r="1192">
      <c r="A1192" t="inlineStr">
        <is>
          <t>THREATFOX_IOC</t>
        </is>
      </c>
      <c r="B1192" t="inlineStr">
        <is>
          <t>1755479</t>
        </is>
      </c>
      <c r="C1192" t="inlineStr">
        <is>
          <t>domain IOC:  | Malware: StrelaStealer | Confidence: 100%</t>
        </is>
      </c>
      <c r="D1192" t="n">
        <v>7.5</v>
      </c>
      <c r="E1192" t="inlineStr">
        <is>
          <t>HIGH</t>
        </is>
      </c>
      <c r="F1192" t="n">
        <v>3</v>
      </c>
      <c r="G1192" t="n">
        <v>2</v>
      </c>
      <c r="H1192" t="inlineStr">
        <is>
          <t>HIGH</t>
        </is>
      </c>
      <c r="I1192" t="n">
        <v>13.5</v>
      </c>
      <c r="J1192" t="inlineStr">
        <is>
          <t>NO</t>
        </is>
      </c>
      <c r="K1192" t="inlineStr">
        <is>
          <t>2026-02-27 17:27:40 UTC</t>
        </is>
      </c>
      <c r="L1192" t="inlineStr">
        <is>
          <t>Block IOC</t>
        </is>
      </c>
      <c r="M1192" t="inlineStr">
        <is>
          <t>payload_delivery</t>
        </is>
      </c>
      <c r="N1192" t="inlineStr">
        <is>
          <t>P3</t>
        </is>
      </c>
      <c r="O1192" t="inlineStr">
        <is>
          <t>Classification: Not checked | Context: Not enriched | Name: Not indexed</t>
        </is>
      </c>
      <c r="P1192" t="n">
        <v>0</v>
      </c>
      <c r="Q1192" t="n">
        <v>0</v>
      </c>
      <c r="R1192" t="inlineStr">
        <is>
          <t>T1071:Application Layer Protocol | T1102:Web Service</t>
        </is>
      </c>
      <c r="S1192" t="n">
        <v>1</v>
      </c>
      <c r="T1192" t="inlineStr">
        <is>
          <t>LOW (40%)</t>
        </is>
      </c>
      <c r="U1192" t="inlineStr">
        <is>
          <t>NONE</t>
        </is>
      </c>
      <c r="V1192" t="inlineStr">
        <is>
          <t>NONE</t>
        </is>
      </c>
      <c r="W1192" t="inlineStr">
        <is>
          <t>NONE</t>
        </is>
      </c>
      <c r="X1192" t="inlineStr">
        <is>
          <t>NONE</t>
        </is>
      </c>
      <c r="Y1192" t="n">
        <v>0</v>
      </c>
      <c r="Z1192" t="inlineStr"/>
      <c r="AA1192" t="inlineStr">
        <is>
          <t>https://threatfox.abuse.ch/ioc/1755479/</t>
        </is>
      </c>
    </row>
    <row r="1193">
      <c r="A1193" t="inlineStr">
        <is>
          <t>THREATFOX_IOC</t>
        </is>
      </c>
      <c r="B1193" t="inlineStr">
        <is>
          <t>1755478</t>
        </is>
      </c>
      <c r="C1193" t="inlineStr">
        <is>
          <t>ip:port IOC:  | Malware: XWorm | Confidence: 75%</t>
        </is>
      </c>
      <c r="D1193" t="n">
        <v>7.5</v>
      </c>
      <c r="E1193" t="inlineStr">
        <is>
          <t>HIGH</t>
        </is>
      </c>
      <c r="F1193" t="n">
        <v>3</v>
      </c>
      <c r="G1193" t="n">
        <v>2</v>
      </c>
      <c r="H1193" t="inlineStr">
        <is>
          <t>HIGH</t>
        </is>
      </c>
      <c r="I1193" t="n">
        <v>13.5</v>
      </c>
      <c r="J1193" t="inlineStr">
        <is>
          <t>NO</t>
        </is>
      </c>
      <c r="K1193" t="inlineStr">
        <is>
          <t>2026-02-27 17:20:37 UTC</t>
        </is>
      </c>
      <c r="L1193" t="inlineStr">
        <is>
          <t>Block IOC</t>
        </is>
      </c>
      <c r="M1193" t="inlineStr">
        <is>
          <t>botnet_cc</t>
        </is>
      </c>
      <c r="N1193" t="inlineStr">
        <is>
          <t>P3</t>
        </is>
      </c>
      <c r="O1193" t="inlineStr">
        <is>
          <t>Classification: hosting-provider | Context: 🌍 Sweden | Stockholm | 🏢 AWS EC2 (eu-north-1) | ASN: AS16509 Amazon.com, Inc. | 🖥️ Hosting/DC | Name: AWS EC2 (eu-north-1)</t>
        </is>
      </c>
      <c r="P1193" t="n">
        <v>0</v>
      </c>
      <c r="Q1193" t="n">
        <v>0</v>
      </c>
      <c r="R1193" t="inlineStr">
        <is>
          <t>T1071:Application Layer Protocol | T1102:Web Service</t>
        </is>
      </c>
      <c r="S1193" t="n">
        <v>1</v>
      </c>
      <c r="T1193" t="inlineStr">
        <is>
          <t>LOW (40%)</t>
        </is>
      </c>
      <c r="U1193" t="inlineStr">
        <is>
          <t>NONE</t>
        </is>
      </c>
      <c r="V1193" t="inlineStr">
        <is>
          <t>NONE</t>
        </is>
      </c>
      <c r="W1193" t="inlineStr">
        <is>
          <t>NONE</t>
        </is>
      </c>
      <c r="X1193" t="inlineStr">
        <is>
          <t>NONE</t>
        </is>
      </c>
      <c r="Y1193" t="n">
        <v>0</v>
      </c>
      <c r="Z1193" t="inlineStr"/>
      <c r="AA1193" t="inlineStr">
        <is>
          <t>https://threatfox.abuse.ch/ioc/1755478/</t>
        </is>
      </c>
    </row>
    <row r="1194">
      <c r="A1194" t="inlineStr">
        <is>
          <t>THREATFOX_IOC</t>
        </is>
      </c>
      <c r="B1194" t="inlineStr">
        <is>
          <t>1755477</t>
        </is>
      </c>
      <c r="C1194" t="inlineStr">
        <is>
          <t>ip:port IOC:  | Malware: Unknown RAT | Confidence: 75%</t>
        </is>
      </c>
      <c r="D1194" t="n">
        <v>7.5</v>
      </c>
      <c r="E1194" t="inlineStr">
        <is>
          <t>HIGH</t>
        </is>
      </c>
      <c r="F1194" t="n">
        <v>3</v>
      </c>
      <c r="G1194" t="n">
        <v>2</v>
      </c>
      <c r="H1194" t="inlineStr">
        <is>
          <t>HIGH</t>
        </is>
      </c>
      <c r="I1194" t="n">
        <v>13.5</v>
      </c>
      <c r="J1194" t="inlineStr">
        <is>
          <t>NO</t>
        </is>
      </c>
      <c r="K1194" t="inlineStr">
        <is>
          <t>2026-02-27 17:15:39 UTC</t>
        </is>
      </c>
      <c r="L1194" t="inlineStr">
        <is>
          <t>Block IOC</t>
        </is>
      </c>
      <c r="M1194" t="inlineStr">
        <is>
          <t>botnet_cc</t>
        </is>
      </c>
      <c r="N1194" t="inlineStr">
        <is>
          <t>P3</t>
        </is>
      </c>
      <c r="O1194" t="inlineStr">
        <is>
          <t>Classification: hosting-provider | Context: 🌍 Sweden | Stockholm | 🏢 AWS EC2 (eu-north-1) | ASN: AS16509 Amazon.com, Inc. | 🖥️ Hosting/DC | Name: AWS EC2 (eu-north-1)</t>
        </is>
      </c>
      <c r="P1194" t="n">
        <v>0</v>
      </c>
      <c r="Q1194" t="n">
        <v>0</v>
      </c>
      <c r="R1194" t="inlineStr">
        <is>
          <t>T1071:Application Layer Protocol | T1102:Web Service</t>
        </is>
      </c>
      <c r="S1194" t="n">
        <v>1</v>
      </c>
      <c r="T1194" t="inlineStr">
        <is>
          <t>LOW (40%)</t>
        </is>
      </c>
      <c r="U1194" t="inlineStr">
        <is>
          <t>NONE</t>
        </is>
      </c>
      <c r="V1194" t="inlineStr">
        <is>
          <t>NONE</t>
        </is>
      </c>
      <c r="W1194" t="inlineStr">
        <is>
          <t>NONE</t>
        </is>
      </c>
      <c r="X1194" t="inlineStr">
        <is>
          <t>NONE</t>
        </is>
      </c>
      <c r="Y1194" t="n">
        <v>0</v>
      </c>
      <c r="Z1194" t="inlineStr"/>
      <c r="AA1194" t="inlineStr">
        <is>
          <t>https://threatfox.abuse.ch/ioc/1755477/</t>
        </is>
      </c>
    </row>
    <row r="1195">
      <c r="A1195" t="inlineStr">
        <is>
          <t>THREATFOX_IOC</t>
        </is>
      </c>
      <c r="B1195" t="inlineStr">
        <is>
          <t>1755476</t>
        </is>
      </c>
      <c r="C1195" t="inlineStr">
        <is>
          <t>ip:port IOC:  | Malware: Quasar RAT | Confidence: 75%</t>
        </is>
      </c>
      <c r="D1195" t="n">
        <v>7.5</v>
      </c>
      <c r="E1195" t="inlineStr">
        <is>
          <t>HIGH</t>
        </is>
      </c>
      <c r="F1195" t="n">
        <v>3</v>
      </c>
      <c r="G1195" t="n">
        <v>2</v>
      </c>
      <c r="H1195" t="inlineStr">
        <is>
          <t>HIGH</t>
        </is>
      </c>
      <c r="I1195" t="n">
        <v>13.5</v>
      </c>
      <c r="J1195" t="inlineStr">
        <is>
          <t>NO</t>
        </is>
      </c>
      <c r="K1195" t="inlineStr">
        <is>
          <t>2026-02-27 16:45:38 UTC</t>
        </is>
      </c>
      <c r="L1195" t="inlineStr">
        <is>
          <t>Block IOC</t>
        </is>
      </c>
      <c r="M1195" t="inlineStr">
        <is>
          <t>botnet_cc</t>
        </is>
      </c>
      <c r="N1195" t="inlineStr">
        <is>
          <t>P3</t>
        </is>
      </c>
      <c r="O1195" t="inlineStr">
        <is>
          <t>Classification: hosting-provider | Context: 🌍 Sweden | Stockholm | 🏢 AWS EC2 (eu-north-1) | ASN: AS16509 Amazon.com, Inc. | 🖥️ Hosting/DC | Name: AWS EC2 (eu-north-1)</t>
        </is>
      </c>
      <c r="P1195" t="n">
        <v>0</v>
      </c>
      <c r="Q1195" t="n">
        <v>0</v>
      </c>
      <c r="R1195" t="inlineStr">
        <is>
          <t>T1071:Application Layer Protocol | T1102:Web Service</t>
        </is>
      </c>
      <c r="S1195" t="n">
        <v>1</v>
      </c>
      <c r="T1195" t="inlineStr">
        <is>
          <t>LOW (40%)</t>
        </is>
      </c>
      <c r="U1195" t="inlineStr">
        <is>
          <t>NONE</t>
        </is>
      </c>
      <c r="V1195" t="inlineStr">
        <is>
          <t>NONE</t>
        </is>
      </c>
      <c r="W1195" t="inlineStr">
        <is>
          <t>NONE</t>
        </is>
      </c>
      <c r="X1195" t="inlineStr">
        <is>
          <t>NONE</t>
        </is>
      </c>
      <c r="Y1195" t="n">
        <v>0</v>
      </c>
      <c r="Z1195" t="inlineStr"/>
      <c r="AA1195" t="inlineStr">
        <is>
          <t>https://threatfox.abuse.ch/ioc/1755476/</t>
        </is>
      </c>
    </row>
    <row r="1196">
      <c r="A1196" t="inlineStr">
        <is>
          <t>THREATFOX_IOC</t>
        </is>
      </c>
      <c r="B1196" t="inlineStr">
        <is>
          <t>1755475</t>
        </is>
      </c>
      <c r="C1196" t="inlineStr">
        <is>
          <t>domain IOC:  | Malware: Unknown Stealer | Confidence: 100%</t>
        </is>
      </c>
      <c r="D1196" t="n">
        <v>7.5</v>
      </c>
      <c r="E1196" t="inlineStr">
        <is>
          <t>HIGH</t>
        </is>
      </c>
      <c r="F1196" t="n">
        <v>3</v>
      </c>
      <c r="G1196" t="n">
        <v>2</v>
      </c>
      <c r="H1196" t="inlineStr">
        <is>
          <t>HIGH</t>
        </is>
      </c>
      <c r="I1196" t="n">
        <v>13.5</v>
      </c>
      <c r="J1196" t="inlineStr">
        <is>
          <t>NO</t>
        </is>
      </c>
      <c r="K1196" t="inlineStr">
        <is>
          <t>2026-02-27 16:45:05 UTC</t>
        </is>
      </c>
      <c r="L1196" t="inlineStr">
        <is>
          <t>Block IOC</t>
        </is>
      </c>
      <c r="M1196" t="inlineStr">
        <is>
          <t>botnet_cc</t>
        </is>
      </c>
      <c r="N1196" t="inlineStr">
        <is>
          <t>P3</t>
        </is>
      </c>
      <c r="O1196" t="inlineStr">
        <is>
          <t>Classification: Not checked | Context: Not enriched | Name: Not indexed</t>
        </is>
      </c>
      <c r="P1196" t="n">
        <v>0</v>
      </c>
      <c r="Q1196" t="n">
        <v>0</v>
      </c>
      <c r="R1196" t="inlineStr">
        <is>
          <t>T1071:Application Layer Protocol | T1102:Web Service</t>
        </is>
      </c>
      <c r="S1196" t="n">
        <v>1</v>
      </c>
      <c r="T1196" t="inlineStr">
        <is>
          <t>LOW (40%)</t>
        </is>
      </c>
      <c r="U1196" t="inlineStr">
        <is>
          <t>NONE</t>
        </is>
      </c>
      <c r="V1196" t="inlineStr">
        <is>
          <t>NONE</t>
        </is>
      </c>
      <c r="W1196" t="inlineStr">
        <is>
          <t>NONE</t>
        </is>
      </c>
      <c r="X1196" t="inlineStr">
        <is>
          <t>NONE</t>
        </is>
      </c>
      <c r="Y1196" t="n">
        <v>0</v>
      </c>
      <c r="Z1196" t="inlineStr"/>
      <c r="AA1196" t="inlineStr">
        <is>
          <t>https://threatfox.abuse.ch/ioc/1755475/</t>
        </is>
      </c>
    </row>
    <row r="1197">
      <c r="A1197" t="inlineStr">
        <is>
          <t>THREATFOX_IOC</t>
        </is>
      </c>
      <c r="B1197" t="inlineStr">
        <is>
          <t>1755474</t>
        </is>
      </c>
      <c r="C1197" t="inlineStr">
        <is>
          <t>ip:port IOC:  | Malware: Unknown RAT | Confidence: 75%</t>
        </is>
      </c>
      <c r="D1197" t="n">
        <v>7.5</v>
      </c>
      <c r="E1197" t="inlineStr">
        <is>
          <t>HIGH</t>
        </is>
      </c>
      <c r="F1197" t="n">
        <v>3</v>
      </c>
      <c r="G1197" t="n">
        <v>2</v>
      </c>
      <c r="H1197" t="inlineStr">
        <is>
          <t>HIGH</t>
        </is>
      </c>
      <c r="I1197" t="n">
        <v>13.5</v>
      </c>
      <c r="J1197" t="inlineStr">
        <is>
          <t>NO</t>
        </is>
      </c>
      <c r="K1197" t="inlineStr">
        <is>
          <t>2026-02-27 16:39:37 UTC</t>
        </is>
      </c>
      <c r="L1197" t="inlineStr">
        <is>
          <t>Block IOC</t>
        </is>
      </c>
      <c r="M1197" t="inlineStr">
        <is>
          <t>botnet_cc</t>
        </is>
      </c>
      <c r="N1197" t="inlineStr">
        <is>
          <t>P3</t>
        </is>
      </c>
      <c r="O1197" t="inlineStr">
        <is>
          <t>Classification: hosting-provider | Context: 🌍 Sweden | Stockholm | 🏢 AWS EC2 (eu-north-1) | ASN: AS16509 Amazon.com, Inc. | 🖥️ Hosting/DC | Name: AWS EC2 (eu-north-1)</t>
        </is>
      </c>
      <c r="P1197" t="n">
        <v>0</v>
      </c>
      <c r="Q1197" t="n">
        <v>0</v>
      </c>
      <c r="R1197" t="inlineStr">
        <is>
          <t>T1071:Application Layer Protocol | T1102:Web Service</t>
        </is>
      </c>
      <c r="S1197" t="n">
        <v>1</v>
      </c>
      <c r="T1197" t="inlineStr">
        <is>
          <t>LOW (40%)</t>
        </is>
      </c>
      <c r="U1197" t="inlineStr">
        <is>
          <t>NONE</t>
        </is>
      </c>
      <c r="V1197" t="inlineStr">
        <is>
          <t>NONE</t>
        </is>
      </c>
      <c r="W1197" t="inlineStr">
        <is>
          <t>NONE</t>
        </is>
      </c>
      <c r="X1197" t="inlineStr">
        <is>
          <t>NONE</t>
        </is>
      </c>
      <c r="Y1197" t="n">
        <v>0</v>
      </c>
      <c r="Z1197" t="inlineStr"/>
      <c r="AA1197" t="inlineStr">
        <is>
          <t>https://threatfox.abuse.ch/ioc/1755474/</t>
        </is>
      </c>
    </row>
    <row r="1198">
      <c r="A1198" t="inlineStr">
        <is>
          <t>THREATFOX_IOC</t>
        </is>
      </c>
      <c r="B1198" t="inlineStr">
        <is>
          <t>1755473</t>
        </is>
      </c>
      <c r="C1198" t="inlineStr">
        <is>
          <t>domain IOC:  | Malware: Unknown Loader | Confidence: 100%</t>
        </is>
      </c>
      <c r="D1198" t="n">
        <v>7.5</v>
      </c>
      <c r="E1198" t="inlineStr">
        <is>
          <t>HIGH</t>
        </is>
      </c>
      <c r="F1198" t="n">
        <v>3</v>
      </c>
      <c r="G1198" t="n">
        <v>2</v>
      </c>
      <c r="H1198" t="inlineStr">
        <is>
          <t>HIGH</t>
        </is>
      </c>
      <c r="I1198" t="n">
        <v>13.5</v>
      </c>
      <c r="J1198" t="inlineStr">
        <is>
          <t>NO</t>
        </is>
      </c>
      <c r="K1198" t="inlineStr">
        <is>
          <t>2026-02-27 16:37:16 UTC</t>
        </is>
      </c>
      <c r="L1198" t="inlineStr">
        <is>
          <t>Block IOC</t>
        </is>
      </c>
      <c r="M1198" t="inlineStr">
        <is>
          <t>botnet_cc</t>
        </is>
      </c>
      <c r="N1198" t="inlineStr">
        <is>
          <t>P3</t>
        </is>
      </c>
      <c r="O1198" t="inlineStr">
        <is>
          <t>Classification: Not checked | Context: Not enriched | Name: Not indexed</t>
        </is>
      </c>
      <c r="P1198" t="n">
        <v>0</v>
      </c>
      <c r="Q1198" t="n">
        <v>0</v>
      </c>
      <c r="R1198" t="inlineStr">
        <is>
          <t>T1071:Application Layer Protocol | T1102:Web Service</t>
        </is>
      </c>
      <c r="S1198" t="n">
        <v>1</v>
      </c>
      <c r="T1198" t="inlineStr">
        <is>
          <t>LOW (40%)</t>
        </is>
      </c>
      <c r="U1198" t="inlineStr">
        <is>
          <t>NONE</t>
        </is>
      </c>
      <c r="V1198" t="inlineStr">
        <is>
          <t>NONE</t>
        </is>
      </c>
      <c r="W1198" t="inlineStr">
        <is>
          <t>NONE</t>
        </is>
      </c>
      <c r="X1198" t="inlineStr">
        <is>
          <t>NONE</t>
        </is>
      </c>
      <c r="Y1198" t="n">
        <v>0</v>
      </c>
      <c r="Z1198" t="inlineStr"/>
      <c r="AA1198" t="inlineStr">
        <is>
          <t>https://threatfox.abuse.ch/ioc/1755473/</t>
        </is>
      </c>
    </row>
    <row r="1199">
      <c r="A1199" t="inlineStr">
        <is>
          <t>THREATFOX_IOC</t>
        </is>
      </c>
      <c r="B1199" t="inlineStr">
        <is>
          <t>1755469</t>
        </is>
      </c>
      <c r="C1199" t="inlineStr">
        <is>
          <t>domain IOC:  | Malware: SantaStealer | Confidence: 100%</t>
        </is>
      </c>
      <c r="D1199" t="n">
        <v>7.5</v>
      </c>
      <c r="E1199" t="inlineStr">
        <is>
          <t>HIGH</t>
        </is>
      </c>
      <c r="F1199" t="n">
        <v>3</v>
      </c>
      <c r="G1199" t="n">
        <v>2</v>
      </c>
      <c r="H1199" t="inlineStr">
        <is>
          <t>HIGH</t>
        </is>
      </c>
      <c r="I1199" t="n">
        <v>13.5</v>
      </c>
      <c r="J1199" t="inlineStr">
        <is>
          <t>NO</t>
        </is>
      </c>
      <c r="K1199" t="inlineStr">
        <is>
          <t>2026-02-27 16:36:17 UTC</t>
        </is>
      </c>
      <c r="L1199" t="inlineStr">
        <is>
          <t>Block IOC</t>
        </is>
      </c>
      <c r="M1199" t="inlineStr">
        <is>
          <t>botnet_cc</t>
        </is>
      </c>
      <c r="N1199" t="inlineStr">
        <is>
          <t>P3</t>
        </is>
      </c>
      <c r="O1199" t="inlineStr">
        <is>
          <t>Classification: Not checked | Context: Not enriched | Name: Not indexed</t>
        </is>
      </c>
      <c r="P1199" t="n">
        <v>0</v>
      </c>
      <c r="Q1199" t="n">
        <v>0</v>
      </c>
      <c r="R1199" t="inlineStr">
        <is>
          <t>T1071:Application Layer Protocol | T1102:Web Service</t>
        </is>
      </c>
      <c r="S1199" t="n">
        <v>1</v>
      </c>
      <c r="T1199" t="inlineStr">
        <is>
          <t>LOW (40%)</t>
        </is>
      </c>
      <c r="U1199" t="inlineStr">
        <is>
          <t>NONE</t>
        </is>
      </c>
      <c r="V1199" t="inlineStr">
        <is>
          <t>NONE</t>
        </is>
      </c>
      <c r="W1199" t="inlineStr">
        <is>
          <t>NONE</t>
        </is>
      </c>
      <c r="X1199" t="inlineStr">
        <is>
          <t>NONE</t>
        </is>
      </c>
      <c r="Y1199" t="n">
        <v>0</v>
      </c>
      <c r="Z1199" t="inlineStr"/>
      <c r="AA1199" t="inlineStr">
        <is>
          <t>https://threatfox.abuse.ch/ioc/1755469/</t>
        </is>
      </c>
    </row>
    <row r="1200">
      <c r="A1200" t="inlineStr">
        <is>
          <t>THREATFOX_IOC</t>
        </is>
      </c>
      <c r="B1200" t="inlineStr">
        <is>
          <t>1755470</t>
        </is>
      </c>
      <c r="C1200" t="inlineStr">
        <is>
          <t>domain IOC:  | Malware: SantaStealer | Confidence: 100%</t>
        </is>
      </c>
      <c r="D1200" t="n">
        <v>7.5</v>
      </c>
      <c r="E1200" t="inlineStr">
        <is>
          <t>HIGH</t>
        </is>
      </c>
      <c r="F1200" t="n">
        <v>3</v>
      </c>
      <c r="G1200" t="n">
        <v>2</v>
      </c>
      <c r="H1200" t="inlineStr">
        <is>
          <t>HIGH</t>
        </is>
      </c>
      <c r="I1200" t="n">
        <v>13.5</v>
      </c>
      <c r="J1200" t="inlineStr">
        <is>
          <t>NO</t>
        </is>
      </c>
      <c r="K1200" t="inlineStr">
        <is>
          <t>2026-02-27 16:36:17 UTC</t>
        </is>
      </c>
      <c r="L1200" t="inlineStr">
        <is>
          <t>Block IOC</t>
        </is>
      </c>
      <c r="M1200" t="inlineStr">
        <is>
          <t>botnet_cc</t>
        </is>
      </c>
      <c r="N1200" t="inlineStr">
        <is>
          <t>P3</t>
        </is>
      </c>
      <c r="O1200" t="inlineStr">
        <is>
          <t>Classification: Not checked | Context: Not enriched | Name: Not indexed</t>
        </is>
      </c>
      <c r="P1200" t="n">
        <v>0</v>
      </c>
      <c r="Q1200" t="n">
        <v>0</v>
      </c>
      <c r="R1200" t="inlineStr">
        <is>
          <t>T1071:Application Layer Protocol | T1102:Web Service</t>
        </is>
      </c>
      <c r="S1200" t="n">
        <v>1</v>
      </c>
      <c r="T1200" t="inlineStr">
        <is>
          <t>LOW (40%)</t>
        </is>
      </c>
      <c r="U1200" t="inlineStr">
        <is>
          <t>NONE</t>
        </is>
      </c>
      <c r="V1200" t="inlineStr">
        <is>
          <t>NONE</t>
        </is>
      </c>
      <c r="W1200" t="inlineStr">
        <is>
          <t>NONE</t>
        </is>
      </c>
      <c r="X1200" t="inlineStr">
        <is>
          <t>NONE</t>
        </is>
      </c>
      <c r="Y1200" t="n">
        <v>0</v>
      </c>
      <c r="Z1200" t="inlineStr"/>
      <c r="AA1200" t="inlineStr">
        <is>
          <t>https://threatfox.abuse.ch/ioc/1755470/</t>
        </is>
      </c>
    </row>
    <row r="1201">
      <c r="A1201" t="inlineStr">
        <is>
          <t>THREATFOX_IOC</t>
        </is>
      </c>
      <c r="B1201" t="inlineStr">
        <is>
          <t>1755471</t>
        </is>
      </c>
      <c r="C1201" t="inlineStr">
        <is>
          <t>domain IOC:  | Malware: SantaStealer | Confidence: 100%</t>
        </is>
      </c>
      <c r="D1201" t="n">
        <v>7.5</v>
      </c>
      <c r="E1201" t="inlineStr">
        <is>
          <t>HIGH</t>
        </is>
      </c>
      <c r="F1201" t="n">
        <v>3</v>
      </c>
      <c r="G1201" t="n">
        <v>2</v>
      </c>
      <c r="H1201" t="inlineStr">
        <is>
          <t>HIGH</t>
        </is>
      </c>
      <c r="I1201" t="n">
        <v>13.5</v>
      </c>
      <c r="J1201" t="inlineStr">
        <is>
          <t>NO</t>
        </is>
      </c>
      <c r="K1201" t="inlineStr">
        <is>
          <t>2026-02-27 16:36:17 UTC</t>
        </is>
      </c>
      <c r="L1201" t="inlineStr">
        <is>
          <t>Block IOC</t>
        </is>
      </c>
      <c r="M1201" t="inlineStr">
        <is>
          <t>botnet_cc</t>
        </is>
      </c>
      <c r="N1201" t="inlineStr">
        <is>
          <t>P3</t>
        </is>
      </c>
      <c r="O1201" t="inlineStr">
        <is>
          <t>Classification: Not checked | Context: Not enriched | Name: Not indexed</t>
        </is>
      </c>
      <c r="P1201" t="n">
        <v>0</v>
      </c>
      <c r="Q1201" t="n">
        <v>0</v>
      </c>
      <c r="R1201" t="inlineStr">
        <is>
          <t>T1071:Application Layer Protocol | T1102:Web Service</t>
        </is>
      </c>
      <c r="S1201" t="n">
        <v>1</v>
      </c>
      <c r="T1201" t="inlineStr">
        <is>
          <t>LOW (40%)</t>
        </is>
      </c>
      <c r="U1201" t="inlineStr">
        <is>
          <t>NONE</t>
        </is>
      </c>
      <c r="V1201" t="inlineStr">
        <is>
          <t>NONE</t>
        </is>
      </c>
      <c r="W1201" t="inlineStr">
        <is>
          <t>NONE</t>
        </is>
      </c>
      <c r="X1201" t="inlineStr">
        <is>
          <t>NONE</t>
        </is>
      </c>
      <c r="Y1201" t="n">
        <v>0</v>
      </c>
      <c r="Z1201" t="inlineStr"/>
      <c r="AA1201" t="inlineStr">
        <is>
          <t>https://threatfox.abuse.ch/ioc/1755471/</t>
        </is>
      </c>
    </row>
    <row r="1202">
      <c r="A1202" t="inlineStr">
        <is>
          <t>THREATFOX_IOC</t>
        </is>
      </c>
      <c r="B1202" t="inlineStr">
        <is>
          <t>1755472</t>
        </is>
      </c>
      <c r="C1202" t="inlineStr">
        <is>
          <t>domain IOC:  | Malware: SantaStealer | Confidence: 100%</t>
        </is>
      </c>
      <c r="D1202" t="n">
        <v>7.5</v>
      </c>
      <c r="E1202" t="inlineStr">
        <is>
          <t>HIGH</t>
        </is>
      </c>
      <c r="F1202" t="n">
        <v>3</v>
      </c>
      <c r="G1202" t="n">
        <v>2</v>
      </c>
      <c r="H1202" t="inlineStr">
        <is>
          <t>HIGH</t>
        </is>
      </c>
      <c r="I1202" t="n">
        <v>13.5</v>
      </c>
      <c r="J1202" t="inlineStr">
        <is>
          <t>NO</t>
        </is>
      </c>
      <c r="K1202" t="inlineStr">
        <is>
          <t>2026-02-27 16:36:17 UTC</t>
        </is>
      </c>
      <c r="L1202" t="inlineStr">
        <is>
          <t>Block IOC</t>
        </is>
      </c>
      <c r="M1202" t="inlineStr">
        <is>
          <t>botnet_cc</t>
        </is>
      </c>
      <c r="N1202" t="inlineStr">
        <is>
          <t>P3</t>
        </is>
      </c>
      <c r="O1202" t="inlineStr">
        <is>
          <t>Classification: Not checked | Context: Not enriched | Name: Not indexed</t>
        </is>
      </c>
      <c r="P1202" t="n">
        <v>0</v>
      </c>
      <c r="Q1202" t="n">
        <v>0</v>
      </c>
      <c r="R1202" t="inlineStr">
        <is>
          <t>T1071:Application Layer Protocol | T1102:Web Service</t>
        </is>
      </c>
      <c r="S1202" t="n">
        <v>1</v>
      </c>
      <c r="T1202" t="inlineStr">
        <is>
          <t>LOW (40%)</t>
        </is>
      </c>
      <c r="U1202" t="inlineStr">
        <is>
          <t>NONE</t>
        </is>
      </c>
      <c r="V1202" t="inlineStr">
        <is>
          <t>NONE</t>
        </is>
      </c>
      <c r="W1202" t="inlineStr">
        <is>
          <t>NONE</t>
        </is>
      </c>
      <c r="X1202" t="inlineStr">
        <is>
          <t>NONE</t>
        </is>
      </c>
      <c r="Y1202" t="n">
        <v>0</v>
      </c>
      <c r="Z1202" t="inlineStr"/>
      <c r="AA1202" t="inlineStr">
        <is>
          <t>https://threatfox.abuse.ch/ioc/1755472/</t>
        </is>
      </c>
    </row>
    <row r="1203">
      <c r="A1203" t="inlineStr">
        <is>
          <t>THREATFOX_IOC</t>
        </is>
      </c>
      <c r="B1203" t="inlineStr">
        <is>
          <t>1755468</t>
        </is>
      </c>
      <c r="C1203" t="inlineStr">
        <is>
          <t>ip:port IOC:  | Malware: Unknown RAT | Confidence: 75%</t>
        </is>
      </c>
      <c r="D1203" t="n">
        <v>7.5</v>
      </c>
      <c r="E1203" t="inlineStr">
        <is>
          <t>HIGH</t>
        </is>
      </c>
      <c r="F1203" t="n">
        <v>3</v>
      </c>
      <c r="G1203" t="n">
        <v>2</v>
      </c>
      <c r="H1203" t="inlineStr">
        <is>
          <t>HIGH</t>
        </is>
      </c>
      <c r="I1203" t="n">
        <v>13.5</v>
      </c>
      <c r="J1203" t="inlineStr">
        <is>
          <t>NO</t>
        </is>
      </c>
      <c r="K1203" t="inlineStr">
        <is>
          <t>2026-02-27 16:33:11 UTC</t>
        </is>
      </c>
      <c r="L1203" t="inlineStr">
        <is>
          <t>Block IOC</t>
        </is>
      </c>
      <c r="M1203" t="inlineStr">
        <is>
          <t>botnet_cc</t>
        </is>
      </c>
      <c r="N1203" t="inlineStr">
        <is>
          <t>P3</t>
        </is>
      </c>
      <c r="O1203" t="inlineStr">
        <is>
          <t>Classification: hosting-provider | Context: 🌍 Sweden | Stockholm | 🏢 AWS EC2 (eu-north-1) | ASN: AS16509 Amazon.com, Inc. | 🖥️ Hosting/DC | Name: AWS EC2 (eu-north-1)</t>
        </is>
      </c>
      <c r="P1203" t="n">
        <v>0</v>
      </c>
      <c r="Q1203" t="n">
        <v>0</v>
      </c>
      <c r="R1203" t="inlineStr">
        <is>
          <t>T1071:Application Layer Protocol | T1102:Web Service</t>
        </is>
      </c>
      <c r="S1203" t="n">
        <v>1</v>
      </c>
      <c r="T1203" t="inlineStr">
        <is>
          <t>LOW (40%)</t>
        </is>
      </c>
      <c r="U1203" t="inlineStr">
        <is>
          <t>NONE</t>
        </is>
      </c>
      <c r="V1203" t="inlineStr">
        <is>
          <t>NONE</t>
        </is>
      </c>
      <c r="W1203" t="inlineStr">
        <is>
          <t>NONE</t>
        </is>
      </c>
      <c r="X1203" t="inlineStr">
        <is>
          <t>NONE</t>
        </is>
      </c>
      <c r="Y1203" t="n">
        <v>0</v>
      </c>
      <c r="Z1203" t="inlineStr"/>
      <c r="AA1203" t="inlineStr">
        <is>
          <t>https://threatfox.abuse.ch/ioc/1755468/</t>
        </is>
      </c>
    </row>
    <row r="1204">
      <c r="A1204" t="inlineStr">
        <is>
          <t>THREATFOX_IOC</t>
        </is>
      </c>
      <c r="B1204" t="inlineStr">
        <is>
          <t>1755326</t>
        </is>
      </c>
      <c r="C1204" t="inlineStr">
        <is>
          <t>ip:port IOC:  | Malware: Aisuru | Confidence: 100%</t>
        </is>
      </c>
      <c r="D1204" t="n">
        <v>7.5</v>
      </c>
      <c r="E1204" t="inlineStr">
        <is>
          <t>HIGH</t>
        </is>
      </c>
      <c r="F1204" t="n">
        <v>3</v>
      </c>
      <c r="G1204" t="n">
        <v>2</v>
      </c>
      <c r="H1204" t="inlineStr">
        <is>
          <t>HIGH</t>
        </is>
      </c>
      <c r="I1204" t="n">
        <v>13.5</v>
      </c>
      <c r="J1204" t="inlineStr">
        <is>
          <t>NO</t>
        </is>
      </c>
      <c r="K1204" t="inlineStr">
        <is>
          <t>2026-02-27 16:21:42 UTC</t>
        </is>
      </c>
      <c r="L1204" t="inlineStr">
        <is>
          <t>Block IOC</t>
        </is>
      </c>
      <c r="M1204" t="inlineStr">
        <is>
          <t>botnet_cc</t>
        </is>
      </c>
      <c r="N1204" t="inlineStr">
        <is>
          <t>P3</t>
        </is>
      </c>
      <c r="O1204" t="inlineStr">
        <is>
          <t>Classification: hosting-provider | Context: 🌍 Sweden | Stockholm | 🏢 AWS EC2 (eu-north-1) | ASN: AS16509 Amazon.com, Inc. | 🖥️ Hosting/DC | Name: AWS EC2 (eu-north-1)</t>
        </is>
      </c>
      <c r="P1204" t="n">
        <v>0</v>
      </c>
      <c r="Q1204" t="n">
        <v>0</v>
      </c>
      <c r="R1204" t="inlineStr">
        <is>
          <t>T1071:Application Layer Protocol | T1102:Web Service</t>
        </is>
      </c>
      <c r="S1204" t="n">
        <v>1</v>
      </c>
      <c r="T1204" t="inlineStr">
        <is>
          <t>LOW (40%)</t>
        </is>
      </c>
      <c r="U1204" t="inlineStr">
        <is>
          <t>NONE</t>
        </is>
      </c>
      <c r="V1204" t="inlineStr">
        <is>
          <t>NONE</t>
        </is>
      </c>
      <c r="W1204" t="inlineStr">
        <is>
          <t>NONE</t>
        </is>
      </c>
      <c r="X1204" t="inlineStr">
        <is>
          <t>NONE</t>
        </is>
      </c>
      <c r="Y1204" t="n">
        <v>0</v>
      </c>
      <c r="Z1204" t="inlineStr"/>
      <c r="AA1204" t="inlineStr">
        <is>
          <t>https://threatfox.abuse.ch/ioc/1755326/</t>
        </is>
      </c>
    </row>
    <row r="1205">
      <c r="A1205" t="inlineStr">
        <is>
          <t>THREATFOX_IOC</t>
        </is>
      </c>
      <c r="B1205" t="inlineStr">
        <is>
          <t>1755353</t>
        </is>
      </c>
      <c r="C1205" t="inlineStr">
        <is>
          <t>domain IOC:  | Malware: Unknown Stealer | Confidence: 100%</t>
        </is>
      </c>
      <c r="D1205" t="n">
        <v>7.5</v>
      </c>
      <c r="E1205" t="inlineStr">
        <is>
          <t>HIGH</t>
        </is>
      </c>
      <c r="F1205" t="n">
        <v>3</v>
      </c>
      <c r="G1205" t="n">
        <v>2</v>
      </c>
      <c r="H1205" t="inlineStr">
        <is>
          <t>HIGH</t>
        </is>
      </c>
      <c r="I1205" t="n">
        <v>13.5</v>
      </c>
      <c r="J1205" t="inlineStr">
        <is>
          <t>NO</t>
        </is>
      </c>
      <c r="K1205" t="inlineStr">
        <is>
          <t>2026-02-27 16:21:29 UTC</t>
        </is>
      </c>
      <c r="L1205" t="inlineStr">
        <is>
          <t>Block IOC</t>
        </is>
      </c>
      <c r="M1205" t="inlineStr">
        <is>
          <t>botnet_cc</t>
        </is>
      </c>
      <c r="N1205" t="inlineStr">
        <is>
          <t>P3</t>
        </is>
      </c>
      <c r="O1205" t="inlineStr">
        <is>
          <t>Classification: Not checked | Context: Not enriched | Name: Not indexed</t>
        </is>
      </c>
      <c r="P1205" t="n">
        <v>0</v>
      </c>
      <c r="Q1205" t="n">
        <v>0</v>
      </c>
      <c r="R1205" t="inlineStr">
        <is>
          <t>T1071:Application Layer Protocol | T1102:Web Service</t>
        </is>
      </c>
      <c r="S1205" t="n">
        <v>1</v>
      </c>
      <c r="T1205" t="inlineStr">
        <is>
          <t>LOW (40%)</t>
        </is>
      </c>
      <c r="U1205" t="inlineStr">
        <is>
          <t>NONE</t>
        </is>
      </c>
      <c r="V1205" t="inlineStr">
        <is>
          <t>NONE</t>
        </is>
      </c>
      <c r="W1205" t="inlineStr">
        <is>
          <t>NONE</t>
        </is>
      </c>
      <c r="X1205" t="inlineStr">
        <is>
          <t>NONE</t>
        </is>
      </c>
      <c r="Y1205" t="n">
        <v>0</v>
      </c>
      <c r="Z1205" t="inlineStr"/>
      <c r="AA1205" t="inlineStr">
        <is>
          <t>https://threatfox.abuse.ch/ioc/1755353/</t>
        </is>
      </c>
    </row>
    <row r="1206">
      <c r="A1206" t="inlineStr">
        <is>
          <t>THREATFOX_IOC</t>
        </is>
      </c>
      <c r="B1206" t="inlineStr">
        <is>
          <t>1755356</t>
        </is>
      </c>
      <c r="C1206" t="inlineStr">
        <is>
          <t>url IOC:  | Malware: Unknown Stealer | Confidence: 100%</t>
        </is>
      </c>
      <c r="D1206" t="n">
        <v>7.5</v>
      </c>
      <c r="E1206" t="inlineStr">
        <is>
          <t>HIGH</t>
        </is>
      </c>
      <c r="F1206" t="n">
        <v>3</v>
      </c>
      <c r="G1206" t="n">
        <v>2</v>
      </c>
      <c r="H1206" t="inlineStr">
        <is>
          <t>HIGH</t>
        </is>
      </c>
      <c r="I1206" t="n">
        <v>13.5</v>
      </c>
      <c r="J1206" t="inlineStr">
        <is>
          <t>NO</t>
        </is>
      </c>
      <c r="K1206" t="inlineStr">
        <is>
          <t>2026-02-27 16:21:24 UTC</t>
        </is>
      </c>
      <c r="L1206" t="inlineStr">
        <is>
          <t>Block IOC</t>
        </is>
      </c>
      <c r="M1206" t="inlineStr">
        <is>
          <t>botnet_cc</t>
        </is>
      </c>
      <c r="N1206" t="inlineStr">
        <is>
          <t>P3</t>
        </is>
      </c>
      <c r="O1206" t="inlineStr">
        <is>
          <t>Classification: Not checked | Context: Not enriched | Name: Not indexed</t>
        </is>
      </c>
      <c r="P1206" t="n">
        <v>0</v>
      </c>
      <c r="Q1206" t="n">
        <v>0</v>
      </c>
      <c r="R1206" t="inlineStr">
        <is>
          <t>T1071:Application Layer Protocol | T1102:Web Service</t>
        </is>
      </c>
      <c r="S1206" t="n">
        <v>1</v>
      </c>
      <c r="T1206" t="inlineStr">
        <is>
          <t>LOW (40%)</t>
        </is>
      </c>
      <c r="U1206" t="inlineStr">
        <is>
          <t>NONE</t>
        </is>
      </c>
      <c r="V1206" t="inlineStr">
        <is>
          <t>NONE</t>
        </is>
      </c>
      <c r="W1206" t="inlineStr">
        <is>
          <t>NONE</t>
        </is>
      </c>
      <c r="X1206" t="inlineStr">
        <is>
          <t>NONE</t>
        </is>
      </c>
      <c r="Y1206" t="n">
        <v>0</v>
      </c>
      <c r="Z1206" t="inlineStr"/>
      <c r="AA1206" t="inlineStr">
        <is>
          <t>https://threatfox.abuse.ch/ioc/1755356/</t>
        </is>
      </c>
    </row>
    <row r="1207">
      <c r="A1207" t="inlineStr">
        <is>
          <t>THREATFOX_IOC</t>
        </is>
      </c>
      <c r="B1207" t="inlineStr">
        <is>
          <t>1755360</t>
        </is>
      </c>
      <c r="C1207" t="inlineStr">
        <is>
          <t>domain IOC:  | Malware: Unknown Stealer | Confidence: 100%</t>
        </is>
      </c>
      <c r="D1207" t="n">
        <v>7.5</v>
      </c>
      <c r="E1207" t="inlineStr">
        <is>
          <t>HIGH</t>
        </is>
      </c>
      <c r="F1207" t="n">
        <v>3</v>
      </c>
      <c r="G1207" t="n">
        <v>2</v>
      </c>
      <c r="H1207" t="inlineStr">
        <is>
          <t>HIGH</t>
        </is>
      </c>
      <c r="I1207" t="n">
        <v>13.5</v>
      </c>
      <c r="J1207" t="inlineStr">
        <is>
          <t>NO</t>
        </is>
      </c>
      <c r="K1207" t="inlineStr">
        <is>
          <t>2026-02-27 16:21:24 UTC</t>
        </is>
      </c>
      <c r="L1207" t="inlineStr">
        <is>
          <t>Block IOC</t>
        </is>
      </c>
      <c r="M1207" t="inlineStr">
        <is>
          <t>botnet_cc</t>
        </is>
      </c>
      <c r="N1207" t="inlineStr">
        <is>
          <t>P3</t>
        </is>
      </c>
      <c r="O1207" t="inlineStr">
        <is>
          <t>Classification: Not checked | Context: Not enriched | Name: Not indexed</t>
        </is>
      </c>
      <c r="P1207" t="n">
        <v>0</v>
      </c>
      <c r="Q1207" t="n">
        <v>0</v>
      </c>
      <c r="R1207" t="inlineStr">
        <is>
          <t>T1071:Application Layer Protocol | T1102:Web Service</t>
        </is>
      </c>
      <c r="S1207" t="n">
        <v>1</v>
      </c>
      <c r="T1207" t="inlineStr">
        <is>
          <t>LOW (40%)</t>
        </is>
      </c>
      <c r="U1207" t="inlineStr">
        <is>
          <t>NONE</t>
        </is>
      </c>
      <c r="V1207" t="inlineStr">
        <is>
          <t>NONE</t>
        </is>
      </c>
      <c r="W1207" t="inlineStr">
        <is>
          <t>NONE</t>
        </is>
      </c>
      <c r="X1207" t="inlineStr">
        <is>
          <t>NONE</t>
        </is>
      </c>
      <c r="Y1207" t="n">
        <v>0</v>
      </c>
      <c r="Z1207" t="inlineStr"/>
      <c r="AA1207" t="inlineStr">
        <is>
          <t>https://threatfox.abuse.ch/ioc/1755360/</t>
        </is>
      </c>
    </row>
    <row r="1208">
      <c r="A1208" t="inlineStr">
        <is>
          <t>THREATFOX_IOC</t>
        </is>
      </c>
      <c r="B1208" t="inlineStr">
        <is>
          <t>1755359</t>
        </is>
      </c>
      <c r="C1208" t="inlineStr">
        <is>
          <t>domain IOC:  | Malware: Unknown Stealer | Confidence: 100%</t>
        </is>
      </c>
      <c r="D1208" t="n">
        <v>7.5</v>
      </c>
      <c r="E1208" t="inlineStr">
        <is>
          <t>HIGH</t>
        </is>
      </c>
      <c r="F1208" t="n">
        <v>3</v>
      </c>
      <c r="G1208" t="n">
        <v>2</v>
      </c>
      <c r="H1208" t="inlineStr">
        <is>
          <t>HIGH</t>
        </is>
      </c>
      <c r="I1208" t="n">
        <v>13.5</v>
      </c>
      <c r="J1208" t="inlineStr">
        <is>
          <t>NO</t>
        </is>
      </c>
      <c r="K1208" t="inlineStr">
        <is>
          <t>2026-02-27 16:21:23 UTC</t>
        </is>
      </c>
      <c r="L1208" t="inlineStr">
        <is>
          <t>Block IOC</t>
        </is>
      </c>
      <c r="M1208" t="inlineStr">
        <is>
          <t>botnet_cc</t>
        </is>
      </c>
      <c r="N1208" t="inlineStr">
        <is>
          <t>P3</t>
        </is>
      </c>
      <c r="O1208" t="inlineStr">
        <is>
          <t>Classification: Not checked | Context: Not enriched | Name: Not indexed</t>
        </is>
      </c>
      <c r="P1208" t="n">
        <v>0</v>
      </c>
      <c r="Q1208" t="n">
        <v>0</v>
      </c>
      <c r="R1208" t="inlineStr">
        <is>
          <t>T1071:Application Layer Protocol | T1102:Web Service</t>
        </is>
      </c>
      <c r="S1208" t="n">
        <v>1</v>
      </c>
      <c r="T1208" t="inlineStr">
        <is>
          <t>LOW (40%)</t>
        </is>
      </c>
      <c r="U1208" t="inlineStr">
        <is>
          <t>NONE</t>
        </is>
      </c>
      <c r="V1208" t="inlineStr">
        <is>
          <t>NONE</t>
        </is>
      </c>
      <c r="W1208" t="inlineStr">
        <is>
          <t>NONE</t>
        </is>
      </c>
      <c r="X1208" t="inlineStr">
        <is>
          <t>NONE</t>
        </is>
      </c>
      <c r="Y1208" t="n">
        <v>0</v>
      </c>
      <c r="Z1208" t="inlineStr"/>
      <c r="AA1208" t="inlineStr">
        <is>
          <t>https://threatfox.abuse.ch/ioc/1755359/</t>
        </is>
      </c>
    </row>
    <row r="1209">
      <c r="A1209" t="inlineStr">
        <is>
          <t>THREATFOX_IOC</t>
        </is>
      </c>
      <c r="B1209" t="inlineStr">
        <is>
          <t>1755373</t>
        </is>
      </c>
      <c r="C1209" t="inlineStr">
        <is>
          <t>domain IOC:  | Malware: Unknown Stealer | Confidence: 100%</t>
        </is>
      </c>
      <c r="D1209" t="n">
        <v>7.5</v>
      </c>
      <c r="E1209" t="inlineStr">
        <is>
          <t>HIGH</t>
        </is>
      </c>
      <c r="F1209" t="n">
        <v>3</v>
      </c>
      <c r="G1209" t="n">
        <v>2</v>
      </c>
      <c r="H1209" t="inlineStr">
        <is>
          <t>HIGH</t>
        </is>
      </c>
      <c r="I1209" t="n">
        <v>13.5</v>
      </c>
      <c r="J1209" t="inlineStr">
        <is>
          <t>NO</t>
        </is>
      </c>
      <c r="K1209" t="inlineStr">
        <is>
          <t>2026-02-27 16:21:21 UTC</t>
        </is>
      </c>
      <c r="L1209" t="inlineStr">
        <is>
          <t>Block IOC</t>
        </is>
      </c>
      <c r="M1209" t="inlineStr">
        <is>
          <t>botnet_cc</t>
        </is>
      </c>
      <c r="N1209" t="inlineStr">
        <is>
          <t>P3</t>
        </is>
      </c>
      <c r="O1209" t="inlineStr">
        <is>
          <t>Classification: Not checked | Context: Not enriched | Name: Not indexed</t>
        </is>
      </c>
      <c r="P1209" t="n">
        <v>0</v>
      </c>
      <c r="Q1209" t="n">
        <v>0</v>
      </c>
      <c r="R1209" t="inlineStr">
        <is>
          <t>T1071:Application Layer Protocol | T1102:Web Service</t>
        </is>
      </c>
      <c r="S1209" t="n">
        <v>1</v>
      </c>
      <c r="T1209" t="inlineStr">
        <is>
          <t>LOW (40%)</t>
        </is>
      </c>
      <c r="U1209" t="inlineStr">
        <is>
          <t>NONE</t>
        </is>
      </c>
      <c r="V1209" t="inlineStr">
        <is>
          <t>NONE</t>
        </is>
      </c>
      <c r="W1209" t="inlineStr">
        <is>
          <t>NONE</t>
        </is>
      </c>
      <c r="X1209" t="inlineStr">
        <is>
          <t>NONE</t>
        </is>
      </c>
      <c r="Y1209" t="n">
        <v>0</v>
      </c>
      <c r="Z1209" t="inlineStr"/>
      <c r="AA1209" t="inlineStr">
        <is>
          <t>https://threatfox.abuse.ch/ioc/1755373/</t>
        </is>
      </c>
    </row>
    <row r="1210">
      <c r="A1210" t="inlineStr">
        <is>
          <t>THREATFOX_IOC</t>
        </is>
      </c>
      <c r="B1210" t="inlineStr">
        <is>
          <t>1755375</t>
        </is>
      </c>
      <c r="C1210" t="inlineStr">
        <is>
          <t>url IOC:  | Malware: SmartLoader | Confidence: 75%</t>
        </is>
      </c>
      <c r="D1210" t="n">
        <v>7.5</v>
      </c>
      <c r="E1210" t="inlineStr">
        <is>
          <t>HIGH</t>
        </is>
      </c>
      <c r="F1210" t="n">
        <v>3</v>
      </c>
      <c r="G1210" t="n">
        <v>2</v>
      </c>
      <c r="H1210" t="inlineStr">
        <is>
          <t>HIGH</t>
        </is>
      </c>
      <c r="I1210" t="n">
        <v>13.5</v>
      </c>
      <c r="J1210" t="inlineStr">
        <is>
          <t>NO</t>
        </is>
      </c>
      <c r="K1210" t="inlineStr">
        <is>
          <t>2026-02-27 16:21:20 UTC</t>
        </is>
      </c>
      <c r="L1210" t="inlineStr">
        <is>
          <t>Block IOC</t>
        </is>
      </c>
      <c r="M1210" t="inlineStr">
        <is>
          <t>botnet_cc</t>
        </is>
      </c>
      <c r="N1210" t="inlineStr">
        <is>
          <t>P3</t>
        </is>
      </c>
      <c r="O1210" t="inlineStr">
        <is>
          <t>Classification: Not checked | Context: Not enriched | Name: Not indexed</t>
        </is>
      </c>
      <c r="P1210" t="n">
        <v>0</v>
      </c>
      <c r="Q1210" t="n">
        <v>0</v>
      </c>
      <c r="R1210" t="inlineStr">
        <is>
          <t>T1071:Application Layer Protocol | T1102:Web Service</t>
        </is>
      </c>
      <c r="S1210" t="n">
        <v>1</v>
      </c>
      <c r="T1210" t="inlineStr">
        <is>
          <t>LOW (40%)</t>
        </is>
      </c>
      <c r="U1210" t="inlineStr">
        <is>
          <t>NONE</t>
        </is>
      </c>
      <c r="V1210" t="inlineStr">
        <is>
          <t>NONE</t>
        </is>
      </c>
      <c r="W1210" t="inlineStr">
        <is>
          <t>NONE</t>
        </is>
      </c>
      <c r="X1210" t="inlineStr">
        <is>
          <t>NONE</t>
        </is>
      </c>
      <c r="Y1210" t="n">
        <v>0</v>
      </c>
      <c r="Z1210" t="inlineStr"/>
      <c r="AA1210" t="inlineStr">
        <is>
          <t>https://threatfox.abuse.ch/ioc/1755375/</t>
        </is>
      </c>
    </row>
    <row r="1211">
      <c r="A1211" t="inlineStr">
        <is>
          <t>THREATFOX_IOC</t>
        </is>
      </c>
      <c r="B1211" t="inlineStr">
        <is>
          <t>1755422</t>
        </is>
      </c>
      <c r="C1211" t="inlineStr">
        <is>
          <t>ip:port IOC:  | Malware: Mirai | Confidence: 100%</t>
        </is>
      </c>
      <c r="D1211" t="n">
        <v>7.5</v>
      </c>
      <c r="E1211" t="inlineStr">
        <is>
          <t>HIGH</t>
        </is>
      </c>
      <c r="F1211" t="n">
        <v>3</v>
      </c>
      <c r="G1211" t="n">
        <v>2</v>
      </c>
      <c r="H1211" t="inlineStr">
        <is>
          <t>HIGH</t>
        </is>
      </c>
      <c r="I1211" t="n">
        <v>13.5</v>
      </c>
      <c r="J1211" t="inlineStr">
        <is>
          <t>NO</t>
        </is>
      </c>
      <c r="K1211" t="inlineStr">
        <is>
          <t>2026-02-27 16:21:15 UTC</t>
        </is>
      </c>
      <c r="L1211" t="inlineStr">
        <is>
          <t>Block IOC</t>
        </is>
      </c>
      <c r="M1211" t="inlineStr">
        <is>
          <t>botnet_cc</t>
        </is>
      </c>
      <c r="N1211" t="inlineStr">
        <is>
          <t>P3</t>
        </is>
      </c>
      <c r="O1211" t="inlineStr">
        <is>
          <t>Classification: hosting-provider | Context: 🌍 Sweden | Stockholm | 🏢 AWS EC2 (eu-north-1) | ASN: AS16509 Amazon.com, Inc. | 🖥️ Hosting/DC | Name: AWS EC2 (eu-north-1)</t>
        </is>
      </c>
      <c r="P1211" t="n">
        <v>0</v>
      </c>
      <c r="Q1211" t="n">
        <v>0</v>
      </c>
      <c r="R1211" t="inlineStr">
        <is>
          <t>T1071:Application Layer Protocol | T1102:Web Service</t>
        </is>
      </c>
      <c r="S1211" t="n">
        <v>1</v>
      </c>
      <c r="T1211" t="inlineStr">
        <is>
          <t>LOW (40%)</t>
        </is>
      </c>
      <c r="U1211" t="inlineStr">
        <is>
          <t>NONE</t>
        </is>
      </c>
      <c r="V1211" t="inlineStr">
        <is>
          <t>NONE</t>
        </is>
      </c>
      <c r="W1211" t="inlineStr">
        <is>
          <t>NONE</t>
        </is>
      </c>
      <c r="X1211" t="inlineStr">
        <is>
          <t>NONE</t>
        </is>
      </c>
      <c r="Y1211" t="n">
        <v>0</v>
      </c>
      <c r="Z1211" t="inlineStr"/>
      <c r="AA1211" t="inlineStr">
        <is>
          <t>https://threatfox.abuse.ch/ioc/1755422/</t>
        </is>
      </c>
    </row>
    <row r="1212">
      <c r="A1212" t="inlineStr">
        <is>
          <t>THREATFOX_IOC</t>
        </is>
      </c>
      <c r="B1212" t="inlineStr">
        <is>
          <t>1755423</t>
        </is>
      </c>
      <c r="C1212" t="inlineStr">
        <is>
          <t>domain IOC:  | Malware: ClearFake | Confidence: 100%</t>
        </is>
      </c>
      <c r="D1212" t="n">
        <v>7.5</v>
      </c>
      <c r="E1212" t="inlineStr">
        <is>
          <t>HIGH</t>
        </is>
      </c>
      <c r="F1212" t="n">
        <v>3</v>
      </c>
      <c r="G1212" t="n">
        <v>2</v>
      </c>
      <c r="H1212" t="inlineStr">
        <is>
          <t>HIGH</t>
        </is>
      </c>
      <c r="I1212" t="n">
        <v>13.5</v>
      </c>
      <c r="J1212" t="inlineStr">
        <is>
          <t>NO</t>
        </is>
      </c>
      <c r="K1212" t="inlineStr">
        <is>
          <t>2026-02-27 16:21:15 UTC</t>
        </is>
      </c>
      <c r="L1212" t="inlineStr">
        <is>
          <t>Block IOC</t>
        </is>
      </c>
      <c r="M1212" t="inlineStr">
        <is>
          <t>payload_delivery</t>
        </is>
      </c>
      <c r="N1212" t="inlineStr">
        <is>
          <t>P3</t>
        </is>
      </c>
      <c r="O1212" t="inlineStr">
        <is>
          <t>Classification: Not checked | Context: Not enriched | Name: Not indexed</t>
        </is>
      </c>
      <c r="P1212" t="n">
        <v>0</v>
      </c>
      <c r="Q1212" t="n">
        <v>0</v>
      </c>
      <c r="R1212" t="inlineStr">
        <is>
          <t>T1071:Application Layer Protocol | T1102:Web Service</t>
        </is>
      </c>
      <c r="S1212" t="n">
        <v>1</v>
      </c>
      <c r="T1212" t="inlineStr">
        <is>
          <t>LOW (40%)</t>
        </is>
      </c>
      <c r="U1212" t="inlineStr">
        <is>
          <t>NONE</t>
        </is>
      </c>
      <c r="V1212" t="inlineStr">
        <is>
          <t>NONE</t>
        </is>
      </c>
      <c r="W1212" t="inlineStr">
        <is>
          <t>NONE</t>
        </is>
      </c>
      <c r="X1212" t="inlineStr">
        <is>
          <t>NONE</t>
        </is>
      </c>
      <c r="Y1212" t="n">
        <v>0</v>
      </c>
      <c r="Z1212" t="inlineStr"/>
      <c r="AA1212" t="inlineStr">
        <is>
          <t>https://threatfox.abuse.ch/ioc/1755423/</t>
        </is>
      </c>
    </row>
    <row r="1213">
      <c r="A1213" t="inlineStr">
        <is>
          <t>THREATFOX_IOC</t>
        </is>
      </c>
      <c r="B1213" t="inlineStr">
        <is>
          <t>1755449</t>
        </is>
      </c>
      <c r="C1213" t="inlineStr">
        <is>
          <t>url IOC:  | Malware: KongTuke | Confidence: 100%</t>
        </is>
      </c>
      <c r="D1213" t="n">
        <v>7.5</v>
      </c>
      <c r="E1213" t="inlineStr">
        <is>
          <t>HIGH</t>
        </is>
      </c>
      <c r="F1213" t="n">
        <v>3</v>
      </c>
      <c r="G1213" t="n">
        <v>2</v>
      </c>
      <c r="H1213" t="inlineStr">
        <is>
          <t>HIGH</t>
        </is>
      </c>
      <c r="I1213" t="n">
        <v>13.5</v>
      </c>
      <c r="J1213" t="inlineStr">
        <is>
          <t>NO</t>
        </is>
      </c>
      <c r="K1213" t="inlineStr">
        <is>
          <t>2026-02-27 16:21:13 UTC</t>
        </is>
      </c>
      <c r="L1213" t="inlineStr">
        <is>
          <t>Block IOC</t>
        </is>
      </c>
      <c r="M1213" t="inlineStr">
        <is>
          <t>payload_delivery</t>
        </is>
      </c>
      <c r="N1213" t="inlineStr">
        <is>
          <t>P3</t>
        </is>
      </c>
      <c r="O1213" t="inlineStr">
        <is>
          <t>Classification: Not checked | Context: Not enriched | Name: Not indexed</t>
        </is>
      </c>
      <c r="P1213" t="n">
        <v>0</v>
      </c>
      <c r="Q1213" t="n">
        <v>0</v>
      </c>
      <c r="R1213" t="inlineStr">
        <is>
          <t>T1071:Application Layer Protocol | T1102:Web Service</t>
        </is>
      </c>
      <c r="S1213" t="n">
        <v>1</v>
      </c>
      <c r="T1213" t="inlineStr">
        <is>
          <t>LOW (40%)</t>
        </is>
      </c>
      <c r="U1213" t="inlineStr">
        <is>
          <t>NONE</t>
        </is>
      </c>
      <c r="V1213" t="inlineStr">
        <is>
          <t>NONE</t>
        </is>
      </c>
      <c r="W1213" t="inlineStr">
        <is>
          <t>NONE</t>
        </is>
      </c>
      <c r="X1213" t="inlineStr">
        <is>
          <t>NONE</t>
        </is>
      </c>
      <c r="Y1213" t="n">
        <v>0</v>
      </c>
      <c r="Z1213" t="inlineStr"/>
      <c r="AA1213" t="inlineStr">
        <is>
          <t>https://threatfox.abuse.ch/ioc/1755449/</t>
        </is>
      </c>
    </row>
    <row r="1214">
      <c r="A1214" t="inlineStr">
        <is>
          <t>THREATFOX_IOC</t>
        </is>
      </c>
      <c r="B1214" t="inlineStr">
        <is>
          <t>1755450</t>
        </is>
      </c>
      <c r="C1214" t="inlineStr">
        <is>
          <t>domain IOC:  | Malware: KongTuke | Confidence: 100%</t>
        </is>
      </c>
      <c r="D1214" t="n">
        <v>7.5</v>
      </c>
      <c r="E1214" t="inlineStr">
        <is>
          <t>HIGH</t>
        </is>
      </c>
      <c r="F1214" t="n">
        <v>3</v>
      </c>
      <c r="G1214" t="n">
        <v>2</v>
      </c>
      <c r="H1214" t="inlineStr">
        <is>
          <t>HIGH</t>
        </is>
      </c>
      <c r="I1214" t="n">
        <v>13.5</v>
      </c>
      <c r="J1214" t="inlineStr">
        <is>
          <t>NO</t>
        </is>
      </c>
      <c r="K1214" t="inlineStr">
        <is>
          <t>2026-02-27 16:21:12 UTC</t>
        </is>
      </c>
      <c r="L1214" t="inlineStr">
        <is>
          <t>Block IOC</t>
        </is>
      </c>
      <c r="M1214" t="inlineStr">
        <is>
          <t>payload_delivery</t>
        </is>
      </c>
      <c r="N1214" t="inlineStr">
        <is>
          <t>P3</t>
        </is>
      </c>
      <c r="O1214" t="inlineStr">
        <is>
          <t>Classification: Not checked | Context: Not enriched | Name: Not indexed</t>
        </is>
      </c>
      <c r="P1214" t="n">
        <v>0</v>
      </c>
      <c r="Q1214" t="n">
        <v>0</v>
      </c>
      <c r="R1214" t="inlineStr">
        <is>
          <t>T1071:Application Layer Protocol | T1102:Web Service</t>
        </is>
      </c>
      <c r="S1214" t="n">
        <v>1</v>
      </c>
      <c r="T1214" t="inlineStr">
        <is>
          <t>LOW (40%)</t>
        </is>
      </c>
      <c r="U1214" t="inlineStr">
        <is>
          <t>NONE</t>
        </is>
      </c>
      <c r="V1214" t="inlineStr">
        <is>
          <t>NONE</t>
        </is>
      </c>
      <c r="W1214" t="inlineStr">
        <is>
          <t>NONE</t>
        </is>
      </c>
      <c r="X1214" t="inlineStr">
        <is>
          <t>NONE</t>
        </is>
      </c>
      <c r="Y1214" t="n">
        <v>0</v>
      </c>
      <c r="Z1214" t="inlineStr"/>
      <c r="AA1214" t="inlineStr">
        <is>
          <t>https://threatfox.abuse.ch/ioc/1755450/</t>
        </is>
      </c>
    </row>
    <row r="1215">
      <c r="A1215" t="inlineStr">
        <is>
          <t>THREATFOX_IOC</t>
        </is>
      </c>
      <c r="B1215" t="inlineStr">
        <is>
          <t>1755451</t>
        </is>
      </c>
      <c r="C1215" t="inlineStr">
        <is>
          <t>url IOC:  | Malware: KongTuke | Confidence: 100%</t>
        </is>
      </c>
      <c r="D1215" t="n">
        <v>7.5</v>
      </c>
      <c r="E1215" t="inlineStr">
        <is>
          <t>HIGH</t>
        </is>
      </c>
      <c r="F1215" t="n">
        <v>3</v>
      </c>
      <c r="G1215" t="n">
        <v>2</v>
      </c>
      <c r="H1215" t="inlineStr">
        <is>
          <t>HIGH</t>
        </is>
      </c>
      <c r="I1215" t="n">
        <v>13.5</v>
      </c>
      <c r="J1215" t="inlineStr">
        <is>
          <t>NO</t>
        </is>
      </c>
      <c r="K1215" t="inlineStr">
        <is>
          <t>2026-02-27 16:21:11 UTC</t>
        </is>
      </c>
      <c r="L1215" t="inlineStr">
        <is>
          <t>Block IOC</t>
        </is>
      </c>
      <c r="M1215" t="inlineStr">
        <is>
          <t>payload_delivery</t>
        </is>
      </c>
      <c r="N1215" t="inlineStr">
        <is>
          <t>P3</t>
        </is>
      </c>
      <c r="O1215" t="inlineStr">
        <is>
          <t>Classification: Not checked | Context: Not enriched | Name: Not indexed</t>
        </is>
      </c>
      <c r="P1215" t="n">
        <v>0</v>
      </c>
      <c r="Q1215" t="n">
        <v>0</v>
      </c>
      <c r="R1215" t="inlineStr">
        <is>
          <t>T1071:Application Layer Protocol | T1102:Web Service</t>
        </is>
      </c>
      <c r="S1215" t="n">
        <v>1</v>
      </c>
      <c r="T1215" t="inlineStr">
        <is>
          <t>LOW (40%)</t>
        </is>
      </c>
      <c r="U1215" t="inlineStr">
        <is>
          <t>NONE</t>
        </is>
      </c>
      <c r="V1215" t="inlineStr">
        <is>
          <t>NONE</t>
        </is>
      </c>
      <c r="W1215" t="inlineStr">
        <is>
          <t>NONE</t>
        </is>
      </c>
      <c r="X1215" t="inlineStr">
        <is>
          <t>NONE</t>
        </is>
      </c>
      <c r="Y1215" t="n">
        <v>0</v>
      </c>
      <c r="Z1215" t="inlineStr"/>
      <c r="AA1215" t="inlineStr">
        <is>
          <t>https://threatfox.abuse.ch/ioc/1755451/</t>
        </is>
      </c>
    </row>
    <row r="1216">
      <c r="A1216" t="inlineStr">
        <is>
          <t>THREATFOX_IOC</t>
        </is>
      </c>
      <c r="B1216" t="inlineStr">
        <is>
          <t>1755452</t>
        </is>
      </c>
      <c r="C1216" t="inlineStr">
        <is>
          <t>url IOC:  | Malware: SmartApeSG | Confidence: 100%</t>
        </is>
      </c>
      <c r="D1216" t="n">
        <v>7.5</v>
      </c>
      <c r="E1216" t="inlineStr">
        <is>
          <t>HIGH</t>
        </is>
      </c>
      <c r="F1216" t="n">
        <v>3</v>
      </c>
      <c r="G1216" t="n">
        <v>2</v>
      </c>
      <c r="H1216" t="inlineStr">
        <is>
          <t>HIGH</t>
        </is>
      </c>
      <c r="I1216" t="n">
        <v>13.5</v>
      </c>
      <c r="J1216" t="inlineStr">
        <is>
          <t>NO</t>
        </is>
      </c>
      <c r="K1216" t="inlineStr">
        <is>
          <t>2026-02-27 16:21:11 UTC</t>
        </is>
      </c>
      <c r="L1216" t="inlineStr">
        <is>
          <t>Block IOC</t>
        </is>
      </c>
      <c r="M1216" t="inlineStr">
        <is>
          <t>payload_delivery</t>
        </is>
      </c>
      <c r="N1216" t="inlineStr">
        <is>
          <t>P3</t>
        </is>
      </c>
      <c r="O1216" t="inlineStr">
        <is>
          <t>Classification: Not checked | Context: Not enriched | Name: Not indexed</t>
        </is>
      </c>
      <c r="P1216" t="n">
        <v>0</v>
      </c>
      <c r="Q1216" t="n">
        <v>0</v>
      </c>
      <c r="R1216" t="inlineStr">
        <is>
          <t>T1071:Application Layer Protocol | T1102:Web Service</t>
        </is>
      </c>
      <c r="S1216" t="n">
        <v>1</v>
      </c>
      <c r="T1216" t="inlineStr">
        <is>
          <t>LOW (40%)</t>
        </is>
      </c>
      <c r="U1216" t="inlineStr">
        <is>
          <t>NONE</t>
        </is>
      </c>
      <c r="V1216" t="inlineStr">
        <is>
          <t>NONE</t>
        </is>
      </c>
      <c r="W1216" t="inlineStr">
        <is>
          <t>NONE</t>
        </is>
      </c>
      <c r="X1216" t="inlineStr">
        <is>
          <t>NONE</t>
        </is>
      </c>
      <c r="Y1216" t="n">
        <v>0</v>
      </c>
      <c r="Z1216" t="inlineStr"/>
      <c r="AA1216" t="inlineStr">
        <is>
          <t>https://threatfox.abuse.ch/ioc/1755452/</t>
        </is>
      </c>
    </row>
    <row r="1217">
      <c r="A1217" t="inlineStr">
        <is>
          <t>THREATFOX_IOC</t>
        </is>
      </c>
      <c r="B1217" t="inlineStr">
        <is>
          <t>1755453</t>
        </is>
      </c>
      <c r="C1217" t="inlineStr">
        <is>
          <t>domain IOC:  | Malware: SmartApeSG | Confidence: 100%</t>
        </is>
      </c>
      <c r="D1217" t="n">
        <v>7.5</v>
      </c>
      <c r="E1217" t="inlineStr">
        <is>
          <t>HIGH</t>
        </is>
      </c>
      <c r="F1217" t="n">
        <v>3</v>
      </c>
      <c r="G1217" t="n">
        <v>2</v>
      </c>
      <c r="H1217" t="inlineStr">
        <is>
          <t>HIGH</t>
        </is>
      </c>
      <c r="I1217" t="n">
        <v>13.5</v>
      </c>
      <c r="J1217" t="inlineStr">
        <is>
          <t>NO</t>
        </is>
      </c>
      <c r="K1217" t="inlineStr">
        <is>
          <t>2026-02-27 16:21:10 UTC</t>
        </is>
      </c>
      <c r="L1217" t="inlineStr">
        <is>
          <t>Block IOC</t>
        </is>
      </c>
      <c r="M1217" t="inlineStr">
        <is>
          <t>payload_delivery</t>
        </is>
      </c>
      <c r="N1217" t="inlineStr">
        <is>
          <t>P3</t>
        </is>
      </c>
      <c r="O1217" t="inlineStr">
        <is>
          <t>Classification: Not checked | Context: Not enriched | Name: Not indexed</t>
        </is>
      </c>
      <c r="P1217" t="n">
        <v>0</v>
      </c>
      <c r="Q1217" t="n">
        <v>0</v>
      </c>
      <c r="R1217" t="inlineStr">
        <is>
          <t>T1071:Application Layer Protocol | T1102:Web Service</t>
        </is>
      </c>
      <c r="S1217" t="n">
        <v>1</v>
      </c>
      <c r="T1217" t="inlineStr">
        <is>
          <t>LOW (40%)</t>
        </is>
      </c>
      <c r="U1217" t="inlineStr">
        <is>
          <t>NONE</t>
        </is>
      </c>
      <c r="V1217" t="inlineStr">
        <is>
          <t>NONE</t>
        </is>
      </c>
      <c r="W1217" t="inlineStr">
        <is>
          <t>NONE</t>
        </is>
      </c>
      <c r="X1217" t="inlineStr">
        <is>
          <t>NONE</t>
        </is>
      </c>
      <c r="Y1217" t="n">
        <v>0</v>
      </c>
      <c r="Z1217" t="inlineStr"/>
      <c r="AA1217" t="inlineStr">
        <is>
          <t>https://threatfox.abuse.ch/ioc/1755453/</t>
        </is>
      </c>
    </row>
    <row r="1218">
      <c r="A1218" t="inlineStr">
        <is>
          <t>THREATMINER</t>
        </is>
      </c>
      <c r="B1218" t="inlineStr">
        <is>
          <t>d41d8cd98f00</t>
        </is>
      </c>
      <c r="C1218" t="inlineStr">
        <is>
          <t xml:space="preserve">Malicious domain:  | IP: 45.148.10.147 | Last seen: </t>
        </is>
      </c>
      <c r="D1218" t="n">
        <v>6.5</v>
      </c>
      <c r="E1218" t="inlineStr">
        <is>
          <t>MEDIUM</t>
        </is>
      </c>
      <c r="F1218" t="n">
        <v>2</v>
      </c>
      <c r="G1218" t="n">
        <v>2</v>
      </c>
      <c r="H1218" t="inlineStr">
        <is>
          <t>MEDIUM</t>
        </is>
      </c>
      <c r="I1218" t="n">
        <v>10.5</v>
      </c>
      <c r="J1218" t="inlineStr">
        <is>
          <t>NO</t>
        </is>
      </c>
      <c r="K1218" t="inlineStr"/>
      <c r="L1218" t="inlineStr">
        <is>
          <t>Block domain</t>
        </is>
      </c>
      <c r="M1218" t="inlineStr">
        <is>
          <t>DNS/Network</t>
        </is>
      </c>
      <c r="N1218" t="inlineStr">
        <is>
          <t>P4</t>
        </is>
      </c>
      <c r="O1218" t="inlineStr">
        <is>
          <t>Domain IOC - check IP separately</t>
        </is>
      </c>
      <c r="P1218" t="n">
        <v>0</v>
      </c>
      <c r="Q1218" t="n">
        <v>0</v>
      </c>
      <c r="R1218" t="inlineStr">
        <is>
          <t>T1071.001:Web Protocols | T1568:Dynamic Resolution</t>
        </is>
      </c>
      <c r="S1218" t="n">
        <v>1</v>
      </c>
      <c r="T1218" t="inlineStr">
        <is>
          <t>LOW (40%)</t>
        </is>
      </c>
      <c r="U1218" t="inlineStr">
        <is>
          <t>NONE</t>
        </is>
      </c>
      <c r="V1218" t="inlineStr">
        <is>
          <t>NONE</t>
        </is>
      </c>
      <c r="W1218" t="inlineStr">
        <is>
          <t>NONE</t>
        </is>
      </c>
      <c r="X1218" t="inlineStr">
        <is>
          <t>NONE</t>
        </is>
      </c>
      <c r="Y1218" t="n">
        <v>0</v>
      </c>
      <c r="Z1218" t="inlineStr"/>
      <c r="AA1218" t="inlineStr">
        <is>
          <t>https://www.threatminer.org/domain.php?q=</t>
        </is>
      </c>
    </row>
    <row r="1219">
      <c r="A1219" t="inlineStr">
        <is>
          <t>THREATMINER</t>
        </is>
      </c>
      <c r="B1219" t="inlineStr">
        <is>
          <t>d41d8cd98f00</t>
        </is>
      </c>
      <c r="C1219" t="inlineStr">
        <is>
          <t xml:space="preserve">Malicious domain:  | IP: 2.57.121.25 | Last seen: </t>
        </is>
      </c>
      <c r="D1219" t="n">
        <v>6.5</v>
      </c>
      <c r="E1219" t="inlineStr">
        <is>
          <t>MEDIUM</t>
        </is>
      </c>
      <c r="F1219" t="n">
        <v>2</v>
      </c>
      <c r="G1219" t="n">
        <v>2</v>
      </c>
      <c r="H1219" t="inlineStr">
        <is>
          <t>MEDIUM</t>
        </is>
      </c>
      <c r="I1219" t="n">
        <v>10.5</v>
      </c>
      <c r="J1219" t="inlineStr">
        <is>
          <t>NO</t>
        </is>
      </c>
      <c r="K1219" t="inlineStr"/>
      <c r="L1219" t="inlineStr">
        <is>
          <t>Block domain</t>
        </is>
      </c>
      <c r="M1219" t="inlineStr">
        <is>
          <t>DNS/Network</t>
        </is>
      </c>
      <c r="N1219" t="inlineStr">
        <is>
          <t>P4</t>
        </is>
      </c>
      <c r="O1219" t="inlineStr">
        <is>
          <t>Domain IOC - check IP separately</t>
        </is>
      </c>
      <c r="P1219" t="n">
        <v>0</v>
      </c>
      <c r="Q1219" t="n">
        <v>0</v>
      </c>
      <c r="R1219" t="inlineStr">
        <is>
          <t>T1071.001:Web Protocols | T1568:Dynamic Resolution</t>
        </is>
      </c>
      <c r="S1219" t="n">
        <v>1</v>
      </c>
      <c r="T1219" t="inlineStr">
        <is>
          <t>LOW (40%)</t>
        </is>
      </c>
      <c r="U1219" t="inlineStr">
        <is>
          <t>NONE</t>
        </is>
      </c>
      <c r="V1219" t="inlineStr">
        <is>
          <t>NONE</t>
        </is>
      </c>
      <c r="W1219" t="inlineStr">
        <is>
          <t>NONE</t>
        </is>
      </c>
      <c r="X1219" t="inlineStr">
        <is>
          <t>NONE</t>
        </is>
      </c>
      <c r="Y1219" t="n">
        <v>0</v>
      </c>
      <c r="Z1219" t="inlineStr"/>
      <c r="AA1219" t="inlineStr">
        <is>
          <t>https://www.threatminer.org/domain.php?q=</t>
        </is>
      </c>
    </row>
    <row r="1220">
      <c r="A1220" t="inlineStr">
        <is>
          <t>THREATMINER</t>
        </is>
      </c>
      <c r="B1220" t="inlineStr">
        <is>
          <t>d41d8cd98f00</t>
        </is>
      </c>
      <c r="C1220" t="inlineStr">
        <is>
          <t xml:space="preserve">Malicious domain:  | IP: 91.224.92.54 | Last seen: </t>
        </is>
      </c>
      <c r="D1220" t="n">
        <v>6.5</v>
      </c>
      <c r="E1220" t="inlineStr">
        <is>
          <t>MEDIUM</t>
        </is>
      </c>
      <c r="F1220" t="n">
        <v>2</v>
      </c>
      <c r="G1220" t="n">
        <v>2</v>
      </c>
      <c r="H1220" t="inlineStr">
        <is>
          <t>MEDIUM</t>
        </is>
      </c>
      <c r="I1220" t="n">
        <v>10.5</v>
      </c>
      <c r="J1220" t="inlineStr">
        <is>
          <t>NO</t>
        </is>
      </c>
      <c r="K1220" t="inlineStr"/>
      <c r="L1220" t="inlineStr">
        <is>
          <t>Block domain</t>
        </is>
      </c>
      <c r="M1220" t="inlineStr">
        <is>
          <t>DNS/Network</t>
        </is>
      </c>
      <c r="N1220" t="inlineStr">
        <is>
          <t>P4</t>
        </is>
      </c>
      <c r="O1220" t="inlineStr">
        <is>
          <t>Domain IOC - check IP separately</t>
        </is>
      </c>
      <c r="P1220" t="n">
        <v>0</v>
      </c>
      <c r="Q1220" t="n">
        <v>0</v>
      </c>
      <c r="R1220" t="inlineStr">
        <is>
          <t>T1071.001:Web Protocols | T1568:Dynamic Resolution</t>
        </is>
      </c>
      <c r="S1220" t="n">
        <v>1</v>
      </c>
      <c r="T1220" t="inlineStr">
        <is>
          <t>LOW (40%)</t>
        </is>
      </c>
      <c r="U1220" t="inlineStr">
        <is>
          <t>NONE</t>
        </is>
      </c>
      <c r="V1220" t="inlineStr">
        <is>
          <t>NONE</t>
        </is>
      </c>
      <c r="W1220" t="inlineStr">
        <is>
          <t>NONE</t>
        </is>
      </c>
      <c r="X1220" t="inlineStr">
        <is>
          <t>NONE</t>
        </is>
      </c>
      <c r="Y1220" t="n">
        <v>0</v>
      </c>
      <c r="Z1220" t="inlineStr"/>
      <c r="AA1220" t="inlineStr">
        <is>
          <t>https://www.threatminer.org/domain.php?q=</t>
        </is>
      </c>
    </row>
    <row r="1221">
      <c r="A1221" t="inlineStr">
        <is>
          <t>THREATMINER</t>
        </is>
      </c>
      <c r="B1221" t="inlineStr">
        <is>
          <t>d41d8cd98f00</t>
        </is>
      </c>
      <c r="C1221" t="inlineStr">
        <is>
          <t xml:space="preserve">Malicious domain:  | IP: 154.81.14.244 | Last seen: </t>
        </is>
      </c>
      <c r="D1221" t="n">
        <v>6.5</v>
      </c>
      <c r="E1221" t="inlineStr">
        <is>
          <t>MEDIUM</t>
        </is>
      </c>
      <c r="F1221" t="n">
        <v>2</v>
      </c>
      <c r="G1221" t="n">
        <v>2</v>
      </c>
      <c r="H1221" t="inlineStr">
        <is>
          <t>MEDIUM</t>
        </is>
      </c>
      <c r="I1221" t="n">
        <v>10.5</v>
      </c>
      <c r="J1221" t="inlineStr">
        <is>
          <t>NO</t>
        </is>
      </c>
      <c r="K1221" t="inlineStr"/>
      <c r="L1221" t="inlineStr">
        <is>
          <t>Block domain</t>
        </is>
      </c>
      <c r="M1221" t="inlineStr">
        <is>
          <t>DNS/Network</t>
        </is>
      </c>
      <c r="N1221" t="inlineStr">
        <is>
          <t>P4</t>
        </is>
      </c>
      <c r="O1221" t="inlineStr">
        <is>
          <t>Domain IOC - check IP separately</t>
        </is>
      </c>
      <c r="P1221" t="n">
        <v>0</v>
      </c>
      <c r="Q1221" t="n">
        <v>0</v>
      </c>
      <c r="R1221" t="inlineStr">
        <is>
          <t>T1071.001:Web Protocols | T1568:Dynamic Resolution</t>
        </is>
      </c>
      <c r="S1221" t="n">
        <v>1</v>
      </c>
      <c r="T1221" t="inlineStr">
        <is>
          <t>LOW (40%)</t>
        </is>
      </c>
      <c r="U1221" t="inlineStr">
        <is>
          <t>NONE</t>
        </is>
      </c>
      <c r="V1221" t="inlineStr">
        <is>
          <t>NONE</t>
        </is>
      </c>
      <c r="W1221" t="inlineStr">
        <is>
          <t>NONE</t>
        </is>
      </c>
      <c r="X1221" t="inlineStr">
        <is>
          <t>NONE</t>
        </is>
      </c>
      <c r="Y1221" t="n">
        <v>0</v>
      </c>
      <c r="Z1221" t="inlineStr"/>
      <c r="AA1221" t="inlineStr">
        <is>
          <t>https://www.threatminer.org/domain.php?q=</t>
        </is>
      </c>
    </row>
    <row r="1222">
      <c r="A1222" t="inlineStr">
        <is>
          <t>THREATMINER</t>
        </is>
      </c>
      <c r="B1222" t="inlineStr">
        <is>
          <t>d41d8cd98f00</t>
        </is>
      </c>
      <c r="C1222" t="inlineStr">
        <is>
          <t xml:space="preserve">Malicious domain:  | IP: 213.209.159.159 | Last seen: </t>
        </is>
      </c>
      <c r="D1222" t="n">
        <v>6.5</v>
      </c>
      <c r="E1222" t="inlineStr">
        <is>
          <t>MEDIUM</t>
        </is>
      </c>
      <c r="F1222" t="n">
        <v>2</v>
      </c>
      <c r="G1222" t="n">
        <v>2</v>
      </c>
      <c r="H1222" t="inlineStr">
        <is>
          <t>MEDIUM</t>
        </is>
      </c>
      <c r="I1222" t="n">
        <v>10.5</v>
      </c>
      <c r="J1222" t="inlineStr">
        <is>
          <t>NO</t>
        </is>
      </c>
      <c r="K1222" t="inlineStr"/>
      <c r="L1222" t="inlineStr">
        <is>
          <t>Block domain</t>
        </is>
      </c>
      <c r="M1222" t="inlineStr">
        <is>
          <t>DNS/Network</t>
        </is>
      </c>
      <c r="N1222" t="inlineStr">
        <is>
          <t>P4</t>
        </is>
      </c>
      <c r="O1222" t="inlineStr">
        <is>
          <t>Domain IOC - check IP separately</t>
        </is>
      </c>
      <c r="P1222" t="n">
        <v>0</v>
      </c>
      <c r="Q1222" t="n">
        <v>0</v>
      </c>
      <c r="R1222" t="inlineStr">
        <is>
          <t>T1071.001:Web Protocols | T1568:Dynamic Resolution</t>
        </is>
      </c>
      <c r="S1222" t="n">
        <v>1</v>
      </c>
      <c r="T1222" t="inlineStr">
        <is>
          <t>LOW (40%)</t>
        </is>
      </c>
      <c r="U1222" t="inlineStr">
        <is>
          <t>NONE</t>
        </is>
      </c>
      <c r="V1222" t="inlineStr">
        <is>
          <t>NONE</t>
        </is>
      </c>
      <c r="W1222" t="inlineStr">
        <is>
          <t>NONE</t>
        </is>
      </c>
      <c r="X1222" t="inlineStr">
        <is>
          <t>NONE</t>
        </is>
      </c>
      <c r="Y1222" t="n">
        <v>0</v>
      </c>
      <c r="Z1222" t="inlineStr"/>
      <c r="AA1222" t="inlineStr">
        <is>
          <t>https://www.threatminer.org/domain.php?q=</t>
        </is>
      </c>
    </row>
    <row r="1223">
      <c r="A1223" t="inlineStr">
        <is>
          <t>THREATMINER</t>
        </is>
      </c>
      <c r="B1223" t="inlineStr">
        <is>
          <t>d41d8cd98f00</t>
        </is>
      </c>
      <c r="C1223" t="inlineStr">
        <is>
          <t xml:space="preserve">Malicious domain:  | IP: 2.57.121.112 | Last seen: </t>
        </is>
      </c>
      <c r="D1223" t="n">
        <v>6.5</v>
      </c>
      <c r="E1223" t="inlineStr">
        <is>
          <t>MEDIUM</t>
        </is>
      </c>
      <c r="F1223" t="n">
        <v>2</v>
      </c>
      <c r="G1223" t="n">
        <v>2</v>
      </c>
      <c r="H1223" t="inlineStr">
        <is>
          <t>MEDIUM</t>
        </is>
      </c>
      <c r="I1223" t="n">
        <v>10.5</v>
      </c>
      <c r="J1223" t="inlineStr">
        <is>
          <t>NO</t>
        </is>
      </c>
      <c r="K1223" t="inlineStr"/>
      <c r="L1223" t="inlineStr">
        <is>
          <t>Block domain</t>
        </is>
      </c>
      <c r="M1223" t="inlineStr">
        <is>
          <t>DNS/Network</t>
        </is>
      </c>
      <c r="N1223" t="inlineStr">
        <is>
          <t>P4</t>
        </is>
      </c>
      <c r="O1223" t="inlineStr">
        <is>
          <t>Domain IOC - check IP separately</t>
        </is>
      </c>
      <c r="P1223" t="n">
        <v>0</v>
      </c>
      <c r="Q1223" t="n">
        <v>0</v>
      </c>
      <c r="R1223" t="inlineStr">
        <is>
          <t>T1071.001:Web Protocols | T1568:Dynamic Resolution</t>
        </is>
      </c>
      <c r="S1223" t="n">
        <v>1</v>
      </c>
      <c r="T1223" t="inlineStr">
        <is>
          <t>LOW (40%)</t>
        </is>
      </c>
      <c r="U1223" t="inlineStr">
        <is>
          <t>NONE</t>
        </is>
      </c>
      <c r="V1223" t="inlineStr">
        <is>
          <t>NONE</t>
        </is>
      </c>
      <c r="W1223" t="inlineStr">
        <is>
          <t>NONE</t>
        </is>
      </c>
      <c r="X1223" t="inlineStr">
        <is>
          <t>NONE</t>
        </is>
      </c>
      <c r="Y1223" t="n">
        <v>0</v>
      </c>
      <c r="Z1223" t="inlineStr"/>
      <c r="AA1223" t="inlineStr">
        <is>
          <t>https://www.threatminer.org/domain.php?q=</t>
        </is>
      </c>
    </row>
    <row r="1224">
      <c r="A1224" t="inlineStr">
        <is>
          <t>THREATMINER</t>
        </is>
      </c>
      <c r="B1224" t="inlineStr">
        <is>
          <t>d41d8cd98f00</t>
        </is>
      </c>
      <c r="C1224" t="inlineStr">
        <is>
          <t xml:space="preserve">Malicious domain:  | IP: 2.57.122.238 | Last seen: </t>
        </is>
      </c>
      <c r="D1224" t="n">
        <v>6.5</v>
      </c>
      <c r="E1224" t="inlineStr">
        <is>
          <t>MEDIUM</t>
        </is>
      </c>
      <c r="F1224" t="n">
        <v>2</v>
      </c>
      <c r="G1224" t="n">
        <v>2</v>
      </c>
      <c r="H1224" t="inlineStr">
        <is>
          <t>MEDIUM</t>
        </is>
      </c>
      <c r="I1224" t="n">
        <v>10.5</v>
      </c>
      <c r="J1224" t="inlineStr">
        <is>
          <t>NO</t>
        </is>
      </c>
      <c r="K1224" t="inlineStr"/>
      <c r="L1224" t="inlineStr">
        <is>
          <t>Block domain</t>
        </is>
      </c>
      <c r="M1224" t="inlineStr">
        <is>
          <t>DNS/Network</t>
        </is>
      </c>
      <c r="N1224" t="inlineStr">
        <is>
          <t>P4</t>
        </is>
      </c>
      <c r="O1224" t="inlineStr">
        <is>
          <t>Domain IOC - check IP separately</t>
        </is>
      </c>
      <c r="P1224" t="n">
        <v>0</v>
      </c>
      <c r="Q1224" t="n">
        <v>0</v>
      </c>
      <c r="R1224" t="inlineStr">
        <is>
          <t>T1071.001:Web Protocols | T1568:Dynamic Resolution</t>
        </is>
      </c>
      <c r="S1224" t="n">
        <v>1</v>
      </c>
      <c r="T1224" t="inlineStr">
        <is>
          <t>LOW (40%)</t>
        </is>
      </c>
      <c r="U1224" t="inlineStr">
        <is>
          <t>NONE</t>
        </is>
      </c>
      <c r="V1224" t="inlineStr">
        <is>
          <t>NONE</t>
        </is>
      </c>
      <c r="W1224" t="inlineStr">
        <is>
          <t>NONE</t>
        </is>
      </c>
      <c r="X1224" t="inlineStr">
        <is>
          <t>NONE</t>
        </is>
      </c>
      <c r="Y1224" t="n">
        <v>0</v>
      </c>
      <c r="Z1224" t="inlineStr"/>
      <c r="AA1224" t="inlineStr">
        <is>
          <t>https://www.threatminer.org/domain.php?q=</t>
        </is>
      </c>
    </row>
    <row r="1225">
      <c r="A1225" t="inlineStr">
        <is>
          <t>THREATMINER</t>
        </is>
      </c>
      <c r="B1225" t="inlineStr">
        <is>
          <t>d41d8cd98f00</t>
        </is>
      </c>
      <c r="C1225" t="inlineStr">
        <is>
          <t xml:space="preserve">Malicious domain:  | IP: 24.65.233.27 | Last seen: </t>
        </is>
      </c>
      <c r="D1225" t="n">
        <v>6.5</v>
      </c>
      <c r="E1225" t="inlineStr">
        <is>
          <t>MEDIUM</t>
        </is>
      </c>
      <c r="F1225" t="n">
        <v>2</v>
      </c>
      <c r="G1225" t="n">
        <v>2</v>
      </c>
      <c r="H1225" t="inlineStr">
        <is>
          <t>MEDIUM</t>
        </is>
      </c>
      <c r="I1225" t="n">
        <v>10.5</v>
      </c>
      <c r="J1225" t="inlineStr">
        <is>
          <t>NO</t>
        </is>
      </c>
      <c r="K1225" t="inlineStr"/>
      <c r="L1225" t="inlineStr">
        <is>
          <t>Block domain</t>
        </is>
      </c>
      <c r="M1225" t="inlineStr">
        <is>
          <t>DNS/Network</t>
        </is>
      </c>
      <c r="N1225" t="inlineStr">
        <is>
          <t>P4</t>
        </is>
      </c>
      <c r="O1225" t="inlineStr">
        <is>
          <t>Domain IOC - check IP separately</t>
        </is>
      </c>
      <c r="P1225" t="n">
        <v>0</v>
      </c>
      <c r="Q1225" t="n">
        <v>0</v>
      </c>
      <c r="R1225" t="inlineStr">
        <is>
          <t>T1071.001:Web Protocols | T1568:Dynamic Resolution</t>
        </is>
      </c>
      <c r="S1225" t="n">
        <v>1</v>
      </c>
      <c r="T1225" t="inlineStr">
        <is>
          <t>LOW (40%)</t>
        </is>
      </c>
      <c r="U1225" t="inlineStr">
        <is>
          <t>NONE</t>
        </is>
      </c>
      <c r="V1225" t="inlineStr">
        <is>
          <t>NONE</t>
        </is>
      </c>
      <c r="W1225" t="inlineStr">
        <is>
          <t>NONE</t>
        </is>
      </c>
      <c r="X1225" t="inlineStr">
        <is>
          <t>NONE</t>
        </is>
      </c>
      <c r="Y1225" t="n">
        <v>0</v>
      </c>
      <c r="Z1225" t="inlineStr"/>
      <c r="AA1225" t="inlineStr">
        <is>
          <t>https://www.threatminer.org/domain.php?q=</t>
        </is>
      </c>
    </row>
    <row r="1226">
      <c r="A1226" t="inlineStr">
        <is>
          <t>THREATMINER</t>
        </is>
      </c>
      <c r="B1226" t="inlineStr">
        <is>
          <t>d41d8cd98f00</t>
        </is>
      </c>
      <c r="C1226" t="inlineStr">
        <is>
          <t xml:space="preserve">Malicious domain:  | IP: 45.148.10.141 | Last seen: </t>
        </is>
      </c>
      <c r="D1226" t="n">
        <v>6.5</v>
      </c>
      <c r="E1226" t="inlineStr">
        <is>
          <t>MEDIUM</t>
        </is>
      </c>
      <c r="F1226" t="n">
        <v>2</v>
      </c>
      <c r="G1226" t="n">
        <v>2</v>
      </c>
      <c r="H1226" t="inlineStr">
        <is>
          <t>MEDIUM</t>
        </is>
      </c>
      <c r="I1226" t="n">
        <v>10.5</v>
      </c>
      <c r="J1226" t="inlineStr">
        <is>
          <t>NO</t>
        </is>
      </c>
      <c r="K1226" t="inlineStr"/>
      <c r="L1226" t="inlineStr">
        <is>
          <t>Block domain</t>
        </is>
      </c>
      <c r="M1226" t="inlineStr">
        <is>
          <t>DNS/Network</t>
        </is>
      </c>
      <c r="N1226" t="inlineStr">
        <is>
          <t>P4</t>
        </is>
      </c>
      <c r="O1226" t="inlineStr">
        <is>
          <t>Domain IOC - check IP separately</t>
        </is>
      </c>
      <c r="P1226" t="n">
        <v>0</v>
      </c>
      <c r="Q1226" t="n">
        <v>0</v>
      </c>
      <c r="R1226" t="inlineStr">
        <is>
          <t>T1071.001:Web Protocols | T1568:Dynamic Resolution</t>
        </is>
      </c>
      <c r="S1226" t="n">
        <v>1</v>
      </c>
      <c r="T1226" t="inlineStr">
        <is>
          <t>LOW (40%)</t>
        </is>
      </c>
      <c r="U1226" t="inlineStr">
        <is>
          <t>NONE</t>
        </is>
      </c>
      <c r="V1226" t="inlineStr">
        <is>
          <t>NONE</t>
        </is>
      </c>
      <c r="W1226" t="inlineStr">
        <is>
          <t>NONE</t>
        </is>
      </c>
      <c r="X1226" t="inlineStr">
        <is>
          <t>NONE</t>
        </is>
      </c>
      <c r="Y1226" t="n">
        <v>0</v>
      </c>
      <c r="Z1226" t="inlineStr"/>
      <c r="AA1226" t="inlineStr">
        <is>
          <t>https://www.threatminer.org/domain.php?q=</t>
        </is>
      </c>
    </row>
    <row r="1227">
      <c r="A1227" t="inlineStr">
        <is>
          <t>THREATMINER</t>
        </is>
      </c>
      <c r="B1227" t="inlineStr">
        <is>
          <t>d41d8cd98f00</t>
        </is>
      </c>
      <c r="C1227" t="inlineStr">
        <is>
          <t xml:space="preserve">Malicious domain:  | IP: 45.148.10.151 | Last seen: </t>
        </is>
      </c>
      <c r="D1227" t="n">
        <v>6.5</v>
      </c>
      <c r="E1227" t="inlineStr">
        <is>
          <t>MEDIUM</t>
        </is>
      </c>
      <c r="F1227" t="n">
        <v>2</v>
      </c>
      <c r="G1227" t="n">
        <v>2</v>
      </c>
      <c r="H1227" t="inlineStr">
        <is>
          <t>MEDIUM</t>
        </is>
      </c>
      <c r="I1227" t="n">
        <v>10.5</v>
      </c>
      <c r="J1227" t="inlineStr">
        <is>
          <t>NO</t>
        </is>
      </c>
      <c r="K1227" t="inlineStr"/>
      <c r="L1227" t="inlineStr">
        <is>
          <t>Block domain</t>
        </is>
      </c>
      <c r="M1227" t="inlineStr">
        <is>
          <t>DNS/Network</t>
        </is>
      </c>
      <c r="N1227" t="inlineStr">
        <is>
          <t>P4</t>
        </is>
      </c>
      <c r="O1227" t="inlineStr">
        <is>
          <t>Domain IOC - check IP separately</t>
        </is>
      </c>
      <c r="P1227" t="n">
        <v>0</v>
      </c>
      <c r="Q1227" t="n">
        <v>0</v>
      </c>
      <c r="R1227" t="inlineStr">
        <is>
          <t>T1071.001:Web Protocols | T1568:Dynamic Resolution</t>
        </is>
      </c>
      <c r="S1227" t="n">
        <v>1</v>
      </c>
      <c r="T1227" t="inlineStr">
        <is>
          <t>LOW (40%)</t>
        </is>
      </c>
      <c r="U1227" t="inlineStr">
        <is>
          <t>NONE</t>
        </is>
      </c>
      <c r="V1227" t="inlineStr">
        <is>
          <t>NONE</t>
        </is>
      </c>
      <c r="W1227" t="inlineStr">
        <is>
          <t>NONE</t>
        </is>
      </c>
      <c r="X1227" t="inlineStr">
        <is>
          <t>NONE</t>
        </is>
      </c>
      <c r="Y1227" t="n">
        <v>0</v>
      </c>
      <c r="Z1227" t="inlineStr"/>
      <c r="AA1227" t="inlineStr">
        <is>
          <t>https://www.threatminer.org/domain.php?q=</t>
        </is>
      </c>
    </row>
    <row r="1228">
      <c r="A1228" t="inlineStr">
        <is>
          <t>THREATMINER</t>
        </is>
      </c>
      <c r="B1228" t="inlineStr">
        <is>
          <t>d41d8cd98f00</t>
        </is>
      </c>
      <c r="C1228" t="inlineStr">
        <is>
          <t xml:space="preserve">Malicious domain:  | IP: 45.148.10.152 | Last seen: </t>
        </is>
      </c>
      <c r="D1228" t="n">
        <v>6.5</v>
      </c>
      <c r="E1228" t="inlineStr">
        <is>
          <t>MEDIUM</t>
        </is>
      </c>
      <c r="F1228" t="n">
        <v>2</v>
      </c>
      <c r="G1228" t="n">
        <v>2</v>
      </c>
      <c r="H1228" t="inlineStr">
        <is>
          <t>MEDIUM</t>
        </is>
      </c>
      <c r="I1228" t="n">
        <v>10.5</v>
      </c>
      <c r="J1228" t="inlineStr">
        <is>
          <t>NO</t>
        </is>
      </c>
      <c r="K1228" t="inlineStr"/>
      <c r="L1228" t="inlineStr">
        <is>
          <t>Block domain</t>
        </is>
      </c>
      <c r="M1228" t="inlineStr">
        <is>
          <t>DNS/Network</t>
        </is>
      </c>
      <c r="N1228" t="inlineStr">
        <is>
          <t>P4</t>
        </is>
      </c>
      <c r="O1228" t="inlineStr">
        <is>
          <t>Domain IOC - check IP separately</t>
        </is>
      </c>
      <c r="P1228" t="n">
        <v>0</v>
      </c>
      <c r="Q1228" t="n">
        <v>0</v>
      </c>
      <c r="R1228" t="inlineStr">
        <is>
          <t>T1071.001:Web Protocols | T1568:Dynamic Resolution</t>
        </is>
      </c>
      <c r="S1228" t="n">
        <v>1</v>
      </c>
      <c r="T1228" t="inlineStr">
        <is>
          <t>LOW (40%)</t>
        </is>
      </c>
      <c r="U1228" t="inlineStr">
        <is>
          <t>NONE</t>
        </is>
      </c>
      <c r="V1228" t="inlineStr">
        <is>
          <t>NONE</t>
        </is>
      </c>
      <c r="W1228" t="inlineStr">
        <is>
          <t>NONE</t>
        </is>
      </c>
      <c r="X1228" t="inlineStr">
        <is>
          <t>NONE</t>
        </is>
      </c>
      <c r="Y1228" t="n">
        <v>0</v>
      </c>
      <c r="Z1228" t="inlineStr"/>
      <c r="AA1228" t="inlineStr">
        <is>
          <t>https://www.threatminer.org/domain.php?q=</t>
        </is>
      </c>
    </row>
    <row r="1229">
      <c r="A1229" t="inlineStr">
        <is>
          <t>THREATMINER</t>
        </is>
      </c>
      <c r="B1229" t="inlineStr">
        <is>
          <t>d41d8cd98f00</t>
        </is>
      </c>
      <c r="C1229" t="inlineStr">
        <is>
          <t xml:space="preserve">Malicious domain:  | IP: 45.148.10.157 | Last seen: </t>
        </is>
      </c>
      <c r="D1229" t="n">
        <v>6.5</v>
      </c>
      <c r="E1229" t="inlineStr">
        <is>
          <t>MEDIUM</t>
        </is>
      </c>
      <c r="F1229" t="n">
        <v>2</v>
      </c>
      <c r="G1229" t="n">
        <v>2</v>
      </c>
      <c r="H1229" t="inlineStr">
        <is>
          <t>MEDIUM</t>
        </is>
      </c>
      <c r="I1229" t="n">
        <v>10.5</v>
      </c>
      <c r="J1229" t="inlineStr">
        <is>
          <t>NO</t>
        </is>
      </c>
      <c r="K1229" t="inlineStr"/>
      <c r="L1229" t="inlineStr">
        <is>
          <t>Block domain</t>
        </is>
      </c>
      <c r="M1229" t="inlineStr">
        <is>
          <t>DNS/Network</t>
        </is>
      </c>
      <c r="N1229" t="inlineStr">
        <is>
          <t>P4</t>
        </is>
      </c>
      <c r="O1229" t="inlineStr">
        <is>
          <t>Domain IOC - check IP separately</t>
        </is>
      </c>
      <c r="P1229" t="n">
        <v>0</v>
      </c>
      <c r="Q1229" t="n">
        <v>0</v>
      </c>
      <c r="R1229" t="inlineStr">
        <is>
          <t>T1071.001:Web Protocols | T1568:Dynamic Resolution</t>
        </is>
      </c>
      <c r="S1229" t="n">
        <v>1</v>
      </c>
      <c r="T1229" t="inlineStr">
        <is>
          <t>LOW (40%)</t>
        </is>
      </c>
      <c r="U1229" t="inlineStr">
        <is>
          <t>NONE</t>
        </is>
      </c>
      <c r="V1229" t="inlineStr">
        <is>
          <t>NONE</t>
        </is>
      </c>
      <c r="W1229" t="inlineStr">
        <is>
          <t>NONE</t>
        </is>
      </c>
      <c r="X1229" t="inlineStr">
        <is>
          <t>NONE</t>
        </is>
      </c>
      <c r="Y1229" t="n">
        <v>0</v>
      </c>
      <c r="Z1229" t="inlineStr"/>
      <c r="AA1229" t="inlineStr">
        <is>
          <t>https://www.threatminer.org/domain.php?q=</t>
        </is>
      </c>
    </row>
    <row r="1230">
      <c r="A1230" t="inlineStr">
        <is>
          <t>THREATMINER</t>
        </is>
      </c>
      <c r="B1230" t="inlineStr">
        <is>
          <t>d41d8cd98f00</t>
        </is>
      </c>
      <c r="C1230" t="inlineStr">
        <is>
          <t xml:space="preserve">Malicious domain:  | IP: 80.82.77.139 | Last seen: </t>
        </is>
      </c>
      <c r="D1230" t="n">
        <v>6.5</v>
      </c>
      <c r="E1230" t="inlineStr">
        <is>
          <t>MEDIUM</t>
        </is>
      </c>
      <c r="F1230" t="n">
        <v>2</v>
      </c>
      <c r="G1230" t="n">
        <v>2</v>
      </c>
      <c r="H1230" t="inlineStr">
        <is>
          <t>MEDIUM</t>
        </is>
      </c>
      <c r="I1230" t="n">
        <v>10.5</v>
      </c>
      <c r="J1230" t="inlineStr">
        <is>
          <t>NO</t>
        </is>
      </c>
      <c r="K1230" t="inlineStr"/>
      <c r="L1230" t="inlineStr">
        <is>
          <t>Block domain</t>
        </is>
      </c>
      <c r="M1230" t="inlineStr">
        <is>
          <t>DNS/Network</t>
        </is>
      </c>
      <c r="N1230" t="inlineStr">
        <is>
          <t>P4</t>
        </is>
      </c>
      <c r="O1230" t="inlineStr">
        <is>
          <t>Domain IOC - check IP separately</t>
        </is>
      </c>
      <c r="P1230" t="n">
        <v>0</v>
      </c>
      <c r="Q1230" t="n">
        <v>0</v>
      </c>
      <c r="R1230" t="inlineStr">
        <is>
          <t>T1071.001:Web Protocols | T1568:Dynamic Resolution</t>
        </is>
      </c>
      <c r="S1230" t="n">
        <v>1</v>
      </c>
      <c r="T1230" t="inlineStr">
        <is>
          <t>LOW (40%)</t>
        </is>
      </c>
      <c r="U1230" t="inlineStr">
        <is>
          <t>NONE</t>
        </is>
      </c>
      <c r="V1230" t="inlineStr">
        <is>
          <t>NONE</t>
        </is>
      </c>
      <c r="W1230" t="inlineStr">
        <is>
          <t>NONE</t>
        </is>
      </c>
      <c r="X1230" t="inlineStr">
        <is>
          <t>NONE</t>
        </is>
      </c>
      <c r="Y1230" t="n">
        <v>0</v>
      </c>
      <c r="Z1230" t="inlineStr"/>
      <c r="AA1230" t="inlineStr">
        <is>
          <t>https://www.threatminer.org/domain.php?q=</t>
        </is>
      </c>
    </row>
    <row r="1231">
      <c r="A1231" t="inlineStr">
        <is>
          <t>THREATMINER</t>
        </is>
      </c>
      <c r="B1231" t="inlineStr">
        <is>
          <t>d41d8cd98f00</t>
        </is>
      </c>
      <c r="C1231" t="inlineStr">
        <is>
          <t xml:space="preserve">Malicious domain:  | IP: 80.94.92.171 | Last seen: </t>
        </is>
      </c>
      <c r="D1231" t="n">
        <v>6.5</v>
      </c>
      <c r="E1231" t="inlineStr">
        <is>
          <t>MEDIUM</t>
        </is>
      </c>
      <c r="F1231" t="n">
        <v>2</v>
      </c>
      <c r="G1231" t="n">
        <v>2</v>
      </c>
      <c r="H1231" t="inlineStr">
        <is>
          <t>MEDIUM</t>
        </is>
      </c>
      <c r="I1231" t="n">
        <v>10.5</v>
      </c>
      <c r="J1231" t="inlineStr">
        <is>
          <t>NO</t>
        </is>
      </c>
      <c r="K1231" t="inlineStr"/>
      <c r="L1231" t="inlineStr">
        <is>
          <t>Block domain</t>
        </is>
      </c>
      <c r="M1231" t="inlineStr">
        <is>
          <t>DNS/Network</t>
        </is>
      </c>
      <c r="N1231" t="inlineStr">
        <is>
          <t>P4</t>
        </is>
      </c>
      <c r="O1231" t="inlineStr">
        <is>
          <t>Domain IOC - check IP separately</t>
        </is>
      </c>
      <c r="P1231" t="n">
        <v>0</v>
      </c>
      <c r="Q1231" t="n">
        <v>0</v>
      </c>
      <c r="R1231" t="inlineStr">
        <is>
          <t>T1071.001:Web Protocols | T1568:Dynamic Resolution</t>
        </is>
      </c>
      <c r="S1231" t="n">
        <v>1</v>
      </c>
      <c r="T1231" t="inlineStr">
        <is>
          <t>LOW (40%)</t>
        </is>
      </c>
      <c r="U1231" t="inlineStr">
        <is>
          <t>NONE</t>
        </is>
      </c>
      <c r="V1231" t="inlineStr">
        <is>
          <t>NONE</t>
        </is>
      </c>
      <c r="W1231" t="inlineStr">
        <is>
          <t>NONE</t>
        </is>
      </c>
      <c r="X1231" t="inlineStr">
        <is>
          <t>NONE</t>
        </is>
      </c>
      <c r="Y1231" t="n">
        <v>0</v>
      </c>
      <c r="Z1231" t="inlineStr"/>
      <c r="AA1231" t="inlineStr">
        <is>
          <t>https://www.threatminer.org/domain.php?q=</t>
        </is>
      </c>
    </row>
    <row r="1232">
      <c r="A1232" t="inlineStr">
        <is>
          <t>THREATMINER</t>
        </is>
      </c>
      <c r="B1232" t="inlineStr">
        <is>
          <t>d41d8cd98f00</t>
        </is>
      </c>
      <c r="C1232" t="inlineStr">
        <is>
          <t xml:space="preserve">Malicious domain:  | IP: 85.8.182.98 | Last seen: </t>
        </is>
      </c>
      <c r="D1232" t="n">
        <v>6.5</v>
      </c>
      <c r="E1232" t="inlineStr">
        <is>
          <t>MEDIUM</t>
        </is>
      </c>
      <c r="F1232" t="n">
        <v>2</v>
      </c>
      <c r="G1232" t="n">
        <v>2</v>
      </c>
      <c r="H1232" t="inlineStr">
        <is>
          <t>MEDIUM</t>
        </is>
      </c>
      <c r="I1232" t="n">
        <v>10.5</v>
      </c>
      <c r="J1232" t="inlineStr">
        <is>
          <t>NO</t>
        </is>
      </c>
      <c r="K1232" t="inlineStr"/>
      <c r="L1232" t="inlineStr">
        <is>
          <t>Block domain</t>
        </is>
      </c>
      <c r="M1232" t="inlineStr">
        <is>
          <t>DNS/Network</t>
        </is>
      </c>
      <c r="N1232" t="inlineStr">
        <is>
          <t>P4</t>
        </is>
      </c>
      <c r="O1232" t="inlineStr">
        <is>
          <t>Domain IOC - check IP separately</t>
        </is>
      </c>
      <c r="P1232" t="n">
        <v>0</v>
      </c>
      <c r="Q1232" t="n">
        <v>0</v>
      </c>
      <c r="R1232" t="inlineStr">
        <is>
          <t>T1071.001:Web Protocols | T1568:Dynamic Resolution</t>
        </is>
      </c>
      <c r="S1232" t="n">
        <v>1</v>
      </c>
      <c r="T1232" t="inlineStr">
        <is>
          <t>LOW (40%)</t>
        </is>
      </c>
      <c r="U1232" t="inlineStr">
        <is>
          <t>NONE</t>
        </is>
      </c>
      <c r="V1232" t="inlineStr">
        <is>
          <t>NONE</t>
        </is>
      </c>
      <c r="W1232" t="inlineStr">
        <is>
          <t>NONE</t>
        </is>
      </c>
      <c r="X1232" t="inlineStr">
        <is>
          <t>NONE</t>
        </is>
      </c>
      <c r="Y1232" t="n">
        <v>0</v>
      </c>
      <c r="Z1232" t="inlineStr"/>
      <c r="AA1232" t="inlineStr">
        <is>
          <t>https://www.threatminer.org/domain.php?q=</t>
        </is>
      </c>
    </row>
    <row r="1233">
      <c r="A1233" t="inlineStr">
        <is>
          <t>THREATMINER</t>
        </is>
      </c>
      <c r="B1233" t="inlineStr">
        <is>
          <t>d41d8cd98f00</t>
        </is>
      </c>
      <c r="C1233" t="inlineStr">
        <is>
          <t xml:space="preserve">Malicious domain:  | IP: 86.54.31.42 | Last seen: </t>
        </is>
      </c>
      <c r="D1233" t="n">
        <v>6.5</v>
      </c>
      <c r="E1233" t="inlineStr">
        <is>
          <t>MEDIUM</t>
        </is>
      </c>
      <c r="F1233" t="n">
        <v>2</v>
      </c>
      <c r="G1233" t="n">
        <v>2</v>
      </c>
      <c r="H1233" t="inlineStr">
        <is>
          <t>MEDIUM</t>
        </is>
      </c>
      <c r="I1233" t="n">
        <v>10.5</v>
      </c>
      <c r="J1233" t="inlineStr">
        <is>
          <t>NO</t>
        </is>
      </c>
      <c r="K1233" t="inlineStr"/>
      <c r="L1233" t="inlineStr">
        <is>
          <t>Block domain</t>
        </is>
      </c>
      <c r="M1233" t="inlineStr">
        <is>
          <t>DNS/Network</t>
        </is>
      </c>
      <c r="N1233" t="inlineStr">
        <is>
          <t>P4</t>
        </is>
      </c>
      <c r="O1233" t="inlineStr">
        <is>
          <t>Domain IOC - check IP separately</t>
        </is>
      </c>
      <c r="P1233" t="n">
        <v>0</v>
      </c>
      <c r="Q1233" t="n">
        <v>0</v>
      </c>
      <c r="R1233" t="inlineStr">
        <is>
          <t>T1071.001:Web Protocols | T1568:Dynamic Resolution</t>
        </is>
      </c>
      <c r="S1233" t="n">
        <v>1</v>
      </c>
      <c r="T1233" t="inlineStr">
        <is>
          <t>LOW (40%)</t>
        </is>
      </c>
      <c r="U1233" t="inlineStr">
        <is>
          <t>NONE</t>
        </is>
      </c>
      <c r="V1233" t="inlineStr">
        <is>
          <t>NONE</t>
        </is>
      </c>
      <c r="W1233" t="inlineStr">
        <is>
          <t>NONE</t>
        </is>
      </c>
      <c r="X1233" t="inlineStr">
        <is>
          <t>NONE</t>
        </is>
      </c>
      <c r="Y1233" t="n">
        <v>0</v>
      </c>
      <c r="Z1233" t="inlineStr"/>
      <c r="AA1233" t="inlineStr">
        <is>
          <t>https://www.threatminer.org/domain.php?q=</t>
        </is>
      </c>
    </row>
    <row r="1234">
      <c r="A1234" t="inlineStr">
        <is>
          <t>THREATMINER</t>
        </is>
      </c>
      <c r="B1234" t="inlineStr">
        <is>
          <t>d41d8cd98f00</t>
        </is>
      </c>
      <c r="C1234" t="inlineStr">
        <is>
          <t xml:space="preserve">Malicious domain:  | IP: 91.224.92.190 | Last seen: </t>
        </is>
      </c>
      <c r="D1234" t="n">
        <v>6.5</v>
      </c>
      <c r="E1234" t="inlineStr">
        <is>
          <t>MEDIUM</t>
        </is>
      </c>
      <c r="F1234" t="n">
        <v>2</v>
      </c>
      <c r="G1234" t="n">
        <v>2</v>
      </c>
      <c r="H1234" t="inlineStr">
        <is>
          <t>MEDIUM</t>
        </is>
      </c>
      <c r="I1234" t="n">
        <v>10.5</v>
      </c>
      <c r="J1234" t="inlineStr">
        <is>
          <t>NO</t>
        </is>
      </c>
      <c r="K1234" t="inlineStr"/>
      <c r="L1234" t="inlineStr">
        <is>
          <t>Block domain</t>
        </is>
      </c>
      <c r="M1234" t="inlineStr">
        <is>
          <t>DNS/Network</t>
        </is>
      </c>
      <c r="N1234" t="inlineStr">
        <is>
          <t>P4</t>
        </is>
      </c>
      <c r="O1234" t="inlineStr">
        <is>
          <t>Domain IOC - check IP separately</t>
        </is>
      </c>
      <c r="P1234" t="n">
        <v>0</v>
      </c>
      <c r="Q1234" t="n">
        <v>0</v>
      </c>
      <c r="R1234" t="inlineStr">
        <is>
          <t>T1071.001:Web Protocols | T1568:Dynamic Resolution</t>
        </is>
      </c>
      <c r="S1234" t="n">
        <v>1</v>
      </c>
      <c r="T1234" t="inlineStr">
        <is>
          <t>LOW (40%)</t>
        </is>
      </c>
      <c r="U1234" t="inlineStr">
        <is>
          <t>NONE</t>
        </is>
      </c>
      <c r="V1234" t="inlineStr">
        <is>
          <t>NONE</t>
        </is>
      </c>
      <c r="W1234" t="inlineStr">
        <is>
          <t>NONE</t>
        </is>
      </c>
      <c r="X1234" t="inlineStr">
        <is>
          <t>NONE</t>
        </is>
      </c>
      <c r="Y1234" t="n">
        <v>0</v>
      </c>
      <c r="Z1234" t="inlineStr"/>
      <c r="AA1234" t="inlineStr">
        <is>
          <t>https://www.threatminer.org/domain.php?q=</t>
        </is>
      </c>
    </row>
    <row r="1235">
      <c r="A1235" t="inlineStr">
        <is>
          <t>THREATMINER</t>
        </is>
      </c>
      <c r="B1235" t="inlineStr">
        <is>
          <t>d41d8cd98f00</t>
        </is>
      </c>
      <c r="C1235" t="inlineStr">
        <is>
          <t xml:space="preserve">Malicious domain:  | IP: 92.118.39.76 | Last seen: </t>
        </is>
      </c>
      <c r="D1235" t="n">
        <v>6.5</v>
      </c>
      <c r="E1235" t="inlineStr">
        <is>
          <t>MEDIUM</t>
        </is>
      </c>
      <c r="F1235" t="n">
        <v>2</v>
      </c>
      <c r="G1235" t="n">
        <v>2</v>
      </c>
      <c r="H1235" t="inlineStr">
        <is>
          <t>MEDIUM</t>
        </is>
      </c>
      <c r="I1235" t="n">
        <v>10.5</v>
      </c>
      <c r="J1235" t="inlineStr">
        <is>
          <t>NO</t>
        </is>
      </c>
      <c r="K1235" t="inlineStr"/>
      <c r="L1235" t="inlineStr">
        <is>
          <t>Block domain</t>
        </is>
      </c>
      <c r="M1235" t="inlineStr">
        <is>
          <t>DNS/Network</t>
        </is>
      </c>
      <c r="N1235" t="inlineStr">
        <is>
          <t>P4</t>
        </is>
      </c>
      <c r="O1235" t="inlineStr">
        <is>
          <t>Domain IOC - check IP separately</t>
        </is>
      </c>
      <c r="P1235" t="n">
        <v>0</v>
      </c>
      <c r="Q1235" t="n">
        <v>0</v>
      </c>
      <c r="R1235" t="inlineStr">
        <is>
          <t>T1071.001:Web Protocols | T1568:Dynamic Resolution</t>
        </is>
      </c>
      <c r="S1235" t="n">
        <v>1</v>
      </c>
      <c r="T1235" t="inlineStr">
        <is>
          <t>LOW (40%)</t>
        </is>
      </c>
      <c r="U1235" t="inlineStr">
        <is>
          <t>NONE</t>
        </is>
      </c>
      <c r="V1235" t="inlineStr">
        <is>
          <t>NONE</t>
        </is>
      </c>
      <c r="W1235" t="inlineStr">
        <is>
          <t>NONE</t>
        </is>
      </c>
      <c r="X1235" t="inlineStr">
        <is>
          <t>NONE</t>
        </is>
      </c>
      <c r="Y1235" t="n">
        <v>0</v>
      </c>
      <c r="Z1235" t="inlineStr"/>
      <c r="AA1235" t="inlineStr">
        <is>
          <t>https://www.threatminer.org/domain.php?q=</t>
        </is>
      </c>
    </row>
    <row r="1236">
      <c r="A1236" t="inlineStr">
        <is>
          <t>THREATMINER</t>
        </is>
      </c>
      <c r="B1236" t="inlineStr">
        <is>
          <t>d41d8cd98f00</t>
        </is>
      </c>
      <c r="C1236" t="inlineStr">
        <is>
          <t xml:space="preserve">Malicious domain:  | IP: 101.36.104.242 | Last seen: </t>
        </is>
      </c>
      <c r="D1236" t="n">
        <v>6.5</v>
      </c>
      <c r="E1236" t="inlineStr">
        <is>
          <t>MEDIUM</t>
        </is>
      </c>
      <c r="F1236" t="n">
        <v>2</v>
      </c>
      <c r="G1236" t="n">
        <v>2</v>
      </c>
      <c r="H1236" t="inlineStr">
        <is>
          <t>MEDIUM</t>
        </is>
      </c>
      <c r="I1236" t="n">
        <v>10.5</v>
      </c>
      <c r="J1236" t="inlineStr">
        <is>
          <t>NO</t>
        </is>
      </c>
      <c r="K1236" t="inlineStr"/>
      <c r="L1236" t="inlineStr">
        <is>
          <t>Block domain</t>
        </is>
      </c>
      <c r="M1236" t="inlineStr">
        <is>
          <t>DNS/Network</t>
        </is>
      </c>
      <c r="N1236" t="inlineStr">
        <is>
          <t>P4</t>
        </is>
      </c>
      <c r="O1236" t="inlineStr">
        <is>
          <t>Domain IOC - check IP separately</t>
        </is>
      </c>
      <c r="P1236" t="n">
        <v>0</v>
      </c>
      <c r="Q1236" t="n">
        <v>0</v>
      </c>
      <c r="R1236" t="inlineStr">
        <is>
          <t>T1071.001:Web Protocols | T1568:Dynamic Resolution</t>
        </is>
      </c>
      <c r="S1236" t="n">
        <v>1</v>
      </c>
      <c r="T1236" t="inlineStr">
        <is>
          <t>LOW (40%)</t>
        </is>
      </c>
      <c r="U1236" t="inlineStr">
        <is>
          <t>NONE</t>
        </is>
      </c>
      <c r="V1236" t="inlineStr">
        <is>
          <t>NONE</t>
        </is>
      </c>
      <c r="W1236" t="inlineStr">
        <is>
          <t>NONE</t>
        </is>
      </c>
      <c r="X1236" t="inlineStr">
        <is>
          <t>NONE</t>
        </is>
      </c>
      <c r="Y1236" t="n">
        <v>0</v>
      </c>
      <c r="Z1236" t="inlineStr"/>
      <c r="AA1236" t="inlineStr">
        <is>
          <t>https://www.threatminer.org/domain.php?q=</t>
        </is>
      </c>
    </row>
    <row r="1237">
      <c r="A1237" t="inlineStr">
        <is>
          <t>THREATMINER</t>
        </is>
      </c>
      <c r="B1237" t="inlineStr">
        <is>
          <t>d41d8cd98f00</t>
        </is>
      </c>
      <c r="C1237" t="inlineStr">
        <is>
          <t xml:space="preserve">Malicious domain:  | IP: 101.36.118.177 | Last seen: </t>
        </is>
      </c>
      <c r="D1237" t="n">
        <v>6.5</v>
      </c>
      <c r="E1237" t="inlineStr">
        <is>
          <t>MEDIUM</t>
        </is>
      </c>
      <c r="F1237" t="n">
        <v>2</v>
      </c>
      <c r="G1237" t="n">
        <v>2</v>
      </c>
      <c r="H1237" t="inlineStr">
        <is>
          <t>MEDIUM</t>
        </is>
      </c>
      <c r="I1237" t="n">
        <v>10.5</v>
      </c>
      <c r="J1237" t="inlineStr">
        <is>
          <t>NO</t>
        </is>
      </c>
      <c r="K1237" t="inlineStr"/>
      <c r="L1237" t="inlineStr">
        <is>
          <t>Block domain</t>
        </is>
      </c>
      <c r="M1237" t="inlineStr">
        <is>
          <t>DNS/Network</t>
        </is>
      </c>
      <c r="N1237" t="inlineStr">
        <is>
          <t>P4</t>
        </is>
      </c>
      <c r="O1237" t="inlineStr">
        <is>
          <t>Domain IOC - check IP separately</t>
        </is>
      </c>
      <c r="P1237" t="n">
        <v>0</v>
      </c>
      <c r="Q1237" t="n">
        <v>0</v>
      </c>
      <c r="R1237" t="inlineStr">
        <is>
          <t>T1071.001:Web Protocols | T1568:Dynamic Resolution</t>
        </is>
      </c>
      <c r="S1237" t="n">
        <v>1</v>
      </c>
      <c r="T1237" t="inlineStr">
        <is>
          <t>LOW (40%)</t>
        </is>
      </c>
      <c r="U1237" t="inlineStr">
        <is>
          <t>NONE</t>
        </is>
      </c>
      <c r="V1237" t="inlineStr">
        <is>
          <t>NONE</t>
        </is>
      </c>
      <c r="W1237" t="inlineStr">
        <is>
          <t>NONE</t>
        </is>
      </c>
      <c r="X1237" t="inlineStr">
        <is>
          <t>NONE</t>
        </is>
      </c>
      <c r="Y1237" t="n">
        <v>0</v>
      </c>
      <c r="Z1237" t="inlineStr"/>
      <c r="AA1237" t="inlineStr">
        <is>
          <t>https://www.threatminer.org/domain.php?q=</t>
        </is>
      </c>
    </row>
    <row r="1238">
      <c r="A1238" t="inlineStr">
        <is>
          <t>THREATMINER</t>
        </is>
      </c>
      <c r="B1238" t="inlineStr">
        <is>
          <t>d41d8cd98f00</t>
        </is>
      </c>
      <c r="C1238" t="inlineStr">
        <is>
          <t xml:space="preserve">Malicious domain:  | IP: 101.36.123.102 | Last seen: </t>
        </is>
      </c>
      <c r="D1238" t="n">
        <v>6.5</v>
      </c>
      <c r="E1238" t="inlineStr">
        <is>
          <t>MEDIUM</t>
        </is>
      </c>
      <c r="F1238" t="n">
        <v>2</v>
      </c>
      <c r="G1238" t="n">
        <v>2</v>
      </c>
      <c r="H1238" t="inlineStr">
        <is>
          <t>MEDIUM</t>
        </is>
      </c>
      <c r="I1238" t="n">
        <v>10.5</v>
      </c>
      <c r="J1238" t="inlineStr">
        <is>
          <t>NO</t>
        </is>
      </c>
      <c r="K1238" t="inlineStr"/>
      <c r="L1238" t="inlineStr">
        <is>
          <t>Block domain</t>
        </is>
      </c>
      <c r="M1238" t="inlineStr">
        <is>
          <t>DNS/Network</t>
        </is>
      </c>
      <c r="N1238" t="inlineStr">
        <is>
          <t>P4</t>
        </is>
      </c>
      <c r="O1238" t="inlineStr">
        <is>
          <t>Domain IOC - check IP separately</t>
        </is>
      </c>
      <c r="P1238" t="n">
        <v>0</v>
      </c>
      <c r="Q1238" t="n">
        <v>0</v>
      </c>
      <c r="R1238" t="inlineStr">
        <is>
          <t>T1071.001:Web Protocols | T1568:Dynamic Resolution</t>
        </is>
      </c>
      <c r="S1238" t="n">
        <v>1</v>
      </c>
      <c r="T1238" t="inlineStr">
        <is>
          <t>LOW (40%)</t>
        </is>
      </c>
      <c r="U1238" t="inlineStr">
        <is>
          <t>NONE</t>
        </is>
      </c>
      <c r="V1238" t="inlineStr">
        <is>
          <t>NONE</t>
        </is>
      </c>
      <c r="W1238" t="inlineStr">
        <is>
          <t>NONE</t>
        </is>
      </c>
      <c r="X1238" t="inlineStr">
        <is>
          <t>NONE</t>
        </is>
      </c>
      <c r="Y1238" t="n">
        <v>0</v>
      </c>
      <c r="Z1238" t="inlineStr"/>
      <c r="AA1238" t="inlineStr">
        <is>
          <t>https://www.threatminer.org/domain.php?q=</t>
        </is>
      </c>
    </row>
    <row r="1239">
      <c r="A1239" t="inlineStr">
        <is>
          <t>THREATMINER</t>
        </is>
      </c>
      <c r="B1239" t="inlineStr">
        <is>
          <t>d41d8cd98f00</t>
        </is>
      </c>
      <c r="C1239" t="inlineStr">
        <is>
          <t xml:space="preserve">Malicious domain:  | IP: 103.40.61.98 | Last seen: </t>
        </is>
      </c>
      <c r="D1239" t="n">
        <v>6.5</v>
      </c>
      <c r="E1239" t="inlineStr">
        <is>
          <t>MEDIUM</t>
        </is>
      </c>
      <c r="F1239" t="n">
        <v>2</v>
      </c>
      <c r="G1239" t="n">
        <v>2</v>
      </c>
      <c r="H1239" t="inlineStr">
        <is>
          <t>MEDIUM</t>
        </is>
      </c>
      <c r="I1239" t="n">
        <v>10.5</v>
      </c>
      <c r="J1239" t="inlineStr">
        <is>
          <t>NO</t>
        </is>
      </c>
      <c r="K1239" t="inlineStr"/>
      <c r="L1239" t="inlineStr">
        <is>
          <t>Block domain</t>
        </is>
      </c>
      <c r="M1239" t="inlineStr">
        <is>
          <t>DNS/Network</t>
        </is>
      </c>
      <c r="N1239" t="inlineStr">
        <is>
          <t>P4</t>
        </is>
      </c>
      <c r="O1239" t="inlineStr">
        <is>
          <t>Domain IOC - check IP separately</t>
        </is>
      </c>
      <c r="P1239" t="n">
        <v>0</v>
      </c>
      <c r="Q1239" t="n">
        <v>0</v>
      </c>
      <c r="R1239" t="inlineStr">
        <is>
          <t>T1071.001:Web Protocols | T1568:Dynamic Resolution</t>
        </is>
      </c>
      <c r="S1239" t="n">
        <v>1</v>
      </c>
      <c r="T1239" t="inlineStr">
        <is>
          <t>LOW (40%)</t>
        </is>
      </c>
      <c r="U1239" t="inlineStr">
        <is>
          <t>NONE</t>
        </is>
      </c>
      <c r="V1239" t="inlineStr">
        <is>
          <t>NONE</t>
        </is>
      </c>
      <c r="W1239" t="inlineStr">
        <is>
          <t>NONE</t>
        </is>
      </c>
      <c r="X1239" t="inlineStr">
        <is>
          <t>NONE</t>
        </is>
      </c>
      <c r="Y1239" t="n">
        <v>0</v>
      </c>
      <c r="Z1239" t="inlineStr"/>
      <c r="AA1239" t="inlineStr">
        <is>
          <t>https://www.threatminer.org/domain.php?q=</t>
        </is>
      </c>
    </row>
    <row r="1240">
      <c r="A1240" t="inlineStr">
        <is>
          <t>THREATMINER</t>
        </is>
      </c>
      <c r="B1240" t="inlineStr">
        <is>
          <t>d41d8cd98f00</t>
        </is>
      </c>
      <c r="C1240" t="inlineStr">
        <is>
          <t xml:space="preserve">Malicious domain:  | IP: 185.91.69.217 | Last seen: </t>
        </is>
      </c>
      <c r="D1240" t="n">
        <v>6.5</v>
      </c>
      <c r="E1240" t="inlineStr">
        <is>
          <t>MEDIUM</t>
        </is>
      </c>
      <c r="F1240" t="n">
        <v>2</v>
      </c>
      <c r="G1240" t="n">
        <v>2</v>
      </c>
      <c r="H1240" t="inlineStr">
        <is>
          <t>MEDIUM</t>
        </is>
      </c>
      <c r="I1240" t="n">
        <v>10.5</v>
      </c>
      <c r="J1240" t="inlineStr">
        <is>
          <t>NO</t>
        </is>
      </c>
      <c r="K1240" t="inlineStr"/>
      <c r="L1240" t="inlineStr">
        <is>
          <t>Block domain</t>
        </is>
      </c>
      <c r="M1240" t="inlineStr">
        <is>
          <t>DNS/Network</t>
        </is>
      </c>
      <c r="N1240" t="inlineStr">
        <is>
          <t>P4</t>
        </is>
      </c>
      <c r="O1240" t="inlineStr">
        <is>
          <t>Domain IOC - check IP separately</t>
        </is>
      </c>
      <c r="P1240" t="n">
        <v>0</v>
      </c>
      <c r="Q1240" t="n">
        <v>0</v>
      </c>
      <c r="R1240" t="inlineStr">
        <is>
          <t>T1071.001:Web Protocols | T1568:Dynamic Resolution</t>
        </is>
      </c>
      <c r="S1240" t="n">
        <v>1</v>
      </c>
      <c r="T1240" t="inlineStr">
        <is>
          <t>LOW (40%)</t>
        </is>
      </c>
      <c r="U1240" t="inlineStr">
        <is>
          <t>NONE</t>
        </is>
      </c>
      <c r="V1240" t="inlineStr">
        <is>
          <t>NONE</t>
        </is>
      </c>
      <c r="W1240" t="inlineStr">
        <is>
          <t>NONE</t>
        </is>
      </c>
      <c r="X1240" t="inlineStr">
        <is>
          <t>NONE</t>
        </is>
      </c>
      <c r="Y1240" t="n">
        <v>0</v>
      </c>
      <c r="Z1240" t="inlineStr"/>
      <c r="AA1240" t="inlineStr">
        <is>
          <t>https://www.threatminer.org/domain.php?q=</t>
        </is>
      </c>
    </row>
    <row r="1241">
      <c r="A1241" t="inlineStr">
        <is>
          <t>THREATMINER</t>
        </is>
      </c>
      <c r="B1241" t="inlineStr">
        <is>
          <t>d41d8cd98f00</t>
        </is>
      </c>
      <c r="C1241" t="inlineStr">
        <is>
          <t xml:space="preserve">Malicious domain:  | IP: 195.178.110.15 | Last seen: </t>
        </is>
      </c>
      <c r="D1241" t="n">
        <v>6.5</v>
      </c>
      <c r="E1241" t="inlineStr">
        <is>
          <t>MEDIUM</t>
        </is>
      </c>
      <c r="F1241" t="n">
        <v>2</v>
      </c>
      <c r="G1241" t="n">
        <v>2</v>
      </c>
      <c r="H1241" t="inlineStr">
        <is>
          <t>MEDIUM</t>
        </is>
      </c>
      <c r="I1241" t="n">
        <v>10.5</v>
      </c>
      <c r="J1241" t="inlineStr">
        <is>
          <t>NO</t>
        </is>
      </c>
      <c r="K1241" t="inlineStr"/>
      <c r="L1241" t="inlineStr">
        <is>
          <t>Block domain</t>
        </is>
      </c>
      <c r="M1241" t="inlineStr">
        <is>
          <t>DNS/Network</t>
        </is>
      </c>
      <c r="N1241" t="inlineStr">
        <is>
          <t>P4</t>
        </is>
      </c>
      <c r="O1241" t="inlineStr">
        <is>
          <t>Domain IOC - check IP separately</t>
        </is>
      </c>
      <c r="P1241" t="n">
        <v>0</v>
      </c>
      <c r="Q1241" t="n">
        <v>0</v>
      </c>
      <c r="R1241" t="inlineStr">
        <is>
          <t>T1071.001:Web Protocols | T1568:Dynamic Resolution</t>
        </is>
      </c>
      <c r="S1241" t="n">
        <v>1</v>
      </c>
      <c r="T1241" t="inlineStr">
        <is>
          <t>LOW (40%)</t>
        </is>
      </c>
      <c r="U1241" t="inlineStr">
        <is>
          <t>NONE</t>
        </is>
      </c>
      <c r="V1241" t="inlineStr">
        <is>
          <t>NONE</t>
        </is>
      </c>
      <c r="W1241" t="inlineStr">
        <is>
          <t>NONE</t>
        </is>
      </c>
      <c r="X1241" t="inlineStr">
        <is>
          <t>NONE</t>
        </is>
      </c>
      <c r="Y1241" t="n">
        <v>0</v>
      </c>
      <c r="Z1241" t="inlineStr"/>
      <c r="AA1241" t="inlineStr">
        <is>
          <t>https://www.threatminer.org/domain.php?q=</t>
        </is>
      </c>
    </row>
    <row r="1242">
      <c r="A1242" t="inlineStr">
        <is>
          <t>THREATMINER</t>
        </is>
      </c>
      <c r="B1242" t="inlineStr">
        <is>
          <t>d41d8cd98f00</t>
        </is>
      </c>
      <c r="C1242" t="inlineStr">
        <is>
          <t xml:space="preserve">Malicious domain:  | IP: 3.131.220.121 | Last seen: </t>
        </is>
      </c>
      <c r="D1242" t="n">
        <v>6.5</v>
      </c>
      <c r="E1242" t="inlineStr">
        <is>
          <t>MEDIUM</t>
        </is>
      </c>
      <c r="F1242" t="n">
        <v>2</v>
      </c>
      <c r="G1242" t="n">
        <v>2</v>
      </c>
      <c r="H1242" t="inlineStr">
        <is>
          <t>MEDIUM</t>
        </is>
      </c>
      <c r="I1242" t="n">
        <v>10.5</v>
      </c>
      <c r="J1242" t="inlineStr">
        <is>
          <t>NO</t>
        </is>
      </c>
      <c r="K1242" t="inlineStr"/>
      <c r="L1242" t="inlineStr">
        <is>
          <t>Block domain</t>
        </is>
      </c>
      <c r="M1242" t="inlineStr">
        <is>
          <t>DNS/Network</t>
        </is>
      </c>
      <c r="N1242" t="inlineStr">
        <is>
          <t>P4</t>
        </is>
      </c>
      <c r="O1242" t="inlineStr">
        <is>
          <t>Domain IOC - check IP separately</t>
        </is>
      </c>
      <c r="P1242" t="n">
        <v>0</v>
      </c>
      <c r="Q1242" t="n">
        <v>0</v>
      </c>
      <c r="R1242" t="inlineStr">
        <is>
          <t>T1071.001:Web Protocols | T1568:Dynamic Resolution</t>
        </is>
      </c>
      <c r="S1242" t="n">
        <v>1</v>
      </c>
      <c r="T1242" t="inlineStr">
        <is>
          <t>LOW (40%)</t>
        </is>
      </c>
      <c r="U1242" t="inlineStr">
        <is>
          <t>NONE</t>
        </is>
      </c>
      <c r="V1242" t="inlineStr">
        <is>
          <t>NONE</t>
        </is>
      </c>
      <c r="W1242" t="inlineStr">
        <is>
          <t>NONE</t>
        </is>
      </c>
      <c r="X1242" t="inlineStr">
        <is>
          <t>NONE</t>
        </is>
      </c>
      <c r="Y1242" t="n">
        <v>0</v>
      </c>
      <c r="Z1242" t="inlineStr"/>
      <c r="AA1242" t="inlineStr">
        <is>
          <t>https://www.threatminer.org/domain.php?q=</t>
        </is>
      </c>
    </row>
    <row r="1243">
      <c r="A1243" t="inlineStr">
        <is>
          <t>THREATMINER</t>
        </is>
      </c>
      <c r="B1243" t="inlineStr">
        <is>
          <t>d41d8cd98f00</t>
        </is>
      </c>
      <c r="C1243" t="inlineStr">
        <is>
          <t xml:space="preserve">Malicious domain:  | IP: 18.218.118.203 | Last seen: </t>
        </is>
      </c>
      <c r="D1243" t="n">
        <v>6.5</v>
      </c>
      <c r="E1243" t="inlineStr">
        <is>
          <t>MEDIUM</t>
        </is>
      </c>
      <c r="F1243" t="n">
        <v>2</v>
      </c>
      <c r="G1243" t="n">
        <v>2</v>
      </c>
      <c r="H1243" t="inlineStr">
        <is>
          <t>MEDIUM</t>
        </is>
      </c>
      <c r="I1243" t="n">
        <v>10.5</v>
      </c>
      <c r="J1243" t="inlineStr">
        <is>
          <t>NO</t>
        </is>
      </c>
      <c r="K1243" t="inlineStr"/>
      <c r="L1243" t="inlineStr">
        <is>
          <t>Block domain</t>
        </is>
      </c>
      <c r="M1243" t="inlineStr">
        <is>
          <t>DNS/Network</t>
        </is>
      </c>
      <c r="N1243" t="inlineStr">
        <is>
          <t>P4</t>
        </is>
      </c>
      <c r="O1243" t="inlineStr">
        <is>
          <t>Domain IOC - check IP separately</t>
        </is>
      </c>
      <c r="P1243" t="n">
        <v>0</v>
      </c>
      <c r="Q1243" t="n">
        <v>0</v>
      </c>
      <c r="R1243" t="inlineStr">
        <is>
          <t>T1071.001:Web Protocols | T1568:Dynamic Resolution</t>
        </is>
      </c>
      <c r="S1243" t="n">
        <v>1</v>
      </c>
      <c r="T1243" t="inlineStr">
        <is>
          <t>LOW (40%)</t>
        </is>
      </c>
      <c r="U1243" t="inlineStr">
        <is>
          <t>NONE</t>
        </is>
      </c>
      <c r="V1243" t="inlineStr">
        <is>
          <t>NONE</t>
        </is>
      </c>
      <c r="W1243" t="inlineStr">
        <is>
          <t>NONE</t>
        </is>
      </c>
      <c r="X1243" t="inlineStr">
        <is>
          <t>NONE</t>
        </is>
      </c>
      <c r="Y1243" t="n">
        <v>0</v>
      </c>
      <c r="Z1243" t="inlineStr"/>
      <c r="AA1243" t="inlineStr">
        <is>
          <t>https://www.threatminer.org/domain.php?q=</t>
        </is>
      </c>
    </row>
    <row r="1244">
      <c r="A1244" t="inlineStr">
        <is>
          <t>THREATMINER</t>
        </is>
      </c>
      <c r="B1244" t="inlineStr">
        <is>
          <t>d41d8cd98f00</t>
        </is>
      </c>
      <c r="C1244" t="inlineStr">
        <is>
          <t xml:space="preserve">Malicious domain:  | IP: 34.47.117.84 | Last seen: </t>
        </is>
      </c>
      <c r="D1244" t="n">
        <v>6.5</v>
      </c>
      <c r="E1244" t="inlineStr">
        <is>
          <t>MEDIUM</t>
        </is>
      </c>
      <c r="F1244" t="n">
        <v>2</v>
      </c>
      <c r="G1244" t="n">
        <v>2</v>
      </c>
      <c r="H1244" t="inlineStr">
        <is>
          <t>MEDIUM</t>
        </is>
      </c>
      <c r="I1244" t="n">
        <v>10.5</v>
      </c>
      <c r="J1244" t="inlineStr">
        <is>
          <t>NO</t>
        </is>
      </c>
      <c r="K1244" t="inlineStr"/>
      <c r="L1244" t="inlineStr">
        <is>
          <t>Block domain</t>
        </is>
      </c>
      <c r="M1244" t="inlineStr">
        <is>
          <t>DNS/Network</t>
        </is>
      </c>
      <c r="N1244" t="inlineStr">
        <is>
          <t>P4</t>
        </is>
      </c>
      <c r="O1244" t="inlineStr">
        <is>
          <t>Domain IOC - check IP separately</t>
        </is>
      </c>
      <c r="P1244" t="n">
        <v>0</v>
      </c>
      <c r="Q1244" t="n">
        <v>0</v>
      </c>
      <c r="R1244" t="inlineStr">
        <is>
          <t>T1071.001:Web Protocols | T1568:Dynamic Resolution</t>
        </is>
      </c>
      <c r="S1244" t="n">
        <v>1</v>
      </c>
      <c r="T1244" t="inlineStr">
        <is>
          <t>LOW (40%)</t>
        </is>
      </c>
      <c r="U1244" t="inlineStr">
        <is>
          <t>NONE</t>
        </is>
      </c>
      <c r="V1244" t="inlineStr">
        <is>
          <t>NONE</t>
        </is>
      </c>
      <c r="W1244" t="inlineStr">
        <is>
          <t>NONE</t>
        </is>
      </c>
      <c r="X1244" t="inlineStr">
        <is>
          <t>NONE</t>
        </is>
      </c>
      <c r="Y1244" t="n">
        <v>0</v>
      </c>
      <c r="Z1244" t="inlineStr"/>
      <c r="AA1244" t="inlineStr">
        <is>
          <t>https://www.threatminer.org/domain.php?q=</t>
        </is>
      </c>
    </row>
    <row r="1245">
      <c r="A1245" t="inlineStr">
        <is>
          <t>THREATMINER</t>
        </is>
      </c>
      <c r="B1245" t="inlineStr">
        <is>
          <t>d41d8cd98f00</t>
        </is>
      </c>
      <c r="C1245" t="inlineStr">
        <is>
          <t xml:space="preserve">Malicious domain:  | IP: 41.63.63.134 | Last seen: </t>
        </is>
      </c>
      <c r="D1245" t="n">
        <v>6.5</v>
      </c>
      <c r="E1245" t="inlineStr">
        <is>
          <t>MEDIUM</t>
        </is>
      </c>
      <c r="F1245" t="n">
        <v>2</v>
      </c>
      <c r="G1245" t="n">
        <v>2</v>
      </c>
      <c r="H1245" t="inlineStr">
        <is>
          <t>MEDIUM</t>
        </is>
      </c>
      <c r="I1245" t="n">
        <v>10.5</v>
      </c>
      <c r="J1245" t="inlineStr">
        <is>
          <t>NO</t>
        </is>
      </c>
      <c r="K1245" t="inlineStr"/>
      <c r="L1245" t="inlineStr">
        <is>
          <t>Block domain</t>
        </is>
      </c>
      <c r="M1245" t="inlineStr">
        <is>
          <t>DNS/Network</t>
        </is>
      </c>
      <c r="N1245" t="inlineStr">
        <is>
          <t>P4</t>
        </is>
      </c>
      <c r="O1245" t="inlineStr">
        <is>
          <t>Domain IOC - check IP separately</t>
        </is>
      </c>
      <c r="P1245" t="n">
        <v>0</v>
      </c>
      <c r="Q1245" t="n">
        <v>0</v>
      </c>
      <c r="R1245" t="inlineStr">
        <is>
          <t>T1071.001:Web Protocols | T1568:Dynamic Resolution</t>
        </is>
      </c>
      <c r="S1245" t="n">
        <v>1</v>
      </c>
      <c r="T1245" t="inlineStr">
        <is>
          <t>LOW (40%)</t>
        </is>
      </c>
      <c r="U1245" t="inlineStr">
        <is>
          <t>NONE</t>
        </is>
      </c>
      <c r="V1245" t="inlineStr">
        <is>
          <t>NONE</t>
        </is>
      </c>
      <c r="W1245" t="inlineStr">
        <is>
          <t>NONE</t>
        </is>
      </c>
      <c r="X1245" t="inlineStr">
        <is>
          <t>NONE</t>
        </is>
      </c>
      <c r="Y1245" t="n">
        <v>0</v>
      </c>
      <c r="Z1245" t="inlineStr"/>
      <c r="AA1245" t="inlineStr">
        <is>
          <t>https://www.threatminer.org/domain.php?q=</t>
        </is>
      </c>
    </row>
    <row r="1246">
      <c r="A1246" t="inlineStr">
        <is>
          <t>THREATMINER</t>
        </is>
      </c>
      <c r="B1246" t="inlineStr">
        <is>
          <t>d41d8cd98f00</t>
        </is>
      </c>
      <c r="C1246" t="inlineStr">
        <is>
          <t xml:space="preserve">Malicious domain:  | IP: 43.160.207.2 | Last seen: </t>
        </is>
      </c>
      <c r="D1246" t="n">
        <v>6.5</v>
      </c>
      <c r="E1246" t="inlineStr">
        <is>
          <t>MEDIUM</t>
        </is>
      </c>
      <c r="F1246" t="n">
        <v>2</v>
      </c>
      <c r="G1246" t="n">
        <v>2</v>
      </c>
      <c r="H1246" t="inlineStr">
        <is>
          <t>MEDIUM</t>
        </is>
      </c>
      <c r="I1246" t="n">
        <v>10.5</v>
      </c>
      <c r="J1246" t="inlineStr">
        <is>
          <t>NO</t>
        </is>
      </c>
      <c r="K1246" t="inlineStr"/>
      <c r="L1246" t="inlineStr">
        <is>
          <t>Block domain</t>
        </is>
      </c>
      <c r="M1246" t="inlineStr">
        <is>
          <t>DNS/Network</t>
        </is>
      </c>
      <c r="N1246" t="inlineStr">
        <is>
          <t>P4</t>
        </is>
      </c>
      <c r="O1246" t="inlineStr">
        <is>
          <t>Domain IOC - check IP separately</t>
        </is>
      </c>
      <c r="P1246" t="n">
        <v>0</v>
      </c>
      <c r="Q1246" t="n">
        <v>0</v>
      </c>
      <c r="R1246" t="inlineStr">
        <is>
          <t>T1071.001:Web Protocols | T1568:Dynamic Resolution</t>
        </is>
      </c>
      <c r="S1246" t="n">
        <v>1</v>
      </c>
      <c r="T1246" t="inlineStr">
        <is>
          <t>LOW (40%)</t>
        </is>
      </c>
      <c r="U1246" t="inlineStr">
        <is>
          <t>NONE</t>
        </is>
      </c>
      <c r="V1246" t="inlineStr">
        <is>
          <t>NONE</t>
        </is>
      </c>
      <c r="W1246" t="inlineStr">
        <is>
          <t>NONE</t>
        </is>
      </c>
      <c r="X1246" t="inlineStr">
        <is>
          <t>NONE</t>
        </is>
      </c>
      <c r="Y1246" t="n">
        <v>0</v>
      </c>
      <c r="Z1246" t="inlineStr"/>
      <c r="AA1246" t="inlineStr">
        <is>
          <t>https://www.threatminer.org/domain.php?q=</t>
        </is>
      </c>
    </row>
    <row r="1247">
      <c r="A1247" t="inlineStr">
        <is>
          <t>THREATMINER</t>
        </is>
      </c>
      <c r="B1247" t="inlineStr">
        <is>
          <t>d41d8cd98f00</t>
        </is>
      </c>
      <c r="C1247" t="inlineStr">
        <is>
          <t xml:space="preserve">Malicious domain:  | IP: 45.148.10.121 | Last seen: </t>
        </is>
      </c>
      <c r="D1247" t="n">
        <v>6.5</v>
      </c>
      <c r="E1247" t="inlineStr">
        <is>
          <t>MEDIUM</t>
        </is>
      </c>
      <c r="F1247" t="n">
        <v>2</v>
      </c>
      <c r="G1247" t="n">
        <v>2</v>
      </c>
      <c r="H1247" t="inlineStr">
        <is>
          <t>MEDIUM</t>
        </is>
      </c>
      <c r="I1247" t="n">
        <v>10.5</v>
      </c>
      <c r="J1247" t="inlineStr">
        <is>
          <t>NO</t>
        </is>
      </c>
      <c r="K1247" t="inlineStr"/>
      <c r="L1247" t="inlineStr">
        <is>
          <t>Block domain</t>
        </is>
      </c>
      <c r="M1247" t="inlineStr">
        <is>
          <t>DNS/Network</t>
        </is>
      </c>
      <c r="N1247" t="inlineStr">
        <is>
          <t>P4</t>
        </is>
      </c>
      <c r="O1247" t="inlineStr">
        <is>
          <t>Domain IOC - check IP separately</t>
        </is>
      </c>
      <c r="P1247" t="n">
        <v>0</v>
      </c>
      <c r="Q1247" t="n">
        <v>0</v>
      </c>
      <c r="R1247" t="inlineStr">
        <is>
          <t>T1071.001:Web Protocols | T1568:Dynamic Resolution</t>
        </is>
      </c>
      <c r="S1247" t="n">
        <v>1</v>
      </c>
      <c r="T1247" t="inlineStr">
        <is>
          <t>LOW (40%)</t>
        </is>
      </c>
      <c r="U1247" t="inlineStr">
        <is>
          <t>NONE</t>
        </is>
      </c>
      <c r="V1247" t="inlineStr">
        <is>
          <t>NONE</t>
        </is>
      </c>
      <c r="W1247" t="inlineStr">
        <is>
          <t>NONE</t>
        </is>
      </c>
      <c r="X1247" t="inlineStr">
        <is>
          <t>NONE</t>
        </is>
      </c>
      <c r="Y1247" t="n">
        <v>0</v>
      </c>
      <c r="Z1247" t="inlineStr"/>
      <c r="AA1247" t="inlineStr">
        <is>
          <t>https://www.threatminer.org/domain.php?q=</t>
        </is>
      </c>
    </row>
    <row r="1248">
      <c r="A1248" t="inlineStr">
        <is>
          <t>SHODAN_VULN</t>
        </is>
      </c>
      <c r="B1248" t="inlineStr">
        <is>
          <t>0439529d4154</t>
        </is>
      </c>
      <c r="C1248" t="inlineStr">
        <is>
          <t>InternetDB: 162.243.103.246 | Ports: 22, 80, 443, 8080 | wearoddball.com | CVE: CVE-2022-28330 | Tags: cloud</t>
        </is>
      </c>
      <c r="D1248" t="n">
        <v>7.5</v>
      </c>
      <c r="E1248" t="inlineStr">
        <is>
          <t>HIGH</t>
        </is>
      </c>
      <c r="F1248" t="n">
        <v>2</v>
      </c>
      <c r="G1248" t="n">
        <v>2</v>
      </c>
      <c r="H1248" t="inlineStr">
        <is>
          <t>MEDIUM</t>
        </is>
      </c>
      <c r="I1248" t="n">
        <v>11.5</v>
      </c>
      <c r="J1248" t="inlineStr">
        <is>
          <t>NO</t>
        </is>
      </c>
      <c r="K1248" t="inlineStr">
        <is>
          <t>2026-02-27 20:47</t>
        </is>
      </c>
      <c r="L1248" t="inlineStr">
        <is>
          <t>Apply patch and restrict exposed ports</t>
        </is>
      </c>
      <c r="M1248" t="inlineStr">
        <is>
          <t>wearoddball.com</t>
        </is>
      </c>
      <c r="N1248" t="inlineStr">
        <is>
          <t>P4</t>
        </is>
      </c>
      <c r="O1248" t="inlineStr">
        <is>
          <t>Shodan InternetDB — see ip-api.com context for scanner classification</t>
        </is>
      </c>
      <c r="P1248" t="n">
        <v>0</v>
      </c>
      <c r="Q1248" t="n">
        <v>0</v>
      </c>
      <c r="R1248" t="inlineStr">
        <is>
          <t>T1190:Exploit Public-Facing Application | T1046:Network Service Discovery</t>
        </is>
      </c>
      <c r="S1248" t="n">
        <v>1</v>
      </c>
      <c r="T1248" t="inlineStr">
        <is>
          <t>LOW (40%)</t>
        </is>
      </c>
      <c r="U1248" t="inlineStr">
        <is>
          <t>CHECK_VULNS</t>
        </is>
      </c>
      <c r="V1248" t="inlineStr">
        <is>
          <t>Restrict access</t>
        </is>
      </c>
      <c r="W1248" t="inlineStr">
        <is>
          <t>https://www.shodan.io/host/162.243.103.246</t>
        </is>
      </c>
      <c r="X1248" t="inlineStr">
        <is>
          <t>NONE</t>
        </is>
      </c>
      <c r="Y1248" t="n">
        <v>0</v>
      </c>
      <c r="Z1248" t="inlineStr"/>
      <c r="AA1248" t="inlineStr">
        <is>
          <t>https://www.shodan.io/host/162.243.103.246</t>
        </is>
      </c>
    </row>
    <row r="1249">
      <c r="A1249" t="inlineStr">
        <is>
          <t>SHODAN_VULN</t>
        </is>
      </c>
      <c r="B1249" t="inlineStr">
        <is>
          <t>649d5e00aac7</t>
        </is>
      </c>
      <c r="C1249" t="inlineStr">
        <is>
          <t>InternetDB: 162.243.103.246 | Ports: 22, 80, 443, 8080 | wearoddball.com | CVE: CVE-2014-3479 | Tags: cloud</t>
        </is>
      </c>
      <c r="D1249" t="n">
        <v>7.5</v>
      </c>
      <c r="E1249" t="inlineStr">
        <is>
          <t>HIGH</t>
        </is>
      </c>
      <c r="F1249" t="n">
        <v>2</v>
      </c>
      <c r="G1249" t="n">
        <v>2</v>
      </c>
      <c r="H1249" t="inlineStr">
        <is>
          <t>MEDIUM</t>
        </is>
      </c>
      <c r="I1249" t="n">
        <v>11.5</v>
      </c>
      <c r="J1249" t="inlineStr">
        <is>
          <t>NO</t>
        </is>
      </c>
      <c r="K1249" t="inlineStr">
        <is>
          <t>2026-02-27 20:47</t>
        </is>
      </c>
      <c r="L1249" t="inlineStr">
        <is>
          <t>Apply patch and restrict exposed ports</t>
        </is>
      </c>
      <c r="M1249" t="inlineStr">
        <is>
          <t>wearoddball.com</t>
        </is>
      </c>
      <c r="N1249" t="inlineStr">
        <is>
          <t>P4</t>
        </is>
      </c>
      <c r="O1249" t="inlineStr">
        <is>
          <t>Shodan InternetDB — see ip-api.com context for scanner classification</t>
        </is>
      </c>
      <c r="P1249" t="n">
        <v>0</v>
      </c>
      <c r="Q1249" t="n">
        <v>0</v>
      </c>
      <c r="R1249" t="inlineStr">
        <is>
          <t>T1190:Exploit Public-Facing Application | T1046:Network Service Discovery</t>
        </is>
      </c>
      <c r="S1249" t="n">
        <v>1</v>
      </c>
      <c r="T1249" t="inlineStr">
        <is>
          <t>LOW (40%)</t>
        </is>
      </c>
      <c r="U1249" t="inlineStr">
        <is>
          <t>CHECK_VULNS</t>
        </is>
      </c>
      <c r="V1249" t="inlineStr">
        <is>
          <t>Restrict access</t>
        </is>
      </c>
      <c r="W1249" t="inlineStr">
        <is>
          <t>https://www.shodan.io/host/162.243.103.246</t>
        </is>
      </c>
      <c r="X1249" t="inlineStr">
        <is>
          <t>NONE</t>
        </is>
      </c>
      <c r="Y1249" t="n">
        <v>0</v>
      </c>
      <c r="Z1249" t="inlineStr"/>
      <c r="AA1249" t="inlineStr">
        <is>
          <t>https://www.shodan.io/host/162.243.103.246</t>
        </is>
      </c>
    </row>
    <row r="1250">
      <c r="A1250" t="inlineStr">
        <is>
          <t>SHODAN_VULN</t>
        </is>
      </c>
      <c r="B1250" t="inlineStr">
        <is>
          <t>426e9dd2c17f</t>
        </is>
      </c>
      <c r="C1250" t="inlineStr">
        <is>
          <t>InternetDB: 162.243.103.246 | Ports: 22, 80, 443, 8080 | wearoddball.com | CVE: CVE-2016-4071 | Tags: cloud</t>
        </is>
      </c>
      <c r="D1250" t="n">
        <v>7.5</v>
      </c>
      <c r="E1250" t="inlineStr">
        <is>
          <t>HIGH</t>
        </is>
      </c>
      <c r="F1250" t="n">
        <v>2</v>
      </c>
      <c r="G1250" t="n">
        <v>2</v>
      </c>
      <c r="H1250" t="inlineStr">
        <is>
          <t>MEDIUM</t>
        </is>
      </c>
      <c r="I1250" t="n">
        <v>11.5</v>
      </c>
      <c r="J1250" t="inlineStr">
        <is>
          <t>NO</t>
        </is>
      </c>
      <c r="K1250" t="inlineStr">
        <is>
          <t>2026-02-27 20:47</t>
        </is>
      </c>
      <c r="L1250" t="inlineStr">
        <is>
          <t>Apply patch and restrict exposed ports</t>
        </is>
      </c>
      <c r="M1250" t="inlineStr">
        <is>
          <t>wearoddball.com</t>
        </is>
      </c>
      <c r="N1250" t="inlineStr">
        <is>
          <t>P4</t>
        </is>
      </c>
      <c r="O1250" t="inlineStr">
        <is>
          <t>Shodan InternetDB — see ip-api.com context for scanner classification</t>
        </is>
      </c>
      <c r="P1250" t="n">
        <v>0</v>
      </c>
      <c r="Q1250" t="n">
        <v>0</v>
      </c>
      <c r="R1250" t="inlineStr">
        <is>
          <t>T1190:Exploit Public-Facing Application | T1046:Network Service Discovery</t>
        </is>
      </c>
      <c r="S1250" t="n">
        <v>1</v>
      </c>
      <c r="T1250" t="inlineStr">
        <is>
          <t>LOW (40%)</t>
        </is>
      </c>
      <c r="U1250" t="inlineStr">
        <is>
          <t>CHECK_VULNS</t>
        </is>
      </c>
      <c r="V1250" t="inlineStr">
        <is>
          <t>Restrict access</t>
        </is>
      </c>
      <c r="W1250" t="inlineStr">
        <is>
          <t>https://www.shodan.io/host/162.243.103.246</t>
        </is>
      </c>
      <c r="X1250" t="inlineStr">
        <is>
          <t>NONE</t>
        </is>
      </c>
      <c r="Y1250" t="n">
        <v>0</v>
      </c>
      <c r="Z1250" t="inlineStr"/>
      <c r="AA1250" t="inlineStr">
        <is>
          <t>https://www.shodan.io/host/162.243.103.246</t>
        </is>
      </c>
    </row>
    <row r="1251">
      <c r="A1251" t="inlineStr">
        <is>
          <t>SHODAN_VULN</t>
        </is>
      </c>
      <c r="B1251" t="inlineStr">
        <is>
          <t>f357a582e404</t>
        </is>
      </c>
      <c r="C1251" t="inlineStr">
        <is>
          <t>InternetDB: 178.62.3.223 | Ports: 22, 25, 53, 80, 443, 587, 993, 995 | box.nautadb.com | Tags: starttls, cloud</t>
        </is>
      </c>
      <c r="D1251" t="n">
        <v>5</v>
      </c>
      <c r="E1251" t="inlineStr">
        <is>
          <t>MEDIUM</t>
        </is>
      </c>
      <c r="F1251" t="n">
        <v>1</v>
      </c>
      <c r="G1251" t="n">
        <v>2</v>
      </c>
      <c r="H1251" t="inlineStr">
        <is>
          <t>LOW</t>
        </is>
      </c>
      <c r="I1251" t="n">
        <v>7</v>
      </c>
      <c r="J1251" t="inlineStr">
        <is>
          <t>NO</t>
        </is>
      </c>
      <c r="K1251" t="inlineStr">
        <is>
          <t>2026-02-27 20:47</t>
        </is>
      </c>
      <c r="L1251" t="inlineStr">
        <is>
          <t>Review and firewall exposed ports</t>
        </is>
      </c>
      <c r="M1251" t="inlineStr">
        <is>
          <t>box.nautadb.com</t>
        </is>
      </c>
      <c r="N1251" t="inlineStr">
        <is>
          <t>P4</t>
        </is>
      </c>
      <c r="O1251" t="inlineStr">
        <is>
          <t>Shodan InternetDB — open ports, no known CVEs indexed</t>
        </is>
      </c>
      <c r="P1251" t="n">
        <v>0</v>
      </c>
      <c r="Q1251" t="n">
        <v>0</v>
      </c>
      <c r="R1251" t="inlineStr">
        <is>
          <t>T1046:Network Service Discovery</t>
        </is>
      </c>
      <c r="S1251" t="n">
        <v>1</v>
      </c>
      <c r="T1251" t="inlineStr">
        <is>
          <t>LOW (40%)</t>
        </is>
      </c>
      <c r="U1251" t="inlineStr">
        <is>
          <t>NONE</t>
        </is>
      </c>
      <c r="V1251" t="inlineStr">
        <is>
          <t>Restrict access</t>
        </is>
      </c>
      <c r="W1251" t="inlineStr">
        <is>
          <t>https://www.shodan.io/host/178.62.3.223</t>
        </is>
      </c>
      <c r="X1251" t="inlineStr">
        <is>
          <t>NONE</t>
        </is>
      </c>
      <c r="Y1251" t="n">
        <v>0</v>
      </c>
      <c r="Z1251" t="inlineStr"/>
      <c r="AA1251" t="inlineStr">
        <is>
          <t>https://www.shodan.io/host/178.62.3.223</t>
        </is>
      </c>
    </row>
    <row r="1252">
      <c r="A1252" t="inlineStr">
        <is>
          <t>SHODAN_VULN</t>
        </is>
      </c>
      <c r="B1252" t="inlineStr">
        <is>
          <t>126704e0a40b</t>
        </is>
      </c>
      <c r="C1252" t="inlineStr">
        <is>
          <t>InternetDB: 34.204.119.63 | Ports: 80, 443 | ec2-34-204-119-63.compute-1.amazonaws.com | Tags: cloud</t>
        </is>
      </c>
      <c r="D1252" t="n">
        <v>5</v>
      </c>
      <c r="E1252" t="inlineStr">
        <is>
          <t>MEDIUM</t>
        </is>
      </c>
      <c r="F1252" t="n">
        <v>1</v>
      </c>
      <c r="G1252" t="n">
        <v>2</v>
      </c>
      <c r="H1252" t="inlineStr">
        <is>
          <t>LOW</t>
        </is>
      </c>
      <c r="I1252" t="n">
        <v>7</v>
      </c>
      <c r="J1252" t="inlineStr">
        <is>
          <t>NO</t>
        </is>
      </c>
      <c r="K1252" t="inlineStr">
        <is>
          <t>2026-02-27 20:47</t>
        </is>
      </c>
      <c r="L1252" t="inlineStr">
        <is>
          <t>Review and firewall exposed ports</t>
        </is>
      </c>
      <c r="M1252" t="inlineStr">
        <is>
          <t>ec2-34-204-119-63.compute-1.amazonaws.com</t>
        </is>
      </c>
      <c r="N1252" t="inlineStr">
        <is>
          <t>P4</t>
        </is>
      </c>
      <c r="O1252" t="inlineStr">
        <is>
          <t>Shodan InternetDB — open ports, no known CVEs indexed</t>
        </is>
      </c>
      <c r="P1252" t="n">
        <v>0</v>
      </c>
      <c r="Q1252" t="n">
        <v>0</v>
      </c>
      <c r="R1252" t="inlineStr">
        <is>
          <t>T1046:Network Service Discovery</t>
        </is>
      </c>
      <c r="S1252" t="n">
        <v>1</v>
      </c>
      <c r="T1252" t="inlineStr">
        <is>
          <t>LOW (40%)</t>
        </is>
      </c>
      <c r="U1252" t="inlineStr">
        <is>
          <t>NONE</t>
        </is>
      </c>
      <c r="V1252" t="inlineStr">
        <is>
          <t>Restrict access</t>
        </is>
      </c>
      <c r="W1252" t="inlineStr">
        <is>
          <t>https://www.shodan.io/host/34.204.119.63</t>
        </is>
      </c>
      <c r="X1252" t="inlineStr">
        <is>
          <t>NONE</t>
        </is>
      </c>
      <c r="Y1252" t="n">
        <v>0</v>
      </c>
      <c r="Z1252" t="inlineStr"/>
      <c r="AA1252" t="inlineStr">
        <is>
          <t>https://www.shodan.io/host/34.204.119.63</t>
        </is>
      </c>
    </row>
    <row r="1253">
      <c r="A1253" t="inlineStr">
        <is>
          <t>ABUSE_IP</t>
        </is>
      </c>
      <c r="B1253" t="inlineStr">
        <is>
          <t>db98361a53e4</t>
        </is>
      </c>
      <c r="C1253" t="inlineStr">
        <is>
          <t>Malicious IP: 221.159.150.85 | Country: KR | ISP: Unknown | Confidence: 100% | Sources: ABUSEIPDB</t>
        </is>
      </c>
      <c r="D1253" t="n">
        <v>6.5</v>
      </c>
      <c r="E1253" t="inlineStr">
        <is>
          <t>MEDIUM</t>
        </is>
      </c>
      <c r="F1253" t="n">
        <v>3</v>
      </c>
      <c r="G1253" t="n">
        <v>1</v>
      </c>
      <c r="H1253" t="inlineStr">
        <is>
          <t>MEDIUM</t>
        </is>
      </c>
      <c r="I1253" t="n">
        <v>9.5</v>
      </c>
      <c r="J1253" t="inlineStr">
        <is>
          <t>NO</t>
        </is>
      </c>
      <c r="K1253" t="inlineStr">
        <is>
          <t>2026-02-27T13:17:02+00:00</t>
        </is>
      </c>
      <c r="L1253" t="inlineStr">
        <is>
          <t>Block IP</t>
        </is>
      </c>
      <c r="M1253" t="inlineStr">
        <is>
          <t>Firewall/Network</t>
        </is>
      </c>
      <c r="N1253" t="inlineStr">
        <is>
          <t>P4</t>
        </is>
      </c>
      <c r="O1253" t="inlineStr">
        <is>
          <t>Skipped (20/run cap)</t>
        </is>
      </c>
      <c r="P1253" t="n">
        <v>0</v>
      </c>
      <c r="Q1253" t="n">
        <v>0</v>
      </c>
      <c r="R1253" t="inlineStr">
        <is>
          <t>T1110:Brute Force | T1078:Valid Accounts</t>
        </is>
      </c>
      <c r="S1253" t="n">
        <v>1</v>
      </c>
      <c r="T1253" t="inlineStr">
        <is>
          <t>LOW (40%)</t>
        </is>
      </c>
      <c r="U1253" t="inlineStr">
        <is>
          <t>NONE</t>
        </is>
      </c>
      <c r="V1253" t="inlineStr">
        <is>
          <t>NONE</t>
        </is>
      </c>
      <c r="W1253" t="inlineStr">
        <is>
          <t>NONE</t>
        </is>
      </c>
      <c r="X1253" t="inlineStr">
        <is>
          <t>NONE</t>
        </is>
      </c>
      <c r="Y1253" t="n">
        <v>0</v>
      </c>
      <c r="Z1253" t="inlineStr"/>
      <c r="AA1253" t="inlineStr">
        <is>
          <t>https://www.abuseipdb.com/check/221.159.150.85</t>
        </is>
      </c>
    </row>
    <row r="1254">
      <c r="A1254" t="inlineStr">
        <is>
          <t>ABUSE_IP</t>
        </is>
      </c>
      <c r="B1254" t="inlineStr">
        <is>
          <t>9d0458cd72b5</t>
        </is>
      </c>
      <c r="C1254" t="inlineStr">
        <is>
          <t>Malicious IP: 162.19.170.81 | Country: DE | ISP: Unknown | Confidence: 100% | Sources: ABUSEIPDB</t>
        </is>
      </c>
      <c r="D1254" t="n">
        <v>6.5</v>
      </c>
      <c r="E1254" t="inlineStr">
        <is>
          <t>MEDIUM</t>
        </is>
      </c>
      <c r="F1254" t="n">
        <v>3</v>
      </c>
      <c r="G1254" t="n">
        <v>1</v>
      </c>
      <c r="H1254" t="inlineStr">
        <is>
          <t>MEDIUM</t>
        </is>
      </c>
      <c r="I1254" t="n">
        <v>9.5</v>
      </c>
      <c r="J1254" t="inlineStr">
        <is>
          <t>NO</t>
        </is>
      </c>
      <c r="K1254" t="inlineStr">
        <is>
          <t>2026-02-27T13:17:02+00:00</t>
        </is>
      </c>
      <c r="L1254" t="inlineStr">
        <is>
          <t>Block IP</t>
        </is>
      </c>
      <c r="M1254" t="inlineStr">
        <is>
          <t>Firewall/Network</t>
        </is>
      </c>
      <c r="N1254" t="inlineStr">
        <is>
          <t>P4</t>
        </is>
      </c>
      <c r="O1254" t="inlineStr">
        <is>
          <t>Skipped (20/run cap)</t>
        </is>
      </c>
      <c r="P1254" t="n">
        <v>0</v>
      </c>
      <c r="Q1254" t="n">
        <v>0</v>
      </c>
      <c r="R1254" t="inlineStr">
        <is>
          <t>T1110:Brute Force | T1078:Valid Accounts</t>
        </is>
      </c>
      <c r="S1254" t="n">
        <v>1</v>
      </c>
      <c r="T1254" t="inlineStr">
        <is>
          <t>LOW (40%)</t>
        </is>
      </c>
      <c r="U1254" t="inlineStr">
        <is>
          <t>NONE</t>
        </is>
      </c>
      <c r="V1254" t="inlineStr">
        <is>
          <t>NONE</t>
        </is>
      </c>
      <c r="W1254" t="inlineStr">
        <is>
          <t>NONE</t>
        </is>
      </c>
      <c r="X1254" t="inlineStr">
        <is>
          <t>NONE</t>
        </is>
      </c>
      <c r="Y1254" t="n">
        <v>0</v>
      </c>
      <c r="Z1254" t="inlineStr"/>
      <c r="AA1254" t="inlineStr">
        <is>
          <t>https://www.abuseipdb.com/check/162.19.170.81</t>
        </is>
      </c>
    </row>
    <row r="1255">
      <c r="A1255" t="inlineStr">
        <is>
          <t>ABUSE_IP</t>
        </is>
      </c>
      <c r="B1255" t="inlineStr">
        <is>
          <t>99b8d16a0608</t>
        </is>
      </c>
      <c r="C1255" t="inlineStr">
        <is>
          <t>Malicious IP: 65.49.1.10 | Country: US | ISP: Unknown | Confidence: 100% | Sources: ABUSEIPDB</t>
        </is>
      </c>
      <c r="D1255" t="n">
        <v>6.5</v>
      </c>
      <c r="E1255" t="inlineStr">
        <is>
          <t>MEDIUM</t>
        </is>
      </c>
      <c r="F1255" t="n">
        <v>3</v>
      </c>
      <c r="G1255" t="n">
        <v>1</v>
      </c>
      <c r="H1255" t="inlineStr">
        <is>
          <t>MEDIUM</t>
        </is>
      </c>
      <c r="I1255" t="n">
        <v>9.5</v>
      </c>
      <c r="J1255" t="inlineStr">
        <is>
          <t>NO</t>
        </is>
      </c>
      <c r="K1255" t="inlineStr">
        <is>
          <t>2026-02-27T13:17:02+00:00</t>
        </is>
      </c>
      <c r="L1255" t="inlineStr">
        <is>
          <t>Block IP</t>
        </is>
      </c>
      <c r="M1255" t="inlineStr">
        <is>
          <t>Firewall/Network</t>
        </is>
      </c>
      <c r="N1255" t="inlineStr">
        <is>
          <t>P4</t>
        </is>
      </c>
      <c r="O1255" t="inlineStr">
        <is>
          <t>🚨 MALICIOUS: The Shadow Server Foundation | 🌍 United States | Pleasanton | 🏢 The Shadow Server Foundation | ASN: AS6939 Hurricane Electric LLC | 🖥️ Hosting/DC | 🚨 AbuseIPDB: 100% malicious (Data Center/Web Hosting/Transit)</t>
        </is>
      </c>
      <c r="P1255" t="n">
        <v>0</v>
      </c>
      <c r="Q1255" t="n">
        <v>0</v>
      </c>
      <c r="R1255" t="inlineStr">
        <is>
          <t>T1110:Brute Force | T1078:Valid Accounts</t>
        </is>
      </c>
      <c r="S1255" t="n">
        <v>1</v>
      </c>
      <c r="T1255" t="inlineStr">
        <is>
          <t>LOW (40%)</t>
        </is>
      </c>
      <c r="U1255" t="inlineStr">
        <is>
          <t>NONE</t>
        </is>
      </c>
      <c r="V1255" t="inlineStr">
        <is>
          <t>NONE</t>
        </is>
      </c>
      <c r="W1255" t="inlineStr">
        <is>
          <t>NONE</t>
        </is>
      </c>
      <c r="X1255" t="inlineStr">
        <is>
          <t>NONE</t>
        </is>
      </c>
      <c r="Y1255" t="n">
        <v>0</v>
      </c>
      <c r="Z1255" t="inlineStr"/>
      <c r="AA1255" t="inlineStr">
        <is>
          <t>https://www.abuseipdb.com/check/65.49.1.10</t>
        </is>
      </c>
    </row>
    <row r="1256">
      <c r="A1256" t="inlineStr">
        <is>
          <t>ABUSE_IP</t>
        </is>
      </c>
      <c r="B1256" t="inlineStr">
        <is>
          <t>23e834103cb8</t>
        </is>
      </c>
      <c r="C1256" t="inlineStr">
        <is>
          <t>Malicious IP: 118.194.230.231 | Country: JP | ISP: Unknown | Confidence: 100% | Sources: ABUSEIPDB</t>
        </is>
      </c>
      <c r="D1256" t="n">
        <v>6.5</v>
      </c>
      <c r="E1256" t="inlineStr">
        <is>
          <t>MEDIUM</t>
        </is>
      </c>
      <c r="F1256" t="n">
        <v>3</v>
      </c>
      <c r="G1256" t="n">
        <v>1</v>
      </c>
      <c r="H1256" t="inlineStr">
        <is>
          <t>MEDIUM</t>
        </is>
      </c>
      <c r="I1256" t="n">
        <v>9.5</v>
      </c>
      <c r="J1256" t="inlineStr">
        <is>
          <t>NO</t>
        </is>
      </c>
      <c r="K1256" t="inlineStr">
        <is>
          <t>2026-02-27T13:17:02+00:00</t>
        </is>
      </c>
      <c r="L1256" t="inlineStr">
        <is>
          <t>Block IP</t>
        </is>
      </c>
      <c r="M1256" t="inlineStr">
        <is>
          <t>Firewall/Network</t>
        </is>
      </c>
      <c r="N1256" t="inlineStr">
        <is>
          <t>P4</t>
        </is>
      </c>
      <c r="O1256" t="inlineStr">
        <is>
          <t>🚨 MALICIOUS: Ucloud Information Technology (hk) Limited | 🌍 Japan | Tokyo | 🏢 Ucloud Information Technology (hk) Limited | ASN: AS135377 UCLOUD INFORMATION TECHNOLOGY (HK) LIMITED | 🔀 VPN/Proxy | 🖥️ Hosting/DC | 🚨 AbuseIPDB: 100% malicious (Data Center/Web Hosting/Transit)</t>
        </is>
      </c>
      <c r="P1256" t="n">
        <v>0</v>
      </c>
      <c r="Q1256" t="n">
        <v>0</v>
      </c>
      <c r="R1256" t="inlineStr">
        <is>
          <t>T1110:Brute Force | T1078:Valid Accounts</t>
        </is>
      </c>
      <c r="S1256" t="n">
        <v>1</v>
      </c>
      <c r="T1256" t="inlineStr">
        <is>
          <t>LOW (40%)</t>
        </is>
      </c>
      <c r="U1256" t="inlineStr">
        <is>
          <t>NONE</t>
        </is>
      </c>
      <c r="V1256" t="inlineStr">
        <is>
          <t>NONE</t>
        </is>
      </c>
      <c r="W1256" t="inlineStr">
        <is>
          <t>NONE</t>
        </is>
      </c>
      <c r="X1256" t="inlineStr">
        <is>
          <t>NONE</t>
        </is>
      </c>
      <c r="Y1256" t="n">
        <v>0</v>
      </c>
      <c r="Z1256" t="inlineStr"/>
      <c r="AA1256" t="inlineStr">
        <is>
          <t>https://www.abuseipdb.com/check/118.194.230.231</t>
        </is>
      </c>
    </row>
    <row r="1257">
      <c r="A1257" t="inlineStr">
        <is>
          <t>ABUSE_IP</t>
        </is>
      </c>
      <c r="B1257" t="inlineStr">
        <is>
          <t>bafb703bbe94</t>
        </is>
      </c>
      <c r="C1257" t="inlineStr">
        <is>
          <t>Malicious IP: 191.36.152.28 | Country: BR | ISP: Unknown | Confidence: 100% | Sources: ABUSEIPDB</t>
        </is>
      </c>
      <c r="D1257" t="n">
        <v>6.5</v>
      </c>
      <c r="E1257" t="inlineStr">
        <is>
          <t>MEDIUM</t>
        </is>
      </c>
      <c r="F1257" t="n">
        <v>3</v>
      </c>
      <c r="G1257" t="n">
        <v>1</v>
      </c>
      <c r="H1257" t="inlineStr">
        <is>
          <t>MEDIUM</t>
        </is>
      </c>
      <c r="I1257" t="n">
        <v>9.5</v>
      </c>
      <c r="J1257" t="inlineStr">
        <is>
          <t>NO</t>
        </is>
      </c>
      <c r="K1257" t="inlineStr">
        <is>
          <t>2026-02-27T13:17:02+00:00</t>
        </is>
      </c>
      <c r="L1257" t="inlineStr">
        <is>
          <t>Block IP</t>
        </is>
      </c>
      <c r="M1257" t="inlineStr">
        <is>
          <t>Firewall/Network</t>
        </is>
      </c>
      <c r="N1257" t="inlineStr">
        <is>
          <t>P4</t>
        </is>
      </c>
      <c r="O1257" t="inlineStr">
        <is>
          <t>🚨 MALICIOUS: VIPTURBO COMÉRCIO &amp; SERVIÇOS DE INFORMÁTICA LTDA | 🌍 Brazil | São Gabriel | 🏢 VIPTURBO COMÉRCIO &amp; SERVIÇOS DE INFORMÁTICA LTDA | ASN: AS263333 VIPTURBO COMÉRCIO &amp; SERVIÇOS DE INFORMÁTICA LTDA | 🚨 AbuseIPDB: 100% malicious (Fixed Line ISP)</t>
        </is>
      </c>
      <c r="P1257" t="n">
        <v>0</v>
      </c>
      <c r="Q1257" t="n">
        <v>0</v>
      </c>
      <c r="R1257" t="inlineStr">
        <is>
          <t>T1110:Brute Force | T1078:Valid Accounts</t>
        </is>
      </c>
      <c r="S1257" t="n">
        <v>1</v>
      </c>
      <c r="T1257" t="inlineStr">
        <is>
          <t>LOW (40%)</t>
        </is>
      </c>
      <c r="U1257" t="inlineStr">
        <is>
          <t>NONE</t>
        </is>
      </c>
      <c r="V1257" t="inlineStr">
        <is>
          <t>NONE</t>
        </is>
      </c>
      <c r="W1257" t="inlineStr">
        <is>
          <t>NONE</t>
        </is>
      </c>
      <c r="X1257" t="inlineStr">
        <is>
          <t>NONE</t>
        </is>
      </c>
      <c r="Y1257" t="n">
        <v>0</v>
      </c>
      <c r="Z1257" t="inlineStr"/>
      <c r="AA1257" t="inlineStr">
        <is>
          <t>https://www.abuseipdb.com/check/191.36.152.28</t>
        </is>
      </c>
    </row>
    <row r="1258">
      <c r="A1258" t="inlineStr">
        <is>
          <t>ABUSE_IP</t>
        </is>
      </c>
      <c r="B1258" t="inlineStr">
        <is>
          <t>85f3063a4d9b</t>
        </is>
      </c>
      <c r="C1258" t="inlineStr">
        <is>
          <t>Malicious IP: 92.118.39.56 | Country: RO | ISP: Unknown | Confidence: 100% | Sources: ABUSEIPDB</t>
        </is>
      </c>
      <c r="D1258" t="n">
        <v>6.5</v>
      </c>
      <c r="E1258" t="inlineStr">
        <is>
          <t>MEDIUM</t>
        </is>
      </c>
      <c r="F1258" t="n">
        <v>3</v>
      </c>
      <c r="G1258" t="n">
        <v>1</v>
      </c>
      <c r="H1258" t="inlineStr">
        <is>
          <t>MEDIUM</t>
        </is>
      </c>
      <c r="I1258" t="n">
        <v>9.5</v>
      </c>
      <c r="J1258" t="inlineStr">
        <is>
          <t>NO</t>
        </is>
      </c>
      <c r="K1258" t="inlineStr">
        <is>
          <t>2026-02-27T13:17:01+00:00</t>
        </is>
      </c>
      <c r="L1258" t="inlineStr">
        <is>
          <t>Block IP</t>
        </is>
      </c>
      <c r="M1258" t="inlineStr">
        <is>
          <t>Firewall/Network</t>
        </is>
      </c>
      <c r="N1258" t="inlineStr">
        <is>
          <t>P4</t>
        </is>
      </c>
      <c r="O1258" t="inlineStr">
        <is>
          <t>🚨 MALICIOUS: Pptechnology Limited | 🌍 United States | Dallas | 🏢 Pptechnology Limited | ASN: AS47890 UNMANAGED LTD | 🔀 VPN/Proxy | 🚨 AbuseIPDB: 100% malicious (Data Center/Web Hosting/Transit)</t>
        </is>
      </c>
      <c r="P1258" t="n">
        <v>0</v>
      </c>
      <c r="Q1258" t="n">
        <v>0</v>
      </c>
      <c r="R1258" t="inlineStr">
        <is>
          <t>T1110:Brute Force | T1078:Valid Accounts</t>
        </is>
      </c>
      <c r="S1258" t="n">
        <v>1</v>
      </c>
      <c r="T1258" t="inlineStr">
        <is>
          <t>LOW (40%)</t>
        </is>
      </c>
      <c r="U1258" t="inlineStr">
        <is>
          <t>NONE</t>
        </is>
      </c>
      <c r="V1258" t="inlineStr">
        <is>
          <t>NONE</t>
        </is>
      </c>
      <c r="W1258" t="inlineStr">
        <is>
          <t>NONE</t>
        </is>
      </c>
      <c r="X1258" t="inlineStr">
        <is>
          <t>NONE</t>
        </is>
      </c>
      <c r="Y1258" t="n">
        <v>0</v>
      </c>
      <c r="Z1258" t="inlineStr"/>
      <c r="AA1258" t="inlineStr">
        <is>
          <t>https://www.abuseipdb.com/check/92.118.39.56</t>
        </is>
      </c>
    </row>
    <row r="1259">
      <c r="A1259" t="inlineStr">
        <is>
          <t>ABUSE_IP</t>
        </is>
      </c>
      <c r="B1259" t="inlineStr">
        <is>
          <t>57152c521e30</t>
        </is>
      </c>
      <c r="C1259" t="inlineStr">
        <is>
          <t>Malicious IP: 74.208.90.100 | Country: US | ISP: Unknown | Confidence: 100% | Sources: ABUSEIPDB</t>
        </is>
      </c>
      <c r="D1259" t="n">
        <v>6.5</v>
      </c>
      <c r="E1259" t="inlineStr">
        <is>
          <t>MEDIUM</t>
        </is>
      </c>
      <c r="F1259" t="n">
        <v>3</v>
      </c>
      <c r="G1259" t="n">
        <v>1</v>
      </c>
      <c r="H1259" t="inlineStr">
        <is>
          <t>MEDIUM</t>
        </is>
      </c>
      <c r="I1259" t="n">
        <v>9.5</v>
      </c>
      <c r="J1259" t="inlineStr">
        <is>
          <t>NO</t>
        </is>
      </c>
      <c r="K1259" t="inlineStr">
        <is>
          <t>2026-02-27T13:17:01+00:00</t>
        </is>
      </c>
      <c r="L1259" t="inlineStr">
        <is>
          <t>Block IP</t>
        </is>
      </c>
      <c r="M1259" t="inlineStr">
        <is>
          <t>Firewall/Network</t>
        </is>
      </c>
      <c r="N1259" t="inlineStr">
        <is>
          <t>P4</t>
        </is>
      </c>
      <c r="O1259" t="inlineStr">
        <is>
          <t>Skipped (20/run cap)</t>
        </is>
      </c>
      <c r="P1259" t="n">
        <v>0</v>
      </c>
      <c r="Q1259" t="n">
        <v>0</v>
      </c>
      <c r="R1259" t="inlineStr">
        <is>
          <t>T1110:Brute Force | T1078:Valid Accounts</t>
        </is>
      </c>
      <c r="S1259" t="n">
        <v>1</v>
      </c>
      <c r="T1259" t="inlineStr">
        <is>
          <t>LOW (40%)</t>
        </is>
      </c>
      <c r="U1259" t="inlineStr">
        <is>
          <t>NONE</t>
        </is>
      </c>
      <c r="V1259" t="inlineStr">
        <is>
          <t>NONE</t>
        </is>
      </c>
      <c r="W1259" t="inlineStr">
        <is>
          <t>NONE</t>
        </is>
      </c>
      <c r="X1259" t="inlineStr">
        <is>
          <t>NONE</t>
        </is>
      </c>
      <c r="Y1259" t="n">
        <v>0</v>
      </c>
      <c r="Z1259" t="inlineStr"/>
      <c r="AA1259" t="inlineStr">
        <is>
          <t>https://www.abuseipdb.com/check/74.208.90.100</t>
        </is>
      </c>
    </row>
    <row r="1260">
      <c r="A1260" t="inlineStr">
        <is>
          <t>ABUSE_IP</t>
        </is>
      </c>
      <c r="B1260" t="inlineStr">
        <is>
          <t>1c9e454bffa8</t>
        </is>
      </c>
      <c r="C1260" t="inlineStr">
        <is>
          <t>Malicious IP: 1.241.64.237 | Country: KR | ISP: Unknown | Confidence: 100% | Sources: BLOCKLIST_DE, ABUSEIPDB</t>
        </is>
      </c>
      <c r="D1260" t="n">
        <v>6.5</v>
      </c>
      <c r="E1260" t="inlineStr">
        <is>
          <t>MEDIUM</t>
        </is>
      </c>
      <c r="F1260" t="n">
        <v>3</v>
      </c>
      <c r="G1260" t="n">
        <v>1</v>
      </c>
      <c r="H1260" t="inlineStr">
        <is>
          <t>MEDIUM</t>
        </is>
      </c>
      <c r="I1260" t="n">
        <v>9.5</v>
      </c>
      <c r="J1260" t="inlineStr">
        <is>
          <t>NO</t>
        </is>
      </c>
      <c r="K1260" t="inlineStr">
        <is>
          <t>2026-02-27T13:17:01+00:00</t>
        </is>
      </c>
      <c r="L1260" t="inlineStr">
        <is>
          <t>Block IP</t>
        </is>
      </c>
      <c r="M1260" t="inlineStr">
        <is>
          <t>Firewall/Network</t>
        </is>
      </c>
      <c r="N1260" t="inlineStr">
        <is>
          <t>P3</t>
        </is>
      </c>
      <c r="O1260" t="inlineStr">
        <is>
          <t>🚨 MALICIOUS: SK Broadband Co Ltd | 🌍 South Korea | Siheung-si | 🏢 SK Broadband Co Ltd | ASN: AS9318 SK Broadband Co Ltd | 🚨 AbuseIPDB: 100% malicious (Fixed Line ISP)</t>
        </is>
      </c>
      <c r="P1260" t="n">
        <v>0</v>
      </c>
      <c r="Q1260" t="n">
        <v>0</v>
      </c>
      <c r="R1260" t="inlineStr">
        <is>
          <t>T1110:Brute Force | T1078:Valid Accounts</t>
        </is>
      </c>
      <c r="S1260" t="n">
        <v>2</v>
      </c>
      <c r="T1260" t="inlineStr">
        <is>
          <t>MEDIUM (52%)</t>
        </is>
      </c>
      <c r="U1260" t="inlineStr">
        <is>
          <t>NONE</t>
        </is>
      </c>
      <c r="V1260" t="inlineStr">
        <is>
          <t>NONE</t>
        </is>
      </c>
      <c r="W1260" t="inlineStr">
        <is>
          <t>NONE</t>
        </is>
      </c>
      <c r="X1260" t="inlineStr">
        <is>
          <t>NONE</t>
        </is>
      </c>
      <c r="Y1260" t="n">
        <v>0</v>
      </c>
      <c r="Z1260" t="inlineStr"/>
      <c r="AA1260" t="inlineStr">
        <is>
          <t>https://www.abuseipdb.com/check/1.241.64.237</t>
        </is>
      </c>
    </row>
    <row r="1261">
      <c r="A1261" t="inlineStr">
        <is>
          <t>ABUSE_IP</t>
        </is>
      </c>
      <c r="B1261" t="inlineStr">
        <is>
          <t>4b285fa59c2b</t>
        </is>
      </c>
      <c r="C1261" t="inlineStr">
        <is>
          <t>Malicious IP: 14.103.112.42 | Country: CN | ISP: Unknown | Confidence: 100% | Sources: ABUSEIPDB</t>
        </is>
      </c>
      <c r="D1261" t="n">
        <v>6.5</v>
      </c>
      <c r="E1261" t="inlineStr">
        <is>
          <t>MEDIUM</t>
        </is>
      </c>
      <c r="F1261" t="n">
        <v>3</v>
      </c>
      <c r="G1261" t="n">
        <v>1</v>
      </c>
      <c r="H1261" t="inlineStr">
        <is>
          <t>MEDIUM</t>
        </is>
      </c>
      <c r="I1261" t="n">
        <v>9.5</v>
      </c>
      <c r="J1261" t="inlineStr">
        <is>
          <t>NO</t>
        </is>
      </c>
      <c r="K1261" t="inlineStr">
        <is>
          <t>2026-02-27T13:17:01+00:00</t>
        </is>
      </c>
      <c r="L1261" t="inlineStr">
        <is>
          <t>Block IP</t>
        </is>
      </c>
      <c r="M1261" t="inlineStr">
        <is>
          <t>Firewall/Network</t>
        </is>
      </c>
      <c r="N1261" t="inlineStr">
        <is>
          <t>P4</t>
        </is>
      </c>
      <c r="O1261" t="inlineStr">
        <is>
          <t>Skipped (20/run cap)</t>
        </is>
      </c>
      <c r="P1261" t="n">
        <v>0</v>
      </c>
      <c r="Q1261" t="n">
        <v>0</v>
      </c>
      <c r="R1261" t="inlineStr">
        <is>
          <t>T1110:Brute Force | T1078:Valid Accounts</t>
        </is>
      </c>
      <c r="S1261" t="n">
        <v>1</v>
      </c>
      <c r="T1261" t="inlineStr">
        <is>
          <t>LOW (40%)</t>
        </is>
      </c>
      <c r="U1261" t="inlineStr">
        <is>
          <t>NONE</t>
        </is>
      </c>
      <c r="V1261" t="inlineStr">
        <is>
          <t>NONE</t>
        </is>
      </c>
      <c r="W1261" t="inlineStr">
        <is>
          <t>NONE</t>
        </is>
      </c>
      <c r="X1261" t="inlineStr">
        <is>
          <t>NONE</t>
        </is>
      </c>
      <c r="Y1261" t="n">
        <v>0</v>
      </c>
      <c r="Z1261" t="inlineStr"/>
      <c r="AA1261" t="inlineStr">
        <is>
          <t>https://www.abuseipdb.com/check/14.103.112.42</t>
        </is>
      </c>
    </row>
    <row r="1262">
      <c r="A1262" t="inlineStr">
        <is>
          <t>ABUSE_IP</t>
        </is>
      </c>
      <c r="B1262" t="inlineStr">
        <is>
          <t>1545caeb84fa</t>
        </is>
      </c>
      <c r="C1262" t="inlineStr">
        <is>
          <t>Malicious IP: 51.75.253.68 | Country: FR | ISP: Unknown | Confidence: 100% | Sources: ABUSEIPDB</t>
        </is>
      </c>
      <c r="D1262" t="n">
        <v>6.5</v>
      </c>
      <c r="E1262" t="inlineStr">
        <is>
          <t>MEDIUM</t>
        </is>
      </c>
      <c r="F1262" t="n">
        <v>3</v>
      </c>
      <c r="G1262" t="n">
        <v>1</v>
      </c>
      <c r="H1262" t="inlineStr">
        <is>
          <t>MEDIUM</t>
        </is>
      </c>
      <c r="I1262" t="n">
        <v>9.5</v>
      </c>
      <c r="J1262" t="inlineStr">
        <is>
          <t>NO</t>
        </is>
      </c>
      <c r="K1262" t="inlineStr">
        <is>
          <t>2026-02-27T13:17:01+00:00</t>
        </is>
      </c>
      <c r="L1262" t="inlineStr">
        <is>
          <t>Block IP</t>
        </is>
      </c>
      <c r="M1262" t="inlineStr">
        <is>
          <t>Firewall/Network</t>
        </is>
      </c>
      <c r="N1262" t="inlineStr">
        <is>
          <t>P4</t>
        </is>
      </c>
      <c r="O1262" t="inlineStr">
        <is>
          <t>Skipped (20/run cap)</t>
        </is>
      </c>
      <c r="P1262" t="n">
        <v>0</v>
      </c>
      <c r="Q1262" t="n">
        <v>0</v>
      </c>
      <c r="R1262" t="inlineStr">
        <is>
          <t>T1110:Brute Force | T1078:Valid Accounts</t>
        </is>
      </c>
      <c r="S1262" t="n">
        <v>1</v>
      </c>
      <c r="T1262" t="inlineStr">
        <is>
          <t>LOW (40%)</t>
        </is>
      </c>
      <c r="U1262" t="inlineStr">
        <is>
          <t>NONE</t>
        </is>
      </c>
      <c r="V1262" t="inlineStr">
        <is>
          <t>NONE</t>
        </is>
      </c>
      <c r="W1262" t="inlineStr">
        <is>
          <t>NONE</t>
        </is>
      </c>
      <c r="X1262" t="inlineStr">
        <is>
          <t>NONE</t>
        </is>
      </c>
      <c r="Y1262" t="n">
        <v>0</v>
      </c>
      <c r="Z1262" t="inlineStr"/>
      <c r="AA1262" t="inlineStr">
        <is>
          <t>https://www.abuseipdb.com/check/51.75.253.68</t>
        </is>
      </c>
    </row>
    <row r="1263">
      <c r="A1263" t="inlineStr">
        <is>
          <t>ABUSE_IP</t>
        </is>
      </c>
      <c r="B1263" t="inlineStr">
        <is>
          <t>a9ea40f9521d</t>
        </is>
      </c>
      <c r="C1263" t="inlineStr">
        <is>
          <t>Malicious IP: 64.62.156.140 | Country: US | ISP: Unknown | Confidence: 100% | Sources: ABUSEIPDB</t>
        </is>
      </c>
      <c r="D1263" t="n">
        <v>6.5</v>
      </c>
      <c r="E1263" t="inlineStr">
        <is>
          <t>MEDIUM</t>
        </is>
      </c>
      <c r="F1263" t="n">
        <v>3</v>
      </c>
      <c r="G1263" t="n">
        <v>1</v>
      </c>
      <c r="H1263" t="inlineStr">
        <is>
          <t>MEDIUM</t>
        </is>
      </c>
      <c r="I1263" t="n">
        <v>9.5</v>
      </c>
      <c r="J1263" t="inlineStr">
        <is>
          <t>NO</t>
        </is>
      </c>
      <c r="K1263" t="inlineStr">
        <is>
          <t>2026-02-27T13:17:01+00:00</t>
        </is>
      </c>
      <c r="L1263" t="inlineStr">
        <is>
          <t>Block IP</t>
        </is>
      </c>
      <c r="M1263" t="inlineStr">
        <is>
          <t>Firewall/Network</t>
        </is>
      </c>
      <c r="N1263" t="inlineStr">
        <is>
          <t>P4</t>
        </is>
      </c>
      <c r="O1263" t="inlineStr">
        <is>
          <t>Skipped (20/run cap)</t>
        </is>
      </c>
      <c r="P1263" t="n">
        <v>0</v>
      </c>
      <c r="Q1263" t="n">
        <v>0</v>
      </c>
      <c r="R1263" t="inlineStr">
        <is>
          <t>T1110:Brute Force | T1078:Valid Accounts</t>
        </is>
      </c>
      <c r="S1263" t="n">
        <v>1</v>
      </c>
      <c r="T1263" t="inlineStr">
        <is>
          <t>LOW (40%)</t>
        </is>
      </c>
      <c r="U1263" t="inlineStr">
        <is>
          <t>NONE</t>
        </is>
      </c>
      <c r="V1263" t="inlineStr">
        <is>
          <t>NONE</t>
        </is>
      </c>
      <c r="W1263" t="inlineStr">
        <is>
          <t>NONE</t>
        </is>
      </c>
      <c r="X1263" t="inlineStr">
        <is>
          <t>NONE</t>
        </is>
      </c>
      <c r="Y1263" t="n">
        <v>0</v>
      </c>
      <c r="Z1263" t="inlineStr"/>
      <c r="AA1263" t="inlineStr">
        <is>
          <t>https://www.abuseipdb.com/check/64.62.156.140</t>
        </is>
      </c>
    </row>
    <row r="1264">
      <c r="A1264" t="inlineStr">
        <is>
          <t>ABUSE_IP</t>
        </is>
      </c>
      <c r="B1264" t="inlineStr">
        <is>
          <t>2916c2be7371</t>
        </is>
      </c>
      <c r="C1264" t="inlineStr">
        <is>
          <t>Malicious IP: 69.57.172.96 | Country: IN | ISP: Unknown | Confidence: 100% | Sources: ABUSEIPDB</t>
        </is>
      </c>
      <c r="D1264" t="n">
        <v>6.5</v>
      </c>
      <c r="E1264" t="inlineStr">
        <is>
          <t>MEDIUM</t>
        </is>
      </c>
      <c r="F1264" t="n">
        <v>3</v>
      </c>
      <c r="G1264" t="n">
        <v>1</v>
      </c>
      <c r="H1264" t="inlineStr">
        <is>
          <t>MEDIUM</t>
        </is>
      </c>
      <c r="I1264" t="n">
        <v>9.5</v>
      </c>
      <c r="J1264" t="inlineStr">
        <is>
          <t>NO</t>
        </is>
      </c>
      <c r="K1264" t="inlineStr">
        <is>
          <t>2026-02-27T13:17:01+00:00</t>
        </is>
      </c>
      <c r="L1264" t="inlineStr">
        <is>
          <t>Block IP</t>
        </is>
      </c>
      <c r="M1264" t="inlineStr">
        <is>
          <t>Firewall/Network</t>
        </is>
      </c>
      <c r="N1264" t="inlineStr">
        <is>
          <t>P4</t>
        </is>
      </c>
      <c r="O1264" t="inlineStr">
        <is>
          <t>Skipped (20/run cap)</t>
        </is>
      </c>
      <c r="P1264" t="n">
        <v>0</v>
      </c>
      <c r="Q1264" t="n">
        <v>0</v>
      </c>
      <c r="R1264" t="inlineStr">
        <is>
          <t>T1110:Brute Force | T1078:Valid Accounts</t>
        </is>
      </c>
      <c r="S1264" t="n">
        <v>1</v>
      </c>
      <c r="T1264" t="inlineStr">
        <is>
          <t>LOW (40%)</t>
        </is>
      </c>
      <c r="U1264" t="inlineStr">
        <is>
          <t>NONE</t>
        </is>
      </c>
      <c r="V1264" t="inlineStr">
        <is>
          <t>NONE</t>
        </is>
      </c>
      <c r="W1264" t="inlineStr">
        <is>
          <t>NONE</t>
        </is>
      </c>
      <c r="X1264" t="inlineStr">
        <is>
          <t>NONE</t>
        </is>
      </c>
      <c r="Y1264" t="n">
        <v>0</v>
      </c>
      <c r="Z1264" t="inlineStr"/>
      <c r="AA1264" t="inlineStr">
        <is>
          <t>https://www.abuseipdb.com/check/69.57.172.96</t>
        </is>
      </c>
    </row>
    <row r="1265">
      <c r="A1265" t="inlineStr">
        <is>
          <t>ABUSE_IP</t>
        </is>
      </c>
      <c r="B1265" t="inlineStr">
        <is>
          <t>5e246d5f78ac</t>
        </is>
      </c>
      <c r="C1265" t="inlineStr">
        <is>
          <t>Malicious IP: 36.92.9.2 | Country: ID | ISP: Unknown | Confidence: 100% | Sources: ABUSEIPDB</t>
        </is>
      </c>
      <c r="D1265" t="n">
        <v>6.5</v>
      </c>
      <c r="E1265" t="inlineStr">
        <is>
          <t>MEDIUM</t>
        </is>
      </c>
      <c r="F1265" t="n">
        <v>3</v>
      </c>
      <c r="G1265" t="n">
        <v>1</v>
      </c>
      <c r="H1265" t="inlineStr">
        <is>
          <t>MEDIUM</t>
        </is>
      </c>
      <c r="I1265" t="n">
        <v>9.5</v>
      </c>
      <c r="J1265" t="inlineStr">
        <is>
          <t>NO</t>
        </is>
      </c>
      <c r="K1265" t="inlineStr">
        <is>
          <t>2026-02-27T13:17:01+00:00</t>
        </is>
      </c>
      <c r="L1265" t="inlineStr">
        <is>
          <t>Block IP</t>
        </is>
      </c>
      <c r="M1265" t="inlineStr">
        <is>
          <t>Firewall/Network</t>
        </is>
      </c>
      <c r="N1265" t="inlineStr">
        <is>
          <t>P4</t>
        </is>
      </c>
      <c r="O1265" t="inlineStr">
        <is>
          <t>🚨 MALICIOUS: Telkomnet | 🌍 Indonesia | Kotabunan | 🏢 Telkomnet | ASN: AS7713 PT Telekomunikasi Indonesia | 🚨 AbuseIPDB: 100% malicious (Mobile ISP)</t>
        </is>
      </c>
      <c r="P1265" t="n">
        <v>0</v>
      </c>
      <c r="Q1265" t="n">
        <v>0</v>
      </c>
      <c r="R1265" t="inlineStr">
        <is>
          <t>T1110:Brute Force | T1078:Valid Accounts</t>
        </is>
      </c>
      <c r="S1265" t="n">
        <v>1</v>
      </c>
      <c r="T1265" t="inlineStr">
        <is>
          <t>LOW (40%)</t>
        </is>
      </c>
      <c r="U1265" t="inlineStr">
        <is>
          <t>NONE</t>
        </is>
      </c>
      <c r="V1265" t="inlineStr">
        <is>
          <t>NONE</t>
        </is>
      </c>
      <c r="W1265" t="inlineStr">
        <is>
          <t>NONE</t>
        </is>
      </c>
      <c r="X1265" t="inlineStr">
        <is>
          <t>NONE</t>
        </is>
      </c>
      <c r="Y1265" t="n">
        <v>0</v>
      </c>
      <c r="Z1265" t="inlineStr"/>
      <c r="AA1265" t="inlineStr">
        <is>
          <t>https://www.abuseipdb.com/check/36.92.9.2</t>
        </is>
      </c>
    </row>
    <row r="1266">
      <c r="A1266" t="inlineStr">
        <is>
          <t>ABUSE_IP</t>
        </is>
      </c>
      <c r="B1266" t="inlineStr">
        <is>
          <t>fb88d06b81b9</t>
        </is>
      </c>
      <c r="C1266" t="inlineStr">
        <is>
          <t>Malicious IP: 45.148.10.152 | Country: NL | ISP: Unknown | Confidence: 100% | Sources: ABUSEIPDB</t>
        </is>
      </c>
      <c r="D1266" t="n">
        <v>6.5</v>
      </c>
      <c r="E1266" t="inlineStr">
        <is>
          <t>MEDIUM</t>
        </is>
      </c>
      <c r="F1266" t="n">
        <v>3</v>
      </c>
      <c r="G1266" t="n">
        <v>1</v>
      </c>
      <c r="H1266" t="inlineStr">
        <is>
          <t>MEDIUM</t>
        </is>
      </c>
      <c r="I1266" t="n">
        <v>9.5</v>
      </c>
      <c r="J1266" t="inlineStr">
        <is>
          <t>NO</t>
        </is>
      </c>
      <c r="K1266" t="inlineStr">
        <is>
          <t>2026-02-27T13:17:00+00:00</t>
        </is>
      </c>
      <c r="L1266" t="inlineStr">
        <is>
          <t>Block IP</t>
        </is>
      </c>
      <c r="M1266" t="inlineStr">
        <is>
          <t>Firewall/Network</t>
        </is>
      </c>
      <c r="N1266" t="inlineStr">
        <is>
          <t>P4</t>
        </is>
      </c>
      <c r="O1266" t="inlineStr">
        <is>
          <t>Skipped (20/run cap)</t>
        </is>
      </c>
      <c r="P1266" t="n">
        <v>0</v>
      </c>
      <c r="Q1266" t="n">
        <v>0</v>
      </c>
      <c r="R1266" t="inlineStr">
        <is>
          <t>T1110:Brute Force | T1078:Valid Accounts</t>
        </is>
      </c>
      <c r="S1266" t="n">
        <v>1</v>
      </c>
      <c r="T1266" t="inlineStr">
        <is>
          <t>LOW (40%)</t>
        </is>
      </c>
      <c r="U1266" t="inlineStr">
        <is>
          <t>NONE</t>
        </is>
      </c>
      <c r="V1266" t="inlineStr">
        <is>
          <t>NONE</t>
        </is>
      </c>
      <c r="W1266" t="inlineStr">
        <is>
          <t>NONE</t>
        </is>
      </c>
      <c r="X1266" t="inlineStr">
        <is>
          <t>NONE</t>
        </is>
      </c>
      <c r="Y1266" t="n">
        <v>0</v>
      </c>
      <c r="Z1266" t="inlineStr"/>
      <c r="AA1266" t="inlineStr">
        <is>
          <t>https://www.abuseipdb.com/check/45.148.10.152</t>
        </is>
      </c>
    </row>
    <row r="1267">
      <c r="A1267" t="inlineStr">
        <is>
          <t>ABUSE_IP</t>
        </is>
      </c>
      <c r="B1267" t="inlineStr">
        <is>
          <t>9d0d94f2f59e</t>
        </is>
      </c>
      <c r="C1267" t="inlineStr">
        <is>
          <t>Malicious IP: 113.172.100.122 | Country: VN | ISP: Unknown | Confidence: 100% | Sources: ABUSEIPDB</t>
        </is>
      </c>
      <c r="D1267" t="n">
        <v>6.5</v>
      </c>
      <c r="E1267" t="inlineStr">
        <is>
          <t>MEDIUM</t>
        </is>
      </c>
      <c r="F1267" t="n">
        <v>3</v>
      </c>
      <c r="G1267" t="n">
        <v>1</v>
      </c>
      <c r="H1267" t="inlineStr">
        <is>
          <t>MEDIUM</t>
        </is>
      </c>
      <c r="I1267" t="n">
        <v>9.5</v>
      </c>
      <c r="J1267" t="inlineStr">
        <is>
          <t>NO</t>
        </is>
      </c>
      <c r="K1267" t="inlineStr">
        <is>
          <t>2026-02-27T13:17:00+00:00</t>
        </is>
      </c>
      <c r="L1267" t="inlineStr">
        <is>
          <t>Block IP</t>
        </is>
      </c>
      <c r="M1267" t="inlineStr">
        <is>
          <t>Firewall/Network</t>
        </is>
      </c>
      <c r="N1267" t="inlineStr">
        <is>
          <t>P4</t>
        </is>
      </c>
      <c r="O1267" t="inlineStr">
        <is>
          <t>🚨 MALICIOUS: Vietnam Posts and Telecommunications Group | 🌍 Vietnam | Ho Chi Minh City | 🏢 Vietnam Posts and Telecommunications Group | ASN: AS45899 VNPT Corp | 🚨 AbuseIPDB: 100% malicious (Fixed Line ISP)</t>
        </is>
      </c>
      <c r="P1267" t="n">
        <v>0</v>
      </c>
      <c r="Q1267" t="n">
        <v>0</v>
      </c>
      <c r="R1267" t="inlineStr">
        <is>
          <t>T1110:Brute Force | T1078:Valid Accounts</t>
        </is>
      </c>
      <c r="S1267" t="n">
        <v>1</v>
      </c>
      <c r="T1267" t="inlineStr">
        <is>
          <t>LOW (40%)</t>
        </is>
      </c>
      <c r="U1267" t="inlineStr">
        <is>
          <t>NONE</t>
        </is>
      </c>
      <c r="V1267" t="inlineStr">
        <is>
          <t>NONE</t>
        </is>
      </c>
      <c r="W1267" t="inlineStr">
        <is>
          <t>NONE</t>
        </is>
      </c>
      <c r="X1267" t="inlineStr">
        <is>
          <t>NONE</t>
        </is>
      </c>
      <c r="Y1267" t="n">
        <v>0</v>
      </c>
      <c r="Z1267" t="inlineStr"/>
      <c r="AA1267" t="inlineStr">
        <is>
          <t>https://www.abuseipdb.com/check/113.172.100.122</t>
        </is>
      </c>
    </row>
    <row r="1268">
      <c r="A1268" t="inlineStr">
        <is>
          <t>ABUSE_IP</t>
        </is>
      </c>
      <c r="B1268" t="inlineStr">
        <is>
          <t>26ed86fb269b</t>
        </is>
      </c>
      <c r="C1268" t="inlineStr">
        <is>
          <t>Malicious IP: 65.49.1.130 | Country: US | ISP: Unknown | Confidence: 100% | Sources: ABUSEIPDB</t>
        </is>
      </c>
      <c r="D1268" t="n">
        <v>6.5</v>
      </c>
      <c r="E1268" t="inlineStr">
        <is>
          <t>MEDIUM</t>
        </is>
      </c>
      <c r="F1268" t="n">
        <v>3</v>
      </c>
      <c r="G1268" t="n">
        <v>1</v>
      </c>
      <c r="H1268" t="inlineStr">
        <is>
          <t>MEDIUM</t>
        </is>
      </c>
      <c r="I1268" t="n">
        <v>9.5</v>
      </c>
      <c r="J1268" t="inlineStr">
        <is>
          <t>NO</t>
        </is>
      </c>
      <c r="K1268" t="inlineStr">
        <is>
          <t>2026-02-27T13:17:00+00:00</t>
        </is>
      </c>
      <c r="L1268" t="inlineStr">
        <is>
          <t>Block IP</t>
        </is>
      </c>
      <c r="M1268" t="inlineStr">
        <is>
          <t>Firewall/Network</t>
        </is>
      </c>
      <c r="N1268" t="inlineStr">
        <is>
          <t>P4</t>
        </is>
      </c>
      <c r="O1268" t="inlineStr">
        <is>
          <t>Skipped (20/run cap)</t>
        </is>
      </c>
      <c r="P1268" t="n">
        <v>0</v>
      </c>
      <c r="Q1268" t="n">
        <v>0</v>
      </c>
      <c r="R1268" t="inlineStr">
        <is>
          <t>T1110:Brute Force | T1078:Valid Accounts</t>
        </is>
      </c>
      <c r="S1268" t="n">
        <v>1</v>
      </c>
      <c r="T1268" t="inlineStr">
        <is>
          <t>LOW (40%)</t>
        </is>
      </c>
      <c r="U1268" t="inlineStr">
        <is>
          <t>NONE</t>
        </is>
      </c>
      <c r="V1268" t="inlineStr">
        <is>
          <t>NONE</t>
        </is>
      </c>
      <c r="W1268" t="inlineStr">
        <is>
          <t>NONE</t>
        </is>
      </c>
      <c r="X1268" t="inlineStr">
        <is>
          <t>NONE</t>
        </is>
      </c>
      <c r="Y1268" t="n">
        <v>0</v>
      </c>
      <c r="Z1268" t="inlineStr"/>
      <c r="AA1268" t="inlineStr">
        <is>
          <t>https://www.abuseipdb.com/check/65.49.1.130</t>
        </is>
      </c>
    </row>
    <row r="1269">
      <c r="A1269" t="inlineStr">
        <is>
          <t>ABUSE_IP</t>
        </is>
      </c>
      <c r="B1269" t="inlineStr">
        <is>
          <t>7cea55a74c59</t>
        </is>
      </c>
      <c r="C1269" t="inlineStr">
        <is>
          <t>Malicious IP: 91.224.92.108 | Country: LT | ISP: Unknown | Confidence: 100% | Sources: ABUSEIPDB</t>
        </is>
      </c>
      <c r="D1269" t="n">
        <v>6.5</v>
      </c>
      <c r="E1269" t="inlineStr">
        <is>
          <t>MEDIUM</t>
        </is>
      </c>
      <c r="F1269" t="n">
        <v>3</v>
      </c>
      <c r="G1269" t="n">
        <v>1</v>
      </c>
      <c r="H1269" t="inlineStr">
        <is>
          <t>MEDIUM</t>
        </is>
      </c>
      <c r="I1269" t="n">
        <v>9.5</v>
      </c>
      <c r="J1269" t="inlineStr">
        <is>
          <t>NO</t>
        </is>
      </c>
      <c r="K1269" t="inlineStr">
        <is>
          <t>2026-02-27T13:17:00+00:00</t>
        </is>
      </c>
      <c r="L1269" t="inlineStr">
        <is>
          <t>Block IP</t>
        </is>
      </c>
      <c r="M1269" t="inlineStr">
        <is>
          <t>Firewall/Network</t>
        </is>
      </c>
      <c r="N1269" t="inlineStr">
        <is>
          <t>P4</t>
        </is>
      </c>
      <c r="O1269" t="inlineStr">
        <is>
          <t>🚨 MALICIOUS: UAB Host Baltic | 🌍 Lithuania | Vilnius | 🏢 UAB Host Baltic | ASN: AS209605 UAB Host Baltic | 🔀 VPN/Proxy | 🚨 AbuseIPDB: 100% malicious (Data Center/Web Hosting/Transit)</t>
        </is>
      </c>
      <c r="P1269" t="n">
        <v>0</v>
      </c>
      <c r="Q1269" t="n">
        <v>0</v>
      </c>
      <c r="R1269" t="inlineStr">
        <is>
          <t>T1110:Brute Force | T1078:Valid Accounts</t>
        </is>
      </c>
      <c r="S1269" t="n">
        <v>1</v>
      </c>
      <c r="T1269" t="inlineStr">
        <is>
          <t>LOW (40%)</t>
        </is>
      </c>
      <c r="U1269" t="inlineStr">
        <is>
          <t>NONE</t>
        </is>
      </c>
      <c r="V1269" t="inlineStr">
        <is>
          <t>NONE</t>
        </is>
      </c>
      <c r="W1269" t="inlineStr">
        <is>
          <t>NONE</t>
        </is>
      </c>
      <c r="X1269" t="inlineStr">
        <is>
          <t>NONE</t>
        </is>
      </c>
      <c r="Y1269" t="n">
        <v>0</v>
      </c>
      <c r="Z1269" t="inlineStr"/>
      <c r="AA1269" t="inlineStr">
        <is>
          <t>https://www.abuseipdb.com/check/91.224.92.108</t>
        </is>
      </c>
    </row>
    <row r="1270">
      <c r="A1270" t="inlineStr">
        <is>
          <t>ABUSE_IP</t>
        </is>
      </c>
      <c r="B1270" t="inlineStr">
        <is>
          <t>ab33b00b00c0</t>
        </is>
      </c>
      <c r="C1270" t="inlineStr">
        <is>
          <t>Malicious IP: 123.163.51.4 | Country: CN | ISP: Unknown | Confidence: 100% | Sources: ABUSEIPDB</t>
        </is>
      </c>
      <c r="D1270" t="n">
        <v>6.5</v>
      </c>
      <c r="E1270" t="inlineStr">
        <is>
          <t>MEDIUM</t>
        </is>
      </c>
      <c r="F1270" t="n">
        <v>3</v>
      </c>
      <c r="G1270" t="n">
        <v>1</v>
      </c>
      <c r="H1270" t="inlineStr">
        <is>
          <t>MEDIUM</t>
        </is>
      </c>
      <c r="I1270" t="n">
        <v>9.5</v>
      </c>
      <c r="J1270" t="inlineStr">
        <is>
          <t>NO</t>
        </is>
      </c>
      <c r="K1270" t="inlineStr">
        <is>
          <t>2026-02-27T13:17:00+00:00</t>
        </is>
      </c>
      <c r="L1270" t="inlineStr">
        <is>
          <t>Block IP</t>
        </is>
      </c>
      <c r="M1270" t="inlineStr">
        <is>
          <t>Firewall/Network</t>
        </is>
      </c>
      <c r="N1270" t="inlineStr">
        <is>
          <t>P4</t>
        </is>
      </c>
      <c r="O1270" t="inlineStr">
        <is>
          <t>🚨 MALICIOUS: Chinanet HA | 🌍 China | Guancheng | 🏢 Chinanet HA | ASN: AS4134 CHINANET-BACKBONE | 🚨 AbuseIPDB: 100% malicious (Fixed Line ISP)</t>
        </is>
      </c>
      <c r="P1270" t="n">
        <v>0</v>
      </c>
      <c r="Q1270" t="n">
        <v>0</v>
      </c>
      <c r="R1270" t="inlineStr">
        <is>
          <t>T1110:Brute Force | T1078:Valid Accounts</t>
        </is>
      </c>
      <c r="S1270" t="n">
        <v>1</v>
      </c>
      <c r="T1270" t="inlineStr">
        <is>
          <t>LOW (40%)</t>
        </is>
      </c>
      <c r="U1270" t="inlineStr">
        <is>
          <t>NONE</t>
        </is>
      </c>
      <c r="V1270" t="inlineStr">
        <is>
          <t>NONE</t>
        </is>
      </c>
      <c r="W1270" t="inlineStr">
        <is>
          <t>NONE</t>
        </is>
      </c>
      <c r="X1270" t="inlineStr">
        <is>
          <t>NONE</t>
        </is>
      </c>
      <c r="Y1270" t="n">
        <v>0</v>
      </c>
      <c r="Z1270" t="inlineStr"/>
      <c r="AA1270" t="inlineStr">
        <is>
          <t>https://www.abuseipdb.com/check/123.163.51.4</t>
        </is>
      </c>
    </row>
    <row r="1271">
      <c r="A1271" t="inlineStr">
        <is>
          <t>ABUSE_IP</t>
        </is>
      </c>
      <c r="B1271" t="inlineStr">
        <is>
          <t>0af250c0c7df</t>
        </is>
      </c>
      <c r="C1271" t="inlineStr">
        <is>
          <t>Malicious IP: 186.19.138.103 | Country: AR | ISP: Unknown | Confidence: 100% | Sources: ABUSEIPDB</t>
        </is>
      </c>
      <c r="D1271" t="n">
        <v>6.5</v>
      </c>
      <c r="E1271" t="inlineStr">
        <is>
          <t>MEDIUM</t>
        </is>
      </c>
      <c r="F1271" t="n">
        <v>3</v>
      </c>
      <c r="G1271" t="n">
        <v>1</v>
      </c>
      <c r="H1271" t="inlineStr">
        <is>
          <t>MEDIUM</t>
        </is>
      </c>
      <c r="I1271" t="n">
        <v>9.5</v>
      </c>
      <c r="J1271" t="inlineStr">
        <is>
          <t>NO</t>
        </is>
      </c>
      <c r="K1271" t="inlineStr">
        <is>
          <t>2026-02-27T13:17:00+00:00</t>
        </is>
      </c>
      <c r="L1271" t="inlineStr">
        <is>
          <t>Block IP</t>
        </is>
      </c>
      <c r="M1271" t="inlineStr">
        <is>
          <t>Firewall/Network</t>
        </is>
      </c>
      <c r="N1271" t="inlineStr">
        <is>
          <t>P4</t>
        </is>
      </c>
      <c r="O1271" t="inlineStr">
        <is>
          <t>Skipped (20/run cap)</t>
        </is>
      </c>
      <c r="P1271" t="n">
        <v>0</v>
      </c>
      <c r="Q1271" t="n">
        <v>0</v>
      </c>
      <c r="R1271" t="inlineStr">
        <is>
          <t>T1110:Brute Force | T1078:Valid Accounts</t>
        </is>
      </c>
      <c r="S1271" t="n">
        <v>1</v>
      </c>
      <c r="T1271" t="inlineStr">
        <is>
          <t>LOW (40%)</t>
        </is>
      </c>
      <c r="U1271" t="inlineStr">
        <is>
          <t>NONE</t>
        </is>
      </c>
      <c r="V1271" t="inlineStr">
        <is>
          <t>NONE</t>
        </is>
      </c>
      <c r="W1271" t="inlineStr">
        <is>
          <t>NONE</t>
        </is>
      </c>
      <c r="X1271" t="inlineStr">
        <is>
          <t>NONE</t>
        </is>
      </c>
      <c r="Y1271" t="n">
        <v>0</v>
      </c>
      <c r="Z1271" t="inlineStr"/>
      <c r="AA1271" t="inlineStr">
        <is>
          <t>https://www.abuseipdb.com/check/186.19.138.103</t>
        </is>
      </c>
    </row>
    <row r="1272">
      <c r="A1272" t="inlineStr">
        <is>
          <t>ABUSE_IP</t>
        </is>
      </c>
      <c r="B1272" t="inlineStr">
        <is>
          <t>3a298fa4ddc8</t>
        </is>
      </c>
      <c r="C1272" t="inlineStr">
        <is>
          <t>Malicious IP: 159.65.113.234 | Country: DE | ISP: Unknown | Confidence: 100% | Sources: ABUSEIPDB</t>
        </is>
      </c>
      <c r="D1272" t="n">
        <v>6.5</v>
      </c>
      <c r="E1272" t="inlineStr">
        <is>
          <t>MEDIUM</t>
        </is>
      </c>
      <c r="F1272" t="n">
        <v>3</v>
      </c>
      <c r="G1272" t="n">
        <v>1</v>
      </c>
      <c r="H1272" t="inlineStr">
        <is>
          <t>MEDIUM</t>
        </is>
      </c>
      <c r="I1272" t="n">
        <v>9.5</v>
      </c>
      <c r="J1272" t="inlineStr">
        <is>
          <t>NO</t>
        </is>
      </c>
      <c r="K1272" t="inlineStr">
        <is>
          <t>2026-02-27T13:17:00+00:00</t>
        </is>
      </c>
      <c r="L1272" t="inlineStr">
        <is>
          <t>Block IP</t>
        </is>
      </c>
      <c r="M1272" t="inlineStr">
        <is>
          <t>Firewall/Network</t>
        </is>
      </c>
      <c r="N1272" t="inlineStr">
        <is>
          <t>P4</t>
        </is>
      </c>
      <c r="O1272" t="inlineStr">
        <is>
          <t>🚨 MALICIOUS: DigitalOcean, LLC | 🌍 Germany | Frankfurt am Main | 🏢 DigitalOcean, LLC | ASN: AS14061 DigitalOcean, LLC | 🔀 VPN/Proxy | 🖥️ Hosting/DC | 🚨 AbuseIPDB: 100% malicious (Data Center/Web Hosting/Transit)</t>
        </is>
      </c>
      <c r="P1272" t="n">
        <v>0</v>
      </c>
      <c r="Q1272" t="n">
        <v>0</v>
      </c>
      <c r="R1272" t="inlineStr">
        <is>
          <t>T1110:Brute Force | T1078:Valid Accounts</t>
        </is>
      </c>
      <c r="S1272" t="n">
        <v>1</v>
      </c>
      <c r="T1272" t="inlineStr">
        <is>
          <t>LOW (40%)</t>
        </is>
      </c>
      <c r="U1272" t="inlineStr">
        <is>
          <t>NONE</t>
        </is>
      </c>
      <c r="V1272" t="inlineStr">
        <is>
          <t>NONE</t>
        </is>
      </c>
      <c r="W1272" t="inlineStr">
        <is>
          <t>NONE</t>
        </is>
      </c>
      <c r="X1272" t="inlineStr">
        <is>
          <t>NONE</t>
        </is>
      </c>
      <c r="Y1272" t="n">
        <v>0</v>
      </c>
      <c r="Z1272" t="inlineStr"/>
      <c r="AA1272" t="inlineStr">
        <is>
          <t>https://www.abuseipdb.com/check/159.65.113.234</t>
        </is>
      </c>
    </row>
    <row r="1273">
      <c r="A1273" t="inlineStr">
        <is>
          <t>ABUSE_IP</t>
        </is>
      </c>
      <c r="B1273" t="inlineStr">
        <is>
          <t>8f1954a4abf7</t>
        </is>
      </c>
      <c r="C1273" t="inlineStr">
        <is>
          <t>Malicious IP: 156.227.237.176 | Country: JP | ISP: Unknown | Confidence: 100% | Sources: ABUSEIPDB</t>
        </is>
      </c>
      <c r="D1273" t="n">
        <v>6.5</v>
      </c>
      <c r="E1273" t="inlineStr">
        <is>
          <t>MEDIUM</t>
        </is>
      </c>
      <c r="F1273" t="n">
        <v>3</v>
      </c>
      <c r="G1273" t="n">
        <v>1</v>
      </c>
      <c r="H1273" t="inlineStr">
        <is>
          <t>MEDIUM</t>
        </is>
      </c>
      <c r="I1273" t="n">
        <v>9.5</v>
      </c>
      <c r="J1273" t="inlineStr">
        <is>
          <t>NO</t>
        </is>
      </c>
      <c r="K1273" t="inlineStr">
        <is>
          <t>2026-02-27T13:16:59+00:00</t>
        </is>
      </c>
      <c r="L1273" t="inlineStr">
        <is>
          <t>Block IP</t>
        </is>
      </c>
      <c r="M1273" t="inlineStr">
        <is>
          <t>Firewall/Network</t>
        </is>
      </c>
      <c r="N1273" t="inlineStr">
        <is>
          <t>P4</t>
        </is>
      </c>
      <c r="O1273" t="inlineStr">
        <is>
          <t>🚨 MALICIOUS: Yisu Cloud Ltd | 🌍 Japan | Tokyo | 🏢 Yisu Cloud Ltd | ASN: AS138152 YISU CLOUD LTD | 🚨 AbuseIPDB: 100% malicious (Data Center/Web Hosting/Transit)</t>
        </is>
      </c>
      <c r="P1273" t="n">
        <v>0</v>
      </c>
      <c r="Q1273" t="n">
        <v>0</v>
      </c>
      <c r="R1273" t="inlineStr">
        <is>
          <t>T1110:Brute Force | T1078:Valid Accounts</t>
        </is>
      </c>
      <c r="S1273" t="n">
        <v>1</v>
      </c>
      <c r="T1273" t="inlineStr">
        <is>
          <t>LOW (40%)</t>
        </is>
      </c>
      <c r="U1273" t="inlineStr">
        <is>
          <t>NONE</t>
        </is>
      </c>
      <c r="V1273" t="inlineStr">
        <is>
          <t>NONE</t>
        </is>
      </c>
      <c r="W1273" t="inlineStr">
        <is>
          <t>NONE</t>
        </is>
      </c>
      <c r="X1273" t="inlineStr">
        <is>
          <t>NONE</t>
        </is>
      </c>
      <c r="Y1273" t="n">
        <v>0</v>
      </c>
      <c r="Z1273" t="inlineStr"/>
      <c r="AA1273" t="inlineStr">
        <is>
          <t>https://www.abuseipdb.com/check/156.227.237.176</t>
        </is>
      </c>
    </row>
    <row r="1274">
      <c r="A1274" t="inlineStr">
        <is>
          <t>ABUSE_IP</t>
        </is>
      </c>
      <c r="B1274" t="inlineStr">
        <is>
          <t>3d968cc69891</t>
        </is>
      </c>
      <c r="C1274" t="inlineStr">
        <is>
          <t>Malicious IP: 95.79.108.51 | Country: RU | ISP: Unknown | Confidence: 100% | Sources: ABUSEIPDB</t>
        </is>
      </c>
      <c r="D1274" t="n">
        <v>6.5</v>
      </c>
      <c r="E1274" t="inlineStr">
        <is>
          <t>MEDIUM</t>
        </is>
      </c>
      <c r="F1274" t="n">
        <v>3</v>
      </c>
      <c r="G1274" t="n">
        <v>1</v>
      </c>
      <c r="H1274" t="inlineStr">
        <is>
          <t>MEDIUM</t>
        </is>
      </c>
      <c r="I1274" t="n">
        <v>9.5</v>
      </c>
      <c r="J1274" t="inlineStr">
        <is>
          <t>NO</t>
        </is>
      </c>
      <c r="K1274" t="inlineStr">
        <is>
          <t>2026-02-27T13:16:59+00:00</t>
        </is>
      </c>
      <c r="L1274" t="inlineStr">
        <is>
          <t>Block IP</t>
        </is>
      </c>
      <c r="M1274" t="inlineStr">
        <is>
          <t>Firewall/Network</t>
        </is>
      </c>
      <c r="N1274" t="inlineStr">
        <is>
          <t>P4</t>
        </is>
      </c>
      <c r="O1274" t="inlineStr">
        <is>
          <t>🚨 MALICIOUS: JSC "ER-Telecom Holding" Nizhny Novgorod | 🌍 Russia | Nizhniy Novgorod | 🏢 JSC "ER-Telecom Holding" Nizhny Novgorod | ASN: AS42682 JSC ER-Telecom Holding | 🚨 AbuseIPDB: 100% malicious (Fixed Line ISP)</t>
        </is>
      </c>
      <c r="P1274" t="n">
        <v>0</v>
      </c>
      <c r="Q1274" t="n">
        <v>0</v>
      </c>
      <c r="R1274" t="inlineStr">
        <is>
          <t>T1110:Brute Force | T1078:Valid Accounts</t>
        </is>
      </c>
      <c r="S1274" t="n">
        <v>1</v>
      </c>
      <c r="T1274" t="inlineStr">
        <is>
          <t>LOW (40%)</t>
        </is>
      </c>
      <c r="U1274" t="inlineStr">
        <is>
          <t>NONE</t>
        </is>
      </c>
      <c r="V1274" t="inlineStr">
        <is>
          <t>NONE</t>
        </is>
      </c>
      <c r="W1274" t="inlineStr">
        <is>
          <t>NONE</t>
        </is>
      </c>
      <c r="X1274" t="inlineStr">
        <is>
          <t>NONE</t>
        </is>
      </c>
      <c r="Y1274" t="n">
        <v>0</v>
      </c>
      <c r="Z1274" t="inlineStr"/>
      <c r="AA1274" t="inlineStr">
        <is>
          <t>https://www.abuseipdb.com/check/95.79.108.51</t>
        </is>
      </c>
    </row>
    <row r="1275">
      <c r="A1275" t="inlineStr">
        <is>
          <t>ABUSE_IP</t>
        </is>
      </c>
      <c r="B1275" t="inlineStr">
        <is>
          <t>cbb150e591b5</t>
        </is>
      </c>
      <c r="C1275" t="inlineStr">
        <is>
          <t>Malicious IP: 115.190.241.219 | Country: CN | ISP: Unknown | Confidence: 100% | Sources: ABUSEIPDB</t>
        </is>
      </c>
      <c r="D1275" t="n">
        <v>6.5</v>
      </c>
      <c r="E1275" t="inlineStr">
        <is>
          <t>MEDIUM</t>
        </is>
      </c>
      <c r="F1275" t="n">
        <v>3</v>
      </c>
      <c r="G1275" t="n">
        <v>1</v>
      </c>
      <c r="H1275" t="inlineStr">
        <is>
          <t>MEDIUM</t>
        </is>
      </c>
      <c r="I1275" t="n">
        <v>9.5</v>
      </c>
      <c r="J1275" t="inlineStr">
        <is>
          <t>NO</t>
        </is>
      </c>
      <c r="K1275" t="inlineStr">
        <is>
          <t>2026-02-27T13:16:59+00:00</t>
        </is>
      </c>
      <c r="L1275" t="inlineStr">
        <is>
          <t>Block IP</t>
        </is>
      </c>
      <c r="M1275" t="inlineStr">
        <is>
          <t>Firewall/Network</t>
        </is>
      </c>
      <c r="N1275" t="inlineStr">
        <is>
          <t>P4</t>
        </is>
      </c>
      <c r="O1275" t="inlineStr">
        <is>
          <t>🚨 MALICIOUS: AS137718 Beijing Volcano Engine Technology Co., Ltd. | 🌍 China | Beijing | 🏢  | ASN: AS137718 Beijing Volcano Engine Technology Co., Ltd. | 🚨 AbuseIPDB: 100% malicious (Data Center/Web Hosting/Transit)</t>
        </is>
      </c>
      <c r="P1275" t="n">
        <v>0</v>
      </c>
      <c r="Q1275" t="n">
        <v>0</v>
      </c>
      <c r="R1275" t="inlineStr">
        <is>
          <t>T1110:Brute Force | T1078:Valid Accounts</t>
        </is>
      </c>
      <c r="S1275" t="n">
        <v>1</v>
      </c>
      <c r="T1275" t="inlineStr">
        <is>
          <t>LOW (40%)</t>
        </is>
      </c>
      <c r="U1275" t="inlineStr">
        <is>
          <t>NONE</t>
        </is>
      </c>
      <c r="V1275" t="inlineStr">
        <is>
          <t>NONE</t>
        </is>
      </c>
      <c r="W1275" t="inlineStr">
        <is>
          <t>NONE</t>
        </is>
      </c>
      <c r="X1275" t="inlineStr">
        <is>
          <t>NONE</t>
        </is>
      </c>
      <c r="Y1275" t="n">
        <v>0</v>
      </c>
      <c r="Z1275" t="inlineStr"/>
      <c r="AA1275" t="inlineStr">
        <is>
          <t>https://www.abuseipdb.com/check/115.190.241.219</t>
        </is>
      </c>
    </row>
    <row r="1276">
      <c r="A1276" t="inlineStr">
        <is>
          <t>ABUSE_IP</t>
        </is>
      </c>
      <c r="B1276" t="inlineStr">
        <is>
          <t>4790a7c771b9</t>
        </is>
      </c>
      <c r="C1276" t="inlineStr">
        <is>
          <t>Malicious IP: 195.178.110.187 | Country: NL | ISP: Unknown | Confidence: 100% | Sources: ABUSEIPDB</t>
        </is>
      </c>
      <c r="D1276" t="n">
        <v>6.5</v>
      </c>
      <c r="E1276" t="inlineStr">
        <is>
          <t>MEDIUM</t>
        </is>
      </c>
      <c r="F1276" t="n">
        <v>3</v>
      </c>
      <c r="G1276" t="n">
        <v>1</v>
      </c>
      <c r="H1276" t="inlineStr">
        <is>
          <t>MEDIUM</t>
        </is>
      </c>
      <c r="I1276" t="n">
        <v>9.5</v>
      </c>
      <c r="J1276" t="inlineStr">
        <is>
          <t>NO</t>
        </is>
      </c>
      <c r="K1276" t="inlineStr">
        <is>
          <t>2026-02-27T13:16:59+00:00</t>
        </is>
      </c>
      <c r="L1276" t="inlineStr">
        <is>
          <t>Block IP</t>
        </is>
      </c>
      <c r="M1276" t="inlineStr">
        <is>
          <t>Firewall/Network</t>
        </is>
      </c>
      <c r="N1276" t="inlineStr">
        <is>
          <t>P4</t>
        </is>
      </c>
      <c r="O1276" t="inlineStr">
        <is>
          <t>🚨 MALICIOUS: Techoff SRV Limited | 🌍 Andorra | Andorra la Vella | 🏢 Techoff SRV Limited | ASN: AS48090 TECHOFF SRV LIMITED | 🚨 AbuseIPDB: 100% malicious (Data Center/Web Hosting/Transit)</t>
        </is>
      </c>
      <c r="P1276" t="n">
        <v>0</v>
      </c>
      <c r="Q1276" t="n">
        <v>0</v>
      </c>
      <c r="R1276" t="inlineStr">
        <is>
          <t>T1110:Brute Force | T1078:Valid Accounts</t>
        </is>
      </c>
      <c r="S1276" t="n">
        <v>1</v>
      </c>
      <c r="T1276" t="inlineStr">
        <is>
          <t>LOW (40%)</t>
        </is>
      </c>
      <c r="U1276" t="inlineStr">
        <is>
          <t>NONE</t>
        </is>
      </c>
      <c r="V1276" t="inlineStr">
        <is>
          <t>NONE</t>
        </is>
      </c>
      <c r="W1276" t="inlineStr">
        <is>
          <t>NONE</t>
        </is>
      </c>
      <c r="X1276" t="inlineStr">
        <is>
          <t>NONE</t>
        </is>
      </c>
      <c r="Y1276" t="n">
        <v>0</v>
      </c>
      <c r="Z1276" t="inlineStr"/>
      <c r="AA1276" t="inlineStr">
        <is>
          <t>https://www.abuseipdb.com/check/195.178.110.187</t>
        </is>
      </c>
    </row>
    <row r="1277">
      <c r="A1277" t="inlineStr">
        <is>
          <t>ABUSE_IP</t>
        </is>
      </c>
      <c r="B1277" t="inlineStr">
        <is>
          <t>3fd27b97b9e4</t>
        </is>
      </c>
      <c r="C1277" t="inlineStr">
        <is>
          <t>Malicious IP: 116.118.2.113 | Country: VN | ISP: Unknown | Confidence: 100% | Sources: ABUSEIPDB</t>
        </is>
      </c>
      <c r="D1277" t="n">
        <v>6.5</v>
      </c>
      <c r="E1277" t="inlineStr">
        <is>
          <t>MEDIUM</t>
        </is>
      </c>
      <c r="F1277" t="n">
        <v>3</v>
      </c>
      <c r="G1277" t="n">
        <v>1</v>
      </c>
      <c r="H1277" t="inlineStr">
        <is>
          <t>MEDIUM</t>
        </is>
      </c>
      <c r="I1277" t="n">
        <v>9.5</v>
      </c>
      <c r="J1277" t="inlineStr">
        <is>
          <t>NO</t>
        </is>
      </c>
      <c r="K1277" t="inlineStr">
        <is>
          <t>2026-02-27T13:16:59+00:00</t>
        </is>
      </c>
      <c r="L1277" t="inlineStr">
        <is>
          <t>Block IP</t>
        </is>
      </c>
      <c r="M1277" t="inlineStr">
        <is>
          <t>Firewall/Network</t>
        </is>
      </c>
      <c r="N1277" t="inlineStr">
        <is>
          <t>P4</t>
        </is>
      </c>
      <c r="O1277" t="inlineStr">
        <is>
          <t>Skipped (20/run cap)</t>
        </is>
      </c>
      <c r="P1277" t="n">
        <v>0</v>
      </c>
      <c r="Q1277" t="n">
        <v>0</v>
      </c>
      <c r="R1277" t="inlineStr">
        <is>
          <t>T1110:Brute Force | T1078:Valid Accounts</t>
        </is>
      </c>
      <c r="S1277" t="n">
        <v>1</v>
      </c>
      <c r="T1277" t="inlineStr">
        <is>
          <t>LOW (40%)</t>
        </is>
      </c>
      <c r="U1277" t="inlineStr">
        <is>
          <t>NONE</t>
        </is>
      </c>
      <c r="V1277" t="inlineStr">
        <is>
          <t>NONE</t>
        </is>
      </c>
      <c r="W1277" t="inlineStr">
        <is>
          <t>NONE</t>
        </is>
      </c>
      <c r="X1277" t="inlineStr">
        <is>
          <t>NONE</t>
        </is>
      </c>
      <c r="Y1277" t="n">
        <v>0</v>
      </c>
      <c r="Z1277" t="inlineStr"/>
      <c r="AA1277" t="inlineStr">
        <is>
          <t>https://www.abuseipdb.com/check/116.118.2.113</t>
        </is>
      </c>
    </row>
    <row r="1278">
      <c r="A1278" t="inlineStr">
        <is>
          <t>CISA_ICS</t>
        </is>
      </c>
      <c r="B1278" t="inlineStr">
        <is>
          <t>CVE-2021-26828</t>
        </is>
      </c>
      <c r="C1278" t="inlineStr">
        <is>
          <t>ICS Advisory: OpenPLC ScadaBR — OpenPLC ScadaBR contains an unrestricted upload of file with dangerous type vulnerability that allow</t>
        </is>
      </c>
      <c r="D1278" t="n">
        <v>7</v>
      </c>
      <c r="E1278" t="inlineStr">
        <is>
          <t>HIGH</t>
        </is>
      </c>
      <c r="F1278" t="n">
        <v>2</v>
      </c>
      <c r="G1278" t="n">
        <v>3</v>
      </c>
      <c r="H1278" t="inlineStr">
        <is>
          <t>HIGH</t>
        </is>
      </c>
      <c r="I1278" t="n">
        <v>13</v>
      </c>
      <c r="J1278" t="inlineStr">
        <is>
          <t>NO</t>
        </is>
      </c>
      <c r="K1278" t="inlineStr">
        <is>
          <t>2025-12-03</t>
        </is>
      </c>
      <c r="L1278" t="inlineStr">
        <is>
          <t>CHECK_VENDOR</t>
        </is>
      </c>
      <c r="M1278" t="inlineStr">
        <is>
          <t>ICS/SCADA/OT</t>
        </is>
      </c>
      <c r="N1278" t="inlineStr">
        <is>
          <t>P3</t>
        </is>
      </c>
      <c r="O1278" t="inlineStr">
        <is>
          <t>ICS advisory - no IP context</t>
        </is>
      </c>
      <c r="P1278" t="n">
        <v>0</v>
      </c>
      <c r="Q1278" t="n">
        <v>0</v>
      </c>
      <c r="R1278" t="inlineStr">
        <is>
          <t>T0812:Default Credentials | T0866:Exploitation of Remote Services</t>
        </is>
      </c>
      <c r="S1278" t="n">
        <v>2</v>
      </c>
      <c r="T1278" t="inlineStr">
        <is>
          <t>CONFIRMED (82%)</t>
        </is>
      </c>
      <c r="U1278" t="inlineStr">
        <is>
          <t>NONE</t>
        </is>
      </c>
      <c r="V1278" t="inlineStr">
        <is>
          <t>NONE</t>
        </is>
      </c>
      <c r="W1278" t="inlineStr">
        <is>
          <t>NONE</t>
        </is>
      </c>
      <c r="X1278" t="inlineStr">
        <is>
          <t>NONE</t>
        </is>
      </c>
      <c r="Y1278" t="n">
        <v>0</v>
      </c>
      <c r="Z1278" t="inlineStr"/>
      <c r="AA1278" t="inlineStr">
        <is>
          <t>https://www.cisa.gov/uscert/ics/advisories/CVE-2021-26828</t>
        </is>
      </c>
    </row>
    <row r="1279">
      <c r="A1279" t="inlineStr">
        <is>
          <t>CISA_ICS</t>
        </is>
      </c>
      <c r="B1279" t="inlineStr">
        <is>
          <t>CVE-2021-26829</t>
        </is>
      </c>
      <c r="C1279" t="inlineStr">
        <is>
          <t>ICS Advisory: OpenPLC ScadaBR — OpenPLC ScadaBR contains a cross-site scripting vulnerability via system_settings.shtm.</t>
        </is>
      </c>
      <c r="D1279" t="n">
        <v>7</v>
      </c>
      <c r="E1279" t="inlineStr">
        <is>
          <t>HIGH</t>
        </is>
      </c>
      <c r="F1279" t="n">
        <v>2</v>
      </c>
      <c r="G1279" t="n">
        <v>3</v>
      </c>
      <c r="H1279" t="inlineStr">
        <is>
          <t>HIGH</t>
        </is>
      </c>
      <c r="I1279" t="n">
        <v>13</v>
      </c>
      <c r="J1279" t="inlineStr">
        <is>
          <t>NO</t>
        </is>
      </c>
      <c r="K1279" t="inlineStr">
        <is>
          <t>2025-11-28</t>
        </is>
      </c>
      <c r="L1279" t="inlineStr">
        <is>
          <t>CHECK_VENDOR</t>
        </is>
      </c>
      <c r="M1279" t="inlineStr">
        <is>
          <t>ICS/SCADA/OT</t>
        </is>
      </c>
      <c r="N1279" t="inlineStr">
        <is>
          <t>P3</t>
        </is>
      </c>
      <c r="O1279" t="inlineStr">
        <is>
          <t>ICS advisory - no IP context</t>
        </is>
      </c>
      <c r="P1279" t="n">
        <v>0</v>
      </c>
      <c r="Q1279" t="n">
        <v>0</v>
      </c>
      <c r="R1279" t="inlineStr">
        <is>
          <t>T0812:Default Credentials | T0866:Exploitation of Remote Services</t>
        </is>
      </c>
      <c r="S1279" t="n">
        <v>2</v>
      </c>
      <c r="T1279" t="inlineStr">
        <is>
          <t>CONFIRMED (82%)</t>
        </is>
      </c>
      <c r="U1279" t="inlineStr">
        <is>
          <t>NONE</t>
        </is>
      </c>
      <c r="V1279" t="inlineStr">
        <is>
          <t>NONE</t>
        </is>
      </c>
      <c r="W1279" t="inlineStr">
        <is>
          <t>NONE</t>
        </is>
      </c>
      <c r="X1279" t="inlineStr">
        <is>
          <t>NONE</t>
        </is>
      </c>
      <c r="Y1279" t="n">
        <v>0</v>
      </c>
      <c r="Z1279" t="inlineStr"/>
      <c r="AA1279" t="inlineStr">
        <is>
          <t>https://www.cisa.gov/uscert/ics/advisories/CVE-2021-26829</t>
        </is>
      </c>
    </row>
    <row r="1280">
      <c r="A1280" t="inlineStr">
        <is>
          <t>CISA_ICS</t>
        </is>
      </c>
      <c r="B1280" t="inlineStr">
        <is>
          <t>CVE-2022-43769</t>
        </is>
      </c>
      <c r="C1280" t="inlineStr">
        <is>
          <t xml:space="preserve">ICS Advisory: Hitachi Vantara Pentaho Business Analytics (BA) Server — Hitachi Vantara Pentaho BA Server contains a special element injection vulnerability that allows an </t>
        </is>
      </c>
      <c r="D1280" t="n">
        <v>7</v>
      </c>
      <c r="E1280" t="inlineStr">
        <is>
          <t>HIGH</t>
        </is>
      </c>
      <c r="F1280" t="n">
        <v>2</v>
      </c>
      <c r="G1280" t="n">
        <v>3</v>
      </c>
      <c r="H1280" t="inlineStr">
        <is>
          <t>HIGH</t>
        </is>
      </c>
      <c r="I1280" t="n">
        <v>13</v>
      </c>
      <c r="J1280" t="inlineStr">
        <is>
          <t>NO</t>
        </is>
      </c>
      <c r="K1280" t="inlineStr">
        <is>
          <t>2025-03-03</t>
        </is>
      </c>
      <c r="L1280" t="inlineStr">
        <is>
          <t>CHECK_VENDOR</t>
        </is>
      </c>
      <c r="M1280" t="inlineStr">
        <is>
          <t>ICS/SCADA/OT</t>
        </is>
      </c>
      <c r="N1280" t="inlineStr">
        <is>
          <t>P3</t>
        </is>
      </c>
      <c r="O1280" t="inlineStr">
        <is>
          <t>ICS advisory - no IP context</t>
        </is>
      </c>
      <c r="P1280" t="n">
        <v>0</v>
      </c>
      <c r="Q1280" t="n">
        <v>0</v>
      </c>
      <c r="R1280" t="inlineStr">
        <is>
          <t>T0812:Default Credentials | T0866:Exploitation of Remote Services</t>
        </is>
      </c>
      <c r="S1280" t="n">
        <v>2</v>
      </c>
      <c r="T1280" t="inlineStr">
        <is>
          <t>CONFIRMED (82%)</t>
        </is>
      </c>
      <c r="U1280" t="inlineStr">
        <is>
          <t>NONE</t>
        </is>
      </c>
      <c r="V1280" t="inlineStr">
        <is>
          <t>NONE</t>
        </is>
      </c>
      <c r="W1280" t="inlineStr">
        <is>
          <t>NONE</t>
        </is>
      </c>
      <c r="X1280" t="inlineStr">
        <is>
          <t>NONE</t>
        </is>
      </c>
      <c r="Y1280" t="n">
        <v>0</v>
      </c>
      <c r="Z1280" t="inlineStr"/>
      <c r="AA1280" t="inlineStr">
        <is>
          <t>https://www.cisa.gov/uscert/ics/advisories/CVE-2022-43769</t>
        </is>
      </c>
    </row>
    <row r="1281">
      <c r="A1281" t="inlineStr">
        <is>
          <t>CISA_ICS</t>
        </is>
      </c>
      <c r="B1281" t="inlineStr">
        <is>
          <t>CVE-2022-43939</t>
        </is>
      </c>
      <c r="C1281" t="inlineStr">
        <is>
          <t>ICS Advisory: Hitachi Vantara Pentaho Business Analytics (BA) Server — Hitachi Vantara Pentaho BA Server contains a use of non-canonical URL paths for authorization decisi</t>
        </is>
      </c>
      <c r="D1281" t="n">
        <v>7</v>
      </c>
      <c r="E1281" t="inlineStr">
        <is>
          <t>HIGH</t>
        </is>
      </c>
      <c r="F1281" t="n">
        <v>2</v>
      </c>
      <c r="G1281" t="n">
        <v>3</v>
      </c>
      <c r="H1281" t="inlineStr">
        <is>
          <t>HIGH</t>
        </is>
      </c>
      <c r="I1281" t="n">
        <v>13</v>
      </c>
      <c r="J1281" t="inlineStr">
        <is>
          <t>NO</t>
        </is>
      </c>
      <c r="K1281" t="inlineStr">
        <is>
          <t>2025-03-03</t>
        </is>
      </c>
      <c r="L1281" t="inlineStr">
        <is>
          <t>CHECK_VENDOR</t>
        </is>
      </c>
      <c r="M1281" t="inlineStr">
        <is>
          <t>ICS/SCADA/OT</t>
        </is>
      </c>
      <c r="N1281" t="inlineStr">
        <is>
          <t>P3</t>
        </is>
      </c>
      <c r="O1281" t="inlineStr">
        <is>
          <t>ICS advisory - no IP context</t>
        </is>
      </c>
      <c r="P1281" t="n">
        <v>0</v>
      </c>
      <c r="Q1281" t="n">
        <v>0</v>
      </c>
      <c r="R1281" t="inlineStr">
        <is>
          <t>T0812:Default Credentials | T0866:Exploitation of Remote Services</t>
        </is>
      </c>
      <c r="S1281" t="n">
        <v>2</v>
      </c>
      <c r="T1281" t="inlineStr">
        <is>
          <t>CONFIRMED (82%)</t>
        </is>
      </c>
      <c r="U1281" t="inlineStr">
        <is>
          <t>NONE</t>
        </is>
      </c>
      <c r="V1281" t="inlineStr">
        <is>
          <t>NONE</t>
        </is>
      </c>
      <c r="W1281" t="inlineStr">
        <is>
          <t>NONE</t>
        </is>
      </c>
      <c r="X1281" t="inlineStr">
        <is>
          <t>NONE</t>
        </is>
      </c>
      <c r="Y1281" t="n">
        <v>0</v>
      </c>
      <c r="Z1281" t="inlineStr"/>
      <c r="AA1281" t="inlineStr">
        <is>
          <t>https://www.cisa.gov/uscert/ics/advisories/CVE-2022-43939</t>
        </is>
      </c>
    </row>
    <row r="1282">
      <c r="A1282" t="inlineStr">
        <is>
          <t>CISA_ICS</t>
        </is>
      </c>
      <c r="B1282" t="inlineStr">
        <is>
          <t>CVE-2024-8956</t>
        </is>
      </c>
      <c r="C1282" t="inlineStr">
        <is>
          <t>ICS Advisory: PTZOptics PT30X-SDI/NDI Cameras — PTZOptics PT30X-SDI/NDI cameras contain an insecure direct object reference (IDOR) vulnerability tha</t>
        </is>
      </c>
      <c r="D1282" t="n">
        <v>7</v>
      </c>
      <c r="E1282" t="inlineStr">
        <is>
          <t>HIGH</t>
        </is>
      </c>
      <c r="F1282" t="n">
        <v>2</v>
      </c>
      <c r="G1282" t="n">
        <v>3</v>
      </c>
      <c r="H1282" t="inlineStr">
        <is>
          <t>HIGH</t>
        </is>
      </c>
      <c r="I1282" t="n">
        <v>13</v>
      </c>
      <c r="J1282" t="inlineStr">
        <is>
          <t>NO</t>
        </is>
      </c>
      <c r="K1282" t="inlineStr">
        <is>
          <t>2024-11-04</t>
        </is>
      </c>
      <c r="L1282" t="inlineStr">
        <is>
          <t>CHECK_VENDOR</t>
        </is>
      </c>
      <c r="M1282" t="inlineStr">
        <is>
          <t>ICS/SCADA/OT</t>
        </is>
      </c>
      <c r="N1282" t="inlineStr">
        <is>
          <t>P3</t>
        </is>
      </c>
      <c r="O1282" t="inlineStr">
        <is>
          <t>ICS advisory - no IP context</t>
        </is>
      </c>
      <c r="P1282" t="n">
        <v>0</v>
      </c>
      <c r="Q1282" t="n">
        <v>0</v>
      </c>
      <c r="R1282" t="inlineStr">
        <is>
          <t>T0812:Default Credentials | T0866:Exploitation of Remote Services</t>
        </is>
      </c>
      <c r="S1282" t="n">
        <v>2</v>
      </c>
      <c r="T1282" t="inlineStr">
        <is>
          <t>CONFIRMED (82%)</t>
        </is>
      </c>
      <c r="U1282" t="inlineStr">
        <is>
          <t>NONE</t>
        </is>
      </c>
      <c r="V1282" t="inlineStr">
        <is>
          <t>NONE</t>
        </is>
      </c>
      <c r="W1282" t="inlineStr">
        <is>
          <t>NONE</t>
        </is>
      </c>
      <c r="X1282" t="inlineStr">
        <is>
          <t>NONE</t>
        </is>
      </c>
      <c r="Y1282" t="n">
        <v>0</v>
      </c>
      <c r="Z1282" t="inlineStr"/>
      <c r="AA1282" t="inlineStr">
        <is>
          <t>https://www.cisa.gov/uscert/ics/advisories/CVE-2024-8956</t>
        </is>
      </c>
    </row>
    <row r="1283">
      <c r="A1283" t="inlineStr">
        <is>
          <t>CISA_ICS</t>
        </is>
      </c>
      <c r="B1283" t="inlineStr">
        <is>
          <t>CVE-2024-8957</t>
        </is>
      </c>
      <c r="C1283" t="inlineStr">
        <is>
          <t xml:space="preserve">ICS Advisory: PTZOptics PT30X-SDI/NDI Cameras — PTZOptics PT30X-SDI/NDI cameras contain an OS command injection vulnerability that allows a remote, </t>
        </is>
      </c>
      <c r="D1283" t="n">
        <v>7</v>
      </c>
      <c r="E1283" t="inlineStr">
        <is>
          <t>HIGH</t>
        </is>
      </c>
      <c r="F1283" t="n">
        <v>2</v>
      </c>
      <c r="G1283" t="n">
        <v>3</v>
      </c>
      <c r="H1283" t="inlineStr">
        <is>
          <t>HIGH</t>
        </is>
      </c>
      <c r="I1283" t="n">
        <v>13</v>
      </c>
      <c r="J1283" t="inlineStr">
        <is>
          <t>NO</t>
        </is>
      </c>
      <c r="K1283" t="inlineStr">
        <is>
          <t>2024-11-04</t>
        </is>
      </c>
      <c r="L1283" t="inlineStr">
        <is>
          <t>CHECK_VENDOR</t>
        </is>
      </c>
      <c r="M1283" t="inlineStr">
        <is>
          <t>ICS/SCADA/OT</t>
        </is>
      </c>
      <c r="N1283" t="inlineStr">
        <is>
          <t>P3</t>
        </is>
      </c>
      <c r="O1283" t="inlineStr">
        <is>
          <t>ICS advisory - no IP context</t>
        </is>
      </c>
      <c r="P1283" t="n">
        <v>0</v>
      </c>
      <c r="Q1283" t="n">
        <v>0</v>
      </c>
      <c r="R1283" t="inlineStr">
        <is>
          <t>T0812:Default Credentials | T0866:Exploitation of Remote Services</t>
        </is>
      </c>
      <c r="S1283" t="n">
        <v>2</v>
      </c>
      <c r="T1283" t="inlineStr">
        <is>
          <t>CONFIRMED (82%)</t>
        </is>
      </c>
      <c r="U1283" t="inlineStr">
        <is>
          <t>NONE</t>
        </is>
      </c>
      <c r="V1283" t="inlineStr">
        <is>
          <t>NONE</t>
        </is>
      </c>
      <c r="W1283" t="inlineStr">
        <is>
          <t>NONE</t>
        </is>
      </c>
      <c r="X1283" t="inlineStr">
        <is>
          <t>NONE</t>
        </is>
      </c>
      <c r="Y1283" t="n">
        <v>0</v>
      </c>
      <c r="Z1283" t="inlineStr"/>
      <c r="AA1283" t="inlineStr">
        <is>
          <t>https://www.cisa.gov/uscert/ics/advisories/CVE-2024-8957</t>
        </is>
      </c>
    </row>
    <row r="1284">
      <c r="A1284" t="inlineStr">
        <is>
          <t>CISA_ICS</t>
        </is>
      </c>
      <c r="B1284" t="inlineStr">
        <is>
          <t>CVE-2021-31196</t>
        </is>
      </c>
      <c r="C1284" t="inlineStr">
        <is>
          <t>ICS Advisory: Microsoft Exchange Server — Microsoft Exchange Server contains an information disclosure vulnerability that allows for remote co</t>
        </is>
      </c>
      <c r="D1284" t="n">
        <v>7</v>
      </c>
      <c r="E1284" t="inlineStr">
        <is>
          <t>HIGH</t>
        </is>
      </c>
      <c r="F1284" t="n">
        <v>2</v>
      </c>
      <c r="G1284" t="n">
        <v>3</v>
      </c>
      <c r="H1284" t="inlineStr">
        <is>
          <t>HIGH</t>
        </is>
      </c>
      <c r="I1284" t="n">
        <v>13</v>
      </c>
      <c r="J1284" t="inlineStr">
        <is>
          <t>NO</t>
        </is>
      </c>
      <c r="K1284" t="inlineStr">
        <is>
          <t>2024-08-21</t>
        </is>
      </c>
      <c r="L1284" t="inlineStr">
        <is>
          <t>CHECK_VENDOR</t>
        </is>
      </c>
      <c r="M1284" t="inlineStr">
        <is>
          <t>ICS/SCADA/OT</t>
        </is>
      </c>
      <c r="N1284" t="inlineStr">
        <is>
          <t>P3</t>
        </is>
      </c>
      <c r="O1284" t="inlineStr">
        <is>
          <t>ICS advisory - no IP context</t>
        </is>
      </c>
      <c r="P1284" t="n">
        <v>0</v>
      </c>
      <c r="Q1284" t="n">
        <v>0</v>
      </c>
      <c r="R1284" t="inlineStr">
        <is>
          <t>T0812:Default Credentials | T0866:Exploitation of Remote Services</t>
        </is>
      </c>
      <c r="S1284" t="n">
        <v>2</v>
      </c>
      <c r="T1284" t="inlineStr">
        <is>
          <t>CONFIRMED (82%)</t>
        </is>
      </c>
      <c r="U1284" t="inlineStr">
        <is>
          <t>NONE</t>
        </is>
      </c>
      <c r="V1284" t="inlineStr">
        <is>
          <t>NONE</t>
        </is>
      </c>
      <c r="W1284" t="inlineStr">
        <is>
          <t>NONE</t>
        </is>
      </c>
      <c r="X1284" t="inlineStr">
        <is>
          <t>NONE</t>
        </is>
      </c>
      <c r="Y1284" t="n">
        <v>0</v>
      </c>
      <c r="Z1284" t="inlineStr"/>
      <c r="AA1284" t="inlineStr">
        <is>
          <t>https://www.cisa.gov/uscert/ics/advisories/CVE-2021-31196</t>
        </is>
      </c>
    </row>
    <row r="1285">
      <c r="A1285" t="inlineStr">
        <is>
          <t>CISA_ICS</t>
        </is>
      </c>
      <c r="B1285" t="inlineStr">
        <is>
          <t>CVE-2019-7256</t>
        </is>
      </c>
      <c r="C1285" t="inlineStr">
        <is>
          <t xml:space="preserve">ICS Advisory: Nice Linear eMerge E3-Series — Nice Linear eMerge E3-Series contains an OS command injection vulnerability that allows an attacker </t>
        </is>
      </c>
      <c r="D1285" t="n">
        <v>7</v>
      </c>
      <c r="E1285" t="inlineStr">
        <is>
          <t>HIGH</t>
        </is>
      </c>
      <c r="F1285" t="n">
        <v>2</v>
      </c>
      <c r="G1285" t="n">
        <v>3</v>
      </c>
      <c r="H1285" t="inlineStr">
        <is>
          <t>HIGH</t>
        </is>
      </c>
      <c r="I1285" t="n">
        <v>13</v>
      </c>
      <c r="J1285" t="inlineStr">
        <is>
          <t>NO</t>
        </is>
      </c>
      <c r="K1285" t="inlineStr">
        <is>
          <t>2024-03-25</t>
        </is>
      </c>
      <c r="L1285" t="inlineStr">
        <is>
          <t>CHECK_VENDOR</t>
        </is>
      </c>
      <c r="M1285" t="inlineStr">
        <is>
          <t>ICS/SCADA/OT</t>
        </is>
      </c>
      <c r="N1285" t="inlineStr">
        <is>
          <t>P3</t>
        </is>
      </c>
      <c r="O1285" t="inlineStr">
        <is>
          <t>ICS advisory - no IP context</t>
        </is>
      </c>
      <c r="P1285" t="n">
        <v>0</v>
      </c>
      <c r="Q1285" t="n">
        <v>0</v>
      </c>
      <c r="R1285" t="inlineStr">
        <is>
          <t>T0812:Default Credentials | T0866:Exploitation of Remote Services</t>
        </is>
      </c>
      <c r="S1285" t="n">
        <v>2</v>
      </c>
      <c r="T1285" t="inlineStr">
        <is>
          <t>CONFIRMED (82%)</t>
        </is>
      </c>
      <c r="U1285" t="inlineStr">
        <is>
          <t>NONE</t>
        </is>
      </c>
      <c r="V1285" t="inlineStr">
        <is>
          <t>NONE</t>
        </is>
      </c>
      <c r="W1285" t="inlineStr">
        <is>
          <t>NONE</t>
        </is>
      </c>
      <c r="X1285" t="inlineStr">
        <is>
          <t>NONE</t>
        </is>
      </c>
      <c r="Y1285" t="n">
        <v>0</v>
      </c>
      <c r="Z1285" t="inlineStr"/>
      <c r="AA1285" t="inlineStr">
        <is>
          <t>https://www.cisa.gov/uscert/ics/advisories/CVE-2019-7256</t>
        </is>
      </c>
    </row>
    <row r="1286">
      <c r="A1286" t="inlineStr">
        <is>
          <t>CISA_ICS</t>
        </is>
      </c>
      <c r="B1286" t="inlineStr">
        <is>
          <t>CVE-2024-21410</t>
        </is>
      </c>
      <c r="C1286" t="inlineStr">
        <is>
          <t>ICS Advisory: Microsoft Exchange Server — Microsoft Exchange Server contains an unspecified vulnerability that allows for privilege escalation</t>
        </is>
      </c>
      <c r="D1286" t="n">
        <v>7</v>
      </c>
      <c r="E1286" t="inlineStr">
        <is>
          <t>HIGH</t>
        </is>
      </c>
      <c r="F1286" t="n">
        <v>2</v>
      </c>
      <c r="G1286" t="n">
        <v>3</v>
      </c>
      <c r="H1286" t="inlineStr">
        <is>
          <t>HIGH</t>
        </is>
      </c>
      <c r="I1286" t="n">
        <v>13</v>
      </c>
      <c r="J1286" t="inlineStr">
        <is>
          <t>NO</t>
        </is>
      </c>
      <c r="K1286" t="inlineStr">
        <is>
          <t>2024-02-15</t>
        </is>
      </c>
      <c r="L1286" t="inlineStr">
        <is>
          <t>CHECK_VENDOR</t>
        </is>
      </c>
      <c r="M1286" t="inlineStr">
        <is>
          <t>ICS/SCADA/OT</t>
        </is>
      </c>
      <c r="N1286" t="inlineStr">
        <is>
          <t>P3</t>
        </is>
      </c>
      <c r="O1286" t="inlineStr">
        <is>
          <t>ICS advisory - no IP context</t>
        </is>
      </c>
      <c r="P1286" t="n">
        <v>0</v>
      </c>
      <c r="Q1286" t="n">
        <v>0</v>
      </c>
      <c r="R1286" t="inlineStr">
        <is>
          <t>T0812:Default Credentials | T0866:Exploitation of Remote Services</t>
        </is>
      </c>
      <c r="S1286" t="n">
        <v>2</v>
      </c>
      <c r="T1286" t="inlineStr">
        <is>
          <t>CONFIRMED (82%)</t>
        </is>
      </c>
      <c r="U1286" t="inlineStr">
        <is>
          <t>NONE</t>
        </is>
      </c>
      <c r="V1286" t="inlineStr">
        <is>
          <t>NONE</t>
        </is>
      </c>
      <c r="W1286" t="inlineStr">
        <is>
          <t>NONE</t>
        </is>
      </c>
      <c r="X1286" t="inlineStr">
        <is>
          <t>NONE</t>
        </is>
      </c>
      <c r="Y1286" t="n">
        <v>0</v>
      </c>
      <c r="Z1286" t="inlineStr"/>
      <c r="AA1286" t="inlineStr">
        <is>
          <t>https://www.cisa.gov/uscert/ics/advisories/CVE-2024-21410</t>
        </is>
      </c>
    </row>
    <row r="1287">
      <c r="A1287" t="inlineStr">
        <is>
          <t>CISA_ICS</t>
        </is>
      </c>
      <c r="B1287" t="inlineStr">
        <is>
          <t>CVE-2023-6448</t>
        </is>
      </c>
      <c r="C1287" t="inlineStr">
        <is>
          <t>ICS Advisory: Unitronics Vision PLC and HMI — Unitronics Vision Series PLCs and HMIs ship with an insecure default password, which if left unchang</t>
        </is>
      </c>
      <c r="D1287" t="n">
        <v>7</v>
      </c>
      <c r="E1287" t="inlineStr">
        <is>
          <t>HIGH</t>
        </is>
      </c>
      <c r="F1287" t="n">
        <v>2</v>
      </c>
      <c r="G1287" t="n">
        <v>3</v>
      </c>
      <c r="H1287" t="inlineStr">
        <is>
          <t>HIGH</t>
        </is>
      </c>
      <c r="I1287" t="n">
        <v>13</v>
      </c>
      <c r="J1287" t="inlineStr">
        <is>
          <t>NO</t>
        </is>
      </c>
      <c r="K1287" t="inlineStr">
        <is>
          <t>2023-12-11</t>
        </is>
      </c>
      <c r="L1287" t="inlineStr">
        <is>
          <t>CHECK_VENDOR</t>
        </is>
      </c>
      <c r="M1287" t="inlineStr">
        <is>
          <t>ICS/SCADA/OT</t>
        </is>
      </c>
      <c r="N1287" t="inlineStr">
        <is>
          <t>P3</t>
        </is>
      </c>
      <c r="O1287" t="inlineStr">
        <is>
          <t>ICS advisory - no IP context</t>
        </is>
      </c>
      <c r="P1287" t="n">
        <v>0</v>
      </c>
      <c r="Q1287" t="n">
        <v>0</v>
      </c>
      <c r="R1287" t="inlineStr">
        <is>
          <t>T0812:Default Credentials | T0866:Exploitation of Remote Services</t>
        </is>
      </c>
      <c r="S1287" t="n">
        <v>2</v>
      </c>
      <c r="T1287" t="inlineStr">
        <is>
          <t>CONFIRMED (82%)</t>
        </is>
      </c>
      <c r="U1287" t="inlineStr">
        <is>
          <t>NONE</t>
        </is>
      </c>
      <c r="V1287" t="inlineStr">
        <is>
          <t>NONE</t>
        </is>
      </c>
      <c r="W1287" t="inlineStr">
        <is>
          <t>NONE</t>
        </is>
      </c>
      <c r="X1287" t="inlineStr">
        <is>
          <t>NONE</t>
        </is>
      </c>
      <c r="Y1287" t="n">
        <v>0</v>
      </c>
      <c r="Z1287" t="inlineStr"/>
      <c r="AA1287" t="inlineStr">
        <is>
          <t>https://www.cisa.gov/uscert/ics/advisories/CVE-2023-6448</t>
        </is>
      </c>
    </row>
    <row r="1288">
      <c r="A1288" t="inlineStr">
        <is>
          <t>CISA_ICS</t>
        </is>
      </c>
      <c r="B1288" t="inlineStr">
        <is>
          <t>CVE-2021-29256</t>
        </is>
      </c>
      <c r="C1288" t="inlineStr">
        <is>
          <t>ICS Advisory: Arm Mali Graphics Processing Unit (GPU) — Arm Mali GPU Kernel Driver contains a use-after-free vulnerability that may allow a non-privileged u</t>
        </is>
      </c>
      <c r="D1288" t="n">
        <v>7</v>
      </c>
      <c r="E1288" t="inlineStr">
        <is>
          <t>HIGH</t>
        </is>
      </c>
      <c r="F1288" t="n">
        <v>2</v>
      </c>
      <c r="G1288" t="n">
        <v>3</v>
      </c>
      <c r="H1288" t="inlineStr">
        <is>
          <t>HIGH</t>
        </is>
      </c>
      <c r="I1288" t="n">
        <v>13</v>
      </c>
      <c r="J1288" t="inlineStr">
        <is>
          <t>NO</t>
        </is>
      </c>
      <c r="K1288" t="inlineStr">
        <is>
          <t>2023-07-07</t>
        </is>
      </c>
      <c r="L1288" t="inlineStr">
        <is>
          <t>CHECK_VENDOR</t>
        </is>
      </c>
      <c r="M1288" t="inlineStr">
        <is>
          <t>ICS/SCADA/OT</t>
        </is>
      </c>
      <c r="N1288" t="inlineStr">
        <is>
          <t>P3</t>
        </is>
      </c>
      <c r="O1288" t="inlineStr">
        <is>
          <t>ICS advisory - no IP context</t>
        </is>
      </c>
      <c r="P1288" t="n">
        <v>0</v>
      </c>
      <c r="Q1288" t="n">
        <v>0</v>
      </c>
      <c r="R1288" t="inlineStr">
        <is>
          <t>T0812:Default Credentials | T0866:Exploitation of Remote Services</t>
        </is>
      </c>
      <c r="S1288" t="n">
        <v>2</v>
      </c>
      <c r="T1288" t="inlineStr">
        <is>
          <t>CONFIRMED (82%)</t>
        </is>
      </c>
      <c r="U1288" t="inlineStr">
        <is>
          <t>NONE</t>
        </is>
      </c>
      <c r="V1288" t="inlineStr">
        <is>
          <t>NONE</t>
        </is>
      </c>
      <c r="W1288" t="inlineStr">
        <is>
          <t>NONE</t>
        </is>
      </c>
      <c r="X1288" t="inlineStr">
        <is>
          <t>NONE</t>
        </is>
      </c>
      <c r="Y1288" t="n">
        <v>0</v>
      </c>
      <c r="Z1288" t="inlineStr"/>
      <c r="AA1288" t="inlineStr">
        <is>
          <t>https://www.cisa.gov/uscert/ics/advisories/CVE-2021-29256</t>
        </is>
      </c>
    </row>
    <row r="1289">
      <c r="A1289" t="inlineStr">
        <is>
          <t>CISA_ICS</t>
        </is>
      </c>
      <c r="B1289" t="inlineStr">
        <is>
          <t>CVE-2023-27992</t>
        </is>
      </c>
      <c r="C1289" t="inlineStr">
        <is>
          <t>ICS Advisory: Zyxel Multiple Network-Attached Storage (NAS) Devices — Multiple Zyxel network-attached storage (NAS) devices contain a pre-authentication command injection</t>
        </is>
      </c>
      <c r="D1289" t="n">
        <v>7</v>
      </c>
      <c r="E1289" t="inlineStr">
        <is>
          <t>HIGH</t>
        </is>
      </c>
      <c r="F1289" t="n">
        <v>2</v>
      </c>
      <c r="G1289" t="n">
        <v>3</v>
      </c>
      <c r="H1289" t="inlineStr">
        <is>
          <t>HIGH</t>
        </is>
      </c>
      <c r="I1289" t="n">
        <v>13</v>
      </c>
      <c r="J1289" t="inlineStr">
        <is>
          <t>NO</t>
        </is>
      </c>
      <c r="K1289" t="inlineStr">
        <is>
          <t>2023-06-23</t>
        </is>
      </c>
      <c r="L1289" t="inlineStr">
        <is>
          <t>CHECK_VENDOR</t>
        </is>
      </c>
      <c r="M1289" t="inlineStr">
        <is>
          <t>ICS/SCADA/OT</t>
        </is>
      </c>
      <c r="N1289" t="inlineStr">
        <is>
          <t>P3</t>
        </is>
      </c>
      <c r="O1289" t="inlineStr">
        <is>
          <t>ICS advisory - no IP context</t>
        </is>
      </c>
      <c r="P1289" t="n">
        <v>0</v>
      </c>
      <c r="Q1289" t="n">
        <v>0</v>
      </c>
      <c r="R1289" t="inlineStr">
        <is>
          <t>T0812:Default Credentials | T0866:Exploitation of Remote Services</t>
        </is>
      </c>
      <c r="S1289" t="n">
        <v>2</v>
      </c>
      <c r="T1289" t="inlineStr">
        <is>
          <t>CONFIRMED (82%)</t>
        </is>
      </c>
      <c r="U1289" t="inlineStr">
        <is>
          <t>NONE</t>
        </is>
      </c>
      <c r="V1289" t="inlineStr">
        <is>
          <t>NONE</t>
        </is>
      </c>
      <c r="W1289" t="inlineStr">
        <is>
          <t>NONE</t>
        </is>
      </c>
      <c r="X1289" t="inlineStr">
        <is>
          <t>NONE</t>
        </is>
      </c>
      <c r="Y1289" t="n">
        <v>0</v>
      </c>
      <c r="Z1289" t="inlineStr"/>
      <c r="AA1289" t="inlineStr">
        <is>
          <t>https://www.cisa.gov/uscert/ics/advisories/CVE-2023-27992</t>
        </is>
      </c>
    </row>
    <row r="1290">
      <c r="A1290" t="inlineStr">
        <is>
          <t>CISA_ICS</t>
        </is>
      </c>
      <c r="B1290" t="inlineStr">
        <is>
          <t>CVE-2023-26083</t>
        </is>
      </c>
      <c r="C1290" t="inlineStr">
        <is>
          <t>ICS Advisory: Arm Mali Graphics Processing Unit (GPU) — Arm Mali GPU Kernel Driver contains an information disclosure vulnerability that allows a non-privil</t>
        </is>
      </c>
      <c r="D1290" t="n">
        <v>7</v>
      </c>
      <c r="E1290" t="inlineStr">
        <is>
          <t>HIGH</t>
        </is>
      </c>
      <c r="F1290" t="n">
        <v>2</v>
      </c>
      <c r="G1290" t="n">
        <v>3</v>
      </c>
      <c r="H1290" t="inlineStr">
        <is>
          <t>HIGH</t>
        </is>
      </c>
      <c r="I1290" t="n">
        <v>13</v>
      </c>
      <c r="J1290" t="inlineStr">
        <is>
          <t>NO</t>
        </is>
      </c>
      <c r="K1290" t="inlineStr">
        <is>
          <t>2023-04-07</t>
        </is>
      </c>
      <c r="L1290" t="inlineStr">
        <is>
          <t>CHECK_VENDOR</t>
        </is>
      </c>
      <c r="M1290" t="inlineStr">
        <is>
          <t>ICS/SCADA/OT</t>
        </is>
      </c>
      <c r="N1290" t="inlineStr">
        <is>
          <t>P3</t>
        </is>
      </c>
      <c r="O1290" t="inlineStr">
        <is>
          <t>ICS advisory - no IP context</t>
        </is>
      </c>
      <c r="P1290" t="n">
        <v>0</v>
      </c>
      <c r="Q1290" t="n">
        <v>0</v>
      </c>
      <c r="R1290" t="inlineStr">
        <is>
          <t>T0812:Default Credentials | T0866:Exploitation of Remote Services</t>
        </is>
      </c>
      <c r="S1290" t="n">
        <v>2</v>
      </c>
      <c r="T1290" t="inlineStr">
        <is>
          <t>CONFIRMED (82%)</t>
        </is>
      </c>
      <c r="U1290" t="inlineStr">
        <is>
          <t>NONE</t>
        </is>
      </c>
      <c r="V1290" t="inlineStr">
        <is>
          <t>NONE</t>
        </is>
      </c>
      <c r="W1290" t="inlineStr">
        <is>
          <t>NONE</t>
        </is>
      </c>
      <c r="X1290" t="inlineStr">
        <is>
          <t>NONE</t>
        </is>
      </c>
      <c r="Y1290" t="n">
        <v>0</v>
      </c>
      <c r="Z1290" t="inlineStr"/>
      <c r="AA1290" t="inlineStr">
        <is>
          <t>https://www.cisa.gov/uscert/ics/advisories/CVE-2023-26083</t>
        </is>
      </c>
    </row>
    <row r="1291">
      <c r="A1291" t="inlineStr">
        <is>
          <t>CISA_ICS</t>
        </is>
      </c>
      <c r="B1291" t="inlineStr">
        <is>
          <t>CVE-2022-38181</t>
        </is>
      </c>
      <c r="C1291" t="inlineStr">
        <is>
          <t>ICS Advisory: Arm Mali Graphics Processing Unit (GPU) — Arm Mali GPU Kernel Driver contains a use-after-free vulnerability that may allow a non-privileged u</t>
        </is>
      </c>
      <c r="D1291" t="n">
        <v>7</v>
      </c>
      <c r="E1291" t="inlineStr">
        <is>
          <t>HIGH</t>
        </is>
      </c>
      <c r="F1291" t="n">
        <v>2</v>
      </c>
      <c r="G1291" t="n">
        <v>3</v>
      </c>
      <c r="H1291" t="inlineStr">
        <is>
          <t>HIGH</t>
        </is>
      </c>
      <c r="I1291" t="n">
        <v>13</v>
      </c>
      <c r="J1291" t="inlineStr">
        <is>
          <t>NO</t>
        </is>
      </c>
      <c r="K1291" t="inlineStr">
        <is>
          <t>2023-03-30</t>
        </is>
      </c>
      <c r="L1291" t="inlineStr">
        <is>
          <t>CHECK_VENDOR</t>
        </is>
      </c>
      <c r="M1291" t="inlineStr">
        <is>
          <t>ICS/SCADA/OT</t>
        </is>
      </c>
      <c r="N1291" t="inlineStr">
        <is>
          <t>P3</t>
        </is>
      </c>
      <c r="O1291" t="inlineStr">
        <is>
          <t>ICS advisory - no IP context</t>
        </is>
      </c>
      <c r="P1291" t="n">
        <v>0</v>
      </c>
      <c r="Q1291" t="n">
        <v>0</v>
      </c>
      <c r="R1291" t="inlineStr">
        <is>
          <t>T0812:Default Credentials | T0866:Exploitation of Remote Services</t>
        </is>
      </c>
      <c r="S1291" t="n">
        <v>2</v>
      </c>
      <c r="T1291" t="inlineStr">
        <is>
          <t>CONFIRMED (82%)</t>
        </is>
      </c>
      <c r="U1291" t="inlineStr">
        <is>
          <t>NONE</t>
        </is>
      </c>
      <c r="V1291" t="inlineStr">
        <is>
          <t>NONE</t>
        </is>
      </c>
      <c r="W1291" t="inlineStr">
        <is>
          <t>NONE</t>
        </is>
      </c>
      <c r="X1291" t="inlineStr">
        <is>
          <t>NONE</t>
        </is>
      </c>
      <c r="Y1291" t="n">
        <v>0</v>
      </c>
      <c r="Z1291" t="inlineStr"/>
      <c r="AA1291" t="inlineStr">
        <is>
          <t>https://www.cisa.gov/uscert/ics/advisories/CVE-2022-38181</t>
        </is>
      </c>
    </row>
    <row r="1292">
      <c r="A1292" t="inlineStr">
        <is>
          <t>CISA_ICS</t>
        </is>
      </c>
      <c r="B1292" t="inlineStr">
        <is>
          <t>CVE-2022-22706</t>
        </is>
      </c>
      <c r="C1292" t="inlineStr">
        <is>
          <t>ICS Advisory: Arm Mali Graphics Processing Unit (GPU) — Arm Mali GPU Kernel Driver contains an unspecified vulnerability that allows a non-privileged user t</t>
        </is>
      </c>
      <c r="D1292" t="n">
        <v>7</v>
      </c>
      <c r="E1292" t="inlineStr">
        <is>
          <t>HIGH</t>
        </is>
      </c>
      <c r="F1292" t="n">
        <v>2</v>
      </c>
      <c r="G1292" t="n">
        <v>3</v>
      </c>
      <c r="H1292" t="inlineStr">
        <is>
          <t>HIGH</t>
        </is>
      </c>
      <c r="I1292" t="n">
        <v>13</v>
      </c>
      <c r="J1292" t="inlineStr">
        <is>
          <t>NO</t>
        </is>
      </c>
      <c r="K1292" t="inlineStr">
        <is>
          <t>2023-03-30</t>
        </is>
      </c>
      <c r="L1292" t="inlineStr">
        <is>
          <t>CHECK_VENDOR</t>
        </is>
      </c>
      <c r="M1292" t="inlineStr">
        <is>
          <t>ICS/SCADA/OT</t>
        </is>
      </c>
      <c r="N1292" t="inlineStr">
        <is>
          <t>P3</t>
        </is>
      </c>
      <c r="O1292" t="inlineStr">
        <is>
          <t>ICS advisory - no IP context</t>
        </is>
      </c>
      <c r="P1292" t="n">
        <v>0</v>
      </c>
      <c r="Q1292" t="n">
        <v>0</v>
      </c>
      <c r="R1292" t="inlineStr">
        <is>
          <t>T0812:Default Credentials | T0866:Exploitation of Remote Services</t>
        </is>
      </c>
      <c r="S1292" t="n">
        <v>2</v>
      </c>
      <c r="T1292" t="inlineStr">
        <is>
          <t>CONFIRMED (82%)</t>
        </is>
      </c>
      <c r="U1292" t="inlineStr">
        <is>
          <t>NONE</t>
        </is>
      </c>
      <c r="V1292" t="inlineStr">
        <is>
          <t>NONE</t>
        </is>
      </c>
      <c r="W1292" t="inlineStr">
        <is>
          <t>NONE</t>
        </is>
      </c>
      <c r="X1292" t="inlineStr">
        <is>
          <t>NONE</t>
        </is>
      </c>
      <c r="Y1292" t="n">
        <v>0</v>
      </c>
      <c r="Z1292" t="inlineStr"/>
      <c r="AA1292" t="inlineStr">
        <is>
          <t>https://www.cisa.gov/uscert/ics/advisories/CVE-2022-22706</t>
        </is>
      </c>
    </row>
    <row r="1293">
      <c r="A1293" t="inlineStr">
        <is>
          <t>FEODO_C2</t>
        </is>
      </c>
      <c r="B1293" t="inlineStr">
        <is>
          <t>dd4f0099a454</t>
        </is>
      </c>
      <c r="C1293" t="inlineStr">
        <is>
          <t>Botnet C2 [Emotet]: 162.243.103.246:8080 | Country: US | Last online: 2026-02-06 | Also in: FEODO</t>
        </is>
      </c>
      <c r="D1293" t="n">
        <v>8</v>
      </c>
      <c r="E1293" t="inlineStr">
        <is>
          <t>HIGH</t>
        </is>
      </c>
      <c r="F1293" t="n">
        <v>3</v>
      </c>
      <c r="G1293" t="n">
        <v>3</v>
      </c>
      <c r="H1293" t="inlineStr">
        <is>
          <t>CRITICAL</t>
        </is>
      </c>
      <c r="I1293" t="n">
        <v>17</v>
      </c>
      <c r="J1293" t="inlineStr">
        <is>
          <t>NO</t>
        </is>
      </c>
      <c r="K1293" t="inlineStr">
        <is>
          <t>2026-02-06</t>
        </is>
      </c>
      <c r="L1293" t="inlineStr">
        <is>
          <t>Block C2 immediately</t>
        </is>
      </c>
      <c r="M1293" t="inlineStr">
        <is>
          <t>Network/Endpoints</t>
        </is>
      </c>
      <c r="N1293" t="inlineStr">
        <is>
          <t>P1</t>
        </is>
      </c>
      <c r="O1293" t="inlineStr">
        <is>
          <t>🖥️ HOSTING/DC: Digital Ocean | 🌍 United States | Secaucus | 🏢 Digital Ocean | ASN: AS14061 DigitalOcean, LLC | 🖥️ Hosting/DC</t>
        </is>
      </c>
      <c r="P1293" t="n">
        <v>0</v>
      </c>
      <c r="Q1293" t="n">
        <v>0</v>
      </c>
      <c r="R1293" t="inlineStr">
        <is>
          <t>T1071:Application Layer Protocol | T1041:Exfiltration Over C2 Channel | T1486:Data Encrypted for Impact</t>
        </is>
      </c>
      <c r="S1293" t="n">
        <v>1</v>
      </c>
      <c r="T1293" t="inlineStr">
        <is>
          <t>HIGH (70%)</t>
        </is>
      </c>
      <c r="U1293" t="inlineStr">
        <is>
          <t>NONE</t>
        </is>
      </c>
      <c r="V1293" t="inlineStr">
        <is>
          <t>NONE</t>
        </is>
      </c>
      <c r="W1293" t="inlineStr">
        <is>
          <t>NONE</t>
        </is>
      </c>
      <c r="X1293" t="inlineStr">
        <is>
          <t>NONE</t>
        </is>
      </c>
      <c r="Y1293" t="n">
        <v>0</v>
      </c>
      <c r="Z1293" t="inlineStr"/>
      <c r="AA1293" t="inlineStr">
        <is>
          <t>https://feodotracker.abuse.ch/</t>
        </is>
      </c>
    </row>
    <row r="1294">
      <c r="A1294" t="inlineStr">
        <is>
          <t>FEODO_C2</t>
        </is>
      </c>
      <c r="B1294" t="inlineStr">
        <is>
          <t>5c72177d8436</t>
        </is>
      </c>
      <c r="C1294" t="inlineStr">
        <is>
          <t>Botnet C2 [QakBot]: 34.204.119.63:443 | Country: US | Last online: 2026-02-26 | Also in: FEODO</t>
        </is>
      </c>
      <c r="D1294" t="n">
        <v>8</v>
      </c>
      <c r="E1294" t="inlineStr">
        <is>
          <t>HIGH</t>
        </is>
      </c>
      <c r="F1294" t="n">
        <v>3</v>
      </c>
      <c r="G1294" t="n">
        <v>3</v>
      </c>
      <c r="H1294" t="inlineStr">
        <is>
          <t>CRITICAL</t>
        </is>
      </c>
      <c r="I1294" t="n">
        <v>17</v>
      </c>
      <c r="J1294" t="inlineStr">
        <is>
          <t>NO</t>
        </is>
      </c>
      <c r="K1294" t="inlineStr">
        <is>
          <t>2026-02-26</t>
        </is>
      </c>
      <c r="L1294" t="inlineStr">
        <is>
          <t>Block C2 immediately</t>
        </is>
      </c>
      <c r="M1294" t="inlineStr">
        <is>
          <t>Network/Endpoints</t>
        </is>
      </c>
      <c r="N1294" t="inlineStr">
        <is>
          <t>P1</t>
        </is>
      </c>
      <c r="O1294" t="inlineStr">
        <is>
          <t>🖥️ HOSTING/DC: AWS EC2 (us-east-1) | 🌍 United States | Ashburn | 🏢 AWS EC2 (us-east-1) | ASN: AS14618 Amazon.com, Inc. | 🖥️ Hosting/DC</t>
        </is>
      </c>
      <c r="P1294" t="n">
        <v>0</v>
      </c>
      <c r="Q1294" t="n">
        <v>0</v>
      </c>
      <c r="R1294" t="inlineStr">
        <is>
          <t>T1071:Application Layer Protocol | T1041:Exfiltration Over C2 Channel | T1486:Data Encrypted for Impact</t>
        </is>
      </c>
      <c r="S1294" t="n">
        <v>1</v>
      </c>
      <c r="T1294" t="inlineStr">
        <is>
          <t>HIGH (70%)</t>
        </is>
      </c>
      <c r="U1294" t="inlineStr">
        <is>
          <t>NONE</t>
        </is>
      </c>
      <c r="V1294" t="inlineStr">
        <is>
          <t>NONE</t>
        </is>
      </c>
      <c r="W1294" t="inlineStr">
        <is>
          <t>NONE</t>
        </is>
      </c>
      <c r="X1294" t="inlineStr">
        <is>
          <t>NONE</t>
        </is>
      </c>
      <c r="Y1294" t="n">
        <v>0</v>
      </c>
      <c r="Z1294" t="inlineStr"/>
      <c r="AA1294" t="inlineStr">
        <is>
          <t>https://feodotracker.abuse.ch/</t>
        </is>
      </c>
    </row>
    <row r="1295">
      <c r="A1295" t="inlineStr">
        <is>
          <t>FEODO_C2</t>
        </is>
      </c>
      <c r="B1295" t="inlineStr">
        <is>
          <t>3e7bffdfcbae</t>
        </is>
      </c>
      <c r="C1295" t="inlineStr">
        <is>
          <t>Botnet C2 [QakBot]: 178.62.3.223:443 | Country: GB | Last online: 2026-02-18 | Also in: FEODO</t>
        </is>
      </c>
      <c r="D1295" t="n">
        <v>8</v>
      </c>
      <c r="E1295" t="inlineStr">
        <is>
          <t>HIGH</t>
        </is>
      </c>
      <c r="F1295" t="n">
        <v>3</v>
      </c>
      <c r="G1295" t="n">
        <v>3</v>
      </c>
      <c r="H1295" t="inlineStr">
        <is>
          <t>CRITICAL</t>
        </is>
      </c>
      <c r="I1295" t="n">
        <v>17</v>
      </c>
      <c r="J1295" t="inlineStr">
        <is>
          <t>NO</t>
        </is>
      </c>
      <c r="K1295" t="inlineStr">
        <is>
          <t>2026-02-18</t>
        </is>
      </c>
      <c r="L1295" t="inlineStr">
        <is>
          <t>Block C2 immediately</t>
        </is>
      </c>
      <c r="M1295" t="inlineStr">
        <is>
          <t>Network/Endpoints</t>
        </is>
      </c>
      <c r="N1295" t="inlineStr">
        <is>
          <t>P1</t>
        </is>
      </c>
      <c r="O1295" t="inlineStr">
        <is>
          <t>Skipped (20/run cap)</t>
        </is>
      </c>
      <c r="P1295" t="n">
        <v>0</v>
      </c>
      <c r="Q1295" t="n">
        <v>0</v>
      </c>
      <c r="R1295" t="inlineStr">
        <is>
          <t>T1071:Application Layer Protocol | T1041:Exfiltration Over C2 Channel | T1486:Data Encrypted for Impact</t>
        </is>
      </c>
      <c r="S1295" t="n">
        <v>1</v>
      </c>
      <c r="T1295" t="inlineStr">
        <is>
          <t>HIGH (70%)</t>
        </is>
      </c>
      <c r="U1295" t="inlineStr">
        <is>
          <t>NONE</t>
        </is>
      </c>
      <c r="V1295" t="inlineStr">
        <is>
          <t>NONE</t>
        </is>
      </c>
      <c r="W1295" t="inlineStr">
        <is>
          <t>NONE</t>
        </is>
      </c>
      <c r="X1295" t="inlineStr">
        <is>
          <t>NONE</t>
        </is>
      </c>
      <c r="Y1295" t="n">
        <v>0</v>
      </c>
      <c r="Z1295" t="inlineStr"/>
      <c r="AA1295" t="inlineStr">
        <is>
          <t>https://feodotracker.abuse.ch/</t>
        </is>
      </c>
    </row>
    <row r="1296">
      <c r="A1296" t="inlineStr">
        <is>
          <t>FIREHOL_THREAT</t>
        </is>
      </c>
      <c r="B1296" t="inlineStr">
        <is>
          <t>41744fea4be9</t>
        </is>
      </c>
      <c r="C1296" t="inlineStr">
        <is>
          <t>DROP List CIDR: 0.0.0.0/8 | FireHOL L1 threat IP/CIDR | ASN: FireHOL-L1</t>
        </is>
      </c>
      <c r="D1296" t="n">
        <v>6</v>
      </c>
      <c r="E1296" t="inlineStr">
        <is>
          <t>MEDIUM</t>
        </is>
      </c>
      <c r="F1296" t="n">
        <v>2</v>
      </c>
      <c r="G1296" t="n">
        <v>2</v>
      </c>
      <c r="H1296" t="inlineStr">
        <is>
          <t>MEDIUM</t>
        </is>
      </c>
      <c r="I1296" t="n">
        <v>10</v>
      </c>
      <c r="J1296" t="inlineStr">
        <is>
          <t>NO</t>
        </is>
      </c>
      <c r="K1296" t="inlineStr">
        <is>
          <t>2026-02-27 20:47</t>
        </is>
      </c>
      <c r="L1296" t="inlineStr">
        <is>
          <t>Block CIDR</t>
        </is>
      </c>
      <c r="M1296" t="inlineStr">
        <is>
          <t>Firewall/Email</t>
        </is>
      </c>
      <c r="N1296" t="inlineStr">
        <is>
          <t>P4</t>
        </is>
      </c>
      <c r="O1296" t="inlineStr">
        <is>
          <t>Spamhaus - CIDR range</t>
        </is>
      </c>
      <c r="P1296" t="n">
        <v>0</v>
      </c>
      <c r="Q1296" t="n">
        <v>0</v>
      </c>
      <c r="R1296" t="inlineStr">
        <is>
          <t>T1566:Phishing | T1078:Valid Accounts</t>
        </is>
      </c>
      <c r="S1296" t="n">
        <v>1</v>
      </c>
      <c r="T1296" t="inlineStr">
        <is>
          <t>LOW (40%)</t>
        </is>
      </c>
      <c r="U1296" t="inlineStr">
        <is>
          <t>NONE</t>
        </is>
      </c>
      <c r="V1296" t="inlineStr">
        <is>
          <t>NONE</t>
        </is>
      </c>
      <c r="W1296" t="inlineStr">
        <is>
          <t>NONE</t>
        </is>
      </c>
      <c r="X1296" t="inlineStr">
        <is>
          <t>NONE</t>
        </is>
      </c>
      <c r="Y1296" t="n">
        <v>0</v>
      </c>
      <c r="Z1296" t="inlineStr"/>
      <c r="AA1296" t="inlineStr">
        <is>
          <t>https://www.spamhaus.org/drop/</t>
        </is>
      </c>
    </row>
    <row r="1297">
      <c r="A1297" t="inlineStr">
        <is>
          <t>FIREHOL_THREAT</t>
        </is>
      </c>
      <c r="B1297" t="inlineStr">
        <is>
          <t>16557aba7819</t>
        </is>
      </c>
      <c r="C1297" t="inlineStr">
        <is>
          <t>DROP List CIDR: 1.10.16.0/20 | FireHOL L1 threat IP/CIDR | ASN: FireHOL-L1</t>
        </is>
      </c>
      <c r="D1297" t="n">
        <v>6</v>
      </c>
      <c r="E1297" t="inlineStr">
        <is>
          <t>MEDIUM</t>
        </is>
      </c>
      <c r="F1297" t="n">
        <v>2</v>
      </c>
      <c r="G1297" t="n">
        <v>2</v>
      </c>
      <c r="H1297" t="inlineStr">
        <is>
          <t>MEDIUM</t>
        </is>
      </c>
      <c r="I1297" t="n">
        <v>10</v>
      </c>
      <c r="J1297" t="inlineStr">
        <is>
          <t>NO</t>
        </is>
      </c>
      <c r="K1297" t="inlineStr">
        <is>
          <t>2026-02-27 20:47</t>
        </is>
      </c>
      <c r="L1297" t="inlineStr">
        <is>
          <t>Block CIDR</t>
        </is>
      </c>
      <c r="M1297" t="inlineStr">
        <is>
          <t>Firewall/Email</t>
        </is>
      </c>
      <c r="N1297" t="inlineStr">
        <is>
          <t>P4</t>
        </is>
      </c>
      <c r="O1297" t="inlineStr">
        <is>
          <t>Spamhaus - CIDR range</t>
        </is>
      </c>
      <c r="P1297" t="n">
        <v>0</v>
      </c>
      <c r="Q1297" t="n">
        <v>0</v>
      </c>
      <c r="R1297" t="inlineStr">
        <is>
          <t>T1566:Phishing | T1078:Valid Accounts</t>
        </is>
      </c>
      <c r="S1297" t="n">
        <v>1</v>
      </c>
      <c r="T1297" t="inlineStr">
        <is>
          <t>LOW (40%)</t>
        </is>
      </c>
      <c r="U1297" t="inlineStr">
        <is>
          <t>NONE</t>
        </is>
      </c>
      <c r="V1297" t="inlineStr">
        <is>
          <t>NONE</t>
        </is>
      </c>
      <c r="W1297" t="inlineStr">
        <is>
          <t>NONE</t>
        </is>
      </c>
      <c r="X1297" t="inlineStr">
        <is>
          <t>NONE</t>
        </is>
      </c>
      <c r="Y1297" t="n">
        <v>0</v>
      </c>
      <c r="Z1297" t="inlineStr"/>
      <c r="AA1297" t="inlineStr">
        <is>
          <t>https://www.spamhaus.org/drop/</t>
        </is>
      </c>
    </row>
    <row r="1298">
      <c r="A1298" t="inlineStr">
        <is>
          <t>FIREHOL_THREAT</t>
        </is>
      </c>
      <c r="B1298" t="inlineStr">
        <is>
          <t>036d6cf17ed5</t>
        </is>
      </c>
      <c r="C1298" t="inlineStr">
        <is>
          <t>DROP List CIDR: 1.19.0.0/16 | FireHOL L1 threat IP/CIDR | ASN: FireHOL-L1</t>
        </is>
      </c>
      <c r="D1298" t="n">
        <v>6</v>
      </c>
      <c r="E1298" t="inlineStr">
        <is>
          <t>MEDIUM</t>
        </is>
      </c>
      <c r="F1298" t="n">
        <v>2</v>
      </c>
      <c r="G1298" t="n">
        <v>2</v>
      </c>
      <c r="H1298" t="inlineStr">
        <is>
          <t>MEDIUM</t>
        </is>
      </c>
      <c r="I1298" t="n">
        <v>10</v>
      </c>
      <c r="J1298" t="inlineStr">
        <is>
          <t>NO</t>
        </is>
      </c>
      <c r="K1298" t="inlineStr">
        <is>
          <t>2026-02-27 20:47</t>
        </is>
      </c>
      <c r="L1298" t="inlineStr">
        <is>
          <t>Block CIDR</t>
        </is>
      </c>
      <c r="M1298" t="inlineStr">
        <is>
          <t>Firewall/Email</t>
        </is>
      </c>
      <c r="N1298" t="inlineStr">
        <is>
          <t>P4</t>
        </is>
      </c>
      <c r="O1298" t="inlineStr">
        <is>
          <t>Spamhaus - CIDR range</t>
        </is>
      </c>
      <c r="P1298" t="n">
        <v>0</v>
      </c>
      <c r="Q1298" t="n">
        <v>0</v>
      </c>
      <c r="R1298" t="inlineStr">
        <is>
          <t>T1566:Phishing | T1078:Valid Accounts</t>
        </is>
      </c>
      <c r="S1298" t="n">
        <v>1</v>
      </c>
      <c r="T1298" t="inlineStr">
        <is>
          <t>LOW (40%)</t>
        </is>
      </c>
      <c r="U1298" t="inlineStr">
        <is>
          <t>NONE</t>
        </is>
      </c>
      <c r="V1298" t="inlineStr">
        <is>
          <t>NONE</t>
        </is>
      </c>
      <c r="W1298" t="inlineStr">
        <is>
          <t>NONE</t>
        </is>
      </c>
      <c r="X1298" t="inlineStr">
        <is>
          <t>NONE</t>
        </is>
      </c>
      <c r="Y1298" t="n">
        <v>0</v>
      </c>
      <c r="Z1298" t="inlineStr"/>
      <c r="AA1298" t="inlineStr">
        <is>
          <t>https://www.spamhaus.org/drop/</t>
        </is>
      </c>
    </row>
    <row r="1299">
      <c r="A1299" t="inlineStr">
        <is>
          <t>FIREHOL_THREAT</t>
        </is>
      </c>
      <c r="B1299" t="inlineStr">
        <is>
          <t>087f73381bbd</t>
        </is>
      </c>
      <c r="C1299" t="inlineStr">
        <is>
          <t>DROP List CIDR: 1.32.128.0/18 | FireHOL L1 threat IP/CIDR | ASN: FireHOL-L1</t>
        </is>
      </c>
      <c r="D1299" t="n">
        <v>6</v>
      </c>
      <c r="E1299" t="inlineStr">
        <is>
          <t>MEDIUM</t>
        </is>
      </c>
      <c r="F1299" t="n">
        <v>2</v>
      </c>
      <c r="G1299" t="n">
        <v>2</v>
      </c>
      <c r="H1299" t="inlineStr">
        <is>
          <t>MEDIUM</t>
        </is>
      </c>
      <c r="I1299" t="n">
        <v>10</v>
      </c>
      <c r="J1299" t="inlineStr">
        <is>
          <t>NO</t>
        </is>
      </c>
      <c r="K1299" t="inlineStr">
        <is>
          <t>2026-02-27 20:47</t>
        </is>
      </c>
      <c r="L1299" t="inlineStr">
        <is>
          <t>Block CIDR</t>
        </is>
      </c>
      <c r="M1299" t="inlineStr">
        <is>
          <t>Firewall/Email</t>
        </is>
      </c>
      <c r="N1299" t="inlineStr">
        <is>
          <t>P4</t>
        </is>
      </c>
      <c r="O1299" t="inlineStr">
        <is>
          <t>Spamhaus - CIDR range</t>
        </is>
      </c>
      <c r="P1299" t="n">
        <v>0</v>
      </c>
      <c r="Q1299" t="n">
        <v>0</v>
      </c>
      <c r="R1299" t="inlineStr">
        <is>
          <t>T1566:Phishing | T1078:Valid Accounts</t>
        </is>
      </c>
      <c r="S1299" t="n">
        <v>1</v>
      </c>
      <c r="T1299" t="inlineStr">
        <is>
          <t>LOW (40%)</t>
        </is>
      </c>
      <c r="U1299" t="inlineStr">
        <is>
          <t>NONE</t>
        </is>
      </c>
      <c r="V1299" t="inlineStr">
        <is>
          <t>NONE</t>
        </is>
      </c>
      <c r="W1299" t="inlineStr">
        <is>
          <t>NONE</t>
        </is>
      </c>
      <c r="X1299" t="inlineStr">
        <is>
          <t>NONE</t>
        </is>
      </c>
      <c r="Y1299" t="n">
        <v>0</v>
      </c>
      <c r="Z1299" t="inlineStr"/>
      <c r="AA1299" t="inlineStr">
        <is>
          <t>https://www.spamhaus.org/drop/</t>
        </is>
      </c>
    </row>
    <row r="1300">
      <c r="A1300" t="inlineStr">
        <is>
          <t>FIREHOL_THREAT</t>
        </is>
      </c>
      <c r="B1300" t="inlineStr">
        <is>
          <t>452c623d084c</t>
        </is>
      </c>
      <c r="C1300" t="inlineStr">
        <is>
          <t>DROP List CIDR: 2.56.192.0/22 | FireHOL L1 threat IP/CIDR | ASN: FireHOL-L1</t>
        </is>
      </c>
      <c r="D1300" t="n">
        <v>6</v>
      </c>
      <c r="E1300" t="inlineStr">
        <is>
          <t>MEDIUM</t>
        </is>
      </c>
      <c r="F1300" t="n">
        <v>2</v>
      </c>
      <c r="G1300" t="n">
        <v>2</v>
      </c>
      <c r="H1300" t="inlineStr">
        <is>
          <t>MEDIUM</t>
        </is>
      </c>
      <c r="I1300" t="n">
        <v>10</v>
      </c>
      <c r="J1300" t="inlineStr">
        <is>
          <t>NO</t>
        </is>
      </c>
      <c r="K1300" t="inlineStr">
        <is>
          <t>2026-02-27 20:47</t>
        </is>
      </c>
      <c r="L1300" t="inlineStr">
        <is>
          <t>Block CIDR</t>
        </is>
      </c>
      <c r="M1300" t="inlineStr">
        <is>
          <t>Firewall/Email</t>
        </is>
      </c>
      <c r="N1300" t="inlineStr">
        <is>
          <t>P4</t>
        </is>
      </c>
      <c r="O1300" t="inlineStr">
        <is>
          <t>Spamhaus - CIDR range</t>
        </is>
      </c>
      <c r="P1300" t="n">
        <v>0</v>
      </c>
      <c r="Q1300" t="n">
        <v>0</v>
      </c>
      <c r="R1300" t="inlineStr">
        <is>
          <t>T1566:Phishing | T1078:Valid Accounts</t>
        </is>
      </c>
      <c r="S1300" t="n">
        <v>1</v>
      </c>
      <c r="T1300" t="inlineStr">
        <is>
          <t>LOW (40%)</t>
        </is>
      </c>
      <c r="U1300" t="inlineStr">
        <is>
          <t>NONE</t>
        </is>
      </c>
      <c r="V1300" t="inlineStr">
        <is>
          <t>NONE</t>
        </is>
      </c>
      <c r="W1300" t="inlineStr">
        <is>
          <t>NONE</t>
        </is>
      </c>
      <c r="X1300" t="inlineStr">
        <is>
          <t>NONE</t>
        </is>
      </c>
      <c r="Y1300" t="n">
        <v>0</v>
      </c>
      <c r="Z1300" t="inlineStr"/>
      <c r="AA1300" t="inlineStr">
        <is>
          <t>https://www.spamhaus.org/drop/</t>
        </is>
      </c>
    </row>
    <row r="1301">
      <c r="A1301" t="inlineStr">
        <is>
          <t>FIREHOL_THREAT</t>
        </is>
      </c>
      <c r="B1301" t="inlineStr">
        <is>
          <t>7ceaa959d06d</t>
        </is>
      </c>
      <c r="C1301" t="inlineStr">
        <is>
          <t>DROP List CIDR: 2.57.122.0/24 | FireHOL L1 threat IP/CIDR | ASN: FireHOL-L1</t>
        </is>
      </c>
      <c r="D1301" t="n">
        <v>6</v>
      </c>
      <c r="E1301" t="inlineStr">
        <is>
          <t>MEDIUM</t>
        </is>
      </c>
      <c r="F1301" t="n">
        <v>2</v>
      </c>
      <c r="G1301" t="n">
        <v>2</v>
      </c>
      <c r="H1301" t="inlineStr">
        <is>
          <t>MEDIUM</t>
        </is>
      </c>
      <c r="I1301" t="n">
        <v>10</v>
      </c>
      <c r="J1301" t="inlineStr">
        <is>
          <t>NO</t>
        </is>
      </c>
      <c r="K1301" t="inlineStr">
        <is>
          <t>2026-02-27 20:47</t>
        </is>
      </c>
      <c r="L1301" t="inlineStr">
        <is>
          <t>Block CIDR</t>
        </is>
      </c>
      <c r="M1301" t="inlineStr">
        <is>
          <t>Firewall/Email</t>
        </is>
      </c>
      <c r="N1301" t="inlineStr">
        <is>
          <t>P4</t>
        </is>
      </c>
      <c r="O1301" t="inlineStr">
        <is>
          <t>Spamhaus - CIDR range</t>
        </is>
      </c>
      <c r="P1301" t="n">
        <v>0</v>
      </c>
      <c r="Q1301" t="n">
        <v>0</v>
      </c>
      <c r="R1301" t="inlineStr">
        <is>
          <t>T1566:Phishing | T1078:Valid Accounts</t>
        </is>
      </c>
      <c r="S1301" t="n">
        <v>1</v>
      </c>
      <c r="T1301" t="inlineStr">
        <is>
          <t>LOW (40%)</t>
        </is>
      </c>
      <c r="U1301" t="inlineStr">
        <is>
          <t>NONE</t>
        </is>
      </c>
      <c r="V1301" t="inlineStr">
        <is>
          <t>NONE</t>
        </is>
      </c>
      <c r="W1301" t="inlineStr">
        <is>
          <t>NONE</t>
        </is>
      </c>
      <c r="X1301" t="inlineStr">
        <is>
          <t>NONE</t>
        </is>
      </c>
      <c r="Y1301" t="n">
        <v>0</v>
      </c>
      <c r="Z1301" t="inlineStr"/>
      <c r="AA1301" t="inlineStr">
        <is>
          <t>https://www.spamhaus.org/drop/</t>
        </is>
      </c>
    </row>
    <row r="1302">
      <c r="A1302" t="inlineStr">
        <is>
          <t>FIREHOL_THREAT</t>
        </is>
      </c>
      <c r="B1302" t="inlineStr">
        <is>
          <t>b7c5eff6534b</t>
        </is>
      </c>
      <c r="C1302" t="inlineStr">
        <is>
          <t>DROP List CIDR: 2.57.149.0/24 | FireHOL L1 threat IP/CIDR | ASN: FireHOL-L1</t>
        </is>
      </c>
      <c r="D1302" t="n">
        <v>6</v>
      </c>
      <c r="E1302" t="inlineStr">
        <is>
          <t>MEDIUM</t>
        </is>
      </c>
      <c r="F1302" t="n">
        <v>2</v>
      </c>
      <c r="G1302" t="n">
        <v>2</v>
      </c>
      <c r="H1302" t="inlineStr">
        <is>
          <t>MEDIUM</t>
        </is>
      </c>
      <c r="I1302" t="n">
        <v>10</v>
      </c>
      <c r="J1302" t="inlineStr">
        <is>
          <t>NO</t>
        </is>
      </c>
      <c r="K1302" t="inlineStr">
        <is>
          <t>2026-02-27 20:47</t>
        </is>
      </c>
      <c r="L1302" t="inlineStr">
        <is>
          <t>Block CIDR</t>
        </is>
      </c>
      <c r="M1302" t="inlineStr">
        <is>
          <t>Firewall/Email</t>
        </is>
      </c>
      <c r="N1302" t="inlineStr">
        <is>
          <t>P4</t>
        </is>
      </c>
      <c r="O1302" t="inlineStr">
        <is>
          <t>Spamhaus - CIDR range</t>
        </is>
      </c>
      <c r="P1302" t="n">
        <v>0</v>
      </c>
      <c r="Q1302" t="n">
        <v>0</v>
      </c>
      <c r="R1302" t="inlineStr">
        <is>
          <t>T1566:Phishing | T1078:Valid Accounts</t>
        </is>
      </c>
      <c r="S1302" t="n">
        <v>1</v>
      </c>
      <c r="T1302" t="inlineStr">
        <is>
          <t>LOW (40%)</t>
        </is>
      </c>
      <c r="U1302" t="inlineStr">
        <is>
          <t>NONE</t>
        </is>
      </c>
      <c r="V1302" t="inlineStr">
        <is>
          <t>NONE</t>
        </is>
      </c>
      <c r="W1302" t="inlineStr">
        <is>
          <t>NONE</t>
        </is>
      </c>
      <c r="X1302" t="inlineStr">
        <is>
          <t>NONE</t>
        </is>
      </c>
      <c r="Y1302" t="n">
        <v>0</v>
      </c>
      <c r="Z1302" t="inlineStr"/>
      <c r="AA1302" t="inlineStr">
        <is>
          <t>https://www.spamhaus.org/drop/</t>
        </is>
      </c>
    </row>
    <row r="1303">
      <c r="A1303" t="inlineStr">
        <is>
          <t>FIREHOL_THREAT</t>
        </is>
      </c>
      <c r="B1303" t="inlineStr">
        <is>
          <t>211aeb418ce4</t>
        </is>
      </c>
      <c r="C1303" t="inlineStr">
        <is>
          <t>DROP List CIDR: 2.57.232.0/22 | FireHOL L1 threat IP/CIDR | ASN: FireHOL-L1</t>
        </is>
      </c>
      <c r="D1303" t="n">
        <v>6</v>
      </c>
      <c r="E1303" t="inlineStr">
        <is>
          <t>MEDIUM</t>
        </is>
      </c>
      <c r="F1303" t="n">
        <v>2</v>
      </c>
      <c r="G1303" t="n">
        <v>2</v>
      </c>
      <c r="H1303" t="inlineStr">
        <is>
          <t>MEDIUM</t>
        </is>
      </c>
      <c r="I1303" t="n">
        <v>10</v>
      </c>
      <c r="J1303" t="inlineStr">
        <is>
          <t>NO</t>
        </is>
      </c>
      <c r="K1303" t="inlineStr">
        <is>
          <t>2026-02-27 20:47</t>
        </is>
      </c>
      <c r="L1303" t="inlineStr">
        <is>
          <t>Block CIDR</t>
        </is>
      </c>
      <c r="M1303" t="inlineStr">
        <is>
          <t>Firewall/Email</t>
        </is>
      </c>
      <c r="N1303" t="inlineStr">
        <is>
          <t>P4</t>
        </is>
      </c>
      <c r="O1303" t="inlineStr">
        <is>
          <t>Spamhaus - CIDR range</t>
        </is>
      </c>
      <c r="P1303" t="n">
        <v>0</v>
      </c>
      <c r="Q1303" t="n">
        <v>0</v>
      </c>
      <c r="R1303" t="inlineStr">
        <is>
          <t>T1566:Phishing | T1078:Valid Accounts</t>
        </is>
      </c>
      <c r="S1303" t="n">
        <v>1</v>
      </c>
      <c r="T1303" t="inlineStr">
        <is>
          <t>LOW (40%)</t>
        </is>
      </c>
      <c r="U1303" t="inlineStr">
        <is>
          <t>NONE</t>
        </is>
      </c>
      <c r="V1303" t="inlineStr">
        <is>
          <t>NONE</t>
        </is>
      </c>
      <c r="W1303" t="inlineStr">
        <is>
          <t>NONE</t>
        </is>
      </c>
      <c r="X1303" t="inlineStr">
        <is>
          <t>NONE</t>
        </is>
      </c>
      <c r="Y1303" t="n">
        <v>0</v>
      </c>
      <c r="Z1303" t="inlineStr"/>
      <c r="AA1303" t="inlineStr">
        <is>
          <t>https://www.spamhaus.org/drop/</t>
        </is>
      </c>
    </row>
    <row r="1304">
      <c r="A1304" t="inlineStr">
        <is>
          <t>FIREHOL_THREAT</t>
        </is>
      </c>
      <c r="B1304" t="inlineStr">
        <is>
          <t>b25bffd553fe</t>
        </is>
      </c>
      <c r="C1304" t="inlineStr">
        <is>
          <t>DROP List CIDR: 2.58.56.0/24 | FireHOL L1 threat IP/CIDR | ASN: FireHOL-L1</t>
        </is>
      </c>
      <c r="D1304" t="n">
        <v>6</v>
      </c>
      <c r="E1304" t="inlineStr">
        <is>
          <t>MEDIUM</t>
        </is>
      </c>
      <c r="F1304" t="n">
        <v>2</v>
      </c>
      <c r="G1304" t="n">
        <v>2</v>
      </c>
      <c r="H1304" t="inlineStr">
        <is>
          <t>MEDIUM</t>
        </is>
      </c>
      <c r="I1304" t="n">
        <v>10</v>
      </c>
      <c r="J1304" t="inlineStr">
        <is>
          <t>NO</t>
        </is>
      </c>
      <c r="K1304" t="inlineStr">
        <is>
          <t>2026-02-27 20:47</t>
        </is>
      </c>
      <c r="L1304" t="inlineStr">
        <is>
          <t>Block CIDR</t>
        </is>
      </c>
      <c r="M1304" t="inlineStr">
        <is>
          <t>Firewall/Email</t>
        </is>
      </c>
      <c r="N1304" t="inlineStr">
        <is>
          <t>P4</t>
        </is>
      </c>
      <c r="O1304" t="inlineStr">
        <is>
          <t>Spamhaus - CIDR range</t>
        </is>
      </c>
      <c r="P1304" t="n">
        <v>0</v>
      </c>
      <c r="Q1304" t="n">
        <v>0</v>
      </c>
      <c r="R1304" t="inlineStr">
        <is>
          <t>T1566:Phishing | T1078:Valid Accounts</t>
        </is>
      </c>
      <c r="S1304" t="n">
        <v>1</v>
      </c>
      <c r="T1304" t="inlineStr">
        <is>
          <t>LOW (40%)</t>
        </is>
      </c>
      <c r="U1304" t="inlineStr">
        <is>
          <t>NONE</t>
        </is>
      </c>
      <c r="V1304" t="inlineStr">
        <is>
          <t>NONE</t>
        </is>
      </c>
      <c r="W1304" t="inlineStr">
        <is>
          <t>NONE</t>
        </is>
      </c>
      <c r="X1304" t="inlineStr">
        <is>
          <t>NONE</t>
        </is>
      </c>
      <c r="Y1304" t="n">
        <v>0</v>
      </c>
      <c r="Z1304" t="inlineStr"/>
      <c r="AA1304" t="inlineStr">
        <is>
          <t>https://www.spamhaus.org/drop/</t>
        </is>
      </c>
    </row>
    <row r="1305">
      <c r="A1305" t="inlineStr">
        <is>
          <t>FIREHOL_THREAT</t>
        </is>
      </c>
      <c r="B1305" t="inlineStr">
        <is>
          <t>28fb5dc4a3f6</t>
        </is>
      </c>
      <c r="C1305" t="inlineStr">
        <is>
          <t>DROP List CIDR: 2.58.95.0/24 | FireHOL L1 threat IP/CIDR | ASN: FireHOL-L1</t>
        </is>
      </c>
      <c r="D1305" t="n">
        <v>6</v>
      </c>
      <c r="E1305" t="inlineStr">
        <is>
          <t>MEDIUM</t>
        </is>
      </c>
      <c r="F1305" t="n">
        <v>2</v>
      </c>
      <c r="G1305" t="n">
        <v>2</v>
      </c>
      <c r="H1305" t="inlineStr">
        <is>
          <t>MEDIUM</t>
        </is>
      </c>
      <c r="I1305" t="n">
        <v>10</v>
      </c>
      <c r="J1305" t="inlineStr">
        <is>
          <t>NO</t>
        </is>
      </c>
      <c r="K1305" t="inlineStr">
        <is>
          <t>2026-02-27 20:47</t>
        </is>
      </c>
      <c r="L1305" t="inlineStr">
        <is>
          <t>Block CIDR</t>
        </is>
      </c>
      <c r="M1305" t="inlineStr">
        <is>
          <t>Firewall/Email</t>
        </is>
      </c>
      <c r="N1305" t="inlineStr">
        <is>
          <t>P4</t>
        </is>
      </c>
      <c r="O1305" t="inlineStr">
        <is>
          <t>Spamhaus - CIDR range</t>
        </is>
      </c>
      <c r="P1305" t="n">
        <v>0</v>
      </c>
      <c r="Q1305" t="n">
        <v>0</v>
      </c>
      <c r="R1305" t="inlineStr">
        <is>
          <t>T1566:Phishing | T1078:Valid Accounts</t>
        </is>
      </c>
      <c r="S1305" t="n">
        <v>1</v>
      </c>
      <c r="T1305" t="inlineStr">
        <is>
          <t>LOW (40%)</t>
        </is>
      </c>
      <c r="U1305" t="inlineStr">
        <is>
          <t>NONE</t>
        </is>
      </c>
      <c r="V1305" t="inlineStr">
        <is>
          <t>NONE</t>
        </is>
      </c>
      <c r="W1305" t="inlineStr">
        <is>
          <t>NONE</t>
        </is>
      </c>
      <c r="X1305" t="inlineStr">
        <is>
          <t>NONE</t>
        </is>
      </c>
      <c r="Y1305" t="n">
        <v>0</v>
      </c>
      <c r="Z1305" t="inlineStr"/>
      <c r="AA1305" t="inlineStr">
        <is>
          <t>https://www.spamhaus.org/drop/</t>
        </is>
      </c>
    </row>
    <row r="1306">
      <c r="A1306" t="inlineStr">
        <is>
          <t>FIREHOL_THREAT</t>
        </is>
      </c>
      <c r="B1306" t="inlineStr">
        <is>
          <t>dcb2a79dd6f5</t>
        </is>
      </c>
      <c r="C1306" t="inlineStr">
        <is>
          <t>DROP List CIDR: 2.59.152.0/24 | FireHOL L1 threat IP/CIDR | ASN: FireHOL-L1</t>
        </is>
      </c>
      <c r="D1306" t="n">
        <v>6</v>
      </c>
      <c r="E1306" t="inlineStr">
        <is>
          <t>MEDIUM</t>
        </is>
      </c>
      <c r="F1306" t="n">
        <v>2</v>
      </c>
      <c r="G1306" t="n">
        <v>2</v>
      </c>
      <c r="H1306" t="inlineStr">
        <is>
          <t>MEDIUM</t>
        </is>
      </c>
      <c r="I1306" t="n">
        <v>10</v>
      </c>
      <c r="J1306" t="inlineStr">
        <is>
          <t>NO</t>
        </is>
      </c>
      <c r="K1306" t="inlineStr">
        <is>
          <t>2026-02-27 20:47</t>
        </is>
      </c>
      <c r="L1306" t="inlineStr">
        <is>
          <t>Block CIDR</t>
        </is>
      </c>
      <c r="M1306" t="inlineStr">
        <is>
          <t>Firewall/Email</t>
        </is>
      </c>
      <c r="N1306" t="inlineStr">
        <is>
          <t>P4</t>
        </is>
      </c>
      <c r="O1306" t="inlineStr">
        <is>
          <t>Spamhaus - CIDR range</t>
        </is>
      </c>
      <c r="P1306" t="n">
        <v>0</v>
      </c>
      <c r="Q1306" t="n">
        <v>0</v>
      </c>
      <c r="R1306" t="inlineStr">
        <is>
          <t>T1566:Phishing | T1078:Valid Accounts</t>
        </is>
      </c>
      <c r="S1306" t="n">
        <v>1</v>
      </c>
      <c r="T1306" t="inlineStr">
        <is>
          <t>LOW (40%)</t>
        </is>
      </c>
      <c r="U1306" t="inlineStr">
        <is>
          <t>NONE</t>
        </is>
      </c>
      <c r="V1306" t="inlineStr">
        <is>
          <t>NONE</t>
        </is>
      </c>
      <c r="W1306" t="inlineStr">
        <is>
          <t>NONE</t>
        </is>
      </c>
      <c r="X1306" t="inlineStr">
        <is>
          <t>NONE</t>
        </is>
      </c>
      <c r="Y1306" t="n">
        <v>0</v>
      </c>
      <c r="Z1306" t="inlineStr"/>
      <c r="AA1306" t="inlineStr">
        <is>
          <t>https://www.spamhaus.org/drop/</t>
        </is>
      </c>
    </row>
    <row r="1307">
      <c r="A1307" t="inlineStr">
        <is>
          <t>FIREHOL_THREAT</t>
        </is>
      </c>
      <c r="B1307" t="inlineStr">
        <is>
          <t>74eb2ddc71aa</t>
        </is>
      </c>
      <c r="C1307" t="inlineStr">
        <is>
          <t>DROP List CIDR: 5.42.64.0/22 | FireHOL L1 threat IP/CIDR | ASN: FireHOL-L1</t>
        </is>
      </c>
      <c r="D1307" t="n">
        <v>6</v>
      </c>
      <c r="E1307" t="inlineStr">
        <is>
          <t>MEDIUM</t>
        </is>
      </c>
      <c r="F1307" t="n">
        <v>2</v>
      </c>
      <c r="G1307" t="n">
        <v>2</v>
      </c>
      <c r="H1307" t="inlineStr">
        <is>
          <t>MEDIUM</t>
        </is>
      </c>
      <c r="I1307" t="n">
        <v>10</v>
      </c>
      <c r="J1307" t="inlineStr">
        <is>
          <t>NO</t>
        </is>
      </c>
      <c r="K1307" t="inlineStr">
        <is>
          <t>2026-02-27 20:47</t>
        </is>
      </c>
      <c r="L1307" t="inlineStr">
        <is>
          <t>Block CIDR</t>
        </is>
      </c>
      <c r="M1307" t="inlineStr">
        <is>
          <t>Firewall/Email</t>
        </is>
      </c>
      <c r="N1307" t="inlineStr">
        <is>
          <t>P4</t>
        </is>
      </c>
      <c r="O1307" t="inlineStr">
        <is>
          <t>Spamhaus - CIDR range</t>
        </is>
      </c>
      <c r="P1307" t="n">
        <v>0</v>
      </c>
      <c r="Q1307" t="n">
        <v>0</v>
      </c>
      <c r="R1307" t="inlineStr">
        <is>
          <t>T1566:Phishing | T1078:Valid Accounts</t>
        </is>
      </c>
      <c r="S1307" t="n">
        <v>1</v>
      </c>
      <c r="T1307" t="inlineStr">
        <is>
          <t>LOW (40%)</t>
        </is>
      </c>
      <c r="U1307" t="inlineStr">
        <is>
          <t>NONE</t>
        </is>
      </c>
      <c r="V1307" t="inlineStr">
        <is>
          <t>NONE</t>
        </is>
      </c>
      <c r="W1307" t="inlineStr">
        <is>
          <t>NONE</t>
        </is>
      </c>
      <c r="X1307" t="inlineStr">
        <is>
          <t>NONE</t>
        </is>
      </c>
      <c r="Y1307" t="n">
        <v>0</v>
      </c>
      <c r="Z1307" t="inlineStr"/>
      <c r="AA1307" t="inlineStr">
        <is>
          <t>https://www.spamhaus.org/drop/</t>
        </is>
      </c>
    </row>
    <row r="1308">
      <c r="A1308" t="inlineStr">
        <is>
          <t>FIREHOL_THREAT</t>
        </is>
      </c>
      <c r="B1308" t="inlineStr">
        <is>
          <t>73e8123fa2f9</t>
        </is>
      </c>
      <c r="C1308" t="inlineStr">
        <is>
          <t>DROP List CIDR: 5.42.92.0/24 | FireHOL L1 threat IP/CIDR | ASN: FireHOL-L1</t>
        </is>
      </c>
      <c r="D1308" t="n">
        <v>6</v>
      </c>
      <c r="E1308" t="inlineStr">
        <is>
          <t>MEDIUM</t>
        </is>
      </c>
      <c r="F1308" t="n">
        <v>2</v>
      </c>
      <c r="G1308" t="n">
        <v>2</v>
      </c>
      <c r="H1308" t="inlineStr">
        <is>
          <t>MEDIUM</t>
        </is>
      </c>
      <c r="I1308" t="n">
        <v>10</v>
      </c>
      <c r="J1308" t="inlineStr">
        <is>
          <t>NO</t>
        </is>
      </c>
      <c r="K1308" t="inlineStr">
        <is>
          <t>2026-02-27 20:47</t>
        </is>
      </c>
      <c r="L1308" t="inlineStr">
        <is>
          <t>Block CIDR</t>
        </is>
      </c>
      <c r="M1308" t="inlineStr">
        <is>
          <t>Firewall/Email</t>
        </is>
      </c>
      <c r="N1308" t="inlineStr">
        <is>
          <t>P4</t>
        </is>
      </c>
      <c r="O1308" t="inlineStr">
        <is>
          <t>Spamhaus - CIDR range</t>
        </is>
      </c>
      <c r="P1308" t="n">
        <v>0</v>
      </c>
      <c r="Q1308" t="n">
        <v>0</v>
      </c>
      <c r="R1308" t="inlineStr">
        <is>
          <t>T1566:Phishing | T1078:Valid Accounts</t>
        </is>
      </c>
      <c r="S1308" t="n">
        <v>1</v>
      </c>
      <c r="T1308" t="inlineStr">
        <is>
          <t>LOW (40%)</t>
        </is>
      </c>
      <c r="U1308" t="inlineStr">
        <is>
          <t>NONE</t>
        </is>
      </c>
      <c r="V1308" t="inlineStr">
        <is>
          <t>NONE</t>
        </is>
      </c>
      <c r="W1308" t="inlineStr">
        <is>
          <t>NONE</t>
        </is>
      </c>
      <c r="X1308" t="inlineStr">
        <is>
          <t>NONE</t>
        </is>
      </c>
      <c r="Y1308" t="n">
        <v>0</v>
      </c>
      <c r="Z1308" t="inlineStr"/>
      <c r="AA1308" t="inlineStr">
        <is>
          <t>https://www.spamhaus.org/drop/</t>
        </is>
      </c>
    </row>
    <row r="1309">
      <c r="A1309" t="inlineStr">
        <is>
          <t>FIREHOL_THREAT</t>
        </is>
      </c>
      <c r="B1309" t="inlineStr">
        <is>
          <t>5546223b9d75</t>
        </is>
      </c>
      <c r="C1309" t="inlineStr">
        <is>
          <t>DROP List CIDR: 5.42.96.0/24 | FireHOL L1 threat IP/CIDR | ASN: FireHOL-L1</t>
        </is>
      </c>
      <c r="D1309" t="n">
        <v>6</v>
      </c>
      <c r="E1309" t="inlineStr">
        <is>
          <t>MEDIUM</t>
        </is>
      </c>
      <c r="F1309" t="n">
        <v>2</v>
      </c>
      <c r="G1309" t="n">
        <v>2</v>
      </c>
      <c r="H1309" t="inlineStr">
        <is>
          <t>MEDIUM</t>
        </is>
      </c>
      <c r="I1309" t="n">
        <v>10</v>
      </c>
      <c r="J1309" t="inlineStr">
        <is>
          <t>NO</t>
        </is>
      </c>
      <c r="K1309" t="inlineStr">
        <is>
          <t>2026-02-27 20:47</t>
        </is>
      </c>
      <c r="L1309" t="inlineStr">
        <is>
          <t>Block CIDR</t>
        </is>
      </c>
      <c r="M1309" t="inlineStr">
        <is>
          <t>Firewall/Email</t>
        </is>
      </c>
      <c r="N1309" t="inlineStr">
        <is>
          <t>P4</t>
        </is>
      </c>
      <c r="O1309" t="inlineStr">
        <is>
          <t>Spamhaus - CIDR range</t>
        </is>
      </c>
      <c r="P1309" t="n">
        <v>0</v>
      </c>
      <c r="Q1309" t="n">
        <v>0</v>
      </c>
      <c r="R1309" t="inlineStr">
        <is>
          <t>T1566:Phishing | T1078:Valid Accounts</t>
        </is>
      </c>
      <c r="S1309" t="n">
        <v>1</v>
      </c>
      <c r="T1309" t="inlineStr">
        <is>
          <t>LOW (40%)</t>
        </is>
      </c>
      <c r="U1309" t="inlineStr">
        <is>
          <t>NONE</t>
        </is>
      </c>
      <c r="V1309" t="inlineStr">
        <is>
          <t>NONE</t>
        </is>
      </c>
      <c r="W1309" t="inlineStr">
        <is>
          <t>NONE</t>
        </is>
      </c>
      <c r="X1309" t="inlineStr">
        <is>
          <t>NONE</t>
        </is>
      </c>
      <c r="Y1309" t="n">
        <v>0</v>
      </c>
      <c r="Z1309" t="inlineStr"/>
      <c r="AA1309" t="inlineStr">
        <is>
          <t>https://www.spamhaus.org/drop/</t>
        </is>
      </c>
    </row>
    <row r="1310">
      <c r="A1310" t="inlineStr">
        <is>
          <t>FIREHOL_THREAT</t>
        </is>
      </c>
      <c r="B1310" t="inlineStr">
        <is>
          <t>b77d61d1245c</t>
        </is>
      </c>
      <c r="C1310" t="inlineStr">
        <is>
          <t>DROP List CIDR: 5.101.82.0/24 | FireHOL L1 threat IP/CIDR | ASN: FireHOL-L1</t>
        </is>
      </c>
      <c r="D1310" t="n">
        <v>6</v>
      </c>
      <c r="E1310" t="inlineStr">
        <is>
          <t>MEDIUM</t>
        </is>
      </c>
      <c r="F1310" t="n">
        <v>2</v>
      </c>
      <c r="G1310" t="n">
        <v>2</v>
      </c>
      <c r="H1310" t="inlineStr">
        <is>
          <t>MEDIUM</t>
        </is>
      </c>
      <c r="I1310" t="n">
        <v>10</v>
      </c>
      <c r="J1310" t="inlineStr">
        <is>
          <t>NO</t>
        </is>
      </c>
      <c r="K1310" t="inlineStr">
        <is>
          <t>2026-02-27 20:47</t>
        </is>
      </c>
      <c r="L1310" t="inlineStr">
        <is>
          <t>Block CIDR</t>
        </is>
      </c>
      <c r="M1310" t="inlineStr">
        <is>
          <t>Firewall/Email</t>
        </is>
      </c>
      <c r="N1310" t="inlineStr">
        <is>
          <t>P4</t>
        </is>
      </c>
      <c r="O1310" t="inlineStr">
        <is>
          <t>Spamhaus - CIDR range</t>
        </is>
      </c>
      <c r="P1310" t="n">
        <v>0</v>
      </c>
      <c r="Q1310" t="n">
        <v>0</v>
      </c>
      <c r="R1310" t="inlineStr">
        <is>
          <t>T1566:Phishing | T1078:Valid Accounts</t>
        </is>
      </c>
      <c r="S1310" t="n">
        <v>1</v>
      </c>
      <c r="T1310" t="inlineStr">
        <is>
          <t>LOW (40%)</t>
        </is>
      </c>
      <c r="U1310" t="inlineStr">
        <is>
          <t>NONE</t>
        </is>
      </c>
      <c r="V1310" t="inlineStr">
        <is>
          <t>NONE</t>
        </is>
      </c>
      <c r="W1310" t="inlineStr">
        <is>
          <t>NONE</t>
        </is>
      </c>
      <c r="X1310" t="inlineStr">
        <is>
          <t>NONE</t>
        </is>
      </c>
      <c r="Y1310" t="n">
        <v>0</v>
      </c>
      <c r="Z1310" t="inlineStr"/>
      <c r="AA1310" t="inlineStr">
        <is>
          <t>https://www.spamhaus.org/drop/</t>
        </is>
      </c>
    </row>
    <row r="1311">
      <c r="A1311" t="inlineStr">
        <is>
          <t>FIREHOL_THREAT</t>
        </is>
      </c>
      <c r="B1311" t="inlineStr">
        <is>
          <t>ccba24c5f897</t>
        </is>
      </c>
      <c r="C1311" t="inlineStr">
        <is>
          <t>DROP List CIDR: 5.105.62.0/24 | FireHOL L1 threat IP/CIDR | ASN: FireHOL-L1</t>
        </is>
      </c>
      <c r="D1311" t="n">
        <v>6</v>
      </c>
      <c r="E1311" t="inlineStr">
        <is>
          <t>MEDIUM</t>
        </is>
      </c>
      <c r="F1311" t="n">
        <v>2</v>
      </c>
      <c r="G1311" t="n">
        <v>2</v>
      </c>
      <c r="H1311" t="inlineStr">
        <is>
          <t>MEDIUM</t>
        </is>
      </c>
      <c r="I1311" t="n">
        <v>10</v>
      </c>
      <c r="J1311" t="inlineStr">
        <is>
          <t>NO</t>
        </is>
      </c>
      <c r="K1311" t="inlineStr">
        <is>
          <t>2026-02-27 20:47</t>
        </is>
      </c>
      <c r="L1311" t="inlineStr">
        <is>
          <t>Block CIDR</t>
        </is>
      </c>
      <c r="M1311" t="inlineStr">
        <is>
          <t>Firewall/Email</t>
        </is>
      </c>
      <c r="N1311" t="inlineStr">
        <is>
          <t>P4</t>
        </is>
      </c>
      <c r="O1311" t="inlineStr">
        <is>
          <t>Spamhaus - CIDR range</t>
        </is>
      </c>
      <c r="P1311" t="n">
        <v>0</v>
      </c>
      <c r="Q1311" t="n">
        <v>0</v>
      </c>
      <c r="R1311" t="inlineStr">
        <is>
          <t>T1566:Phishing | T1078:Valid Accounts</t>
        </is>
      </c>
      <c r="S1311" t="n">
        <v>1</v>
      </c>
      <c r="T1311" t="inlineStr">
        <is>
          <t>LOW (40%)</t>
        </is>
      </c>
      <c r="U1311" t="inlineStr">
        <is>
          <t>NONE</t>
        </is>
      </c>
      <c r="V1311" t="inlineStr">
        <is>
          <t>NONE</t>
        </is>
      </c>
      <c r="W1311" t="inlineStr">
        <is>
          <t>NONE</t>
        </is>
      </c>
      <c r="X1311" t="inlineStr">
        <is>
          <t>NONE</t>
        </is>
      </c>
      <c r="Y1311" t="n">
        <v>0</v>
      </c>
      <c r="Z1311" t="inlineStr"/>
      <c r="AA1311" t="inlineStr">
        <is>
          <t>https://www.spamhaus.org/drop/</t>
        </is>
      </c>
    </row>
    <row r="1312">
      <c r="A1312" t="inlineStr">
        <is>
          <t>FIREHOL_THREAT</t>
        </is>
      </c>
      <c r="B1312" t="inlineStr">
        <is>
          <t>b7923b1de143</t>
        </is>
      </c>
      <c r="C1312" t="inlineStr">
        <is>
          <t>DROP List CIDR: 5.105.220.0/24 | FireHOL L1 threat IP/CIDR | ASN: FireHOL-L1</t>
        </is>
      </c>
      <c r="D1312" t="n">
        <v>6</v>
      </c>
      <c r="E1312" t="inlineStr">
        <is>
          <t>MEDIUM</t>
        </is>
      </c>
      <c r="F1312" t="n">
        <v>2</v>
      </c>
      <c r="G1312" t="n">
        <v>2</v>
      </c>
      <c r="H1312" t="inlineStr">
        <is>
          <t>MEDIUM</t>
        </is>
      </c>
      <c r="I1312" t="n">
        <v>10</v>
      </c>
      <c r="J1312" t="inlineStr">
        <is>
          <t>NO</t>
        </is>
      </c>
      <c r="K1312" t="inlineStr">
        <is>
          <t>2026-02-27 20:47</t>
        </is>
      </c>
      <c r="L1312" t="inlineStr">
        <is>
          <t>Block CIDR</t>
        </is>
      </c>
      <c r="M1312" t="inlineStr">
        <is>
          <t>Firewall/Email</t>
        </is>
      </c>
      <c r="N1312" t="inlineStr">
        <is>
          <t>P4</t>
        </is>
      </c>
      <c r="O1312" t="inlineStr">
        <is>
          <t>Spamhaus - CIDR range</t>
        </is>
      </c>
      <c r="P1312" t="n">
        <v>0</v>
      </c>
      <c r="Q1312" t="n">
        <v>0</v>
      </c>
      <c r="R1312" t="inlineStr">
        <is>
          <t>T1566:Phishing | T1078:Valid Accounts</t>
        </is>
      </c>
      <c r="S1312" t="n">
        <v>1</v>
      </c>
      <c r="T1312" t="inlineStr">
        <is>
          <t>LOW (40%)</t>
        </is>
      </c>
      <c r="U1312" t="inlineStr">
        <is>
          <t>NONE</t>
        </is>
      </c>
      <c r="V1312" t="inlineStr">
        <is>
          <t>NONE</t>
        </is>
      </c>
      <c r="W1312" t="inlineStr">
        <is>
          <t>NONE</t>
        </is>
      </c>
      <c r="X1312" t="inlineStr">
        <is>
          <t>NONE</t>
        </is>
      </c>
      <c r="Y1312" t="n">
        <v>0</v>
      </c>
      <c r="Z1312" t="inlineStr"/>
      <c r="AA1312" t="inlineStr">
        <is>
          <t>https://www.spamhaus.org/drop/</t>
        </is>
      </c>
    </row>
    <row r="1313">
      <c r="A1313" t="inlineStr">
        <is>
          <t>FIREHOL_THREAT</t>
        </is>
      </c>
      <c r="B1313" t="inlineStr">
        <is>
          <t>5d964bd4d6cf</t>
        </is>
      </c>
      <c r="C1313" t="inlineStr">
        <is>
          <t>DROP List CIDR: 5.133.101.0/24 | FireHOL L1 threat IP/CIDR | ASN: FireHOL-L1</t>
        </is>
      </c>
      <c r="D1313" t="n">
        <v>6</v>
      </c>
      <c r="E1313" t="inlineStr">
        <is>
          <t>MEDIUM</t>
        </is>
      </c>
      <c r="F1313" t="n">
        <v>2</v>
      </c>
      <c r="G1313" t="n">
        <v>2</v>
      </c>
      <c r="H1313" t="inlineStr">
        <is>
          <t>MEDIUM</t>
        </is>
      </c>
      <c r="I1313" t="n">
        <v>10</v>
      </c>
      <c r="J1313" t="inlineStr">
        <is>
          <t>NO</t>
        </is>
      </c>
      <c r="K1313" t="inlineStr">
        <is>
          <t>2026-02-27 20:47</t>
        </is>
      </c>
      <c r="L1313" t="inlineStr">
        <is>
          <t>Block CIDR</t>
        </is>
      </c>
      <c r="M1313" t="inlineStr">
        <is>
          <t>Firewall/Email</t>
        </is>
      </c>
      <c r="N1313" t="inlineStr">
        <is>
          <t>P4</t>
        </is>
      </c>
      <c r="O1313" t="inlineStr">
        <is>
          <t>Spamhaus - CIDR range</t>
        </is>
      </c>
      <c r="P1313" t="n">
        <v>0</v>
      </c>
      <c r="Q1313" t="n">
        <v>0</v>
      </c>
      <c r="R1313" t="inlineStr">
        <is>
          <t>T1566:Phishing | T1078:Valid Accounts</t>
        </is>
      </c>
      <c r="S1313" t="n">
        <v>1</v>
      </c>
      <c r="T1313" t="inlineStr">
        <is>
          <t>LOW (40%)</t>
        </is>
      </c>
      <c r="U1313" t="inlineStr">
        <is>
          <t>NONE</t>
        </is>
      </c>
      <c r="V1313" t="inlineStr">
        <is>
          <t>NONE</t>
        </is>
      </c>
      <c r="W1313" t="inlineStr">
        <is>
          <t>NONE</t>
        </is>
      </c>
      <c r="X1313" t="inlineStr">
        <is>
          <t>NONE</t>
        </is>
      </c>
      <c r="Y1313" t="n">
        <v>0</v>
      </c>
      <c r="Z1313" t="inlineStr"/>
      <c r="AA1313" t="inlineStr">
        <is>
          <t>https://www.spamhaus.org/drop/</t>
        </is>
      </c>
    </row>
    <row r="1314">
      <c r="A1314" t="inlineStr">
        <is>
          <t>FIREHOL_THREAT</t>
        </is>
      </c>
      <c r="B1314" t="inlineStr">
        <is>
          <t>c4fe416e3720</t>
        </is>
      </c>
      <c r="C1314" t="inlineStr">
        <is>
          <t>DROP List CIDR: 5.182.210.0/23 | FireHOL L1 threat IP/CIDR | ASN: FireHOL-L1</t>
        </is>
      </c>
      <c r="D1314" t="n">
        <v>6</v>
      </c>
      <c r="E1314" t="inlineStr">
        <is>
          <t>MEDIUM</t>
        </is>
      </c>
      <c r="F1314" t="n">
        <v>2</v>
      </c>
      <c r="G1314" t="n">
        <v>2</v>
      </c>
      <c r="H1314" t="inlineStr">
        <is>
          <t>MEDIUM</t>
        </is>
      </c>
      <c r="I1314" t="n">
        <v>10</v>
      </c>
      <c r="J1314" t="inlineStr">
        <is>
          <t>NO</t>
        </is>
      </c>
      <c r="K1314" t="inlineStr">
        <is>
          <t>2026-02-27 20:47</t>
        </is>
      </c>
      <c r="L1314" t="inlineStr">
        <is>
          <t>Block CIDR</t>
        </is>
      </c>
      <c r="M1314" t="inlineStr">
        <is>
          <t>Firewall/Email</t>
        </is>
      </c>
      <c r="N1314" t="inlineStr">
        <is>
          <t>P4</t>
        </is>
      </c>
      <c r="O1314" t="inlineStr">
        <is>
          <t>Spamhaus - CIDR range</t>
        </is>
      </c>
      <c r="P1314" t="n">
        <v>0</v>
      </c>
      <c r="Q1314" t="n">
        <v>0</v>
      </c>
      <c r="R1314" t="inlineStr">
        <is>
          <t>T1566:Phishing | T1078:Valid Accounts</t>
        </is>
      </c>
      <c r="S1314" t="n">
        <v>1</v>
      </c>
      <c r="T1314" t="inlineStr">
        <is>
          <t>LOW (40%)</t>
        </is>
      </c>
      <c r="U1314" t="inlineStr">
        <is>
          <t>NONE</t>
        </is>
      </c>
      <c r="V1314" t="inlineStr">
        <is>
          <t>NONE</t>
        </is>
      </c>
      <c r="W1314" t="inlineStr">
        <is>
          <t>NONE</t>
        </is>
      </c>
      <c r="X1314" t="inlineStr">
        <is>
          <t>NONE</t>
        </is>
      </c>
      <c r="Y1314" t="n">
        <v>0</v>
      </c>
      <c r="Z1314" t="inlineStr"/>
      <c r="AA1314" t="inlineStr">
        <is>
          <t>https://www.spamhaus.org/drop/</t>
        </is>
      </c>
    </row>
    <row r="1315">
      <c r="A1315" t="inlineStr">
        <is>
          <t>FIREHOL_THREAT</t>
        </is>
      </c>
      <c r="B1315" t="inlineStr">
        <is>
          <t>abf3929f9458</t>
        </is>
      </c>
      <c r="C1315" t="inlineStr">
        <is>
          <t>DROP List CIDR: 5.183.60.0/22 | FireHOL L1 threat IP/CIDR | ASN: FireHOL-L1</t>
        </is>
      </c>
      <c r="D1315" t="n">
        <v>6</v>
      </c>
      <c r="E1315" t="inlineStr">
        <is>
          <t>MEDIUM</t>
        </is>
      </c>
      <c r="F1315" t="n">
        <v>2</v>
      </c>
      <c r="G1315" t="n">
        <v>2</v>
      </c>
      <c r="H1315" t="inlineStr">
        <is>
          <t>MEDIUM</t>
        </is>
      </c>
      <c r="I1315" t="n">
        <v>10</v>
      </c>
      <c r="J1315" t="inlineStr">
        <is>
          <t>NO</t>
        </is>
      </c>
      <c r="K1315" t="inlineStr">
        <is>
          <t>2026-02-27 20:47</t>
        </is>
      </c>
      <c r="L1315" t="inlineStr">
        <is>
          <t>Block CIDR</t>
        </is>
      </c>
      <c r="M1315" t="inlineStr">
        <is>
          <t>Firewall/Email</t>
        </is>
      </c>
      <c r="N1315" t="inlineStr">
        <is>
          <t>P4</t>
        </is>
      </c>
      <c r="O1315" t="inlineStr">
        <is>
          <t>Spamhaus - CIDR range</t>
        </is>
      </c>
      <c r="P1315" t="n">
        <v>0</v>
      </c>
      <c r="Q1315" t="n">
        <v>0</v>
      </c>
      <c r="R1315" t="inlineStr">
        <is>
          <t>T1566:Phishing | T1078:Valid Accounts</t>
        </is>
      </c>
      <c r="S1315" t="n">
        <v>1</v>
      </c>
      <c r="T1315" t="inlineStr">
        <is>
          <t>LOW (40%)</t>
        </is>
      </c>
      <c r="U1315" t="inlineStr">
        <is>
          <t>NONE</t>
        </is>
      </c>
      <c r="V1315" t="inlineStr">
        <is>
          <t>NONE</t>
        </is>
      </c>
      <c r="W1315" t="inlineStr">
        <is>
          <t>NONE</t>
        </is>
      </c>
      <c r="X1315" t="inlineStr">
        <is>
          <t>NONE</t>
        </is>
      </c>
      <c r="Y1315" t="n">
        <v>0</v>
      </c>
      <c r="Z1315" t="inlineStr"/>
      <c r="AA1315" t="inlineStr">
        <is>
          <t>https://www.spamhaus.org/drop/</t>
        </is>
      </c>
    </row>
    <row r="1316">
      <c r="A1316" t="inlineStr">
        <is>
          <t>FIREHOL_THREAT</t>
        </is>
      </c>
      <c r="B1316" t="inlineStr">
        <is>
          <t>37c61e81282e</t>
        </is>
      </c>
      <c r="C1316" t="inlineStr">
        <is>
          <t>DROP List CIDR: 5.188.11.0/24 | FireHOL L1 threat IP/CIDR | ASN: FireHOL-L1</t>
        </is>
      </c>
      <c r="D1316" t="n">
        <v>6</v>
      </c>
      <c r="E1316" t="inlineStr">
        <is>
          <t>MEDIUM</t>
        </is>
      </c>
      <c r="F1316" t="n">
        <v>2</v>
      </c>
      <c r="G1316" t="n">
        <v>2</v>
      </c>
      <c r="H1316" t="inlineStr">
        <is>
          <t>MEDIUM</t>
        </is>
      </c>
      <c r="I1316" t="n">
        <v>10</v>
      </c>
      <c r="J1316" t="inlineStr">
        <is>
          <t>NO</t>
        </is>
      </c>
      <c r="K1316" t="inlineStr">
        <is>
          <t>2026-02-27 20:47</t>
        </is>
      </c>
      <c r="L1316" t="inlineStr">
        <is>
          <t>Block CIDR</t>
        </is>
      </c>
      <c r="M1316" t="inlineStr">
        <is>
          <t>Firewall/Email</t>
        </is>
      </c>
      <c r="N1316" t="inlineStr">
        <is>
          <t>P4</t>
        </is>
      </c>
      <c r="O1316" t="inlineStr">
        <is>
          <t>Spamhaus - CIDR range</t>
        </is>
      </c>
      <c r="P1316" t="n">
        <v>0</v>
      </c>
      <c r="Q1316" t="n">
        <v>0</v>
      </c>
      <c r="R1316" t="inlineStr">
        <is>
          <t>T1566:Phishing | T1078:Valid Accounts</t>
        </is>
      </c>
      <c r="S1316" t="n">
        <v>1</v>
      </c>
      <c r="T1316" t="inlineStr">
        <is>
          <t>LOW (40%)</t>
        </is>
      </c>
      <c r="U1316" t="inlineStr">
        <is>
          <t>NONE</t>
        </is>
      </c>
      <c r="V1316" t="inlineStr">
        <is>
          <t>NONE</t>
        </is>
      </c>
      <c r="W1316" t="inlineStr">
        <is>
          <t>NONE</t>
        </is>
      </c>
      <c r="X1316" t="inlineStr">
        <is>
          <t>NONE</t>
        </is>
      </c>
      <c r="Y1316" t="n">
        <v>0</v>
      </c>
      <c r="Z1316" t="inlineStr"/>
      <c r="AA1316" t="inlineStr">
        <is>
          <t>https://www.spamhaus.org/drop/</t>
        </is>
      </c>
    </row>
    <row r="1317">
      <c r="A1317" t="inlineStr">
        <is>
          <t>FIREHOL_THREAT</t>
        </is>
      </c>
      <c r="B1317" t="inlineStr">
        <is>
          <t>67385c68666e</t>
        </is>
      </c>
      <c r="C1317" t="inlineStr">
        <is>
          <t>DROP List CIDR: 5.188.236.0/23 | FireHOL L1 threat IP/CIDR | ASN: FireHOL-L1</t>
        </is>
      </c>
      <c r="D1317" t="n">
        <v>6</v>
      </c>
      <c r="E1317" t="inlineStr">
        <is>
          <t>MEDIUM</t>
        </is>
      </c>
      <c r="F1317" t="n">
        <v>2</v>
      </c>
      <c r="G1317" t="n">
        <v>2</v>
      </c>
      <c r="H1317" t="inlineStr">
        <is>
          <t>MEDIUM</t>
        </is>
      </c>
      <c r="I1317" t="n">
        <v>10</v>
      </c>
      <c r="J1317" t="inlineStr">
        <is>
          <t>NO</t>
        </is>
      </c>
      <c r="K1317" t="inlineStr">
        <is>
          <t>2026-02-27 20:47</t>
        </is>
      </c>
      <c r="L1317" t="inlineStr">
        <is>
          <t>Block CIDR</t>
        </is>
      </c>
      <c r="M1317" t="inlineStr">
        <is>
          <t>Firewall/Email</t>
        </is>
      </c>
      <c r="N1317" t="inlineStr">
        <is>
          <t>P4</t>
        </is>
      </c>
      <c r="O1317" t="inlineStr">
        <is>
          <t>Spamhaus - CIDR range</t>
        </is>
      </c>
      <c r="P1317" t="n">
        <v>0</v>
      </c>
      <c r="Q1317" t="n">
        <v>0</v>
      </c>
      <c r="R1317" t="inlineStr">
        <is>
          <t>T1566:Phishing | T1078:Valid Accounts</t>
        </is>
      </c>
      <c r="S1317" t="n">
        <v>1</v>
      </c>
      <c r="T1317" t="inlineStr">
        <is>
          <t>LOW (40%)</t>
        </is>
      </c>
      <c r="U1317" t="inlineStr">
        <is>
          <t>NONE</t>
        </is>
      </c>
      <c r="V1317" t="inlineStr">
        <is>
          <t>NONE</t>
        </is>
      </c>
      <c r="W1317" t="inlineStr">
        <is>
          <t>NONE</t>
        </is>
      </c>
      <c r="X1317" t="inlineStr">
        <is>
          <t>NONE</t>
        </is>
      </c>
      <c r="Y1317" t="n">
        <v>0</v>
      </c>
      <c r="Z1317" t="inlineStr"/>
      <c r="AA1317" t="inlineStr">
        <is>
          <t>https://www.spamhaus.org/drop/</t>
        </is>
      </c>
    </row>
    <row r="1318">
      <c r="A1318" t="inlineStr">
        <is>
          <t>FIREHOL_THREAT</t>
        </is>
      </c>
      <c r="B1318" t="inlineStr">
        <is>
          <t>d4714d0e2eaa</t>
        </is>
      </c>
      <c r="C1318" t="inlineStr">
        <is>
          <t>DROP List CIDR: 10.0.0.0/8 | FireHOL L1 threat IP/CIDR | ASN: FireHOL-L1</t>
        </is>
      </c>
      <c r="D1318" t="n">
        <v>6</v>
      </c>
      <c r="E1318" t="inlineStr">
        <is>
          <t>MEDIUM</t>
        </is>
      </c>
      <c r="F1318" t="n">
        <v>2</v>
      </c>
      <c r="G1318" t="n">
        <v>2</v>
      </c>
      <c r="H1318" t="inlineStr">
        <is>
          <t>MEDIUM</t>
        </is>
      </c>
      <c r="I1318" t="n">
        <v>10</v>
      </c>
      <c r="J1318" t="inlineStr">
        <is>
          <t>NO</t>
        </is>
      </c>
      <c r="K1318" t="inlineStr">
        <is>
          <t>2026-02-27 20:47</t>
        </is>
      </c>
      <c r="L1318" t="inlineStr">
        <is>
          <t>Block CIDR</t>
        </is>
      </c>
      <c r="M1318" t="inlineStr">
        <is>
          <t>Firewall/Email</t>
        </is>
      </c>
      <c r="N1318" t="inlineStr">
        <is>
          <t>P4</t>
        </is>
      </c>
      <c r="O1318" t="inlineStr">
        <is>
          <t>Spamhaus - CIDR range</t>
        </is>
      </c>
      <c r="P1318" t="n">
        <v>0</v>
      </c>
      <c r="Q1318" t="n">
        <v>0</v>
      </c>
      <c r="R1318" t="inlineStr">
        <is>
          <t>T1566:Phishing | T1078:Valid Accounts</t>
        </is>
      </c>
      <c r="S1318" t="n">
        <v>1</v>
      </c>
      <c r="T1318" t="inlineStr">
        <is>
          <t>LOW (40%)</t>
        </is>
      </c>
      <c r="U1318" t="inlineStr">
        <is>
          <t>NONE</t>
        </is>
      </c>
      <c r="V1318" t="inlineStr">
        <is>
          <t>NONE</t>
        </is>
      </c>
      <c r="W1318" t="inlineStr">
        <is>
          <t>NONE</t>
        </is>
      </c>
      <c r="X1318" t="inlineStr">
        <is>
          <t>NONE</t>
        </is>
      </c>
      <c r="Y1318" t="n">
        <v>0</v>
      </c>
      <c r="Z1318" t="inlineStr"/>
      <c r="AA1318" t="inlineStr">
        <is>
          <t>https://www.spamhaus.org/drop/</t>
        </is>
      </c>
    </row>
    <row r="1319">
      <c r="A1319" t="inlineStr">
        <is>
          <t>FIREHOL_THREAT</t>
        </is>
      </c>
      <c r="B1319" t="inlineStr">
        <is>
          <t>19418b89cc5a</t>
        </is>
      </c>
      <c r="C1319" t="inlineStr">
        <is>
          <t>DROP List CIDR: 14.102.240.0/20 | FireHOL L1 threat IP/CIDR | ASN: FireHOL-L1</t>
        </is>
      </c>
      <c r="D1319" t="n">
        <v>6</v>
      </c>
      <c r="E1319" t="inlineStr">
        <is>
          <t>MEDIUM</t>
        </is>
      </c>
      <c r="F1319" t="n">
        <v>2</v>
      </c>
      <c r="G1319" t="n">
        <v>2</v>
      </c>
      <c r="H1319" t="inlineStr">
        <is>
          <t>MEDIUM</t>
        </is>
      </c>
      <c r="I1319" t="n">
        <v>10</v>
      </c>
      <c r="J1319" t="inlineStr">
        <is>
          <t>NO</t>
        </is>
      </c>
      <c r="K1319" t="inlineStr">
        <is>
          <t>2026-02-27 20:47</t>
        </is>
      </c>
      <c r="L1319" t="inlineStr">
        <is>
          <t>Block CIDR</t>
        </is>
      </c>
      <c r="M1319" t="inlineStr">
        <is>
          <t>Firewall/Email</t>
        </is>
      </c>
      <c r="N1319" t="inlineStr">
        <is>
          <t>P4</t>
        </is>
      </c>
      <c r="O1319" t="inlineStr">
        <is>
          <t>Spamhaus - CIDR range</t>
        </is>
      </c>
      <c r="P1319" t="n">
        <v>0</v>
      </c>
      <c r="Q1319" t="n">
        <v>0</v>
      </c>
      <c r="R1319" t="inlineStr">
        <is>
          <t>T1566:Phishing | T1078:Valid Accounts</t>
        </is>
      </c>
      <c r="S1319" t="n">
        <v>1</v>
      </c>
      <c r="T1319" t="inlineStr">
        <is>
          <t>LOW (40%)</t>
        </is>
      </c>
      <c r="U1319" t="inlineStr">
        <is>
          <t>NONE</t>
        </is>
      </c>
      <c r="V1319" t="inlineStr">
        <is>
          <t>NONE</t>
        </is>
      </c>
      <c r="W1319" t="inlineStr">
        <is>
          <t>NONE</t>
        </is>
      </c>
      <c r="X1319" t="inlineStr">
        <is>
          <t>NONE</t>
        </is>
      </c>
      <c r="Y1319" t="n">
        <v>0</v>
      </c>
      <c r="Z1319" t="inlineStr"/>
      <c r="AA1319" t="inlineStr">
        <is>
          <t>https://www.spamhaus.org/drop/</t>
        </is>
      </c>
    </row>
    <row r="1320">
      <c r="A1320" t="inlineStr">
        <is>
          <t>FIREHOL_THREAT</t>
        </is>
      </c>
      <c r="B1320" t="inlineStr">
        <is>
          <t>45af21402405</t>
        </is>
      </c>
      <c r="C1320" t="inlineStr">
        <is>
          <t>DROP List CIDR: 14.128.32.0/20 | FireHOL L1 threat IP/CIDR | ASN: FireHOL-L1</t>
        </is>
      </c>
      <c r="D1320" t="n">
        <v>6</v>
      </c>
      <c r="E1320" t="inlineStr">
        <is>
          <t>MEDIUM</t>
        </is>
      </c>
      <c r="F1320" t="n">
        <v>2</v>
      </c>
      <c r="G1320" t="n">
        <v>2</v>
      </c>
      <c r="H1320" t="inlineStr">
        <is>
          <t>MEDIUM</t>
        </is>
      </c>
      <c r="I1320" t="n">
        <v>10</v>
      </c>
      <c r="J1320" t="inlineStr">
        <is>
          <t>NO</t>
        </is>
      </c>
      <c r="K1320" t="inlineStr">
        <is>
          <t>2026-02-27 20:47</t>
        </is>
      </c>
      <c r="L1320" t="inlineStr">
        <is>
          <t>Block CIDR</t>
        </is>
      </c>
      <c r="M1320" t="inlineStr">
        <is>
          <t>Firewall/Email</t>
        </is>
      </c>
      <c r="N1320" t="inlineStr">
        <is>
          <t>P4</t>
        </is>
      </c>
      <c r="O1320" t="inlineStr">
        <is>
          <t>Spamhaus - CIDR range</t>
        </is>
      </c>
      <c r="P1320" t="n">
        <v>0</v>
      </c>
      <c r="Q1320" t="n">
        <v>0</v>
      </c>
      <c r="R1320" t="inlineStr">
        <is>
          <t>T1566:Phishing | T1078:Valid Accounts</t>
        </is>
      </c>
      <c r="S1320" t="n">
        <v>1</v>
      </c>
      <c r="T1320" t="inlineStr">
        <is>
          <t>LOW (40%)</t>
        </is>
      </c>
      <c r="U1320" t="inlineStr">
        <is>
          <t>NONE</t>
        </is>
      </c>
      <c r="V1320" t="inlineStr">
        <is>
          <t>NONE</t>
        </is>
      </c>
      <c r="W1320" t="inlineStr">
        <is>
          <t>NONE</t>
        </is>
      </c>
      <c r="X1320" t="inlineStr">
        <is>
          <t>NONE</t>
        </is>
      </c>
      <c r="Y1320" t="n">
        <v>0</v>
      </c>
      <c r="Z1320" t="inlineStr"/>
      <c r="AA1320" t="inlineStr">
        <is>
          <t>https://www.spamhaus.org/drop/</t>
        </is>
      </c>
    </row>
    <row r="1321">
      <c r="A1321" t="inlineStr">
        <is>
          <t>FIREHOL_THREAT</t>
        </is>
      </c>
      <c r="B1321" t="inlineStr">
        <is>
          <t>88b39c15dff0</t>
        </is>
      </c>
      <c r="C1321" t="inlineStr">
        <is>
          <t>DROP List CIDR: 1.1.179.83 | FireHOL L2 threat IP/CIDR | ASN: FireHOL-L2</t>
        </is>
      </c>
      <c r="D1321" t="n">
        <v>6</v>
      </c>
      <c r="E1321" t="inlineStr">
        <is>
          <t>MEDIUM</t>
        </is>
      </c>
      <c r="F1321" t="n">
        <v>2</v>
      </c>
      <c r="G1321" t="n">
        <v>2</v>
      </c>
      <c r="H1321" t="inlineStr">
        <is>
          <t>MEDIUM</t>
        </is>
      </c>
      <c r="I1321" t="n">
        <v>10</v>
      </c>
      <c r="J1321" t="inlineStr">
        <is>
          <t>NO</t>
        </is>
      </c>
      <c r="K1321" t="inlineStr">
        <is>
          <t>2026-02-27 20:47</t>
        </is>
      </c>
      <c r="L1321" t="inlineStr">
        <is>
          <t>Block CIDR</t>
        </is>
      </c>
      <c r="M1321" t="inlineStr">
        <is>
          <t>Firewall/Email</t>
        </is>
      </c>
      <c r="N1321" t="inlineStr">
        <is>
          <t>P4</t>
        </is>
      </c>
      <c r="O1321" t="inlineStr">
        <is>
          <t>Spamhaus - CIDR range</t>
        </is>
      </c>
      <c r="P1321" t="n">
        <v>0</v>
      </c>
      <c r="Q1321" t="n">
        <v>0</v>
      </c>
      <c r="R1321" t="inlineStr">
        <is>
          <t>T1566:Phishing | T1078:Valid Accounts</t>
        </is>
      </c>
      <c r="S1321" t="n">
        <v>1</v>
      </c>
      <c r="T1321" t="inlineStr">
        <is>
          <t>LOW (40%)</t>
        </is>
      </c>
      <c r="U1321" t="inlineStr">
        <is>
          <t>NONE</t>
        </is>
      </c>
      <c r="V1321" t="inlineStr">
        <is>
          <t>NONE</t>
        </is>
      </c>
      <c r="W1321" t="inlineStr">
        <is>
          <t>NONE</t>
        </is>
      </c>
      <c r="X1321" t="inlineStr">
        <is>
          <t>NONE</t>
        </is>
      </c>
      <c r="Y1321" t="n">
        <v>0</v>
      </c>
      <c r="Z1321" t="inlineStr"/>
      <c r="AA1321" t="inlineStr">
        <is>
          <t>https://www.spamhaus.org/drop/</t>
        </is>
      </c>
    </row>
    <row r="1322">
      <c r="A1322" t="inlineStr">
        <is>
          <t>FIREHOL_THREAT</t>
        </is>
      </c>
      <c r="B1322" t="inlineStr">
        <is>
          <t>339937eb8b72</t>
        </is>
      </c>
      <c r="C1322" t="inlineStr">
        <is>
          <t>DROP List CIDR: 1.10.182.240 | FireHOL L2 threat IP/CIDR | ASN: FireHOL-L2</t>
        </is>
      </c>
      <c r="D1322" t="n">
        <v>6</v>
      </c>
      <c r="E1322" t="inlineStr">
        <is>
          <t>MEDIUM</t>
        </is>
      </c>
      <c r="F1322" t="n">
        <v>2</v>
      </c>
      <c r="G1322" t="n">
        <v>2</v>
      </c>
      <c r="H1322" t="inlineStr">
        <is>
          <t>MEDIUM</t>
        </is>
      </c>
      <c r="I1322" t="n">
        <v>10</v>
      </c>
      <c r="J1322" t="inlineStr">
        <is>
          <t>NO</t>
        </is>
      </c>
      <c r="K1322" t="inlineStr">
        <is>
          <t>2026-02-27 20:47</t>
        </is>
      </c>
      <c r="L1322" t="inlineStr">
        <is>
          <t>Block CIDR</t>
        </is>
      </c>
      <c r="M1322" t="inlineStr">
        <is>
          <t>Firewall/Email</t>
        </is>
      </c>
      <c r="N1322" t="inlineStr">
        <is>
          <t>P4</t>
        </is>
      </c>
      <c r="O1322" t="inlineStr">
        <is>
          <t>Spamhaus - CIDR range</t>
        </is>
      </c>
      <c r="P1322" t="n">
        <v>0</v>
      </c>
      <c r="Q1322" t="n">
        <v>0</v>
      </c>
      <c r="R1322" t="inlineStr">
        <is>
          <t>T1566:Phishing | T1078:Valid Accounts</t>
        </is>
      </c>
      <c r="S1322" t="n">
        <v>1</v>
      </c>
      <c r="T1322" t="inlineStr">
        <is>
          <t>LOW (40%)</t>
        </is>
      </c>
      <c r="U1322" t="inlineStr">
        <is>
          <t>NONE</t>
        </is>
      </c>
      <c r="V1322" t="inlineStr">
        <is>
          <t>NONE</t>
        </is>
      </c>
      <c r="W1322" t="inlineStr">
        <is>
          <t>NONE</t>
        </is>
      </c>
      <c r="X1322" t="inlineStr">
        <is>
          <t>NONE</t>
        </is>
      </c>
      <c r="Y1322" t="n">
        <v>0</v>
      </c>
      <c r="Z1322" t="inlineStr"/>
      <c r="AA1322" t="inlineStr">
        <is>
          <t>https://www.spamhaus.org/drop/</t>
        </is>
      </c>
    </row>
    <row r="1323">
      <c r="A1323" t="inlineStr">
        <is>
          <t>FIREHOL_THREAT</t>
        </is>
      </c>
      <c r="B1323" t="inlineStr">
        <is>
          <t>ad7b0e2ec0a2</t>
        </is>
      </c>
      <c r="C1323" t="inlineStr">
        <is>
          <t>DROP List CIDR: 1.10.205.170 | FireHOL L2 threat IP/CIDR | ASN: FireHOL-L2</t>
        </is>
      </c>
      <c r="D1323" t="n">
        <v>6</v>
      </c>
      <c r="E1323" t="inlineStr">
        <is>
          <t>MEDIUM</t>
        </is>
      </c>
      <c r="F1323" t="n">
        <v>2</v>
      </c>
      <c r="G1323" t="n">
        <v>2</v>
      </c>
      <c r="H1323" t="inlineStr">
        <is>
          <t>MEDIUM</t>
        </is>
      </c>
      <c r="I1323" t="n">
        <v>10</v>
      </c>
      <c r="J1323" t="inlineStr">
        <is>
          <t>NO</t>
        </is>
      </c>
      <c r="K1323" t="inlineStr">
        <is>
          <t>2026-02-27 20:47</t>
        </is>
      </c>
      <c r="L1323" t="inlineStr">
        <is>
          <t>Block CIDR</t>
        </is>
      </c>
      <c r="M1323" t="inlineStr">
        <is>
          <t>Firewall/Email</t>
        </is>
      </c>
      <c r="N1323" t="inlineStr">
        <is>
          <t>P4</t>
        </is>
      </c>
      <c r="O1323" t="inlineStr">
        <is>
          <t>Spamhaus - CIDR range</t>
        </is>
      </c>
      <c r="P1323" t="n">
        <v>0</v>
      </c>
      <c r="Q1323" t="n">
        <v>0</v>
      </c>
      <c r="R1323" t="inlineStr">
        <is>
          <t>T1566:Phishing | T1078:Valid Accounts</t>
        </is>
      </c>
      <c r="S1323" t="n">
        <v>1</v>
      </c>
      <c r="T1323" t="inlineStr">
        <is>
          <t>LOW (40%)</t>
        </is>
      </c>
      <c r="U1323" t="inlineStr">
        <is>
          <t>NONE</t>
        </is>
      </c>
      <c r="V1323" t="inlineStr">
        <is>
          <t>NONE</t>
        </is>
      </c>
      <c r="W1323" t="inlineStr">
        <is>
          <t>NONE</t>
        </is>
      </c>
      <c r="X1323" t="inlineStr">
        <is>
          <t>NONE</t>
        </is>
      </c>
      <c r="Y1323" t="n">
        <v>0</v>
      </c>
      <c r="Z1323" t="inlineStr"/>
      <c r="AA1323" t="inlineStr">
        <is>
          <t>https://www.spamhaus.org/drop/</t>
        </is>
      </c>
    </row>
    <row r="1324">
      <c r="A1324" t="inlineStr">
        <is>
          <t>FIREHOL_THREAT</t>
        </is>
      </c>
      <c r="B1324" t="inlineStr">
        <is>
          <t>b923bab4c9da</t>
        </is>
      </c>
      <c r="C1324" t="inlineStr">
        <is>
          <t>DROP List CIDR: 1.10.225.52 | FireHOL L2 threat IP/CIDR | ASN: FireHOL-L2</t>
        </is>
      </c>
      <c r="D1324" t="n">
        <v>6</v>
      </c>
      <c r="E1324" t="inlineStr">
        <is>
          <t>MEDIUM</t>
        </is>
      </c>
      <c r="F1324" t="n">
        <v>2</v>
      </c>
      <c r="G1324" t="n">
        <v>2</v>
      </c>
      <c r="H1324" t="inlineStr">
        <is>
          <t>MEDIUM</t>
        </is>
      </c>
      <c r="I1324" t="n">
        <v>10</v>
      </c>
      <c r="J1324" t="inlineStr">
        <is>
          <t>NO</t>
        </is>
      </c>
      <c r="K1324" t="inlineStr">
        <is>
          <t>2026-02-27 20:47</t>
        </is>
      </c>
      <c r="L1324" t="inlineStr">
        <is>
          <t>Block CIDR</t>
        </is>
      </c>
      <c r="M1324" t="inlineStr">
        <is>
          <t>Firewall/Email</t>
        </is>
      </c>
      <c r="N1324" t="inlineStr">
        <is>
          <t>P4</t>
        </is>
      </c>
      <c r="O1324" t="inlineStr">
        <is>
          <t>Spamhaus - CIDR range</t>
        </is>
      </c>
      <c r="P1324" t="n">
        <v>0</v>
      </c>
      <c r="Q1324" t="n">
        <v>0</v>
      </c>
      <c r="R1324" t="inlineStr">
        <is>
          <t>T1566:Phishing | T1078:Valid Accounts</t>
        </is>
      </c>
      <c r="S1324" t="n">
        <v>1</v>
      </c>
      <c r="T1324" t="inlineStr">
        <is>
          <t>LOW (40%)</t>
        </is>
      </c>
      <c r="U1324" t="inlineStr">
        <is>
          <t>NONE</t>
        </is>
      </c>
      <c r="V1324" t="inlineStr">
        <is>
          <t>NONE</t>
        </is>
      </c>
      <c r="W1324" t="inlineStr">
        <is>
          <t>NONE</t>
        </is>
      </c>
      <c r="X1324" t="inlineStr">
        <is>
          <t>NONE</t>
        </is>
      </c>
      <c r="Y1324" t="n">
        <v>0</v>
      </c>
      <c r="Z1324" t="inlineStr"/>
      <c r="AA1324" t="inlineStr">
        <is>
          <t>https://www.spamhaus.org/drop/</t>
        </is>
      </c>
    </row>
    <row r="1325">
      <c r="A1325" t="inlineStr">
        <is>
          <t>FIREHOL_THREAT</t>
        </is>
      </c>
      <c r="B1325" t="inlineStr">
        <is>
          <t>960dc4429546</t>
        </is>
      </c>
      <c r="C1325" t="inlineStr">
        <is>
          <t>DROP List CIDR: 1.12.48.131 | FireHOL L2 threat IP/CIDR | ASN: FireHOL-L2</t>
        </is>
      </c>
      <c r="D1325" t="n">
        <v>6</v>
      </c>
      <c r="E1325" t="inlineStr">
        <is>
          <t>MEDIUM</t>
        </is>
      </c>
      <c r="F1325" t="n">
        <v>2</v>
      </c>
      <c r="G1325" t="n">
        <v>2</v>
      </c>
      <c r="H1325" t="inlineStr">
        <is>
          <t>MEDIUM</t>
        </is>
      </c>
      <c r="I1325" t="n">
        <v>10</v>
      </c>
      <c r="J1325" t="inlineStr">
        <is>
          <t>NO</t>
        </is>
      </c>
      <c r="K1325" t="inlineStr">
        <is>
          <t>2026-02-27 20:47</t>
        </is>
      </c>
      <c r="L1325" t="inlineStr">
        <is>
          <t>Block CIDR</t>
        </is>
      </c>
      <c r="M1325" t="inlineStr">
        <is>
          <t>Firewall/Email</t>
        </is>
      </c>
      <c r="N1325" t="inlineStr">
        <is>
          <t>P4</t>
        </is>
      </c>
      <c r="O1325" t="inlineStr">
        <is>
          <t>Spamhaus - CIDR range</t>
        </is>
      </c>
      <c r="P1325" t="n">
        <v>0</v>
      </c>
      <c r="Q1325" t="n">
        <v>0</v>
      </c>
      <c r="R1325" t="inlineStr">
        <is>
          <t>T1566:Phishing | T1078:Valid Accounts</t>
        </is>
      </c>
      <c r="S1325" t="n">
        <v>1</v>
      </c>
      <c r="T1325" t="inlineStr">
        <is>
          <t>LOW (40%)</t>
        </is>
      </c>
      <c r="U1325" t="inlineStr">
        <is>
          <t>NONE</t>
        </is>
      </c>
      <c r="V1325" t="inlineStr">
        <is>
          <t>NONE</t>
        </is>
      </c>
      <c r="W1325" t="inlineStr">
        <is>
          <t>NONE</t>
        </is>
      </c>
      <c r="X1325" t="inlineStr">
        <is>
          <t>NONE</t>
        </is>
      </c>
      <c r="Y1325" t="n">
        <v>0</v>
      </c>
      <c r="Z1325" t="inlineStr"/>
      <c r="AA1325" t="inlineStr">
        <is>
          <t>https://www.spamhaus.org/drop/</t>
        </is>
      </c>
    </row>
    <row r="1326">
      <c r="A1326" t="inlineStr">
        <is>
          <t>FIREHOL_THREAT</t>
        </is>
      </c>
      <c r="B1326" t="inlineStr">
        <is>
          <t>4eefa27549e0</t>
        </is>
      </c>
      <c r="C1326" t="inlineStr">
        <is>
          <t>DROP List CIDR: 1.12.55.42 | FireHOL L2 threat IP/CIDR | ASN: FireHOL-L2</t>
        </is>
      </c>
      <c r="D1326" t="n">
        <v>6</v>
      </c>
      <c r="E1326" t="inlineStr">
        <is>
          <t>MEDIUM</t>
        </is>
      </c>
      <c r="F1326" t="n">
        <v>2</v>
      </c>
      <c r="G1326" t="n">
        <v>2</v>
      </c>
      <c r="H1326" t="inlineStr">
        <is>
          <t>MEDIUM</t>
        </is>
      </c>
      <c r="I1326" t="n">
        <v>10</v>
      </c>
      <c r="J1326" t="inlineStr">
        <is>
          <t>NO</t>
        </is>
      </c>
      <c r="K1326" t="inlineStr">
        <is>
          <t>2026-02-27 20:47</t>
        </is>
      </c>
      <c r="L1326" t="inlineStr">
        <is>
          <t>Block CIDR</t>
        </is>
      </c>
      <c r="M1326" t="inlineStr">
        <is>
          <t>Firewall/Email</t>
        </is>
      </c>
      <c r="N1326" t="inlineStr">
        <is>
          <t>P4</t>
        </is>
      </c>
      <c r="O1326" t="inlineStr">
        <is>
          <t>Spamhaus - CIDR range</t>
        </is>
      </c>
      <c r="P1326" t="n">
        <v>0</v>
      </c>
      <c r="Q1326" t="n">
        <v>0</v>
      </c>
      <c r="R1326" t="inlineStr">
        <is>
          <t>T1566:Phishing | T1078:Valid Accounts</t>
        </is>
      </c>
      <c r="S1326" t="n">
        <v>1</v>
      </c>
      <c r="T1326" t="inlineStr">
        <is>
          <t>LOW (40%)</t>
        </is>
      </c>
      <c r="U1326" t="inlineStr">
        <is>
          <t>NONE</t>
        </is>
      </c>
      <c r="V1326" t="inlineStr">
        <is>
          <t>NONE</t>
        </is>
      </c>
      <c r="W1326" t="inlineStr">
        <is>
          <t>NONE</t>
        </is>
      </c>
      <c r="X1326" t="inlineStr">
        <is>
          <t>NONE</t>
        </is>
      </c>
      <c r="Y1326" t="n">
        <v>0</v>
      </c>
      <c r="Z1326" t="inlineStr"/>
      <c r="AA1326" t="inlineStr">
        <is>
          <t>https://www.spamhaus.org/drop/</t>
        </is>
      </c>
    </row>
    <row r="1327">
      <c r="A1327" t="inlineStr">
        <is>
          <t>FIREHOL_THREAT</t>
        </is>
      </c>
      <c r="B1327" t="inlineStr">
        <is>
          <t>0b0d18fbf54e</t>
        </is>
      </c>
      <c r="C1327" t="inlineStr">
        <is>
          <t>DROP List CIDR: 1.14.12.141 | FireHOL L2 threat IP/CIDR | ASN: FireHOL-L2</t>
        </is>
      </c>
      <c r="D1327" t="n">
        <v>6</v>
      </c>
      <c r="E1327" t="inlineStr">
        <is>
          <t>MEDIUM</t>
        </is>
      </c>
      <c r="F1327" t="n">
        <v>2</v>
      </c>
      <c r="G1327" t="n">
        <v>2</v>
      </c>
      <c r="H1327" t="inlineStr">
        <is>
          <t>MEDIUM</t>
        </is>
      </c>
      <c r="I1327" t="n">
        <v>10</v>
      </c>
      <c r="J1327" t="inlineStr">
        <is>
          <t>NO</t>
        </is>
      </c>
      <c r="K1327" t="inlineStr">
        <is>
          <t>2026-02-27 20:47</t>
        </is>
      </c>
      <c r="L1327" t="inlineStr">
        <is>
          <t>Block CIDR</t>
        </is>
      </c>
      <c r="M1327" t="inlineStr">
        <is>
          <t>Firewall/Email</t>
        </is>
      </c>
      <c r="N1327" t="inlineStr">
        <is>
          <t>P4</t>
        </is>
      </c>
      <c r="O1327" t="inlineStr">
        <is>
          <t>Spamhaus - CIDR range</t>
        </is>
      </c>
      <c r="P1327" t="n">
        <v>0</v>
      </c>
      <c r="Q1327" t="n">
        <v>0</v>
      </c>
      <c r="R1327" t="inlineStr">
        <is>
          <t>T1566:Phishing | T1078:Valid Accounts</t>
        </is>
      </c>
      <c r="S1327" t="n">
        <v>1</v>
      </c>
      <c r="T1327" t="inlineStr">
        <is>
          <t>LOW (40%)</t>
        </is>
      </c>
      <c r="U1327" t="inlineStr">
        <is>
          <t>NONE</t>
        </is>
      </c>
      <c r="V1327" t="inlineStr">
        <is>
          <t>NONE</t>
        </is>
      </c>
      <c r="W1327" t="inlineStr">
        <is>
          <t>NONE</t>
        </is>
      </c>
      <c r="X1327" t="inlineStr">
        <is>
          <t>NONE</t>
        </is>
      </c>
      <c r="Y1327" t="n">
        <v>0</v>
      </c>
      <c r="Z1327" t="inlineStr"/>
      <c r="AA1327" t="inlineStr">
        <is>
          <t>https://www.spamhaus.org/drop/</t>
        </is>
      </c>
    </row>
    <row r="1328">
      <c r="A1328" t="inlineStr">
        <is>
          <t>FIREHOL_THREAT</t>
        </is>
      </c>
      <c r="B1328" t="inlineStr">
        <is>
          <t>1c994f7ff000</t>
        </is>
      </c>
      <c r="C1328" t="inlineStr">
        <is>
          <t>DROP List CIDR: 1.14.254.146 | FireHOL L2 threat IP/CIDR | ASN: FireHOL-L2</t>
        </is>
      </c>
      <c r="D1328" t="n">
        <v>6</v>
      </c>
      <c r="E1328" t="inlineStr">
        <is>
          <t>MEDIUM</t>
        </is>
      </c>
      <c r="F1328" t="n">
        <v>2</v>
      </c>
      <c r="G1328" t="n">
        <v>2</v>
      </c>
      <c r="H1328" t="inlineStr">
        <is>
          <t>MEDIUM</t>
        </is>
      </c>
      <c r="I1328" t="n">
        <v>10</v>
      </c>
      <c r="J1328" t="inlineStr">
        <is>
          <t>NO</t>
        </is>
      </c>
      <c r="K1328" t="inlineStr">
        <is>
          <t>2026-02-27 20:47</t>
        </is>
      </c>
      <c r="L1328" t="inlineStr">
        <is>
          <t>Block CIDR</t>
        </is>
      </c>
      <c r="M1328" t="inlineStr">
        <is>
          <t>Firewall/Email</t>
        </is>
      </c>
      <c r="N1328" t="inlineStr">
        <is>
          <t>P4</t>
        </is>
      </c>
      <c r="O1328" t="inlineStr">
        <is>
          <t>Spamhaus - CIDR range</t>
        </is>
      </c>
      <c r="P1328" t="n">
        <v>0</v>
      </c>
      <c r="Q1328" t="n">
        <v>0</v>
      </c>
      <c r="R1328" t="inlineStr">
        <is>
          <t>T1566:Phishing | T1078:Valid Accounts</t>
        </is>
      </c>
      <c r="S1328" t="n">
        <v>1</v>
      </c>
      <c r="T1328" t="inlineStr">
        <is>
          <t>LOW (40%)</t>
        </is>
      </c>
      <c r="U1328" t="inlineStr">
        <is>
          <t>NONE</t>
        </is>
      </c>
      <c r="V1328" t="inlineStr">
        <is>
          <t>NONE</t>
        </is>
      </c>
      <c r="W1328" t="inlineStr">
        <is>
          <t>NONE</t>
        </is>
      </c>
      <c r="X1328" t="inlineStr">
        <is>
          <t>NONE</t>
        </is>
      </c>
      <c r="Y1328" t="n">
        <v>0</v>
      </c>
      <c r="Z1328" t="inlineStr"/>
      <c r="AA1328" t="inlineStr">
        <is>
          <t>https://www.spamhaus.org/drop/</t>
        </is>
      </c>
    </row>
    <row r="1329">
      <c r="A1329" t="inlineStr">
        <is>
          <t>FIREHOL_THREAT</t>
        </is>
      </c>
      <c r="B1329" t="inlineStr">
        <is>
          <t>b2c07aa1d291</t>
        </is>
      </c>
      <c r="C1329" t="inlineStr">
        <is>
          <t>DROP List CIDR: 1.15.136.28 | FireHOL L2 threat IP/CIDR | ASN: FireHOL-L2</t>
        </is>
      </c>
      <c r="D1329" t="n">
        <v>6</v>
      </c>
      <c r="E1329" t="inlineStr">
        <is>
          <t>MEDIUM</t>
        </is>
      </c>
      <c r="F1329" t="n">
        <v>2</v>
      </c>
      <c r="G1329" t="n">
        <v>2</v>
      </c>
      <c r="H1329" t="inlineStr">
        <is>
          <t>MEDIUM</t>
        </is>
      </c>
      <c r="I1329" t="n">
        <v>10</v>
      </c>
      <c r="J1329" t="inlineStr">
        <is>
          <t>NO</t>
        </is>
      </c>
      <c r="K1329" t="inlineStr">
        <is>
          <t>2026-02-27 20:47</t>
        </is>
      </c>
      <c r="L1329" t="inlineStr">
        <is>
          <t>Block CIDR</t>
        </is>
      </c>
      <c r="M1329" t="inlineStr">
        <is>
          <t>Firewall/Email</t>
        </is>
      </c>
      <c r="N1329" t="inlineStr">
        <is>
          <t>P4</t>
        </is>
      </c>
      <c r="O1329" t="inlineStr">
        <is>
          <t>Spamhaus - CIDR range</t>
        </is>
      </c>
      <c r="P1329" t="n">
        <v>0</v>
      </c>
      <c r="Q1329" t="n">
        <v>0</v>
      </c>
      <c r="R1329" t="inlineStr">
        <is>
          <t>T1566:Phishing | T1078:Valid Accounts</t>
        </is>
      </c>
      <c r="S1329" t="n">
        <v>1</v>
      </c>
      <c r="T1329" t="inlineStr">
        <is>
          <t>LOW (40%)</t>
        </is>
      </c>
      <c r="U1329" t="inlineStr">
        <is>
          <t>NONE</t>
        </is>
      </c>
      <c r="V1329" t="inlineStr">
        <is>
          <t>NONE</t>
        </is>
      </c>
      <c r="W1329" t="inlineStr">
        <is>
          <t>NONE</t>
        </is>
      </c>
      <c r="X1329" t="inlineStr">
        <is>
          <t>NONE</t>
        </is>
      </c>
      <c r="Y1329" t="n">
        <v>0</v>
      </c>
      <c r="Z1329" t="inlineStr"/>
      <c r="AA1329" t="inlineStr">
        <is>
          <t>https://www.spamhaus.org/drop/</t>
        </is>
      </c>
    </row>
    <row r="1330">
      <c r="A1330" t="inlineStr">
        <is>
          <t>FIREHOL_THREAT</t>
        </is>
      </c>
      <c r="B1330" t="inlineStr">
        <is>
          <t>996b0d132082</t>
        </is>
      </c>
      <c r="C1330" t="inlineStr">
        <is>
          <t>DROP List CIDR: 1.20.91.61 | FireHOL L2 threat IP/CIDR | ASN: FireHOL-L2</t>
        </is>
      </c>
      <c r="D1330" t="n">
        <v>6</v>
      </c>
      <c r="E1330" t="inlineStr">
        <is>
          <t>MEDIUM</t>
        </is>
      </c>
      <c r="F1330" t="n">
        <v>2</v>
      </c>
      <c r="G1330" t="n">
        <v>2</v>
      </c>
      <c r="H1330" t="inlineStr">
        <is>
          <t>MEDIUM</t>
        </is>
      </c>
      <c r="I1330" t="n">
        <v>10</v>
      </c>
      <c r="J1330" t="inlineStr">
        <is>
          <t>NO</t>
        </is>
      </c>
      <c r="K1330" t="inlineStr">
        <is>
          <t>2026-02-27 20:47</t>
        </is>
      </c>
      <c r="L1330" t="inlineStr">
        <is>
          <t>Block CIDR</t>
        </is>
      </c>
      <c r="M1330" t="inlineStr">
        <is>
          <t>Firewall/Email</t>
        </is>
      </c>
      <c r="N1330" t="inlineStr">
        <is>
          <t>P4</t>
        </is>
      </c>
      <c r="O1330" t="inlineStr">
        <is>
          <t>Spamhaus - CIDR range</t>
        </is>
      </c>
      <c r="P1330" t="n">
        <v>0</v>
      </c>
      <c r="Q1330" t="n">
        <v>0</v>
      </c>
      <c r="R1330" t="inlineStr">
        <is>
          <t>T1566:Phishing | T1078:Valid Accounts</t>
        </is>
      </c>
      <c r="S1330" t="n">
        <v>1</v>
      </c>
      <c r="T1330" t="inlineStr">
        <is>
          <t>LOW (40%)</t>
        </is>
      </c>
      <c r="U1330" t="inlineStr">
        <is>
          <t>NONE</t>
        </is>
      </c>
      <c r="V1330" t="inlineStr">
        <is>
          <t>NONE</t>
        </is>
      </c>
      <c r="W1330" t="inlineStr">
        <is>
          <t>NONE</t>
        </is>
      </c>
      <c r="X1330" t="inlineStr">
        <is>
          <t>NONE</t>
        </is>
      </c>
      <c r="Y1330" t="n">
        <v>0</v>
      </c>
      <c r="Z1330" t="inlineStr"/>
      <c r="AA1330" t="inlineStr">
        <is>
          <t>https://www.spamhaus.org/drop/</t>
        </is>
      </c>
    </row>
    <row r="1331">
      <c r="A1331" t="inlineStr">
        <is>
          <t>FIREHOL_THREAT</t>
        </is>
      </c>
      <c r="B1331" t="inlineStr">
        <is>
          <t>d28316cdbee2</t>
        </is>
      </c>
      <c r="C1331" t="inlineStr">
        <is>
          <t>DROP List CIDR: 1.24.210.27 | FireHOL L2 threat IP/CIDR | ASN: FireHOL-L2</t>
        </is>
      </c>
      <c r="D1331" t="n">
        <v>6</v>
      </c>
      <c r="E1331" t="inlineStr">
        <is>
          <t>MEDIUM</t>
        </is>
      </c>
      <c r="F1331" t="n">
        <v>2</v>
      </c>
      <c r="G1331" t="n">
        <v>2</v>
      </c>
      <c r="H1331" t="inlineStr">
        <is>
          <t>MEDIUM</t>
        </is>
      </c>
      <c r="I1331" t="n">
        <v>10</v>
      </c>
      <c r="J1331" t="inlineStr">
        <is>
          <t>NO</t>
        </is>
      </c>
      <c r="K1331" t="inlineStr">
        <is>
          <t>2026-02-27 20:47</t>
        </is>
      </c>
      <c r="L1331" t="inlineStr">
        <is>
          <t>Block CIDR</t>
        </is>
      </c>
      <c r="M1331" t="inlineStr">
        <is>
          <t>Firewall/Email</t>
        </is>
      </c>
      <c r="N1331" t="inlineStr">
        <is>
          <t>P4</t>
        </is>
      </c>
      <c r="O1331" t="inlineStr">
        <is>
          <t>Spamhaus - CIDR range</t>
        </is>
      </c>
      <c r="P1331" t="n">
        <v>0</v>
      </c>
      <c r="Q1331" t="n">
        <v>0</v>
      </c>
      <c r="R1331" t="inlineStr">
        <is>
          <t>T1566:Phishing | T1078:Valid Accounts</t>
        </is>
      </c>
      <c r="S1331" t="n">
        <v>1</v>
      </c>
      <c r="T1331" t="inlineStr">
        <is>
          <t>LOW (40%)</t>
        </is>
      </c>
      <c r="U1331" t="inlineStr">
        <is>
          <t>NONE</t>
        </is>
      </c>
      <c r="V1331" t="inlineStr">
        <is>
          <t>NONE</t>
        </is>
      </c>
      <c r="W1331" t="inlineStr">
        <is>
          <t>NONE</t>
        </is>
      </c>
      <c r="X1331" t="inlineStr">
        <is>
          <t>NONE</t>
        </is>
      </c>
      <c r="Y1331" t="n">
        <v>0</v>
      </c>
      <c r="Z1331" t="inlineStr"/>
      <c r="AA1331" t="inlineStr">
        <is>
          <t>https://www.spamhaus.org/drop/</t>
        </is>
      </c>
    </row>
    <row r="1332">
      <c r="A1332" t="inlineStr">
        <is>
          <t>FIREHOL_THREAT</t>
        </is>
      </c>
      <c r="B1332" t="inlineStr">
        <is>
          <t>286e31c4d50b</t>
        </is>
      </c>
      <c r="C1332" t="inlineStr">
        <is>
          <t>DROP List CIDR: 1.30.20.98 | FireHOL L2 threat IP/CIDR | ASN: FireHOL-L2</t>
        </is>
      </c>
      <c r="D1332" t="n">
        <v>6</v>
      </c>
      <c r="E1332" t="inlineStr">
        <is>
          <t>MEDIUM</t>
        </is>
      </c>
      <c r="F1332" t="n">
        <v>2</v>
      </c>
      <c r="G1332" t="n">
        <v>2</v>
      </c>
      <c r="H1332" t="inlineStr">
        <is>
          <t>MEDIUM</t>
        </is>
      </c>
      <c r="I1332" t="n">
        <v>10</v>
      </c>
      <c r="J1332" t="inlineStr">
        <is>
          <t>NO</t>
        </is>
      </c>
      <c r="K1332" t="inlineStr">
        <is>
          <t>2026-02-27 20:47</t>
        </is>
      </c>
      <c r="L1332" t="inlineStr">
        <is>
          <t>Block CIDR</t>
        </is>
      </c>
      <c r="M1332" t="inlineStr">
        <is>
          <t>Firewall/Email</t>
        </is>
      </c>
      <c r="N1332" t="inlineStr">
        <is>
          <t>P4</t>
        </is>
      </c>
      <c r="O1332" t="inlineStr">
        <is>
          <t>Spamhaus - CIDR range</t>
        </is>
      </c>
      <c r="P1332" t="n">
        <v>0</v>
      </c>
      <c r="Q1332" t="n">
        <v>0</v>
      </c>
      <c r="R1332" t="inlineStr">
        <is>
          <t>T1566:Phishing | T1078:Valid Accounts</t>
        </is>
      </c>
      <c r="S1332" t="n">
        <v>1</v>
      </c>
      <c r="T1332" t="inlineStr">
        <is>
          <t>LOW (40%)</t>
        </is>
      </c>
      <c r="U1332" t="inlineStr">
        <is>
          <t>NONE</t>
        </is>
      </c>
      <c r="V1332" t="inlineStr">
        <is>
          <t>NONE</t>
        </is>
      </c>
      <c r="W1332" t="inlineStr">
        <is>
          <t>NONE</t>
        </is>
      </c>
      <c r="X1332" t="inlineStr">
        <is>
          <t>NONE</t>
        </is>
      </c>
      <c r="Y1332" t="n">
        <v>0</v>
      </c>
      <c r="Z1332" t="inlineStr"/>
      <c r="AA1332" t="inlineStr">
        <is>
          <t>https://www.spamhaus.org/drop/</t>
        </is>
      </c>
    </row>
    <row r="1333">
      <c r="A1333" t="inlineStr">
        <is>
          <t>FIREHOL_THREAT</t>
        </is>
      </c>
      <c r="B1333" t="inlineStr">
        <is>
          <t>a6c72b943d06</t>
        </is>
      </c>
      <c r="C1333" t="inlineStr">
        <is>
          <t>DROP List CIDR: 1.30.20.238 | FireHOL L2 threat IP/CIDR | ASN: FireHOL-L2</t>
        </is>
      </c>
      <c r="D1333" t="n">
        <v>6</v>
      </c>
      <c r="E1333" t="inlineStr">
        <is>
          <t>MEDIUM</t>
        </is>
      </c>
      <c r="F1333" t="n">
        <v>2</v>
      </c>
      <c r="G1333" t="n">
        <v>2</v>
      </c>
      <c r="H1333" t="inlineStr">
        <is>
          <t>MEDIUM</t>
        </is>
      </c>
      <c r="I1333" t="n">
        <v>10</v>
      </c>
      <c r="J1333" t="inlineStr">
        <is>
          <t>NO</t>
        </is>
      </c>
      <c r="K1333" t="inlineStr">
        <is>
          <t>2026-02-27 20:47</t>
        </is>
      </c>
      <c r="L1333" t="inlineStr">
        <is>
          <t>Block CIDR</t>
        </is>
      </c>
      <c r="M1333" t="inlineStr">
        <is>
          <t>Firewall/Email</t>
        </is>
      </c>
      <c r="N1333" t="inlineStr">
        <is>
          <t>P4</t>
        </is>
      </c>
      <c r="O1333" t="inlineStr">
        <is>
          <t>Spamhaus - CIDR range</t>
        </is>
      </c>
      <c r="P1333" t="n">
        <v>0</v>
      </c>
      <c r="Q1333" t="n">
        <v>0</v>
      </c>
      <c r="R1333" t="inlineStr">
        <is>
          <t>T1566:Phishing | T1078:Valid Accounts</t>
        </is>
      </c>
      <c r="S1333" t="n">
        <v>1</v>
      </c>
      <c r="T1333" t="inlineStr">
        <is>
          <t>LOW (40%)</t>
        </is>
      </c>
      <c r="U1333" t="inlineStr">
        <is>
          <t>NONE</t>
        </is>
      </c>
      <c r="V1333" t="inlineStr">
        <is>
          <t>NONE</t>
        </is>
      </c>
      <c r="W1333" t="inlineStr">
        <is>
          <t>NONE</t>
        </is>
      </c>
      <c r="X1333" t="inlineStr">
        <is>
          <t>NONE</t>
        </is>
      </c>
      <c r="Y1333" t="n">
        <v>0</v>
      </c>
      <c r="Z1333" t="inlineStr"/>
      <c r="AA1333" t="inlineStr">
        <is>
          <t>https://www.spamhaus.org/drop/</t>
        </is>
      </c>
    </row>
    <row r="1334">
      <c r="A1334" t="inlineStr">
        <is>
          <t>FIREHOL_THREAT</t>
        </is>
      </c>
      <c r="B1334" t="inlineStr">
        <is>
          <t>4e6db5098243</t>
        </is>
      </c>
      <c r="C1334" t="inlineStr">
        <is>
          <t>DROP List CIDR: 1.30.199.218 | FireHOL L2 threat IP/CIDR | ASN: FireHOL-L2</t>
        </is>
      </c>
      <c r="D1334" t="n">
        <v>6</v>
      </c>
      <c r="E1334" t="inlineStr">
        <is>
          <t>MEDIUM</t>
        </is>
      </c>
      <c r="F1334" t="n">
        <v>2</v>
      </c>
      <c r="G1334" t="n">
        <v>2</v>
      </c>
      <c r="H1334" t="inlineStr">
        <is>
          <t>MEDIUM</t>
        </is>
      </c>
      <c r="I1334" t="n">
        <v>10</v>
      </c>
      <c r="J1334" t="inlineStr">
        <is>
          <t>NO</t>
        </is>
      </c>
      <c r="K1334" t="inlineStr">
        <is>
          <t>2026-02-27 20:47</t>
        </is>
      </c>
      <c r="L1334" t="inlineStr">
        <is>
          <t>Block CIDR</t>
        </is>
      </c>
      <c r="M1334" t="inlineStr">
        <is>
          <t>Firewall/Email</t>
        </is>
      </c>
      <c r="N1334" t="inlineStr">
        <is>
          <t>P4</t>
        </is>
      </c>
      <c r="O1334" t="inlineStr">
        <is>
          <t>Spamhaus - CIDR range</t>
        </is>
      </c>
      <c r="P1334" t="n">
        <v>0</v>
      </c>
      <c r="Q1334" t="n">
        <v>0</v>
      </c>
      <c r="R1334" t="inlineStr">
        <is>
          <t>T1566:Phishing | T1078:Valid Accounts</t>
        </is>
      </c>
      <c r="S1334" t="n">
        <v>1</v>
      </c>
      <c r="T1334" t="inlineStr">
        <is>
          <t>LOW (40%)</t>
        </is>
      </c>
      <c r="U1334" t="inlineStr">
        <is>
          <t>NONE</t>
        </is>
      </c>
      <c r="V1334" t="inlineStr">
        <is>
          <t>NONE</t>
        </is>
      </c>
      <c r="W1334" t="inlineStr">
        <is>
          <t>NONE</t>
        </is>
      </c>
      <c r="X1334" t="inlineStr">
        <is>
          <t>NONE</t>
        </is>
      </c>
      <c r="Y1334" t="n">
        <v>0</v>
      </c>
      <c r="Z1334" t="inlineStr"/>
      <c r="AA1334" t="inlineStr">
        <is>
          <t>https://www.spamhaus.org/drop/</t>
        </is>
      </c>
    </row>
    <row r="1335">
      <c r="A1335" t="inlineStr">
        <is>
          <t>FIREHOL_THREAT</t>
        </is>
      </c>
      <c r="B1335" t="inlineStr">
        <is>
          <t>12bfaf24ccb6</t>
        </is>
      </c>
      <c r="C1335" t="inlineStr">
        <is>
          <t>DROP List CIDR: 1.31.80.222 | FireHOL L2 threat IP/CIDR | ASN: FireHOL-L2</t>
        </is>
      </c>
      <c r="D1335" t="n">
        <v>6</v>
      </c>
      <c r="E1335" t="inlineStr">
        <is>
          <t>MEDIUM</t>
        </is>
      </c>
      <c r="F1335" t="n">
        <v>2</v>
      </c>
      <c r="G1335" t="n">
        <v>2</v>
      </c>
      <c r="H1335" t="inlineStr">
        <is>
          <t>MEDIUM</t>
        </is>
      </c>
      <c r="I1335" t="n">
        <v>10</v>
      </c>
      <c r="J1335" t="inlineStr">
        <is>
          <t>NO</t>
        </is>
      </c>
      <c r="K1335" t="inlineStr">
        <is>
          <t>2026-02-27 20:47</t>
        </is>
      </c>
      <c r="L1335" t="inlineStr">
        <is>
          <t>Block CIDR</t>
        </is>
      </c>
      <c r="M1335" t="inlineStr">
        <is>
          <t>Firewall/Email</t>
        </is>
      </c>
      <c r="N1335" t="inlineStr">
        <is>
          <t>P4</t>
        </is>
      </c>
      <c r="O1335" t="inlineStr">
        <is>
          <t>Spamhaus - CIDR range</t>
        </is>
      </c>
      <c r="P1335" t="n">
        <v>0</v>
      </c>
      <c r="Q1335" t="n">
        <v>0</v>
      </c>
      <c r="R1335" t="inlineStr">
        <is>
          <t>T1566:Phishing | T1078:Valid Accounts</t>
        </is>
      </c>
      <c r="S1335" t="n">
        <v>1</v>
      </c>
      <c r="T1335" t="inlineStr">
        <is>
          <t>LOW (40%)</t>
        </is>
      </c>
      <c r="U1335" t="inlineStr">
        <is>
          <t>NONE</t>
        </is>
      </c>
      <c r="V1335" t="inlineStr">
        <is>
          <t>NONE</t>
        </is>
      </c>
      <c r="W1335" t="inlineStr">
        <is>
          <t>NONE</t>
        </is>
      </c>
      <c r="X1335" t="inlineStr">
        <is>
          <t>NONE</t>
        </is>
      </c>
      <c r="Y1335" t="n">
        <v>0</v>
      </c>
      <c r="Z1335" t="inlineStr"/>
      <c r="AA1335" t="inlineStr">
        <is>
          <t>https://www.spamhaus.org/drop/</t>
        </is>
      </c>
    </row>
    <row r="1336">
      <c r="A1336" t="inlineStr">
        <is>
          <t>FIREHOL_THREAT</t>
        </is>
      </c>
      <c r="B1336" t="inlineStr">
        <is>
          <t>41c623fe7993</t>
        </is>
      </c>
      <c r="C1336" t="inlineStr">
        <is>
          <t>DROP List CIDR: 1.34.27.213 | FireHOL L2 threat IP/CIDR | ASN: FireHOL-L2</t>
        </is>
      </c>
      <c r="D1336" t="n">
        <v>6</v>
      </c>
      <c r="E1336" t="inlineStr">
        <is>
          <t>MEDIUM</t>
        </is>
      </c>
      <c r="F1336" t="n">
        <v>2</v>
      </c>
      <c r="G1336" t="n">
        <v>2</v>
      </c>
      <c r="H1336" t="inlineStr">
        <is>
          <t>MEDIUM</t>
        </is>
      </c>
      <c r="I1336" t="n">
        <v>10</v>
      </c>
      <c r="J1336" t="inlineStr">
        <is>
          <t>NO</t>
        </is>
      </c>
      <c r="K1336" t="inlineStr">
        <is>
          <t>2026-02-27 20:47</t>
        </is>
      </c>
      <c r="L1336" t="inlineStr">
        <is>
          <t>Block CIDR</t>
        </is>
      </c>
      <c r="M1336" t="inlineStr">
        <is>
          <t>Firewall/Email</t>
        </is>
      </c>
      <c r="N1336" t="inlineStr">
        <is>
          <t>P4</t>
        </is>
      </c>
      <c r="O1336" t="inlineStr">
        <is>
          <t>Spamhaus - CIDR range</t>
        </is>
      </c>
      <c r="P1336" t="n">
        <v>0</v>
      </c>
      <c r="Q1336" t="n">
        <v>0</v>
      </c>
      <c r="R1336" t="inlineStr">
        <is>
          <t>T1566:Phishing | T1078:Valid Accounts</t>
        </is>
      </c>
      <c r="S1336" t="n">
        <v>1</v>
      </c>
      <c r="T1336" t="inlineStr">
        <is>
          <t>LOW (40%)</t>
        </is>
      </c>
      <c r="U1336" t="inlineStr">
        <is>
          <t>NONE</t>
        </is>
      </c>
      <c r="V1336" t="inlineStr">
        <is>
          <t>NONE</t>
        </is>
      </c>
      <c r="W1336" t="inlineStr">
        <is>
          <t>NONE</t>
        </is>
      </c>
      <c r="X1336" t="inlineStr">
        <is>
          <t>NONE</t>
        </is>
      </c>
      <c r="Y1336" t="n">
        <v>0</v>
      </c>
      <c r="Z1336" t="inlineStr"/>
      <c r="AA1336" t="inlineStr">
        <is>
          <t>https://www.spamhaus.org/drop/</t>
        </is>
      </c>
    </row>
    <row r="1337">
      <c r="A1337" t="inlineStr">
        <is>
          <t>FIREHOL_THREAT</t>
        </is>
      </c>
      <c r="B1337" t="inlineStr">
        <is>
          <t>74a3da35f7f1</t>
        </is>
      </c>
      <c r="C1337" t="inlineStr">
        <is>
          <t>DROP List CIDR: 1.34.219.246 | FireHOL L2 threat IP/CIDR | ASN: FireHOL-L2</t>
        </is>
      </c>
      <c r="D1337" t="n">
        <v>6</v>
      </c>
      <c r="E1337" t="inlineStr">
        <is>
          <t>MEDIUM</t>
        </is>
      </c>
      <c r="F1337" t="n">
        <v>2</v>
      </c>
      <c r="G1337" t="n">
        <v>2</v>
      </c>
      <c r="H1337" t="inlineStr">
        <is>
          <t>MEDIUM</t>
        </is>
      </c>
      <c r="I1337" t="n">
        <v>10</v>
      </c>
      <c r="J1337" t="inlineStr">
        <is>
          <t>NO</t>
        </is>
      </c>
      <c r="K1337" t="inlineStr">
        <is>
          <t>2026-02-27 20:47</t>
        </is>
      </c>
      <c r="L1337" t="inlineStr">
        <is>
          <t>Block CIDR</t>
        </is>
      </c>
      <c r="M1337" t="inlineStr">
        <is>
          <t>Firewall/Email</t>
        </is>
      </c>
      <c r="N1337" t="inlineStr">
        <is>
          <t>P4</t>
        </is>
      </c>
      <c r="O1337" t="inlineStr">
        <is>
          <t>Spamhaus - CIDR range</t>
        </is>
      </c>
      <c r="P1337" t="n">
        <v>0</v>
      </c>
      <c r="Q1337" t="n">
        <v>0</v>
      </c>
      <c r="R1337" t="inlineStr">
        <is>
          <t>T1566:Phishing | T1078:Valid Accounts</t>
        </is>
      </c>
      <c r="S1337" t="n">
        <v>1</v>
      </c>
      <c r="T1337" t="inlineStr">
        <is>
          <t>LOW (40%)</t>
        </is>
      </c>
      <c r="U1337" t="inlineStr">
        <is>
          <t>NONE</t>
        </is>
      </c>
      <c r="V1337" t="inlineStr">
        <is>
          <t>NONE</t>
        </is>
      </c>
      <c r="W1337" t="inlineStr">
        <is>
          <t>NONE</t>
        </is>
      </c>
      <c r="X1337" t="inlineStr">
        <is>
          <t>NONE</t>
        </is>
      </c>
      <c r="Y1337" t="n">
        <v>0</v>
      </c>
      <c r="Z1337" t="inlineStr"/>
      <c r="AA1337" t="inlineStr">
        <is>
          <t>https://www.spamhaus.org/drop/</t>
        </is>
      </c>
    </row>
    <row r="1338">
      <c r="A1338" t="inlineStr">
        <is>
          <t>FIREHOL_THREAT</t>
        </is>
      </c>
      <c r="B1338" t="inlineStr">
        <is>
          <t>fccf04dab0d5</t>
        </is>
      </c>
      <c r="C1338" t="inlineStr">
        <is>
          <t>DROP List CIDR: 1.40.137.105 | FireHOL L2 threat IP/CIDR | ASN: FireHOL-L2</t>
        </is>
      </c>
      <c r="D1338" t="n">
        <v>6</v>
      </c>
      <c r="E1338" t="inlineStr">
        <is>
          <t>MEDIUM</t>
        </is>
      </c>
      <c r="F1338" t="n">
        <v>2</v>
      </c>
      <c r="G1338" t="n">
        <v>2</v>
      </c>
      <c r="H1338" t="inlineStr">
        <is>
          <t>MEDIUM</t>
        </is>
      </c>
      <c r="I1338" t="n">
        <v>10</v>
      </c>
      <c r="J1338" t="inlineStr">
        <is>
          <t>NO</t>
        </is>
      </c>
      <c r="K1338" t="inlineStr">
        <is>
          <t>2026-02-27 20:47</t>
        </is>
      </c>
      <c r="L1338" t="inlineStr">
        <is>
          <t>Block CIDR</t>
        </is>
      </c>
      <c r="M1338" t="inlineStr">
        <is>
          <t>Firewall/Email</t>
        </is>
      </c>
      <c r="N1338" t="inlineStr">
        <is>
          <t>P4</t>
        </is>
      </c>
      <c r="O1338" t="inlineStr">
        <is>
          <t>Spamhaus - CIDR range</t>
        </is>
      </c>
      <c r="P1338" t="n">
        <v>0</v>
      </c>
      <c r="Q1338" t="n">
        <v>0</v>
      </c>
      <c r="R1338" t="inlineStr">
        <is>
          <t>T1566:Phishing | T1078:Valid Accounts</t>
        </is>
      </c>
      <c r="S1338" t="n">
        <v>1</v>
      </c>
      <c r="T1338" t="inlineStr">
        <is>
          <t>LOW (40%)</t>
        </is>
      </c>
      <c r="U1338" t="inlineStr">
        <is>
          <t>NONE</t>
        </is>
      </c>
      <c r="V1338" t="inlineStr">
        <is>
          <t>NONE</t>
        </is>
      </c>
      <c r="W1338" t="inlineStr">
        <is>
          <t>NONE</t>
        </is>
      </c>
      <c r="X1338" t="inlineStr">
        <is>
          <t>NONE</t>
        </is>
      </c>
      <c r="Y1338" t="n">
        <v>0</v>
      </c>
      <c r="Z1338" t="inlineStr"/>
      <c r="AA1338" t="inlineStr">
        <is>
          <t>https://www.spamhaus.org/drop/</t>
        </is>
      </c>
    </row>
    <row r="1339">
      <c r="A1339" t="inlineStr">
        <is>
          <t>FIREHOL_THREAT</t>
        </is>
      </c>
      <c r="B1339" t="inlineStr">
        <is>
          <t>8dc6aeadd95a</t>
        </is>
      </c>
      <c r="C1339" t="inlineStr">
        <is>
          <t>DROP List CIDR: 1.55.33.86 | FireHOL L2 threat IP/CIDR | ASN: FireHOL-L2</t>
        </is>
      </c>
      <c r="D1339" t="n">
        <v>6</v>
      </c>
      <c r="E1339" t="inlineStr">
        <is>
          <t>MEDIUM</t>
        </is>
      </c>
      <c r="F1339" t="n">
        <v>2</v>
      </c>
      <c r="G1339" t="n">
        <v>2</v>
      </c>
      <c r="H1339" t="inlineStr">
        <is>
          <t>MEDIUM</t>
        </is>
      </c>
      <c r="I1339" t="n">
        <v>10</v>
      </c>
      <c r="J1339" t="inlineStr">
        <is>
          <t>NO</t>
        </is>
      </c>
      <c r="K1339" t="inlineStr">
        <is>
          <t>2026-02-27 20:47</t>
        </is>
      </c>
      <c r="L1339" t="inlineStr">
        <is>
          <t>Block CIDR</t>
        </is>
      </c>
      <c r="M1339" t="inlineStr">
        <is>
          <t>Firewall/Email</t>
        </is>
      </c>
      <c r="N1339" t="inlineStr">
        <is>
          <t>P4</t>
        </is>
      </c>
      <c r="O1339" t="inlineStr">
        <is>
          <t>Spamhaus - CIDR range</t>
        </is>
      </c>
      <c r="P1339" t="n">
        <v>0</v>
      </c>
      <c r="Q1339" t="n">
        <v>0</v>
      </c>
      <c r="R1339" t="inlineStr">
        <is>
          <t>T1566:Phishing | T1078:Valid Accounts</t>
        </is>
      </c>
      <c r="S1339" t="n">
        <v>1</v>
      </c>
      <c r="T1339" t="inlineStr">
        <is>
          <t>LOW (40%)</t>
        </is>
      </c>
      <c r="U1339" t="inlineStr">
        <is>
          <t>NONE</t>
        </is>
      </c>
      <c r="V1339" t="inlineStr">
        <is>
          <t>NONE</t>
        </is>
      </c>
      <c r="W1339" t="inlineStr">
        <is>
          <t>NONE</t>
        </is>
      </c>
      <c r="X1339" t="inlineStr">
        <is>
          <t>NONE</t>
        </is>
      </c>
      <c r="Y1339" t="n">
        <v>0</v>
      </c>
      <c r="Z1339" t="inlineStr"/>
      <c r="AA1339" t="inlineStr">
        <is>
          <t>https://www.spamhaus.org/drop/</t>
        </is>
      </c>
    </row>
    <row r="1340">
      <c r="A1340" t="inlineStr">
        <is>
          <t>FIREHOL_THREAT</t>
        </is>
      </c>
      <c r="B1340" t="inlineStr">
        <is>
          <t>d4ecff0c645a</t>
        </is>
      </c>
      <c r="C1340" t="inlineStr">
        <is>
          <t>DROP List CIDR: 1.55.112.41 | FireHOL L2 threat IP/CIDR | ASN: FireHOL-L2</t>
        </is>
      </c>
      <c r="D1340" t="n">
        <v>6</v>
      </c>
      <c r="E1340" t="inlineStr">
        <is>
          <t>MEDIUM</t>
        </is>
      </c>
      <c r="F1340" t="n">
        <v>2</v>
      </c>
      <c r="G1340" t="n">
        <v>2</v>
      </c>
      <c r="H1340" t="inlineStr">
        <is>
          <t>MEDIUM</t>
        </is>
      </c>
      <c r="I1340" t="n">
        <v>10</v>
      </c>
      <c r="J1340" t="inlineStr">
        <is>
          <t>NO</t>
        </is>
      </c>
      <c r="K1340" t="inlineStr">
        <is>
          <t>2026-02-27 20:47</t>
        </is>
      </c>
      <c r="L1340" t="inlineStr">
        <is>
          <t>Block CIDR</t>
        </is>
      </c>
      <c r="M1340" t="inlineStr">
        <is>
          <t>Firewall/Email</t>
        </is>
      </c>
      <c r="N1340" t="inlineStr">
        <is>
          <t>P4</t>
        </is>
      </c>
      <c r="O1340" t="inlineStr">
        <is>
          <t>Spamhaus - CIDR range</t>
        </is>
      </c>
      <c r="P1340" t="n">
        <v>0</v>
      </c>
      <c r="Q1340" t="n">
        <v>0</v>
      </c>
      <c r="R1340" t="inlineStr">
        <is>
          <t>T1566:Phishing | T1078:Valid Accounts</t>
        </is>
      </c>
      <c r="S1340" t="n">
        <v>1</v>
      </c>
      <c r="T1340" t="inlineStr">
        <is>
          <t>LOW (40%)</t>
        </is>
      </c>
      <c r="U1340" t="inlineStr">
        <is>
          <t>NONE</t>
        </is>
      </c>
      <c r="V1340" t="inlineStr">
        <is>
          <t>NONE</t>
        </is>
      </c>
      <c r="W1340" t="inlineStr">
        <is>
          <t>NONE</t>
        </is>
      </c>
      <c r="X1340" t="inlineStr">
        <is>
          <t>NONE</t>
        </is>
      </c>
      <c r="Y1340" t="n">
        <v>0</v>
      </c>
      <c r="Z1340" t="inlineStr"/>
      <c r="AA1340" t="inlineStr">
        <is>
          <t>https://www.spamhaus.org/drop/</t>
        </is>
      </c>
    </row>
    <row r="1341">
      <c r="A1341" t="inlineStr">
        <is>
          <t>FIREHOL_THREAT</t>
        </is>
      </c>
      <c r="B1341" t="inlineStr">
        <is>
          <t>c480b3c0b45e</t>
        </is>
      </c>
      <c r="C1341" t="inlineStr">
        <is>
          <t>DROP List CIDR: 1.55.210.222 | FireHOL L2 threat IP/CIDR | ASN: FireHOL-L2</t>
        </is>
      </c>
      <c r="D1341" t="n">
        <v>6</v>
      </c>
      <c r="E1341" t="inlineStr">
        <is>
          <t>MEDIUM</t>
        </is>
      </c>
      <c r="F1341" t="n">
        <v>2</v>
      </c>
      <c r="G1341" t="n">
        <v>2</v>
      </c>
      <c r="H1341" t="inlineStr">
        <is>
          <t>MEDIUM</t>
        </is>
      </c>
      <c r="I1341" t="n">
        <v>10</v>
      </c>
      <c r="J1341" t="inlineStr">
        <is>
          <t>NO</t>
        </is>
      </c>
      <c r="K1341" t="inlineStr">
        <is>
          <t>2026-02-27 20:47</t>
        </is>
      </c>
      <c r="L1341" t="inlineStr">
        <is>
          <t>Block CIDR</t>
        </is>
      </c>
      <c r="M1341" t="inlineStr">
        <is>
          <t>Firewall/Email</t>
        </is>
      </c>
      <c r="N1341" t="inlineStr">
        <is>
          <t>P4</t>
        </is>
      </c>
      <c r="O1341" t="inlineStr">
        <is>
          <t>Spamhaus - CIDR range</t>
        </is>
      </c>
      <c r="P1341" t="n">
        <v>0</v>
      </c>
      <c r="Q1341" t="n">
        <v>0</v>
      </c>
      <c r="R1341" t="inlineStr">
        <is>
          <t>T1566:Phishing | T1078:Valid Accounts</t>
        </is>
      </c>
      <c r="S1341" t="n">
        <v>1</v>
      </c>
      <c r="T1341" t="inlineStr">
        <is>
          <t>LOW (40%)</t>
        </is>
      </c>
      <c r="U1341" t="inlineStr">
        <is>
          <t>NONE</t>
        </is>
      </c>
      <c r="V1341" t="inlineStr">
        <is>
          <t>NONE</t>
        </is>
      </c>
      <c r="W1341" t="inlineStr">
        <is>
          <t>NONE</t>
        </is>
      </c>
      <c r="X1341" t="inlineStr">
        <is>
          <t>NONE</t>
        </is>
      </c>
      <c r="Y1341" t="n">
        <v>0</v>
      </c>
      <c r="Z1341" t="inlineStr"/>
      <c r="AA1341" t="inlineStr">
        <is>
          <t>https://www.spamhaus.org/drop/</t>
        </is>
      </c>
    </row>
    <row r="1342">
      <c r="A1342" t="inlineStr">
        <is>
          <t>FIREHOL_THREAT</t>
        </is>
      </c>
      <c r="B1342" t="inlineStr">
        <is>
          <t>c07b65ee5207</t>
        </is>
      </c>
      <c r="C1342" t="inlineStr">
        <is>
          <t>DROP List CIDR: 1.82.133.130 | FireHOL L2 threat IP/CIDR | ASN: FireHOL-L2</t>
        </is>
      </c>
      <c r="D1342" t="n">
        <v>6</v>
      </c>
      <c r="E1342" t="inlineStr">
        <is>
          <t>MEDIUM</t>
        </is>
      </c>
      <c r="F1342" t="n">
        <v>2</v>
      </c>
      <c r="G1342" t="n">
        <v>2</v>
      </c>
      <c r="H1342" t="inlineStr">
        <is>
          <t>MEDIUM</t>
        </is>
      </c>
      <c r="I1342" t="n">
        <v>10</v>
      </c>
      <c r="J1342" t="inlineStr">
        <is>
          <t>NO</t>
        </is>
      </c>
      <c r="K1342" t="inlineStr">
        <is>
          <t>2026-02-27 20:47</t>
        </is>
      </c>
      <c r="L1342" t="inlineStr">
        <is>
          <t>Block CIDR</t>
        </is>
      </c>
      <c r="M1342" t="inlineStr">
        <is>
          <t>Firewall/Email</t>
        </is>
      </c>
      <c r="N1342" t="inlineStr">
        <is>
          <t>P4</t>
        </is>
      </c>
      <c r="O1342" t="inlineStr">
        <is>
          <t>Spamhaus - CIDR range</t>
        </is>
      </c>
      <c r="P1342" t="n">
        <v>0</v>
      </c>
      <c r="Q1342" t="n">
        <v>0</v>
      </c>
      <c r="R1342" t="inlineStr">
        <is>
          <t>T1566:Phishing | T1078:Valid Accounts</t>
        </is>
      </c>
      <c r="S1342" t="n">
        <v>1</v>
      </c>
      <c r="T1342" t="inlineStr">
        <is>
          <t>LOW (40%)</t>
        </is>
      </c>
      <c r="U1342" t="inlineStr">
        <is>
          <t>NONE</t>
        </is>
      </c>
      <c r="V1342" t="inlineStr">
        <is>
          <t>NONE</t>
        </is>
      </c>
      <c r="W1342" t="inlineStr">
        <is>
          <t>NONE</t>
        </is>
      </c>
      <c r="X1342" t="inlineStr">
        <is>
          <t>NONE</t>
        </is>
      </c>
      <c r="Y1342" t="n">
        <v>0</v>
      </c>
      <c r="Z1342" t="inlineStr"/>
      <c r="AA1342" t="inlineStr">
        <is>
          <t>https://www.spamhaus.org/drop/</t>
        </is>
      </c>
    </row>
    <row r="1343">
      <c r="A1343" t="inlineStr">
        <is>
          <t>FIREHOL_THREAT</t>
        </is>
      </c>
      <c r="B1343" t="inlineStr">
        <is>
          <t>008a9291a602</t>
        </is>
      </c>
      <c r="C1343" t="inlineStr">
        <is>
          <t>DROP List CIDR: 1.82.135.154 | FireHOL L2 threat IP/CIDR | ASN: FireHOL-L2</t>
        </is>
      </c>
      <c r="D1343" t="n">
        <v>6</v>
      </c>
      <c r="E1343" t="inlineStr">
        <is>
          <t>MEDIUM</t>
        </is>
      </c>
      <c r="F1343" t="n">
        <v>2</v>
      </c>
      <c r="G1343" t="n">
        <v>2</v>
      </c>
      <c r="H1343" t="inlineStr">
        <is>
          <t>MEDIUM</t>
        </is>
      </c>
      <c r="I1343" t="n">
        <v>10</v>
      </c>
      <c r="J1343" t="inlineStr">
        <is>
          <t>NO</t>
        </is>
      </c>
      <c r="K1343" t="inlineStr">
        <is>
          <t>2026-02-27 20:47</t>
        </is>
      </c>
      <c r="L1343" t="inlineStr">
        <is>
          <t>Block CIDR</t>
        </is>
      </c>
      <c r="M1343" t="inlineStr">
        <is>
          <t>Firewall/Email</t>
        </is>
      </c>
      <c r="N1343" t="inlineStr">
        <is>
          <t>P4</t>
        </is>
      </c>
      <c r="O1343" t="inlineStr">
        <is>
          <t>Spamhaus - CIDR range</t>
        </is>
      </c>
      <c r="P1343" t="n">
        <v>0</v>
      </c>
      <c r="Q1343" t="n">
        <v>0</v>
      </c>
      <c r="R1343" t="inlineStr">
        <is>
          <t>T1566:Phishing | T1078:Valid Accounts</t>
        </is>
      </c>
      <c r="S1343" t="n">
        <v>1</v>
      </c>
      <c r="T1343" t="inlineStr">
        <is>
          <t>LOW (40%)</t>
        </is>
      </c>
      <c r="U1343" t="inlineStr">
        <is>
          <t>NONE</t>
        </is>
      </c>
      <c r="V1343" t="inlineStr">
        <is>
          <t>NONE</t>
        </is>
      </c>
      <c r="W1343" t="inlineStr">
        <is>
          <t>NONE</t>
        </is>
      </c>
      <c r="X1343" t="inlineStr">
        <is>
          <t>NONE</t>
        </is>
      </c>
      <c r="Y1343" t="n">
        <v>0</v>
      </c>
      <c r="Z1343" t="inlineStr"/>
      <c r="AA1343" t="inlineStr">
        <is>
          <t>https://www.spamhaus.org/drop/</t>
        </is>
      </c>
    </row>
    <row r="1344">
      <c r="A1344" t="inlineStr">
        <is>
          <t>FIREHOL_THREAT</t>
        </is>
      </c>
      <c r="B1344" t="inlineStr">
        <is>
          <t>07c6179971a8</t>
        </is>
      </c>
      <c r="C1344" t="inlineStr">
        <is>
          <t>DROP List CIDR: 1.92.79.150 | FireHOL L2 threat IP/CIDR | ASN: FireHOL-L2</t>
        </is>
      </c>
      <c r="D1344" t="n">
        <v>6</v>
      </c>
      <c r="E1344" t="inlineStr">
        <is>
          <t>MEDIUM</t>
        </is>
      </c>
      <c r="F1344" t="n">
        <v>2</v>
      </c>
      <c r="G1344" t="n">
        <v>2</v>
      </c>
      <c r="H1344" t="inlineStr">
        <is>
          <t>MEDIUM</t>
        </is>
      </c>
      <c r="I1344" t="n">
        <v>10</v>
      </c>
      <c r="J1344" t="inlineStr">
        <is>
          <t>NO</t>
        </is>
      </c>
      <c r="K1344" t="inlineStr">
        <is>
          <t>2026-02-27 20:47</t>
        </is>
      </c>
      <c r="L1344" t="inlineStr">
        <is>
          <t>Block CIDR</t>
        </is>
      </c>
      <c r="M1344" t="inlineStr">
        <is>
          <t>Firewall/Email</t>
        </is>
      </c>
      <c r="N1344" t="inlineStr">
        <is>
          <t>P4</t>
        </is>
      </c>
      <c r="O1344" t="inlineStr">
        <is>
          <t>Spamhaus - CIDR range</t>
        </is>
      </c>
      <c r="P1344" t="n">
        <v>0</v>
      </c>
      <c r="Q1344" t="n">
        <v>0</v>
      </c>
      <c r="R1344" t="inlineStr">
        <is>
          <t>T1566:Phishing | T1078:Valid Accounts</t>
        </is>
      </c>
      <c r="S1344" t="n">
        <v>1</v>
      </c>
      <c r="T1344" t="inlineStr">
        <is>
          <t>LOW (40%)</t>
        </is>
      </c>
      <c r="U1344" t="inlineStr">
        <is>
          <t>NONE</t>
        </is>
      </c>
      <c r="V1344" t="inlineStr">
        <is>
          <t>NONE</t>
        </is>
      </c>
      <c r="W1344" t="inlineStr">
        <is>
          <t>NONE</t>
        </is>
      </c>
      <c r="X1344" t="inlineStr">
        <is>
          <t>NONE</t>
        </is>
      </c>
      <c r="Y1344" t="n">
        <v>0</v>
      </c>
      <c r="Z1344" t="inlineStr"/>
      <c r="AA1344" t="inlineStr">
        <is>
          <t>https://www.spamhaus.org/drop/</t>
        </is>
      </c>
    </row>
    <row r="1345">
      <c r="A1345" t="inlineStr">
        <is>
          <t>FIREHOL_THREAT</t>
        </is>
      </c>
      <c r="B1345" t="inlineStr">
        <is>
          <t>214c40b48c03</t>
        </is>
      </c>
      <c r="C1345" t="inlineStr">
        <is>
          <t>DROP List CIDR: 1.92.94.62 | FireHOL L2 threat IP/CIDR | ASN: FireHOL-L2</t>
        </is>
      </c>
      <c r="D1345" t="n">
        <v>6</v>
      </c>
      <c r="E1345" t="inlineStr">
        <is>
          <t>MEDIUM</t>
        </is>
      </c>
      <c r="F1345" t="n">
        <v>2</v>
      </c>
      <c r="G1345" t="n">
        <v>2</v>
      </c>
      <c r="H1345" t="inlineStr">
        <is>
          <t>MEDIUM</t>
        </is>
      </c>
      <c r="I1345" t="n">
        <v>10</v>
      </c>
      <c r="J1345" t="inlineStr">
        <is>
          <t>NO</t>
        </is>
      </c>
      <c r="K1345" t="inlineStr">
        <is>
          <t>2026-02-27 20:47</t>
        </is>
      </c>
      <c r="L1345" t="inlineStr">
        <is>
          <t>Block CIDR</t>
        </is>
      </c>
      <c r="M1345" t="inlineStr">
        <is>
          <t>Firewall/Email</t>
        </is>
      </c>
      <c r="N1345" t="inlineStr">
        <is>
          <t>P4</t>
        </is>
      </c>
      <c r="O1345" t="inlineStr">
        <is>
          <t>Spamhaus - CIDR range</t>
        </is>
      </c>
      <c r="P1345" t="n">
        <v>0</v>
      </c>
      <c r="Q1345" t="n">
        <v>0</v>
      </c>
      <c r="R1345" t="inlineStr">
        <is>
          <t>T1566:Phishing | T1078:Valid Accounts</t>
        </is>
      </c>
      <c r="S1345" t="n">
        <v>1</v>
      </c>
      <c r="T1345" t="inlineStr">
        <is>
          <t>LOW (40%)</t>
        </is>
      </c>
      <c r="U1345" t="inlineStr">
        <is>
          <t>NONE</t>
        </is>
      </c>
      <c r="V1345" t="inlineStr">
        <is>
          <t>NONE</t>
        </is>
      </c>
      <c r="W1345" t="inlineStr">
        <is>
          <t>NONE</t>
        </is>
      </c>
      <c r="X1345" t="inlineStr">
        <is>
          <t>NONE</t>
        </is>
      </c>
      <c r="Y1345" t="n">
        <v>0</v>
      </c>
      <c r="Z1345" t="inlineStr"/>
      <c r="AA1345" t="inlineStr">
        <is>
          <t>https://www.spamhaus.org/drop/</t>
        </is>
      </c>
    </row>
    <row r="1346">
      <c r="A1346" t="inlineStr">
        <is>
          <t>UBUNTU_SEC</t>
        </is>
      </c>
      <c r="B1346" t="inlineStr">
        <is>
          <t>USN-5376-5</t>
        </is>
      </c>
      <c r="C1346" t="inlineStr">
        <is>
          <t>USN-5376-5: Git regression | USN-5376-4 fixed a regression in Git. The update introduced a regression when specifying configuration includes due to additional restrictions. This update fixes the problem. We apologize for the inco</t>
        </is>
      </c>
      <c r="D1346" t="n">
        <v>6.5</v>
      </c>
      <c r="E1346" t="inlineStr">
        <is>
          <t>MEDIUM</t>
        </is>
      </c>
      <c r="F1346" t="n">
        <v>2</v>
      </c>
      <c r="G1346" t="n">
        <v>2</v>
      </c>
      <c r="H1346" t="inlineStr">
        <is>
          <t>MEDIUM</t>
        </is>
      </c>
      <c r="I1346" t="n">
        <v>10.5</v>
      </c>
      <c r="J1346" t="inlineStr">
        <is>
          <t>NO</t>
        </is>
      </c>
      <c r="K1346" t="inlineStr">
        <is>
          <t>2026-02-27</t>
        </is>
      </c>
      <c r="L1346" t="inlineStr">
        <is>
          <t>YES</t>
        </is>
      </c>
      <c r="M1346" t="inlineStr">
        <is>
          <t>Ubuntu Linux</t>
        </is>
      </c>
      <c r="N1346" t="inlineStr">
        <is>
          <t>P4</t>
        </is>
      </c>
      <c r="O1346" t="inlineStr">
        <is>
          <t>Ubuntu advisory - no IP context</t>
        </is>
      </c>
      <c r="P1346" t="n">
        <v>0</v>
      </c>
      <c r="Q1346" t="n">
        <v>0</v>
      </c>
      <c r="R1346" t="inlineStr">
        <is>
          <t>T1068:Exploitation for Privilege Escalation</t>
        </is>
      </c>
      <c r="S1346" t="n">
        <v>1</v>
      </c>
      <c r="T1346" t="inlineStr">
        <is>
          <t>LOW (40%)</t>
        </is>
      </c>
      <c r="U1346" t="inlineStr">
        <is>
          <t>CHECK_USN</t>
        </is>
      </c>
      <c r="V1346" t="inlineStr">
        <is>
          <t>YES</t>
        </is>
      </c>
      <c r="W1346" t="inlineStr">
        <is>
          <t>https://ubuntu.com/security/notices/USN-5376-5</t>
        </is>
      </c>
      <c r="X1346" t="inlineStr">
        <is>
          <t>NONE</t>
        </is>
      </c>
      <c r="Y1346" t="n">
        <v>0</v>
      </c>
      <c r="Z1346" t="inlineStr"/>
      <c r="AA1346" t="inlineStr">
        <is>
          <t>https://ubuntu.com/security/notices/USN-5376-5</t>
        </is>
      </c>
    </row>
    <row r="1347">
      <c r="A1347" t="inlineStr">
        <is>
          <t>UBUNTU_SEC</t>
        </is>
      </c>
      <c r="B1347" t="inlineStr">
        <is>
          <t>USN-8059-6</t>
        </is>
      </c>
      <c r="C1347" t="inlineStr">
        <is>
          <t>USN-8059-6: Linux kernel vulnerabilities | Several security issues were discovered in the Linux kernel. An attacker could possibly use these to compromise the system. This update corrects flaws in the following subsystems: - SMB network file s</t>
        </is>
      </c>
      <c r="D1347" t="n">
        <v>6.5</v>
      </c>
      <c r="E1347" t="inlineStr">
        <is>
          <t>MEDIUM</t>
        </is>
      </c>
      <c r="F1347" t="n">
        <v>2</v>
      </c>
      <c r="G1347" t="n">
        <v>2</v>
      </c>
      <c r="H1347" t="inlineStr">
        <is>
          <t>MEDIUM</t>
        </is>
      </c>
      <c r="I1347" t="n">
        <v>10.5</v>
      </c>
      <c r="J1347" t="inlineStr">
        <is>
          <t>NO</t>
        </is>
      </c>
      <c r="K1347" t="inlineStr">
        <is>
          <t>2026-02-26</t>
        </is>
      </c>
      <c r="L1347" t="inlineStr">
        <is>
          <t>YES</t>
        </is>
      </c>
      <c r="M1347" t="inlineStr">
        <is>
          <t>Ubuntu Linux</t>
        </is>
      </c>
      <c r="N1347" t="inlineStr">
        <is>
          <t>P4</t>
        </is>
      </c>
      <c r="O1347" t="inlineStr">
        <is>
          <t>Ubuntu advisory - no IP context</t>
        </is>
      </c>
      <c r="P1347" t="n">
        <v>0</v>
      </c>
      <c r="Q1347" t="n">
        <v>0</v>
      </c>
      <c r="R1347" t="inlineStr">
        <is>
          <t>T1068:Exploitation for Privilege Escalation</t>
        </is>
      </c>
      <c r="S1347" t="n">
        <v>1</v>
      </c>
      <c r="T1347" t="inlineStr">
        <is>
          <t>LOW (40%)</t>
        </is>
      </c>
      <c r="U1347" t="inlineStr">
        <is>
          <t>CHECK_USN</t>
        </is>
      </c>
      <c r="V1347" t="inlineStr">
        <is>
          <t>YES</t>
        </is>
      </c>
      <c r="W1347" t="inlineStr">
        <is>
          <t>https://ubuntu.com/security/notices/USN-8059-6</t>
        </is>
      </c>
      <c r="X1347" t="inlineStr">
        <is>
          <t>NONE</t>
        </is>
      </c>
      <c r="Y1347" t="n">
        <v>0</v>
      </c>
      <c r="Z1347" t="inlineStr"/>
      <c r="AA1347" t="inlineStr">
        <is>
          <t>https://ubuntu.com/security/notices/USN-8059-6</t>
        </is>
      </c>
    </row>
    <row r="1348">
      <c r="A1348" t="inlineStr">
        <is>
          <t>UBUNTU_SEC</t>
        </is>
      </c>
      <c r="B1348" t="inlineStr">
        <is>
          <t>USN-8066-1</t>
        </is>
      </c>
      <c r="C1348" t="inlineStr">
        <is>
          <t>USN-8066-1: Rack vulnerabilities | Minh Pham Quang discovered that Rack did not correctly handle parsing certain paths, which could lead to a path traversal attack. An attacker could possibly use this issue to leak sensitive informatio</t>
        </is>
      </c>
      <c r="D1348" t="n">
        <v>6.5</v>
      </c>
      <c r="E1348" t="inlineStr">
        <is>
          <t>MEDIUM</t>
        </is>
      </c>
      <c r="F1348" t="n">
        <v>2</v>
      </c>
      <c r="G1348" t="n">
        <v>2</v>
      </c>
      <c r="H1348" t="inlineStr">
        <is>
          <t>MEDIUM</t>
        </is>
      </c>
      <c r="I1348" t="n">
        <v>10.5</v>
      </c>
      <c r="J1348" t="inlineStr">
        <is>
          <t>NO</t>
        </is>
      </c>
      <c r="K1348" t="inlineStr">
        <is>
          <t>2026-02-26</t>
        </is>
      </c>
      <c r="L1348" t="inlineStr">
        <is>
          <t>YES</t>
        </is>
      </c>
      <c r="M1348" t="inlineStr">
        <is>
          <t>Ubuntu Linux</t>
        </is>
      </c>
      <c r="N1348" t="inlineStr">
        <is>
          <t>P4</t>
        </is>
      </c>
      <c r="O1348" t="inlineStr">
        <is>
          <t>Ubuntu advisory - no IP context</t>
        </is>
      </c>
      <c r="P1348" t="n">
        <v>0</v>
      </c>
      <c r="Q1348" t="n">
        <v>0</v>
      </c>
      <c r="R1348" t="inlineStr">
        <is>
          <t>T1068:Exploitation for Privilege Escalation</t>
        </is>
      </c>
      <c r="S1348" t="n">
        <v>1</v>
      </c>
      <c r="T1348" t="inlineStr">
        <is>
          <t>LOW (40%)</t>
        </is>
      </c>
      <c r="U1348" t="inlineStr">
        <is>
          <t>CHECK_USN</t>
        </is>
      </c>
      <c r="V1348" t="inlineStr">
        <is>
          <t>YES</t>
        </is>
      </c>
      <c r="W1348" t="inlineStr">
        <is>
          <t>https://ubuntu.com/security/notices/USN-8066-1</t>
        </is>
      </c>
      <c r="X1348" t="inlineStr">
        <is>
          <t>NONE</t>
        </is>
      </c>
      <c r="Y1348" t="n">
        <v>0</v>
      </c>
      <c r="Z1348" t="inlineStr"/>
      <c r="AA1348" t="inlineStr">
        <is>
          <t>https://ubuntu.com/security/notices/USN-8066-1</t>
        </is>
      </c>
    </row>
    <row r="1349">
      <c r="A1349" t="inlineStr">
        <is>
          <t>UBUNTU_SEC</t>
        </is>
      </c>
      <c r="B1349" t="inlineStr">
        <is>
          <t>USN-8065-1</t>
        </is>
      </c>
      <c r="C1349" t="inlineStr">
        <is>
          <t>USN-8065-1: Authlib vulnerabilities | Millie Solem discovered that Authlib did not properly restrict algorithm selection during JWT verification, allowing HMAC verification with asymmetric public keys when no algorithm was specified. A re</t>
        </is>
      </c>
      <c r="D1349" t="n">
        <v>6.5</v>
      </c>
      <c r="E1349" t="inlineStr">
        <is>
          <t>MEDIUM</t>
        </is>
      </c>
      <c r="F1349" t="n">
        <v>2</v>
      </c>
      <c r="G1349" t="n">
        <v>2</v>
      </c>
      <c r="H1349" t="inlineStr">
        <is>
          <t>MEDIUM</t>
        </is>
      </c>
      <c r="I1349" t="n">
        <v>10.5</v>
      </c>
      <c r="J1349" t="inlineStr">
        <is>
          <t>NO</t>
        </is>
      </c>
      <c r="K1349" t="inlineStr">
        <is>
          <t>2026-02-25</t>
        </is>
      </c>
      <c r="L1349" t="inlineStr">
        <is>
          <t>YES</t>
        </is>
      </c>
      <c r="M1349" t="inlineStr">
        <is>
          <t>Ubuntu Linux</t>
        </is>
      </c>
      <c r="N1349" t="inlineStr">
        <is>
          <t>P4</t>
        </is>
      </c>
      <c r="O1349" t="inlineStr">
        <is>
          <t>Ubuntu advisory - no IP context</t>
        </is>
      </c>
      <c r="P1349" t="n">
        <v>0</v>
      </c>
      <c r="Q1349" t="n">
        <v>0</v>
      </c>
      <c r="R1349" t="inlineStr">
        <is>
          <t>T1068:Exploitation for Privilege Escalation</t>
        </is>
      </c>
      <c r="S1349" t="n">
        <v>1</v>
      </c>
      <c r="T1349" t="inlineStr">
        <is>
          <t>LOW (40%)</t>
        </is>
      </c>
      <c r="U1349" t="inlineStr">
        <is>
          <t>CHECK_USN</t>
        </is>
      </c>
      <c r="V1349" t="inlineStr">
        <is>
          <t>YES</t>
        </is>
      </c>
      <c r="W1349" t="inlineStr">
        <is>
          <t>https://ubuntu.com/security/notices/USN-8065-1</t>
        </is>
      </c>
      <c r="X1349" t="inlineStr">
        <is>
          <t>NONE</t>
        </is>
      </c>
      <c r="Y1349" t="n">
        <v>0</v>
      </c>
      <c r="Z1349" t="inlineStr"/>
      <c r="AA1349" t="inlineStr">
        <is>
          <t>https://ubuntu.com/security/notices/USN-8065-1</t>
        </is>
      </c>
    </row>
    <row r="1350">
      <c r="A1350" t="inlineStr">
        <is>
          <t>UBUNTU_SEC</t>
        </is>
      </c>
      <c r="B1350" t="inlineStr">
        <is>
          <t>USN-8064-1</t>
        </is>
      </c>
      <c r="C1350" t="inlineStr">
        <is>
          <t>USN-8064-1: MongoDB vulnerabilities | Eliot Horowitz discovered that MongoDB may fail to validate some instances of malformed BSON. A remote attacker could possibly use this issue to cause MongoDB to crash, resulting in a denial of servic</t>
        </is>
      </c>
      <c r="D1350" t="n">
        <v>6.5</v>
      </c>
      <c r="E1350" t="inlineStr">
        <is>
          <t>MEDIUM</t>
        </is>
      </c>
      <c r="F1350" t="n">
        <v>2</v>
      </c>
      <c r="G1350" t="n">
        <v>2</v>
      </c>
      <c r="H1350" t="inlineStr">
        <is>
          <t>MEDIUM</t>
        </is>
      </c>
      <c r="I1350" t="n">
        <v>10.5</v>
      </c>
      <c r="J1350" t="inlineStr">
        <is>
          <t>NO</t>
        </is>
      </c>
      <c r="K1350" t="inlineStr">
        <is>
          <t>2026-02-25</t>
        </is>
      </c>
      <c r="L1350" t="inlineStr">
        <is>
          <t>YES</t>
        </is>
      </c>
      <c r="M1350" t="inlineStr">
        <is>
          <t>Ubuntu Linux</t>
        </is>
      </c>
      <c r="N1350" t="inlineStr">
        <is>
          <t>P4</t>
        </is>
      </c>
      <c r="O1350" t="inlineStr">
        <is>
          <t>Ubuntu advisory - no IP context</t>
        </is>
      </c>
      <c r="P1350" t="n">
        <v>0</v>
      </c>
      <c r="Q1350" t="n">
        <v>0</v>
      </c>
      <c r="R1350" t="inlineStr">
        <is>
          <t>T1068:Exploitation for Privilege Escalation</t>
        </is>
      </c>
      <c r="S1350" t="n">
        <v>1</v>
      </c>
      <c r="T1350" t="inlineStr">
        <is>
          <t>LOW (40%)</t>
        </is>
      </c>
      <c r="U1350" t="inlineStr">
        <is>
          <t>CHECK_USN</t>
        </is>
      </c>
      <c r="V1350" t="inlineStr">
        <is>
          <t>YES</t>
        </is>
      </c>
      <c r="W1350" t="inlineStr">
        <is>
          <t>https://ubuntu.com/security/notices/USN-8064-1</t>
        </is>
      </c>
      <c r="X1350" t="inlineStr">
        <is>
          <t>NONE</t>
        </is>
      </c>
      <c r="Y1350" t="n">
        <v>0</v>
      </c>
      <c r="Z1350" t="inlineStr"/>
      <c r="AA1350" t="inlineStr">
        <is>
          <t>https://ubuntu.com/security/notices/USN-8064-1</t>
        </is>
      </c>
    </row>
    <row r="1351">
      <c r="A1351" t="inlineStr">
        <is>
          <t>UBUNTU_SEC</t>
        </is>
      </c>
      <c r="B1351" t="inlineStr">
        <is>
          <t>USN-5376-4</t>
        </is>
      </c>
      <c r="C1351" t="inlineStr">
        <is>
          <t>USN-5376-4: Git regression | USN-5376-1 fixed a vulnerability in Git. It was discovered that the safety checks introduced in the update were not able to be set using the command line, contrary to expectations. This update fixes t</t>
        </is>
      </c>
      <c r="D1351" t="n">
        <v>6.5</v>
      </c>
      <c r="E1351" t="inlineStr">
        <is>
          <t>MEDIUM</t>
        </is>
      </c>
      <c r="F1351" t="n">
        <v>2</v>
      </c>
      <c r="G1351" t="n">
        <v>2</v>
      </c>
      <c r="H1351" t="inlineStr">
        <is>
          <t>MEDIUM</t>
        </is>
      </c>
      <c r="I1351" t="n">
        <v>10.5</v>
      </c>
      <c r="J1351" t="inlineStr">
        <is>
          <t>NO</t>
        </is>
      </c>
      <c r="K1351" t="inlineStr">
        <is>
          <t>2026-02-25</t>
        </is>
      </c>
      <c r="L1351" t="inlineStr">
        <is>
          <t>YES</t>
        </is>
      </c>
      <c r="M1351" t="inlineStr">
        <is>
          <t>Ubuntu Linux</t>
        </is>
      </c>
      <c r="N1351" t="inlineStr">
        <is>
          <t>P4</t>
        </is>
      </c>
      <c r="O1351" t="inlineStr">
        <is>
          <t>Ubuntu advisory - no IP context</t>
        </is>
      </c>
      <c r="P1351" t="n">
        <v>0</v>
      </c>
      <c r="Q1351" t="n">
        <v>0</v>
      </c>
      <c r="R1351" t="inlineStr">
        <is>
          <t>T1068:Exploitation for Privilege Escalation</t>
        </is>
      </c>
      <c r="S1351" t="n">
        <v>1</v>
      </c>
      <c r="T1351" t="inlineStr">
        <is>
          <t>LOW (40%)</t>
        </is>
      </c>
      <c r="U1351" t="inlineStr">
        <is>
          <t>CHECK_USN</t>
        </is>
      </c>
      <c r="V1351" t="inlineStr">
        <is>
          <t>YES</t>
        </is>
      </c>
      <c r="W1351" t="inlineStr">
        <is>
          <t>https://ubuntu.com/security/notices/USN-5376-4</t>
        </is>
      </c>
      <c r="X1351" t="inlineStr">
        <is>
          <t>NONE</t>
        </is>
      </c>
      <c r="Y1351" t="n">
        <v>0</v>
      </c>
      <c r="Z1351" t="inlineStr"/>
      <c r="AA1351" t="inlineStr">
        <is>
          <t>https://ubuntu.com/security/notices/USN-5376-4</t>
        </is>
      </c>
    </row>
    <row r="1352">
      <c r="A1352" t="inlineStr">
        <is>
          <t>UBUNTU_SEC</t>
        </is>
      </c>
      <c r="B1352" t="inlineStr">
        <is>
          <t>USN-8063-1</t>
        </is>
      </c>
      <c r="C1352" t="inlineStr">
        <is>
          <t>USN-8063-1: Protocol Buffers vulnerability | It was discovered that Protocol Buffers incorrectly handled recursion when the Python google.protobuf.json_format.ParseDict() function is being used. An attacker could possibly use this issue to cause</t>
        </is>
      </c>
      <c r="D1352" t="n">
        <v>6.5</v>
      </c>
      <c r="E1352" t="inlineStr">
        <is>
          <t>MEDIUM</t>
        </is>
      </c>
      <c r="F1352" t="n">
        <v>2</v>
      </c>
      <c r="G1352" t="n">
        <v>2</v>
      </c>
      <c r="H1352" t="inlineStr">
        <is>
          <t>MEDIUM</t>
        </is>
      </c>
      <c r="I1352" t="n">
        <v>10.5</v>
      </c>
      <c r="J1352" t="inlineStr">
        <is>
          <t>NO</t>
        </is>
      </c>
      <c r="K1352" t="inlineStr">
        <is>
          <t>2026-02-25</t>
        </is>
      </c>
      <c r="L1352" t="inlineStr">
        <is>
          <t>YES</t>
        </is>
      </c>
      <c r="M1352" t="inlineStr">
        <is>
          <t>Ubuntu Linux</t>
        </is>
      </c>
      <c r="N1352" t="inlineStr">
        <is>
          <t>P4</t>
        </is>
      </c>
      <c r="O1352" t="inlineStr">
        <is>
          <t>Ubuntu advisory - no IP context</t>
        </is>
      </c>
      <c r="P1352" t="n">
        <v>0</v>
      </c>
      <c r="Q1352" t="n">
        <v>0</v>
      </c>
      <c r="R1352" t="inlineStr">
        <is>
          <t>T1068:Exploitation for Privilege Escalation</t>
        </is>
      </c>
      <c r="S1352" t="n">
        <v>1</v>
      </c>
      <c r="T1352" t="inlineStr">
        <is>
          <t>LOW (40%)</t>
        </is>
      </c>
      <c r="U1352" t="inlineStr">
        <is>
          <t>CHECK_USN</t>
        </is>
      </c>
      <c r="V1352" t="inlineStr">
        <is>
          <t>YES</t>
        </is>
      </c>
      <c r="W1352" t="inlineStr">
        <is>
          <t>https://ubuntu.com/security/notices/USN-8063-1</t>
        </is>
      </c>
      <c r="X1352" t="inlineStr">
        <is>
          <t>NONE</t>
        </is>
      </c>
      <c r="Y1352" t="n">
        <v>0</v>
      </c>
      <c r="Z1352" t="inlineStr"/>
      <c r="AA1352" t="inlineStr">
        <is>
          <t>https://ubuntu.com/security/notices/USN-8063-1</t>
        </is>
      </c>
    </row>
    <row r="1353">
      <c r="A1353" t="inlineStr">
        <is>
          <t>UBUNTU_SEC</t>
        </is>
      </c>
      <c r="B1353" t="inlineStr">
        <is>
          <t>USN-8060-4</t>
        </is>
      </c>
      <c r="C1353" t="inlineStr">
        <is>
          <t>USN-8060-4: Linux kernel (FIPS) vulnerabilities | Several security issues were discovered in the Linux kernel. An attacker could possibly use these to compromise the system. This update corrects flaws in the following subsystems: - GPU drivers; - MMC</t>
        </is>
      </c>
      <c r="D1353" t="n">
        <v>6.5</v>
      </c>
      <c r="E1353" t="inlineStr">
        <is>
          <t>MEDIUM</t>
        </is>
      </c>
      <c r="F1353" t="n">
        <v>2</v>
      </c>
      <c r="G1353" t="n">
        <v>2</v>
      </c>
      <c r="H1353" t="inlineStr">
        <is>
          <t>MEDIUM</t>
        </is>
      </c>
      <c r="I1353" t="n">
        <v>10.5</v>
      </c>
      <c r="J1353" t="inlineStr">
        <is>
          <t>NO</t>
        </is>
      </c>
      <c r="K1353" t="inlineStr">
        <is>
          <t>2026-02-25</t>
        </is>
      </c>
      <c r="L1353" t="inlineStr">
        <is>
          <t>YES</t>
        </is>
      </c>
      <c r="M1353" t="inlineStr">
        <is>
          <t>Ubuntu Linux</t>
        </is>
      </c>
      <c r="N1353" t="inlineStr">
        <is>
          <t>P4</t>
        </is>
      </c>
      <c r="O1353" t="inlineStr">
        <is>
          <t>Ubuntu advisory - no IP context</t>
        </is>
      </c>
      <c r="P1353" t="n">
        <v>0</v>
      </c>
      <c r="Q1353" t="n">
        <v>0</v>
      </c>
      <c r="R1353" t="inlineStr">
        <is>
          <t>T1068:Exploitation for Privilege Escalation</t>
        </is>
      </c>
      <c r="S1353" t="n">
        <v>1</v>
      </c>
      <c r="T1353" t="inlineStr">
        <is>
          <t>LOW (40%)</t>
        </is>
      </c>
      <c r="U1353" t="inlineStr">
        <is>
          <t>CHECK_USN</t>
        </is>
      </c>
      <c r="V1353" t="inlineStr">
        <is>
          <t>YES</t>
        </is>
      </c>
      <c r="W1353" t="inlineStr">
        <is>
          <t>https://ubuntu.com/security/notices/USN-8060-4</t>
        </is>
      </c>
      <c r="X1353" t="inlineStr">
        <is>
          <t>NONE</t>
        </is>
      </c>
      <c r="Y1353" t="n">
        <v>0</v>
      </c>
      <c r="Z1353" t="inlineStr"/>
      <c r="AA1353" t="inlineStr">
        <is>
          <t>https://ubuntu.com/security/notices/USN-8060-4</t>
        </is>
      </c>
    </row>
    <row r="1354">
      <c r="A1354" t="inlineStr">
        <is>
          <t>UBUNTU_SEC</t>
        </is>
      </c>
      <c r="B1354" t="inlineStr">
        <is>
          <t>USN-8059-5</t>
        </is>
      </c>
      <c r="C1354" t="inlineStr">
        <is>
          <t>USN-8059-5: Linux kernel (FIPS) vulnerabilities | Several security issues were discovered in the Linux kernel. An attacker could possibly use these to compromise the system. This update corrects flaws in the following subsystems: - SMB network file s</t>
        </is>
      </c>
      <c r="D1354" t="n">
        <v>6.5</v>
      </c>
      <c r="E1354" t="inlineStr">
        <is>
          <t>MEDIUM</t>
        </is>
      </c>
      <c r="F1354" t="n">
        <v>2</v>
      </c>
      <c r="G1354" t="n">
        <v>2</v>
      </c>
      <c r="H1354" t="inlineStr">
        <is>
          <t>MEDIUM</t>
        </is>
      </c>
      <c r="I1354" t="n">
        <v>10.5</v>
      </c>
      <c r="J1354" t="inlineStr">
        <is>
          <t>NO</t>
        </is>
      </c>
      <c r="K1354" t="inlineStr">
        <is>
          <t>2026-02-25</t>
        </is>
      </c>
      <c r="L1354" t="inlineStr">
        <is>
          <t>YES</t>
        </is>
      </c>
      <c r="M1354" t="inlineStr">
        <is>
          <t>Ubuntu Linux</t>
        </is>
      </c>
      <c r="N1354" t="inlineStr">
        <is>
          <t>P4</t>
        </is>
      </c>
      <c r="O1354" t="inlineStr">
        <is>
          <t>Ubuntu advisory - no IP context</t>
        </is>
      </c>
      <c r="P1354" t="n">
        <v>0</v>
      </c>
      <c r="Q1354" t="n">
        <v>0</v>
      </c>
      <c r="R1354" t="inlineStr">
        <is>
          <t>T1068:Exploitation for Privilege Escalation</t>
        </is>
      </c>
      <c r="S1354" t="n">
        <v>1</v>
      </c>
      <c r="T1354" t="inlineStr">
        <is>
          <t>LOW (40%)</t>
        </is>
      </c>
      <c r="U1354" t="inlineStr">
        <is>
          <t>CHECK_USN</t>
        </is>
      </c>
      <c r="V1354" t="inlineStr">
        <is>
          <t>YES</t>
        </is>
      </c>
      <c r="W1354" t="inlineStr">
        <is>
          <t>https://ubuntu.com/security/notices/USN-8059-5</t>
        </is>
      </c>
      <c r="X1354" t="inlineStr">
        <is>
          <t>NONE</t>
        </is>
      </c>
      <c r="Y1354" t="n">
        <v>0</v>
      </c>
      <c r="Z1354" t="inlineStr"/>
      <c r="AA1354" t="inlineStr">
        <is>
          <t>https://ubuntu.com/security/notices/USN-8059-5</t>
        </is>
      </c>
    </row>
    <row r="1355">
      <c r="A1355" t="inlineStr">
        <is>
          <t>UBUNTU_SEC</t>
        </is>
      </c>
      <c r="B1355" t="inlineStr">
        <is>
          <t>USN-8059-4</t>
        </is>
      </c>
      <c r="C1355" t="inlineStr">
        <is>
          <t>USN-8059-4: Linux kernel (Real-time) vulnerabilities | Several security issues were discovered in the Linux kernel. An attacker could possibly use these to compromise the system. This update corrects flaws in the following subsystems: - SMB network file s</t>
        </is>
      </c>
      <c r="D1355" t="n">
        <v>6.5</v>
      </c>
      <c r="E1355" t="inlineStr">
        <is>
          <t>MEDIUM</t>
        </is>
      </c>
      <c r="F1355" t="n">
        <v>2</v>
      </c>
      <c r="G1355" t="n">
        <v>2</v>
      </c>
      <c r="H1355" t="inlineStr">
        <is>
          <t>MEDIUM</t>
        </is>
      </c>
      <c r="I1355" t="n">
        <v>10.5</v>
      </c>
      <c r="J1355" t="inlineStr">
        <is>
          <t>NO</t>
        </is>
      </c>
      <c r="K1355" t="inlineStr">
        <is>
          <t>2026-02-25</t>
        </is>
      </c>
      <c r="L1355" t="inlineStr">
        <is>
          <t>YES</t>
        </is>
      </c>
      <c r="M1355" t="inlineStr">
        <is>
          <t>Ubuntu Linux</t>
        </is>
      </c>
      <c r="N1355" t="inlineStr">
        <is>
          <t>P4</t>
        </is>
      </c>
      <c r="O1355" t="inlineStr">
        <is>
          <t>Ubuntu advisory - no IP context</t>
        </is>
      </c>
      <c r="P1355" t="n">
        <v>0</v>
      </c>
      <c r="Q1355" t="n">
        <v>0</v>
      </c>
      <c r="R1355" t="inlineStr">
        <is>
          <t>T1068:Exploitation for Privilege Escalation</t>
        </is>
      </c>
      <c r="S1355" t="n">
        <v>1</v>
      </c>
      <c r="T1355" t="inlineStr">
        <is>
          <t>LOW (40%)</t>
        </is>
      </c>
      <c r="U1355" t="inlineStr">
        <is>
          <t>CHECK_USN</t>
        </is>
      </c>
      <c r="V1355" t="inlineStr">
        <is>
          <t>YES</t>
        </is>
      </c>
      <c r="W1355" t="inlineStr">
        <is>
          <t>https://ubuntu.com/security/notices/USN-8059-4</t>
        </is>
      </c>
      <c r="X1355" t="inlineStr">
        <is>
          <t>NONE</t>
        </is>
      </c>
      <c r="Y1355" t="n">
        <v>0</v>
      </c>
      <c r="Z1355" t="inlineStr"/>
      <c r="AA1355" t="inlineStr">
        <is>
          <t>https://ubuntu.com/security/notices/USN-8059-4</t>
        </is>
      </c>
    </row>
    <row r="1356">
      <c r="A1356" t="inlineStr">
        <is>
          <t>TOR_EXIT</t>
        </is>
      </c>
      <c r="B1356" t="inlineStr">
        <is>
          <t>9a131c4cff23</t>
        </is>
      </c>
      <c r="C1356" t="inlineStr">
        <is>
          <t>Tor Exit Node: 101.99.92.198 | Traffic from this IP may be anonymized/malicious</t>
        </is>
      </c>
      <c r="D1356" t="n">
        <v>5</v>
      </c>
      <c r="E1356" t="inlineStr">
        <is>
          <t>MEDIUM</t>
        </is>
      </c>
      <c r="F1356" t="n">
        <v>2</v>
      </c>
      <c r="G1356" t="n">
        <v>1</v>
      </c>
      <c r="H1356" t="inlineStr">
        <is>
          <t>LOW</t>
        </is>
      </c>
      <c r="I1356" t="n">
        <v>7</v>
      </c>
      <c r="J1356" t="inlineStr">
        <is>
          <t>NO</t>
        </is>
      </c>
      <c r="K1356" t="inlineStr">
        <is>
          <t>2026-02-27 20:47</t>
        </is>
      </c>
      <c r="L1356" t="inlineStr">
        <is>
          <t>Block or monitor</t>
        </is>
      </c>
      <c r="M1356" t="inlineStr">
        <is>
          <t>Network perimeter</t>
        </is>
      </c>
      <c r="N1356" t="inlineStr">
        <is>
          <t>P4</t>
        </is>
      </c>
      <c r="O1356" t="inlineStr">
        <is>
          <t>Tor exit node - known anonymization service</t>
        </is>
      </c>
      <c r="P1356" t="n">
        <v>0</v>
      </c>
      <c r="Q1356" t="n">
        <v>0</v>
      </c>
      <c r="R1356" t="inlineStr">
        <is>
          <t>T1090.003:Multi-hop Proxy</t>
        </is>
      </c>
      <c r="S1356" t="n">
        <v>1</v>
      </c>
      <c r="T1356" t="inlineStr">
        <is>
          <t>LOW (40%)</t>
        </is>
      </c>
      <c r="U1356" t="inlineStr">
        <is>
          <t>NONE</t>
        </is>
      </c>
      <c r="V1356" t="inlineStr">
        <is>
          <t>NONE</t>
        </is>
      </c>
      <c r="W1356" t="inlineStr">
        <is>
          <t>NONE</t>
        </is>
      </c>
      <c r="X1356" t="inlineStr">
        <is>
          <t>NONE</t>
        </is>
      </c>
      <c r="Y1356" t="n">
        <v>0</v>
      </c>
      <c r="Z1356" t="inlineStr"/>
      <c r="AA1356" t="inlineStr">
        <is>
          <t>https://check.torproject.org/</t>
        </is>
      </c>
    </row>
    <row r="1357">
      <c r="A1357" t="inlineStr">
        <is>
          <t>TOR_EXIT</t>
        </is>
      </c>
      <c r="B1357" t="inlineStr">
        <is>
          <t>1a091ce53664</t>
        </is>
      </c>
      <c r="C1357" t="inlineStr">
        <is>
          <t>Tor Exit Node: 45.95.169.99 | Traffic from this IP may be anonymized/malicious</t>
        </is>
      </c>
      <c r="D1357" t="n">
        <v>5</v>
      </c>
      <c r="E1357" t="inlineStr">
        <is>
          <t>MEDIUM</t>
        </is>
      </c>
      <c r="F1357" t="n">
        <v>2</v>
      </c>
      <c r="G1357" t="n">
        <v>1</v>
      </c>
      <c r="H1357" t="inlineStr">
        <is>
          <t>LOW</t>
        </is>
      </c>
      <c r="I1357" t="n">
        <v>7</v>
      </c>
      <c r="J1357" t="inlineStr">
        <is>
          <t>NO</t>
        </is>
      </c>
      <c r="K1357" t="inlineStr">
        <is>
          <t>2026-02-27 20:47</t>
        </is>
      </c>
      <c r="L1357" t="inlineStr">
        <is>
          <t>Block or monitor</t>
        </is>
      </c>
      <c r="M1357" t="inlineStr">
        <is>
          <t>Network perimeter</t>
        </is>
      </c>
      <c r="N1357" t="inlineStr">
        <is>
          <t>P4</t>
        </is>
      </c>
      <c r="O1357" t="inlineStr">
        <is>
          <t>Tor exit node - known anonymization service</t>
        </is>
      </c>
      <c r="P1357" t="n">
        <v>0</v>
      </c>
      <c r="Q1357" t="n">
        <v>0</v>
      </c>
      <c r="R1357" t="inlineStr">
        <is>
          <t>T1090.003:Multi-hop Proxy</t>
        </is>
      </c>
      <c r="S1357" t="n">
        <v>1</v>
      </c>
      <c r="T1357" t="inlineStr">
        <is>
          <t>LOW (40%)</t>
        </is>
      </c>
      <c r="U1357" t="inlineStr">
        <is>
          <t>NONE</t>
        </is>
      </c>
      <c r="V1357" t="inlineStr">
        <is>
          <t>NONE</t>
        </is>
      </c>
      <c r="W1357" t="inlineStr">
        <is>
          <t>NONE</t>
        </is>
      </c>
      <c r="X1357" t="inlineStr">
        <is>
          <t>NONE</t>
        </is>
      </c>
      <c r="Y1357" t="n">
        <v>0</v>
      </c>
      <c r="Z1357" t="inlineStr"/>
      <c r="AA1357" t="inlineStr">
        <is>
          <t>https://check.torproject.org/</t>
        </is>
      </c>
    </row>
    <row r="1358">
      <c r="A1358" t="inlineStr">
        <is>
          <t>TOR_EXIT</t>
        </is>
      </c>
      <c r="B1358" t="inlineStr">
        <is>
          <t>6d3279b7f0a5</t>
        </is>
      </c>
      <c r="C1358" t="inlineStr">
        <is>
          <t>Tor Exit Node: 162.247.74.201 | Traffic from this IP may be anonymized/malicious</t>
        </is>
      </c>
      <c r="D1358" t="n">
        <v>5</v>
      </c>
      <c r="E1358" t="inlineStr">
        <is>
          <t>MEDIUM</t>
        </is>
      </c>
      <c r="F1358" t="n">
        <v>2</v>
      </c>
      <c r="G1358" t="n">
        <v>1</v>
      </c>
      <c r="H1358" t="inlineStr">
        <is>
          <t>LOW</t>
        </is>
      </c>
      <c r="I1358" t="n">
        <v>7</v>
      </c>
      <c r="J1358" t="inlineStr">
        <is>
          <t>NO</t>
        </is>
      </c>
      <c r="K1358" t="inlineStr">
        <is>
          <t>2026-02-27 20:47</t>
        </is>
      </c>
      <c r="L1358" t="inlineStr">
        <is>
          <t>Block or monitor</t>
        </is>
      </c>
      <c r="M1358" t="inlineStr">
        <is>
          <t>Network perimeter</t>
        </is>
      </c>
      <c r="N1358" t="inlineStr">
        <is>
          <t>P4</t>
        </is>
      </c>
      <c r="O1358" t="inlineStr">
        <is>
          <t>Tor exit node - known anonymization service</t>
        </is>
      </c>
      <c r="P1358" t="n">
        <v>0</v>
      </c>
      <c r="Q1358" t="n">
        <v>0</v>
      </c>
      <c r="R1358" t="inlineStr">
        <is>
          <t>T1090.003:Multi-hop Proxy</t>
        </is>
      </c>
      <c r="S1358" t="n">
        <v>1</v>
      </c>
      <c r="T1358" t="inlineStr">
        <is>
          <t>LOW (40%)</t>
        </is>
      </c>
      <c r="U1358" t="inlineStr">
        <is>
          <t>NONE</t>
        </is>
      </c>
      <c r="V1358" t="inlineStr">
        <is>
          <t>NONE</t>
        </is>
      </c>
      <c r="W1358" t="inlineStr">
        <is>
          <t>NONE</t>
        </is>
      </c>
      <c r="X1358" t="inlineStr">
        <is>
          <t>NONE</t>
        </is>
      </c>
      <c r="Y1358" t="n">
        <v>0</v>
      </c>
      <c r="Z1358" t="inlineStr"/>
      <c r="AA1358" t="inlineStr">
        <is>
          <t>https://check.torproject.org/</t>
        </is>
      </c>
    </row>
    <row r="1359">
      <c r="A1359" t="inlineStr">
        <is>
          <t>TOR_EXIT</t>
        </is>
      </c>
      <c r="B1359" t="inlineStr">
        <is>
          <t>a512df97d614</t>
        </is>
      </c>
      <c r="C1359" t="inlineStr">
        <is>
          <t>Tor Exit Node: 185.195.71.3 | Traffic from this IP may be anonymized/malicious</t>
        </is>
      </c>
      <c r="D1359" t="n">
        <v>5</v>
      </c>
      <c r="E1359" t="inlineStr">
        <is>
          <t>MEDIUM</t>
        </is>
      </c>
      <c r="F1359" t="n">
        <v>2</v>
      </c>
      <c r="G1359" t="n">
        <v>1</v>
      </c>
      <c r="H1359" t="inlineStr">
        <is>
          <t>LOW</t>
        </is>
      </c>
      <c r="I1359" t="n">
        <v>7</v>
      </c>
      <c r="J1359" t="inlineStr">
        <is>
          <t>NO</t>
        </is>
      </c>
      <c r="K1359" t="inlineStr">
        <is>
          <t>2026-02-27 20:47</t>
        </is>
      </c>
      <c r="L1359" t="inlineStr">
        <is>
          <t>Block or monitor</t>
        </is>
      </c>
      <c r="M1359" t="inlineStr">
        <is>
          <t>Network perimeter</t>
        </is>
      </c>
      <c r="N1359" t="inlineStr">
        <is>
          <t>P4</t>
        </is>
      </c>
      <c r="O1359" t="inlineStr">
        <is>
          <t>Tor exit node - known anonymization service</t>
        </is>
      </c>
      <c r="P1359" t="n">
        <v>0</v>
      </c>
      <c r="Q1359" t="n">
        <v>0</v>
      </c>
      <c r="R1359" t="inlineStr">
        <is>
          <t>T1090.003:Multi-hop Proxy</t>
        </is>
      </c>
      <c r="S1359" t="n">
        <v>1</v>
      </c>
      <c r="T1359" t="inlineStr">
        <is>
          <t>LOW (40%)</t>
        </is>
      </c>
      <c r="U1359" t="inlineStr">
        <is>
          <t>NONE</t>
        </is>
      </c>
      <c r="V1359" t="inlineStr">
        <is>
          <t>NONE</t>
        </is>
      </c>
      <c r="W1359" t="inlineStr">
        <is>
          <t>NONE</t>
        </is>
      </c>
      <c r="X1359" t="inlineStr">
        <is>
          <t>NONE</t>
        </is>
      </c>
      <c r="Y1359" t="n">
        <v>0</v>
      </c>
      <c r="Z1359" t="inlineStr"/>
      <c r="AA1359" t="inlineStr">
        <is>
          <t>https://check.torproject.org/</t>
        </is>
      </c>
    </row>
    <row r="1360">
      <c r="A1360" t="inlineStr">
        <is>
          <t>TOR_EXIT</t>
        </is>
      </c>
      <c r="B1360" t="inlineStr">
        <is>
          <t>13659a65d44e</t>
        </is>
      </c>
      <c r="C1360" t="inlineStr">
        <is>
          <t>Tor Exit Node: 185.220.101.128 | Traffic from this IP may be anonymized/malicious</t>
        </is>
      </c>
      <c r="D1360" t="n">
        <v>5</v>
      </c>
      <c r="E1360" t="inlineStr">
        <is>
          <t>MEDIUM</t>
        </is>
      </c>
      <c r="F1360" t="n">
        <v>2</v>
      </c>
      <c r="G1360" t="n">
        <v>1</v>
      </c>
      <c r="H1360" t="inlineStr">
        <is>
          <t>LOW</t>
        </is>
      </c>
      <c r="I1360" t="n">
        <v>7</v>
      </c>
      <c r="J1360" t="inlineStr">
        <is>
          <t>NO</t>
        </is>
      </c>
      <c r="K1360" t="inlineStr">
        <is>
          <t>2026-02-27 20:47</t>
        </is>
      </c>
      <c r="L1360" t="inlineStr">
        <is>
          <t>Block or monitor</t>
        </is>
      </c>
      <c r="M1360" t="inlineStr">
        <is>
          <t>Network perimeter</t>
        </is>
      </c>
      <c r="N1360" t="inlineStr">
        <is>
          <t>P4</t>
        </is>
      </c>
      <c r="O1360" t="inlineStr">
        <is>
          <t>Tor exit node - known anonymization service</t>
        </is>
      </c>
      <c r="P1360" t="n">
        <v>0</v>
      </c>
      <c r="Q1360" t="n">
        <v>0</v>
      </c>
      <c r="R1360" t="inlineStr">
        <is>
          <t>T1090.003:Multi-hop Proxy</t>
        </is>
      </c>
      <c r="S1360" t="n">
        <v>1</v>
      </c>
      <c r="T1360" t="inlineStr">
        <is>
          <t>LOW (40%)</t>
        </is>
      </c>
      <c r="U1360" t="inlineStr">
        <is>
          <t>NONE</t>
        </is>
      </c>
      <c r="V1360" t="inlineStr">
        <is>
          <t>NONE</t>
        </is>
      </c>
      <c r="W1360" t="inlineStr">
        <is>
          <t>NONE</t>
        </is>
      </c>
      <c r="X1360" t="inlineStr">
        <is>
          <t>NONE</t>
        </is>
      </c>
      <c r="Y1360" t="n">
        <v>0</v>
      </c>
      <c r="Z1360" t="inlineStr"/>
      <c r="AA1360" t="inlineStr">
        <is>
          <t>https://check.torproject.org/</t>
        </is>
      </c>
    </row>
    <row r="1361">
      <c r="A1361" t="inlineStr">
        <is>
          <t>TOR_EXIT</t>
        </is>
      </c>
      <c r="B1361" t="inlineStr">
        <is>
          <t>6d7f7c8bc98f</t>
        </is>
      </c>
      <c r="C1361" t="inlineStr">
        <is>
          <t>Tor Exit Node: 45.80.158.205 | Traffic from this IP may be anonymized/malicious</t>
        </is>
      </c>
      <c r="D1361" t="n">
        <v>5</v>
      </c>
      <c r="E1361" t="inlineStr">
        <is>
          <t>MEDIUM</t>
        </is>
      </c>
      <c r="F1361" t="n">
        <v>2</v>
      </c>
      <c r="G1361" t="n">
        <v>1</v>
      </c>
      <c r="H1361" t="inlineStr">
        <is>
          <t>LOW</t>
        </is>
      </c>
      <c r="I1361" t="n">
        <v>7</v>
      </c>
      <c r="J1361" t="inlineStr">
        <is>
          <t>NO</t>
        </is>
      </c>
      <c r="K1361" t="inlineStr">
        <is>
          <t>2026-02-27 20:47</t>
        </is>
      </c>
      <c r="L1361" t="inlineStr">
        <is>
          <t>Block or monitor</t>
        </is>
      </c>
      <c r="M1361" t="inlineStr">
        <is>
          <t>Network perimeter</t>
        </is>
      </c>
      <c r="N1361" t="inlineStr">
        <is>
          <t>P4</t>
        </is>
      </c>
      <c r="O1361" t="inlineStr">
        <is>
          <t>Tor exit node - known anonymization service</t>
        </is>
      </c>
      <c r="P1361" t="n">
        <v>0</v>
      </c>
      <c r="Q1361" t="n">
        <v>0</v>
      </c>
      <c r="R1361" t="inlineStr">
        <is>
          <t>T1090.003:Multi-hop Proxy</t>
        </is>
      </c>
      <c r="S1361" t="n">
        <v>1</v>
      </c>
      <c r="T1361" t="inlineStr">
        <is>
          <t>LOW (40%)</t>
        </is>
      </c>
      <c r="U1361" t="inlineStr">
        <is>
          <t>NONE</t>
        </is>
      </c>
      <c r="V1361" t="inlineStr">
        <is>
          <t>NONE</t>
        </is>
      </c>
      <c r="W1361" t="inlineStr">
        <is>
          <t>NONE</t>
        </is>
      </c>
      <c r="X1361" t="inlineStr">
        <is>
          <t>NONE</t>
        </is>
      </c>
      <c r="Y1361" t="n">
        <v>0</v>
      </c>
      <c r="Z1361" t="inlineStr"/>
      <c r="AA1361" t="inlineStr">
        <is>
          <t>https://check.torproject.org/</t>
        </is>
      </c>
    </row>
    <row r="1362">
      <c r="A1362" t="inlineStr">
        <is>
          <t>TOR_EXIT</t>
        </is>
      </c>
      <c r="B1362" t="inlineStr">
        <is>
          <t>b8c43bffb164</t>
        </is>
      </c>
      <c r="C1362" t="inlineStr">
        <is>
          <t>Tor Exit Node: 51.15.227.109 | Traffic from this IP may be anonymized/malicious</t>
        </is>
      </c>
      <c r="D1362" t="n">
        <v>5</v>
      </c>
      <c r="E1362" t="inlineStr">
        <is>
          <t>MEDIUM</t>
        </is>
      </c>
      <c r="F1362" t="n">
        <v>2</v>
      </c>
      <c r="G1362" t="n">
        <v>1</v>
      </c>
      <c r="H1362" t="inlineStr">
        <is>
          <t>LOW</t>
        </is>
      </c>
      <c r="I1362" t="n">
        <v>7</v>
      </c>
      <c r="J1362" t="inlineStr">
        <is>
          <t>NO</t>
        </is>
      </c>
      <c r="K1362" t="inlineStr">
        <is>
          <t>2026-02-27 20:47</t>
        </is>
      </c>
      <c r="L1362" t="inlineStr">
        <is>
          <t>Block or monitor</t>
        </is>
      </c>
      <c r="M1362" t="inlineStr">
        <is>
          <t>Network perimeter</t>
        </is>
      </c>
      <c r="N1362" t="inlineStr">
        <is>
          <t>P4</t>
        </is>
      </c>
      <c r="O1362" t="inlineStr">
        <is>
          <t>Tor exit node - known anonymization service</t>
        </is>
      </c>
      <c r="P1362" t="n">
        <v>0</v>
      </c>
      <c r="Q1362" t="n">
        <v>0</v>
      </c>
      <c r="R1362" t="inlineStr">
        <is>
          <t>T1090.003:Multi-hop Proxy</t>
        </is>
      </c>
      <c r="S1362" t="n">
        <v>1</v>
      </c>
      <c r="T1362" t="inlineStr">
        <is>
          <t>LOW (40%)</t>
        </is>
      </c>
      <c r="U1362" t="inlineStr">
        <is>
          <t>NONE</t>
        </is>
      </c>
      <c r="V1362" t="inlineStr">
        <is>
          <t>NONE</t>
        </is>
      </c>
      <c r="W1362" t="inlineStr">
        <is>
          <t>NONE</t>
        </is>
      </c>
      <c r="X1362" t="inlineStr">
        <is>
          <t>NONE</t>
        </is>
      </c>
      <c r="Y1362" t="n">
        <v>0</v>
      </c>
      <c r="Z1362" t="inlineStr"/>
      <c r="AA1362" t="inlineStr">
        <is>
          <t>https://check.torproject.org/</t>
        </is>
      </c>
    </row>
    <row r="1363">
      <c r="A1363" t="inlineStr">
        <is>
          <t>TOR_EXIT</t>
        </is>
      </c>
      <c r="B1363" t="inlineStr">
        <is>
          <t>c0e70b28e0cb</t>
        </is>
      </c>
      <c r="C1363" t="inlineStr">
        <is>
          <t>Tor Exit Node: 45.138.16.230 | Traffic from this IP may be anonymized/malicious</t>
        </is>
      </c>
      <c r="D1363" t="n">
        <v>5</v>
      </c>
      <c r="E1363" t="inlineStr">
        <is>
          <t>MEDIUM</t>
        </is>
      </c>
      <c r="F1363" t="n">
        <v>2</v>
      </c>
      <c r="G1363" t="n">
        <v>1</v>
      </c>
      <c r="H1363" t="inlineStr">
        <is>
          <t>LOW</t>
        </is>
      </c>
      <c r="I1363" t="n">
        <v>7</v>
      </c>
      <c r="J1363" t="inlineStr">
        <is>
          <t>NO</t>
        </is>
      </c>
      <c r="K1363" t="inlineStr">
        <is>
          <t>2026-02-27 20:47</t>
        </is>
      </c>
      <c r="L1363" t="inlineStr">
        <is>
          <t>Block or monitor</t>
        </is>
      </c>
      <c r="M1363" t="inlineStr">
        <is>
          <t>Network perimeter</t>
        </is>
      </c>
      <c r="N1363" t="inlineStr">
        <is>
          <t>P4</t>
        </is>
      </c>
      <c r="O1363" t="inlineStr">
        <is>
          <t>Tor exit node - known anonymization service</t>
        </is>
      </c>
      <c r="P1363" t="n">
        <v>0</v>
      </c>
      <c r="Q1363" t="n">
        <v>0</v>
      </c>
      <c r="R1363" t="inlineStr">
        <is>
          <t>T1090.003:Multi-hop Proxy</t>
        </is>
      </c>
      <c r="S1363" t="n">
        <v>1</v>
      </c>
      <c r="T1363" t="inlineStr">
        <is>
          <t>LOW (40%)</t>
        </is>
      </c>
      <c r="U1363" t="inlineStr">
        <is>
          <t>NONE</t>
        </is>
      </c>
      <c r="V1363" t="inlineStr">
        <is>
          <t>NONE</t>
        </is>
      </c>
      <c r="W1363" t="inlineStr">
        <is>
          <t>NONE</t>
        </is>
      </c>
      <c r="X1363" t="inlineStr">
        <is>
          <t>NONE</t>
        </is>
      </c>
      <c r="Y1363" t="n">
        <v>0</v>
      </c>
      <c r="Z1363" t="inlineStr"/>
      <c r="AA1363" t="inlineStr">
        <is>
          <t>https://check.torproject.org/</t>
        </is>
      </c>
    </row>
    <row r="1364">
      <c r="A1364" t="inlineStr">
        <is>
          <t>TOR_EXIT</t>
        </is>
      </c>
      <c r="B1364" t="inlineStr">
        <is>
          <t>37b536cb08f9</t>
        </is>
      </c>
      <c r="C1364" t="inlineStr">
        <is>
          <t>Tor Exit Node: 192.42.116.18 | Traffic from this IP may be anonymized/malicious</t>
        </is>
      </c>
      <c r="D1364" t="n">
        <v>5</v>
      </c>
      <c r="E1364" t="inlineStr">
        <is>
          <t>MEDIUM</t>
        </is>
      </c>
      <c r="F1364" t="n">
        <v>2</v>
      </c>
      <c r="G1364" t="n">
        <v>1</v>
      </c>
      <c r="H1364" t="inlineStr">
        <is>
          <t>LOW</t>
        </is>
      </c>
      <c r="I1364" t="n">
        <v>7</v>
      </c>
      <c r="J1364" t="inlineStr">
        <is>
          <t>NO</t>
        </is>
      </c>
      <c r="K1364" t="inlineStr">
        <is>
          <t>2026-02-27 20:47</t>
        </is>
      </c>
      <c r="L1364" t="inlineStr">
        <is>
          <t>Block or monitor</t>
        </is>
      </c>
      <c r="M1364" t="inlineStr">
        <is>
          <t>Network perimeter</t>
        </is>
      </c>
      <c r="N1364" t="inlineStr">
        <is>
          <t>P4</t>
        </is>
      </c>
      <c r="O1364" t="inlineStr">
        <is>
          <t>Tor exit node - known anonymization service</t>
        </is>
      </c>
      <c r="P1364" t="n">
        <v>0</v>
      </c>
      <c r="Q1364" t="n">
        <v>0</v>
      </c>
      <c r="R1364" t="inlineStr">
        <is>
          <t>T1090.003:Multi-hop Proxy</t>
        </is>
      </c>
      <c r="S1364" t="n">
        <v>1</v>
      </c>
      <c r="T1364" t="inlineStr">
        <is>
          <t>LOW (40%)</t>
        </is>
      </c>
      <c r="U1364" t="inlineStr">
        <is>
          <t>NONE</t>
        </is>
      </c>
      <c r="V1364" t="inlineStr">
        <is>
          <t>NONE</t>
        </is>
      </c>
      <c r="W1364" t="inlineStr">
        <is>
          <t>NONE</t>
        </is>
      </c>
      <c r="X1364" t="inlineStr">
        <is>
          <t>NONE</t>
        </is>
      </c>
      <c r="Y1364" t="n">
        <v>0</v>
      </c>
      <c r="Z1364" t="inlineStr"/>
      <c r="AA1364" t="inlineStr">
        <is>
          <t>https://check.torproject.org/</t>
        </is>
      </c>
    </row>
    <row r="1365">
      <c r="A1365" t="inlineStr">
        <is>
          <t>TOR_EXIT</t>
        </is>
      </c>
      <c r="B1365" t="inlineStr">
        <is>
          <t>414d42cbb35d</t>
        </is>
      </c>
      <c r="C1365" t="inlineStr">
        <is>
          <t>Tor Exit Node: 185.129.61.1 | Traffic from this IP may be anonymized/malicious</t>
        </is>
      </c>
      <c r="D1365" t="n">
        <v>5</v>
      </c>
      <c r="E1365" t="inlineStr">
        <is>
          <t>MEDIUM</t>
        </is>
      </c>
      <c r="F1365" t="n">
        <v>2</v>
      </c>
      <c r="G1365" t="n">
        <v>1</v>
      </c>
      <c r="H1365" t="inlineStr">
        <is>
          <t>LOW</t>
        </is>
      </c>
      <c r="I1365" t="n">
        <v>7</v>
      </c>
      <c r="J1365" t="inlineStr">
        <is>
          <t>NO</t>
        </is>
      </c>
      <c r="K1365" t="inlineStr">
        <is>
          <t>2026-02-27 20:47</t>
        </is>
      </c>
      <c r="L1365" t="inlineStr">
        <is>
          <t>Block or monitor</t>
        </is>
      </c>
      <c r="M1365" t="inlineStr">
        <is>
          <t>Network perimeter</t>
        </is>
      </c>
      <c r="N1365" t="inlineStr">
        <is>
          <t>P4</t>
        </is>
      </c>
      <c r="O1365" t="inlineStr">
        <is>
          <t>Tor exit node - known anonymization service</t>
        </is>
      </c>
      <c r="P1365" t="n">
        <v>0</v>
      </c>
      <c r="Q1365" t="n">
        <v>0</v>
      </c>
      <c r="R1365" t="inlineStr">
        <is>
          <t>T1090.003:Multi-hop Proxy</t>
        </is>
      </c>
      <c r="S1365" t="n">
        <v>1</v>
      </c>
      <c r="T1365" t="inlineStr">
        <is>
          <t>LOW (40%)</t>
        </is>
      </c>
      <c r="U1365" t="inlineStr">
        <is>
          <t>NONE</t>
        </is>
      </c>
      <c r="V1365" t="inlineStr">
        <is>
          <t>NONE</t>
        </is>
      </c>
      <c r="W1365" t="inlineStr">
        <is>
          <t>NONE</t>
        </is>
      </c>
      <c r="X1365" t="inlineStr">
        <is>
          <t>NONE</t>
        </is>
      </c>
      <c r="Y1365" t="n">
        <v>0</v>
      </c>
      <c r="Z1365" t="inlineStr"/>
      <c r="AA1365" t="inlineStr">
        <is>
          <t>https://check.torproject.org/</t>
        </is>
      </c>
    </row>
    <row r="1366">
      <c r="A1366" t="inlineStr">
        <is>
          <t>TOR_EXIT</t>
        </is>
      </c>
      <c r="B1366" t="inlineStr">
        <is>
          <t>289d35cbeaed</t>
        </is>
      </c>
      <c r="C1366" t="inlineStr">
        <is>
          <t>Tor Exit Node: 163.172.213.212 | Traffic from this IP may be anonymized/malicious</t>
        </is>
      </c>
      <c r="D1366" t="n">
        <v>5</v>
      </c>
      <c r="E1366" t="inlineStr">
        <is>
          <t>MEDIUM</t>
        </is>
      </c>
      <c r="F1366" t="n">
        <v>2</v>
      </c>
      <c r="G1366" t="n">
        <v>1</v>
      </c>
      <c r="H1366" t="inlineStr">
        <is>
          <t>LOW</t>
        </is>
      </c>
      <c r="I1366" t="n">
        <v>7</v>
      </c>
      <c r="J1366" t="inlineStr">
        <is>
          <t>NO</t>
        </is>
      </c>
      <c r="K1366" t="inlineStr">
        <is>
          <t>2026-02-27 20:47</t>
        </is>
      </c>
      <c r="L1366" t="inlineStr">
        <is>
          <t>Block or monitor</t>
        </is>
      </c>
      <c r="M1366" t="inlineStr">
        <is>
          <t>Network perimeter</t>
        </is>
      </c>
      <c r="N1366" t="inlineStr">
        <is>
          <t>P4</t>
        </is>
      </c>
      <c r="O1366" t="inlineStr">
        <is>
          <t>Tor exit node - known anonymization service</t>
        </is>
      </c>
      <c r="P1366" t="n">
        <v>0</v>
      </c>
      <c r="Q1366" t="n">
        <v>0</v>
      </c>
      <c r="R1366" t="inlineStr">
        <is>
          <t>T1090.003:Multi-hop Proxy</t>
        </is>
      </c>
      <c r="S1366" t="n">
        <v>1</v>
      </c>
      <c r="T1366" t="inlineStr">
        <is>
          <t>LOW (40%)</t>
        </is>
      </c>
      <c r="U1366" t="inlineStr">
        <is>
          <t>NONE</t>
        </is>
      </c>
      <c r="V1366" t="inlineStr">
        <is>
          <t>NONE</t>
        </is>
      </c>
      <c r="W1366" t="inlineStr">
        <is>
          <t>NONE</t>
        </is>
      </c>
      <c r="X1366" t="inlineStr">
        <is>
          <t>NONE</t>
        </is>
      </c>
      <c r="Y1366" t="n">
        <v>0</v>
      </c>
      <c r="Z1366" t="inlineStr"/>
      <c r="AA1366" t="inlineStr">
        <is>
          <t>https://check.torproject.org/</t>
        </is>
      </c>
    </row>
    <row r="1367">
      <c r="A1367" t="inlineStr">
        <is>
          <t>TOR_EXIT</t>
        </is>
      </c>
      <c r="B1367" t="inlineStr">
        <is>
          <t>3091c7fb156e</t>
        </is>
      </c>
      <c r="C1367" t="inlineStr">
        <is>
          <t>Tor Exit Node: 185.220.101.109 | Traffic from this IP may be anonymized/malicious</t>
        </is>
      </c>
      <c r="D1367" t="n">
        <v>5</v>
      </c>
      <c r="E1367" t="inlineStr">
        <is>
          <t>MEDIUM</t>
        </is>
      </c>
      <c r="F1367" t="n">
        <v>2</v>
      </c>
      <c r="G1367" t="n">
        <v>1</v>
      </c>
      <c r="H1367" t="inlineStr">
        <is>
          <t>LOW</t>
        </is>
      </c>
      <c r="I1367" t="n">
        <v>7</v>
      </c>
      <c r="J1367" t="inlineStr">
        <is>
          <t>NO</t>
        </is>
      </c>
      <c r="K1367" t="inlineStr">
        <is>
          <t>2026-02-27 20:47</t>
        </is>
      </c>
      <c r="L1367" t="inlineStr">
        <is>
          <t>Block or monitor</t>
        </is>
      </c>
      <c r="M1367" t="inlineStr">
        <is>
          <t>Network perimeter</t>
        </is>
      </c>
      <c r="N1367" t="inlineStr">
        <is>
          <t>P4</t>
        </is>
      </c>
      <c r="O1367" t="inlineStr">
        <is>
          <t>Tor exit node - known anonymization service</t>
        </is>
      </c>
      <c r="P1367" t="n">
        <v>0</v>
      </c>
      <c r="Q1367" t="n">
        <v>0</v>
      </c>
      <c r="R1367" t="inlineStr">
        <is>
          <t>T1090.003:Multi-hop Proxy</t>
        </is>
      </c>
      <c r="S1367" t="n">
        <v>1</v>
      </c>
      <c r="T1367" t="inlineStr">
        <is>
          <t>LOW (40%)</t>
        </is>
      </c>
      <c r="U1367" t="inlineStr">
        <is>
          <t>NONE</t>
        </is>
      </c>
      <c r="V1367" t="inlineStr">
        <is>
          <t>NONE</t>
        </is>
      </c>
      <c r="W1367" t="inlineStr">
        <is>
          <t>NONE</t>
        </is>
      </c>
      <c r="X1367" t="inlineStr">
        <is>
          <t>NONE</t>
        </is>
      </c>
      <c r="Y1367" t="n">
        <v>0</v>
      </c>
      <c r="Z1367" t="inlineStr"/>
      <c r="AA1367" t="inlineStr">
        <is>
          <t>https://check.torproject.org/</t>
        </is>
      </c>
    </row>
    <row r="1368">
      <c r="A1368" t="inlineStr">
        <is>
          <t>TOR_EXIT</t>
        </is>
      </c>
      <c r="B1368" t="inlineStr">
        <is>
          <t>25cbde4253f0</t>
        </is>
      </c>
      <c r="C1368" t="inlineStr">
        <is>
          <t>Tor Exit Node: 185.195.71.244 | Traffic from this IP may be anonymized/malicious</t>
        </is>
      </c>
      <c r="D1368" t="n">
        <v>5</v>
      </c>
      <c r="E1368" t="inlineStr">
        <is>
          <t>MEDIUM</t>
        </is>
      </c>
      <c r="F1368" t="n">
        <v>2</v>
      </c>
      <c r="G1368" t="n">
        <v>1</v>
      </c>
      <c r="H1368" t="inlineStr">
        <is>
          <t>LOW</t>
        </is>
      </c>
      <c r="I1368" t="n">
        <v>7</v>
      </c>
      <c r="J1368" t="inlineStr">
        <is>
          <t>NO</t>
        </is>
      </c>
      <c r="K1368" t="inlineStr">
        <is>
          <t>2026-02-27 20:47</t>
        </is>
      </c>
      <c r="L1368" t="inlineStr">
        <is>
          <t>Block or monitor</t>
        </is>
      </c>
      <c r="M1368" t="inlineStr">
        <is>
          <t>Network perimeter</t>
        </is>
      </c>
      <c r="N1368" t="inlineStr">
        <is>
          <t>P4</t>
        </is>
      </c>
      <c r="O1368" t="inlineStr">
        <is>
          <t>Tor exit node - known anonymization service</t>
        </is>
      </c>
      <c r="P1368" t="n">
        <v>0</v>
      </c>
      <c r="Q1368" t="n">
        <v>0</v>
      </c>
      <c r="R1368" t="inlineStr">
        <is>
          <t>T1090.003:Multi-hop Proxy</t>
        </is>
      </c>
      <c r="S1368" t="n">
        <v>1</v>
      </c>
      <c r="T1368" t="inlineStr">
        <is>
          <t>LOW (40%)</t>
        </is>
      </c>
      <c r="U1368" t="inlineStr">
        <is>
          <t>NONE</t>
        </is>
      </c>
      <c r="V1368" t="inlineStr">
        <is>
          <t>NONE</t>
        </is>
      </c>
      <c r="W1368" t="inlineStr">
        <is>
          <t>NONE</t>
        </is>
      </c>
      <c r="X1368" t="inlineStr">
        <is>
          <t>NONE</t>
        </is>
      </c>
      <c r="Y1368" t="n">
        <v>0</v>
      </c>
      <c r="Z1368" t="inlineStr"/>
      <c r="AA1368" t="inlineStr">
        <is>
          <t>https://check.torproject.org/</t>
        </is>
      </c>
    </row>
    <row r="1369">
      <c r="A1369" t="inlineStr">
        <is>
          <t>TOR_EXIT</t>
        </is>
      </c>
      <c r="B1369" t="inlineStr">
        <is>
          <t>a55cb66009b7</t>
        </is>
      </c>
      <c r="C1369" t="inlineStr">
        <is>
          <t>Tor Exit Node: 86.104.194.13 | Traffic from this IP may be anonymized/malicious</t>
        </is>
      </c>
      <c r="D1369" t="n">
        <v>5</v>
      </c>
      <c r="E1369" t="inlineStr">
        <is>
          <t>MEDIUM</t>
        </is>
      </c>
      <c r="F1369" t="n">
        <v>2</v>
      </c>
      <c r="G1369" t="n">
        <v>1</v>
      </c>
      <c r="H1369" t="inlineStr">
        <is>
          <t>LOW</t>
        </is>
      </c>
      <c r="I1369" t="n">
        <v>7</v>
      </c>
      <c r="J1369" t="inlineStr">
        <is>
          <t>NO</t>
        </is>
      </c>
      <c r="K1369" t="inlineStr">
        <is>
          <t>2026-02-27 20:47</t>
        </is>
      </c>
      <c r="L1369" t="inlineStr">
        <is>
          <t>Block or monitor</t>
        </is>
      </c>
      <c r="M1369" t="inlineStr">
        <is>
          <t>Network perimeter</t>
        </is>
      </c>
      <c r="N1369" t="inlineStr">
        <is>
          <t>P4</t>
        </is>
      </c>
      <c r="O1369" t="inlineStr">
        <is>
          <t>Tor exit node - known anonymization service</t>
        </is>
      </c>
      <c r="P1369" t="n">
        <v>0</v>
      </c>
      <c r="Q1369" t="n">
        <v>0</v>
      </c>
      <c r="R1369" t="inlineStr">
        <is>
          <t>T1090.003:Multi-hop Proxy</t>
        </is>
      </c>
      <c r="S1369" t="n">
        <v>1</v>
      </c>
      <c r="T1369" t="inlineStr">
        <is>
          <t>LOW (40%)</t>
        </is>
      </c>
      <c r="U1369" t="inlineStr">
        <is>
          <t>NONE</t>
        </is>
      </c>
      <c r="V1369" t="inlineStr">
        <is>
          <t>NONE</t>
        </is>
      </c>
      <c r="W1369" t="inlineStr">
        <is>
          <t>NONE</t>
        </is>
      </c>
      <c r="X1369" t="inlineStr">
        <is>
          <t>NONE</t>
        </is>
      </c>
      <c r="Y1369" t="n">
        <v>0</v>
      </c>
      <c r="Z1369" t="inlineStr"/>
      <c r="AA1369" t="inlineStr">
        <is>
          <t>https://check.torproject.org/</t>
        </is>
      </c>
    </row>
    <row r="1370">
      <c r="A1370" t="inlineStr">
        <is>
          <t>TOR_EXIT</t>
        </is>
      </c>
      <c r="B1370" t="inlineStr">
        <is>
          <t>9f00e28ff447</t>
        </is>
      </c>
      <c r="C1370" t="inlineStr">
        <is>
          <t>Tor Exit Node: 94.102.51.15 | Traffic from this IP may be anonymized/malicious</t>
        </is>
      </c>
      <c r="D1370" t="n">
        <v>5</v>
      </c>
      <c r="E1370" t="inlineStr">
        <is>
          <t>MEDIUM</t>
        </is>
      </c>
      <c r="F1370" t="n">
        <v>2</v>
      </c>
      <c r="G1370" t="n">
        <v>1</v>
      </c>
      <c r="H1370" t="inlineStr">
        <is>
          <t>LOW</t>
        </is>
      </c>
      <c r="I1370" t="n">
        <v>7</v>
      </c>
      <c r="J1370" t="inlineStr">
        <is>
          <t>NO</t>
        </is>
      </c>
      <c r="K1370" t="inlineStr">
        <is>
          <t>2026-02-27 20:47</t>
        </is>
      </c>
      <c r="L1370" t="inlineStr">
        <is>
          <t>Block or monitor</t>
        </is>
      </c>
      <c r="M1370" t="inlineStr">
        <is>
          <t>Network perimeter</t>
        </is>
      </c>
      <c r="N1370" t="inlineStr">
        <is>
          <t>P4</t>
        </is>
      </c>
      <c r="O1370" t="inlineStr">
        <is>
          <t>Tor exit node - known anonymization service</t>
        </is>
      </c>
      <c r="P1370" t="n">
        <v>0</v>
      </c>
      <c r="Q1370" t="n">
        <v>0</v>
      </c>
      <c r="R1370" t="inlineStr">
        <is>
          <t>T1090.003:Multi-hop Proxy</t>
        </is>
      </c>
      <c r="S1370" t="n">
        <v>1</v>
      </c>
      <c r="T1370" t="inlineStr">
        <is>
          <t>LOW (40%)</t>
        </is>
      </c>
      <c r="U1370" t="inlineStr">
        <is>
          <t>NONE</t>
        </is>
      </c>
      <c r="V1370" t="inlineStr">
        <is>
          <t>NONE</t>
        </is>
      </c>
      <c r="W1370" t="inlineStr">
        <is>
          <t>NONE</t>
        </is>
      </c>
      <c r="X1370" t="inlineStr">
        <is>
          <t>NONE</t>
        </is>
      </c>
      <c r="Y1370" t="n">
        <v>0</v>
      </c>
      <c r="Z1370" t="inlineStr"/>
      <c r="AA1370" t="inlineStr">
        <is>
          <t>https://check.torproject.org/</t>
        </is>
      </c>
    </row>
    <row r="1371">
      <c r="A1371" t="inlineStr">
        <is>
          <t>TOR_EXIT</t>
        </is>
      </c>
      <c r="B1371" t="inlineStr">
        <is>
          <t>e5691e2ab50c</t>
        </is>
      </c>
      <c r="C1371" t="inlineStr">
        <is>
          <t>Tor Exit Node: 74.207.248.172 | Traffic from this IP may be anonymized/malicious</t>
        </is>
      </c>
      <c r="D1371" t="n">
        <v>5</v>
      </c>
      <c r="E1371" t="inlineStr">
        <is>
          <t>MEDIUM</t>
        </is>
      </c>
      <c r="F1371" t="n">
        <v>2</v>
      </c>
      <c r="G1371" t="n">
        <v>1</v>
      </c>
      <c r="H1371" t="inlineStr">
        <is>
          <t>LOW</t>
        </is>
      </c>
      <c r="I1371" t="n">
        <v>7</v>
      </c>
      <c r="J1371" t="inlineStr">
        <is>
          <t>NO</t>
        </is>
      </c>
      <c r="K1371" t="inlineStr">
        <is>
          <t>2026-02-27 20:47</t>
        </is>
      </c>
      <c r="L1371" t="inlineStr">
        <is>
          <t>Block or monitor</t>
        </is>
      </c>
      <c r="M1371" t="inlineStr">
        <is>
          <t>Network perimeter</t>
        </is>
      </c>
      <c r="N1371" t="inlineStr">
        <is>
          <t>P4</t>
        </is>
      </c>
      <c r="O1371" t="inlineStr">
        <is>
          <t>Tor exit node - known anonymization service</t>
        </is>
      </c>
      <c r="P1371" t="n">
        <v>0</v>
      </c>
      <c r="Q1371" t="n">
        <v>0</v>
      </c>
      <c r="R1371" t="inlineStr">
        <is>
          <t>T1090.003:Multi-hop Proxy</t>
        </is>
      </c>
      <c r="S1371" t="n">
        <v>1</v>
      </c>
      <c r="T1371" t="inlineStr">
        <is>
          <t>LOW (40%)</t>
        </is>
      </c>
      <c r="U1371" t="inlineStr">
        <is>
          <t>NONE</t>
        </is>
      </c>
      <c r="V1371" t="inlineStr">
        <is>
          <t>NONE</t>
        </is>
      </c>
      <c r="W1371" t="inlineStr">
        <is>
          <t>NONE</t>
        </is>
      </c>
      <c r="X1371" t="inlineStr">
        <is>
          <t>NONE</t>
        </is>
      </c>
      <c r="Y1371" t="n">
        <v>0</v>
      </c>
      <c r="Z1371" t="inlineStr"/>
      <c r="AA1371" t="inlineStr">
        <is>
          <t>https://check.torproject.org/</t>
        </is>
      </c>
    </row>
    <row r="1372">
      <c r="A1372" t="inlineStr">
        <is>
          <t>TOR_EXIT</t>
        </is>
      </c>
      <c r="B1372" t="inlineStr">
        <is>
          <t>953f788997ad</t>
        </is>
      </c>
      <c r="C1372" t="inlineStr">
        <is>
          <t>Tor Exit Node: 195.80.151.30 | Traffic from this IP may be anonymized/malicious</t>
        </is>
      </c>
      <c r="D1372" t="n">
        <v>5</v>
      </c>
      <c r="E1372" t="inlineStr">
        <is>
          <t>MEDIUM</t>
        </is>
      </c>
      <c r="F1372" t="n">
        <v>2</v>
      </c>
      <c r="G1372" t="n">
        <v>1</v>
      </c>
      <c r="H1372" t="inlineStr">
        <is>
          <t>LOW</t>
        </is>
      </c>
      <c r="I1372" t="n">
        <v>7</v>
      </c>
      <c r="J1372" t="inlineStr">
        <is>
          <t>NO</t>
        </is>
      </c>
      <c r="K1372" t="inlineStr">
        <is>
          <t>2026-02-27 20:47</t>
        </is>
      </c>
      <c r="L1372" t="inlineStr">
        <is>
          <t>Block or monitor</t>
        </is>
      </c>
      <c r="M1372" t="inlineStr">
        <is>
          <t>Network perimeter</t>
        </is>
      </c>
      <c r="N1372" t="inlineStr">
        <is>
          <t>P4</t>
        </is>
      </c>
      <c r="O1372" t="inlineStr">
        <is>
          <t>Tor exit node - known anonymization service</t>
        </is>
      </c>
      <c r="P1372" t="n">
        <v>0</v>
      </c>
      <c r="Q1372" t="n">
        <v>0</v>
      </c>
      <c r="R1372" t="inlineStr">
        <is>
          <t>T1090.003:Multi-hop Proxy</t>
        </is>
      </c>
      <c r="S1372" t="n">
        <v>1</v>
      </c>
      <c r="T1372" t="inlineStr">
        <is>
          <t>LOW (40%)</t>
        </is>
      </c>
      <c r="U1372" t="inlineStr">
        <is>
          <t>NONE</t>
        </is>
      </c>
      <c r="V1372" t="inlineStr">
        <is>
          <t>NONE</t>
        </is>
      </c>
      <c r="W1372" t="inlineStr">
        <is>
          <t>NONE</t>
        </is>
      </c>
      <c r="X1372" t="inlineStr">
        <is>
          <t>NONE</t>
        </is>
      </c>
      <c r="Y1372" t="n">
        <v>0</v>
      </c>
      <c r="Z1372" t="inlineStr"/>
      <c r="AA1372" t="inlineStr">
        <is>
          <t>https://check.torproject.org/</t>
        </is>
      </c>
    </row>
    <row r="1373">
      <c r="A1373" t="inlineStr">
        <is>
          <t>TOR_EXIT</t>
        </is>
      </c>
      <c r="B1373" t="inlineStr">
        <is>
          <t>70a91b15cc91</t>
        </is>
      </c>
      <c r="C1373" t="inlineStr">
        <is>
          <t>Tor Exit Node: 185.241.208.243 | Traffic from this IP may be anonymized/malicious</t>
        </is>
      </c>
      <c r="D1373" t="n">
        <v>5</v>
      </c>
      <c r="E1373" t="inlineStr">
        <is>
          <t>MEDIUM</t>
        </is>
      </c>
      <c r="F1373" t="n">
        <v>2</v>
      </c>
      <c r="G1373" t="n">
        <v>1</v>
      </c>
      <c r="H1373" t="inlineStr">
        <is>
          <t>LOW</t>
        </is>
      </c>
      <c r="I1373" t="n">
        <v>7</v>
      </c>
      <c r="J1373" t="inlineStr">
        <is>
          <t>NO</t>
        </is>
      </c>
      <c r="K1373" t="inlineStr">
        <is>
          <t>2026-02-27 20:47</t>
        </is>
      </c>
      <c r="L1373" t="inlineStr">
        <is>
          <t>Block or monitor</t>
        </is>
      </c>
      <c r="M1373" t="inlineStr">
        <is>
          <t>Network perimeter</t>
        </is>
      </c>
      <c r="N1373" t="inlineStr">
        <is>
          <t>P4</t>
        </is>
      </c>
      <c r="O1373" t="inlineStr">
        <is>
          <t>Tor exit node - known anonymization service</t>
        </is>
      </c>
      <c r="P1373" t="n">
        <v>0</v>
      </c>
      <c r="Q1373" t="n">
        <v>0</v>
      </c>
      <c r="R1373" t="inlineStr">
        <is>
          <t>T1090.003:Multi-hop Proxy</t>
        </is>
      </c>
      <c r="S1373" t="n">
        <v>1</v>
      </c>
      <c r="T1373" t="inlineStr">
        <is>
          <t>LOW (40%)</t>
        </is>
      </c>
      <c r="U1373" t="inlineStr">
        <is>
          <t>NONE</t>
        </is>
      </c>
      <c r="V1373" t="inlineStr">
        <is>
          <t>NONE</t>
        </is>
      </c>
      <c r="W1373" t="inlineStr">
        <is>
          <t>NONE</t>
        </is>
      </c>
      <c r="X1373" t="inlineStr">
        <is>
          <t>NONE</t>
        </is>
      </c>
      <c r="Y1373" t="n">
        <v>0</v>
      </c>
      <c r="Z1373" t="inlineStr"/>
      <c r="AA1373" t="inlineStr">
        <is>
          <t>https://check.torproject.org/</t>
        </is>
      </c>
    </row>
    <row r="1374">
      <c r="A1374" t="inlineStr">
        <is>
          <t>TOR_EXIT</t>
        </is>
      </c>
      <c r="B1374" t="inlineStr">
        <is>
          <t>3074c8e65f65</t>
        </is>
      </c>
      <c r="C1374" t="inlineStr">
        <is>
          <t>Tor Exit Node: 185.220.101.1 | Traffic from this IP may be anonymized/malicious</t>
        </is>
      </c>
      <c r="D1374" t="n">
        <v>5</v>
      </c>
      <c r="E1374" t="inlineStr">
        <is>
          <t>MEDIUM</t>
        </is>
      </c>
      <c r="F1374" t="n">
        <v>2</v>
      </c>
      <c r="G1374" t="n">
        <v>1</v>
      </c>
      <c r="H1374" t="inlineStr">
        <is>
          <t>LOW</t>
        </is>
      </c>
      <c r="I1374" t="n">
        <v>7</v>
      </c>
      <c r="J1374" t="inlineStr">
        <is>
          <t>NO</t>
        </is>
      </c>
      <c r="K1374" t="inlineStr">
        <is>
          <t>2026-02-27 20:47</t>
        </is>
      </c>
      <c r="L1374" t="inlineStr">
        <is>
          <t>Block or monitor</t>
        </is>
      </c>
      <c r="M1374" t="inlineStr">
        <is>
          <t>Network perimeter</t>
        </is>
      </c>
      <c r="N1374" t="inlineStr">
        <is>
          <t>P4</t>
        </is>
      </c>
      <c r="O1374" t="inlineStr">
        <is>
          <t>Tor exit node - known anonymization service</t>
        </is>
      </c>
      <c r="P1374" t="n">
        <v>0</v>
      </c>
      <c r="Q1374" t="n">
        <v>0</v>
      </c>
      <c r="R1374" t="inlineStr">
        <is>
          <t>T1090.003:Multi-hop Proxy</t>
        </is>
      </c>
      <c r="S1374" t="n">
        <v>1</v>
      </c>
      <c r="T1374" t="inlineStr">
        <is>
          <t>LOW (40%)</t>
        </is>
      </c>
      <c r="U1374" t="inlineStr">
        <is>
          <t>NONE</t>
        </is>
      </c>
      <c r="V1374" t="inlineStr">
        <is>
          <t>NONE</t>
        </is>
      </c>
      <c r="W1374" t="inlineStr">
        <is>
          <t>NONE</t>
        </is>
      </c>
      <c r="X1374" t="inlineStr">
        <is>
          <t>NONE</t>
        </is>
      </c>
      <c r="Y1374" t="n">
        <v>0</v>
      </c>
      <c r="Z1374" t="inlineStr"/>
      <c r="AA1374" t="inlineStr">
        <is>
          <t>https://check.torproject.org/</t>
        </is>
      </c>
    </row>
    <row r="1375">
      <c r="A1375" t="inlineStr">
        <is>
          <t>TOR_EXIT</t>
        </is>
      </c>
      <c r="B1375" t="inlineStr">
        <is>
          <t>55e12e23847e</t>
        </is>
      </c>
      <c r="C1375" t="inlineStr">
        <is>
          <t>Tor Exit Node: 185.181.61.18 | Traffic from this IP may be anonymized/malicious</t>
        </is>
      </c>
      <c r="D1375" t="n">
        <v>5</v>
      </c>
      <c r="E1375" t="inlineStr">
        <is>
          <t>MEDIUM</t>
        </is>
      </c>
      <c r="F1375" t="n">
        <v>2</v>
      </c>
      <c r="G1375" t="n">
        <v>1</v>
      </c>
      <c r="H1375" t="inlineStr">
        <is>
          <t>LOW</t>
        </is>
      </c>
      <c r="I1375" t="n">
        <v>7</v>
      </c>
      <c r="J1375" t="inlineStr">
        <is>
          <t>NO</t>
        </is>
      </c>
      <c r="K1375" t="inlineStr">
        <is>
          <t>2026-02-27 20:47</t>
        </is>
      </c>
      <c r="L1375" t="inlineStr">
        <is>
          <t>Block or monitor</t>
        </is>
      </c>
      <c r="M1375" t="inlineStr">
        <is>
          <t>Network perimeter</t>
        </is>
      </c>
      <c r="N1375" t="inlineStr">
        <is>
          <t>P4</t>
        </is>
      </c>
      <c r="O1375" t="inlineStr">
        <is>
          <t>Tor exit node - known anonymization service</t>
        </is>
      </c>
      <c r="P1375" t="n">
        <v>0</v>
      </c>
      <c r="Q1375" t="n">
        <v>0</v>
      </c>
      <c r="R1375" t="inlineStr">
        <is>
          <t>T1090.003:Multi-hop Proxy</t>
        </is>
      </c>
      <c r="S1375" t="n">
        <v>1</v>
      </c>
      <c r="T1375" t="inlineStr">
        <is>
          <t>LOW (40%)</t>
        </is>
      </c>
      <c r="U1375" t="inlineStr">
        <is>
          <t>NONE</t>
        </is>
      </c>
      <c r="V1375" t="inlineStr">
        <is>
          <t>NONE</t>
        </is>
      </c>
      <c r="W1375" t="inlineStr">
        <is>
          <t>NONE</t>
        </is>
      </c>
      <c r="X1375" t="inlineStr">
        <is>
          <t>NONE</t>
        </is>
      </c>
      <c r="Y1375" t="n">
        <v>0</v>
      </c>
      <c r="Z1375" t="inlineStr"/>
      <c r="AA1375" t="inlineStr">
        <is>
          <t>https://check.torproject.org/</t>
        </is>
      </c>
    </row>
    <row r="1376">
      <c r="A1376" t="inlineStr">
        <is>
          <t>TOR_EXIT</t>
        </is>
      </c>
      <c r="B1376" t="inlineStr">
        <is>
          <t>756d560e03cd</t>
        </is>
      </c>
      <c r="C1376" t="inlineStr">
        <is>
          <t>Tor Exit Node: 81.19.137.127 | Traffic from this IP may be anonymized/malicious</t>
        </is>
      </c>
      <c r="D1376" t="n">
        <v>5</v>
      </c>
      <c r="E1376" t="inlineStr">
        <is>
          <t>MEDIUM</t>
        </is>
      </c>
      <c r="F1376" t="n">
        <v>2</v>
      </c>
      <c r="G1376" t="n">
        <v>1</v>
      </c>
      <c r="H1376" t="inlineStr">
        <is>
          <t>LOW</t>
        </is>
      </c>
      <c r="I1376" t="n">
        <v>7</v>
      </c>
      <c r="J1376" t="inlineStr">
        <is>
          <t>NO</t>
        </is>
      </c>
      <c r="K1376" t="inlineStr">
        <is>
          <t>2026-02-27 20:47</t>
        </is>
      </c>
      <c r="L1376" t="inlineStr">
        <is>
          <t>Block or monitor</t>
        </is>
      </c>
      <c r="M1376" t="inlineStr">
        <is>
          <t>Network perimeter</t>
        </is>
      </c>
      <c r="N1376" t="inlineStr">
        <is>
          <t>P4</t>
        </is>
      </c>
      <c r="O1376" t="inlineStr">
        <is>
          <t>Tor exit node - known anonymization service</t>
        </is>
      </c>
      <c r="P1376" t="n">
        <v>0</v>
      </c>
      <c r="Q1376" t="n">
        <v>0</v>
      </c>
      <c r="R1376" t="inlineStr">
        <is>
          <t>T1090.003:Multi-hop Proxy</t>
        </is>
      </c>
      <c r="S1376" t="n">
        <v>1</v>
      </c>
      <c r="T1376" t="inlineStr">
        <is>
          <t>LOW (40%)</t>
        </is>
      </c>
      <c r="U1376" t="inlineStr">
        <is>
          <t>NONE</t>
        </is>
      </c>
      <c r="V1376" t="inlineStr">
        <is>
          <t>NONE</t>
        </is>
      </c>
      <c r="W1376" t="inlineStr">
        <is>
          <t>NONE</t>
        </is>
      </c>
      <c r="X1376" t="inlineStr">
        <is>
          <t>NONE</t>
        </is>
      </c>
      <c r="Y1376" t="n">
        <v>0</v>
      </c>
      <c r="Z1376" t="inlineStr"/>
      <c r="AA1376" t="inlineStr">
        <is>
          <t>https://check.torproject.org/</t>
        </is>
      </c>
    </row>
    <row r="1377">
      <c r="A1377" t="inlineStr">
        <is>
          <t>TOR_EXIT</t>
        </is>
      </c>
      <c r="B1377" t="inlineStr">
        <is>
          <t>dcfe9e0ae506</t>
        </is>
      </c>
      <c r="C1377" t="inlineStr">
        <is>
          <t>Tor Exit Node: 103.81.180.100 | Traffic from this IP may be anonymized/malicious</t>
        </is>
      </c>
      <c r="D1377" t="n">
        <v>5</v>
      </c>
      <c r="E1377" t="inlineStr">
        <is>
          <t>MEDIUM</t>
        </is>
      </c>
      <c r="F1377" t="n">
        <v>2</v>
      </c>
      <c r="G1377" t="n">
        <v>1</v>
      </c>
      <c r="H1377" t="inlineStr">
        <is>
          <t>LOW</t>
        </is>
      </c>
      <c r="I1377" t="n">
        <v>7</v>
      </c>
      <c r="J1377" t="inlineStr">
        <is>
          <t>NO</t>
        </is>
      </c>
      <c r="K1377" t="inlineStr">
        <is>
          <t>2026-02-27 20:47</t>
        </is>
      </c>
      <c r="L1377" t="inlineStr">
        <is>
          <t>Block or monitor</t>
        </is>
      </c>
      <c r="M1377" t="inlineStr">
        <is>
          <t>Network perimeter</t>
        </is>
      </c>
      <c r="N1377" t="inlineStr">
        <is>
          <t>P4</t>
        </is>
      </c>
      <c r="O1377" t="inlineStr">
        <is>
          <t>Tor exit node - known anonymization service</t>
        </is>
      </c>
      <c r="P1377" t="n">
        <v>0</v>
      </c>
      <c r="Q1377" t="n">
        <v>0</v>
      </c>
      <c r="R1377" t="inlineStr">
        <is>
          <t>T1090.003:Multi-hop Proxy</t>
        </is>
      </c>
      <c r="S1377" t="n">
        <v>1</v>
      </c>
      <c r="T1377" t="inlineStr">
        <is>
          <t>LOW (40%)</t>
        </is>
      </c>
      <c r="U1377" t="inlineStr">
        <is>
          <t>NONE</t>
        </is>
      </c>
      <c r="V1377" t="inlineStr">
        <is>
          <t>NONE</t>
        </is>
      </c>
      <c r="W1377" t="inlineStr">
        <is>
          <t>NONE</t>
        </is>
      </c>
      <c r="X1377" t="inlineStr">
        <is>
          <t>NONE</t>
        </is>
      </c>
      <c r="Y1377" t="n">
        <v>0</v>
      </c>
      <c r="Z1377" t="inlineStr"/>
      <c r="AA1377" t="inlineStr">
        <is>
          <t>https://check.torproject.org/</t>
        </is>
      </c>
    </row>
    <row r="1378">
      <c r="A1378" t="inlineStr">
        <is>
          <t>TOR_EXIT</t>
        </is>
      </c>
      <c r="B1378" t="inlineStr">
        <is>
          <t>5e904a629373</t>
        </is>
      </c>
      <c r="C1378" t="inlineStr">
        <is>
          <t>Tor Exit Node: 104.244.72.132 | Traffic from this IP may be anonymized/malicious</t>
        </is>
      </c>
      <c r="D1378" t="n">
        <v>5</v>
      </c>
      <c r="E1378" t="inlineStr">
        <is>
          <t>MEDIUM</t>
        </is>
      </c>
      <c r="F1378" t="n">
        <v>2</v>
      </c>
      <c r="G1378" t="n">
        <v>1</v>
      </c>
      <c r="H1378" t="inlineStr">
        <is>
          <t>LOW</t>
        </is>
      </c>
      <c r="I1378" t="n">
        <v>7</v>
      </c>
      <c r="J1378" t="inlineStr">
        <is>
          <t>NO</t>
        </is>
      </c>
      <c r="K1378" t="inlineStr">
        <is>
          <t>2026-02-27 20:47</t>
        </is>
      </c>
      <c r="L1378" t="inlineStr">
        <is>
          <t>Block or monitor</t>
        </is>
      </c>
      <c r="M1378" t="inlineStr">
        <is>
          <t>Network perimeter</t>
        </is>
      </c>
      <c r="N1378" t="inlineStr">
        <is>
          <t>P4</t>
        </is>
      </c>
      <c r="O1378" t="inlineStr">
        <is>
          <t>Tor exit node - known anonymization service</t>
        </is>
      </c>
      <c r="P1378" t="n">
        <v>0</v>
      </c>
      <c r="Q1378" t="n">
        <v>0</v>
      </c>
      <c r="R1378" t="inlineStr">
        <is>
          <t>T1090.003:Multi-hop Proxy</t>
        </is>
      </c>
      <c r="S1378" t="n">
        <v>1</v>
      </c>
      <c r="T1378" t="inlineStr">
        <is>
          <t>LOW (40%)</t>
        </is>
      </c>
      <c r="U1378" t="inlineStr">
        <is>
          <t>NONE</t>
        </is>
      </c>
      <c r="V1378" t="inlineStr">
        <is>
          <t>NONE</t>
        </is>
      </c>
      <c r="W1378" t="inlineStr">
        <is>
          <t>NONE</t>
        </is>
      </c>
      <c r="X1378" t="inlineStr">
        <is>
          <t>NONE</t>
        </is>
      </c>
      <c r="Y1378" t="n">
        <v>0</v>
      </c>
      <c r="Z1378" t="inlineStr"/>
      <c r="AA1378" t="inlineStr">
        <is>
          <t>https://check.torproject.org/</t>
        </is>
      </c>
    </row>
    <row r="1379">
      <c r="A1379" t="inlineStr">
        <is>
          <t>TOR_EXIT</t>
        </is>
      </c>
      <c r="B1379" t="inlineStr">
        <is>
          <t>5ad76977a6e4</t>
        </is>
      </c>
      <c r="C1379" t="inlineStr">
        <is>
          <t>Tor Exit Node: 87.120.254.132 | Traffic from this IP may be anonymized/malicious</t>
        </is>
      </c>
      <c r="D1379" t="n">
        <v>5</v>
      </c>
      <c r="E1379" t="inlineStr">
        <is>
          <t>MEDIUM</t>
        </is>
      </c>
      <c r="F1379" t="n">
        <v>2</v>
      </c>
      <c r="G1379" t="n">
        <v>1</v>
      </c>
      <c r="H1379" t="inlineStr">
        <is>
          <t>LOW</t>
        </is>
      </c>
      <c r="I1379" t="n">
        <v>7</v>
      </c>
      <c r="J1379" t="inlineStr">
        <is>
          <t>NO</t>
        </is>
      </c>
      <c r="K1379" t="inlineStr">
        <is>
          <t>2026-02-27 20:47</t>
        </is>
      </c>
      <c r="L1379" t="inlineStr">
        <is>
          <t>Block or monitor</t>
        </is>
      </c>
      <c r="M1379" t="inlineStr">
        <is>
          <t>Network perimeter</t>
        </is>
      </c>
      <c r="N1379" t="inlineStr">
        <is>
          <t>P4</t>
        </is>
      </c>
      <c r="O1379" t="inlineStr">
        <is>
          <t>Tor exit node - known anonymization service</t>
        </is>
      </c>
      <c r="P1379" t="n">
        <v>0</v>
      </c>
      <c r="Q1379" t="n">
        <v>0</v>
      </c>
      <c r="R1379" t="inlineStr">
        <is>
          <t>T1090.003:Multi-hop Proxy</t>
        </is>
      </c>
      <c r="S1379" t="n">
        <v>1</v>
      </c>
      <c r="T1379" t="inlineStr">
        <is>
          <t>LOW (40%)</t>
        </is>
      </c>
      <c r="U1379" t="inlineStr">
        <is>
          <t>NONE</t>
        </is>
      </c>
      <c r="V1379" t="inlineStr">
        <is>
          <t>NONE</t>
        </is>
      </c>
      <c r="W1379" t="inlineStr">
        <is>
          <t>NONE</t>
        </is>
      </c>
      <c r="X1379" t="inlineStr">
        <is>
          <t>NONE</t>
        </is>
      </c>
      <c r="Y1379" t="n">
        <v>0</v>
      </c>
      <c r="Z1379" t="inlineStr"/>
      <c r="AA1379" t="inlineStr">
        <is>
          <t>https://check.torproject.org/</t>
        </is>
      </c>
    </row>
    <row r="1380">
      <c r="A1380" t="inlineStr">
        <is>
          <t>TOR_EXIT</t>
        </is>
      </c>
      <c r="B1380" t="inlineStr">
        <is>
          <t>20c71cc8b190</t>
        </is>
      </c>
      <c r="C1380" t="inlineStr">
        <is>
          <t>Tor Exit Node: 193.30.120.139 | Traffic from this IP may be anonymized/malicious</t>
        </is>
      </c>
      <c r="D1380" t="n">
        <v>5</v>
      </c>
      <c r="E1380" t="inlineStr">
        <is>
          <t>MEDIUM</t>
        </is>
      </c>
      <c r="F1380" t="n">
        <v>2</v>
      </c>
      <c r="G1380" t="n">
        <v>1</v>
      </c>
      <c r="H1380" t="inlineStr">
        <is>
          <t>LOW</t>
        </is>
      </c>
      <c r="I1380" t="n">
        <v>7</v>
      </c>
      <c r="J1380" t="inlineStr">
        <is>
          <t>NO</t>
        </is>
      </c>
      <c r="K1380" t="inlineStr">
        <is>
          <t>2026-02-27 20:47</t>
        </is>
      </c>
      <c r="L1380" t="inlineStr">
        <is>
          <t>Block or monitor</t>
        </is>
      </c>
      <c r="M1380" t="inlineStr">
        <is>
          <t>Network perimeter</t>
        </is>
      </c>
      <c r="N1380" t="inlineStr">
        <is>
          <t>P4</t>
        </is>
      </c>
      <c r="O1380" t="inlineStr">
        <is>
          <t>Tor exit node - known anonymization service</t>
        </is>
      </c>
      <c r="P1380" t="n">
        <v>0</v>
      </c>
      <c r="Q1380" t="n">
        <v>0</v>
      </c>
      <c r="R1380" t="inlineStr">
        <is>
          <t>T1090.003:Multi-hop Proxy</t>
        </is>
      </c>
      <c r="S1380" t="n">
        <v>1</v>
      </c>
      <c r="T1380" t="inlineStr">
        <is>
          <t>LOW (40%)</t>
        </is>
      </c>
      <c r="U1380" t="inlineStr">
        <is>
          <t>NONE</t>
        </is>
      </c>
      <c r="V1380" t="inlineStr">
        <is>
          <t>NONE</t>
        </is>
      </c>
      <c r="W1380" t="inlineStr">
        <is>
          <t>NONE</t>
        </is>
      </c>
      <c r="X1380" t="inlineStr">
        <is>
          <t>NONE</t>
        </is>
      </c>
      <c r="Y1380" t="n">
        <v>0</v>
      </c>
      <c r="Z1380" t="inlineStr"/>
      <c r="AA1380" t="inlineStr">
        <is>
          <t>https://check.torproject.org/</t>
        </is>
      </c>
    </row>
    <row r="1381">
      <c r="A1381" t="inlineStr">
        <is>
          <t>TOR_EXIT</t>
        </is>
      </c>
      <c r="B1381" t="inlineStr">
        <is>
          <t>b08516681dda</t>
        </is>
      </c>
      <c r="C1381" t="inlineStr">
        <is>
          <t>Tor Exit Node: 2.57.122.246 | Traffic from this IP may be anonymized/malicious</t>
        </is>
      </c>
      <c r="D1381" t="n">
        <v>5</v>
      </c>
      <c r="E1381" t="inlineStr">
        <is>
          <t>MEDIUM</t>
        </is>
      </c>
      <c r="F1381" t="n">
        <v>2</v>
      </c>
      <c r="G1381" t="n">
        <v>1</v>
      </c>
      <c r="H1381" t="inlineStr">
        <is>
          <t>LOW</t>
        </is>
      </c>
      <c r="I1381" t="n">
        <v>7</v>
      </c>
      <c r="J1381" t="inlineStr">
        <is>
          <t>NO</t>
        </is>
      </c>
      <c r="K1381" t="inlineStr">
        <is>
          <t>2026-02-27 20:47</t>
        </is>
      </c>
      <c r="L1381" t="inlineStr">
        <is>
          <t>Block or monitor</t>
        </is>
      </c>
      <c r="M1381" t="inlineStr">
        <is>
          <t>Network perimeter</t>
        </is>
      </c>
      <c r="N1381" t="inlineStr">
        <is>
          <t>P4</t>
        </is>
      </c>
      <c r="O1381" t="inlineStr">
        <is>
          <t>Tor exit node - known anonymization service</t>
        </is>
      </c>
      <c r="P1381" t="n">
        <v>0</v>
      </c>
      <c r="Q1381" t="n">
        <v>0</v>
      </c>
      <c r="R1381" t="inlineStr">
        <is>
          <t>T1090.003:Multi-hop Proxy</t>
        </is>
      </c>
      <c r="S1381" t="n">
        <v>1</v>
      </c>
      <c r="T1381" t="inlineStr">
        <is>
          <t>LOW (40%)</t>
        </is>
      </c>
      <c r="U1381" t="inlineStr">
        <is>
          <t>NONE</t>
        </is>
      </c>
      <c r="V1381" t="inlineStr">
        <is>
          <t>NONE</t>
        </is>
      </c>
      <c r="W1381" t="inlineStr">
        <is>
          <t>NONE</t>
        </is>
      </c>
      <c r="X1381" t="inlineStr">
        <is>
          <t>NONE</t>
        </is>
      </c>
      <c r="Y1381" t="n">
        <v>0</v>
      </c>
      <c r="Z1381" t="inlineStr"/>
      <c r="AA1381" t="inlineStr">
        <is>
          <t>https://check.torproject.org/</t>
        </is>
      </c>
    </row>
    <row r="1382">
      <c r="A1382" t="inlineStr">
        <is>
          <t>TOR_EXIT</t>
        </is>
      </c>
      <c r="B1382" t="inlineStr">
        <is>
          <t>18535a31977b</t>
        </is>
      </c>
      <c r="C1382" t="inlineStr">
        <is>
          <t>Tor Exit Node: 185.220.101.25 | Traffic from this IP may be anonymized/malicious</t>
        </is>
      </c>
      <c r="D1382" t="n">
        <v>5</v>
      </c>
      <c r="E1382" t="inlineStr">
        <is>
          <t>MEDIUM</t>
        </is>
      </c>
      <c r="F1382" t="n">
        <v>2</v>
      </c>
      <c r="G1382" t="n">
        <v>1</v>
      </c>
      <c r="H1382" t="inlineStr">
        <is>
          <t>LOW</t>
        </is>
      </c>
      <c r="I1382" t="n">
        <v>7</v>
      </c>
      <c r="J1382" t="inlineStr">
        <is>
          <t>NO</t>
        </is>
      </c>
      <c r="K1382" t="inlineStr">
        <is>
          <t>2026-02-27 20:47</t>
        </is>
      </c>
      <c r="L1382" t="inlineStr">
        <is>
          <t>Block or monitor</t>
        </is>
      </c>
      <c r="M1382" t="inlineStr">
        <is>
          <t>Network perimeter</t>
        </is>
      </c>
      <c r="N1382" t="inlineStr">
        <is>
          <t>P4</t>
        </is>
      </c>
      <c r="O1382" t="inlineStr">
        <is>
          <t>Tor exit node - known anonymization service</t>
        </is>
      </c>
      <c r="P1382" t="n">
        <v>0</v>
      </c>
      <c r="Q1382" t="n">
        <v>0</v>
      </c>
      <c r="R1382" t="inlineStr">
        <is>
          <t>T1090.003:Multi-hop Proxy</t>
        </is>
      </c>
      <c r="S1382" t="n">
        <v>1</v>
      </c>
      <c r="T1382" t="inlineStr">
        <is>
          <t>LOW (40%)</t>
        </is>
      </c>
      <c r="U1382" t="inlineStr">
        <is>
          <t>NONE</t>
        </is>
      </c>
      <c r="V1382" t="inlineStr">
        <is>
          <t>NONE</t>
        </is>
      </c>
      <c r="W1382" t="inlineStr">
        <is>
          <t>NONE</t>
        </is>
      </c>
      <c r="X1382" t="inlineStr">
        <is>
          <t>NONE</t>
        </is>
      </c>
      <c r="Y1382" t="n">
        <v>0</v>
      </c>
      <c r="Z1382" t="inlineStr"/>
      <c r="AA1382" t="inlineStr">
        <is>
          <t>https://check.torproject.org/</t>
        </is>
      </c>
    </row>
    <row r="1383">
      <c r="A1383" t="inlineStr">
        <is>
          <t>TOR_EXIT</t>
        </is>
      </c>
      <c r="B1383" t="inlineStr">
        <is>
          <t>f8e7af6742e9</t>
        </is>
      </c>
      <c r="C1383" t="inlineStr">
        <is>
          <t>Tor Exit Node: 91.208.75.3 | Traffic from this IP may be anonymized/malicious</t>
        </is>
      </c>
      <c r="D1383" t="n">
        <v>5</v>
      </c>
      <c r="E1383" t="inlineStr">
        <is>
          <t>MEDIUM</t>
        </is>
      </c>
      <c r="F1383" t="n">
        <v>2</v>
      </c>
      <c r="G1383" t="n">
        <v>1</v>
      </c>
      <c r="H1383" t="inlineStr">
        <is>
          <t>LOW</t>
        </is>
      </c>
      <c r="I1383" t="n">
        <v>7</v>
      </c>
      <c r="J1383" t="inlineStr">
        <is>
          <t>NO</t>
        </is>
      </c>
      <c r="K1383" t="inlineStr">
        <is>
          <t>2026-02-27 20:47</t>
        </is>
      </c>
      <c r="L1383" t="inlineStr">
        <is>
          <t>Block or monitor</t>
        </is>
      </c>
      <c r="M1383" t="inlineStr">
        <is>
          <t>Network perimeter</t>
        </is>
      </c>
      <c r="N1383" t="inlineStr">
        <is>
          <t>P4</t>
        </is>
      </c>
      <c r="O1383" t="inlineStr">
        <is>
          <t>Tor exit node - known anonymization service</t>
        </is>
      </c>
      <c r="P1383" t="n">
        <v>0</v>
      </c>
      <c r="Q1383" t="n">
        <v>0</v>
      </c>
      <c r="R1383" t="inlineStr">
        <is>
          <t>T1090.003:Multi-hop Proxy</t>
        </is>
      </c>
      <c r="S1383" t="n">
        <v>1</v>
      </c>
      <c r="T1383" t="inlineStr">
        <is>
          <t>LOW (40%)</t>
        </is>
      </c>
      <c r="U1383" t="inlineStr">
        <is>
          <t>NONE</t>
        </is>
      </c>
      <c r="V1383" t="inlineStr">
        <is>
          <t>NONE</t>
        </is>
      </c>
      <c r="W1383" t="inlineStr">
        <is>
          <t>NONE</t>
        </is>
      </c>
      <c r="X1383" t="inlineStr">
        <is>
          <t>NONE</t>
        </is>
      </c>
      <c r="Y1383" t="n">
        <v>0</v>
      </c>
      <c r="Z1383" t="inlineStr"/>
      <c r="AA1383" t="inlineStr">
        <is>
          <t>https://check.torproject.org/</t>
        </is>
      </c>
    </row>
    <row r="1384">
      <c r="A1384" t="inlineStr">
        <is>
          <t>TOR_EXIT</t>
        </is>
      </c>
      <c r="B1384" t="inlineStr">
        <is>
          <t>989fe14bb6c5</t>
        </is>
      </c>
      <c r="C1384" t="inlineStr">
        <is>
          <t>Tor Exit Node: 141.239.149.94 | Traffic from this IP may be anonymized/malicious</t>
        </is>
      </c>
      <c r="D1384" t="n">
        <v>5</v>
      </c>
      <c r="E1384" t="inlineStr">
        <is>
          <t>MEDIUM</t>
        </is>
      </c>
      <c r="F1384" t="n">
        <v>2</v>
      </c>
      <c r="G1384" t="n">
        <v>1</v>
      </c>
      <c r="H1384" t="inlineStr">
        <is>
          <t>LOW</t>
        </is>
      </c>
      <c r="I1384" t="n">
        <v>7</v>
      </c>
      <c r="J1384" t="inlineStr">
        <is>
          <t>NO</t>
        </is>
      </c>
      <c r="K1384" t="inlineStr">
        <is>
          <t>2026-02-27 20:47</t>
        </is>
      </c>
      <c r="L1384" t="inlineStr">
        <is>
          <t>Block or monitor</t>
        </is>
      </c>
      <c r="M1384" t="inlineStr">
        <is>
          <t>Network perimeter</t>
        </is>
      </c>
      <c r="N1384" t="inlineStr">
        <is>
          <t>P4</t>
        </is>
      </c>
      <c r="O1384" t="inlineStr">
        <is>
          <t>Tor exit node - known anonymization service</t>
        </is>
      </c>
      <c r="P1384" t="n">
        <v>0</v>
      </c>
      <c r="Q1384" t="n">
        <v>0</v>
      </c>
      <c r="R1384" t="inlineStr">
        <is>
          <t>T1090.003:Multi-hop Proxy</t>
        </is>
      </c>
      <c r="S1384" t="n">
        <v>1</v>
      </c>
      <c r="T1384" t="inlineStr">
        <is>
          <t>LOW (40%)</t>
        </is>
      </c>
      <c r="U1384" t="inlineStr">
        <is>
          <t>NONE</t>
        </is>
      </c>
      <c r="V1384" t="inlineStr">
        <is>
          <t>NONE</t>
        </is>
      </c>
      <c r="W1384" t="inlineStr">
        <is>
          <t>NONE</t>
        </is>
      </c>
      <c r="X1384" t="inlineStr">
        <is>
          <t>NONE</t>
        </is>
      </c>
      <c r="Y1384" t="n">
        <v>0</v>
      </c>
      <c r="Z1384" t="inlineStr"/>
      <c r="AA1384" t="inlineStr">
        <is>
          <t>https://check.torproject.org/</t>
        </is>
      </c>
    </row>
    <row r="1385">
      <c r="A1385" t="inlineStr">
        <is>
          <t>TOR_EXIT</t>
        </is>
      </c>
      <c r="B1385" t="inlineStr">
        <is>
          <t>be32d78d179c</t>
        </is>
      </c>
      <c r="C1385" t="inlineStr">
        <is>
          <t>Tor Exit Node: 217.27.189.205 | Traffic from this IP may be anonymized/malicious</t>
        </is>
      </c>
      <c r="D1385" t="n">
        <v>5</v>
      </c>
      <c r="E1385" t="inlineStr">
        <is>
          <t>MEDIUM</t>
        </is>
      </c>
      <c r="F1385" t="n">
        <v>2</v>
      </c>
      <c r="G1385" t="n">
        <v>1</v>
      </c>
      <c r="H1385" t="inlineStr">
        <is>
          <t>LOW</t>
        </is>
      </c>
      <c r="I1385" t="n">
        <v>7</v>
      </c>
      <c r="J1385" t="inlineStr">
        <is>
          <t>NO</t>
        </is>
      </c>
      <c r="K1385" t="inlineStr">
        <is>
          <t>2026-02-27 20:47</t>
        </is>
      </c>
      <c r="L1385" t="inlineStr">
        <is>
          <t>Block or monitor</t>
        </is>
      </c>
      <c r="M1385" t="inlineStr">
        <is>
          <t>Network perimeter</t>
        </is>
      </c>
      <c r="N1385" t="inlineStr">
        <is>
          <t>P4</t>
        </is>
      </c>
      <c r="O1385" t="inlineStr">
        <is>
          <t>Tor exit node - known anonymization service</t>
        </is>
      </c>
      <c r="P1385" t="n">
        <v>0</v>
      </c>
      <c r="Q1385" t="n">
        <v>0</v>
      </c>
      <c r="R1385" t="inlineStr">
        <is>
          <t>T1090.003:Multi-hop Proxy</t>
        </is>
      </c>
      <c r="S1385" t="n">
        <v>1</v>
      </c>
      <c r="T1385" t="inlineStr">
        <is>
          <t>LOW (40%)</t>
        </is>
      </c>
      <c r="U1385" t="inlineStr">
        <is>
          <t>NONE</t>
        </is>
      </c>
      <c r="V1385" t="inlineStr">
        <is>
          <t>NONE</t>
        </is>
      </c>
      <c r="W1385" t="inlineStr">
        <is>
          <t>NONE</t>
        </is>
      </c>
      <c r="X1385" t="inlineStr">
        <is>
          <t>NONE</t>
        </is>
      </c>
      <c r="Y1385" t="n">
        <v>0</v>
      </c>
      <c r="Z1385" t="inlineStr"/>
      <c r="AA1385" t="inlineStr">
        <is>
          <t>https://check.torproject.org/</t>
        </is>
      </c>
    </row>
    <row r="1386">
      <c r="A1386" t="inlineStr">
        <is>
          <t>BLOCKLIST_DE</t>
        </is>
      </c>
      <c r="B1386" t="inlineStr">
        <is>
          <t>88b39c15dff0</t>
        </is>
      </c>
      <c r="C1386" t="inlineStr">
        <is>
          <t>Blocklist.de: 1.1.179.83 | Attack activity reported | Sources: BLOCKLIST_DE</t>
        </is>
      </c>
      <c r="D1386" t="n">
        <v>6</v>
      </c>
      <c r="E1386" t="inlineStr">
        <is>
          <t>MEDIUM</t>
        </is>
      </c>
      <c r="F1386" t="n">
        <v>2</v>
      </c>
      <c r="G1386" t="n">
        <v>2</v>
      </c>
      <c r="H1386" t="inlineStr">
        <is>
          <t>MEDIUM</t>
        </is>
      </c>
      <c r="I1386" t="n">
        <v>10</v>
      </c>
      <c r="J1386" t="inlineStr">
        <is>
          <t>NO</t>
        </is>
      </c>
      <c r="K1386" t="inlineStr">
        <is>
          <t>2026-02-27 20:47</t>
        </is>
      </c>
      <c r="L1386" t="inlineStr">
        <is>
          <t>Block IP</t>
        </is>
      </c>
      <c r="M1386" t="inlineStr">
        <is>
          <t>Firewall/Network</t>
        </is>
      </c>
      <c r="N1386" t="inlineStr">
        <is>
          <t>P4</t>
        </is>
      </c>
      <c r="O1386" t="inlineStr">
        <is>
          <t>Blocklist IP — ip-api.com context available</t>
        </is>
      </c>
      <c r="P1386" t="n">
        <v>0</v>
      </c>
      <c r="Q1386" t="n">
        <v>0</v>
      </c>
      <c r="R1386" t="inlineStr">
        <is>
          <t>T1110:Brute Force | T1190:Exploit Public-Facing Application</t>
        </is>
      </c>
      <c r="S1386" t="n">
        <v>1</v>
      </c>
      <c r="T1386" t="inlineStr">
        <is>
          <t>LOW (40%)</t>
        </is>
      </c>
      <c r="U1386" t="inlineStr">
        <is>
          <t>NONE</t>
        </is>
      </c>
      <c r="V1386" t="inlineStr">
        <is>
          <t>NONE</t>
        </is>
      </c>
      <c r="W1386" t="inlineStr">
        <is>
          <t>NONE</t>
        </is>
      </c>
      <c r="X1386" t="inlineStr">
        <is>
          <t>NONE</t>
        </is>
      </c>
      <c r="Y1386" t="n">
        <v>0</v>
      </c>
      <c r="Z1386" t="inlineStr"/>
      <c r="AA1386" t="inlineStr">
        <is>
          <t>https://www.blocklist.de/</t>
        </is>
      </c>
    </row>
    <row r="1387">
      <c r="A1387" t="inlineStr">
        <is>
          <t>BLOCKLIST_DE</t>
        </is>
      </c>
      <c r="B1387" t="inlineStr">
        <is>
          <t>b923bab4c9da</t>
        </is>
      </c>
      <c r="C1387" t="inlineStr">
        <is>
          <t>Blocklist.de: 1.10.225.52 | Attack activity reported | Sources: BLOCKLIST_DE</t>
        </is>
      </c>
      <c r="D1387" t="n">
        <v>6</v>
      </c>
      <c r="E1387" t="inlineStr">
        <is>
          <t>MEDIUM</t>
        </is>
      </c>
      <c r="F1387" t="n">
        <v>2</v>
      </c>
      <c r="G1387" t="n">
        <v>2</v>
      </c>
      <c r="H1387" t="inlineStr">
        <is>
          <t>MEDIUM</t>
        </is>
      </c>
      <c r="I1387" t="n">
        <v>10</v>
      </c>
      <c r="J1387" t="inlineStr">
        <is>
          <t>NO</t>
        </is>
      </c>
      <c r="K1387" t="inlineStr">
        <is>
          <t>2026-02-27 20:47</t>
        </is>
      </c>
      <c r="L1387" t="inlineStr">
        <is>
          <t>Block IP</t>
        </is>
      </c>
      <c r="M1387" t="inlineStr">
        <is>
          <t>Firewall/Network</t>
        </is>
      </c>
      <c r="N1387" t="inlineStr">
        <is>
          <t>P4</t>
        </is>
      </c>
      <c r="O1387" t="inlineStr">
        <is>
          <t>Blocklist IP — ip-api.com context available</t>
        </is>
      </c>
      <c r="P1387" t="n">
        <v>0</v>
      </c>
      <c r="Q1387" t="n">
        <v>0</v>
      </c>
      <c r="R1387" t="inlineStr">
        <is>
          <t>T1110:Brute Force | T1190:Exploit Public-Facing Application</t>
        </is>
      </c>
      <c r="S1387" t="n">
        <v>1</v>
      </c>
      <c r="T1387" t="inlineStr">
        <is>
          <t>LOW (40%)</t>
        </is>
      </c>
      <c r="U1387" t="inlineStr">
        <is>
          <t>NONE</t>
        </is>
      </c>
      <c r="V1387" t="inlineStr">
        <is>
          <t>NONE</t>
        </is>
      </c>
      <c r="W1387" t="inlineStr">
        <is>
          <t>NONE</t>
        </is>
      </c>
      <c r="X1387" t="inlineStr">
        <is>
          <t>NONE</t>
        </is>
      </c>
      <c r="Y1387" t="n">
        <v>0</v>
      </c>
      <c r="Z1387" t="inlineStr"/>
      <c r="AA1387" t="inlineStr">
        <is>
          <t>https://www.blocklist.de/</t>
        </is>
      </c>
    </row>
    <row r="1388">
      <c r="A1388" t="inlineStr">
        <is>
          <t>BLOCKLIST_DE</t>
        </is>
      </c>
      <c r="B1388" t="inlineStr">
        <is>
          <t>0b0d18fbf54e</t>
        </is>
      </c>
      <c r="C1388" t="inlineStr">
        <is>
          <t>Blocklist.de: 1.14.12.141 | Attack activity reported | Sources: BLOCKLIST_DE</t>
        </is>
      </c>
      <c r="D1388" t="n">
        <v>6</v>
      </c>
      <c r="E1388" t="inlineStr">
        <is>
          <t>MEDIUM</t>
        </is>
      </c>
      <c r="F1388" t="n">
        <v>2</v>
      </c>
      <c r="G1388" t="n">
        <v>2</v>
      </c>
      <c r="H1388" t="inlineStr">
        <is>
          <t>MEDIUM</t>
        </is>
      </c>
      <c r="I1388" t="n">
        <v>10</v>
      </c>
      <c r="J1388" t="inlineStr">
        <is>
          <t>NO</t>
        </is>
      </c>
      <c r="K1388" t="inlineStr">
        <is>
          <t>2026-02-27 20:47</t>
        </is>
      </c>
      <c r="L1388" t="inlineStr">
        <is>
          <t>Block IP</t>
        </is>
      </c>
      <c r="M1388" t="inlineStr">
        <is>
          <t>Firewall/Network</t>
        </is>
      </c>
      <c r="N1388" t="inlineStr">
        <is>
          <t>P4</t>
        </is>
      </c>
      <c r="O1388" t="inlineStr">
        <is>
          <t>Blocklist IP — ip-api.com context available</t>
        </is>
      </c>
      <c r="P1388" t="n">
        <v>0</v>
      </c>
      <c r="Q1388" t="n">
        <v>0</v>
      </c>
      <c r="R1388" t="inlineStr">
        <is>
          <t>T1110:Brute Force | T1190:Exploit Public-Facing Application</t>
        </is>
      </c>
      <c r="S1388" t="n">
        <v>1</v>
      </c>
      <c r="T1388" t="inlineStr">
        <is>
          <t>LOW (40%)</t>
        </is>
      </c>
      <c r="U1388" t="inlineStr">
        <is>
          <t>NONE</t>
        </is>
      </c>
      <c r="V1388" t="inlineStr">
        <is>
          <t>NONE</t>
        </is>
      </c>
      <c r="W1388" t="inlineStr">
        <is>
          <t>NONE</t>
        </is>
      </c>
      <c r="X1388" t="inlineStr">
        <is>
          <t>NONE</t>
        </is>
      </c>
      <c r="Y1388" t="n">
        <v>0</v>
      </c>
      <c r="Z1388" t="inlineStr"/>
      <c r="AA1388" t="inlineStr">
        <is>
          <t>https://www.blocklist.de/</t>
        </is>
      </c>
    </row>
    <row r="1389">
      <c r="A1389" t="inlineStr">
        <is>
          <t>BLOCKLIST_DE</t>
        </is>
      </c>
      <c r="B1389" t="inlineStr">
        <is>
          <t>b2c07aa1d291</t>
        </is>
      </c>
      <c r="C1389" t="inlineStr">
        <is>
          <t>Blocklist.de: 1.15.136.28 | Attack activity reported | Sources: BLOCKLIST_DE</t>
        </is>
      </c>
      <c r="D1389" t="n">
        <v>6</v>
      </c>
      <c r="E1389" t="inlineStr">
        <is>
          <t>MEDIUM</t>
        </is>
      </c>
      <c r="F1389" t="n">
        <v>2</v>
      </c>
      <c r="G1389" t="n">
        <v>2</v>
      </c>
      <c r="H1389" t="inlineStr">
        <is>
          <t>MEDIUM</t>
        </is>
      </c>
      <c r="I1389" t="n">
        <v>10</v>
      </c>
      <c r="J1389" t="inlineStr">
        <is>
          <t>NO</t>
        </is>
      </c>
      <c r="K1389" t="inlineStr">
        <is>
          <t>2026-02-27 20:47</t>
        </is>
      </c>
      <c r="L1389" t="inlineStr">
        <is>
          <t>Block IP</t>
        </is>
      </c>
      <c r="M1389" t="inlineStr">
        <is>
          <t>Firewall/Network</t>
        </is>
      </c>
      <c r="N1389" t="inlineStr">
        <is>
          <t>P4</t>
        </is>
      </c>
      <c r="O1389" t="inlineStr">
        <is>
          <t>Blocklist IP — ip-api.com context available</t>
        </is>
      </c>
      <c r="P1389" t="n">
        <v>0</v>
      </c>
      <c r="Q1389" t="n">
        <v>0</v>
      </c>
      <c r="R1389" t="inlineStr">
        <is>
          <t>T1110:Brute Force | T1190:Exploit Public-Facing Application</t>
        </is>
      </c>
      <c r="S1389" t="n">
        <v>1</v>
      </c>
      <c r="T1389" t="inlineStr">
        <is>
          <t>LOW (40%)</t>
        </is>
      </c>
      <c r="U1389" t="inlineStr">
        <is>
          <t>NONE</t>
        </is>
      </c>
      <c r="V1389" t="inlineStr">
        <is>
          <t>NONE</t>
        </is>
      </c>
      <c r="W1389" t="inlineStr">
        <is>
          <t>NONE</t>
        </is>
      </c>
      <c r="X1389" t="inlineStr">
        <is>
          <t>NONE</t>
        </is>
      </c>
      <c r="Y1389" t="n">
        <v>0</v>
      </c>
      <c r="Z1389" t="inlineStr"/>
      <c r="AA1389" t="inlineStr">
        <is>
          <t>https://www.blocklist.de/</t>
        </is>
      </c>
    </row>
    <row r="1390">
      <c r="A1390" t="inlineStr">
        <is>
          <t>BLOCKLIST_DE</t>
        </is>
      </c>
      <c r="B1390" t="inlineStr">
        <is>
          <t>e0d3994d4cc5</t>
        </is>
      </c>
      <c r="C1390" t="inlineStr">
        <is>
          <t>Blocklist.de: 1.180.62.41 | Attack activity reported | Sources: BLOCKLIST_DE</t>
        </is>
      </c>
      <c r="D1390" t="n">
        <v>6</v>
      </c>
      <c r="E1390" t="inlineStr">
        <is>
          <t>MEDIUM</t>
        </is>
      </c>
      <c r="F1390" t="n">
        <v>2</v>
      </c>
      <c r="G1390" t="n">
        <v>2</v>
      </c>
      <c r="H1390" t="inlineStr">
        <is>
          <t>MEDIUM</t>
        </is>
      </c>
      <c r="I1390" t="n">
        <v>10</v>
      </c>
      <c r="J1390" t="inlineStr">
        <is>
          <t>NO</t>
        </is>
      </c>
      <c r="K1390" t="inlineStr">
        <is>
          <t>2026-02-27 20:47</t>
        </is>
      </c>
      <c r="L1390" t="inlineStr">
        <is>
          <t>Block IP</t>
        </is>
      </c>
      <c r="M1390" t="inlineStr">
        <is>
          <t>Firewall/Network</t>
        </is>
      </c>
      <c r="N1390" t="inlineStr">
        <is>
          <t>P4</t>
        </is>
      </c>
      <c r="O1390" t="inlineStr">
        <is>
          <t>Blocklist IP — ip-api.com context available</t>
        </is>
      </c>
      <c r="P1390" t="n">
        <v>0</v>
      </c>
      <c r="Q1390" t="n">
        <v>0</v>
      </c>
      <c r="R1390" t="inlineStr">
        <is>
          <t>T1110:Brute Force | T1190:Exploit Public-Facing Application</t>
        </is>
      </c>
      <c r="S1390" t="n">
        <v>1</v>
      </c>
      <c r="T1390" t="inlineStr">
        <is>
          <t>LOW (40%)</t>
        </is>
      </c>
      <c r="U1390" t="inlineStr">
        <is>
          <t>NONE</t>
        </is>
      </c>
      <c r="V1390" t="inlineStr">
        <is>
          <t>NONE</t>
        </is>
      </c>
      <c r="W1390" t="inlineStr">
        <is>
          <t>NONE</t>
        </is>
      </c>
      <c r="X1390" t="inlineStr">
        <is>
          <t>NONE</t>
        </is>
      </c>
      <c r="Y1390" t="n">
        <v>0</v>
      </c>
      <c r="Z1390" t="inlineStr"/>
      <c r="AA1390" t="inlineStr">
        <is>
          <t>https://www.blocklist.de/</t>
        </is>
      </c>
    </row>
    <row r="1391">
      <c r="A1391" t="inlineStr">
        <is>
          <t>BLOCKLIST_DE</t>
        </is>
      </c>
      <c r="B1391" t="inlineStr">
        <is>
          <t>2fbdd1028b90</t>
        </is>
      </c>
      <c r="C1391" t="inlineStr">
        <is>
          <t>Blocklist.de: 1.183.3.58 | Attack activity reported | Sources: BLOCKLIST_DE</t>
        </is>
      </c>
      <c r="D1391" t="n">
        <v>6</v>
      </c>
      <c r="E1391" t="inlineStr">
        <is>
          <t>MEDIUM</t>
        </is>
      </c>
      <c r="F1391" t="n">
        <v>2</v>
      </c>
      <c r="G1391" t="n">
        <v>2</v>
      </c>
      <c r="H1391" t="inlineStr">
        <is>
          <t>MEDIUM</t>
        </is>
      </c>
      <c r="I1391" t="n">
        <v>10</v>
      </c>
      <c r="J1391" t="inlineStr">
        <is>
          <t>NO</t>
        </is>
      </c>
      <c r="K1391" t="inlineStr">
        <is>
          <t>2026-02-27 20:47</t>
        </is>
      </c>
      <c r="L1391" t="inlineStr">
        <is>
          <t>Block IP</t>
        </is>
      </c>
      <c r="M1391" t="inlineStr">
        <is>
          <t>Firewall/Network</t>
        </is>
      </c>
      <c r="N1391" t="inlineStr">
        <is>
          <t>P4</t>
        </is>
      </c>
      <c r="O1391" t="inlineStr">
        <is>
          <t>Blocklist IP — ip-api.com context available</t>
        </is>
      </c>
      <c r="P1391" t="n">
        <v>0</v>
      </c>
      <c r="Q1391" t="n">
        <v>0</v>
      </c>
      <c r="R1391" t="inlineStr">
        <is>
          <t>T1110:Brute Force | T1190:Exploit Public-Facing Application</t>
        </is>
      </c>
      <c r="S1391" t="n">
        <v>1</v>
      </c>
      <c r="T1391" t="inlineStr">
        <is>
          <t>LOW (40%)</t>
        </is>
      </c>
      <c r="U1391" t="inlineStr">
        <is>
          <t>NONE</t>
        </is>
      </c>
      <c r="V1391" t="inlineStr">
        <is>
          <t>NONE</t>
        </is>
      </c>
      <c r="W1391" t="inlineStr">
        <is>
          <t>NONE</t>
        </is>
      </c>
      <c r="X1391" t="inlineStr">
        <is>
          <t>NONE</t>
        </is>
      </c>
      <c r="Y1391" t="n">
        <v>0</v>
      </c>
      <c r="Z1391" t="inlineStr"/>
      <c r="AA1391" t="inlineStr">
        <is>
          <t>https://www.blocklist.de/</t>
        </is>
      </c>
    </row>
    <row r="1392">
      <c r="A1392" t="inlineStr">
        <is>
          <t>BLOCKLIST_DE</t>
        </is>
      </c>
      <c r="B1392" t="inlineStr">
        <is>
          <t>9fdfa884d26a</t>
        </is>
      </c>
      <c r="C1392" t="inlineStr">
        <is>
          <t>Blocklist.de: 1.193.163.2 | Attack activity reported | Sources: BLOCKLIST_DE</t>
        </is>
      </c>
      <c r="D1392" t="n">
        <v>6</v>
      </c>
      <c r="E1392" t="inlineStr">
        <is>
          <t>MEDIUM</t>
        </is>
      </c>
      <c r="F1392" t="n">
        <v>2</v>
      </c>
      <c r="G1392" t="n">
        <v>2</v>
      </c>
      <c r="H1392" t="inlineStr">
        <is>
          <t>MEDIUM</t>
        </is>
      </c>
      <c r="I1392" t="n">
        <v>10</v>
      </c>
      <c r="J1392" t="inlineStr">
        <is>
          <t>NO</t>
        </is>
      </c>
      <c r="K1392" t="inlineStr">
        <is>
          <t>2026-02-27 20:47</t>
        </is>
      </c>
      <c r="L1392" t="inlineStr">
        <is>
          <t>Block IP</t>
        </is>
      </c>
      <c r="M1392" t="inlineStr">
        <is>
          <t>Firewall/Network</t>
        </is>
      </c>
      <c r="N1392" t="inlineStr">
        <is>
          <t>P4</t>
        </is>
      </c>
      <c r="O1392" t="inlineStr">
        <is>
          <t>Blocklist IP — ip-api.com context available</t>
        </is>
      </c>
      <c r="P1392" t="n">
        <v>0</v>
      </c>
      <c r="Q1392" t="n">
        <v>0</v>
      </c>
      <c r="R1392" t="inlineStr">
        <is>
          <t>T1110:Brute Force | T1190:Exploit Public-Facing Application</t>
        </is>
      </c>
      <c r="S1392" t="n">
        <v>1</v>
      </c>
      <c r="T1392" t="inlineStr">
        <is>
          <t>LOW (40%)</t>
        </is>
      </c>
      <c r="U1392" t="inlineStr">
        <is>
          <t>NONE</t>
        </is>
      </c>
      <c r="V1392" t="inlineStr">
        <is>
          <t>NONE</t>
        </is>
      </c>
      <c r="W1392" t="inlineStr">
        <is>
          <t>NONE</t>
        </is>
      </c>
      <c r="X1392" t="inlineStr">
        <is>
          <t>NONE</t>
        </is>
      </c>
      <c r="Y1392" t="n">
        <v>0</v>
      </c>
      <c r="Z1392" t="inlineStr"/>
      <c r="AA1392" t="inlineStr">
        <is>
          <t>https://www.blocklist.de/</t>
        </is>
      </c>
    </row>
    <row r="1393">
      <c r="A1393" t="inlineStr">
        <is>
          <t>BLOCKLIST_DE</t>
        </is>
      </c>
      <c r="B1393" t="inlineStr">
        <is>
          <t>13ca9928126d</t>
        </is>
      </c>
      <c r="C1393" t="inlineStr">
        <is>
          <t>Blocklist.de: 1.194.219.159 | Attack activity reported | Sources: BLOCKLIST_DE</t>
        </is>
      </c>
      <c r="D1393" t="n">
        <v>6</v>
      </c>
      <c r="E1393" t="inlineStr">
        <is>
          <t>MEDIUM</t>
        </is>
      </c>
      <c r="F1393" t="n">
        <v>2</v>
      </c>
      <c r="G1393" t="n">
        <v>2</v>
      </c>
      <c r="H1393" t="inlineStr">
        <is>
          <t>MEDIUM</t>
        </is>
      </c>
      <c r="I1393" t="n">
        <v>10</v>
      </c>
      <c r="J1393" t="inlineStr">
        <is>
          <t>NO</t>
        </is>
      </c>
      <c r="K1393" t="inlineStr">
        <is>
          <t>2026-02-27 20:47</t>
        </is>
      </c>
      <c r="L1393" t="inlineStr">
        <is>
          <t>Block IP</t>
        </is>
      </c>
      <c r="M1393" t="inlineStr">
        <is>
          <t>Firewall/Network</t>
        </is>
      </c>
      <c r="N1393" t="inlineStr">
        <is>
          <t>P4</t>
        </is>
      </c>
      <c r="O1393" t="inlineStr">
        <is>
          <t>Blocklist IP — ip-api.com context available</t>
        </is>
      </c>
      <c r="P1393" t="n">
        <v>0</v>
      </c>
      <c r="Q1393" t="n">
        <v>0</v>
      </c>
      <c r="R1393" t="inlineStr">
        <is>
          <t>T1110:Brute Force | T1190:Exploit Public-Facing Application</t>
        </is>
      </c>
      <c r="S1393" t="n">
        <v>1</v>
      </c>
      <c r="T1393" t="inlineStr">
        <is>
          <t>LOW (40%)</t>
        </is>
      </c>
      <c r="U1393" t="inlineStr">
        <is>
          <t>NONE</t>
        </is>
      </c>
      <c r="V1393" t="inlineStr">
        <is>
          <t>NONE</t>
        </is>
      </c>
      <c r="W1393" t="inlineStr">
        <is>
          <t>NONE</t>
        </is>
      </c>
      <c r="X1393" t="inlineStr">
        <is>
          <t>NONE</t>
        </is>
      </c>
      <c r="Y1393" t="n">
        <v>0</v>
      </c>
      <c r="Z1393" t="inlineStr"/>
      <c r="AA1393" t="inlineStr">
        <is>
          <t>https://www.blocklist.de/</t>
        </is>
      </c>
    </row>
    <row r="1394">
      <c r="A1394" t="inlineStr">
        <is>
          <t>BLOCKLIST_DE</t>
        </is>
      </c>
      <c r="B1394" t="inlineStr">
        <is>
          <t>996b0d132082</t>
        </is>
      </c>
      <c r="C1394" t="inlineStr">
        <is>
          <t>Blocklist.de: 1.20.91.61 | Attack activity reported | Sources: BLOCKLIST_DE</t>
        </is>
      </c>
      <c r="D1394" t="n">
        <v>6</v>
      </c>
      <c r="E1394" t="inlineStr">
        <is>
          <t>MEDIUM</t>
        </is>
      </c>
      <c r="F1394" t="n">
        <v>2</v>
      </c>
      <c r="G1394" t="n">
        <v>2</v>
      </c>
      <c r="H1394" t="inlineStr">
        <is>
          <t>MEDIUM</t>
        </is>
      </c>
      <c r="I1394" t="n">
        <v>10</v>
      </c>
      <c r="J1394" t="inlineStr">
        <is>
          <t>NO</t>
        </is>
      </c>
      <c r="K1394" t="inlineStr">
        <is>
          <t>2026-02-27 20:47</t>
        </is>
      </c>
      <c r="L1394" t="inlineStr">
        <is>
          <t>Block IP</t>
        </is>
      </c>
      <c r="M1394" t="inlineStr">
        <is>
          <t>Firewall/Network</t>
        </is>
      </c>
      <c r="N1394" t="inlineStr">
        <is>
          <t>P4</t>
        </is>
      </c>
      <c r="O1394" t="inlineStr">
        <is>
          <t>Blocklist IP — ip-api.com context available</t>
        </is>
      </c>
      <c r="P1394" t="n">
        <v>0</v>
      </c>
      <c r="Q1394" t="n">
        <v>0</v>
      </c>
      <c r="R1394" t="inlineStr">
        <is>
          <t>T1110:Brute Force | T1190:Exploit Public-Facing Application</t>
        </is>
      </c>
      <c r="S1394" t="n">
        <v>1</v>
      </c>
      <c r="T1394" t="inlineStr">
        <is>
          <t>LOW (40%)</t>
        </is>
      </c>
      <c r="U1394" t="inlineStr">
        <is>
          <t>NONE</t>
        </is>
      </c>
      <c r="V1394" t="inlineStr">
        <is>
          <t>NONE</t>
        </is>
      </c>
      <c r="W1394" t="inlineStr">
        <is>
          <t>NONE</t>
        </is>
      </c>
      <c r="X1394" t="inlineStr">
        <is>
          <t>NONE</t>
        </is>
      </c>
      <c r="Y1394" t="n">
        <v>0</v>
      </c>
      <c r="Z1394" t="inlineStr"/>
      <c r="AA1394" t="inlineStr">
        <is>
          <t>https://www.blocklist.de/</t>
        </is>
      </c>
    </row>
    <row r="1395">
      <c r="A1395" t="inlineStr">
        <is>
          <t>BLOCKLIST_DE</t>
        </is>
      </c>
      <c r="B1395" t="inlineStr">
        <is>
          <t>319a0d0315ac</t>
        </is>
      </c>
      <c r="C1395" t="inlineStr">
        <is>
          <t>Blocklist.de: 1.204.166.3 | Attack activity reported | Sources: BLOCKLIST_DE</t>
        </is>
      </c>
      <c r="D1395" t="n">
        <v>6</v>
      </c>
      <c r="E1395" t="inlineStr">
        <is>
          <t>MEDIUM</t>
        </is>
      </c>
      <c r="F1395" t="n">
        <v>2</v>
      </c>
      <c r="G1395" t="n">
        <v>2</v>
      </c>
      <c r="H1395" t="inlineStr">
        <is>
          <t>MEDIUM</t>
        </is>
      </c>
      <c r="I1395" t="n">
        <v>10</v>
      </c>
      <c r="J1395" t="inlineStr">
        <is>
          <t>NO</t>
        </is>
      </c>
      <c r="K1395" t="inlineStr">
        <is>
          <t>2026-02-27 20:47</t>
        </is>
      </c>
      <c r="L1395" t="inlineStr">
        <is>
          <t>Block IP</t>
        </is>
      </c>
      <c r="M1395" t="inlineStr">
        <is>
          <t>Firewall/Network</t>
        </is>
      </c>
      <c r="N1395" t="inlineStr">
        <is>
          <t>P4</t>
        </is>
      </c>
      <c r="O1395" t="inlineStr">
        <is>
          <t>Blocklist IP — ip-api.com context available</t>
        </is>
      </c>
      <c r="P1395" t="n">
        <v>0</v>
      </c>
      <c r="Q1395" t="n">
        <v>0</v>
      </c>
      <c r="R1395" t="inlineStr">
        <is>
          <t>T1110:Brute Force | T1190:Exploit Public-Facing Application</t>
        </is>
      </c>
      <c r="S1395" t="n">
        <v>1</v>
      </c>
      <c r="T1395" t="inlineStr">
        <is>
          <t>LOW (40%)</t>
        </is>
      </c>
      <c r="U1395" t="inlineStr">
        <is>
          <t>NONE</t>
        </is>
      </c>
      <c r="V1395" t="inlineStr">
        <is>
          <t>NONE</t>
        </is>
      </c>
      <c r="W1395" t="inlineStr">
        <is>
          <t>NONE</t>
        </is>
      </c>
      <c r="X1395" t="inlineStr">
        <is>
          <t>NONE</t>
        </is>
      </c>
      <c r="Y1395" t="n">
        <v>0</v>
      </c>
      <c r="Z1395" t="inlineStr"/>
      <c r="AA1395" t="inlineStr">
        <is>
          <t>https://www.blocklist.de/</t>
        </is>
      </c>
    </row>
    <row r="1396">
      <c r="A1396" t="inlineStr">
        <is>
          <t>BLOCKLIST_DE</t>
        </is>
      </c>
      <c r="B1396" t="inlineStr">
        <is>
          <t>a166dd92f267</t>
        </is>
      </c>
      <c r="C1396" t="inlineStr">
        <is>
          <t>Blocklist.de: 1.204.58.120 | Attack activity reported | Sources: BLOCKLIST_DE</t>
        </is>
      </c>
      <c r="D1396" t="n">
        <v>6</v>
      </c>
      <c r="E1396" t="inlineStr">
        <is>
          <t>MEDIUM</t>
        </is>
      </c>
      <c r="F1396" t="n">
        <v>2</v>
      </c>
      <c r="G1396" t="n">
        <v>2</v>
      </c>
      <c r="H1396" t="inlineStr">
        <is>
          <t>MEDIUM</t>
        </is>
      </c>
      <c r="I1396" t="n">
        <v>10</v>
      </c>
      <c r="J1396" t="inlineStr">
        <is>
          <t>NO</t>
        </is>
      </c>
      <c r="K1396" t="inlineStr">
        <is>
          <t>2026-02-27 20:47</t>
        </is>
      </c>
      <c r="L1396" t="inlineStr">
        <is>
          <t>Block IP</t>
        </is>
      </c>
      <c r="M1396" t="inlineStr">
        <is>
          <t>Firewall/Network</t>
        </is>
      </c>
      <c r="N1396" t="inlineStr">
        <is>
          <t>P4</t>
        </is>
      </c>
      <c r="O1396" t="inlineStr">
        <is>
          <t>Blocklist IP — ip-api.com context available</t>
        </is>
      </c>
      <c r="P1396" t="n">
        <v>0</v>
      </c>
      <c r="Q1396" t="n">
        <v>0</v>
      </c>
      <c r="R1396" t="inlineStr">
        <is>
          <t>T1110:Brute Force | T1190:Exploit Public-Facing Application</t>
        </is>
      </c>
      <c r="S1396" t="n">
        <v>1</v>
      </c>
      <c r="T1396" t="inlineStr">
        <is>
          <t>LOW (40%)</t>
        </is>
      </c>
      <c r="U1396" t="inlineStr">
        <is>
          <t>NONE</t>
        </is>
      </c>
      <c r="V1396" t="inlineStr">
        <is>
          <t>NONE</t>
        </is>
      </c>
      <c r="W1396" t="inlineStr">
        <is>
          <t>NONE</t>
        </is>
      </c>
      <c r="X1396" t="inlineStr">
        <is>
          <t>NONE</t>
        </is>
      </c>
      <c r="Y1396" t="n">
        <v>0</v>
      </c>
      <c r="Z1396" t="inlineStr"/>
      <c r="AA1396" t="inlineStr">
        <is>
          <t>https://www.blocklist.de/</t>
        </is>
      </c>
    </row>
    <row r="1397">
      <c r="A1397" t="inlineStr">
        <is>
          <t>BLOCKLIST_DE</t>
        </is>
      </c>
      <c r="B1397" t="inlineStr">
        <is>
          <t>adaaac596473</t>
        </is>
      </c>
      <c r="C1397" t="inlineStr">
        <is>
          <t>Blocklist.de: 1.212.225.99 | Attack activity reported | Sources: BLOCKLIST_DE</t>
        </is>
      </c>
      <c r="D1397" t="n">
        <v>6</v>
      </c>
      <c r="E1397" t="inlineStr">
        <is>
          <t>MEDIUM</t>
        </is>
      </c>
      <c r="F1397" t="n">
        <v>2</v>
      </c>
      <c r="G1397" t="n">
        <v>2</v>
      </c>
      <c r="H1397" t="inlineStr">
        <is>
          <t>MEDIUM</t>
        </is>
      </c>
      <c r="I1397" t="n">
        <v>10</v>
      </c>
      <c r="J1397" t="inlineStr">
        <is>
          <t>NO</t>
        </is>
      </c>
      <c r="K1397" t="inlineStr">
        <is>
          <t>2026-02-27 20:47</t>
        </is>
      </c>
      <c r="L1397" t="inlineStr">
        <is>
          <t>Block IP</t>
        </is>
      </c>
      <c r="M1397" t="inlineStr">
        <is>
          <t>Firewall/Network</t>
        </is>
      </c>
      <c r="N1397" t="inlineStr">
        <is>
          <t>P4</t>
        </is>
      </c>
      <c r="O1397" t="inlineStr">
        <is>
          <t>Blocklist IP — ip-api.com context available</t>
        </is>
      </c>
      <c r="P1397" t="n">
        <v>0</v>
      </c>
      <c r="Q1397" t="n">
        <v>0</v>
      </c>
      <c r="R1397" t="inlineStr">
        <is>
          <t>T1110:Brute Force | T1190:Exploit Public-Facing Application</t>
        </is>
      </c>
      <c r="S1397" t="n">
        <v>1</v>
      </c>
      <c r="T1397" t="inlineStr">
        <is>
          <t>LOW (40%)</t>
        </is>
      </c>
      <c r="U1397" t="inlineStr">
        <is>
          <t>NONE</t>
        </is>
      </c>
      <c r="V1397" t="inlineStr">
        <is>
          <t>NONE</t>
        </is>
      </c>
      <c r="W1397" t="inlineStr">
        <is>
          <t>NONE</t>
        </is>
      </c>
      <c r="X1397" t="inlineStr">
        <is>
          <t>NONE</t>
        </is>
      </c>
      <c r="Y1397" t="n">
        <v>0</v>
      </c>
      <c r="Z1397" t="inlineStr"/>
      <c r="AA1397" t="inlineStr">
        <is>
          <t>https://www.blocklist.de/</t>
        </is>
      </c>
    </row>
    <row r="1398">
      <c r="A1398" t="inlineStr">
        <is>
          <t>BLOCKLIST_DE</t>
        </is>
      </c>
      <c r="B1398" t="inlineStr">
        <is>
          <t>8662ad84ec1d</t>
        </is>
      </c>
      <c r="C1398" t="inlineStr">
        <is>
          <t>Blocklist.de: 1.214.117.218 | Attack activity reported | Sources: BLOCKLIST_DE</t>
        </is>
      </c>
      <c r="D1398" t="n">
        <v>6</v>
      </c>
      <c r="E1398" t="inlineStr">
        <is>
          <t>MEDIUM</t>
        </is>
      </c>
      <c r="F1398" t="n">
        <v>2</v>
      </c>
      <c r="G1398" t="n">
        <v>2</v>
      </c>
      <c r="H1398" t="inlineStr">
        <is>
          <t>MEDIUM</t>
        </is>
      </c>
      <c r="I1398" t="n">
        <v>10</v>
      </c>
      <c r="J1398" t="inlineStr">
        <is>
          <t>NO</t>
        </is>
      </c>
      <c r="K1398" t="inlineStr">
        <is>
          <t>2026-02-27 20:47</t>
        </is>
      </c>
      <c r="L1398" t="inlineStr">
        <is>
          <t>Block IP</t>
        </is>
      </c>
      <c r="M1398" t="inlineStr">
        <is>
          <t>Firewall/Network</t>
        </is>
      </c>
      <c r="N1398" t="inlineStr">
        <is>
          <t>P4</t>
        </is>
      </c>
      <c r="O1398" t="inlineStr">
        <is>
          <t>Blocklist IP — ip-api.com context available</t>
        </is>
      </c>
      <c r="P1398" t="n">
        <v>0</v>
      </c>
      <c r="Q1398" t="n">
        <v>0</v>
      </c>
      <c r="R1398" t="inlineStr">
        <is>
          <t>T1110:Brute Force | T1190:Exploit Public-Facing Application</t>
        </is>
      </c>
      <c r="S1398" t="n">
        <v>1</v>
      </c>
      <c r="T1398" t="inlineStr">
        <is>
          <t>LOW (40%)</t>
        </is>
      </c>
      <c r="U1398" t="inlineStr">
        <is>
          <t>NONE</t>
        </is>
      </c>
      <c r="V1398" t="inlineStr">
        <is>
          <t>NONE</t>
        </is>
      </c>
      <c r="W1398" t="inlineStr">
        <is>
          <t>NONE</t>
        </is>
      </c>
      <c r="X1398" t="inlineStr">
        <is>
          <t>NONE</t>
        </is>
      </c>
      <c r="Y1398" t="n">
        <v>0</v>
      </c>
      <c r="Z1398" t="inlineStr"/>
      <c r="AA1398" t="inlineStr">
        <is>
          <t>https://www.blocklist.de/</t>
        </is>
      </c>
    </row>
    <row r="1399">
      <c r="A1399" t="inlineStr">
        <is>
          <t>BLOCKLIST_DE</t>
        </is>
      </c>
      <c r="B1399" t="inlineStr">
        <is>
          <t>0d07829f1a7f</t>
        </is>
      </c>
      <c r="C1399" t="inlineStr">
        <is>
          <t>Blocklist.de: 1.214.197.163 | Attack activity reported | Sources: BLOCKLIST_DE</t>
        </is>
      </c>
      <c r="D1399" t="n">
        <v>6</v>
      </c>
      <c r="E1399" t="inlineStr">
        <is>
          <t>MEDIUM</t>
        </is>
      </c>
      <c r="F1399" t="n">
        <v>2</v>
      </c>
      <c r="G1399" t="n">
        <v>2</v>
      </c>
      <c r="H1399" t="inlineStr">
        <is>
          <t>MEDIUM</t>
        </is>
      </c>
      <c r="I1399" t="n">
        <v>10</v>
      </c>
      <c r="J1399" t="inlineStr">
        <is>
          <t>NO</t>
        </is>
      </c>
      <c r="K1399" t="inlineStr">
        <is>
          <t>2026-02-27 20:47</t>
        </is>
      </c>
      <c r="L1399" t="inlineStr">
        <is>
          <t>Block IP</t>
        </is>
      </c>
      <c r="M1399" t="inlineStr">
        <is>
          <t>Firewall/Network</t>
        </is>
      </c>
      <c r="N1399" t="inlineStr">
        <is>
          <t>P4</t>
        </is>
      </c>
      <c r="O1399" t="inlineStr">
        <is>
          <t>Blocklist IP — ip-api.com context available</t>
        </is>
      </c>
      <c r="P1399" t="n">
        <v>0</v>
      </c>
      <c r="Q1399" t="n">
        <v>0</v>
      </c>
      <c r="R1399" t="inlineStr">
        <is>
          <t>T1110:Brute Force | T1190:Exploit Public-Facing Application</t>
        </is>
      </c>
      <c r="S1399" t="n">
        <v>1</v>
      </c>
      <c r="T1399" t="inlineStr">
        <is>
          <t>LOW (40%)</t>
        </is>
      </c>
      <c r="U1399" t="inlineStr">
        <is>
          <t>NONE</t>
        </is>
      </c>
      <c r="V1399" t="inlineStr">
        <is>
          <t>NONE</t>
        </is>
      </c>
      <c r="W1399" t="inlineStr">
        <is>
          <t>NONE</t>
        </is>
      </c>
      <c r="X1399" t="inlineStr">
        <is>
          <t>NONE</t>
        </is>
      </c>
      <c r="Y1399" t="n">
        <v>0</v>
      </c>
      <c r="Z1399" t="inlineStr"/>
      <c r="AA1399" t="inlineStr">
        <is>
          <t>https://www.blocklist.de/</t>
        </is>
      </c>
    </row>
    <row r="1400">
      <c r="A1400" t="inlineStr">
        <is>
          <t>BLOCKLIST_DE</t>
        </is>
      </c>
      <c r="B1400" t="inlineStr">
        <is>
          <t>32bd49ed4ae3</t>
        </is>
      </c>
      <c r="C1400" t="inlineStr">
        <is>
          <t>Blocklist.de: 1.214.42.172 | Attack activity reported | Sources: BLOCKLIST_DE</t>
        </is>
      </c>
      <c r="D1400" t="n">
        <v>6</v>
      </c>
      <c r="E1400" t="inlineStr">
        <is>
          <t>MEDIUM</t>
        </is>
      </c>
      <c r="F1400" t="n">
        <v>2</v>
      </c>
      <c r="G1400" t="n">
        <v>2</v>
      </c>
      <c r="H1400" t="inlineStr">
        <is>
          <t>MEDIUM</t>
        </is>
      </c>
      <c r="I1400" t="n">
        <v>10</v>
      </c>
      <c r="J1400" t="inlineStr">
        <is>
          <t>NO</t>
        </is>
      </c>
      <c r="K1400" t="inlineStr">
        <is>
          <t>2026-02-27 20:47</t>
        </is>
      </c>
      <c r="L1400" t="inlineStr">
        <is>
          <t>Block IP</t>
        </is>
      </c>
      <c r="M1400" t="inlineStr">
        <is>
          <t>Firewall/Network</t>
        </is>
      </c>
      <c r="N1400" t="inlineStr">
        <is>
          <t>P4</t>
        </is>
      </c>
      <c r="O1400" t="inlineStr">
        <is>
          <t>Blocklist IP — ip-api.com context available</t>
        </is>
      </c>
      <c r="P1400" t="n">
        <v>0</v>
      </c>
      <c r="Q1400" t="n">
        <v>0</v>
      </c>
      <c r="R1400" t="inlineStr">
        <is>
          <t>T1110:Brute Force | T1190:Exploit Public-Facing Application</t>
        </is>
      </c>
      <c r="S1400" t="n">
        <v>1</v>
      </c>
      <c r="T1400" t="inlineStr">
        <is>
          <t>LOW (40%)</t>
        </is>
      </c>
      <c r="U1400" t="inlineStr">
        <is>
          <t>NONE</t>
        </is>
      </c>
      <c r="V1400" t="inlineStr">
        <is>
          <t>NONE</t>
        </is>
      </c>
      <c r="W1400" t="inlineStr">
        <is>
          <t>NONE</t>
        </is>
      </c>
      <c r="X1400" t="inlineStr">
        <is>
          <t>NONE</t>
        </is>
      </c>
      <c r="Y1400" t="n">
        <v>0</v>
      </c>
      <c r="Z1400" t="inlineStr"/>
      <c r="AA1400" t="inlineStr">
        <is>
          <t>https://www.blocklist.de/</t>
        </is>
      </c>
    </row>
    <row r="1401">
      <c r="A1401" t="inlineStr">
        <is>
          <t>BLOCKLIST_DE</t>
        </is>
      </c>
      <c r="B1401" t="inlineStr">
        <is>
          <t>da984c9bfb57</t>
        </is>
      </c>
      <c r="C1401" t="inlineStr">
        <is>
          <t>Blocklist.de: 1.220.64.218 | Attack activity reported | Sources: BLOCKLIST_DE</t>
        </is>
      </c>
      <c r="D1401" t="n">
        <v>6</v>
      </c>
      <c r="E1401" t="inlineStr">
        <is>
          <t>MEDIUM</t>
        </is>
      </c>
      <c r="F1401" t="n">
        <v>2</v>
      </c>
      <c r="G1401" t="n">
        <v>2</v>
      </c>
      <c r="H1401" t="inlineStr">
        <is>
          <t>MEDIUM</t>
        </is>
      </c>
      <c r="I1401" t="n">
        <v>10</v>
      </c>
      <c r="J1401" t="inlineStr">
        <is>
          <t>NO</t>
        </is>
      </c>
      <c r="K1401" t="inlineStr">
        <is>
          <t>2026-02-27 20:47</t>
        </is>
      </c>
      <c r="L1401" t="inlineStr">
        <is>
          <t>Block IP</t>
        </is>
      </c>
      <c r="M1401" t="inlineStr">
        <is>
          <t>Firewall/Network</t>
        </is>
      </c>
      <c r="N1401" t="inlineStr">
        <is>
          <t>P4</t>
        </is>
      </c>
      <c r="O1401" t="inlineStr">
        <is>
          <t>Blocklist IP — ip-api.com context available</t>
        </is>
      </c>
      <c r="P1401" t="n">
        <v>0</v>
      </c>
      <c r="Q1401" t="n">
        <v>0</v>
      </c>
      <c r="R1401" t="inlineStr">
        <is>
          <t>T1110:Brute Force | T1190:Exploit Public-Facing Application</t>
        </is>
      </c>
      <c r="S1401" t="n">
        <v>1</v>
      </c>
      <c r="T1401" t="inlineStr">
        <is>
          <t>LOW (40%)</t>
        </is>
      </c>
      <c r="U1401" t="inlineStr">
        <is>
          <t>NONE</t>
        </is>
      </c>
      <c r="V1401" t="inlineStr">
        <is>
          <t>NONE</t>
        </is>
      </c>
      <c r="W1401" t="inlineStr">
        <is>
          <t>NONE</t>
        </is>
      </c>
      <c r="X1401" t="inlineStr">
        <is>
          <t>NONE</t>
        </is>
      </c>
      <c r="Y1401" t="n">
        <v>0</v>
      </c>
      <c r="Z1401" t="inlineStr"/>
      <c r="AA1401" t="inlineStr">
        <is>
          <t>https://www.blocklist.de/</t>
        </is>
      </c>
    </row>
    <row r="1402">
      <c r="A1402" t="inlineStr">
        <is>
          <t>BLOCKLIST_DE</t>
        </is>
      </c>
      <c r="B1402" t="inlineStr">
        <is>
          <t>3c6a3b194059</t>
        </is>
      </c>
      <c r="C1402" t="inlineStr">
        <is>
          <t>Blocklist.de: 1.222.42.237 | Attack activity reported | Sources: BLOCKLIST_DE</t>
        </is>
      </c>
      <c r="D1402" t="n">
        <v>6</v>
      </c>
      <c r="E1402" t="inlineStr">
        <is>
          <t>MEDIUM</t>
        </is>
      </c>
      <c r="F1402" t="n">
        <v>2</v>
      </c>
      <c r="G1402" t="n">
        <v>2</v>
      </c>
      <c r="H1402" t="inlineStr">
        <is>
          <t>MEDIUM</t>
        </is>
      </c>
      <c r="I1402" t="n">
        <v>10</v>
      </c>
      <c r="J1402" t="inlineStr">
        <is>
          <t>NO</t>
        </is>
      </c>
      <c r="K1402" t="inlineStr">
        <is>
          <t>2026-02-27 20:47</t>
        </is>
      </c>
      <c r="L1402" t="inlineStr">
        <is>
          <t>Block IP</t>
        </is>
      </c>
      <c r="M1402" t="inlineStr">
        <is>
          <t>Firewall/Network</t>
        </is>
      </c>
      <c r="N1402" t="inlineStr">
        <is>
          <t>P4</t>
        </is>
      </c>
      <c r="O1402" t="inlineStr">
        <is>
          <t>Blocklist IP — ip-api.com context available</t>
        </is>
      </c>
      <c r="P1402" t="n">
        <v>0</v>
      </c>
      <c r="Q1402" t="n">
        <v>0</v>
      </c>
      <c r="R1402" t="inlineStr">
        <is>
          <t>T1110:Brute Force | T1190:Exploit Public-Facing Application</t>
        </is>
      </c>
      <c r="S1402" t="n">
        <v>1</v>
      </c>
      <c r="T1402" t="inlineStr">
        <is>
          <t>LOW (40%)</t>
        </is>
      </c>
      <c r="U1402" t="inlineStr">
        <is>
          <t>NONE</t>
        </is>
      </c>
      <c r="V1402" t="inlineStr">
        <is>
          <t>NONE</t>
        </is>
      </c>
      <c r="W1402" t="inlineStr">
        <is>
          <t>NONE</t>
        </is>
      </c>
      <c r="X1402" t="inlineStr">
        <is>
          <t>NONE</t>
        </is>
      </c>
      <c r="Y1402" t="n">
        <v>0</v>
      </c>
      <c r="Z1402" t="inlineStr"/>
      <c r="AA1402" t="inlineStr">
        <is>
          <t>https://www.blocklist.de/</t>
        </is>
      </c>
    </row>
    <row r="1403">
      <c r="A1403" t="inlineStr">
        <is>
          <t>BLOCKLIST_DE</t>
        </is>
      </c>
      <c r="B1403" t="inlineStr">
        <is>
          <t>537208cb5a69</t>
        </is>
      </c>
      <c r="C1403" t="inlineStr">
        <is>
          <t>Blocklist.de: 1.227.228.131 | Attack activity reported | Sources: BLOCKLIST_DE</t>
        </is>
      </c>
      <c r="D1403" t="n">
        <v>6</v>
      </c>
      <c r="E1403" t="inlineStr">
        <is>
          <t>MEDIUM</t>
        </is>
      </c>
      <c r="F1403" t="n">
        <v>2</v>
      </c>
      <c r="G1403" t="n">
        <v>2</v>
      </c>
      <c r="H1403" t="inlineStr">
        <is>
          <t>MEDIUM</t>
        </is>
      </c>
      <c r="I1403" t="n">
        <v>10</v>
      </c>
      <c r="J1403" t="inlineStr">
        <is>
          <t>NO</t>
        </is>
      </c>
      <c r="K1403" t="inlineStr">
        <is>
          <t>2026-02-27 20:47</t>
        </is>
      </c>
      <c r="L1403" t="inlineStr">
        <is>
          <t>Block IP</t>
        </is>
      </c>
      <c r="M1403" t="inlineStr">
        <is>
          <t>Firewall/Network</t>
        </is>
      </c>
      <c r="N1403" t="inlineStr">
        <is>
          <t>P4</t>
        </is>
      </c>
      <c r="O1403" t="inlineStr">
        <is>
          <t>Blocklist IP — ip-api.com context available</t>
        </is>
      </c>
      <c r="P1403" t="n">
        <v>0</v>
      </c>
      <c r="Q1403" t="n">
        <v>0</v>
      </c>
      <c r="R1403" t="inlineStr">
        <is>
          <t>T1110:Brute Force | T1190:Exploit Public-Facing Application</t>
        </is>
      </c>
      <c r="S1403" t="n">
        <v>1</v>
      </c>
      <c r="T1403" t="inlineStr">
        <is>
          <t>LOW (40%)</t>
        </is>
      </c>
      <c r="U1403" t="inlineStr">
        <is>
          <t>NONE</t>
        </is>
      </c>
      <c r="V1403" t="inlineStr">
        <is>
          <t>NONE</t>
        </is>
      </c>
      <c r="W1403" t="inlineStr">
        <is>
          <t>NONE</t>
        </is>
      </c>
      <c r="X1403" t="inlineStr">
        <is>
          <t>NONE</t>
        </is>
      </c>
      <c r="Y1403" t="n">
        <v>0</v>
      </c>
      <c r="Z1403" t="inlineStr"/>
      <c r="AA1403" t="inlineStr">
        <is>
          <t>https://www.blocklist.de/</t>
        </is>
      </c>
    </row>
    <row r="1404">
      <c r="A1404" t="inlineStr">
        <is>
          <t>BLOCKLIST_DE</t>
        </is>
      </c>
      <c r="B1404" t="inlineStr">
        <is>
          <t>22149440783b</t>
        </is>
      </c>
      <c r="C1404" t="inlineStr">
        <is>
          <t>Blocklist.de: 1.234.23.221 | Attack activity reported | Sources: BLOCKLIST_DE</t>
        </is>
      </c>
      <c r="D1404" t="n">
        <v>6</v>
      </c>
      <c r="E1404" t="inlineStr">
        <is>
          <t>MEDIUM</t>
        </is>
      </c>
      <c r="F1404" t="n">
        <v>2</v>
      </c>
      <c r="G1404" t="n">
        <v>2</v>
      </c>
      <c r="H1404" t="inlineStr">
        <is>
          <t>MEDIUM</t>
        </is>
      </c>
      <c r="I1404" t="n">
        <v>10</v>
      </c>
      <c r="J1404" t="inlineStr">
        <is>
          <t>NO</t>
        </is>
      </c>
      <c r="K1404" t="inlineStr">
        <is>
          <t>2026-02-27 20:47</t>
        </is>
      </c>
      <c r="L1404" t="inlineStr">
        <is>
          <t>Block IP</t>
        </is>
      </c>
      <c r="M1404" t="inlineStr">
        <is>
          <t>Firewall/Network</t>
        </is>
      </c>
      <c r="N1404" t="inlineStr">
        <is>
          <t>P4</t>
        </is>
      </c>
      <c r="O1404" t="inlineStr">
        <is>
          <t>Blocklist IP — ip-api.com context available</t>
        </is>
      </c>
      <c r="P1404" t="n">
        <v>0</v>
      </c>
      <c r="Q1404" t="n">
        <v>0</v>
      </c>
      <c r="R1404" t="inlineStr">
        <is>
          <t>T1110:Brute Force | T1190:Exploit Public-Facing Application</t>
        </is>
      </c>
      <c r="S1404" t="n">
        <v>1</v>
      </c>
      <c r="T1404" t="inlineStr">
        <is>
          <t>LOW (40%)</t>
        </is>
      </c>
      <c r="U1404" t="inlineStr">
        <is>
          <t>NONE</t>
        </is>
      </c>
      <c r="V1404" t="inlineStr">
        <is>
          <t>NONE</t>
        </is>
      </c>
      <c r="W1404" t="inlineStr">
        <is>
          <t>NONE</t>
        </is>
      </c>
      <c r="X1404" t="inlineStr">
        <is>
          <t>NONE</t>
        </is>
      </c>
      <c r="Y1404" t="n">
        <v>0</v>
      </c>
      <c r="Z1404" t="inlineStr"/>
      <c r="AA1404" t="inlineStr">
        <is>
          <t>https://www.blocklist.de/</t>
        </is>
      </c>
    </row>
    <row r="1405">
      <c r="A1405" t="inlineStr">
        <is>
          <t>BLOCKLIST_DE</t>
        </is>
      </c>
      <c r="B1405" t="inlineStr">
        <is>
          <t>8c9b3a8d25de</t>
        </is>
      </c>
      <c r="C1405" t="inlineStr">
        <is>
          <t>Blocklist.de: 1.234.27.159 | Attack activity reported | Sources: BLOCKLIST_DE</t>
        </is>
      </c>
      <c r="D1405" t="n">
        <v>6</v>
      </c>
      <c r="E1405" t="inlineStr">
        <is>
          <t>MEDIUM</t>
        </is>
      </c>
      <c r="F1405" t="n">
        <v>2</v>
      </c>
      <c r="G1405" t="n">
        <v>2</v>
      </c>
      <c r="H1405" t="inlineStr">
        <is>
          <t>MEDIUM</t>
        </is>
      </c>
      <c r="I1405" t="n">
        <v>10</v>
      </c>
      <c r="J1405" t="inlineStr">
        <is>
          <t>NO</t>
        </is>
      </c>
      <c r="K1405" t="inlineStr">
        <is>
          <t>2026-02-27 20:47</t>
        </is>
      </c>
      <c r="L1405" t="inlineStr">
        <is>
          <t>Block IP</t>
        </is>
      </c>
      <c r="M1405" t="inlineStr">
        <is>
          <t>Firewall/Network</t>
        </is>
      </c>
      <c r="N1405" t="inlineStr">
        <is>
          <t>P4</t>
        </is>
      </c>
      <c r="O1405" t="inlineStr">
        <is>
          <t>Blocklist IP — ip-api.com context available</t>
        </is>
      </c>
      <c r="P1405" t="n">
        <v>0</v>
      </c>
      <c r="Q1405" t="n">
        <v>0</v>
      </c>
      <c r="R1405" t="inlineStr">
        <is>
          <t>T1110:Brute Force | T1190:Exploit Public-Facing Application</t>
        </is>
      </c>
      <c r="S1405" t="n">
        <v>1</v>
      </c>
      <c r="T1405" t="inlineStr">
        <is>
          <t>LOW (40%)</t>
        </is>
      </c>
      <c r="U1405" t="inlineStr">
        <is>
          <t>NONE</t>
        </is>
      </c>
      <c r="V1405" t="inlineStr">
        <is>
          <t>NONE</t>
        </is>
      </c>
      <c r="W1405" t="inlineStr">
        <is>
          <t>NONE</t>
        </is>
      </c>
      <c r="X1405" t="inlineStr">
        <is>
          <t>NONE</t>
        </is>
      </c>
      <c r="Y1405" t="n">
        <v>0</v>
      </c>
      <c r="Z1405" t="inlineStr"/>
      <c r="AA1405" t="inlineStr">
        <is>
          <t>https://www.blocklist.de/</t>
        </is>
      </c>
    </row>
    <row r="1406">
      <c r="A1406" t="inlineStr">
        <is>
          <t>BLOCKLIST_DE</t>
        </is>
      </c>
      <c r="B1406" t="inlineStr">
        <is>
          <t>7f8bda0bd561</t>
        </is>
      </c>
      <c r="C1406" t="inlineStr">
        <is>
          <t>Blocklist.de: 1.235.192.130 | Attack activity reported | Sources: BLOCKLIST_DE</t>
        </is>
      </c>
      <c r="D1406" t="n">
        <v>6</v>
      </c>
      <c r="E1406" t="inlineStr">
        <is>
          <t>MEDIUM</t>
        </is>
      </c>
      <c r="F1406" t="n">
        <v>2</v>
      </c>
      <c r="G1406" t="n">
        <v>2</v>
      </c>
      <c r="H1406" t="inlineStr">
        <is>
          <t>MEDIUM</t>
        </is>
      </c>
      <c r="I1406" t="n">
        <v>10</v>
      </c>
      <c r="J1406" t="inlineStr">
        <is>
          <t>NO</t>
        </is>
      </c>
      <c r="K1406" t="inlineStr">
        <is>
          <t>2026-02-27 20:47</t>
        </is>
      </c>
      <c r="L1406" t="inlineStr">
        <is>
          <t>Block IP</t>
        </is>
      </c>
      <c r="M1406" t="inlineStr">
        <is>
          <t>Firewall/Network</t>
        </is>
      </c>
      <c r="N1406" t="inlineStr">
        <is>
          <t>P4</t>
        </is>
      </c>
      <c r="O1406" t="inlineStr">
        <is>
          <t>Blocklist IP — ip-api.com context available</t>
        </is>
      </c>
      <c r="P1406" t="n">
        <v>0</v>
      </c>
      <c r="Q1406" t="n">
        <v>0</v>
      </c>
      <c r="R1406" t="inlineStr">
        <is>
          <t>T1110:Brute Force | T1190:Exploit Public-Facing Application</t>
        </is>
      </c>
      <c r="S1406" t="n">
        <v>1</v>
      </c>
      <c r="T1406" t="inlineStr">
        <is>
          <t>LOW (40%)</t>
        </is>
      </c>
      <c r="U1406" t="inlineStr">
        <is>
          <t>NONE</t>
        </is>
      </c>
      <c r="V1406" t="inlineStr">
        <is>
          <t>NONE</t>
        </is>
      </c>
      <c r="W1406" t="inlineStr">
        <is>
          <t>NONE</t>
        </is>
      </c>
      <c r="X1406" t="inlineStr">
        <is>
          <t>NONE</t>
        </is>
      </c>
      <c r="Y1406" t="n">
        <v>0</v>
      </c>
      <c r="Z1406" t="inlineStr"/>
      <c r="AA1406" t="inlineStr">
        <is>
          <t>https://www.blocklist.de/</t>
        </is>
      </c>
    </row>
    <row r="1407">
      <c r="A1407" t="inlineStr">
        <is>
          <t>BLOCKLIST_DE</t>
        </is>
      </c>
      <c r="B1407" t="inlineStr">
        <is>
          <t>9c698c7f2054</t>
        </is>
      </c>
      <c r="C1407" t="inlineStr">
        <is>
          <t>Blocklist.de: 1.235.192.131 | Attack activity reported | Sources: BLOCKLIST_DE</t>
        </is>
      </c>
      <c r="D1407" t="n">
        <v>6</v>
      </c>
      <c r="E1407" t="inlineStr">
        <is>
          <t>MEDIUM</t>
        </is>
      </c>
      <c r="F1407" t="n">
        <v>2</v>
      </c>
      <c r="G1407" t="n">
        <v>2</v>
      </c>
      <c r="H1407" t="inlineStr">
        <is>
          <t>MEDIUM</t>
        </is>
      </c>
      <c r="I1407" t="n">
        <v>10</v>
      </c>
      <c r="J1407" t="inlineStr">
        <is>
          <t>NO</t>
        </is>
      </c>
      <c r="K1407" t="inlineStr">
        <is>
          <t>2026-02-27 20:47</t>
        </is>
      </c>
      <c r="L1407" t="inlineStr">
        <is>
          <t>Block IP</t>
        </is>
      </c>
      <c r="M1407" t="inlineStr">
        <is>
          <t>Firewall/Network</t>
        </is>
      </c>
      <c r="N1407" t="inlineStr">
        <is>
          <t>P4</t>
        </is>
      </c>
      <c r="O1407" t="inlineStr">
        <is>
          <t>Blocklist IP — ip-api.com context available</t>
        </is>
      </c>
      <c r="P1407" t="n">
        <v>0</v>
      </c>
      <c r="Q1407" t="n">
        <v>0</v>
      </c>
      <c r="R1407" t="inlineStr">
        <is>
          <t>T1110:Brute Force | T1190:Exploit Public-Facing Application</t>
        </is>
      </c>
      <c r="S1407" t="n">
        <v>1</v>
      </c>
      <c r="T1407" t="inlineStr">
        <is>
          <t>LOW (40%)</t>
        </is>
      </c>
      <c r="U1407" t="inlineStr">
        <is>
          <t>NONE</t>
        </is>
      </c>
      <c r="V1407" t="inlineStr">
        <is>
          <t>NONE</t>
        </is>
      </c>
      <c r="W1407" t="inlineStr">
        <is>
          <t>NONE</t>
        </is>
      </c>
      <c r="X1407" t="inlineStr">
        <is>
          <t>NONE</t>
        </is>
      </c>
      <c r="Y1407" t="n">
        <v>0</v>
      </c>
      <c r="Z1407" t="inlineStr"/>
      <c r="AA1407" t="inlineStr">
        <is>
          <t>https://www.blocklist.de/</t>
        </is>
      </c>
    </row>
    <row r="1408">
      <c r="A1408" t="inlineStr">
        <is>
          <t>BLOCKLIST_DE</t>
        </is>
      </c>
      <c r="B1408" t="inlineStr">
        <is>
          <t>9b6a8ed48afe</t>
        </is>
      </c>
      <c r="C1408" t="inlineStr">
        <is>
          <t>Blocklist.de: 1.237.155.150 | Attack activity reported | Sources: BLOCKLIST_DE</t>
        </is>
      </c>
      <c r="D1408" t="n">
        <v>6</v>
      </c>
      <c r="E1408" t="inlineStr">
        <is>
          <t>MEDIUM</t>
        </is>
      </c>
      <c r="F1408" t="n">
        <v>2</v>
      </c>
      <c r="G1408" t="n">
        <v>2</v>
      </c>
      <c r="H1408" t="inlineStr">
        <is>
          <t>MEDIUM</t>
        </is>
      </c>
      <c r="I1408" t="n">
        <v>10</v>
      </c>
      <c r="J1408" t="inlineStr">
        <is>
          <t>NO</t>
        </is>
      </c>
      <c r="K1408" t="inlineStr">
        <is>
          <t>2026-02-27 20:47</t>
        </is>
      </c>
      <c r="L1408" t="inlineStr">
        <is>
          <t>Block IP</t>
        </is>
      </c>
      <c r="M1408" t="inlineStr">
        <is>
          <t>Firewall/Network</t>
        </is>
      </c>
      <c r="N1408" t="inlineStr">
        <is>
          <t>P4</t>
        </is>
      </c>
      <c r="O1408" t="inlineStr">
        <is>
          <t>Blocklist IP — ip-api.com context available</t>
        </is>
      </c>
      <c r="P1408" t="n">
        <v>0</v>
      </c>
      <c r="Q1408" t="n">
        <v>0</v>
      </c>
      <c r="R1408" t="inlineStr">
        <is>
          <t>T1110:Brute Force | T1190:Exploit Public-Facing Application</t>
        </is>
      </c>
      <c r="S1408" t="n">
        <v>1</v>
      </c>
      <c r="T1408" t="inlineStr">
        <is>
          <t>LOW (40%)</t>
        </is>
      </c>
      <c r="U1408" t="inlineStr">
        <is>
          <t>NONE</t>
        </is>
      </c>
      <c r="V1408" t="inlineStr">
        <is>
          <t>NONE</t>
        </is>
      </c>
      <c r="W1408" t="inlineStr">
        <is>
          <t>NONE</t>
        </is>
      </c>
      <c r="X1408" t="inlineStr">
        <is>
          <t>NONE</t>
        </is>
      </c>
      <c r="Y1408" t="n">
        <v>0</v>
      </c>
      <c r="Z1408" t="inlineStr"/>
      <c r="AA1408" t="inlineStr">
        <is>
          <t>https://www.blocklist.de/</t>
        </is>
      </c>
    </row>
    <row r="1409">
      <c r="A1409" t="inlineStr">
        <is>
          <t>BLOCKLIST_DE</t>
        </is>
      </c>
      <c r="B1409" t="inlineStr">
        <is>
          <t>55fb149617b5</t>
        </is>
      </c>
      <c r="C1409" t="inlineStr">
        <is>
          <t>Blocklist.de: 1.238.106.229 | Attack activity reported | Sources: BLOCKLIST_DE</t>
        </is>
      </c>
      <c r="D1409" t="n">
        <v>6</v>
      </c>
      <c r="E1409" t="inlineStr">
        <is>
          <t>MEDIUM</t>
        </is>
      </c>
      <c r="F1409" t="n">
        <v>2</v>
      </c>
      <c r="G1409" t="n">
        <v>2</v>
      </c>
      <c r="H1409" t="inlineStr">
        <is>
          <t>MEDIUM</t>
        </is>
      </c>
      <c r="I1409" t="n">
        <v>10</v>
      </c>
      <c r="J1409" t="inlineStr">
        <is>
          <t>NO</t>
        </is>
      </c>
      <c r="K1409" t="inlineStr">
        <is>
          <t>2026-02-27 20:47</t>
        </is>
      </c>
      <c r="L1409" t="inlineStr">
        <is>
          <t>Block IP</t>
        </is>
      </c>
      <c r="M1409" t="inlineStr">
        <is>
          <t>Firewall/Network</t>
        </is>
      </c>
      <c r="N1409" t="inlineStr">
        <is>
          <t>P4</t>
        </is>
      </c>
      <c r="O1409" t="inlineStr">
        <is>
          <t>Blocklist IP — ip-api.com context available</t>
        </is>
      </c>
      <c r="P1409" t="n">
        <v>0</v>
      </c>
      <c r="Q1409" t="n">
        <v>0</v>
      </c>
      <c r="R1409" t="inlineStr">
        <is>
          <t>T1110:Brute Force | T1190:Exploit Public-Facing Application</t>
        </is>
      </c>
      <c r="S1409" t="n">
        <v>1</v>
      </c>
      <c r="T1409" t="inlineStr">
        <is>
          <t>LOW (40%)</t>
        </is>
      </c>
      <c r="U1409" t="inlineStr">
        <is>
          <t>NONE</t>
        </is>
      </c>
      <c r="V1409" t="inlineStr">
        <is>
          <t>NONE</t>
        </is>
      </c>
      <c r="W1409" t="inlineStr">
        <is>
          <t>NONE</t>
        </is>
      </c>
      <c r="X1409" t="inlineStr">
        <is>
          <t>NONE</t>
        </is>
      </c>
      <c r="Y1409" t="n">
        <v>0</v>
      </c>
      <c r="Z1409" t="inlineStr"/>
      <c r="AA1409" t="inlineStr">
        <is>
          <t>https://www.blocklist.de/</t>
        </is>
      </c>
    </row>
    <row r="1410">
      <c r="A1410" t="inlineStr">
        <is>
          <t>BLOCKLIST_DE</t>
        </is>
      </c>
      <c r="B1410" t="inlineStr">
        <is>
          <t>d28316cdbee2</t>
        </is>
      </c>
      <c r="C1410" t="inlineStr">
        <is>
          <t>Blocklist.de: 1.24.210.27 | Attack activity reported | Sources: BLOCKLIST_DE</t>
        </is>
      </c>
      <c r="D1410" t="n">
        <v>6</v>
      </c>
      <c r="E1410" t="inlineStr">
        <is>
          <t>MEDIUM</t>
        </is>
      </c>
      <c r="F1410" t="n">
        <v>2</v>
      </c>
      <c r="G1410" t="n">
        <v>2</v>
      </c>
      <c r="H1410" t="inlineStr">
        <is>
          <t>MEDIUM</t>
        </is>
      </c>
      <c r="I1410" t="n">
        <v>10</v>
      </c>
      <c r="J1410" t="inlineStr">
        <is>
          <t>NO</t>
        </is>
      </c>
      <c r="K1410" t="inlineStr">
        <is>
          <t>2026-02-27 20:47</t>
        </is>
      </c>
      <c r="L1410" t="inlineStr">
        <is>
          <t>Block IP</t>
        </is>
      </c>
      <c r="M1410" t="inlineStr">
        <is>
          <t>Firewall/Network</t>
        </is>
      </c>
      <c r="N1410" t="inlineStr">
        <is>
          <t>P4</t>
        </is>
      </c>
      <c r="O1410" t="inlineStr">
        <is>
          <t>Blocklist IP — ip-api.com context available</t>
        </is>
      </c>
      <c r="P1410" t="n">
        <v>0</v>
      </c>
      <c r="Q1410" t="n">
        <v>0</v>
      </c>
      <c r="R1410" t="inlineStr">
        <is>
          <t>T1110:Brute Force | T1190:Exploit Public-Facing Application</t>
        </is>
      </c>
      <c r="S1410" t="n">
        <v>1</v>
      </c>
      <c r="T1410" t="inlineStr">
        <is>
          <t>LOW (40%)</t>
        </is>
      </c>
      <c r="U1410" t="inlineStr">
        <is>
          <t>NONE</t>
        </is>
      </c>
      <c r="V1410" t="inlineStr">
        <is>
          <t>NONE</t>
        </is>
      </c>
      <c r="W1410" t="inlineStr">
        <is>
          <t>NONE</t>
        </is>
      </c>
      <c r="X1410" t="inlineStr">
        <is>
          <t>NONE</t>
        </is>
      </c>
      <c r="Y1410" t="n">
        <v>0</v>
      </c>
      <c r="Z1410" t="inlineStr"/>
      <c r="AA1410" t="inlineStr">
        <is>
          <t>https://www.blocklist.de/</t>
        </is>
      </c>
    </row>
    <row r="1411">
      <c r="A1411" t="inlineStr">
        <is>
          <t>BLOCKLIST_DE</t>
        </is>
      </c>
      <c r="B1411" t="inlineStr">
        <is>
          <t>7b84ff55afa8</t>
        </is>
      </c>
      <c r="C1411" t="inlineStr">
        <is>
          <t>Blocklist.de: 1.241.174.81 | Attack activity reported | Sources: BLOCKLIST_DE</t>
        </is>
      </c>
      <c r="D1411" t="n">
        <v>6</v>
      </c>
      <c r="E1411" t="inlineStr">
        <is>
          <t>MEDIUM</t>
        </is>
      </c>
      <c r="F1411" t="n">
        <v>2</v>
      </c>
      <c r="G1411" t="n">
        <v>2</v>
      </c>
      <c r="H1411" t="inlineStr">
        <is>
          <t>MEDIUM</t>
        </is>
      </c>
      <c r="I1411" t="n">
        <v>10</v>
      </c>
      <c r="J1411" t="inlineStr">
        <is>
          <t>NO</t>
        </is>
      </c>
      <c r="K1411" t="inlineStr">
        <is>
          <t>2026-02-27 20:47</t>
        </is>
      </c>
      <c r="L1411" t="inlineStr">
        <is>
          <t>Block IP</t>
        </is>
      </c>
      <c r="M1411" t="inlineStr">
        <is>
          <t>Firewall/Network</t>
        </is>
      </c>
      <c r="N1411" t="inlineStr">
        <is>
          <t>P4</t>
        </is>
      </c>
      <c r="O1411" t="inlineStr">
        <is>
          <t>Blocklist IP — ip-api.com context available</t>
        </is>
      </c>
      <c r="P1411" t="n">
        <v>0</v>
      </c>
      <c r="Q1411" t="n">
        <v>0</v>
      </c>
      <c r="R1411" t="inlineStr">
        <is>
          <t>T1110:Brute Force | T1190:Exploit Public-Facing Application</t>
        </is>
      </c>
      <c r="S1411" t="n">
        <v>1</v>
      </c>
      <c r="T1411" t="inlineStr">
        <is>
          <t>LOW (40%)</t>
        </is>
      </c>
      <c r="U1411" t="inlineStr">
        <is>
          <t>NONE</t>
        </is>
      </c>
      <c r="V1411" t="inlineStr">
        <is>
          <t>NONE</t>
        </is>
      </c>
      <c r="W1411" t="inlineStr">
        <is>
          <t>NONE</t>
        </is>
      </c>
      <c r="X1411" t="inlineStr">
        <is>
          <t>NONE</t>
        </is>
      </c>
      <c r="Y1411" t="n">
        <v>0</v>
      </c>
      <c r="Z1411" t="inlineStr"/>
      <c r="AA1411" t="inlineStr">
        <is>
          <t>https://www.blocklist.de/</t>
        </is>
      </c>
    </row>
    <row r="1412">
      <c r="A1412" t="inlineStr">
        <is>
          <t>BLOCKLIST_DE</t>
        </is>
      </c>
      <c r="B1412" t="inlineStr">
        <is>
          <t>1c9e454bffa8</t>
        </is>
      </c>
      <c r="C1412" t="inlineStr">
        <is>
          <t>Blocklist.de: 1.241.64.237 | Attack activity reported | Sources: BLOCKLIST_DE, ABUSEIPDB</t>
        </is>
      </c>
      <c r="D1412" t="n">
        <v>6</v>
      </c>
      <c r="E1412" t="inlineStr">
        <is>
          <t>MEDIUM</t>
        </is>
      </c>
      <c r="F1412" t="n">
        <v>2</v>
      </c>
      <c r="G1412" t="n">
        <v>2</v>
      </c>
      <c r="H1412" t="inlineStr">
        <is>
          <t>MEDIUM</t>
        </is>
      </c>
      <c r="I1412" t="n">
        <v>10</v>
      </c>
      <c r="J1412" t="inlineStr">
        <is>
          <t>NO</t>
        </is>
      </c>
      <c r="K1412" t="inlineStr">
        <is>
          <t>2026-02-27 20:47</t>
        </is>
      </c>
      <c r="L1412" t="inlineStr">
        <is>
          <t>Block IP</t>
        </is>
      </c>
      <c r="M1412" t="inlineStr">
        <is>
          <t>Firewall/Network</t>
        </is>
      </c>
      <c r="N1412" t="inlineStr">
        <is>
          <t>P3</t>
        </is>
      </c>
      <c r="O1412" t="inlineStr">
        <is>
          <t>Blocklist IP — ip-api.com context available</t>
        </is>
      </c>
      <c r="P1412" t="n">
        <v>0</v>
      </c>
      <c r="Q1412" t="n">
        <v>0</v>
      </c>
      <c r="R1412" t="inlineStr">
        <is>
          <t>T1110:Brute Force | T1190:Exploit Public-Facing Application</t>
        </is>
      </c>
      <c r="S1412" t="n">
        <v>2</v>
      </c>
      <c r="T1412" t="inlineStr">
        <is>
          <t>MEDIUM (52%)</t>
        </is>
      </c>
      <c r="U1412" t="inlineStr">
        <is>
          <t>NONE</t>
        </is>
      </c>
      <c r="V1412" t="inlineStr">
        <is>
          <t>NONE</t>
        </is>
      </c>
      <c r="W1412" t="inlineStr">
        <is>
          <t>NONE</t>
        </is>
      </c>
      <c r="X1412" t="inlineStr">
        <is>
          <t>NONE</t>
        </is>
      </c>
      <c r="Y1412" t="n">
        <v>0</v>
      </c>
      <c r="Z1412" t="inlineStr"/>
      <c r="AA1412" t="inlineStr">
        <is>
          <t>https://www.blocklist.de/</t>
        </is>
      </c>
    </row>
    <row r="1413">
      <c r="A1413" t="inlineStr">
        <is>
          <t>BLOCKLIST_DE</t>
        </is>
      </c>
      <c r="B1413" t="inlineStr">
        <is>
          <t>982ec68d54bb</t>
        </is>
      </c>
      <c r="C1413" t="inlineStr">
        <is>
          <t>Blocklist.de: 1.244.246.221 | Attack activity reported | Sources: BLOCKLIST_DE</t>
        </is>
      </c>
      <c r="D1413" t="n">
        <v>6</v>
      </c>
      <c r="E1413" t="inlineStr">
        <is>
          <t>MEDIUM</t>
        </is>
      </c>
      <c r="F1413" t="n">
        <v>2</v>
      </c>
      <c r="G1413" t="n">
        <v>2</v>
      </c>
      <c r="H1413" t="inlineStr">
        <is>
          <t>MEDIUM</t>
        </is>
      </c>
      <c r="I1413" t="n">
        <v>10</v>
      </c>
      <c r="J1413" t="inlineStr">
        <is>
          <t>NO</t>
        </is>
      </c>
      <c r="K1413" t="inlineStr">
        <is>
          <t>2026-02-27 20:47</t>
        </is>
      </c>
      <c r="L1413" t="inlineStr">
        <is>
          <t>Block IP</t>
        </is>
      </c>
      <c r="M1413" t="inlineStr">
        <is>
          <t>Firewall/Network</t>
        </is>
      </c>
      <c r="N1413" t="inlineStr">
        <is>
          <t>P4</t>
        </is>
      </c>
      <c r="O1413" t="inlineStr">
        <is>
          <t>Blocklist IP — ip-api.com context available</t>
        </is>
      </c>
      <c r="P1413" t="n">
        <v>0</v>
      </c>
      <c r="Q1413" t="n">
        <v>0</v>
      </c>
      <c r="R1413" t="inlineStr">
        <is>
          <t>T1110:Brute Force | T1190:Exploit Public-Facing Application</t>
        </is>
      </c>
      <c r="S1413" t="n">
        <v>1</v>
      </c>
      <c r="T1413" t="inlineStr">
        <is>
          <t>LOW (40%)</t>
        </is>
      </c>
      <c r="U1413" t="inlineStr">
        <is>
          <t>NONE</t>
        </is>
      </c>
      <c r="V1413" t="inlineStr">
        <is>
          <t>NONE</t>
        </is>
      </c>
      <c r="W1413" t="inlineStr">
        <is>
          <t>NONE</t>
        </is>
      </c>
      <c r="X1413" t="inlineStr">
        <is>
          <t>NONE</t>
        </is>
      </c>
      <c r="Y1413" t="n">
        <v>0</v>
      </c>
      <c r="Z1413" t="inlineStr"/>
      <c r="AA1413" t="inlineStr">
        <is>
          <t>https://www.blocklist.de/</t>
        </is>
      </c>
    </row>
    <row r="1414">
      <c r="A1414" t="inlineStr">
        <is>
          <t>BLOCKLIST_DE</t>
        </is>
      </c>
      <c r="B1414" t="inlineStr">
        <is>
          <t>da77d21102b8</t>
        </is>
      </c>
      <c r="C1414" t="inlineStr">
        <is>
          <t>Blocklist.de: 1.245.207.104 | Attack activity reported | Sources: BLOCKLIST_DE</t>
        </is>
      </c>
      <c r="D1414" t="n">
        <v>6</v>
      </c>
      <c r="E1414" t="inlineStr">
        <is>
          <t>MEDIUM</t>
        </is>
      </c>
      <c r="F1414" t="n">
        <v>2</v>
      </c>
      <c r="G1414" t="n">
        <v>2</v>
      </c>
      <c r="H1414" t="inlineStr">
        <is>
          <t>MEDIUM</t>
        </is>
      </c>
      <c r="I1414" t="n">
        <v>10</v>
      </c>
      <c r="J1414" t="inlineStr">
        <is>
          <t>NO</t>
        </is>
      </c>
      <c r="K1414" t="inlineStr">
        <is>
          <t>2026-02-27 20:47</t>
        </is>
      </c>
      <c r="L1414" t="inlineStr">
        <is>
          <t>Block IP</t>
        </is>
      </c>
      <c r="M1414" t="inlineStr">
        <is>
          <t>Firewall/Network</t>
        </is>
      </c>
      <c r="N1414" t="inlineStr">
        <is>
          <t>P4</t>
        </is>
      </c>
      <c r="O1414" t="inlineStr">
        <is>
          <t>Blocklist IP — ip-api.com context available</t>
        </is>
      </c>
      <c r="P1414" t="n">
        <v>0</v>
      </c>
      <c r="Q1414" t="n">
        <v>0</v>
      </c>
      <c r="R1414" t="inlineStr">
        <is>
          <t>T1110:Brute Force | T1190:Exploit Public-Facing Application</t>
        </is>
      </c>
      <c r="S1414" t="n">
        <v>1</v>
      </c>
      <c r="T1414" t="inlineStr">
        <is>
          <t>LOW (40%)</t>
        </is>
      </c>
      <c r="U1414" t="inlineStr">
        <is>
          <t>NONE</t>
        </is>
      </c>
      <c r="V1414" t="inlineStr">
        <is>
          <t>NONE</t>
        </is>
      </c>
      <c r="W1414" t="inlineStr">
        <is>
          <t>NONE</t>
        </is>
      </c>
      <c r="X1414" t="inlineStr">
        <is>
          <t>NONE</t>
        </is>
      </c>
      <c r="Y1414" t="n">
        <v>0</v>
      </c>
      <c r="Z1414" t="inlineStr"/>
      <c r="AA1414" t="inlineStr">
        <is>
          <t>https://www.blocklist.de/</t>
        </is>
      </c>
    </row>
    <row r="1415">
      <c r="A1415" t="inlineStr">
        <is>
          <t>BLOCKLIST_DE</t>
        </is>
      </c>
      <c r="B1415" t="inlineStr">
        <is>
          <t>3a96bb34832f</t>
        </is>
      </c>
      <c r="C1415" t="inlineStr">
        <is>
          <t>Blocklist.de: 1.246.14.175 | Attack activity reported | Sources: BLOCKLIST_DE</t>
        </is>
      </c>
      <c r="D1415" t="n">
        <v>6</v>
      </c>
      <c r="E1415" t="inlineStr">
        <is>
          <t>MEDIUM</t>
        </is>
      </c>
      <c r="F1415" t="n">
        <v>2</v>
      </c>
      <c r="G1415" t="n">
        <v>2</v>
      </c>
      <c r="H1415" t="inlineStr">
        <is>
          <t>MEDIUM</t>
        </is>
      </c>
      <c r="I1415" t="n">
        <v>10</v>
      </c>
      <c r="J1415" t="inlineStr">
        <is>
          <t>NO</t>
        </is>
      </c>
      <c r="K1415" t="inlineStr">
        <is>
          <t>2026-02-27 20:47</t>
        </is>
      </c>
      <c r="L1415" t="inlineStr">
        <is>
          <t>Block IP</t>
        </is>
      </c>
      <c r="M1415" t="inlineStr">
        <is>
          <t>Firewall/Network</t>
        </is>
      </c>
      <c r="N1415" t="inlineStr">
        <is>
          <t>P4</t>
        </is>
      </c>
      <c r="O1415" t="inlineStr">
        <is>
          <t>Blocklist IP — ip-api.com context available</t>
        </is>
      </c>
      <c r="P1415" t="n">
        <v>0</v>
      </c>
      <c r="Q1415" t="n">
        <v>0</v>
      </c>
      <c r="R1415" t="inlineStr">
        <is>
          <t>T1110:Brute Force | T1190:Exploit Public-Facing Application</t>
        </is>
      </c>
      <c r="S1415" t="n">
        <v>1</v>
      </c>
      <c r="T1415" t="inlineStr">
        <is>
          <t>LOW (40%)</t>
        </is>
      </c>
      <c r="U1415" t="inlineStr">
        <is>
          <t>NONE</t>
        </is>
      </c>
      <c r="V1415" t="inlineStr">
        <is>
          <t>NONE</t>
        </is>
      </c>
      <c r="W1415" t="inlineStr">
        <is>
          <t>NONE</t>
        </is>
      </c>
      <c r="X1415" t="inlineStr">
        <is>
          <t>NONE</t>
        </is>
      </c>
      <c r="Y1415" t="n">
        <v>0</v>
      </c>
      <c r="Z1415" t="inlineStr"/>
      <c r="AA1415" t="inlineStr">
        <is>
          <t>https://www.blocklist.de/</t>
        </is>
      </c>
    </row>
    <row r="1416">
      <c r="A1416" t="inlineStr">
        <is>
          <t>MSF_MODULE</t>
        </is>
      </c>
      <c r="B1416" t="inlineStr">
        <is>
          <t>CVE-2007-4387</t>
        </is>
      </c>
      <c r="C1416" t="inlineStr">
        <is>
          <t>Metasploit module available: 2Wire Cross-Site Request Forgery Password Reset Vulnerability | Type: auxiliary_admin | CVE-2007-4387</t>
        </is>
      </c>
      <c r="D1416" t="n">
        <v>7.5</v>
      </c>
      <c r="E1416" t="inlineStr">
        <is>
          <t>HIGH</t>
        </is>
      </c>
      <c r="F1416" t="n">
        <v>3</v>
      </c>
      <c r="G1416" t="n">
        <v>3</v>
      </c>
      <c r="H1416" t="inlineStr">
        <is>
          <t>CRITICAL</t>
        </is>
      </c>
      <c r="I1416" t="n">
        <v>16.5</v>
      </c>
      <c r="J1416" t="inlineStr">
        <is>
          <t>NO</t>
        </is>
      </c>
      <c r="K1416" t="inlineStr">
        <is>
          <t>2026-02-27 20:47</t>
        </is>
      </c>
      <c r="L1416" t="inlineStr">
        <is>
          <t>PATCH_IMMEDIATELY</t>
        </is>
      </c>
      <c r="M1416" t="inlineStr">
        <is>
          <t>See CVE details</t>
        </is>
      </c>
      <c r="N1416" t="inlineStr">
        <is>
          <t>P2</t>
        </is>
      </c>
      <c r="O1416" t="inlineStr">
        <is>
          <t>Rapid7 MSF: 2Wire Cross-Site Request Forgery Password Reset Vulnerability | Module type: auxiliary_admin</t>
        </is>
      </c>
      <c r="P1416" t="n">
        <v>0</v>
      </c>
      <c r="Q1416" t="n">
        <v>0</v>
      </c>
      <c r="R1416" t="inlineStr">
        <is>
          <t>T1203:Exploitation for Client Execution | T1190:Exploit Public-Facing Application</t>
        </is>
      </c>
      <c r="S1416" t="n">
        <v>2</v>
      </c>
      <c r="T1416" t="inlineStr">
        <is>
          <t>HIGH (72%)</t>
        </is>
      </c>
      <c r="U1416" t="inlineStr">
        <is>
          <t>WEAPONIZED</t>
        </is>
      </c>
      <c r="V1416" t="inlineStr">
        <is>
          <t>CHECK_VENDOR</t>
        </is>
      </c>
      <c r="W1416" t="inlineStr">
        <is>
          <t>https://www.rapid7.com/db/search/?q=CVE-2007-4387</t>
        </is>
      </c>
      <c r="X1416" t="inlineStr">
        <is>
          <t>NONE</t>
        </is>
      </c>
      <c r="Y1416" t="n">
        <v>0</v>
      </c>
      <c r="Z1416" t="inlineStr"/>
      <c r="AA1416" t="inlineStr">
        <is>
          <t>https://nvd.nist.gov/vuln/detail/CVE-2007-4387</t>
        </is>
      </c>
    </row>
    <row r="1417">
      <c r="A1417" t="inlineStr">
        <is>
          <t>MSF_MODULE</t>
        </is>
      </c>
      <c r="B1417" t="inlineStr">
        <is>
          <t>CVE-2014-6041</t>
        </is>
      </c>
      <c r="C1417" t="inlineStr">
        <is>
          <t>Metasploit module available: Android Browser RCE Through Google Play Store XFO | Type: auxiliary_admin | CVE-2014-6041</t>
        </is>
      </c>
      <c r="D1417" t="n">
        <v>7.5</v>
      </c>
      <c r="E1417" t="inlineStr">
        <is>
          <t>HIGH</t>
        </is>
      </c>
      <c r="F1417" t="n">
        <v>3</v>
      </c>
      <c r="G1417" t="n">
        <v>3</v>
      </c>
      <c r="H1417" t="inlineStr">
        <is>
          <t>CRITICAL</t>
        </is>
      </c>
      <c r="I1417" t="n">
        <v>16.5</v>
      </c>
      <c r="J1417" t="inlineStr">
        <is>
          <t>NO</t>
        </is>
      </c>
      <c r="K1417" t="inlineStr">
        <is>
          <t>2026-02-27 20:47</t>
        </is>
      </c>
      <c r="L1417" t="inlineStr">
        <is>
          <t>PATCH_IMMEDIATELY</t>
        </is>
      </c>
      <c r="M1417" t="inlineStr">
        <is>
          <t>See CVE details</t>
        </is>
      </c>
      <c r="N1417" t="inlineStr">
        <is>
          <t>P2</t>
        </is>
      </c>
      <c r="O1417" t="inlineStr">
        <is>
          <t>Rapid7 MSF: Android Browser RCE Through Google Play Store XFO | Module type: auxiliary_admin</t>
        </is>
      </c>
      <c r="P1417" t="n">
        <v>0</v>
      </c>
      <c r="Q1417" t="n">
        <v>0</v>
      </c>
      <c r="R1417" t="inlineStr">
        <is>
          <t>T1203:Exploitation for Client Execution | T1190:Exploit Public-Facing Application</t>
        </is>
      </c>
      <c r="S1417" t="n">
        <v>2</v>
      </c>
      <c r="T1417" t="inlineStr">
        <is>
          <t>HIGH (72%)</t>
        </is>
      </c>
      <c r="U1417" t="inlineStr">
        <is>
          <t>WEAPONIZED</t>
        </is>
      </c>
      <c r="V1417" t="inlineStr">
        <is>
          <t>CHECK_VENDOR</t>
        </is>
      </c>
      <c r="W1417" t="inlineStr">
        <is>
          <t>https://www.rapid7.com/db/search/?q=CVE-2014-6041</t>
        </is>
      </c>
      <c r="X1417" t="inlineStr">
        <is>
          <t>NONE</t>
        </is>
      </c>
      <c r="Y1417" t="n">
        <v>0</v>
      </c>
      <c r="Z1417" t="inlineStr"/>
      <c r="AA1417" t="inlineStr">
        <is>
          <t>https://nvd.nist.gov/vuln/detail/CVE-2014-6041</t>
        </is>
      </c>
    </row>
    <row r="1418">
      <c r="A1418" t="inlineStr">
        <is>
          <t>MSF_MODULE</t>
        </is>
      </c>
      <c r="B1418" t="inlineStr">
        <is>
          <t>CVE-2005-2611</t>
        </is>
      </c>
      <c r="C1418" t="inlineStr">
        <is>
          <t>Metasploit module available: Veritas Backup Exec Windows Remote File Access | Type: auxiliary_admin | CVE-2005-2611</t>
        </is>
      </c>
      <c r="D1418" t="n">
        <v>7.5</v>
      </c>
      <c r="E1418" t="inlineStr">
        <is>
          <t>HIGH</t>
        </is>
      </c>
      <c r="F1418" t="n">
        <v>3</v>
      </c>
      <c r="G1418" t="n">
        <v>3</v>
      </c>
      <c r="H1418" t="inlineStr">
        <is>
          <t>CRITICAL</t>
        </is>
      </c>
      <c r="I1418" t="n">
        <v>16.5</v>
      </c>
      <c r="J1418" t="inlineStr">
        <is>
          <t>NO</t>
        </is>
      </c>
      <c r="K1418" t="inlineStr">
        <is>
          <t>2026-02-27 20:47</t>
        </is>
      </c>
      <c r="L1418" t="inlineStr">
        <is>
          <t>PATCH_IMMEDIATELY</t>
        </is>
      </c>
      <c r="M1418" t="inlineStr">
        <is>
          <t>See CVE details</t>
        </is>
      </c>
      <c r="N1418" t="inlineStr">
        <is>
          <t>P2</t>
        </is>
      </c>
      <c r="O1418" t="inlineStr">
        <is>
          <t>Rapid7 MSF: Veritas Backup Exec Windows Remote File Access | Module type: auxiliary_admin</t>
        </is>
      </c>
      <c r="P1418" t="n">
        <v>0</v>
      </c>
      <c r="Q1418" t="n">
        <v>0</v>
      </c>
      <c r="R1418" t="inlineStr">
        <is>
          <t>T1203:Exploitation for Client Execution | T1190:Exploit Public-Facing Application</t>
        </is>
      </c>
      <c r="S1418" t="n">
        <v>2</v>
      </c>
      <c r="T1418" t="inlineStr">
        <is>
          <t>HIGH (72%)</t>
        </is>
      </c>
      <c r="U1418" t="inlineStr">
        <is>
          <t>WEAPONIZED</t>
        </is>
      </c>
      <c r="V1418" t="inlineStr">
        <is>
          <t>CHECK_VENDOR</t>
        </is>
      </c>
      <c r="W1418" t="inlineStr">
        <is>
          <t>https://www.rapid7.com/db/search/?q=CVE-2005-2611</t>
        </is>
      </c>
      <c r="X1418" t="inlineStr">
        <is>
          <t>NONE</t>
        </is>
      </c>
      <c r="Y1418" t="n">
        <v>0</v>
      </c>
      <c r="Z1418" t="inlineStr"/>
      <c r="AA1418" t="inlineStr">
        <is>
          <t>https://nvd.nist.gov/vuln/detail/CVE-2005-2611</t>
        </is>
      </c>
    </row>
    <row r="1419">
      <c r="A1419" t="inlineStr">
        <is>
          <t>MSF_MODULE</t>
        </is>
      </c>
      <c r="B1419" t="inlineStr">
        <is>
          <t>CVE-2005-0771</t>
        </is>
      </c>
      <c r="C1419" t="inlineStr">
        <is>
          <t>Metasploit module available: Veritas Backup Exec Server Registry Access | Type: auxiliary_admin | CVE-2005-0771</t>
        </is>
      </c>
      <c r="D1419" t="n">
        <v>7.5</v>
      </c>
      <c r="E1419" t="inlineStr">
        <is>
          <t>HIGH</t>
        </is>
      </c>
      <c r="F1419" t="n">
        <v>3</v>
      </c>
      <c r="G1419" t="n">
        <v>3</v>
      </c>
      <c r="H1419" t="inlineStr">
        <is>
          <t>CRITICAL</t>
        </is>
      </c>
      <c r="I1419" t="n">
        <v>16.5</v>
      </c>
      <c r="J1419" t="inlineStr">
        <is>
          <t>NO</t>
        </is>
      </c>
      <c r="K1419" t="inlineStr">
        <is>
          <t>2026-02-27 20:47</t>
        </is>
      </c>
      <c r="L1419" t="inlineStr">
        <is>
          <t>PATCH_IMMEDIATELY</t>
        </is>
      </c>
      <c r="M1419" t="inlineStr">
        <is>
          <t>See CVE details</t>
        </is>
      </c>
      <c r="N1419" t="inlineStr">
        <is>
          <t>P2</t>
        </is>
      </c>
      <c r="O1419" t="inlineStr">
        <is>
          <t>Rapid7 MSF: Veritas Backup Exec Server Registry Access | Module type: auxiliary_admin</t>
        </is>
      </c>
      <c r="P1419" t="n">
        <v>0</v>
      </c>
      <c r="Q1419" t="n">
        <v>0</v>
      </c>
      <c r="R1419" t="inlineStr">
        <is>
          <t>T1203:Exploitation for Client Execution | T1190:Exploit Public-Facing Application</t>
        </is>
      </c>
      <c r="S1419" t="n">
        <v>2</v>
      </c>
      <c r="T1419" t="inlineStr">
        <is>
          <t>HIGH (72%)</t>
        </is>
      </c>
      <c r="U1419" t="inlineStr">
        <is>
          <t>WEAPONIZED</t>
        </is>
      </c>
      <c r="V1419" t="inlineStr">
        <is>
          <t>CHECK_VENDOR</t>
        </is>
      </c>
      <c r="W1419" t="inlineStr">
        <is>
          <t>https://www.rapid7.com/db/search/?q=CVE-2005-0771</t>
        </is>
      </c>
      <c r="X1419" t="inlineStr">
        <is>
          <t>NONE</t>
        </is>
      </c>
      <c r="Y1419" t="n">
        <v>0</v>
      </c>
      <c r="Z1419" t="inlineStr"/>
      <c r="AA1419" t="inlineStr">
        <is>
          <t>https://nvd.nist.gov/vuln/detail/CVE-2005-0771</t>
        </is>
      </c>
    </row>
    <row r="1420">
      <c r="A1420" t="inlineStr">
        <is>
          <t>MSF_MODULE</t>
        </is>
      </c>
      <c r="B1420" t="inlineStr">
        <is>
          <t>CVE-2004-0795</t>
        </is>
      </c>
      <c r="C1420" t="inlineStr">
        <is>
          <t>Metasploit module available: IBM DB2 db2rcmd.exe Command Execution Vulnerability | Type: auxiliary_admin | CVE-2004-0795</t>
        </is>
      </c>
      <c r="D1420" t="n">
        <v>7.5</v>
      </c>
      <c r="E1420" t="inlineStr">
        <is>
          <t>HIGH</t>
        </is>
      </c>
      <c r="F1420" t="n">
        <v>3</v>
      </c>
      <c r="G1420" t="n">
        <v>3</v>
      </c>
      <c r="H1420" t="inlineStr">
        <is>
          <t>CRITICAL</t>
        </is>
      </c>
      <c r="I1420" t="n">
        <v>16.5</v>
      </c>
      <c r="J1420" t="inlineStr">
        <is>
          <t>NO</t>
        </is>
      </c>
      <c r="K1420" t="inlineStr">
        <is>
          <t>2026-02-27 20:47</t>
        </is>
      </c>
      <c r="L1420" t="inlineStr">
        <is>
          <t>PATCH_IMMEDIATELY</t>
        </is>
      </c>
      <c r="M1420" t="inlineStr">
        <is>
          <t>See CVE details</t>
        </is>
      </c>
      <c r="N1420" t="inlineStr">
        <is>
          <t>P2</t>
        </is>
      </c>
      <c r="O1420" t="inlineStr">
        <is>
          <t>Rapid7 MSF: IBM DB2 db2rcmd.exe Command Execution Vulnerability | Module type: auxiliary_admin</t>
        </is>
      </c>
      <c r="P1420" t="n">
        <v>0</v>
      </c>
      <c r="Q1420" t="n">
        <v>0</v>
      </c>
      <c r="R1420" t="inlineStr">
        <is>
          <t>T1203:Exploitation for Client Execution | T1190:Exploit Public-Facing Application</t>
        </is>
      </c>
      <c r="S1420" t="n">
        <v>2</v>
      </c>
      <c r="T1420" t="inlineStr">
        <is>
          <t>HIGH (72%)</t>
        </is>
      </c>
      <c r="U1420" t="inlineStr">
        <is>
          <t>WEAPONIZED</t>
        </is>
      </c>
      <c r="V1420" t="inlineStr">
        <is>
          <t>CHECK_VENDOR</t>
        </is>
      </c>
      <c r="W1420" t="inlineStr">
        <is>
          <t>https://www.rapid7.com/db/search/?q=CVE-2004-0795</t>
        </is>
      </c>
      <c r="X1420" t="inlineStr">
        <is>
          <t>NONE</t>
        </is>
      </c>
      <c r="Y1420" t="n">
        <v>0</v>
      </c>
      <c r="Z1420" t="inlineStr"/>
      <c r="AA1420" t="inlineStr">
        <is>
          <t>https://nvd.nist.gov/vuln/detail/CVE-2004-0795</t>
        </is>
      </c>
    </row>
    <row r="1421">
      <c r="A1421" t="inlineStr">
        <is>
          <t>MSF_MODULE</t>
        </is>
      </c>
      <c r="B1421" t="inlineStr">
        <is>
          <t>CVE-2020-1472</t>
        </is>
      </c>
      <c r="C1421" t="inlineStr">
        <is>
          <t>Metasploit module available: Netlogon Weak Cryptographic Authentication | Type: auxiliary_admin | CVE-2020-1472</t>
        </is>
      </c>
      <c r="D1421" t="n">
        <v>7.5</v>
      </c>
      <c r="E1421" t="inlineStr">
        <is>
          <t>HIGH</t>
        </is>
      </c>
      <c r="F1421" t="n">
        <v>3</v>
      </c>
      <c r="G1421" t="n">
        <v>3</v>
      </c>
      <c r="H1421" t="inlineStr">
        <is>
          <t>CRITICAL</t>
        </is>
      </c>
      <c r="I1421" t="n">
        <v>16.5</v>
      </c>
      <c r="J1421" t="inlineStr">
        <is>
          <t>YES</t>
        </is>
      </c>
      <c r="K1421" t="inlineStr">
        <is>
          <t>2026-02-27 20:47</t>
        </is>
      </c>
      <c r="L1421" t="inlineStr">
        <is>
          <t>PATCH_IMMEDIATELY</t>
        </is>
      </c>
      <c r="M1421" t="inlineStr">
        <is>
          <t>See CVE details</t>
        </is>
      </c>
      <c r="N1421" t="inlineStr">
        <is>
          <t>P1</t>
        </is>
      </c>
      <c r="O1421" t="inlineStr">
        <is>
          <t>Rapid7 MSF: Netlogon Weak Cryptographic Authentication | Module type: auxiliary_admin</t>
        </is>
      </c>
      <c r="P1421" t="n">
        <v>0</v>
      </c>
      <c r="Q1421" t="n">
        <v>0</v>
      </c>
      <c r="R1421" t="inlineStr">
        <is>
          <t>T1203:Exploitation for Client Execution | T1190:Exploit Public-Facing Application</t>
        </is>
      </c>
      <c r="S1421" t="n">
        <v>2</v>
      </c>
      <c r="T1421" t="inlineStr">
        <is>
          <t>HIGH (72%)</t>
        </is>
      </c>
      <c r="U1421" t="inlineStr">
        <is>
          <t>WEAPONIZED</t>
        </is>
      </c>
      <c r="V1421" t="inlineStr">
        <is>
          <t>CHECK_VENDOR</t>
        </is>
      </c>
      <c r="W1421" t="inlineStr">
        <is>
          <t>https://www.rapid7.com/db/search/?q=CVE-2020-1472</t>
        </is>
      </c>
      <c r="X1421" t="inlineStr">
        <is>
          <t>NONE</t>
        </is>
      </c>
      <c r="Y1421" t="n">
        <v>0</v>
      </c>
      <c r="Z1421" t="inlineStr"/>
      <c r="AA1421" t="inlineStr">
        <is>
          <t>https://nvd.nist.gov/vuln/detail/CVE-2020-1472</t>
        </is>
      </c>
    </row>
    <row r="1422">
      <c r="A1422" t="inlineStr">
        <is>
          <t>MSF_MODULE</t>
        </is>
      </c>
      <c r="B1422" t="inlineStr">
        <is>
          <t>CVE-2022-26923</t>
        </is>
      </c>
      <c r="C1422" t="inlineStr">
        <is>
          <t>Metasploit module available: Active Directory Certificate Services (ADCS) privilege escalation (Certifried) | Type: auxiliary_admin | CVE-2022-26923</t>
        </is>
      </c>
      <c r="D1422" t="n">
        <v>7.5</v>
      </c>
      <c r="E1422" t="inlineStr">
        <is>
          <t>HIGH</t>
        </is>
      </c>
      <c r="F1422" t="n">
        <v>3</v>
      </c>
      <c r="G1422" t="n">
        <v>3</v>
      </c>
      <c r="H1422" t="inlineStr">
        <is>
          <t>CRITICAL</t>
        </is>
      </c>
      <c r="I1422" t="n">
        <v>16.5</v>
      </c>
      <c r="J1422" t="inlineStr">
        <is>
          <t>YES</t>
        </is>
      </c>
      <c r="K1422" t="inlineStr">
        <is>
          <t>2026-02-27 20:47</t>
        </is>
      </c>
      <c r="L1422" t="inlineStr">
        <is>
          <t>PATCH_IMMEDIATELY</t>
        </is>
      </c>
      <c r="M1422" t="inlineStr">
        <is>
          <t>See CVE details</t>
        </is>
      </c>
      <c r="N1422" t="inlineStr">
        <is>
          <t>P1</t>
        </is>
      </c>
      <c r="O1422" t="inlineStr">
        <is>
          <t>Rapid7 MSF: Active Directory Certificate Services (ADCS) privilege escalation (Certifried) | Module type: auxiliary_admin</t>
        </is>
      </c>
      <c r="P1422" t="n">
        <v>0</v>
      </c>
      <c r="Q1422" t="n">
        <v>0</v>
      </c>
      <c r="R1422" t="inlineStr">
        <is>
          <t>T1203:Exploitation for Client Execution | T1190:Exploit Public-Facing Application</t>
        </is>
      </c>
      <c r="S1422" t="n">
        <v>2</v>
      </c>
      <c r="T1422" t="inlineStr">
        <is>
          <t>HIGH (72%)</t>
        </is>
      </c>
      <c r="U1422" t="inlineStr">
        <is>
          <t>WEAPONIZED</t>
        </is>
      </c>
      <c r="V1422" t="inlineStr">
        <is>
          <t>CHECK_VENDOR</t>
        </is>
      </c>
      <c r="W1422" t="inlineStr">
        <is>
          <t>https://www.rapid7.com/db/search/?q=CVE-2022-26923</t>
        </is>
      </c>
      <c r="X1422" t="inlineStr">
        <is>
          <t>NONE</t>
        </is>
      </c>
      <c r="Y1422" t="n">
        <v>0</v>
      </c>
      <c r="Z1422" t="inlineStr"/>
      <c r="AA1422" t="inlineStr">
        <is>
          <t>https://nvd.nist.gov/vuln/detail/CVE-2022-26923</t>
        </is>
      </c>
    </row>
    <row r="1423">
      <c r="A1423" t="inlineStr">
        <is>
          <t>MSF_MODULE</t>
        </is>
      </c>
      <c r="B1423" t="inlineStr">
        <is>
          <t>CVE-2009-4655</t>
        </is>
      </c>
      <c r="C1423" t="inlineStr">
        <is>
          <t>Metasploit module available: Novell eDirectory DHOST Predictable Session Cookie | Type: auxiliary_admin | CVE-2009-4655</t>
        </is>
      </c>
      <c r="D1423" t="n">
        <v>7.5</v>
      </c>
      <c r="E1423" t="inlineStr">
        <is>
          <t>HIGH</t>
        </is>
      </c>
      <c r="F1423" t="n">
        <v>3</v>
      </c>
      <c r="G1423" t="n">
        <v>3</v>
      </c>
      <c r="H1423" t="inlineStr">
        <is>
          <t>CRITICAL</t>
        </is>
      </c>
      <c r="I1423" t="n">
        <v>16.5</v>
      </c>
      <c r="J1423" t="inlineStr">
        <is>
          <t>NO</t>
        </is>
      </c>
      <c r="K1423" t="inlineStr">
        <is>
          <t>2026-02-27 20:47</t>
        </is>
      </c>
      <c r="L1423" t="inlineStr">
        <is>
          <t>PATCH_IMMEDIATELY</t>
        </is>
      </c>
      <c r="M1423" t="inlineStr">
        <is>
          <t>See CVE details</t>
        </is>
      </c>
      <c r="N1423" t="inlineStr">
        <is>
          <t>P2</t>
        </is>
      </c>
      <c r="O1423" t="inlineStr">
        <is>
          <t>Rapid7 MSF: Novell eDirectory DHOST Predictable Session Cookie | Module type: auxiliary_admin</t>
        </is>
      </c>
      <c r="P1423" t="n">
        <v>0</v>
      </c>
      <c r="Q1423" t="n">
        <v>0</v>
      </c>
      <c r="R1423" t="inlineStr">
        <is>
          <t>T1203:Exploitation for Client Execution | T1190:Exploit Public-Facing Application</t>
        </is>
      </c>
      <c r="S1423" t="n">
        <v>2</v>
      </c>
      <c r="T1423" t="inlineStr">
        <is>
          <t>HIGH (72%)</t>
        </is>
      </c>
      <c r="U1423" t="inlineStr">
        <is>
          <t>WEAPONIZED</t>
        </is>
      </c>
      <c r="V1423" t="inlineStr">
        <is>
          <t>CHECK_VENDOR</t>
        </is>
      </c>
      <c r="W1423" t="inlineStr">
        <is>
          <t>https://www.rapid7.com/db/search/?q=CVE-2009-4655</t>
        </is>
      </c>
      <c r="X1423" t="inlineStr">
        <is>
          <t>NONE</t>
        </is>
      </c>
      <c r="Y1423" t="n">
        <v>0</v>
      </c>
      <c r="Z1423" t="inlineStr"/>
      <c r="AA1423" t="inlineStr">
        <is>
          <t>https://nvd.nist.gov/vuln/detail/CVE-2009-4655</t>
        </is>
      </c>
    </row>
    <row r="1424">
      <c r="A1424" t="inlineStr">
        <is>
          <t>MSF_MODULE</t>
        </is>
      </c>
      <c r="B1424" t="inlineStr">
        <is>
          <t>CVE-2008-0926</t>
        </is>
      </c>
      <c r="C1424" t="inlineStr">
        <is>
          <t>Metasploit module available: Novell eDirectory eMBox Unauthenticated File Access | Type: auxiliary_admin | CVE-2008-0926</t>
        </is>
      </c>
      <c r="D1424" t="n">
        <v>7.5</v>
      </c>
      <c r="E1424" t="inlineStr">
        <is>
          <t>HIGH</t>
        </is>
      </c>
      <c r="F1424" t="n">
        <v>3</v>
      </c>
      <c r="G1424" t="n">
        <v>3</v>
      </c>
      <c r="H1424" t="inlineStr">
        <is>
          <t>CRITICAL</t>
        </is>
      </c>
      <c r="I1424" t="n">
        <v>16.5</v>
      </c>
      <c r="J1424" t="inlineStr">
        <is>
          <t>NO</t>
        </is>
      </c>
      <c r="K1424" t="inlineStr">
        <is>
          <t>2026-02-27 20:47</t>
        </is>
      </c>
      <c r="L1424" t="inlineStr">
        <is>
          <t>PATCH_IMMEDIATELY</t>
        </is>
      </c>
      <c r="M1424" t="inlineStr">
        <is>
          <t>See CVE details</t>
        </is>
      </c>
      <c r="N1424" t="inlineStr">
        <is>
          <t>P2</t>
        </is>
      </c>
      <c r="O1424" t="inlineStr">
        <is>
          <t>Rapid7 MSF: Novell eDirectory eMBox Unauthenticated File Access | Module type: auxiliary_admin</t>
        </is>
      </c>
      <c r="P1424" t="n">
        <v>0</v>
      </c>
      <c r="Q1424" t="n">
        <v>0</v>
      </c>
      <c r="R1424" t="inlineStr">
        <is>
          <t>T1203:Exploitation for Client Execution | T1190:Exploit Public-Facing Application</t>
        </is>
      </c>
      <c r="S1424" t="n">
        <v>2</v>
      </c>
      <c r="T1424" t="inlineStr">
        <is>
          <t>HIGH (72%)</t>
        </is>
      </c>
      <c r="U1424" t="inlineStr">
        <is>
          <t>WEAPONIZED</t>
        </is>
      </c>
      <c r="V1424" t="inlineStr">
        <is>
          <t>CHECK_VENDOR</t>
        </is>
      </c>
      <c r="W1424" t="inlineStr">
        <is>
          <t>https://www.rapid7.com/db/search/?q=CVE-2008-0926</t>
        </is>
      </c>
      <c r="X1424" t="inlineStr">
        <is>
          <t>NONE</t>
        </is>
      </c>
      <c r="Y1424" t="n">
        <v>0</v>
      </c>
      <c r="Z1424" t="inlineStr"/>
      <c r="AA1424" t="inlineStr">
        <is>
          <t>https://nvd.nist.gov/vuln/detail/CVE-2008-0926</t>
        </is>
      </c>
    </row>
    <row r="1425">
      <c r="A1425" t="inlineStr">
        <is>
          <t>MSF_MODULE</t>
        </is>
      </c>
      <c r="B1425" t="inlineStr">
        <is>
          <t>CVE-2008-2157</t>
        </is>
      </c>
      <c r="C1425" t="inlineStr">
        <is>
          <t>Metasploit module available: EMC AlphaStor Device Manager Arbitrary Command Execution | Type: auxiliary_admin | CVE-2008-2157</t>
        </is>
      </c>
      <c r="D1425" t="n">
        <v>7.5</v>
      </c>
      <c r="E1425" t="inlineStr">
        <is>
          <t>HIGH</t>
        </is>
      </c>
      <c r="F1425" t="n">
        <v>3</v>
      </c>
      <c r="G1425" t="n">
        <v>3</v>
      </c>
      <c r="H1425" t="inlineStr">
        <is>
          <t>CRITICAL</t>
        </is>
      </c>
      <c r="I1425" t="n">
        <v>16.5</v>
      </c>
      <c r="J1425" t="inlineStr">
        <is>
          <t>NO</t>
        </is>
      </c>
      <c r="K1425" t="inlineStr">
        <is>
          <t>2026-02-27 20:47</t>
        </is>
      </c>
      <c r="L1425" t="inlineStr">
        <is>
          <t>PATCH_IMMEDIATELY</t>
        </is>
      </c>
      <c r="M1425" t="inlineStr">
        <is>
          <t>See CVE details</t>
        </is>
      </c>
      <c r="N1425" t="inlineStr">
        <is>
          <t>P2</t>
        </is>
      </c>
      <c r="O1425" t="inlineStr">
        <is>
          <t>Rapid7 MSF: EMC AlphaStor Device Manager Arbitrary Command Execution | Module type: auxiliary_admin</t>
        </is>
      </c>
      <c r="P1425" t="n">
        <v>0</v>
      </c>
      <c r="Q1425" t="n">
        <v>0</v>
      </c>
      <c r="R1425" t="inlineStr">
        <is>
          <t>T1203:Exploitation for Client Execution | T1190:Exploit Public-Facing Application</t>
        </is>
      </c>
      <c r="S1425" t="n">
        <v>2</v>
      </c>
      <c r="T1425" t="inlineStr">
        <is>
          <t>HIGH (72%)</t>
        </is>
      </c>
      <c r="U1425" t="inlineStr">
        <is>
          <t>WEAPONIZED</t>
        </is>
      </c>
      <c r="V1425" t="inlineStr">
        <is>
          <t>CHECK_VENDOR</t>
        </is>
      </c>
      <c r="W1425" t="inlineStr">
        <is>
          <t>https://www.rapid7.com/db/search/?q=CVE-2008-2157</t>
        </is>
      </c>
      <c r="X1425" t="inlineStr">
        <is>
          <t>NONE</t>
        </is>
      </c>
      <c r="Y1425" t="n">
        <v>0</v>
      </c>
      <c r="Z1425" t="inlineStr"/>
      <c r="AA1425" t="inlineStr">
        <is>
          <t>https://nvd.nist.gov/vuln/detail/CVE-2008-2157</t>
        </is>
      </c>
    </row>
    <row r="1426">
      <c r="A1426" t="inlineStr">
        <is>
          <t>MSF_MODULE</t>
        </is>
      </c>
      <c r="B1426" t="inlineStr">
        <is>
          <t>CVE-2011-0923</t>
        </is>
      </c>
      <c r="C1426" t="inlineStr">
        <is>
          <t>Metasploit module available: HP Data Protector 6.1 EXEC_CMD Command Execution | Type: auxiliary_admin | CVE-2011-0923</t>
        </is>
      </c>
      <c r="D1426" t="n">
        <v>7.5</v>
      </c>
      <c r="E1426" t="inlineStr">
        <is>
          <t>HIGH</t>
        </is>
      </c>
      <c r="F1426" t="n">
        <v>3</v>
      </c>
      <c r="G1426" t="n">
        <v>3</v>
      </c>
      <c r="H1426" t="inlineStr">
        <is>
          <t>CRITICAL</t>
        </is>
      </c>
      <c r="I1426" t="n">
        <v>16.5</v>
      </c>
      <c r="J1426" t="inlineStr">
        <is>
          <t>NO</t>
        </is>
      </c>
      <c r="K1426" t="inlineStr">
        <is>
          <t>2026-02-27 20:47</t>
        </is>
      </c>
      <c r="L1426" t="inlineStr">
        <is>
          <t>PATCH_IMMEDIATELY</t>
        </is>
      </c>
      <c r="M1426" t="inlineStr">
        <is>
          <t>See CVE details</t>
        </is>
      </c>
      <c r="N1426" t="inlineStr">
        <is>
          <t>P2</t>
        </is>
      </c>
      <c r="O1426" t="inlineStr">
        <is>
          <t>Rapid7 MSF: HP Data Protector 6.1 EXEC_CMD Command Execution | Module type: auxiliary_admin</t>
        </is>
      </c>
      <c r="P1426" t="n">
        <v>0</v>
      </c>
      <c r="Q1426" t="n">
        <v>0</v>
      </c>
      <c r="R1426" t="inlineStr">
        <is>
          <t>T1203:Exploitation for Client Execution | T1190:Exploit Public-Facing Application</t>
        </is>
      </c>
      <c r="S1426" t="n">
        <v>2</v>
      </c>
      <c r="T1426" t="inlineStr">
        <is>
          <t>HIGH (72%)</t>
        </is>
      </c>
      <c r="U1426" t="inlineStr">
        <is>
          <t>WEAPONIZED</t>
        </is>
      </c>
      <c r="V1426" t="inlineStr">
        <is>
          <t>CHECK_VENDOR</t>
        </is>
      </c>
      <c r="W1426" t="inlineStr">
        <is>
          <t>https://www.rapid7.com/db/search/?q=CVE-2011-0923</t>
        </is>
      </c>
      <c r="X1426" t="inlineStr">
        <is>
          <t>NONE</t>
        </is>
      </c>
      <c r="Y1426" t="n">
        <v>0</v>
      </c>
      <c r="Z1426" t="inlineStr"/>
      <c r="AA1426" t="inlineStr">
        <is>
          <t>https://nvd.nist.gov/vuln/detail/CVE-2011-0923</t>
        </is>
      </c>
    </row>
    <row r="1427">
      <c r="A1427" t="inlineStr">
        <is>
          <t>MSF_MODULE</t>
        </is>
      </c>
      <c r="B1427" t="inlineStr">
        <is>
          <t>CVE-2017-12542</t>
        </is>
      </c>
      <c r="C1427" t="inlineStr">
        <is>
          <t>Metasploit module available: HP iLO 4 1.00-2.50 Authentication Bypass Administrator Account Creation | Type: auxiliary_admin | CVE-2017-12542</t>
        </is>
      </c>
      <c r="D1427" t="n">
        <v>7.5</v>
      </c>
      <c r="E1427" t="inlineStr">
        <is>
          <t>HIGH</t>
        </is>
      </c>
      <c r="F1427" t="n">
        <v>3</v>
      </c>
      <c r="G1427" t="n">
        <v>3</v>
      </c>
      <c r="H1427" t="inlineStr">
        <is>
          <t>CRITICAL</t>
        </is>
      </c>
      <c r="I1427" t="n">
        <v>16.5</v>
      </c>
      <c r="J1427" t="inlineStr">
        <is>
          <t>NO</t>
        </is>
      </c>
      <c r="K1427" t="inlineStr">
        <is>
          <t>2026-02-27 20:47</t>
        </is>
      </c>
      <c r="L1427" t="inlineStr">
        <is>
          <t>PATCH_IMMEDIATELY</t>
        </is>
      </c>
      <c r="M1427" t="inlineStr">
        <is>
          <t>See CVE details</t>
        </is>
      </c>
      <c r="N1427" t="inlineStr">
        <is>
          <t>P2</t>
        </is>
      </c>
      <c r="O1427" t="inlineStr">
        <is>
          <t>Rapid7 MSF: HP iLO 4 1.00-2.50 Authentication Bypass Administrator Account Creation | Module type: auxiliary_admin</t>
        </is>
      </c>
      <c r="P1427" t="n">
        <v>0</v>
      </c>
      <c r="Q1427" t="n">
        <v>0</v>
      </c>
      <c r="R1427" t="inlineStr">
        <is>
          <t>T1203:Exploitation for Client Execution | T1190:Exploit Public-Facing Application</t>
        </is>
      </c>
      <c r="S1427" t="n">
        <v>2</v>
      </c>
      <c r="T1427" t="inlineStr">
        <is>
          <t>HIGH (72%)</t>
        </is>
      </c>
      <c r="U1427" t="inlineStr">
        <is>
          <t>WEAPONIZED</t>
        </is>
      </c>
      <c r="V1427" t="inlineStr">
        <is>
          <t>CHECK_VENDOR</t>
        </is>
      </c>
      <c r="W1427" t="inlineStr">
        <is>
          <t>https://www.rapid7.com/db/search/?q=CVE-2017-12542</t>
        </is>
      </c>
      <c r="X1427" t="inlineStr">
        <is>
          <t>NONE</t>
        </is>
      </c>
      <c r="Y1427" t="n">
        <v>0</v>
      </c>
      <c r="Z1427" t="inlineStr"/>
      <c r="AA1427" t="inlineStr">
        <is>
          <t>https://nvd.nist.gov/vuln/detail/CVE-2017-12542</t>
        </is>
      </c>
    </row>
    <row r="1428">
      <c r="A1428" t="inlineStr">
        <is>
          <t>MSF_MODULE</t>
        </is>
      </c>
      <c r="B1428" t="inlineStr">
        <is>
          <t>CVE-2013-4824</t>
        </is>
      </c>
      <c r="C1428" t="inlineStr">
        <is>
          <t>Metasploit module available: HP Intelligent Management SOM Account Creation | Type: auxiliary_admin | CVE-2013-4824</t>
        </is>
      </c>
      <c r="D1428" t="n">
        <v>7.5</v>
      </c>
      <c r="E1428" t="inlineStr">
        <is>
          <t>HIGH</t>
        </is>
      </c>
      <c r="F1428" t="n">
        <v>3</v>
      </c>
      <c r="G1428" t="n">
        <v>3</v>
      </c>
      <c r="H1428" t="inlineStr">
        <is>
          <t>CRITICAL</t>
        </is>
      </c>
      <c r="I1428" t="n">
        <v>16.5</v>
      </c>
      <c r="J1428" t="inlineStr">
        <is>
          <t>NO</t>
        </is>
      </c>
      <c r="K1428" t="inlineStr">
        <is>
          <t>2026-02-27 20:47</t>
        </is>
      </c>
      <c r="L1428" t="inlineStr">
        <is>
          <t>PATCH_IMMEDIATELY</t>
        </is>
      </c>
      <c r="M1428" t="inlineStr">
        <is>
          <t>See CVE details</t>
        </is>
      </c>
      <c r="N1428" t="inlineStr">
        <is>
          <t>P2</t>
        </is>
      </c>
      <c r="O1428" t="inlineStr">
        <is>
          <t>Rapid7 MSF: HP Intelligent Management SOM Account Creation | Module type: auxiliary_admin</t>
        </is>
      </c>
      <c r="P1428" t="n">
        <v>0</v>
      </c>
      <c r="Q1428" t="n">
        <v>0</v>
      </c>
      <c r="R1428" t="inlineStr">
        <is>
          <t>T1203:Exploitation for Client Execution | T1190:Exploit Public-Facing Application</t>
        </is>
      </c>
      <c r="S1428" t="n">
        <v>2</v>
      </c>
      <c r="T1428" t="inlineStr">
        <is>
          <t>HIGH (72%)</t>
        </is>
      </c>
      <c r="U1428" t="inlineStr">
        <is>
          <t>WEAPONIZED</t>
        </is>
      </c>
      <c r="V1428" t="inlineStr">
        <is>
          <t>CHECK_VENDOR</t>
        </is>
      </c>
      <c r="W1428" t="inlineStr">
        <is>
          <t>https://www.rapid7.com/db/search/?q=CVE-2013-4824</t>
        </is>
      </c>
      <c r="X1428" t="inlineStr">
        <is>
          <t>NONE</t>
        </is>
      </c>
      <c r="Y1428" t="n">
        <v>0</v>
      </c>
      <c r="Z1428" t="inlineStr"/>
      <c r="AA1428" t="inlineStr">
        <is>
          <t>https://nvd.nist.gov/vuln/detail/CVE-2013-4824</t>
        </is>
      </c>
    </row>
    <row r="1429">
      <c r="A1429" t="inlineStr">
        <is>
          <t>MSF_MODULE</t>
        </is>
      </c>
      <c r="B1429" t="inlineStr">
        <is>
          <t>CVE-2014-9222</t>
        </is>
      </c>
      <c r="C1429" t="inlineStr">
        <is>
          <t>Metasploit module available: Allegro Software RomPager 'Misfortune Cookie' (CVE-2014-9222) Authentication Byp | Type: auxiliary_admin | CVE-2014-9222</t>
        </is>
      </c>
      <c r="D1429" t="n">
        <v>7.5</v>
      </c>
      <c r="E1429" t="inlineStr">
        <is>
          <t>HIGH</t>
        </is>
      </c>
      <c r="F1429" t="n">
        <v>3</v>
      </c>
      <c r="G1429" t="n">
        <v>3</v>
      </c>
      <c r="H1429" t="inlineStr">
        <is>
          <t>CRITICAL</t>
        </is>
      </c>
      <c r="I1429" t="n">
        <v>16.5</v>
      </c>
      <c r="J1429" t="inlineStr">
        <is>
          <t>NO</t>
        </is>
      </c>
      <c r="K1429" t="inlineStr">
        <is>
          <t>2026-02-27 20:47</t>
        </is>
      </c>
      <c r="L1429" t="inlineStr">
        <is>
          <t>PATCH_IMMEDIATELY</t>
        </is>
      </c>
      <c r="M1429" t="inlineStr">
        <is>
          <t>See CVE details</t>
        </is>
      </c>
      <c r="N1429" t="inlineStr">
        <is>
          <t>P2</t>
        </is>
      </c>
      <c r="O1429" t="inlineStr">
        <is>
          <t>Rapid7 MSF: Allegro Software RomPager 'Misfortune Cookie' (CVE-2014-9222) Authentication Byp | Module type: auxiliary_admin</t>
        </is>
      </c>
      <c r="P1429" t="n">
        <v>0</v>
      </c>
      <c r="Q1429" t="n">
        <v>0</v>
      </c>
      <c r="R1429" t="inlineStr">
        <is>
          <t>T1203:Exploitation for Client Execution | T1190:Exploit Public-Facing Application</t>
        </is>
      </c>
      <c r="S1429" t="n">
        <v>2</v>
      </c>
      <c r="T1429" t="inlineStr">
        <is>
          <t>HIGH (72%)</t>
        </is>
      </c>
      <c r="U1429" t="inlineStr">
        <is>
          <t>WEAPONIZED</t>
        </is>
      </c>
      <c r="V1429" t="inlineStr">
        <is>
          <t>CHECK_VENDOR</t>
        </is>
      </c>
      <c r="W1429" t="inlineStr">
        <is>
          <t>https://www.rapid7.com/db/search/?q=CVE-2014-9222</t>
        </is>
      </c>
      <c r="X1429" t="inlineStr">
        <is>
          <t>NONE</t>
        </is>
      </c>
      <c r="Y1429" t="n">
        <v>0</v>
      </c>
      <c r="Z1429" t="inlineStr"/>
      <c r="AA1429" t="inlineStr">
        <is>
          <t>https://nvd.nist.gov/vuln/detail/CVE-2014-9222</t>
        </is>
      </c>
    </row>
    <row r="1430">
      <c r="A1430" t="inlineStr">
        <is>
          <t>MSF_MODULE</t>
        </is>
      </c>
      <c r="B1430" t="inlineStr">
        <is>
          <t>CVE-2015-0964</t>
        </is>
      </c>
      <c r="C1430" t="inlineStr">
        <is>
          <t>Metasploit module available: Arris / Motorola Surfboard SBG6580 Web Interface Takeover | Type: auxiliary_admin | CVE-2015-0964</t>
        </is>
      </c>
      <c r="D1430" t="n">
        <v>7.5</v>
      </c>
      <c r="E1430" t="inlineStr">
        <is>
          <t>HIGH</t>
        </is>
      </c>
      <c r="F1430" t="n">
        <v>3</v>
      </c>
      <c r="G1430" t="n">
        <v>3</v>
      </c>
      <c r="H1430" t="inlineStr">
        <is>
          <t>CRITICAL</t>
        </is>
      </c>
      <c r="I1430" t="n">
        <v>16.5</v>
      </c>
      <c r="J1430" t="inlineStr">
        <is>
          <t>NO</t>
        </is>
      </c>
      <c r="K1430" t="inlineStr">
        <is>
          <t>2026-02-27 20:47</t>
        </is>
      </c>
      <c r="L1430" t="inlineStr">
        <is>
          <t>PATCH_IMMEDIATELY</t>
        </is>
      </c>
      <c r="M1430" t="inlineStr">
        <is>
          <t>See CVE details</t>
        </is>
      </c>
      <c r="N1430" t="inlineStr">
        <is>
          <t>P2</t>
        </is>
      </c>
      <c r="O1430" t="inlineStr">
        <is>
          <t>Rapid7 MSF: Arris / Motorola Surfboard SBG6580 Web Interface Takeover | Module type: auxiliary_admin</t>
        </is>
      </c>
      <c r="P1430" t="n">
        <v>0</v>
      </c>
      <c r="Q1430" t="n">
        <v>0</v>
      </c>
      <c r="R1430" t="inlineStr">
        <is>
          <t>T1203:Exploitation for Client Execution | T1190:Exploit Public-Facing Application</t>
        </is>
      </c>
      <c r="S1430" t="n">
        <v>2</v>
      </c>
      <c r="T1430" t="inlineStr">
        <is>
          <t>HIGH (72%)</t>
        </is>
      </c>
      <c r="U1430" t="inlineStr">
        <is>
          <t>WEAPONIZED</t>
        </is>
      </c>
      <c r="V1430" t="inlineStr">
        <is>
          <t>CHECK_VENDOR</t>
        </is>
      </c>
      <c r="W1430" t="inlineStr">
        <is>
          <t>https://www.rapid7.com/db/search/?q=CVE-2015-0964</t>
        </is>
      </c>
      <c r="X1430" t="inlineStr">
        <is>
          <t>NONE</t>
        </is>
      </c>
      <c r="Y1430" t="n">
        <v>0</v>
      </c>
      <c r="Z1430" t="inlineStr"/>
      <c r="AA1430" t="inlineStr">
        <is>
          <t>https://nvd.nist.gov/vuln/detail/CVE-2015-0964</t>
        </is>
      </c>
    </row>
    <row r="1431">
      <c r="A1431" t="inlineStr">
        <is>
          <t>MSF_MODULE</t>
        </is>
      </c>
      <c r="B1431" t="inlineStr">
        <is>
          <t>CVE-2015-0965</t>
        </is>
      </c>
      <c r="C1431" t="inlineStr">
        <is>
          <t>Metasploit module available: Arris / Motorola Surfboard SBG6580 Web Interface Takeover | Type: auxiliary_admin | CVE-2015-0965</t>
        </is>
      </c>
      <c r="D1431" t="n">
        <v>7.5</v>
      </c>
      <c r="E1431" t="inlineStr">
        <is>
          <t>HIGH</t>
        </is>
      </c>
      <c r="F1431" t="n">
        <v>3</v>
      </c>
      <c r="G1431" t="n">
        <v>3</v>
      </c>
      <c r="H1431" t="inlineStr">
        <is>
          <t>CRITICAL</t>
        </is>
      </c>
      <c r="I1431" t="n">
        <v>16.5</v>
      </c>
      <c r="J1431" t="inlineStr">
        <is>
          <t>NO</t>
        </is>
      </c>
      <c r="K1431" t="inlineStr">
        <is>
          <t>2026-02-27 20:47</t>
        </is>
      </c>
      <c r="L1431" t="inlineStr">
        <is>
          <t>PATCH_IMMEDIATELY</t>
        </is>
      </c>
      <c r="M1431" t="inlineStr">
        <is>
          <t>See CVE details</t>
        </is>
      </c>
      <c r="N1431" t="inlineStr">
        <is>
          <t>P2</t>
        </is>
      </c>
      <c r="O1431" t="inlineStr">
        <is>
          <t>Rapid7 MSF: Arris / Motorola Surfboard SBG6580 Web Interface Takeover | Module type: auxiliary_admin</t>
        </is>
      </c>
      <c r="P1431" t="n">
        <v>0</v>
      </c>
      <c r="Q1431" t="n">
        <v>0</v>
      </c>
      <c r="R1431" t="inlineStr">
        <is>
          <t>T1203:Exploitation for Client Execution | T1190:Exploit Public-Facing Application</t>
        </is>
      </c>
      <c r="S1431" t="n">
        <v>2</v>
      </c>
      <c r="T1431" t="inlineStr">
        <is>
          <t>HIGH (72%)</t>
        </is>
      </c>
      <c r="U1431" t="inlineStr">
        <is>
          <t>WEAPONIZED</t>
        </is>
      </c>
      <c r="V1431" t="inlineStr">
        <is>
          <t>CHECK_VENDOR</t>
        </is>
      </c>
      <c r="W1431" t="inlineStr">
        <is>
          <t>https://www.rapid7.com/db/search/?q=CVE-2015-0965</t>
        </is>
      </c>
      <c r="X1431" t="inlineStr">
        <is>
          <t>NONE</t>
        </is>
      </c>
      <c r="Y1431" t="n">
        <v>0</v>
      </c>
      <c r="Z1431" t="inlineStr"/>
      <c r="AA1431" t="inlineStr">
        <is>
          <t>https://nvd.nist.gov/vuln/detail/CVE-2015-0965</t>
        </is>
      </c>
    </row>
    <row r="1432">
      <c r="A1432" t="inlineStr">
        <is>
          <t>MSF_MODULE</t>
        </is>
      </c>
      <c r="B1432" t="inlineStr">
        <is>
          <t>CVE-2015-0966</t>
        </is>
      </c>
      <c r="C1432" t="inlineStr">
        <is>
          <t>Metasploit module available: Arris / Motorola Surfboard SBG6580 Web Interface Takeover | Type: auxiliary_admin | CVE-2015-0966</t>
        </is>
      </c>
      <c r="D1432" t="n">
        <v>7.5</v>
      </c>
      <c r="E1432" t="inlineStr">
        <is>
          <t>HIGH</t>
        </is>
      </c>
      <c r="F1432" t="n">
        <v>3</v>
      </c>
      <c r="G1432" t="n">
        <v>3</v>
      </c>
      <c r="H1432" t="inlineStr">
        <is>
          <t>CRITICAL</t>
        </is>
      </c>
      <c r="I1432" t="n">
        <v>16.5</v>
      </c>
      <c r="J1432" t="inlineStr">
        <is>
          <t>NO</t>
        </is>
      </c>
      <c r="K1432" t="inlineStr">
        <is>
          <t>2026-02-27 20:47</t>
        </is>
      </c>
      <c r="L1432" t="inlineStr">
        <is>
          <t>PATCH_IMMEDIATELY</t>
        </is>
      </c>
      <c r="M1432" t="inlineStr">
        <is>
          <t>See CVE details</t>
        </is>
      </c>
      <c r="N1432" t="inlineStr">
        <is>
          <t>P2</t>
        </is>
      </c>
      <c r="O1432" t="inlineStr">
        <is>
          <t>Rapid7 MSF: Arris / Motorola Surfboard SBG6580 Web Interface Takeover | Module type: auxiliary_admin</t>
        </is>
      </c>
      <c r="P1432" t="n">
        <v>0</v>
      </c>
      <c r="Q1432" t="n">
        <v>0</v>
      </c>
      <c r="R1432" t="inlineStr">
        <is>
          <t>T1203:Exploitation for Client Execution | T1190:Exploit Public-Facing Application</t>
        </is>
      </c>
      <c r="S1432" t="n">
        <v>2</v>
      </c>
      <c r="T1432" t="inlineStr">
        <is>
          <t>HIGH (72%)</t>
        </is>
      </c>
      <c r="U1432" t="inlineStr">
        <is>
          <t>WEAPONIZED</t>
        </is>
      </c>
      <c r="V1432" t="inlineStr">
        <is>
          <t>CHECK_VENDOR</t>
        </is>
      </c>
      <c r="W1432" t="inlineStr">
        <is>
          <t>https://www.rapid7.com/db/search/?q=CVE-2015-0966</t>
        </is>
      </c>
      <c r="X1432" t="inlineStr">
        <is>
          <t>NONE</t>
        </is>
      </c>
      <c r="Y1432" t="n">
        <v>0</v>
      </c>
      <c r="Z1432" t="inlineStr"/>
      <c r="AA1432" t="inlineStr">
        <is>
          <t>https://nvd.nist.gov/vuln/detail/CVE-2015-0966</t>
        </is>
      </c>
    </row>
    <row r="1433">
      <c r="A1433" t="inlineStr">
        <is>
          <t>MSF_MODULE</t>
        </is>
      </c>
      <c r="B1433" t="inlineStr">
        <is>
          <t>CVE-2023-22515</t>
        </is>
      </c>
      <c r="C1433" t="inlineStr">
        <is>
          <t>Metasploit module available: Atlassian Confluence Data Center and Server Authentication Bypass via Broken Acc | Type: auxiliary_admin | CVE-2023-22515</t>
        </is>
      </c>
      <c r="D1433" t="n">
        <v>7.5</v>
      </c>
      <c r="E1433" t="inlineStr">
        <is>
          <t>HIGH</t>
        </is>
      </c>
      <c r="F1433" t="n">
        <v>3</v>
      </c>
      <c r="G1433" t="n">
        <v>3</v>
      </c>
      <c r="H1433" t="inlineStr">
        <is>
          <t>CRITICAL</t>
        </is>
      </c>
      <c r="I1433" t="n">
        <v>16.5</v>
      </c>
      <c r="J1433" t="inlineStr">
        <is>
          <t>YES</t>
        </is>
      </c>
      <c r="K1433" t="inlineStr">
        <is>
          <t>2026-02-27 20:47</t>
        </is>
      </c>
      <c r="L1433" t="inlineStr">
        <is>
          <t>PATCH_IMMEDIATELY</t>
        </is>
      </c>
      <c r="M1433" t="inlineStr">
        <is>
          <t>See CVE details</t>
        </is>
      </c>
      <c r="N1433" t="inlineStr">
        <is>
          <t>P1</t>
        </is>
      </c>
      <c r="O1433" t="inlineStr">
        <is>
          <t>Rapid7 MSF: Atlassian Confluence Data Center and Server Authentication Bypass via Broken Acc | Module type: auxiliary_admin</t>
        </is>
      </c>
      <c r="P1433" t="n">
        <v>0</v>
      </c>
      <c r="Q1433" t="n">
        <v>0</v>
      </c>
      <c r="R1433" t="inlineStr">
        <is>
          <t>T1203:Exploitation for Client Execution | T1190:Exploit Public-Facing Application</t>
        </is>
      </c>
      <c r="S1433" t="n">
        <v>2</v>
      </c>
      <c r="T1433" t="inlineStr">
        <is>
          <t>HIGH (72%)</t>
        </is>
      </c>
      <c r="U1433" t="inlineStr">
        <is>
          <t>WEAPONIZED</t>
        </is>
      </c>
      <c r="V1433" t="inlineStr">
        <is>
          <t>CHECK_VENDOR</t>
        </is>
      </c>
      <c r="W1433" t="inlineStr">
        <is>
          <t>https://www.rapid7.com/db/search/?q=CVE-2023-22515</t>
        </is>
      </c>
      <c r="X1433" t="inlineStr">
        <is>
          <t>NONE</t>
        </is>
      </c>
      <c r="Y1433" t="n">
        <v>0</v>
      </c>
      <c r="Z1433" t="inlineStr"/>
      <c r="AA1433" t="inlineStr">
        <is>
          <t>https://nvd.nist.gov/vuln/detail/CVE-2023-22515</t>
        </is>
      </c>
    </row>
    <row r="1434">
      <c r="A1434" t="inlineStr">
        <is>
          <t>MSF_MODULE</t>
        </is>
      </c>
      <c r="B1434" t="inlineStr">
        <is>
          <t>CVE-2012-4940</t>
        </is>
      </c>
      <c r="C1434" t="inlineStr">
        <is>
          <t>Metasploit module available: Axigen Arbitrary File Read and Delete | Type: auxiliary_admin | CVE-2012-4940</t>
        </is>
      </c>
      <c r="D1434" t="n">
        <v>7.5</v>
      </c>
      <c r="E1434" t="inlineStr">
        <is>
          <t>HIGH</t>
        </is>
      </c>
      <c r="F1434" t="n">
        <v>3</v>
      </c>
      <c r="G1434" t="n">
        <v>3</v>
      </c>
      <c r="H1434" t="inlineStr">
        <is>
          <t>CRITICAL</t>
        </is>
      </c>
      <c r="I1434" t="n">
        <v>16.5</v>
      </c>
      <c r="J1434" t="inlineStr">
        <is>
          <t>NO</t>
        </is>
      </c>
      <c r="K1434" t="inlineStr">
        <is>
          <t>2026-02-27 20:47</t>
        </is>
      </c>
      <c r="L1434" t="inlineStr">
        <is>
          <t>PATCH_IMMEDIATELY</t>
        </is>
      </c>
      <c r="M1434" t="inlineStr">
        <is>
          <t>See CVE details</t>
        </is>
      </c>
      <c r="N1434" t="inlineStr">
        <is>
          <t>P2</t>
        </is>
      </c>
      <c r="O1434" t="inlineStr">
        <is>
          <t>Rapid7 MSF: Axigen Arbitrary File Read and Delete | Module type: auxiliary_admin</t>
        </is>
      </c>
      <c r="P1434" t="n">
        <v>0</v>
      </c>
      <c r="Q1434" t="n">
        <v>0</v>
      </c>
      <c r="R1434" t="inlineStr">
        <is>
          <t>T1203:Exploitation for Client Execution | T1190:Exploit Public-Facing Application</t>
        </is>
      </c>
      <c r="S1434" t="n">
        <v>2</v>
      </c>
      <c r="T1434" t="inlineStr">
        <is>
          <t>HIGH (72%)</t>
        </is>
      </c>
      <c r="U1434" t="inlineStr">
        <is>
          <t>WEAPONIZED</t>
        </is>
      </c>
      <c r="V1434" t="inlineStr">
        <is>
          <t>CHECK_VENDOR</t>
        </is>
      </c>
      <c r="W1434" t="inlineStr">
        <is>
          <t>https://www.rapid7.com/db/search/?q=CVE-2012-4940</t>
        </is>
      </c>
      <c r="X1434" t="inlineStr">
        <is>
          <t>NONE</t>
        </is>
      </c>
      <c r="Y1434" t="n">
        <v>0</v>
      </c>
      <c r="Z1434" t="inlineStr"/>
      <c r="AA1434" t="inlineStr">
        <is>
          <t>https://nvd.nist.gov/vuln/detail/CVE-2012-4940</t>
        </is>
      </c>
    </row>
    <row r="1435">
      <c r="A1435" t="inlineStr">
        <is>
          <t>MSF_MODULE</t>
        </is>
      </c>
      <c r="B1435" t="inlineStr">
        <is>
          <t>CVE-2013-2050</t>
        </is>
      </c>
      <c r="C1435" t="inlineStr">
        <is>
          <t>Metasploit module available: Red Hat CloudForms Management Engine 5.1 miq_policy/explorer SQL Injection | Type: auxiliary_admin | CVE-2013-2050</t>
        </is>
      </c>
      <c r="D1435" t="n">
        <v>7.5</v>
      </c>
      <c r="E1435" t="inlineStr">
        <is>
          <t>HIGH</t>
        </is>
      </c>
      <c r="F1435" t="n">
        <v>3</v>
      </c>
      <c r="G1435" t="n">
        <v>3</v>
      </c>
      <c r="H1435" t="inlineStr">
        <is>
          <t>CRITICAL</t>
        </is>
      </c>
      <c r="I1435" t="n">
        <v>16.5</v>
      </c>
      <c r="J1435" t="inlineStr">
        <is>
          <t>NO</t>
        </is>
      </c>
      <c r="K1435" t="inlineStr">
        <is>
          <t>2026-02-27 20:47</t>
        </is>
      </c>
      <c r="L1435" t="inlineStr">
        <is>
          <t>PATCH_IMMEDIATELY</t>
        </is>
      </c>
      <c r="M1435" t="inlineStr">
        <is>
          <t>See CVE details</t>
        </is>
      </c>
      <c r="N1435" t="inlineStr">
        <is>
          <t>P2</t>
        </is>
      </c>
      <c r="O1435" t="inlineStr">
        <is>
          <t>Rapid7 MSF: Red Hat CloudForms Management Engine 5.1 miq_policy/explorer SQL Injection | Module type: auxiliary_admin</t>
        </is>
      </c>
      <c r="P1435" t="n">
        <v>0</v>
      </c>
      <c r="Q1435" t="n">
        <v>0</v>
      </c>
      <c r="R1435" t="inlineStr">
        <is>
          <t>T1203:Exploitation for Client Execution | T1190:Exploit Public-Facing Application</t>
        </is>
      </c>
      <c r="S1435" t="n">
        <v>2</v>
      </c>
      <c r="T1435" t="inlineStr">
        <is>
          <t>HIGH (72%)</t>
        </is>
      </c>
      <c r="U1435" t="inlineStr">
        <is>
          <t>WEAPONIZED</t>
        </is>
      </c>
      <c r="V1435" t="inlineStr">
        <is>
          <t>CHECK_VENDOR</t>
        </is>
      </c>
      <c r="W1435" t="inlineStr">
        <is>
          <t>https://www.rapid7.com/db/search/?q=CVE-2013-2050</t>
        </is>
      </c>
      <c r="X1435" t="inlineStr">
        <is>
          <t>NONE</t>
        </is>
      </c>
      <c r="Y1435" t="n">
        <v>0</v>
      </c>
      <c r="Z1435" t="inlineStr"/>
      <c r="AA1435" t="inlineStr">
        <is>
          <t>https://nvd.nist.gov/vuln/detail/CVE-2013-2050</t>
        </is>
      </c>
    </row>
    <row r="1436">
      <c r="A1436" t="inlineStr">
        <is>
          <t>MSF_MODULE</t>
        </is>
      </c>
      <c r="B1436" t="inlineStr">
        <is>
          <t>CVE-2020-16137</t>
        </is>
      </c>
      <c r="C1436" t="inlineStr">
        <is>
          <t>Metasploit module available: Cisco 7937G SSH Privilege Escalation | Type: auxiliary_admin | CVE-2020-16137</t>
        </is>
      </c>
      <c r="D1436" t="n">
        <v>7.5</v>
      </c>
      <c r="E1436" t="inlineStr">
        <is>
          <t>HIGH</t>
        </is>
      </c>
      <c r="F1436" t="n">
        <v>3</v>
      </c>
      <c r="G1436" t="n">
        <v>3</v>
      </c>
      <c r="H1436" t="inlineStr">
        <is>
          <t>CRITICAL</t>
        </is>
      </c>
      <c r="I1436" t="n">
        <v>16.5</v>
      </c>
      <c r="J1436" t="inlineStr">
        <is>
          <t>NO</t>
        </is>
      </c>
      <c r="K1436" t="inlineStr">
        <is>
          <t>2026-02-27 20:47</t>
        </is>
      </c>
      <c r="L1436" t="inlineStr">
        <is>
          <t>PATCH_IMMEDIATELY</t>
        </is>
      </c>
      <c r="M1436" t="inlineStr">
        <is>
          <t>See CVE details</t>
        </is>
      </c>
      <c r="N1436" t="inlineStr">
        <is>
          <t>P2</t>
        </is>
      </c>
      <c r="O1436" t="inlineStr">
        <is>
          <t>Rapid7 MSF: Cisco 7937G SSH Privilege Escalation | Module type: auxiliary_admin</t>
        </is>
      </c>
      <c r="P1436" t="n">
        <v>0</v>
      </c>
      <c r="Q1436" t="n">
        <v>0</v>
      </c>
      <c r="R1436" t="inlineStr">
        <is>
          <t>T1203:Exploitation for Client Execution | T1190:Exploit Public-Facing Application</t>
        </is>
      </c>
      <c r="S1436" t="n">
        <v>2</v>
      </c>
      <c r="T1436" t="inlineStr">
        <is>
          <t>HIGH (72%)</t>
        </is>
      </c>
      <c r="U1436" t="inlineStr">
        <is>
          <t>WEAPONIZED</t>
        </is>
      </c>
      <c r="V1436" t="inlineStr">
        <is>
          <t>CHECK_VENDOR</t>
        </is>
      </c>
      <c r="W1436" t="inlineStr">
        <is>
          <t>https://www.rapid7.com/db/search/?q=CVE-2020-16137</t>
        </is>
      </c>
      <c r="X1436" t="inlineStr">
        <is>
          <t>NONE</t>
        </is>
      </c>
      <c r="Y1436" t="n">
        <v>0</v>
      </c>
      <c r="Z1436" t="inlineStr"/>
      <c r="AA1436" t="inlineStr">
        <is>
          <t>https://nvd.nist.gov/vuln/detail/CVE-2020-16137</t>
        </is>
      </c>
    </row>
    <row r="1437">
      <c r="A1437" t="inlineStr">
        <is>
          <t>MSF_MODULE</t>
        </is>
      </c>
      <c r="B1437" t="inlineStr">
        <is>
          <t>CVE-2023-20198</t>
        </is>
      </c>
      <c r="C1437" t="inlineStr">
        <is>
          <t>Metasploit module available: Cisco IOX XE unauthenticated Command Line Interface (CLI) execution | Type: auxiliary_admin | CVE-2023-20198</t>
        </is>
      </c>
      <c r="D1437" t="n">
        <v>7.5</v>
      </c>
      <c r="E1437" t="inlineStr">
        <is>
          <t>HIGH</t>
        </is>
      </c>
      <c r="F1437" t="n">
        <v>3</v>
      </c>
      <c r="G1437" t="n">
        <v>3</v>
      </c>
      <c r="H1437" t="inlineStr">
        <is>
          <t>CRITICAL</t>
        </is>
      </c>
      <c r="I1437" t="n">
        <v>16.5</v>
      </c>
      <c r="J1437" t="inlineStr">
        <is>
          <t>YES</t>
        </is>
      </c>
      <c r="K1437" t="inlineStr">
        <is>
          <t>2026-02-27 20:47</t>
        </is>
      </c>
      <c r="L1437" t="inlineStr">
        <is>
          <t>PATCH_IMMEDIATELY</t>
        </is>
      </c>
      <c r="M1437" t="inlineStr">
        <is>
          <t>See CVE details</t>
        </is>
      </c>
      <c r="N1437" t="inlineStr">
        <is>
          <t>P1</t>
        </is>
      </c>
      <c r="O1437" t="inlineStr">
        <is>
          <t>Rapid7 MSF: Cisco IOX XE unauthenticated Command Line Interface (CLI) execution | Module type: auxiliary_admin</t>
        </is>
      </c>
      <c r="P1437" t="n">
        <v>0</v>
      </c>
      <c r="Q1437" t="n">
        <v>0</v>
      </c>
      <c r="R1437" t="inlineStr">
        <is>
          <t>T1203:Exploitation for Client Execution | T1190:Exploit Public-Facing Application</t>
        </is>
      </c>
      <c r="S1437" t="n">
        <v>2</v>
      </c>
      <c r="T1437" t="inlineStr">
        <is>
          <t>HIGH (72%)</t>
        </is>
      </c>
      <c r="U1437" t="inlineStr">
        <is>
          <t>WEAPONIZED</t>
        </is>
      </c>
      <c r="V1437" t="inlineStr">
        <is>
          <t>CHECK_VENDOR</t>
        </is>
      </c>
      <c r="W1437" t="inlineStr">
        <is>
          <t>https://www.rapid7.com/db/search/?q=CVE-2023-20198</t>
        </is>
      </c>
      <c r="X1437" t="inlineStr">
        <is>
          <t>NONE</t>
        </is>
      </c>
      <c r="Y1437" t="n">
        <v>0</v>
      </c>
      <c r="Z1437" t="inlineStr"/>
      <c r="AA1437" t="inlineStr">
        <is>
          <t>https://nvd.nist.gov/vuln/detail/CVE-2023-20198</t>
        </is>
      </c>
    </row>
    <row r="1438">
      <c r="A1438" t="inlineStr">
        <is>
          <t>MSF_MODULE</t>
        </is>
      </c>
      <c r="B1438" t="inlineStr">
        <is>
          <t>CVE-2023-20273</t>
        </is>
      </c>
      <c r="C1438" t="inlineStr">
        <is>
          <t>Metasploit module available: Cisco IOX XE unauthenticated OS command execution | Type: auxiliary_admin | CVE-2023-20273</t>
        </is>
      </c>
      <c r="D1438" t="n">
        <v>7.5</v>
      </c>
      <c r="E1438" t="inlineStr">
        <is>
          <t>HIGH</t>
        </is>
      </c>
      <c r="F1438" t="n">
        <v>3</v>
      </c>
      <c r="G1438" t="n">
        <v>3</v>
      </c>
      <c r="H1438" t="inlineStr">
        <is>
          <t>CRITICAL</t>
        </is>
      </c>
      <c r="I1438" t="n">
        <v>16.5</v>
      </c>
      <c r="J1438" t="inlineStr">
        <is>
          <t>YES</t>
        </is>
      </c>
      <c r="K1438" t="inlineStr">
        <is>
          <t>2026-02-27 20:47</t>
        </is>
      </c>
      <c r="L1438" t="inlineStr">
        <is>
          <t>PATCH_IMMEDIATELY</t>
        </is>
      </c>
      <c r="M1438" t="inlineStr">
        <is>
          <t>See CVE details</t>
        </is>
      </c>
      <c r="N1438" t="inlineStr">
        <is>
          <t>P1</t>
        </is>
      </c>
      <c r="O1438" t="inlineStr">
        <is>
          <t>Rapid7 MSF: Cisco IOX XE unauthenticated OS command execution | Module type: auxiliary_admin</t>
        </is>
      </c>
      <c r="P1438" t="n">
        <v>0</v>
      </c>
      <c r="Q1438" t="n">
        <v>0</v>
      </c>
      <c r="R1438" t="inlineStr">
        <is>
          <t>T1203:Exploitation for Client Execution | T1190:Exploit Public-Facing Application</t>
        </is>
      </c>
      <c r="S1438" t="n">
        <v>2</v>
      </c>
      <c r="T1438" t="inlineStr">
        <is>
          <t>HIGH (72%)</t>
        </is>
      </c>
      <c r="U1438" t="inlineStr">
        <is>
          <t>WEAPONIZED</t>
        </is>
      </c>
      <c r="V1438" t="inlineStr">
        <is>
          <t>CHECK_VENDOR</t>
        </is>
      </c>
      <c r="W1438" t="inlineStr">
        <is>
          <t>https://www.rapid7.com/db/search/?q=CVE-2023-20273</t>
        </is>
      </c>
      <c r="X1438" t="inlineStr">
        <is>
          <t>NONE</t>
        </is>
      </c>
      <c r="Y1438" t="n">
        <v>0</v>
      </c>
      <c r="Z1438" t="inlineStr"/>
      <c r="AA1438" t="inlineStr">
        <is>
          <t>https://nvd.nist.gov/vuln/detail/CVE-2023-20273</t>
        </is>
      </c>
    </row>
    <row r="1439">
      <c r="A1439" t="inlineStr">
        <is>
          <t>MSF_MODULE</t>
        </is>
      </c>
      <c r="B1439" t="inlineStr">
        <is>
          <t>CVE-2024-20419</t>
        </is>
      </c>
      <c r="C1439" t="inlineStr">
        <is>
          <t>Metasploit module available: Cisco Smart Software Manager (SSM) On-Prem Account Takeover (CVE-2024-20419) | Type: auxiliary_admin | CVE-2024-20419</t>
        </is>
      </c>
      <c r="D1439" t="n">
        <v>7.5</v>
      </c>
      <c r="E1439" t="inlineStr">
        <is>
          <t>HIGH</t>
        </is>
      </c>
      <c r="F1439" t="n">
        <v>3</v>
      </c>
      <c r="G1439" t="n">
        <v>3</v>
      </c>
      <c r="H1439" t="inlineStr">
        <is>
          <t>CRITICAL</t>
        </is>
      </c>
      <c r="I1439" t="n">
        <v>16.5</v>
      </c>
      <c r="J1439" t="inlineStr">
        <is>
          <t>NO</t>
        </is>
      </c>
      <c r="K1439" t="inlineStr">
        <is>
          <t>2026-02-27 20:47</t>
        </is>
      </c>
      <c r="L1439" t="inlineStr">
        <is>
          <t>PATCH_IMMEDIATELY</t>
        </is>
      </c>
      <c r="M1439" t="inlineStr">
        <is>
          <t>See CVE details</t>
        </is>
      </c>
      <c r="N1439" t="inlineStr">
        <is>
          <t>P2</t>
        </is>
      </c>
      <c r="O1439" t="inlineStr">
        <is>
          <t>Rapid7 MSF: Cisco Smart Software Manager (SSM) On-Prem Account Takeover (CVE-2024-20419) | Module type: auxiliary_admin</t>
        </is>
      </c>
      <c r="P1439" t="n">
        <v>0</v>
      </c>
      <c r="Q1439" t="n">
        <v>0</v>
      </c>
      <c r="R1439" t="inlineStr">
        <is>
          <t>T1203:Exploitation for Client Execution | T1190:Exploit Public-Facing Application</t>
        </is>
      </c>
      <c r="S1439" t="n">
        <v>2</v>
      </c>
      <c r="T1439" t="inlineStr">
        <is>
          <t>HIGH (72%)</t>
        </is>
      </c>
      <c r="U1439" t="inlineStr">
        <is>
          <t>WEAPONIZED</t>
        </is>
      </c>
      <c r="V1439" t="inlineStr">
        <is>
          <t>CHECK_VENDOR</t>
        </is>
      </c>
      <c r="W1439" t="inlineStr">
        <is>
          <t>https://www.rapid7.com/db/search/?q=CVE-2024-20419</t>
        </is>
      </c>
      <c r="X1439" t="inlineStr">
        <is>
          <t>NONE</t>
        </is>
      </c>
      <c r="Y1439" t="n">
        <v>0</v>
      </c>
      <c r="Z1439" t="inlineStr"/>
      <c r="AA1439" t="inlineStr">
        <is>
          <t>https://nvd.nist.gov/vuln/detail/CVE-2024-20419</t>
        </is>
      </c>
    </row>
    <row r="1440">
      <c r="A1440" t="inlineStr">
        <is>
          <t>MSF_MODULE</t>
        </is>
      </c>
      <c r="B1440" t="inlineStr">
        <is>
          <t>CVE-2017-5259</t>
        </is>
      </c>
      <c r="C1440" t="inlineStr">
        <is>
          <t>Metasploit module available: Cambium cnPilot r200/r201 Command Execution as 'root' | Type: auxiliary_admin | CVE-2017-5259</t>
        </is>
      </c>
      <c r="D1440" t="n">
        <v>7.5</v>
      </c>
      <c r="E1440" t="inlineStr">
        <is>
          <t>HIGH</t>
        </is>
      </c>
      <c r="F1440" t="n">
        <v>3</v>
      </c>
      <c r="G1440" t="n">
        <v>3</v>
      </c>
      <c r="H1440" t="inlineStr">
        <is>
          <t>CRITICAL</t>
        </is>
      </c>
      <c r="I1440" t="n">
        <v>16.5</v>
      </c>
      <c r="J1440" t="inlineStr">
        <is>
          <t>NO</t>
        </is>
      </c>
      <c r="K1440" t="inlineStr">
        <is>
          <t>2026-02-27 20:47</t>
        </is>
      </c>
      <c r="L1440" t="inlineStr">
        <is>
          <t>PATCH_IMMEDIATELY</t>
        </is>
      </c>
      <c r="M1440" t="inlineStr">
        <is>
          <t>See CVE details</t>
        </is>
      </c>
      <c r="N1440" t="inlineStr">
        <is>
          <t>P2</t>
        </is>
      </c>
      <c r="O1440" t="inlineStr">
        <is>
          <t>Rapid7 MSF: Cambium cnPilot r200/r201 Command Execution as 'root' | Module type: auxiliary_admin</t>
        </is>
      </c>
      <c r="P1440" t="n">
        <v>0</v>
      </c>
      <c r="Q1440" t="n">
        <v>0</v>
      </c>
      <c r="R1440" t="inlineStr">
        <is>
          <t>T1203:Exploitation for Client Execution | T1190:Exploit Public-Facing Application</t>
        </is>
      </c>
      <c r="S1440" t="n">
        <v>2</v>
      </c>
      <c r="T1440" t="inlineStr">
        <is>
          <t>HIGH (72%)</t>
        </is>
      </c>
      <c r="U1440" t="inlineStr">
        <is>
          <t>WEAPONIZED</t>
        </is>
      </c>
      <c r="V1440" t="inlineStr">
        <is>
          <t>CHECK_VENDOR</t>
        </is>
      </c>
      <c r="W1440" t="inlineStr">
        <is>
          <t>https://www.rapid7.com/db/search/?q=CVE-2017-5259</t>
        </is>
      </c>
      <c r="X1440" t="inlineStr">
        <is>
          <t>NONE</t>
        </is>
      </c>
      <c r="Y1440" t="n">
        <v>0</v>
      </c>
      <c r="Z1440" t="inlineStr"/>
      <c r="AA1440" t="inlineStr">
        <is>
          <t>https://nvd.nist.gov/vuln/detail/CVE-2017-5259</t>
        </is>
      </c>
    </row>
    <row r="1441">
      <c r="A1441" t="inlineStr">
        <is>
          <t>MSF_MODULE</t>
        </is>
      </c>
      <c r="B1441" t="inlineStr">
        <is>
          <t>CVE-2017-5261</t>
        </is>
      </c>
      <c r="C1441" t="inlineStr">
        <is>
          <t>Metasploit module available: Cambium cnPilot r200/r201 File Path Traversal | Type: auxiliary_admin | CVE-2017-5261</t>
        </is>
      </c>
      <c r="D1441" t="n">
        <v>7.5</v>
      </c>
      <c r="E1441" t="inlineStr">
        <is>
          <t>HIGH</t>
        </is>
      </c>
      <c r="F1441" t="n">
        <v>3</v>
      </c>
      <c r="G1441" t="n">
        <v>3</v>
      </c>
      <c r="H1441" t="inlineStr">
        <is>
          <t>CRITICAL</t>
        </is>
      </c>
      <c r="I1441" t="n">
        <v>16.5</v>
      </c>
      <c r="J1441" t="inlineStr">
        <is>
          <t>NO</t>
        </is>
      </c>
      <c r="K1441" t="inlineStr">
        <is>
          <t>2026-02-27 20:47</t>
        </is>
      </c>
      <c r="L1441" t="inlineStr">
        <is>
          <t>PATCH_IMMEDIATELY</t>
        </is>
      </c>
      <c r="M1441" t="inlineStr">
        <is>
          <t>See CVE details</t>
        </is>
      </c>
      <c r="N1441" t="inlineStr">
        <is>
          <t>P2</t>
        </is>
      </c>
      <c r="O1441" t="inlineStr">
        <is>
          <t>Rapid7 MSF: Cambium cnPilot r200/r201 File Path Traversal | Module type: auxiliary_admin</t>
        </is>
      </c>
      <c r="P1441" t="n">
        <v>0</v>
      </c>
      <c r="Q1441" t="n">
        <v>0</v>
      </c>
      <c r="R1441" t="inlineStr">
        <is>
          <t>T1203:Exploitation for Client Execution | T1190:Exploit Public-Facing Application</t>
        </is>
      </c>
      <c r="S1441" t="n">
        <v>2</v>
      </c>
      <c r="T1441" t="inlineStr">
        <is>
          <t>HIGH (72%)</t>
        </is>
      </c>
      <c r="U1441" t="inlineStr">
        <is>
          <t>WEAPONIZED</t>
        </is>
      </c>
      <c r="V1441" t="inlineStr">
        <is>
          <t>CHECK_VENDOR</t>
        </is>
      </c>
      <c r="W1441" t="inlineStr">
        <is>
          <t>https://www.rapid7.com/db/search/?q=CVE-2017-5261</t>
        </is>
      </c>
      <c r="X1441" t="inlineStr">
        <is>
          <t>NONE</t>
        </is>
      </c>
      <c r="Y1441" t="n">
        <v>0</v>
      </c>
      <c r="Z1441" t="inlineStr"/>
      <c r="AA1441" t="inlineStr">
        <is>
          <t>https://nvd.nist.gov/vuln/detail/CVE-2017-5261</t>
        </is>
      </c>
    </row>
    <row r="1442">
      <c r="A1442" t="inlineStr">
        <is>
          <t>MSF_MODULE</t>
        </is>
      </c>
      <c r="B1442" t="inlineStr">
        <is>
          <t>CVE-2009-10005</t>
        </is>
      </c>
      <c r="C1442" t="inlineStr">
        <is>
          <t>Metasploit module available: ContentKeeper Web Appliance mimencode File Access | Type: auxiliary_admin | CVE-2009-10005</t>
        </is>
      </c>
      <c r="D1442" t="n">
        <v>7.5</v>
      </c>
      <c r="E1442" t="inlineStr">
        <is>
          <t>HIGH</t>
        </is>
      </c>
      <c r="F1442" t="n">
        <v>3</v>
      </c>
      <c r="G1442" t="n">
        <v>3</v>
      </c>
      <c r="H1442" t="inlineStr">
        <is>
          <t>CRITICAL</t>
        </is>
      </c>
      <c r="I1442" t="n">
        <v>16.5</v>
      </c>
      <c r="J1442" t="inlineStr">
        <is>
          <t>NO</t>
        </is>
      </c>
      <c r="K1442" t="inlineStr">
        <is>
          <t>2026-02-27 20:47</t>
        </is>
      </c>
      <c r="L1442" t="inlineStr">
        <is>
          <t>PATCH_IMMEDIATELY</t>
        </is>
      </c>
      <c r="M1442" t="inlineStr">
        <is>
          <t>See CVE details</t>
        </is>
      </c>
      <c r="N1442" t="inlineStr">
        <is>
          <t>P2</t>
        </is>
      </c>
      <c r="O1442" t="inlineStr">
        <is>
          <t>Rapid7 MSF: ContentKeeper Web Appliance mimencode File Access | Module type: auxiliary_admin</t>
        </is>
      </c>
      <c r="P1442" t="n">
        <v>0</v>
      </c>
      <c r="Q1442" t="n">
        <v>0</v>
      </c>
      <c r="R1442" t="inlineStr">
        <is>
          <t>T1203:Exploitation for Client Execution | T1190:Exploit Public-Facing Application</t>
        </is>
      </c>
      <c r="S1442" t="n">
        <v>2</v>
      </c>
      <c r="T1442" t="inlineStr">
        <is>
          <t>HIGH (72%)</t>
        </is>
      </c>
      <c r="U1442" t="inlineStr">
        <is>
          <t>WEAPONIZED</t>
        </is>
      </c>
      <c r="V1442" t="inlineStr">
        <is>
          <t>CHECK_VENDOR</t>
        </is>
      </c>
      <c r="W1442" t="inlineStr">
        <is>
          <t>https://www.rapid7.com/db/search/?q=CVE-2009-10005</t>
        </is>
      </c>
      <c r="X1442" t="inlineStr">
        <is>
          <t>NONE</t>
        </is>
      </c>
      <c r="Y1442" t="n">
        <v>0</v>
      </c>
      <c r="Z1442" t="inlineStr"/>
      <c r="AA1442" t="inlineStr">
        <is>
          <t>https://nvd.nist.gov/vuln/detail/CVE-2009-10005</t>
        </is>
      </c>
    </row>
    <row r="1443">
      <c r="A1443" t="inlineStr">
        <is>
          <t>MSF_MODULE</t>
        </is>
      </c>
      <c r="B1443" t="inlineStr">
        <is>
          <t>CVE-2013-10069</t>
        </is>
      </c>
      <c r="C1443" t="inlineStr">
        <is>
          <t>Metasploit module available: D-Link DIR-600 / DIR-300 Unauthenticated Remote Command Execution | Type: auxiliary_admin | CVE-2013-10069</t>
        </is>
      </c>
      <c r="D1443" t="n">
        <v>7.5</v>
      </c>
      <c r="E1443" t="inlineStr">
        <is>
          <t>HIGH</t>
        </is>
      </c>
      <c r="F1443" t="n">
        <v>3</v>
      </c>
      <c r="G1443" t="n">
        <v>3</v>
      </c>
      <c r="H1443" t="inlineStr">
        <is>
          <t>CRITICAL</t>
        </is>
      </c>
      <c r="I1443" t="n">
        <v>16.5</v>
      </c>
      <c r="J1443" t="inlineStr">
        <is>
          <t>NO</t>
        </is>
      </c>
      <c r="K1443" t="inlineStr">
        <is>
          <t>2026-02-27 20:47</t>
        </is>
      </c>
      <c r="L1443" t="inlineStr">
        <is>
          <t>PATCH_IMMEDIATELY</t>
        </is>
      </c>
      <c r="M1443" t="inlineStr">
        <is>
          <t>See CVE details</t>
        </is>
      </c>
      <c r="N1443" t="inlineStr">
        <is>
          <t>P2</t>
        </is>
      </c>
      <c r="O1443" t="inlineStr">
        <is>
          <t>Rapid7 MSF: D-Link DIR-600 / DIR-300 Unauthenticated Remote Command Execution | Module type: auxiliary_admin</t>
        </is>
      </c>
      <c r="P1443" t="n">
        <v>0</v>
      </c>
      <c r="Q1443" t="n">
        <v>0</v>
      </c>
      <c r="R1443" t="inlineStr">
        <is>
          <t>T1203:Exploitation for Client Execution | T1190:Exploit Public-Facing Application</t>
        </is>
      </c>
      <c r="S1443" t="n">
        <v>2</v>
      </c>
      <c r="T1443" t="inlineStr">
        <is>
          <t>HIGH (72%)</t>
        </is>
      </c>
      <c r="U1443" t="inlineStr">
        <is>
          <t>WEAPONIZED</t>
        </is>
      </c>
      <c r="V1443" t="inlineStr">
        <is>
          <t>CHECK_VENDOR</t>
        </is>
      </c>
      <c r="W1443" t="inlineStr">
        <is>
          <t>https://www.rapid7.com/db/search/?q=CVE-2013-10069</t>
        </is>
      </c>
      <c r="X1443" t="inlineStr">
        <is>
          <t>NONE</t>
        </is>
      </c>
      <c r="Y1443" t="n">
        <v>0</v>
      </c>
      <c r="Z1443" t="inlineStr"/>
      <c r="AA1443" t="inlineStr">
        <is>
          <t>https://nvd.nist.gov/vuln/detail/CVE-2013-10069</t>
        </is>
      </c>
    </row>
    <row r="1444">
      <c r="A1444" t="inlineStr">
        <is>
          <t>MSF_MODULE</t>
        </is>
      </c>
      <c r="B1444" t="inlineStr">
        <is>
          <t>CVE-2013-2113</t>
        </is>
      </c>
      <c r="C1444" t="inlineStr">
        <is>
          <t>Metasploit module available: Foreman (Red Hat OpenStack/Satellite) users/create Mass Assignment | Type: auxiliary_admin | CVE-2013-2113</t>
        </is>
      </c>
      <c r="D1444" t="n">
        <v>7.5</v>
      </c>
      <c r="E1444" t="inlineStr">
        <is>
          <t>HIGH</t>
        </is>
      </c>
      <c r="F1444" t="n">
        <v>3</v>
      </c>
      <c r="G1444" t="n">
        <v>3</v>
      </c>
      <c r="H1444" t="inlineStr">
        <is>
          <t>CRITICAL</t>
        </is>
      </c>
      <c r="I1444" t="n">
        <v>16.5</v>
      </c>
      <c r="J1444" t="inlineStr">
        <is>
          <t>NO</t>
        </is>
      </c>
      <c r="K1444" t="inlineStr">
        <is>
          <t>2026-02-27 20:47</t>
        </is>
      </c>
      <c r="L1444" t="inlineStr">
        <is>
          <t>PATCH_IMMEDIATELY</t>
        </is>
      </c>
      <c r="M1444" t="inlineStr">
        <is>
          <t>See CVE details</t>
        </is>
      </c>
      <c r="N1444" t="inlineStr">
        <is>
          <t>P2</t>
        </is>
      </c>
      <c r="O1444" t="inlineStr">
        <is>
          <t>Rapid7 MSF: Foreman (Red Hat OpenStack/Satellite) users/create Mass Assignment | Module type: auxiliary_admin</t>
        </is>
      </c>
      <c r="P1444" t="n">
        <v>0</v>
      </c>
      <c r="Q1444" t="n">
        <v>0</v>
      </c>
      <c r="R1444" t="inlineStr">
        <is>
          <t>T1203:Exploitation for Client Execution | T1190:Exploit Public-Facing Application</t>
        </is>
      </c>
      <c r="S1444" t="n">
        <v>2</v>
      </c>
      <c r="T1444" t="inlineStr">
        <is>
          <t>HIGH (72%)</t>
        </is>
      </c>
      <c r="U1444" t="inlineStr">
        <is>
          <t>WEAPONIZED</t>
        </is>
      </c>
      <c r="V1444" t="inlineStr">
        <is>
          <t>CHECK_VENDOR</t>
        </is>
      </c>
      <c r="W1444" t="inlineStr">
        <is>
          <t>https://www.rapid7.com/db/search/?q=CVE-2013-2113</t>
        </is>
      </c>
      <c r="X1444" t="inlineStr">
        <is>
          <t>NONE</t>
        </is>
      </c>
      <c r="Y1444" t="n">
        <v>0</v>
      </c>
      <c r="Z1444" t="inlineStr"/>
      <c r="AA1444" t="inlineStr">
        <is>
          <t>https://nvd.nist.gov/vuln/detail/CVE-2013-2113</t>
        </is>
      </c>
    </row>
    <row r="1445">
      <c r="A1445" t="inlineStr">
        <is>
          <t>MSF_MODULE</t>
        </is>
      </c>
      <c r="B1445" t="inlineStr">
        <is>
          <t>CVE-2025-64446</t>
        </is>
      </c>
      <c r="C1445" t="inlineStr">
        <is>
          <t>Metasploit module available: Fortinet FortiWeb create new local admin | Type: auxiliary_admin | CVE-2025-64446</t>
        </is>
      </c>
      <c r="D1445" t="n">
        <v>7.5</v>
      </c>
      <c r="E1445" t="inlineStr">
        <is>
          <t>HIGH</t>
        </is>
      </c>
      <c r="F1445" t="n">
        <v>3</v>
      </c>
      <c r="G1445" t="n">
        <v>3</v>
      </c>
      <c r="H1445" t="inlineStr">
        <is>
          <t>CRITICAL</t>
        </is>
      </c>
      <c r="I1445" t="n">
        <v>16.5</v>
      </c>
      <c r="J1445" t="inlineStr">
        <is>
          <t>YES</t>
        </is>
      </c>
      <c r="K1445" t="inlineStr">
        <is>
          <t>2026-02-27 20:47</t>
        </is>
      </c>
      <c r="L1445" t="inlineStr">
        <is>
          <t>PATCH_IMMEDIATELY</t>
        </is>
      </c>
      <c r="M1445" t="inlineStr">
        <is>
          <t>See CVE details</t>
        </is>
      </c>
      <c r="N1445" t="inlineStr">
        <is>
          <t>P1</t>
        </is>
      </c>
      <c r="O1445" t="inlineStr">
        <is>
          <t>Rapid7 MSF: Fortinet FortiWeb create new local admin | Module type: auxiliary_admin</t>
        </is>
      </c>
      <c r="P1445" t="n">
        <v>0</v>
      </c>
      <c r="Q1445" t="n">
        <v>0</v>
      </c>
      <c r="R1445" t="inlineStr">
        <is>
          <t>T1203:Exploitation for Client Execution | T1190:Exploit Public-Facing Application</t>
        </is>
      </c>
      <c r="S1445" t="n">
        <v>2</v>
      </c>
      <c r="T1445" t="inlineStr">
        <is>
          <t>HIGH (72%)</t>
        </is>
      </c>
      <c r="U1445" t="inlineStr">
        <is>
          <t>WEAPONIZED</t>
        </is>
      </c>
      <c r="V1445" t="inlineStr">
        <is>
          <t>CHECK_VENDOR</t>
        </is>
      </c>
      <c r="W1445" t="inlineStr">
        <is>
          <t>https://www.rapid7.com/db/search/?q=CVE-2025-64446</t>
        </is>
      </c>
      <c r="X1445" t="inlineStr">
        <is>
          <t>NONE</t>
        </is>
      </c>
      <c r="Y1445" t="n">
        <v>0</v>
      </c>
      <c r="Z1445" t="inlineStr"/>
      <c r="AA1445" t="inlineStr">
        <is>
          <t>https://nvd.nist.gov/vuln/detail/CVE-2025-64446</t>
        </is>
      </c>
    </row>
    <row r="1446">
      <c r="A1446" t="inlineStr">
        <is>
          <t>MSF_MODULE</t>
        </is>
      </c>
      <c r="B1446" t="inlineStr">
        <is>
          <t>CVE-2024-5276</t>
        </is>
      </c>
      <c r="C1446" t="inlineStr">
        <is>
          <t>Metasploit module available: Fortra FileCatalyst Workflow SQL Injection (CVE-2024-5276) | Type: auxiliary_admin | CVE-2024-5276</t>
        </is>
      </c>
      <c r="D1446" t="n">
        <v>7.5</v>
      </c>
      <c r="E1446" t="inlineStr">
        <is>
          <t>HIGH</t>
        </is>
      </c>
      <c r="F1446" t="n">
        <v>3</v>
      </c>
      <c r="G1446" t="n">
        <v>3</v>
      </c>
      <c r="H1446" t="inlineStr">
        <is>
          <t>CRITICAL</t>
        </is>
      </c>
      <c r="I1446" t="n">
        <v>16.5</v>
      </c>
      <c r="J1446" t="inlineStr">
        <is>
          <t>NO</t>
        </is>
      </c>
      <c r="K1446" t="inlineStr">
        <is>
          <t>2026-02-27 20:47</t>
        </is>
      </c>
      <c r="L1446" t="inlineStr">
        <is>
          <t>PATCH_IMMEDIATELY</t>
        </is>
      </c>
      <c r="M1446" t="inlineStr">
        <is>
          <t>See CVE details</t>
        </is>
      </c>
      <c r="N1446" t="inlineStr">
        <is>
          <t>P2</t>
        </is>
      </c>
      <c r="O1446" t="inlineStr">
        <is>
          <t>Rapid7 MSF: Fortra FileCatalyst Workflow SQL Injection (CVE-2024-5276) | Module type: auxiliary_admin</t>
        </is>
      </c>
      <c r="P1446" t="n">
        <v>0</v>
      </c>
      <c r="Q1446" t="n">
        <v>0</v>
      </c>
      <c r="R1446" t="inlineStr">
        <is>
          <t>T1203:Exploitation for Client Execution | T1190:Exploit Public-Facing Application</t>
        </is>
      </c>
      <c r="S1446" t="n">
        <v>2</v>
      </c>
      <c r="T1446" t="inlineStr">
        <is>
          <t>HIGH (72%)</t>
        </is>
      </c>
      <c r="U1446" t="inlineStr">
        <is>
          <t>WEAPONIZED</t>
        </is>
      </c>
      <c r="V1446" t="inlineStr">
        <is>
          <t>CHECK_VENDOR</t>
        </is>
      </c>
      <c r="W1446" t="inlineStr">
        <is>
          <t>https://www.rapid7.com/db/search/?q=CVE-2024-5276</t>
        </is>
      </c>
      <c r="X1446" t="inlineStr">
        <is>
          <t>NONE</t>
        </is>
      </c>
      <c r="Y1446" t="n">
        <v>0</v>
      </c>
      <c r="Z1446" t="inlineStr"/>
      <c r="AA1446" t="inlineStr">
        <is>
          <t>https://nvd.nist.gov/vuln/detail/CVE-2024-5276</t>
        </is>
      </c>
    </row>
    <row r="1447">
      <c r="A1447" t="inlineStr">
        <is>
          <t>MSF_MODULE</t>
        </is>
      </c>
      <c r="B1447" t="inlineStr">
        <is>
          <t>CVE-2023-7028</t>
        </is>
      </c>
      <c r="C1447" t="inlineStr">
        <is>
          <t>Metasploit module available: GitLab Password Reset Account Takeover | Type: auxiliary_admin | CVE-2023-7028</t>
        </is>
      </c>
      <c r="D1447" t="n">
        <v>7.5</v>
      </c>
      <c r="E1447" t="inlineStr">
        <is>
          <t>HIGH</t>
        </is>
      </c>
      <c r="F1447" t="n">
        <v>3</v>
      </c>
      <c r="G1447" t="n">
        <v>3</v>
      </c>
      <c r="H1447" t="inlineStr">
        <is>
          <t>CRITICAL</t>
        </is>
      </c>
      <c r="I1447" t="n">
        <v>16.5</v>
      </c>
      <c r="J1447" t="inlineStr">
        <is>
          <t>YES</t>
        </is>
      </c>
      <c r="K1447" t="inlineStr">
        <is>
          <t>2026-02-27 20:47</t>
        </is>
      </c>
      <c r="L1447" t="inlineStr">
        <is>
          <t>PATCH_IMMEDIATELY</t>
        </is>
      </c>
      <c r="M1447" t="inlineStr">
        <is>
          <t>See CVE details</t>
        </is>
      </c>
      <c r="N1447" t="inlineStr">
        <is>
          <t>P1</t>
        </is>
      </c>
      <c r="O1447" t="inlineStr">
        <is>
          <t>Rapid7 MSF: GitLab Password Reset Account Takeover | Module type: auxiliary_admin</t>
        </is>
      </c>
      <c r="P1447" t="n">
        <v>0</v>
      </c>
      <c r="Q1447" t="n">
        <v>0</v>
      </c>
      <c r="R1447" t="inlineStr">
        <is>
          <t>T1203:Exploitation for Client Execution | T1190:Exploit Public-Facing Application</t>
        </is>
      </c>
      <c r="S1447" t="n">
        <v>2</v>
      </c>
      <c r="T1447" t="inlineStr">
        <is>
          <t>HIGH (72%)</t>
        </is>
      </c>
      <c r="U1447" t="inlineStr">
        <is>
          <t>WEAPONIZED</t>
        </is>
      </c>
      <c r="V1447" t="inlineStr">
        <is>
          <t>CHECK_VENDOR</t>
        </is>
      </c>
      <c r="W1447" t="inlineStr">
        <is>
          <t>https://www.rapid7.com/db/search/?q=CVE-2023-7028</t>
        </is>
      </c>
      <c r="X1447" t="inlineStr">
        <is>
          <t>NONE</t>
        </is>
      </c>
      <c r="Y1447" t="n">
        <v>0</v>
      </c>
      <c r="Z1447" t="inlineStr"/>
      <c r="AA1447" t="inlineStr">
        <is>
          <t>https://nvd.nist.gov/vuln/detail/CVE-2023-7028</t>
        </is>
      </c>
    </row>
    <row r="1448">
      <c r="A1448" t="inlineStr">
        <is>
          <t>MSF_MODULE</t>
        </is>
      </c>
      <c r="B1448" t="inlineStr">
        <is>
          <t>CVE-2018-5955</t>
        </is>
      </c>
      <c r="C1448" t="inlineStr">
        <is>
          <t>Metasploit module available: GitStack Unauthenticated REST API Requests | Type: auxiliary_admin | CVE-2018-5955</t>
        </is>
      </c>
      <c r="D1448" t="n">
        <v>7.5</v>
      </c>
      <c r="E1448" t="inlineStr">
        <is>
          <t>HIGH</t>
        </is>
      </c>
      <c r="F1448" t="n">
        <v>3</v>
      </c>
      <c r="G1448" t="n">
        <v>3</v>
      </c>
      <c r="H1448" t="inlineStr">
        <is>
          <t>CRITICAL</t>
        </is>
      </c>
      <c r="I1448" t="n">
        <v>16.5</v>
      </c>
      <c r="J1448" t="inlineStr">
        <is>
          <t>NO</t>
        </is>
      </c>
      <c r="K1448" t="inlineStr">
        <is>
          <t>2026-02-27 20:47</t>
        </is>
      </c>
      <c r="L1448" t="inlineStr">
        <is>
          <t>PATCH_IMMEDIATELY</t>
        </is>
      </c>
      <c r="M1448" t="inlineStr">
        <is>
          <t>See CVE details</t>
        </is>
      </c>
      <c r="N1448" t="inlineStr">
        <is>
          <t>P2</t>
        </is>
      </c>
      <c r="O1448" t="inlineStr">
        <is>
          <t>Rapid7 MSF: GitStack Unauthenticated REST API Requests | Module type: auxiliary_admin</t>
        </is>
      </c>
      <c r="P1448" t="n">
        <v>0</v>
      </c>
      <c r="Q1448" t="n">
        <v>0</v>
      </c>
      <c r="R1448" t="inlineStr">
        <is>
          <t>T1203:Exploitation for Client Execution | T1190:Exploit Public-Facing Application</t>
        </is>
      </c>
      <c r="S1448" t="n">
        <v>2</v>
      </c>
      <c r="T1448" t="inlineStr">
        <is>
          <t>HIGH (72%)</t>
        </is>
      </c>
      <c r="U1448" t="inlineStr">
        <is>
          <t>WEAPONIZED</t>
        </is>
      </c>
      <c r="V1448" t="inlineStr">
        <is>
          <t>CHECK_VENDOR</t>
        </is>
      </c>
      <c r="W1448" t="inlineStr">
        <is>
          <t>https://www.rapid7.com/db/search/?q=CVE-2018-5955</t>
        </is>
      </c>
      <c r="X1448" t="inlineStr">
        <is>
          <t>NONE</t>
        </is>
      </c>
      <c r="Y1448" t="n">
        <v>0</v>
      </c>
      <c r="Z1448" t="inlineStr"/>
      <c r="AA1448" t="inlineStr">
        <is>
          <t>https://nvd.nist.gov/vuln/detail/CVE-2018-5955</t>
        </is>
      </c>
    </row>
    <row r="1449">
      <c r="A1449" t="inlineStr">
        <is>
          <t>MSF_MODULE</t>
        </is>
      </c>
      <c r="B1449" t="inlineStr">
        <is>
          <t>CVE-2018-15727</t>
        </is>
      </c>
      <c r="C1449" t="inlineStr">
        <is>
          <t>Metasploit module available: Grafana 2.0 through 5.2.2 authentication bypass for LDAP and OAuth | Type: auxiliary_admin | CVE-2018-15727</t>
        </is>
      </c>
      <c r="D1449" t="n">
        <v>7.5</v>
      </c>
      <c r="E1449" t="inlineStr">
        <is>
          <t>HIGH</t>
        </is>
      </c>
      <c r="F1449" t="n">
        <v>3</v>
      </c>
      <c r="G1449" t="n">
        <v>3</v>
      </c>
      <c r="H1449" t="inlineStr">
        <is>
          <t>CRITICAL</t>
        </is>
      </c>
      <c r="I1449" t="n">
        <v>16.5</v>
      </c>
      <c r="J1449" t="inlineStr">
        <is>
          <t>NO</t>
        </is>
      </c>
      <c r="K1449" t="inlineStr">
        <is>
          <t>2026-02-27 20:47</t>
        </is>
      </c>
      <c r="L1449" t="inlineStr">
        <is>
          <t>PATCH_IMMEDIATELY</t>
        </is>
      </c>
      <c r="M1449" t="inlineStr">
        <is>
          <t>See CVE details</t>
        </is>
      </c>
      <c r="N1449" t="inlineStr">
        <is>
          <t>P2</t>
        </is>
      </c>
      <c r="O1449" t="inlineStr">
        <is>
          <t>Rapid7 MSF: Grafana 2.0 through 5.2.2 authentication bypass for LDAP and OAuth | Module type: auxiliary_admin</t>
        </is>
      </c>
      <c r="P1449" t="n">
        <v>0</v>
      </c>
      <c r="Q1449" t="n">
        <v>0</v>
      </c>
      <c r="R1449" t="inlineStr">
        <is>
          <t>T1203:Exploitation for Client Execution | T1190:Exploit Public-Facing Application</t>
        </is>
      </c>
      <c r="S1449" t="n">
        <v>2</v>
      </c>
      <c r="T1449" t="inlineStr">
        <is>
          <t>HIGH (72%)</t>
        </is>
      </c>
      <c r="U1449" t="inlineStr">
        <is>
          <t>WEAPONIZED</t>
        </is>
      </c>
      <c r="V1449" t="inlineStr">
        <is>
          <t>CHECK_VENDOR</t>
        </is>
      </c>
      <c r="W1449" t="inlineStr">
        <is>
          <t>https://www.rapid7.com/db/search/?q=CVE-2018-15727</t>
        </is>
      </c>
      <c r="X1449" t="inlineStr">
        <is>
          <t>NONE</t>
        </is>
      </c>
      <c r="Y1449" t="n">
        <v>0</v>
      </c>
      <c r="Z1449" t="inlineStr"/>
      <c r="AA1449" t="inlineStr">
        <is>
          <t>https://nvd.nist.gov/vuln/detail/CVE-2018-15727</t>
        </is>
      </c>
    </row>
    <row r="1450">
      <c r="A1450" t="inlineStr">
        <is>
          <t>MSF_MODULE</t>
        </is>
      </c>
      <c r="B1450" t="inlineStr">
        <is>
          <t>CVE-2017-7921</t>
        </is>
      </c>
      <c r="C1450" t="inlineStr">
        <is>
          <t>Metasploit module available: Hikvision IP Camera Unauthenticated Password Change Via Improper Authentication  | Type: auxiliary_admin | CVE-2017-7921</t>
        </is>
      </c>
      <c r="D1450" t="n">
        <v>7.5</v>
      </c>
      <c r="E1450" t="inlineStr">
        <is>
          <t>HIGH</t>
        </is>
      </c>
      <c r="F1450" t="n">
        <v>3</v>
      </c>
      <c r="G1450" t="n">
        <v>3</v>
      </c>
      <c r="H1450" t="inlineStr">
        <is>
          <t>CRITICAL</t>
        </is>
      </c>
      <c r="I1450" t="n">
        <v>16.5</v>
      </c>
      <c r="J1450" t="inlineStr">
        <is>
          <t>NO</t>
        </is>
      </c>
      <c r="K1450" t="inlineStr">
        <is>
          <t>2026-02-27 20:47</t>
        </is>
      </c>
      <c r="L1450" t="inlineStr">
        <is>
          <t>PATCH_IMMEDIATELY</t>
        </is>
      </c>
      <c r="M1450" t="inlineStr">
        <is>
          <t>See CVE details</t>
        </is>
      </c>
      <c r="N1450" t="inlineStr">
        <is>
          <t>P2</t>
        </is>
      </c>
      <c r="O1450" t="inlineStr">
        <is>
          <t>Rapid7 MSF: Hikvision IP Camera Unauthenticated Password Change Via Improper Authentication  | Module type: auxiliary_admin</t>
        </is>
      </c>
      <c r="P1450" t="n">
        <v>0</v>
      </c>
      <c r="Q1450" t="n">
        <v>0</v>
      </c>
      <c r="R1450" t="inlineStr">
        <is>
          <t>T1203:Exploitation for Client Execution | T1190:Exploit Public-Facing Application</t>
        </is>
      </c>
      <c r="S1450" t="n">
        <v>2</v>
      </c>
      <c r="T1450" t="inlineStr">
        <is>
          <t>HIGH (72%)</t>
        </is>
      </c>
      <c r="U1450" t="inlineStr">
        <is>
          <t>WEAPONIZED</t>
        </is>
      </c>
      <c r="V1450" t="inlineStr">
        <is>
          <t>CHECK_VENDOR</t>
        </is>
      </c>
      <c r="W1450" t="inlineStr">
        <is>
          <t>https://www.rapid7.com/db/search/?q=CVE-2017-7921</t>
        </is>
      </c>
      <c r="X1450" t="inlineStr">
        <is>
          <t>NONE</t>
        </is>
      </c>
      <c r="Y1450" t="n">
        <v>0</v>
      </c>
      <c r="Z1450" t="inlineStr"/>
      <c r="AA1450" t="inlineStr">
        <is>
          <t>https://nvd.nist.gov/vuln/detail/CVE-2017-7921</t>
        </is>
      </c>
    </row>
    <row r="1451">
      <c r="A1451" t="inlineStr">
        <is>
          <t>MSF_MODULE</t>
        </is>
      </c>
      <c r="B1451" t="inlineStr">
        <is>
          <t>CVE-2020-4427</t>
        </is>
      </c>
      <c r="C1451" t="inlineStr">
        <is>
          <t>Metasploit module available: IBM Data Risk Manager Arbitrary File Download | Type: auxiliary_admin | CVE-2020-4427</t>
        </is>
      </c>
      <c r="D1451" t="n">
        <v>7.5</v>
      </c>
      <c r="E1451" t="inlineStr">
        <is>
          <t>HIGH</t>
        </is>
      </c>
      <c r="F1451" t="n">
        <v>3</v>
      </c>
      <c r="G1451" t="n">
        <v>3</v>
      </c>
      <c r="H1451" t="inlineStr">
        <is>
          <t>CRITICAL</t>
        </is>
      </c>
      <c r="I1451" t="n">
        <v>16.5</v>
      </c>
      <c r="J1451" t="inlineStr">
        <is>
          <t>YES</t>
        </is>
      </c>
      <c r="K1451" t="inlineStr">
        <is>
          <t>2026-02-27 20:47</t>
        </is>
      </c>
      <c r="L1451" t="inlineStr">
        <is>
          <t>PATCH_IMMEDIATELY</t>
        </is>
      </c>
      <c r="M1451" t="inlineStr">
        <is>
          <t>See CVE details</t>
        </is>
      </c>
      <c r="N1451" t="inlineStr">
        <is>
          <t>P1</t>
        </is>
      </c>
      <c r="O1451" t="inlineStr">
        <is>
          <t>Rapid7 MSF: IBM Data Risk Manager Arbitrary File Download | Module type: auxiliary_admin</t>
        </is>
      </c>
      <c r="P1451" t="n">
        <v>0</v>
      </c>
      <c r="Q1451" t="n">
        <v>0</v>
      </c>
      <c r="R1451" t="inlineStr">
        <is>
          <t>T1203:Exploitation for Client Execution | T1190:Exploit Public-Facing Application</t>
        </is>
      </c>
      <c r="S1451" t="n">
        <v>2</v>
      </c>
      <c r="T1451" t="inlineStr">
        <is>
          <t>HIGH (72%)</t>
        </is>
      </c>
      <c r="U1451" t="inlineStr">
        <is>
          <t>WEAPONIZED</t>
        </is>
      </c>
      <c r="V1451" t="inlineStr">
        <is>
          <t>CHECK_VENDOR</t>
        </is>
      </c>
      <c r="W1451" t="inlineStr">
        <is>
          <t>https://www.rapid7.com/db/search/?q=CVE-2020-4427</t>
        </is>
      </c>
      <c r="X1451" t="inlineStr">
        <is>
          <t>NONE</t>
        </is>
      </c>
      <c r="Y1451" t="n">
        <v>0</v>
      </c>
      <c r="Z1451" t="inlineStr"/>
      <c r="AA1451" t="inlineStr">
        <is>
          <t>https://nvd.nist.gov/vuln/detail/CVE-2020-4427</t>
        </is>
      </c>
    </row>
    <row r="1452">
      <c r="A1452" t="inlineStr">
        <is>
          <t>MSF_MODULE</t>
        </is>
      </c>
      <c r="B1452" t="inlineStr">
        <is>
          <t>CVE-2020-4429</t>
        </is>
      </c>
      <c r="C1452" t="inlineStr">
        <is>
          <t>Metasploit module available: IBM Data Risk Manager Arbitrary File Download | Type: auxiliary_admin | CVE-2020-4429</t>
        </is>
      </c>
      <c r="D1452" t="n">
        <v>7.5</v>
      </c>
      <c r="E1452" t="inlineStr">
        <is>
          <t>HIGH</t>
        </is>
      </c>
      <c r="F1452" t="n">
        <v>3</v>
      </c>
      <c r="G1452" t="n">
        <v>3</v>
      </c>
      <c r="H1452" t="inlineStr">
        <is>
          <t>CRITICAL</t>
        </is>
      </c>
      <c r="I1452" t="n">
        <v>16.5</v>
      </c>
      <c r="J1452" t="inlineStr">
        <is>
          <t>NO</t>
        </is>
      </c>
      <c r="K1452" t="inlineStr">
        <is>
          <t>2026-02-27 20:47</t>
        </is>
      </c>
      <c r="L1452" t="inlineStr">
        <is>
          <t>PATCH_IMMEDIATELY</t>
        </is>
      </c>
      <c r="M1452" t="inlineStr">
        <is>
          <t>See CVE details</t>
        </is>
      </c>
      <c r="N1452" t="inlineStr">
        <is>
          <t>P2</t>
        </is>
      </c>
      <c r="O1452" t="inlineStr">
        <is>
          <t>Rapid7 MSF: IBM Data Risk Manager Arbitrary File Download | Module type: auxiliary_admin</t>
        </is>
      </c>
      <c r="P1452" t="n">
        <v>0</v>
      </c>
      <c r="Q1452" t="n">
        <v>0</v>
      </c>
      <c r="R1452" t="inlineStr">
        <is>
          <t>T1203:Exploitation for Client Execution | T1190:Exploit Public-Facing Application</t>
        </is>
      </c>
      <c r="S1452" t="n">
        <v>2</v>
      </c>
      <c r="T1452" t="inlineStr">
        <is>
          <t>HIGH (72%)</t>
        </is>
      </c>
      <c r="U1452" t="inlineStr">
        <is>
          <t>WEAPONIZED</t>
        </is>
      </c>
      <c r="V1452" t="inlineStr">
        <is>
          <t>CHECK_VENDOR</t>
        </is>
      </c>
      <c r="W1452" t="inlineStr">
        <is>
          <t>https://www.rapid7.com/db/search/?q=CVE-2020-4429</t>
        </is>
      </c>
      <c r="X1452" t="inlineStr">
        <is>
          <t>NONE</t>
        </is>
      </c>
      <c r="Y1452" t="n">
        <v>0</v>
      </c>
      <c r="Z1452" t="inlineStr"/>
      <c r="AA1452" t="inlineStr">
        <is>
          <t>https://nvd.nist.gov/vuln/detail/CVE-2020-4429</t>
        </is>
      </c>
    </row>
    <row r="1453">
      <c r="A1453" t="inlineStr">
        <is>
          <t>MSF_MODULE</t>
        </is>
      </c>
      <c r="B1453" t="inlineStr">
        <is>
          <t>CVE-2023-6329</t>
        </is>
      </c>
      <c r="C1453" t="inlineStr">
        <is>
          <t>Metasploit module available: Control iD iDSecure Authentication Bypass (CVE-2023-6329) | Type: auxiliary_admin | CVE-2023-6329</t>
        </is>
      </c>
      <c r="D1453" t="n">
        <v>7.5</v>
      </c>
      <c r="E1453" t="inlineStr">
        <is>
          <t>HIGH</t>
        </is>
      </c>
      <c r="F1453" t="n">
        <v>3</v>
      </c>
      <c r="G1453" t="n">
        <v>3</v>
      </c>
      <c r="H1453" t="inlineStr">
        <is>
          <t>CRITICAL</t>
        </is>
      </c>
      <c r="I1453" t="n">
        <v>16.5</v>
      </c>
      <c r="J1453" t="inlineStr">
        <is>
          <t>NO</t>
        </is>
      </c>
      <c r="K1453" t="inlineStr">
        <is>
          <t>2026-02-27 20:47</t>
        </is>
      </c>
      <c r="L1453" t="inlineStr">
        <is>
          <t>PATCH_IMMEDIATELY</t>
        </is>
      </c>
      <c r="M1453" t="inlineStr">
        <is>
          <t>See CVE details</t>
        </is>
      </c>
      <c r="N1453" t="inlineStr">
        <is>
          <t>P2</t>
        </is>
      </c>
      <c r="O1453" t="inlineStr">
        <is>
          <t>Rapid7 MSF: Control iD iDSecure Authentication Bypass (CVE-2023-6329) | Module type: auxiliary_admin</t>
        </is>
      </c>
      <c r="P1453" t="n">
        <v>0</v>
      </c>
      <c r="Q1453" t="n">
        <v>0</v>
      </c>
      <c r="R1453" t="inlineStr">
        <is>
          <t>T1203:Exploitation for Client Execution | T1190:Exploit Public-Facing Application</t>
        </is>
      </c>
      <c r="S1453" t="n">
        <v>2</v>
      </c>
      <c r="T1453" t="inlineStr">
        <is>
          <t>HIGH (72%)</t>
        </is>
      </c>
      <c r="U1453" t="inlineStr">
        <is>
          <t>WEAPONIZED</t>
        </is>
      </c>
      <c r="V1453" t="inlineStr">
        <is>
          <t>CHECK_VENDOR</t>
        </is>
      </c>
      <c r="W1453" t="inlineStr">
        <is>
          <t>https://www.rapid7.com/db/search/?q=CVE-2023-6329</t>
        </is>
      </c>
      <c r="X1453" t="inlineStr">
        <is>
          <t>NONE</t>
        </is>
      </c>
      <c r="Y1453" t="n">
        <v>0</v>
      </c>
      <c r="Z1453" t="inlineStr"/>
      <c r="AA1453" t="inlineStr">
        <is>
          <t>https://nvd.nist.gov/vuln/detail/CVE-2023-6329</t>
        </is>
      </c>
    </row>
    <row r="1454">
      <c r="A1454" t="inlineStr">
        <is>
          <t>MSF_MODULE</t>
        </is>
      </c>
      <c r="B1454" t="inlineStr">
        <is>
          <t>CVE-2010-2731</t>
        </is>
      </c>
      <c r="C1454" t="inlineStr">
        <is>
          <t>Metasploit module available: MS10-065 Microsoft IIS 5 NTFS Stream Authentication Bypass | Type: auxiliary_admin | CVE-2010-2731</t>
        </is>
      </c>
      <c r="D1454" t="n">
        <v>7.5</v>
      </c>
      <c r="E1454" t="inlineStr">
        <is>
          <t>HIGH</t>
        </is>
      </c>
      <c r="F1454" t="n">
        <v>3</v>
      </c>
      <c r="G1454" t="n">
        <v>3</v>
      </c>
      <c r="H1454" t="inlineStr">
        <is>
          <t>CRITICAL</t>
        </is>
      </c>
      <c r="I1454" t="n">
        <v>16.5</v>
      </c>
      <c r="J1454" t="inlineStr">
        <is>
          <t>NO</t>
        </is>
      </c>
      <c r="K1454" t="inlineStr">
        <is>
          <t>2026-02-27 20:47</t>
        </is>
      </c>
      <c r="L1454" t="inlineStr">
        <is>
          <t>PATCH_IMMEDIATELY</t>
        </is>
      </c>
      <c r="M1454" t="inlineStr">
        <is>
          <t>See CVE details</t>
        </is>
      </c>
      <c r="N1454" t="inlineStr">
        <is>
          <t>P2</t>
        </is>
      </c>
      <c r="O1454" t="inlineStr">
        <is>
          <t>Rapid7 MSF: MS10-065 Microsoft IIS 5 NTFS Stream Authentication Bypass | Module type: auxiliary_admin</t>
        </is>
      </c>
      <c r="P1454" t="n">
        <v>0</v>
      </c>
      <c r="Q1454" t="n">
        <v>0</v>
      </c>
      <c r="R1454" t="inlineStr">
        <is>
          <t>T1203:Exploitation for Client Execution | T1190:Exploit Public-Facing Application</t>
        </is>
      </c>
      <c r="S1454" t="n">
        <v>2</v>
      </c>
      <c r="T1454" t="inlineStr">
        <is>
          <t>HIGH (72%)</t>
        </is>
      </c>
      <c r="U1454" t="inlineStr">
        <is>
          <t>WEAPONIZED</t>
        </is>
      </c>
      <c r="V1454" t="inlineStr">
        <is>
          <t>CHECK_VENDOR</t>
        </is>
      </c>
      <c r="W1454" t="inlineStr">
        <is>
          <t>https://www.rapid7.com/db/search/?q=CVE-2010-2731</t>
        </is>
      </c>
      <c r="X1454" t="inlineStr">
        <is>
          <t>NONE</t>
        </is>
      </c>
      <c r="Y1454" t="n">
        <v>0</v>
      </c>
      <c r="Z1454" t="inlineStr"/>
      <c r="AA1454" t="inlineStr">
        <is>
          <t>https://nvd.nist.gov/vuln/detail/CVE-2010-2731</t>
        </is>
      </c>
    </row>
    <row r="1455">
      <c r="A1455" t="inlineStr">
        <is>
          <t>MSF_MODULE</t>
        </is>
      </c>
      <c r="B1455" t="inlineStr">
        <is>
          <t>CVE-2007-4915</t>
        </is>
      </c>
      <c r="C1455" t="inlineStr">
        <is>
          <t>Metasploit module available: Intersil (Boa) HTTPd Basic Authentication Password Reset | Type: auxiliary_admin | CVE-2007-4915</t>
        </is>
      </c>
      <c r="D1455" t="n">
        <v>7.5</v>
      </c>
      <c r="E1455" t="inlineStr">
        <is>
          <t>HIGH</t>
        </is>
      </c>
      <c r="F1455" t="n">
        <v>3</v>
      </c>
      <c r="G1455" t="n">
        <v>3</v>
      </c>
      <c r="H1455" t="inlineStr">
        <is>
          <t>CRITICAL</t>
        </is>
      </c>
      <c r="I1455" t="n">
        <v>16.5</v>
      </c>
      <c r="J1455" t="inlineStr">
        <is>
          <t>NO</t>
        </is>
      </c>
      <c r="K1455" t="inlineStr">
        <is>
          <t>2026-02-27 20:47</t>
        </is>
      </c>
      <c r="L1455" t="inlineStr">
        <is>
          <t>PATCH_IMMEDIATELY</t>
        </is>
      </c>
      <c r="M1455" t="inlineStr">
        <is>
          <t>See CVE details</t>
        </is>
      </c>
      <c r="N1455" t="inlineStr">
        <is>
          <t>P2</t>
        </is>
      </c>
      <c r="O1455" t="inlineStr">
        <is>
          <t>Rapid7 MSF: Intersil (Boa) HTTPd Basic Authentication Password Reset | Module type: auxiliary_admin</t>
        </is>
      </c>
      <c r="P1455" t="n">
        <v>0</v>
      </c>
      <c r="Q1455" t="n">
        <v>0</v>
      </c>
      <c r="R1455" t="inlineStr">
        <is>
          <t>T1203:Exploitation for Client Execution | T1190:Exploit Public-Facing Application</t>
        </is>
      </c>
      <c r="S1455" t="n">
        <v>2</v>
      </c>
      <c r="T1455" t="inlineStr">
        <is>
          <t>HIGH (72%)</t>
        </is>
      </c>
      <c r="U1455" t="inlineStr">
        <is>
          <t>WEAPONIZED</t>
        </is>
      </c>
      <c r="V1455" t="inlineStr">
        <is>
          <t>CHECK_VENDOR</t>
        </is>
      </c>
      <c r="W1455" t="inlineStr">
        <is>
          <t>https://www.rapid7.com/db/search/?q=CVE-2007-4915</t>
        </is>
      </c>
      <c r="X1455" t="inlineStr">
        <is>
          <t>NONE</t>
        </is>
      </c>
      <c r="Y1455" t="n">
        <v>0</v>
      </c>
      <c r="Z1455" t="inlineStr"/>
      <c r="AA1455" t="inlineStr">
        <is>
          <t>https://nvd.nist.gov/vuln/detail/CVE-2007-4915</t>
        </is>
      </c>
    </row>
    <row r="1456">
      <c r="A1456" t="inlineStr">
        <is>
          <t>MSF_MODULE</t>
        </is>
      </c>
      <c r="B1456" t="inlineStr">
        <is>
          <t>CVE-2009-2367</t>
        </is>
      </c>
      <c r="C1456" t="inlineStr">
        <is>
          <t>Metasploit module available: Iomega StorCenter Pro NAS Web Authentication Bypass | Type: auxiliary_admin | CVE-2009-2367</t>
        </is>
      </c>
      <c r="D1456" t="n">
        <v>7.5</v>
      </c>
      <c r="E1456" t="inlineStr">
        <is>
          <t>HIGH</t>
        </is>
      </c>
      <c r="F1456" t="n">
        <v>3</v>
      </c>
      <c r="G1456" t="n">
        <v>3</v>
      </c>
      <c r="H1456" t="inlineStr">
        <is>
          <t>CRITICAL</t>
        </is>
      </c>
      <c r="I1456" t="n">
        <v>16.5</v>
      </c>
      <c r="J1456" t="inlineStr">
        <is>
          <t>NO</t>
        </is>
      </c>
      <c r="K1456" t="inlineStr">
        <is>
          <t>2026-02-27 20:47</t>
        </is>
      </c>
      <c r="L1456" t="inlineStr">
        <is>
          <t>PATCH_IMMEDIATELY</t>
        </is>
      </c>
      <c r="M1456" t="inlineStr">
        <is>
          <t>See CVE details</t>
        </is>
      </c>
      <c r="N1456" t="inlineStr">
        <is>
          <t>P2</t>
        </is>
      </c>
      <c r="O1456" t="inlineStr">
        <is>
          <t>Rapid7 MSF: Iomega StorCenter Pro NAS Web Authentication Bypass | Module type: auxiliary_admin</t>
        </is>
      </c>
      <c r="P1456" t="n">
        <v>0</v>
      </c>
      <c r="Q1456" t="n">
        <v>0</v>
      </c>
      <c r="R1456" t="inlineStr">
        <is>
          <t>T1203:Exploitation for Client Execution | T1190:Exploit Public-Facing Application</t>
        </is>
      </c>
      <c r="S1456" t="n">
        <v>2</v>
      </c>
      <c r="T1456" t="inlineStr">
        <is>
          <t>HIGH (72%)</t>
        </is>
      </c>
      <c r="U1456" t="inlineStr">
        <is>
          <t>WEAPONIZED</t>
        </is>
      </c>
      <c r="V1456" t="inlineStr">
        <is>
          <t>CHECK_VENDOR</t>
        </is>
      </c>
      <c r="W1456" t="inlineStr">
        <is>
          <t>https://www.rapid7.com/db/search/?q=CVE-2009-2367</t>
        </is>
      </c>
      <c r="X1456" t="inlineStr">
        <is>
          <t>NONE</t>
        </is>
      </c>
      <c r="Y1456" t="n">
        <v>0</v>
      </c>
      <c r="Z1456" t="inlineStr"/>
      <c r="AA1456" t="inlineStr">
        <is>
          <t>https://nvd.nist.gov/vuln/detail/CVE-2009-2367</t>
        </is>
      </c>
    </row>
    <row r="1457">
      <c r="A1457" t="inlineStr">
        <is>
          <t>MSF_MODULE</t>
        </is>
      </c>
      <c r="B1457" t="inlineStr">
        <is>
          <t>CVE-2024-7593</t>
        </is>
      </c>
      <c r="C1457" t="inlineStr">
        <is>
          <t>Metasploit module available: Ivanti Virtual Traffic Manager Authentication Bypass (CVE-2024-7593) | Type: auxiliary_admin | CVE-2024-7593</t>
        </is>
      </c>
      <c r="D1457" t="n">
        <v>7.5</v>
      </c>
      <c r="E1457" t="inlineStr">
        <is>
          <t>HIGH</t>
        </is>
      </c>
      <c r="F1457" t="n">
        <v>3</v>
      </c>
      <c r="G1457" t="n">
        <v>3</v>
      </c>
      <c r="H1457" t="inlineStr">
        <is>
          <t>CRITICAL</t>
        </is>
      </c>
      <c r="I1457" t="n">
        <v>16.5</v>
      </c>
      <c r="J1457" t="inlineStr">
        <is>
          <t>YES</t>
        </is>
      </c>
      <c r="K1457" t="inlineStr">
        <is>
          <t>2026-02-27 20:47</t>
        </is>
      </c>
      <c r="L1457" t="inlineStr">
        <is>
          <t>PATCH_IMMEDIATELY</t>
        </is>
      </c>
      <c r="M1457" t="inlineStr">
        <is>
          <t>See CVE details</t>
        </is>
      </c>
      <c r="N1457" t="inlineStr">
        <is>
          <t>P1</t>
        </is>
      </c>
      <c r="O1457" t="inlineStr">
        <is>
          <t>Rapid7 MSF: Ivanti Virtual Traffic Manager Authentication Bypass (CVE-2024-7593) | Module type: auxiliary_admin</t>
        </is>
      </c>
      <c r="P1457" t="n">
        <v>0</v>
      </c>
      <c r="Q1457" t="n">
        <v>0</v>
      </c>
      <c r="R1457" t="inlineStr">
        <is>
          <t>T1203:Exploitation for Client Execution | T1190:Exploit Public-Facing Application</t>
        </is>
      </c>
      <c r="S1457" t="n">
        <v>2</v>
      </c>
      <c r="T1457" t="inlineStr">
        <is>
          <t>HIGH (72%)</t>
        </is>
      </c>
      <c r="U1457" t="inlineStr">
        <is>
          <t>WEAPONIZED</t>
        </is>
      </c>
      <c r="V1457" t="inlineStr">
        <is>
          <t>CHECK_VENDOR</t>
        </is>
      </c>
      <c r="W1457" t="inlineStr">
        <is>
          <t>https://www.rapid7.com/db/search/?q=CVE-2024-7593</t>
        </is>
      </c>
      <c r="X1457" t="inlineStr">
        <is>
          <t>NONE</t>
        </is>
      </c>
      <c r="Y1457" t="n">
        <v>0</v>
      </c>
      <c r="Z1457" t="inlineStr"/>
      <c r="AA1457" t="inlineStr">
        <is>
          <t>https://nvd.nist.gov/vuln/detail/CVE-2024-7593</t>
        </is>
      </c>
    </row>
    <row r="1458">
      <c r="A1458" t="inlineStr">
        <is>
          <t>MSF_MODULE</t>
        </is>
      </c>
      <c r="B1458" t="inlineStr">
        <is>
          <t>CVE-2010-0738</t>
        </is>
      </c>
      <c r="C1458" t="inlineStr">
        <is>
          <t>Metasploit module available: JBoss JMX Console Beanshell Deployer WAR Upload and Deployment | Type: auxiliary_admin | CVE-2010-0738</t>
        </is>
      </c>
      <c r="D1458" t="n">
        <v>7.5</v>
      </c>
      <c r="E1458" t="inlineStr">
        <is>
          <t>HIGH</t>
        </is>
      </c>
      <c r="F1458" t="n">
        <v>3</v>
      </c>
      <c r="G1458" t="n">
        <v>3</v>
      </c>
      <c r="H1458" t="inlineStr">
        <is>
          <t>CRITICAL</t>
        </is>
      </c>
      <c r="I1458" t="n">
        <v>16.5</v>
      </c>
      <c r="J1458" t="inlineStr">
        <is>
          <t>YES</t>
        </is>
      </c>
      <c r="K1458" t="inlineStr">
        <is>
          <t>2026-02-27 20:47</t>
        </is>
      </c>
      <c r="L1458" t="inlineStr">
        <is>
          <t>PATCH_IMMEDIATELY</t>
        </is>
      </c>
      <c r="M1458" t="inlineStr">
        <is>
          <t>See CVE details</t>
        </is>
      </c>
      <c r="N1458" t="inlineStr">
        <is>
          <t>P1</t>
        </is>
      </c>
      <c r="O1458" t="inlineStr">
        <is>
          <t>Rapid7 MSF: JBoss JMX Console Beanshell Deployer WAR Upload and Deployment | Module type: auxiliary_admin</t>
        </is>
      </c>
      <c r="P1458" t="n">
        <v>0.9085</v>
      </c>
      <c r="Q1458" t="n">
        <v>0.9962</v>
      </c>
      <c r="R1458" t="inlineStr">
        <is>
          <t>T1203:Exploitation for Client Execution | T1190:Exploit Public-Facing Application</t>
        </is>
      </c>
      <c r="S1458" t="n">
        <v>2</v>
      </c>
      <c r="T1458" t="inlineStr">
        <is>
          <t>HIGH (72%)</t>
        </is>
      </c>
      <c r="U1458" t="inlineStr">
        <is>
          <t>WEAPONIZED</t>
        </is>
      </c>
      <c r="V1458" t="inlineStr">
        <is>
          <t>CHECK_VENDOR</t>
        </is>
      </c>
      <c r="W1458" t="inlineStr">
        <is>
          <t>https://www.rapid7.com/db/search/?q=CVE-2010-0738</t>
        </is>
      </c>
      <c r="X1458" t="inlineStr">
        <is>
          <t>NONE</t>
        </is>
      </c>
      <c r="Y1458" t="n">
        <v>0</v>
      </c>
      <c r="Z1458" t="inlineStr"/>
      <c r="AA1458" t="inlineStr">
        <is>
          <t>https://nvd.nist.gov/vuln/detail/CVE-2010-0738</t>
        </is>
      </c>
    </row>
    <row r="1459">
      <c r="A1459" t="inlineStr">
        <is>
          <t>MSF_MODULE</t>
        </is>
      </c>
      <c r="B1459" t="inlineStr">
        <is>
          <t>CVE-2010-1871</t>
        </is>
      </c>
      <c r="C1459" t="inlineStr">
        <is>
          <t>Metasploit module available: JBoss Seam 2 Remote Command Execution | Type: auxiliary_admin | CVE-2010-1871</t>
        </is>
      </c>
      <c r="D1459" t="n">
        <v>7.5</v>
      </c>
      <c r="E1459" t="inlineStr">
        <is>
          <t>HIGH</t>
        </is>
      </c>
      <c r="F1459" t="n">
        <v>3</v>
      </c>
      <c r="G1459" t="n">
        <v>3</v>
      </c>
      <c r="H1459" t="inlineStr">
        <is>
          <t>CRITICAL</t>
        </is>
      </c>
      <c r="I1459" t="n">
        <v>16.5</v>
      </c>
      <c r="J1459" t="inlineStr">
        <is>
          <t>YES</t>
        </is>
      </c>
      <c r="K1459" t="inlineStr">
        <is>
          <t>2026-02-27 20:47</t>
        </is>
      </c>
      <c r="L1459" t="inlineStr">
        <is>
          <t>PATCH_IMMEDIATELY</t>
        </is>
      </c>
      <c r="M1459" t="inlineStr">
        <is>
          <t>See CVE details</t>
        </is>
      </c>
      <c r="N1459" t="inlineStr">
        <is>
          <t>P1</t>
        </is>
      </c>
      <c r="O1459" t="inlineStr">
        <is>
          <t>Rapid7 MSF: JBoss Seam 2 Remote Command Execution | Module type: auxiliary_admin</t>
        </is>
      </c>
      <c r="P1459" t="n">
        <v>0.9379</v>
      </c>
      <c r="Q1459" t="n">
        <v>0.9985000000000001</v>
      </c>
      <c r="R1459" t="inlineStr">
        <is>
          <t>T1203:Exploitation for Client Execution | T1190:Exploit Public-Facing Application</t>
        </is>
      </c>
      <c r="S1459" t="n">
        <v>2</v>
      </c>
      <c r="T1459" t="inlineStr">
        <is>
          <t>HIGH (72%)</t>
        </is>
      </c>
      <c r="U1459" t="inlineStr">
        <is>
          <t>WEAPONIZED</t>
        </is>
      </c>
      <c r="V1459" t="inlineStr">
        <is>
          <t>CHECK_VENDOR</t>
        </is>
      </c>
      <c r="W1459" t="inlineStr">
        <is>
          <t>https://www.rapid7.com/db/search/?q=CVE-2010-1871</t>
        </is>
      </c>
      <c r="X1459" t="inlineStr">
        <is>
          <t>NONE</t>
        </is>
      </c>
      <c r="Y1459" t="n">
        <v>0</v>
      </c>
      <c r="Z1459" t="inlineStr"/>
      <c r="AA1459" t="inlineStr">
        <is>
          <t>https://nvd.nist.gov/vuln/detail/CVE-2010-1871</t>
        </is>
      </c>
    </row>
    <row r="1460">
      <c r="A1460" t="inlineStr">
        <is>
          <t>MSF_MODULE</t>
        </is>
      </c>
      <c r="B1460" t="inlineStr">
        <is>
          <t>CVE-2016-8869</t>
        </is>
      </c>
      <c r="C1460" t="inlineStr">
        <is>
          <t>Metasploit module available: Joomla Account Creation and Privilege Escalation | Type: auxiliary_admin | CVE-2016-8869</t>
        </is>
      </c>
      <c r="D1460" t="n">
        <v>7.5</v>
      </c>
      <c r="E1460" t="inlineStr">
        <is>
          <t>HIGH</t>
        </is>
      </c>
      <c r="F1460" t="n">
        <v>3</v>
      </c>
      <c r="G1460" t="n">
        <v>3</v>
      </c>
      <c r="H1460" t="inlineStr">
        <is>
          <t>CRITICAL</t>
        </is>
      </c>
      <c r="I1460" t="n">
        <v>16.5</v>
      </c>
      <c r="J1460" t="inlineStr">
        <is>
          <t>NO</t>
        </is>
      </c>
      <c r="K1460" t="inlineStr">
        <is>
          <t>2026-02-27 20:47</t>
        </is>
      </c>
      <c r="L1460" t="inlineStr">
        <is>
          <t>PATCH_IMMEDIATELY</t>
        </is>
      </c>
      <c r="M1460" t="inlineStr">
        <is>
          <t>See CVE details</t>
        </is>
      </c>
      <c r="N1460" t="inlineStr">
        <is>
          <t>P2</t>
        </is>
      </c>
      <c r="O1460" t="inlineStr">
        <is>
          <t>Rapid7 MSF: Joomla Account Creation and Privilege Escalation | Module type: auxiliary_admin</t>
        </is>
      </c>
      <c r="P1460" t="n">
        <v>0</v>
      </c>
      <c r="Q1460" t="n">
        <v>0</v>
      </c>
      <c r="R1460" t="inlineStr">
        <is>
          <t>T1203:Exploitation for Client Execution | T1190:Exploit Public-Facing Application</t>
        </is>
      </c>
      <c r="S1460" t="n">
        <v>2</v>
      </c>
      <c r="T1460" t="inlineStr">
        <is>
          <t>HIGH (72%)</t>
        </is>
      </c>
      <c r="U1460" t="inlineStr">
        <is>
          <t>WEAPONIZED</t>
        </is>
      </c>
      <c r="V1460" t="inlineStr">
        <is>
          <t>CHECK_VENDOR</t>
        </is>
      </c>
      <c r="W1460" t="inlineStr">
        <is>
          <t>https://www.rapid7.com/db/search/?q=CVE-2016-8869</t>
        </is>
      </c>
      <c r="X1460" t="inlineStr">
        <is>
          <t>NONE</t>
        </is>
      </c>
      <c r="Y1460" t="n">
        <v>0</v>
      </c>
      <c r="Z1460" t="inlineStr"/>
      <c r="AA1460" t="inlineStr">
        <is>
          <t>https://nvd.nist.gov/vuln/detail/CVE-2016-8869</t>
        </is>
      </c>
    </row>
    <row r="1461">
      <c r="A1461" t="inlineStr">
        <is>
          <t>MSF_MODULE</t>
        </is>
      </c>
      <c r="B1461" t="inlineStr">
        <is>
          <t>CVE-2016-8870</t>
        </is>
      </c>
      <c r="C1461" t="inlineStr">
        <is>
          <t>Metasploit module available: Joomla Account Creation and Privilege Escalation | Type: auxiliary_admin | CVE-2016-8870</t>
        </is>
      </c>
      <c r="D1461" t="n">
        <v>7.5</v>
      </c>
      <c r="E1461" t="inlineStr">
        <is>
          <t>HIGH</t>
        </is>
      </c>
      <c r="F1461" t="n">
        <v>3</v>
      </c>
      <c r="G1461" t="n">
        <v>3</v>
      </c>
      <c r="H1461" t="inlineStr">
        <is>
          <t>CRITICAL</t>
        </is>
      </c>
      <c r="I1461" t="n">
        <v>16.5</v>
      </c>
      <c r="J1461" t="inlineStr">
        <is>
          <t>NO</t>
        </is>
      </c>
      <c r="K1461" t="inlineStr">
        <is>
          <t>2026-02-27 20:47</t>
        </is>
      </c>
      <c r="L1461" t="inlineStr">
        <is>
          <t>PATCH_IMMEDIATELY</t>
        </is>
      </c>
      <c r="M1461" t="inlineStr">
        <is>
          <t>See CVE details</t>
        </is>
      </c>
      <c r="N1461" t="inlineStr">
        <is>
          <t>P2</t>
        </is>
      </c>
      <c r="O1461" t="inlineStr">
        <is>
          <t>Rapid7 MSF: Joomla Account Creation and Privilege Escalation | Module type: auxiliary_admin</t>
        </is>
      </c>
      <c r="P1461" t="n">
        <v>0</v>
      </c>
      <c r="Q1461" t="n">
        <v>0</v>
      </c>
      <c r="R1461" t="inlineStr">
        <is>
          <t>T1203:Exploitation for Client Execution | T1190:Exploit Public-Facing Application</t>
        </is>
      </c>
      <c r="S1461" t="n">
        <v>2</v>
      </c>
      <c r="T1461" t="inlineStr">
        <is>
          <t>HIGH (72%)</t>
        </is>
      </c>
      <c r="U1461" t="inlineStr">
        <is>
          <t>WEAPONIZED</t>
        </is>
      </c>
      <c r="V1461" t="inlineStr">
        <is>
          <t>CHECK_VENDOR</t>
        </is>
      </c>
      <c r="W1461" t="inlineStr">
        <is>
          <t>https://www.rapid7.com/db/search/?q=CVE-2016-8870</t>
        </is>
      </c>
      <c r="X1461" t="inlineStr">
        <is>
          <t>NONE</t>
        </is>
      </c>
      <c r="Y1461" t="n">
        <v>0</v>
      </c>
      <c r="Z1461" t="inlineStr"/>
      <c r="AA1461" t="inlineStr">
        <is>
          <t>https://nvd.nist.gov/vuln/detail/CVE-2016-8870</t>
        </is>
      </c>
    </row>
    <row r="1462">
      <c r="A1462" t="inlineStr">
        <is>
          <t>MSF_MODULE</t>
        </is>
      </c>
      <c r="B1462" t="inlineStr">
        <is>
          <t>CVE-2015-6922</t>
        </is>
      </c>
      <c r="C1462" t="inlineStr">
        <is>
          <t>Metasploit module available: Kaseya VSA Master Administrator Account Creation | Type: auxiliary_admin | CVE-2015-6922</t>
        </is>
      </c>
      <c r="D1462" t="n">
        <v>7.5</v>
      </c>
      <c r="E1462" t="inlineStr">
        <is>
          <t>HIGH</t>
        </is>
      </c>
      <c r="F1462" t="n">
        <v>3</v>
      </c>
      <c r="G1462" t="n">
        <v>3</v>
      </c>
      <c r="H1462" t="inlineStr">
        <is>
          <t>CRITICAL</t>
        </is>
      </c>
      <c r="I1462" t="n">
        <v>16.5</v>
      </c>
      <c r="J1462" t="inlineStr">
        <is>
          <t>NO</t>
        </is>
      </c>
      <c r="K1462" t="inlineStr">
        <is>
          <t>2026-02-27 20:47</t>
        </is>
      </c>
      <c r="L1462" t="inlineStr">
        <is>
          <t>PATCH_IMMEDIATELY</t>
        </is>
      </c>
      <c r="M1462" t="inlineStr">
        <is>
          <t>See CVE details</t>
        </is>
      </c>
      <c r="N1462" t="inlineStr">
        <is>
          <t>P2</t>
        </is>
      </c>
      <c r="O1462" t="inlineStr">
        <is>
          <t>Rapid7 MSF: Kaseya VSA Master Administrator Account Creation | Module type: auxiliary_admin</t>
        </is>
      </c>
      <c r="P1462" t="n">
        <v>0</v>
      </c>
      <c r="Q1462" t="n">
        <v>0</v>
      </c>
      <c r="R1462" t="inlineStr">
        <is>
          <t>T1203:Exploitation for Client Execution | T1190:Exploit Public-Facing Application</t>
        </is>
      </c>
      <c r="S1462" t="n">
        <v>2</v>
      </c>
      <c r="T1462" t="inlineStr">
        <is>
          <t>HIGH (72%)</t>
        </is>
      </c>
      <c r="U1462" t="inlineStr">
        <is>
          <t>WEAPONIZED</t>
        </is>
      </c>
      <c r="V1462" t="inlineStr">
        <is>
          <t>CHECK_VENDOR</t>
        </is>
      </c>
      <c r="W1462" t="inlineStr">
        <is>
          <t>https://www.rapid7.com/db/search/?q=CVE-2015-6922</t>
        </is>
      </c>
      <c r="X1462" t="inlineStr">
        <is>
          <t>NONE</t>
        </is>
      </c>
      <c r="Y1462" t="n">
        <v>0</v>
      </c>
      <c r="Z1462" t="inlineStr"/>
      <c r="AA1462" t="inlineStr">
        <is>
          <t>https://nvd.nist.gov/vuln/detail/CVE-2015-6922</t>
        </is>
      </c>
    </row>
    <row r="1463">
      <c r="A1463" t="inlineStr">
        <is>
          <t>MSF_MODULE</t>
        </is>
      </c>
      <c r="B1463" t="inlineStr">
        <is>
          <t>CVE-2013-2143</t>
        </is>
      </c>
      <c r="C1463" t="inlineStr">
        <is>
          <t>Metasploit module available: Katello (Red Hat Satellite) users/update_roles Missing Authorization | Type: auxiliary_admin | CVE-2013-2143</t>
        </is>
      </c>
      <c r="D1463" t="n">
        <v>7.5</v>
      </c>
      <c r="E1463" t="inlineStr">
        <is>
          <t>HIGH</t>
        </is>
      </c>
      <c r="F1463" t="n">
        <v>3</v>
      </c>
      <c r="G1463" t="n">
        <v>3</v>
      </c>
      <c r="H1463" t="inlineStr">
        <is>
          <t>CRITICAL</t>
        </is>
      </c>
      <c r="I1463" t="n">
        <v>16.5</v>
      </c>
      <c r="J1463" t="inlineStr">
        <is>
          <t>NO</t>
        </is>
      </c>
      <c r="K1463" t="inlineStr">
        <is>
          <t>2026-02-27 20:47</t>
        </is>
      </c>
      <c r="L1463" t="inlineStr">
        <is>
          <t>PATCH_IMMEDIATELY</t>
        </is>
      </c>
      <c r="M1463" t="inlineStr">
        <is>
          <t>See CVE details</t>
        </is>
      </c>
      <c r="N1463" t="inlineStr">
        <is>
          <t>P2</t>
        </is>
      </c>
      <c r="O1463" t="inlineStr">
        <is>
          <t>Rapid7 MSF: Katello (Red Hat Satellite) users/update_roles Missing Authorization | Module type: auxiliary_admin</t>
        </is>
      </c>
      <c r="P1463" t="n">
        <v>0</v>
      </c>
      <c r="Q1463" t="n">
        <v>0</v>
      </c>
      <c r="R1463" t="inlineStr">
        <is>
          <t>T1203:Exploitation for Client Execution | T1190:Exploit Public-Facing Application</t>
        </is>
      </c>
      <c r="S1463" t="n">
        <v>2</v>
      </c>
      <c r="T1463" t="inlineStr">
        <is>
          <t>HIGH (72%)</t>
        </is>
      </c>
      <c r="U1463" t="inlineStr">
        <is>
          <t>WEAPONIZED</t>
        </is>
      </c>
      <c r="V1463" t="inlineStr">
        <is>
          <t>CHECK_VENDOR</t>
        </is>
      </c>
      <c r="W1463" t="inlineStr">
        <is>
          <t>https://www.rapid7.com/db/search/?q=CVE-2013-2143</t>
        </is>
      </c>
      <c r="X1463" t="inlineStr">
        <is>
          <t>NONE</t>
        </is>
      </c>
      <c r="Y1463" t="n">
        <v>0</v>
      </c>
      <c r="Z1463" t="inlineStr"/>
      <c r="AA1463" t="inlineStr">
        <is>
          <t>https://nvd.nist.gov/vuln/detail/CVE-2013-2143</t>
        </is>
      </c>
    </row>
    <row r="1464">
      <c r="A1464" t="inlineStr">
        <is>
          <t>MSF_MODULE</t>
        </is>
      </c>
      <c r="B1464" t="inlineStr">
        <is>
          <t>CVE-2025-34120</t>
        </is>
      </c>
      <c r="C1464" t="inlineStr">
        <is>
          <t>Metasploit module available: Limesurvey Unauthenticated File Download | Type: auxiliary_admin | CVE-2025-34120</t>
        </is>
      </c>
      <c r="D1464" t="n">
        <v>7.5</v>
      </c>
      <c r="E1464" t="inlineStr">
        <is>
          <t>HIGH</t>
        </is>
      </c>
      <c r="F1464" t="n">
        <v>3</v>
      </c>
      <c r="G1464" t="n">
        <v>3</v>
      </c>
      <c r="H1464" t="inlineStr">
        <is>
          <t>CRITICAL</t>
        </is>
      </c>
      <c r="I1464" t="n">
        <v>16.5</v>
      </c>
      <c r="J1464" t="inlineStr">
        <is>
          <t>NO</t>
        </is>
      </c>
      <c r="K1464" t="inlineStr">
        <is>
          <t>2026-02-27 20:47</t>
        </is>
      </c>
      <c r="L1464" t="inlineStr">
        <is>
          <t>PATCH_IMMEDIATELY</t>
        </is>
      </c>
      <c r="M1464" t="inlineStr">
        <is>
          <t>See CVE details</t>
        </is>
      </c>
      <c r="N1464" t="inlineStr">
        <is>
          <t>P2</t>
        </is>
      </c>
      <c r="O1464" t="inlineStr">
        <is>
          <t>Rapid7 MSF: Limesurvey Unauthenticated File Download | Module type: auxiliary_admin</t>
        </is>
      </c>
      <c r="P1464" t="n">
        <v>0</v>
      </c>
      <c r="Q1464" t="n">
        <v>0</v>
      </c>
      <c r="R1464" t="inlineStr">
        <is>
          <t>T1203:Exploitation for Client Execution | T1190:Exploit Public-Facing Application</t>
        </is>
      </c>
      <c r="S1464" t="n">
        <v>2</v>
      </c>
      <c r="T1464" t="inlineStr">
        <is>
          <t>HIGH (72%)</t>
        </is>
      </c>
      <c r="U1464" t="inlineStr">
        <is>
          <t>WEAPONIZED</t>
        </is>
      </c>
      <c r="V1464" t="inlineStr">
        <is>
          <t>CHECK_VENDOR</t>
        </is>
      </c>
      <c r="W1464" t="inlineStr">
        <is>
          <t>https://www.rapid7.com/db/search/?q=CVE-2025-34120</t>
        </is>
      </c>
      <c r="X1464" t="inlineStr">
        <is>
          <t>NONE</t>
        </is>
      </c>
      <c r="Y1464" t="n">
        <v>0</v>
      </c>
      <c r="Z1464" t="inlineStr"/>
      <c r="AA1464" t="inlineStr">
        <is>
          <t>https://nvd.nist.gov/vuln/detail/CVE-2025-34120</t>
        </is>
      </c>
    </row>
    <row r="1465">
      <c r="A1465" t="inlineStr">
        <is>
          <t>MSF_MODULE</t>
        </is>
      </c>
      <c r="B1465" t="inlineStr">
        <is>
          <t>CVE-2018-3953</t>
        </is>
      </c>
      <c r="C1465" t="inlineStr">
        <is>
          <t>Metasploit module available: Linksys E1500/E2500 Remote Command Execution | Type: auxiliary_admin | CVE-2018-3953</t>
        </is>
      </c>
      <c r="D1465" t="n">
        <v>7.5</v>
      </c>
      <c r="E1465" t="inlineStr">
        <is>
          <t>HIGH</t>
        </is>
      </c>
      <c r="F1465" t="n">
        <v>3</v>
      </c>
      <c r="G1465" t="n">
        <v>3</v>
      </c>
      <c r="H1465" t="inlineStr">
        <is>
          <t>CRITICAL</t>
        </is>
      </c>
      <c r="I1465" t="n">
        <v>16.5</v>
      </c>
      <c r="J1465" t="inlineStr">
        <is>
          <t>NO</t>
        </is>
      </c>
      <c r="K1465" t="inlineStr">
        <is>
          <t>2026-02-27 20:47</t>
        </is>
      </c>
      <c r="L1465" t="inlineStr">
        <is>
          <t>PATCH_IMMEDIATELY</t>
        </is>
      </c>
      <c r="M1465" t="inlineStr">
        <is>
          <t>See CVE details</t>
        </is>
      </c>
      <c r="N1465" t="inlineStr">
        <is>
          <t>P2</t>
        </is>
      </c>
      <c r="O1465" t="inlineStr">
        <is>
          <t>Rapid7 MSF: Linksys E1500/E2500 Remote Command Execution | Module type: auxiliary_admin</t>
        </is>
      </c>
      <c r="P1465" t="n">
        <v>0</v>
      </c>
      <c r="Q1465" t="n">
        <v>0</v>
      </c>
      <c r="R1465" t="inlineStr">
        <is>
          <t>T1203:Exploitation for Client Execution | T1190:Exploit Public-Facing Application</t>
        </is>
      </c>
      <c r="S1465" t="n">
        <v>2</v>
      </c>
      <c r="T1465" t="inlineStr">
        <is>
          <t>HIGH (72%)</t>
        </is>
      </c>
      <c r="U1465" t="inlineStr">
        <is>
          <t>WEAPONIZED</t>
        </is>
      </c>
      <c r="V1465" t="inlineStr">
        <is>
          <t>CHECK_VENDOR</t>
        </is>
      </c>
      <c r="W1465" t="inlineStr">
        <is>
          <t>https://www.rapid7.com/db/search/?q=CVE-2018-3953</t>
        </is>
      </c>
      <c r="X1465" t="inlineStr">
        <is>
          <t>NONE</t>
        </is>
      </c>
      <c r="Y1465" t="n">
        <v>0</v>
      </c>
      <c r="Z1465" t="inlineStr"/>
      <c r="AA1465" t="inlineStr">
        <is>
          <t>https://nvd.nist.gov/vuln/detail/CVE-2018-3953</t>
        </is>
      </c>
    </row>
    <row r="1466">
      <c r="A1466" t="inlineStr">
        <is>
          <t>CENSYS_EXPOSED</t>
        </is>
      </c>
      <c r="B1466" t="inlineStr">
        <is>
          <t>54.213.93.141</t>
        </is>
      </c>
      <c r="C1466" t="inlineStr">
        <is>
          <t>Exposed RDP: 54.213.93.141 | Unknown | Location: Unknown</t>
        </is>
      </c>
      <c r="D1466" t="n">
        <v>6.5</v>
      </c>
      <c r="E1466" t="inlineStr">
        <is>
          <t>MEDIUM</t>
        </is>
      </c>
      <c r="F1466" t="n">
        <v>2</v>
      </c>
      <c r="G1466" t="n">
        <v>2</v>
      </c>
      <c r="H1466" t="inlineStr">
        <is>
          <t>MEDIUM</t>
        </is>
      </c>
      <c r="I1466" t="n">
        <v>10.5</v>
      </c>
      <c r="J1466" t="inlineStr">
        <is>
          <t>NO</t>
        </is>
      </c>
      <c r="K1466" t="inlineStr">
        <is>
          <t>2026-02-27 20:47</t>
        </is>
      </c>
      <c r="L1466" t="inlineStr">
        <is>
          <t>Restrict access</t>
        </is>
      </c>
      <c r="M1466" t="inlineStr">
        <is>
          <t>Unknown</t>
        </is>
      </c>
      <c r="N1466" t="inlineStr">
        <is>
          <t>P4</t>
        </is>
      </c>
      <c r="O1466" t="inlineStr">
        <is>
          <t>See LeakIX for exposed service details</t>
        </is>
      </c>
      <c r="P1466" t="n">
        <v>0</v>
      </c>
      <c r="Q1466" t="n">
        <v>0</v>
      </c>
      <c r="R1466" t="inlineStr">
        <is>
          <t>T1021:Remote Services | T1133:External Remote Services</t>
        </is>
      </c>
      <c r="S1466" t="n">
        <v>1</v>
      </c>
      <c r="T1466" t="inlineStr">
        <is>
          <t>LOW (40%)</t>
        </is>
      </c>
      <c r="U1466" t="inlineStr">
        <is>
          <t>NONE</t>
        </is>
      </c>
      <c r="V1466" t="inlineStr">
        <is>
          <t>NONE</t>
        </is>
      </c>
      <c r="W1466" t="inlineStr">
        <is>
          <t>NONE</t>
        </is>
      </c>
      <c r="X1466" t="inlineStr">
        <is>
          <t>NONE</t>
        </is>
      </c>
      <c r="Y1466" t="n">
        <v>0</v>
      </c>
      <c r="Z1466" t="inlineStr"/>
      <c r="AA1466" t="inlineStr">
        <is>
          <t>https://leakix.net/host/54.213.93.141</t>
        </is>
      </c>
    </row>
    <row r="1467">
      <c r="A1467" t="inlineStr">
        <is>
          <t>CENSYS_EXPOSED</t>
        </is>
      </c>
      <c r="B1467" t="inlineStr">
        <is>
          <t>65.108.153.201</t>
        </is>
      </c>
      <c r="C1467" t="inlineStr">
        <is>
          <t>Exposed RDP: 65.108.153.201 | Unknown | Location: Unknown</t>
        </is>
      </c>
      <c r="D1467" t="n">
        <v>6.5</v>
      </c>
      <c r="E1467" t="inlineStr">
        <is>
          <t>MEDIUM</t>
        </is>
      </c>
      <c r="F1467" t="n">
        <v>2</v>
      </c>
      <c r="G1467" t="n">
        <v>2</v>
      </c>
      <c r="H1467" t="inlineStr">
        <is>
          <t>MEDIUM</t>
        </is>
      </c>
      <c r="I1467" t="n">
        <v>10.5</v>
      </c>
      <c r="J1467" t="inlineStr">
        <is>
          <t>NO</t>
        </is>
      </c>
      <c r="K1467" t="inlineStr">
        <is>
          <t>2026-02-27 20:47</t>
        </is>
      </c>
      <c r="L1467" t="inlineStr">
        <is>
          <t>Restrict access</t>
        </is>
      </c>
      <c r="M1467" t="inlineStr">
        <is>
          <t>Unknown</t>
        </is>
      </c>
      <c r="N1467" t="inlineStr">
        <is>
          <t>P4</t>
        </is>
      </c>
      <c r="O1467" t="inlineStr">
        <is>
          <t>See LeakIX for exposed service details</t>
        </is>
      </c>
      <c r="P1467" t="n">
        <v>0</v>
      </c>
      <c r="Q1467" t="n">
        <v>0</v>
      </c>
      <c r="R1467" t="inlineStr">
        <is>
          <t>T1021:Remote Services | T1133:External Remote Services</t>
        </is>
      </c>
      <c r="S1467" t="n">
        <v>1</v>
      </c>
      <c r="T1467" t="inlineStr">
        <is>
          <t>LOW (40%)</t>
        </is>
      </c>
      <c r="U1467" t="inlineStr">
        <is>
          <t>NONE</t>
        </is>
      </c>
      <c r="V1467" t="inlineStr">
        <is>
          <t>NONE</t>
        </is>
      </c>
      <c r="W1467" t="inlineStr">
        <is>
          <t>NONE</t>
        </is>
      </c>
      <c r="X1467" t="inlineStr">
        <is>
          <t>NONE</t>
        </is>
      </c>
      <c r="Y1467" t="n">
        <v>0</v>
      </c>
      <c r="Z1467" t="inlineStr"/>
      <c r="AA1467" t="inlineStr">
        <is>
          <t>https://leakix.net/host/65.108.153.201</t>
        </is>
      </c>
    </row>
    <row r="1468">
      <c r="A1468" t="inlineStr">
        <is>
          <t>CENSYS_EXPOSED</t>
        </is>
      </c>
      <c r="B1468" t="inlineStr">
        <is>
          <t>178.32.46.140</t>
        </is>
      </c>
      <c r="C1468" t="inlineStr">
        <is>
          <t>Exposed RDP: 178.32.46.140 | Unknown | Location: Unknown</t>
        </is>
      </c>
      <c r="D1468" t="n">
        <v>6.5</v>
      </c>
      <c r="E1468" t="inlineStr">
        <is>
          <t>MEDIUM</t>
        </is>
      </c>
      <c r="F1468" t="n">
        <v>2</v>
      </c>
      <c r="G1468" t="n">
        <v>2</v>
      </c>
      <c r="H1468" t="inlineStr">
        <is>
          <t>MEDIUM</t>
        </is>
      </c>
      <c r="I1468" t="n">
        <v>10.5</v>
      </c>
      <c r="J1468" t="inlineStr">
        <is>
          <t>NO</t>
        </is>
      </c>
      <c r="K1468" t="inlineStr">
        <is>
          <t>2026-02-27 20:47</t>
        </is>
      </c>
      <c r="L1468" t="inlineStr">
        <is>
          <t>Restrict access</t>
        </is>
      </c>
      <c r="M1468" t="inlineStr">
        <is>
          <t>Unknown</t>
        </is>
      </c>
      <c r="N1468" t="inlineStr">
        <is>
          <t>P4</t>
        </is>
      </c>
      <c r="O1468" t="inlineStr">
        <is>
          <t>See LeakIX for exposed service details</t>
        </is>
      </c>
      <c r="P1468" t="n">
        <v>0</v>
      </c>
      <c r="Q1468" t="n">
        <v>0</v>
      </c>
      <c r="R1468" t="inlineStr">
        <is>
          <t>T1021:Remote Services | T1133:External Remote Services</t>
        </is>
      </c>
      <c r="S1468" t="n">
        <v>1</v>
      </c>
      <c r="T1468" t="inlineStr">
        <is>
          <t>LOW (40%)</t>
        </is>
      </c>
      <c r="U1468" t="inlineStr">
        <is>
          <t>NONE</t>
        </is>
      </c>
      <c r="V1468" t="inlineStr">
        <is>
          <t>NONE</t>
        </is>
      </c>
      <c r="W1468" t="inlineStr">
        <is>
          <t>NONE</t>
        </is>
      </c>
      <c r="X1468" t="inlineStr">
        <is>
          <t>NONE</t>
        </is>
      </c>
      <c r="Y1468" t="n">
        <v>0</v>
      </c>
      <c r="Z1468" t="inlineStr"/>
      <c r="AA1468" t="inlineStr">
        <is>
          <t>https://leakix.net/host/178.32.46.140</t>
        </is>
      </c>
    </row>
    <row r="1469">
      <c r="A1469" t="inlineStr">
        <is>
          <t>CENSYS_EXPOSED</t>
        </is>
      </c>
      <c r="B1469" t="inlineStr">
        <is>
          <t>185.68.21.18</t>
        </is>
      </c>
      <c r="C1469" t="inlineStr">
        <is>
          <t>Exposed RDP: 185.68.21.18 | Unknown | Location: Unknown</t>
        </is>
      </c>
      <c r="D1469" t="n">
        <v>6.5</v>
      </c>
      <c r="E1469" t="inlineStr">
        <is>
          <t>MEDIUM</t>
        </is>
      </c>
      <c r="F1469" t="n">
        <v>2</v>
      </c>
      <c r="G1469" t="n">
        <v>2</v>
      </c>
      <c r="H1469" t="inlineStr">
        <is>
          <t>MEDIUM</t>
        </is>
      </c>
      <c r="I1469" t="n">
        <v>10.5</v>
      </c>
      <c r="J1469" t="inlineStr">
        <is>
          <t>NO</t>
        </is>
      </c>
      <c r="K1469" t="inlineStr">
        <is>
          <t>2026-02-27 20:47</t>
        </is>
      </c>
      <c r="L1469" t="inlineStr">
        <is>
          <t>Restrict access</t>
        </is>
      </c>
      <c r="M1469" t="inlineStr">
        <is>
          <t>Unknown</t>
        </is>
      </c>
      <c r="N1469" t="inlineStr">
        <is>
          <t>P4</t>
        </is>
      </c>
      <c r="O1469" t="inlineStr">
        <is>
          <t>See LeakIX for exposed service details</t>
        </is>
      </c>
      <c r="P1469" t="n">
        <v>0</v>
      </c>
      <c r="Q1469" t="n">
        <v>0</v>
      </c>
      <c r="R1469" t="inlineStr">
        <is>
          <t>T1021:Remote Services | T1133:External Remote Services</t>
        </is>
      </c>
      <c r="S1469" t="n">
        <v>1</v>
      </c>
      <c r="T1469" t="inlineStr">
        <is>
          <t>LOW (40%)</t>
        </is>
      </c>
      <c r="U1469" t="inlineStr">
        <is>
          <t>NONE</t>
        </is>
      </c>
      <c r="V1469" t="inlineStr">
        <is>
          <t>NONE</t>
        </is>
      </c>
      <c r="W1469" t="inlineStr">
        <is>
          <t>NONE</t>
        </is>
      </c>
      <c r="X1469" t="inlineStr">
        <is>
          <t>NONE</t>
        </is>
      </c>
      <c r="Y1469" t="n">
        <v>0</v>
      </c>
      <c r="Z1469" t="inlineStr"/>
      <c r="AA1469" t="inlineStr">
        <is>
          <t>https://leakix.net/host/185.68.21.18</t>
        </is>
      </c>
    </row>
    <row r="1470">
      <c r="A1470" t="inlineStr">
        <is>
          <t>CENSYS_EXPOSED</t>
        </is>
      </c>
      <c r="B1470" t="inlineStr">
        <is>
          <t>5.189.156.179</t>
        </is>
      </c>
      <c r="C1470" t="inlineStr">
        <is>
          <t>Exposed RDP: 5.189.156.179 | Unknown | Location: Unknown</t>
        </is>
      </c>
      <c r="D1470" t="n">
        <v>6.5</v>
      </c>
      <c r="E1470" t="inlineStr">
        <is>
          <t>MEDIUM</t>
        </is>
      </c>
      <c r="F1470" t="n">
        <v>2</v>
      </c>
      <c r="G1470" t="n">
        <v>2</v>
      </c>
      <c r="H1470" t="inlineStr">
        <is>
          <t>MEDIUM</t>
        </is>
      </c>
      <c r="I1470" t="n">
        <v>10.5</v>
      </c>
      <c r="J1470" t="inlineStr">
        <is>
          <t>NO</t>
        </is>
      </c>
      <c r="K1470" t="inlineStr">
        <is>
          <t>2026-02-27 20:47</t>
        </is>
      </c>
      <c r="L1470" t="inlineStr">
        <is>
          <t>Restrict access</t>
        </is>
      </c>
      <c r="M1470" t="inlineStr">
        <is>
          <t>Unknown</t>
        </is>
      </c>
      <c r="N1470" t="inlineStr">
        <is>
          <t>P4</t>
        </is>
      </c>
      <c r="O1470" t="inlineStr">
        <is>
          <t>See LeakIX for exposed service details</t>
        </is>
      </c>
      <c r="P1470" t="n">
        <v>0</v>
      </c>
      <c r="Q1470" t="n">
        <v>0</v>
      </c>
      <c r="R1470" t="inlineStr">
        <is>
          <t>T1021:Remote Services | T1133:External Remote Services</t>
        </is>
      </c>
      <c r="S1470" t="n">
        <v>1</v>
      </c>
      <c r="T1470" t="inlineStr">
        <is>
          <t>LOW (40%)</t>
        </is>
      </c>
      <c r="U1470" t="inlineStr">
        <is>
          <t>NONE</t>
        </is>
      </c>
      <c r="V1470" t="inlineStr">
        <is>
          <t>NONE</t>
        </is>
      </c>
      <c r="W1470" t="inlineStr">
        <is>
          <t>NONE</t>
        </is>
      </c>
      <c r="X1470" t="inlineStr">
        <is>
          <t>NONE</t>
        </is>
      </c>
      <c r="Y1470" t="n">
        <v>0</v>
      </c>
      <c r="Z1470" t="inlineStr"/>
      <c r="AA1470" t="inlineStr">
        <is>
          <t>https://leakix.net/host/5.189.156.179</t>
        </is>
      </c>
    </row>
    <row r="1471">
      <c r="A1471" t="inlineStr">
        <is>
          <t>CENSYS_EXPOSED</t>
        </is>
      </c>
      <c r="B1471" t="inlineStr">
        <is>
          <t>89.116.29.47</t>
        </is>
      </c>
      <c r="C1471" t="inlineStr">
        <is>
          <t>Exposed RDP: 89.116.29.47 | Unknown | Location: Unknown</t>
        </is>
      </c>
      <c r="D1471" t="n">
        <v>6.5</v>
      </c>
      <c r="E1471" t="inlineStr">
        <is>
          <t>MEDIUM</t>
        </is>
      </c>
      <c r="F1471" t="n">
        <v>2</v>
      </c>
      <c r="G1471" t="n">
        <v>2</v>
      </c>
      <c r="H1471" t="inlineStr">
        <is>
          <t>MEDIUM</t>
        </is>
      </c>
      <c r="I1471" t="n">
        <v>10.5</v>
      </c>
      <c r="J1471" t="inlineStr">
        <is>
          <t>NO</t>
        </is>
      </c>
      <c r="K1471" t="inlineStr">
        <is>
          <t>2026-02-27 20:47</t>
        </is>
      </c>
      <c r="L1471" t="inlineStr">
        <is>
          <t>Restrict access</t>
        </is>
      </c>
      <c r="M1471" t="inlineStr">
        <is>
          <t>Unknown</t>
        </is>
      </c>
      <c r="N1471" t="inlineStr">
        <is>
          <t>P4</t>
        </is>
      </c>
      <c r="O1471" t="inlineStr">
        <is>
          <t>See LeakIX for exposed service details</t>
        </is>
      </c>
      <c r="P1471" t="n">
        <v>0</v>
      </c>
      <c r="Q1471" t="n">
        <v>0</v>
      </c>
      <c r="R1471" t="inlineStr">
        <is>
          <t>T1021:Remote Services | T1133:External Remote Services</t>
        </is>
      </c>
      <c r="S1471" t="n">
        <v>1</v>
      </c>
      <c r="T1471" t="inlineStr">
        <is>
          <t>LOW (40%)</t>
        </is>
      </c>
      <c r="U1471" t="inlineStr">
        <is>
          <t>NONE</t>
        </is>
      </c>
      <c r="V1471" t="inlineStr">
        <is>
          <t>NONE</t>
        </is>
      </c>
      <c r="W1471" t="inlineStr">
        <is>
          <t>NONE</t>
        </is>
      </c>
      <c r="X1471" t="inlineStr">
        <is>
          <t>NONE</t>
        </is>
      </c>
      <c r="Y1471" t="n">
        <v>0</v>
      </c>
      <c r="Z1471" t="inlineStr"/>
      <c r="AA1471" t="inlineStr">
        <is>
          <t>https://leakix.net/host/89.116.29.47</t>
        </is>
      </c>
    </row>
    <row r="1472">
      <c r="A1472" t="inlineStr">
        <is>
          <t>CENSYS_EXPOSED</t>
        </is>
      </c>
      <c r="B1472" t="inlineStr">
        <is>
          <t>139.99.42.206</t>
        </is>
      </c>
      <c r="C1472" t="inlineStr">
        <is>
          <t>Exposed RDP: 139.99.42.206 | Unknown | Location: Unknown</t>
        </is>
      </c>
      <c r="D1472" t="n">
        <v>6.5</v>
      </c>
      <c r="E1472" t="inlineStr">
        <is>
          <t>MEDIUM</t>
        </is>
      </c>
      <c r="F1472" t="n">
        <v>2</v>
      </c>
      <c r="G1472" t="n">
        <v>2</v>
      </c>
      <c r="H1472" t="inlineStr">
        <is>
          <t>MEDIUM</t>
        </is>
      </c>
      <c r="I1472" t="n">
        <v>10.5</v>
      </c>
      <c r="J1472" t="inlineStr">
        <is>
          <t>NO</t>
        </is>
      </c>
      <c r="K1472" t="inlineStr">
        <is>
          <t>2026-02-27 20:47</t>
        </is>
      </c>
      <c r="L1472" t="inlineStr">
        <is>
          <t>Restrict access</t>
        </is>
      </c>
      <c r="M1472" t="inlineStr">
        <is>
          <t>Unknown</t>
        </is>
      </c>
      <c r="N1472" t="inlineStr">
        <is>
          <t>P4</t>
        </is>
      </c>
      <c r="O1472" t="inlineStr">
        <is>
          <t>See LeakIX for exposed service details</t>
        </is>
      </c>
      <c r="P1472" t="n">
        <v>0</v>
      </c>
      <c r="Q1472" t="n">
        <v>0</v>
      </c>
      <c r="R1472" t="inlineStr">
        <is>
          <t>T1021:Remote Services | T1133:External Remote Services</t>
        </is>
      </c>
      <c r="S1472" t="n">
        <v>1</v>
      </c>
      <c r="T1472" t="inlineStr">
        <is>
          <t>LOW (40%)</t>
        </is>
      </c>
      <c r="U1472" t="inlineStr">
        <is>
          <t>NONE</t>
        </is>
      </c>
      <c r="V1472" t="inlineStr">
        <is>
          <t>NONE</t>
        </is>
      </c>
      <c r="W1472" t="inlineStr">
        <is>
          <t>NONE</t>
        </is>
      </c>
      <c r="X1472" t="inlineStr">
        <is>
          <t>NONE</t>
        </is>
      </c>
      <c r="Y1472" t="n">
        <v>0</v>
      </c>
      <c r="Z1472" t="inlineStr"/>
      <c r="AA1472" t="inlineStr">
        <is>
          <t>https://leakix.net/host/139.99.42.206</t>
        </is>
      </c>
    </row>
    <row r="1473">
      <c r="A1473" t="inlineStr">
        <is>
          <t>CENSYS_EXPOSED</t>
        </is>
      </c>
      <c r="B1473" t="inlineStr">
        <is>
          <t>104.168.96.244</t>
        </is>
      </c>
      <c r="C1473" t="inlineStr">
        <is>
          <t>Exposed RDP: 104.168.96.244 | Unknown | Location: Unknown</t>
        </is>
      </c>
      <c r="D1473" t="n">
        <v>6.5</v>
      </c>
      <c r="E1473" t="inlineStr">
        <is>
          <t>MEDIUM</t>
        </is>
      </c>
      <c r="F1473" t="n">
        <v>2</v>
      </c>
      <c r="G1473" t="n">
        <v>2</v>
      </c>
      <c r="H1473" t="inlineStr">
        <is>
          <t>MEDIUM</t>
        </is>
      </c>
      <c r="I1473" t="n">
        <v>10.5</v>
      </c>
      <c r="J1473" t="inlineStr">
        <is>
          <t>NO</t>
        </is>
      </c>
      <c r="K1473" t="inlineStr">
        <is>
          <t>2026-02-27 20:47</t>
        </is>
      </c>
      <c r="L1473" t="inlineStr">
        <is>
          <t>Restrict access</t>
        </is>
      </c>
      <c r="M1473" t="inlineStr">
        <is>
          <t>Unknown</t>
        </is>
      </c>
      <c r="N1473" t="inlineStr">
        <is>
          <t>P4</t>
        </is>
      </c>
      <c r="O1473" t="inlineStr">
        <is>
          <t>See LeakIX for exposed service details</t>
        </is>
      </c>
      <c r="P1473" t="n">
        <v>0</v>
      </c>
      <c r="Q1473" t="n">
        <v>0</v>
      </c>
      <c r="R1473" t="inlineStr">
        <is>
          <t>T1021:Remote Services | T1133:External Remote Services</t>
        </is>
      </c>
      <c r="S1473" t="n">
        <v>1</v>
      </c>
      <c r="T1473" t="inlineStr">
        <is>
          <t>LOW (40%)</t>
        </is>
      </c>
      <c r="U1473" t="inlineStr">
        <is>
          <t>NONE</t>
        </is>
      </c>
      <c r="V1473" t="inlineStr">
        <is>
          <t>NONE</t>
        </is>
      </c>
      <c r="W1473" t="inlineStr">
        <is>
          <t>NONE</t>
        </is>
      </c>
      <c r="X1473" t="inlineStr">
        <is>
          <t>NONE</t>
        </is>
      </c>
      <c r="Y1473" t="n">
        <v>0</v>
      </c>
      <c r="Z1473" t="inlineStr"/>
      <c r="AA1473" t="inlineStr">
        <is>
          <t>https://leakix.net/host/104.168.96.244</t>
        </is>
      </c>
    </row>
    <row r="1474">
      <c r="A1474" t="inlineStr">
        <is>
          <t>CENSYS_EXPOSED</t>
        </is>
      </c>
      <c r="B1474" t="inlineStr">
        <is>
          <t>4.151.203.213</t>
        </is>
      </c>
      <c r="C1474" t="inlineStr">
        <is>
          <t>Exposed RDP: 4.151.203.213 | Unknown | Location: Unknown</t>
        </is>
      </c>
      <c r="D1474" t="n">
        <v>6.5</v>
      </c>
      <c r="E1474" t="inlineStr">
        <is>
          <t>MEDIUM</t>
        </is>
      </c>
      <c r="F1474" t="n">
        <v>2</v>
      </c>
      <c r="G1474" t="n">
        <v>2</v>
      </c>
      <c r="H1474" t="inlineStr">
        <is>
          <t>MEDIUM</t>
        </is>
      </c>
      <c r="I1474" t="n">
        <v>10.5</v>
      </c>
      <c r="J1474" t="inlineStr">
        <is>
          <t>NO</t>
        </is>
      </c>
      <c r="K1474" t="inlineStr">
        <is>
          <t>2026-02-27 20:47</t>
        </is>
      </c>
      <c r="L1474" t="inlineStr">
        <is>
          <t>Restrict access</t>
        </is>
      </c>
      <c r="M1474" t="inlineStr">
        <is>
          <t>Unknown</t>
        </is>
      </c>
      <c r="N1474" t="inlineStr">
        <is>
          <t>P4</t>
        </is>
      </c>
      <c r="O1474" t="inlineStr">
        <is>
          <t>See LeakIX for exposed service details</t>
        </is>
      </c>
      <c r="P1474" t="n">
        <v>0</v>
      </c>
      <c r="Q1474" t="n">
        <v>0</v>
      </c>
      <c r="R1474" t="inlineStr">
        <is>
          <t>T1021:Remote Services | T1133:External Remote Services</t>
        </is>
      </c>
      <c r="S1474" t="n">
        <v>1</v>
      </c>
      <c r="T1474" t="inlineStr">
        <is>
          <t>LOW (40%)</t>
        </is>
      </c>
      <c r="U1474" t="inlineStr">
        <is>
          <t>NONE</t>
        </is>
      </c>
      <c r="V1474" t="inlineStr">
        <is>
          <t>NONE</t>
        </is>
      </c>
      <c r="W1474" t="inlineStr">
        <is>
          <t>NONE</t>
        </is>
      </c>
      <c r="X1474" t="inlineStr">
        <is>
          <t>NONE</t>
        </is>
      </c>
      <c r="Y1474" t="n">
        <v>0</v>
      </c>
      <c r="Z1474" t="inlineStr"/>
      <c r="AA1474" t="inlineStr">
        <is>
          <t>https://leakix.net/host/4.151.203.213</t>
        </is>
      </c>
    </row>
    <row r="1475">
      <c r="A1475" t="inlineStr">
        <is>
          <t>CENSYS_EXPOSED</t>
        </is>
      </c>
      <c r="B1475" t="inlineStr">
        <is>
          <t>85.222.100.178</t>
        </is>
      </c>
      <c r="C1475" t="inlineStr">
        <is>
          <t>Exposed RDP: 85.222.100.178 | Unknown | Location: Unknown</t>
        </is>
      </c>
      <c r="D1475" t="n">
        <v>6.5</v>
      </c>
      <c r="E1475" t="inlineStr">
        <is>
          <t>MEDIUM</t>
        </is>
      </c>
      <c r="F1475" t="n">
        <v>2</v>
      </c>
      <c r="G1475" t="n">
        <v>2</v>
      </c>
      <c r="H1475" t="inlineStr">
        <is>
          <t>MEDIUM</t>
        </is>
      </c>
      <c r="I1475" t="n">
        <v>10.5</v>
      </c>
      <c r="J1475" t="inlineStr">
        <is>
          <t>NO</t>
        </is>
      </c>
      <c r="K1475" t="inlineStr">
        <is>
          <t>2026-02-27 20:47</t>
        </is>
      </c>
      <c r="L1475" t="inlineStr">
        <is>
          <t>Restrict access</t>
        </is>
      </c>
      <c r="M1475" t="inlineStr">
        <is>
          <t>Unknown</t>
        </is>
      </c>
      <c r="N1475" t="inlineStr">
        <is>
          <t>P4</t>
        </is>
      </c>
      <c r="O1475" t="inlineStr">
        <is>
          <t>See LeakIX for exposed service details</t>
        </is>
      </c>
      <c r="P1475" t="n">
        <v>0</v>
      </c>
      <c r="Q1475" t="n">
        <v>0</v>
      </c>
      <c r="R1475" t="inlineStr">
        <is>
          <t>T1021:Remote Services | T1133:External Remote Services</t>
        </is>
      </c>
      <c r="S1475" t="n">
        <v>1</v>
      </c>
      <c r="T1475" t="inlineStr">
        <is>
          <t>LOW (40%)</t>
        </is>
      </c>
      <c r="U1475" t="inlineStr">
        <is>
          <t>NONE</t>
        </is>
      </c>
      <c r="V1475" t="inlineStr">
        <is>
          <t>NONE</t>
        </is>
      </c>
      <c r="W1475" t="inlineStr">
        <is>
          <t>NONE</t>
        </is>
      </c>
      <c r="X1475" t="inlineStr">
        <is>
          <t>NONE</t>
        </is>
      </c>
      <c r="Y1475" t="n">
        <v>0</v>
      </c>
      <c r="Z1475" t="inlineStr"/>
      <c r="AA1475" t="inlineStr">
        <is>
          <t>https://leakix.net/host/85.222.100.178</t>
        </is>
      </c>
    </row>
    <row r="1476">
      <c r="A1476" t="inlineStr">
        <is>
          <t>CENSYS_EXPOSED</t>
        </is>
      </c>
      <c r="B1476" t="inlineStr">
        <is>
          <t>104.151.145.130</t>
        </is>
      </c>
      <c r="C1476" t="inlineStr">
        <is>
          <t>Exposed RDP: 104.151.145.130 | Unknown | Location: Unknown</t>
        </is>
      </c>
      <c r="D1476" t="n">
        <v>6.5</v>
      </c>
      <c r="E1476" t="inlineStr">
        <is>
          <t>MEDIUM</t>
        </is>
      </c>
      <c r="F1476" t="n">
        <v>2</v>
      </c>
      <c r="G1476" t="n">
        <v>2</v>
      </c>
      <c r="H1476" t="inlineStr">
        <is>
          <t>MEDIUM</t>
        </is>
      </c>
      <c r="I1476" t="n">
        <v>10.5</v>
      </c>
      <c r="J1476" t="inlineStr">
        <is>
          <t>NO</t>
        </is>
      </c>
      <c r="K1476" t="inlineStr">
        <is>
          <t>2026-02-27 20:47</t>
        </is>
      </c>
      <c r="L1476" t="inlineStr">
        <is>
          <t>Restrict access</t>
        </is>
      </c>
      <c r="M1476" t="inlineStr">
        <is>
          <t>Unknown</t>
        </is>
      </c>
      <c r="N1476" t="inlineStr">
        <is>
          <t>P4</t>
        </is>
      </c>
      <c r="O1476" t="inlineStr">
        <is>
          <t>See LeakIX for exposed service details</t>
        </is>
      </c>
      <c r="P1476" t="n">
        <v>0</v>
      </c>
      <c r="Q1476" t="n">
        <v>0</v>
      </c>
      <c r="R1476" t="inlineStr">
        <is>
          <t>T1021:Remote Services | T1133:External Remote Services</t>
        </is>
      </c>
      <c r="S1476" t="n">
        <v>1</v>
      </c>
      <c r="T1476" t="inlineStr">
        <is>
          <t>LOW (40%)</t>
        </is>
      </c>
      <c r="U1476" t="inlineStr">
        <is>
          <t>NONE</t>
        </is>
      </c>
      <c r="V1476" t="inlineStr">
        <is>
          <t>NONE</t>
        </is>
      </c>
      <c r="W1476" t="inlineStr">
        <is>
          <t>NONE</t>
        </is>
      </c>
      <c r="X1476" t="inlineStr">
        <is>
          <t>NONE</t>
        </is>
      </c>
      <c r="Y1476" t="n">
        <v>0</v>
      </c>
      <c r="Z1476" t="inlineStr"/>
      <c r="AA1476" t="inlineStr">
        <is>
          <t>https://leakix.net/host/104.151.145.130</t>
        </is>
      </c>
    </row>
    <row r="1477">
      <c r="A1477" t="inlineStr">
        <is>
          <t>CENSYS_EXPOSED</t>
        </is>
      </c>
      <c r="B1477" t="inlineStr">
        <is>
          <t>189.235.103.201</t>
        </is>
      </c>
      <c r="C1477" t="inlineStr">
        <is>
          <t>Exposed RDP: 189.235.103.201 | Unknown | Location: Unknown</t>
        </is>
      </c>
      <c r="D1477" t="n">
        <v>6.5</v>
      </c>
      <c r="E1477" t="inlineStr">
        <is>
          <t>MEDIUM</t>
        </is>
      </c>
      <c r="F1477" t="n">
        <v>2</v>
      </c>
      <c r="G1477" t="n">
        <v>2</v>
      </c>
      <c r="H1477" t="inlineStr">
        <is>
          <t>MEDIUM</t>
        </is>
      </c>
      <c r="I1477" t="n">
        <v>10.5</v>
      </c>
      <c r="J1477" t="inlineStr">
        <is>
          <t>NO</t>
        </is>
      </c>
      <c r="K1477" t="inlineStr">
        <is>
          <t>2026-02-27 20:47</t>
        </is>
      </c>
      <c r="L1477" t="inlineStr">
        <is>
          <t>Restrict access</t>
        </is>
      </c>
      <c r="M1477" t="inlineStr">
        <is>
          <t>Unknown</t>
        </is>
      </c>
      <c r="N1477" t="inlineStr">
        <is>
          <t>P4</t>
        </is>
      </c>
      <c r="O1477" t="inlineStr">
        <is>
          <t>See LeakIX for exposed service details</t>
        </is>
      </c>
      <c r="P1477" t="n">
        <v>0</v>
      </c>
      <c r="Q1477" t="n">
        <v>0</v>
      </c>
      <c r="R1477" t="inlineStr">
        <is>
          <t>T1021:Remote Services | T1133:External Remote Services</t>
        </is>
      </c>
      <c r="S1477" t="n">
        <v>1</v>
      </c>
      <c r="T1477" t="inlineStr">
        <is>
          <t>LOW (40%)</t>
        </is>
      </c>
      <c r="U1477" t="inlineStr">
        <is>
          <t>NONE</t>
        </is>
      </c>
      <c r="V1477" t="inlineStr">
        <is>
          <t>NONE</t>
        </is>
      </c>
      <c r="W1477" t="inlineStr">
        <is>
          <t>NONE</t>
        </is>
      </c>
      <c r="X1477" t="inlineStr">
        <is>
          <t>NONE</t>
        </is>
      </c>
      <c r="Y1477" t="n">
        <v>0</v>
      </c>
      <c r="Z1477" t="inlineStr"/>
      <c r="AA1477" t="inlineStr">
        <is>
          <t>https://leakix.net/host/189.235.103.201</t>
        </is>
      </c>
    </row>
    <row r="1478">
      <c r="A1478" t="inlineStr">
        <is>
          <t>CENSYS_EXPOSED</t>
        </is>
      </c>
      <c r="B1478" t="inlineStr">
        <is>
          <t>221.162.15.185</t>
        </is>
      </c>
      <c r="C1478" t="inlineStr">
        <is>
          <t>Exposed RDP: 221.162.15.185 | Unknown | Location: Unknown</t>
        </is>
      </c>
      <c r="D1478" t="n">
        <v>6.5</v>
      </c>
      <c r="E1478" t="inlineStr">
        <is>
          <t>MEDIUM</t>
        </is>
      </c>
      <c r="F1478" t="n">
        <v>2</v>
      </c>
      <c r="G1478" t="n">
        <v>2</v>
      </c>
      <c r="H1478" t="inlineStr">
        <is>
          <t>MEDIUM</t>
        </is>
      </c>
      <c r="I1478" t="n">
        <v>10.5</v>
      </c>
      <c r="J1478" t="inlineStr">
        <is>
          <t>NO</t>
        </is>
      </c>
      <c r="K1478" t="inlineStr">
        <is>
          <t>2026-02-27 20:47</t>
        </is>
      </c>
      <c r="L1478" t="inlineStr">
        <is>
          <t>Restrict access</t>
        </is>
      </c>
      <c r="M1478" t="inlineStr">
        <is>
          <t>Unknown</t>
        </is>
      </c>
      <c r="N1478" t="inlineStr">
        <is>
          <t>P4</t>
        </is>
      </c>
      <c r="O1478" t="inlineStr">
        <is>
          <t>See LeakIX for exposed service details</t>
        </is>
      </c>
      <c r="P1478" t="n">
        <v>0</v>
      </c>
      <c r="Q1478" t="n">
        <v>0</v>
      </c>
      <c r="R1478" t="inlineStr">
        <is>
          <t>T1021:Remote Services | T1133:External Remote Services</t>
        </is>
      </c>
      <c r="S1478" t="n">
        <v>1</v>
      </c>
      <c r="T1478" t="inlineStr">
        <is>
          <t>LOW (40%)</t>
        </is>
      </c>
      <c r="U1478" t="inlineStr">
        <is>
          <t>NONE</t>
        </is>
      </c>
      <c r="V1478" t="inlineStr">
        <is>
          <t>NONE</t>
        </is>
      </c>
      <c r="W1478" t="inlineStr">
        <is>
          <t>NONE</t>
        </is>
      </c>
      <c r="X1478" t="inlineStr">
        <is>
          <t>NONE</t>
        </is>
      </c>
      <c r="Y1478" t="n">
        <v>0</v>
      </c>
      <c r="Z1478" t="inlineStr"/>
      <c r="AA1478" t="inlineStr">
        <is>
          <t>https://leakix.net/host/221.162.15.185</t>
        </is>
      </c>
    </row>
    <row r="1479">
      <c r="A1479" t="inlineStr">
        <is>
          <t>CENSYS_EXPOSED</t>
        </is>
      </c>
      <c r="B1479" t="inlineStr">
        <is>
          <t>167.172.99.146</t>
        </is>
      </c>
      <c r="C1479" t="inlineStr">
        <is>
          <t>Exposed RDP: 167.172.99.146 | Unknown | Location: Unknown</t>
        </is>
      </c>
      <c r="D1479" t="n">
        <v>6.5</v>
      </c>
      <c r="E1479" t="inlineStr">
        <is>
          <t>MEDIUM</t>
        </is>
      </c>
      <c r="F1479" t="n">
        <v>2</v>
      </c>
      <c r="G1479" t="n">
        <v>2</v>
      </c>
      <c r="H1479" t="inlineStr">
        <is>
          <t>MEDIUM</t>
        </is>
      </c>
      <c r="I1479" t="n">
        <v>10.5</v>
      </c>
      <c r="J1479" t="inlineStr">
        <is>
          <t>NO</t>
        </is>
      </c>
      <c r="K1479" t="inlineStr">
        <is>
          <t>2026-02-27 20:47</t>
        </is>
      </c>
      <c r="L1479" t="inlineStr">
        <is>
          <t>Restrict access</t>
        </is>
      </c>
      <c r="M1479" t="inlineStr">
        <is>
          <t>Unknown</t>
        </is>
      </c>
      <c r="N1479" t="inlineStr">
        <is>
          <t>P4</t>
        </is>
      </c>
      <c r="O1479" t="inlineStr">
        <is>
          <t>See LeakIX for exposed service details</t>
        </is>
      </c>
      <c r="P1479" t="n">
        <v>0</v>
      </c>
      <c r="Q1479" t="n">
        <v>0</v>
      </c>
      <c r="R1479" t="inlineStr">
        <is>
          <t>T1021:Remote Services | T1133:External Remote Services</t>
        </is>
      </c>
      <c r="S1479" t="n">
        <v>1</v>
      </c>
      <c r="T1479" t="inlineStr">
        <is>
          <t>LOW (40%)</t>
        </is>
      </c>
      <c r="U1479" t="inlineStr">
        <is>
          <t>NONE</t>
        </is>
      </c>
      <c r="V1479" t="inlineStr">
        <is>
          <t>NONE</t>
        </is>
      </c>
      <c r="W1479" t="inlineStr">
        <is>
          <t>NONE</t>
        </is>
      </c>
      <c r="X1479" t="inlineStr">
        <is>
          <t>NONE</t>
        </is>
      </c>
      <c r="Y1479" t="n">
        <v>0</v>
      </c>
      <c r="Z1479" t="inlineStr"/>
      <c r="AA1479" t="inlineStr">
        <is>
          <t>https://leakix.net/host/167.172.99.146</t>
        </is>
      </c>
    </row>
    <row r="1480">
      <c r="A1480" t="inlineStr">
        <is>
          <t>CENSYS_EXPOSED</t>
        </is>
      </c>
      <c r="B1480" t="inlineStr">
        <is>
          <t>51.89.17.211</t>
        </is>
      </c>
      <c r="C1480" t="inlineStr">
        <is>
          <t>Exposed RDP: 51.89.17.211 | Unknown | Location: Unknown</t>
        </is>
      </c>
      <c r="D1480" t="n">
        <v>6.5</v>
      </c>
      <c r="E1480" t="inlineStr">
        <is>
          <t>MEDIUM</t>
        </is>
      </c>
      <c r="F1480" t="n">
        <v>2</v>
      </c>
      <c r="G1480" t="n">
        <v>2</v>
      </c>
      <c r="H1480" t="inlineStr">
        <is>
          <t>MEDIUM</t>
        </is>
      </c>
      <c r="I1480" t="n">
        <v>10.5</v>
      </c>
      <c r="J1480" t="inlineStr">
        <is>
          <t>NO</t>
        </is>
      </c>
      <c r="K1480" t="inlineStr">
        <is>
          <t>2026-02-27 20:47</t>
        </is>
      </c>
      <c r="L1480" t="inlineStr">
        <is>
          <t>Restrict access</t>
        </is>
      </c>
      <c r="M1480" t="inlineStr">
        <is>
          <t>Unknown</t>
        </is>
      </c>
      <c r="N1480" t="inlineStr">
        <is>
          <t>P4</t>
        </is>
      </c>
      <c r="O1480" t="inlineStr">
        <is>
          <t>See LeakIX for exposed service details</t>
        </is>
      </c>
      <c r="P1480" t="n">
        <v>0</v>
      </c>
      <c r="Q1480" t="n">
        <v>0</v>
      </c>
      <c r="R1480" t="inlineStr">
        <is>
          <t>T1021:Remote Services | T1133:External Remote Services</t>
        </is>
      </c>
      <c r="S1480" t="n">
        <v>1</v>
      </c>
      <c r="T1480" t="inlineStr">
        <is>
          <t>LOW (40%)</t>
        </is>
      </c>
      <c r="U1480" t="inlineStr">
        <is>
          <t>NONE</t>
        </is>
      </c>
      <c r="V1480" t="inlineStr">
        <is>
          <t>NONE</t>
        </is>
      </c>
      <c r="W1480" t="inlineStr">
        <is>
          <t>NONE</t>
        </is>
      </c>
      <c r="X1480" t="inlineStr">
        <is>
          <t>NONE</t>
        </is>
      </c>
      <c r="Y1480" t="n">
        <v>0</v>
      </c>
      <c r="Z1480" t="inlineStr"/>
      <c r="AA1480" t="inlineStr">
        <is>
          <t>https://leakix.net/host/51.89.17.211</t>
        </is>
      </c>
    </row>
    <row r="1481">
      <c r="A1481" t="inlineStr">
        <is>
          <t>CENSYS_EXPOSED</t>
        </is>
      </c>
      <c r="B1481" t="inlineStr">
        <is>
          <t>141.145.210.135</t>
        </is>
      </c>
      <c r="C1481" t="inlineStr">
        <is>
          <t>Exposed RDP: 141.145.210.135 | Unknown | Location: Unknown</t>
        </is>
      </c>
      <c r="D1481" t="n">
        <v>6.5</v>
      </c>
      <c r="E1481" t="inlineStr">
        <is>
          <t>MEDIUM</t>
        </is>
      </c>
      <c r="F1481" t="n">
        <v>2</v>
      </c>
      <c r="G1481" t="n">
        <v>2</v>
      </c>
      <c r="H1481" t="inlineStr">
        <is>
          <t>MEDIUM</t>
        </is>
      </c>
      <c r="I1481" t="n">
        <v>10.5</v>
      </c>
      <c r="J1481" t="inlineStr">
        <is>
          <t>NO</t>
        </is>
      </c>
      <c r="K1481" t="inlineStr">
        <is>
          <t>2026-02-27 20:47</t>
        </is>
      </c>
      <c r="L1481" t="inlineStr">
        <is>
          <t>Restrict access</t>
        </is>
      </c>
      <c r="M1481" t="inlineStr">
        <is>
          <t>Unknown</t>
        </is>
      </c>
      <c r="N1481" t="inlineStr">
        <is>
          <t>P4</t>
        </is>
      </c>
      <c r="O1481" t="inlineStr">
        <is>
          <t>See LeakIX for exposed service details</t>
        </is>
      </c>
      <c r="P1481" t="n">
        <v>0</v>
      </c>
      <c r="Q1481" t="n">
        <v>0</v>
      </c>
      <c r="R1481" t="inlineStr">
        <is>
          <t>T1021:Remote Services | T1133:External Remote Services</t>
        </is>
      </c>
      <c r="S1481" t="n">
        <v>1</v>
      </c>
      <c r="T1481" t="inlineStr">
        <is>
          <t>LOW (40%)</t>
        </is>
      </c>
      <c r="U1481" t="inlineStr">
        <is>
          <t>NONE</t>
        </is>
      </c>
      <c r="V1481" t="inlineStr">
        <is>
          <t>NONE</t>
        </is>
      </c>
      <c r="W1481" t="inlineStr">
        <is>
          <t>NONE</t>
        </is>
      </c>
      <c r="X1481" t="inlineStr">
        <is>
          <t>NONE</t>
        </is>
      </c>
      <c r="Y1481" t="n">
        <v>0</v>
      </c>
      <c r="Z1481" t="inlineStr"/>
      <c r="AA1481" t="inlineStr">
        <is>
          <t>https://leakix.net/host/141.145.210.135</t>
        </is>
      </c>
    </row>
    <row r="1482">
      <c r="A1482" t="inlineStr">
        <is>
          <t>CENSYS_EXPOSED</t>
        </is>
      </c>
      <c r="B1482" t="inlineStr">
        <is>
          <t>70.153.81.47</t>
        </is>
      </c>
      <c r="C1482" t="inlineStr">
        <is>
          <t>Exposed RDP: 70.153.81.47 | Unknown | Location: Unknown</t>
        </is>
      </c>
      <c r="D1482" t="n">
        <v>6.5</v>
      </c>
      <c r="E1482" t="inlineStr">
        <is>
          <t>MEDIUM</t>
        </is>
      </c>
      <c r="F1482" t="n">
        <v>2</v>
      </c>
      <c r="G1482" t="n">
        <v>2</v>
      </c>
      <c r="H1482" t="inlineStr">
        <is>
          <t>MEDIUM</t>
        </is>
      </c>
      <c r="I1482" t="n">
        <v>10.5</v>
      </c>
      <c r="J1482" t="inlineStr">
        <is>
          <t>NO</t>
        </is>
      </c>
      <c r="K1482" t="inlineStr">
        <is>
          <t>2026-02-27 20:47</t>
        </is>
      </c>
      <c r="L1482" t="inlineStr">
        <is>
          <t>Restrict access</t>
        </is>
      </c>
      <c r="M1482" t="inlineStr">
        <is>
          <t>Unknown</t>
        </is>
      </c>
      <c r="N1482" t="inlineStr">
        <is>
          <t>P4</t>
        </is>
      </c>
      <c r="O1482" t="inlineStr">
        <is>
          <t>See LeakIX for exposed service details</t>
        </is>
      </c>
      <c r="P1482" t="n">
        <v>0</v>
      </c>
      <c r="Q1482" t="n">
        <v>0</v>
      </c>
      <c r="R1482" t="inlineStr">
        <is>
          <t>T1021:Remote Services | T1133:External Remote Services</t>
        </is>
      </c>
      <c r="S1482" t="n">
        <v>1</v>
      </c>
      <c r="T1482" t="inlineStr">
        <is>
          <t>LOW (40%)</t>
        </is>
      </c>
      <c r="U1482" t="inlineStr">
        <is>
          <t>NONE</t>
        </is>
      </c>
      <c r="V1482" t="inlineStr">
        <is>
          <t>NONE</t>
        </is>
      </c>
      <c r="W1482" t="inlineStr">
        <is>
          <t>NONE</t>
        </is>
      </c>
      <c r="X1482" t="inlineStr">
        <is>
          <t>NONE</t>
        </is>
      </c>
      <c r="Y1482" t="n">
        <v>0</v>
      </c>
      <c r="Z1482" t="inlineStr"/>
      <c r="AA1482" t="inlineStr">
        <is>
          <t>https://leakix.net/host/70.153.81.47</t>
        </is>
      </c>
    </row>
    <row r="1483">
      <c r="A1483" t="inlineStr">
        <is>
          <t>CENSYS_EXPOSED</t>
        </is>
      </c>
      <c r="B1483" t="inlineStr">
        <is>
          <t>8.210.17.35</t>
        </is>
      </c>
      <c r="C1483" t="inlineStr">
        <is>
          <t>Exposed RDP: 8.210.17.35 | Unknown | Location: Unknown</t>
        </is>
      </c>
      <c r="D1483" t="n">
        <v>6.5</v>
      </c>
      <c r="E1483" t="inlineStr">
        <is>
          <t>MEDIUM</t>
        </is>
      </c>
      <c r="F1483" t="n">
        <v>2</v>
      </c>
      <c r="G1483" t="n">
        <v>2</v>
      </c>
      <c r="H1483" t="inlineStr">
        <is>
          <t>MEDIUM</t>
        </is>
      </c>
      <c r="I1483" t="n">
        <v>10.5</v>
      </c>
      <c r="J1483" t="inlineStr">
        <is>
          <t>NO</t>
        </is>
      </c>
      <c r="K1483" t="inlineStr">
        <is>
          <t>2026-02-27 20:47</t>
        </is>
      </c>
      <c r="L1483" t="inlineStr">
        <is>
          <t>Restrict access</t>
        </is>
      </c>
      <c r="M1483" t="inlineStr">
        <is>
          <t>Unknown</t>
        </is>
      </c>
      <c r="N1483" t="inlineStr">
        <is>
          <t>P4</t>
        </is>
      </c>
      <c r="O1483" t="inlineStr">
        <is>
          <t>See LeakIX for exposed service details</t>
        </is>
      </c>
      <c r="P1483" t="n">
        <v>0</v>
      </c>
      <c r="Q1483" t="n">
        <v>0</v>
      </c>
      <c r="R1483" t="inlineStr">
        <is>
          <t>T1021:Remote Services | T1133:External Remote Services</t>
        </is>
      </c>
      <c r="S1483" t="n">
        <v>1</v>
      </c>
      <c r="T1483" t="inlineStr">
        <is>
          <t>LOW (40%)</t>
        </is>
      </c>
      <c r="U1483" t="inlineStr">
        <is>
          <t>NONE</t>
        </is>
      </c>
      <c r="V1483" t="inlineStr">
        <is>
          <t>NONE</t>
        </is>
      </c>
      <c r="W1483" t="inlineStr">
        <is>
          <t>NONE</t>
        </is>
      </c>
      <c r="X1483" t="inlineStr">
        <is>
          <t>NONE</t>
        </is>
      </c>
      <c r="Y1483" t="n">
        <v>0</v>
      </c>
      <c r="Z1483" t="inlineStr"/>
      <c r="AA1483" t="inlineStr">
        <is>
          <t>https://leakix.net/host/8.210.17.35</t>
        </is>
      </c>
    </row>
    <row r="1484">
      <c r="A1484" t="inlineStr">
        <is>
          <t>CENSYS_EXPOSED</t>
        </is>
      </c>
      <c r="B1484" t="inlineStr">
        <is>
          <t>20.102.109.245</t>
        </is>
      </c>
      <c r="C1484" t="inlineStr">
        <is>
          <t>Exposed RDP: 20.102.109.245 | Unknown | Location: Unknown</t>
        </is>
      </c>
      <c r="D1484" t="n">
        <v>6.5</v>
      </c>
      <c r="E1484" t="inlineStr">
        <is>
          <t>MEDIUM</t>
        </is>
      </c>
      <c r="F1484" t="n">
        <v>2</v>
      </c>
      <c r="G1484" t="n">
        <v>2</v>
      </c>
      <c r="H1484" t="inlineStr">
        <is>
          <t>MEDIUM</t>
        </is>
      </c>
      <c r="I1484" t="n">
        <v>10.5</v>
      </c>
      <c r="J1484" t="inlineStr">
        <is>
          <t>NO</t>
        </is>
      </c>
      <c r="K1484" t="inlineStr">
        <is>
          <t>2026-02-27 20:47</t>
        </is>
      </c>
      <c r="L1484" t="inlineStr">
        <is>
          <t>Restrict access</t>
        </is>
      </c>
      <c r="M1484" t="inlineStr">
        <is>
          <t>Unknown</t>
        </is>
      </c>
      <c r="N1484" t="inlineStr">
        <is>
          <t>P4</t>
        </is>
      </c>
      <c r="O1484" t="inlineStr">
        <is>
          <t>See LeakIX for exposed service details</t>
        </is>
      </c>
      <c r="P1484" t="n">
        <v>0</v>
      </c>
      <c r="Q1484" t="n">
        <v>0</v>
      </c>
      <c r="R1484" t="inlineStr">
        <is>
          <t>T1021:Remote Services | T1133:External Remote Services</t>
        </is>
      </c>
      <c r="S1484" t="n">
        <v>1</v>
      </c>
      <c r="T1484" t="inlineStr">
        <is>
          <t>LOW (40%)</t>
        </is>
      </c>
      <c r="U1484" t="inlineStr">
        <is>
          <t>NONE</t>
        </is>
      </c>
      <c r="V1484" t="inlineStr">
        <is>
          <t>NONE</t>
        </is>
      </c>
      <c r="W1484" t="inlineStr">
        <is>
          <t>NONE</t>
        </is>
      </c>
      <c r="X1484" t="inlineStr">
        <is>
          <t>NONE</t>
        </is>
      </c>
      <c r="Y1484" t="n">
        <v>0</v>
      </c>
      <c r="Z1484" t="inlineStr"/>
      <c r="AA1484" t="inlineStr">
        <is>
          <t>https://leakix.net/host/20.102.109.245</t>
        </is>
      </c>
    </row>
    <row r="1485">
      <c r="A1485" t="inlineStr">
        <is>
          <t>CENSYS_EXPOSED</t>
        </is>
      </c>
      <c r="B1485" t="inlineStr">
        <is>
          <t>188.242.74.195</t>
        </is>
      </c>
      <c r="C1485" t="inlineStr">
        <is>
          <t>Exposed RDP: 188.242.74.195 | Unknown | Location: Unknown</t>
        </is>
      </c>
      <c r="D1485" t="n">
        <v>6.5</v>
      </c>
      <c r="E1485" t="inlineStr">
        <is>
          <t>MEDIUM</t>
        </is>
      </c>
      <c r="F1485" t="n">
        <v>2</v>
      </c>
      <c r="G1485" t="n">
        <v>2</v>
      </c>
      <c r="H1485" t="inlineStr">
        <is>
          <t>MEDIUM</t>
        </is>
      </c>
      <c r="I1485" t="n">
        <v>10.5</v>
      </c>
      <c r="J1485" t="inlineStr">
        <is>
          <t>NO</t>
        </is>
      </c>
      <c r="K1485" t="inlineStr">
        <is>
          <t>2026-02-27 20:47</t>
        </is>
      </c>
      <c r="L1485" t="inlineStr">
        <is>
          <t>Restrict access</t>
        </is>
      </c>
      <c r="M1485" t="inlineStr">
        <is>
          <t>Unknown</t>
        </is>
      </c>
      <c r="N1485" t="inlineStr">
        <is>
          <t>P4</t>
        </is>
      </c>
      <c r="O1485" t="inlineStr">
        <is>
          <t>See LeakIX for exposed service details</t>
        </is>
      </c>
      <c r="P1485" t="n">
        <v>0</v>
      </c>
      <c r="Q1485" t="n">
        <v>0</v>
      </c>
      <c r="R1485" t="inlineStr">
        <is>
          <t>T1021:Remote Services | T1133:External Remote Services</t>
        </is>
      </c>
      <c r="S1485" t="n">
        <v>1</v>
      </c>
      <c r="T1485" t="inlineStr">
        <is>
          <t>LOW (40%)</t>
        </is>
      </c>
      <c r="U1485" t="inlineStr">
        <is>
          <t>NONE</t>
        </is>
      </c>
      <c r="V1485" t="inlineStr">
        <is>
          <t>NONE</t>
        </is>
      </c>
      <c r="W1485" t="inlineStr">
        <is>
          <t>NONE</t>
        </is>
      </c>
      <c r="X1485" t="inlineStr">
        <is>
          <t>NONE</t>
        </is>
      </c>
      <c r="Y1485" t="n">
        <v>0</v>
      </c>
      <c r="Z1485" t="inlineStr"/>
      <c r="AA1485" t="inlineStr">
        <is>
          <t>https://leakix.net/host/188.242.74.195</t>
        </is>
      </c>
    </row>
    <row r="1486">
      <c r="A1486" t="inlineStr">
        <is>
          <t>MSRC_UPDATE</t>
        </is>
      </c>
      <c r="B1486" t="inlineStr">
        <is>
          <t>CVE-2026-0948</t>
        </is>
      </c>
      <c r="C1486" t="inlineStr">
        <is>
          <t>Microsoft Update: Authentication Bypass Using an Alternate Path or Channel vulnerability in Drupal Microsoft Entra ID SSO Login allows Privilege Escalation.This issue affects Microsoft Entra ID SSO Login: from 0.0.0 be</t>
        </is>
      </c>
      <c r="D1486" t="n">
        <v>6.5</v>
      </c>
      <c r="E1486" t="inlineStr">
        <is>
          <t>MEDIUM</t>
        </is>
      </c>
      <c r="F1486" t="n">
        <v>2</v>
      </c>
      <c r="G1486" t="n">
        <v>2</v>
      </c>
      <c r="H1486" t="inlineStr">
        <is>
          <t>MEDIUM</t>
        </is>
      </c>
      <c r="I1486" t="n">
        <v>10.5</v>
      </c>
      <c r="J1486" t="inlineStr">
        <is>
          <t>NO</t>
        </is>
      </c>
      <c r="K1486" t="inlineStr">
        <is>
          <t>2026-02-04T21:15:59.143</t>
        </is>
      </c>
      <c r="L1486" t="inlineStr">
        <is>
          <t>YES</t>
        </is>
      </c>
      <c r="M1486" t="inlineStr">
        <is>
          <t>Microsoft Windows</t>
        </is>
      </c>
      <c r="N1486" t="inlineStr">
        <is>
          <t>P4</t>
        </is>
      </c>
      <c r="O1486" t="inlineStr">
        <is>
          <t>Microsoft CVE - no IP context</t>
        </is>
      </c>
      <c r="P1486" t="n">
        <v>0</v>
      </c>
      <c r="Q1486" t="n">
        <v>0</v>
      </c>
      <c r="R1486" t="inlineStr">
        <is>
          <t>T1203:Exploitation for Client Execution | T1068:Exploitation for Privilege Escalation</t>
        </is>
      </c>
      <c r="S1486" t="n">
        <v>1</v>
      </c>
      <c r="T1486" t="inlineStr">
        <is>
          <t>LOW (40%)</t>
        </is>
      </c>
      <c r="U1486" t="inlineStr">
        <is>
          <t>CHECK_MSRC</t>
        </is>
      </c>
      <c r="V1486" t="inlineStr">
        <is>
          <t>YES</t>
        </is>
      </c>
      <c r="W1486" t="inlineStr">
        <is>
          <t>https://msrc.microsoft.com/update-guide/vulnerability/CVE-2026-0948</t>
        </is>
      </c>
      <c r="X1486" t="inlineStr">
        <is>
          <t>NONE</t>
        </is>
      </c>
      <c r="Y1486" t="n">
        <v>0</v>
      </c>
      <c r="Z1486" t="inlineStr"/>
      <c r="AA1486" t="inlineStr">
        <is>
          <t>https://msrc.microsoft.com/update-guide/vulnerability/CVE-2026-0948</t>
        </is>
      </c>
    </row>
    <row r="1487">
      <c r="A1487" t="inlineStr">
        <is>
          <t>MSRC_UPDATE</t>
        </is>
      </c>
      <c r="B1487" t="inlineStr">
        <is>
          <t>CVE-2026-0391</t>
        </is>
      </c>
      <c r="C1487" t="inlineStr">
        <is>
          <t>Microsoft Update: User interface (ui) misrepresentation of critical information in Microsoft Edge for Android allows an unauthorized attacker to perform spoofing over a network.</t>
        </is>
      </c>
      <c r="D1487" t="n">
        <v>6.5</v>
      </c>
      <c r="E1487" t="inlineStr">
        <is>
          <t>MEDIUM</t>
        </is>
      </c>
      <c r="F1487" t="n">
        <v>2</v>
      </c>
      <c r="G1487" t="n">
        <v>2</v>
      </c>
      <c r="H1487" t="inlineStr">
        <is>
          <t>MEDIUM</t>
        </is>
      </c>
      <c r="I1487" t="n">
        <v>10.5</v>
      </c>
      <c r="J1487" t="inlineStr">
        <is>
          <t>NO</t>
        </is>
      </c>
      <c r="K1487" t="inlineStr">
        <is>
          <t>2026-02-05T23:15:54.093</t>
        </is>
      </c>
      <c r="L1487" t="inlineStr">
        <is>
          <t>YES</t>
        </is>
      </c>
      <c r="M1487" t="inlineStr">
        <is>
          <t>Microsoft Windows</t>
        </is>
      </c>
      <c r="N1487" t="inlineStr">
        <is>
          <t>P4</t>
        </is>
      </c>
      <c r="O1487" t="inlineStr">
        <is>
          <t>Microsoft CVE - no IP context</t>
        </is>
      </c>
      <c r="P1487" t="n">
        <v>0</v>
      </c>
      <c r="Q1487" t="n">
        <v>0</v>
      </c>
      <c r="R1487" t="inlineStr">
        <is>
          <t>T1203:Exploitation for Client Execution | T1068:Exploitation for Privilege Escalation</t>
        </is>
      </c>
      <c r="S1487" t="n">
        <v>1</v>
      </c>
      <c r="T1487" t="inlineStr">
        <is>
          <t>LOW (40%)</t>
        </is>
      </c>
      <c r="U1487" t="inlineStr">
        <is>
          <t>CHECK_MSRC</t>
        </is>
      </c>
      <c r="V1487" t="inlineStr">
        <is>
          <t>YES</t>
        </is>
      </c>
      <c r="W1487" t="inlineStr">
        <is>
          <t>https://msrc.microsoft.com/update-guide/vulnerability/CVE-2026-0391</t>
        </is>
      </c>
      <c r="X1487" t="inlineStr">
        <is>
          <t>NONE</t>
        </is>
      </c>
      <c r="Y1487" t="n">
        <v>0</v>
      </c>
      <c r="Z1487" t="inlineStr"/>
      <c r="AA1487" t="inlineStr">
        <is>
          <t>https://msrc.microsoft.com/update-guide/vulnerability/CVE-2026-0391</t>
        </is>
      </c>
    </row>
    <row r="1488">
      <c r="A1488" t="inlineStr">
        <is>
          <t>MSRC_UPDATE</t>
        </is>
      </c>
      <c r="B1488" t="inlineStr">
        <is>
          <t>CVE-2026-25592</t>
        </is>
      </c>
      <c r="C1488" t="inlineStr">
        <is>
          <t>Microsoft Update: Semantic Kernel is an SDK used to build, orchestrate, and deploy AI agents and multi-agent systems. Prior to 1.71.0, an Arbitrary File Write vulnerability has been identified in Microsoft's Semantic K</t>
        </is>
      </c>
      <c r="D1488" t="n">
        <v>9.9</v>
      </c>
      <c r="E1488" t="inlineStr">
        <is>
          <t>CRITICAL</t>
        </is>
      </c>
      <c r="F1488" t="n">
        <v>2</v>
      </c>
      <c r="G1488" t="n">
        <v>2</v>
      </c>
      <c r="H1488" t="inlineStr">
        <is>
          <t>MEDIUM</t>
        </is>
      </c>
      <c r="I1488" t="n">
        <v>13.9</v>
      </c>
      <c r="J1488" t="inlineStr">
        <is>
          <t>NO</t>
        </is>
      </c>
      <c r="K1488" t="inlineStr">
        <is>
          <t>2026-02-06T21:16:17.647</t>
        </is>
      </c>
      <c r="L1488" t="inlineStr">
        <is>
          <t>YES</t>
        </is>
      </c>
      <c r="M1488" t="inlineStr">
        <is>
          <t>Microsoft Windows</t>
        </is>
      </c>
      <c r="N1488" t="inlineStr">
        <is>
          <t>P4</t>
        </is>
      </c>
      <c r="O1488" t="inlineStr">
        <is>
          <t>Microsoft CVE - no IP context</t>
        </is>
      </c>
      <c r="P1488" t="n">
        <v>0</v>
      </c>
      <c r="Q1488" t="n">
        <v>0</v>
      </c>
      <c r="R1488" t="inlineStr">
        <is>
          <t>T1203:Exploitation for Client Execution | T1068:Exploitation for Privilege Escalation</t>
        </is>
      </c>
      <c r="S1488" t="n">
        <v>1</v>
      </c>
      <c r="T1488" t="inlineStr">
        <is>
          <t>LOW (40%)</t>
        </is>
      </c>
      <c r="U1488" t="inlineStr">
        <is>
          <t>CHECK_MSRC</t>
        </is>
      </c>
      <c r="V1488" t="inlineStr">
        <is>
          <t>YES</t>
        </is>
      </c>
      <c r="W1488" t="inlineStr">
        <is>
          <t>https://msrc.microsoft.com/update-guide/vulnerability/CVE-2026-25592</t>
        </is>
      </c>
      <c r="X1488" t="inlineStr">
        <is>
          <t>NONE</t>
        </is>
      </c>
      <c r="Y1488" t="n">
        <v>0</v>
      </c>
      <c r="Z1488" t="inlineStr"/>
      <c r="AA1488" t="inlineStr">
        <is>
          <t>https://msrc.microsoft.com/update-guide/vulnerability/CVE-2026-25592</t>
        </is>
      </c>
    </row>
    <row r="1489">
      <c r="A1489" t="inlineStr">
        <is>
          <t>MSRC_UPDATE</t>
        </is>
      </c>
      <c r="B1489" t="inlineStr">
        <is>
          <t>CVE-2026-21235</t>
        </is>
      </c>
      <c r="C1489" t="inlineStr">
        <is>
          <t>Microsoft Update: Use after free in Microsoft Graphics Component allows an authorized attacker to elevate privileges locally.</t>
        </is>
      </c>
      <c r="D1489" t="n">
        <v>7.3</v>
      </c>
      <c r="E1489" t="inlineStr">
        <is>
          <t>HIGH</t>
        </is>
      </c>
      <c r="F1489" t="n">
        <v>2</v>
      </c>
      <c r="G1489" t="n">
        <v>2</v>
      </c>
      <c r="H1489" t="inlineStr">
        <is>
          <t>MEDIUM</t>
        </is>
      </c>
      <c r="I1489" t="n">
        <v>11.3</v>
      </c>
      <c r="J1489" t="inlineStr">
        <is>
          <t>NO</t>
        </is>
      </c>
      <c r="K1489" t="inlineStr">
        <is>
          <t>2026-02-10T18:16:24.090</t>
        </is>
      </c>
      <c r="L1489" t="inlineStr">
        <is>
          <t>YES</t>
        </is>
      </c>
      <c r="M1489" t="inlineStr">
        <is>
          <t>Microsoft Windows</t>
        </is>
      </c>
      <c r="N1489" t="inlineStr">
        <is>
          <t>P4</t>
        </is>
      </c>
      <c r="O1489" t="inlineStr">
        <is>
          <t>Microsoft CVE - no IP context</t>
        </is>
      </c>
      <c r="P1489" t="n">
        <v>0</v>
      </c>
      <c r="Q1489" t="n">
        <v>0</v>
      </c>
      <c r="R1489" t="inlineStr">
        <is>
          <t>T1203:Exploitation for Client Execution | T1068:Exploitation for Privilege Escalation</t>
        </is>
      </c>
      <c r="S1489" t="n">
        <v>1</v>
      </c>
      <c r="T1489" t="inlineStr">
        <is>
          <t>LOW (40%)</t>
        </is>
      </c>
      <c r="U1489" t="inlineStr">
        <is>
          <t>CHECK_MSRC</t>
        </is>
      </c>
      <c r="V1489" t="inlineStr">
        <is>
          <t>YES</t>
        </is>
      </c>
      <c r="W1489" t="inlineStr">
        <is>
          <t>https://msrc.microsoft.com/update-guide/vulnerability/CVE-2026-21235</t>
        </is>
      </c>
      <c r="X1489" t="inlineStr">
        <is>
          <t>NONE</t>
        </is>
      </c>
      <c r="Y1489" t="n">
        <v>0</v>
      </c>
      <c r="Z1489" t="inlineStr"/>
      <c r="AA1489" t="inlineStr">
        <is>
          <t>https://msrc.microsoft.com/update-guide/vulnerability/CVE-2026-21235</t>
        </is>
      </c>
    </row>
    <row r="1490">
      <c r="A1490" t="inlineStr">
        <is>
          <t>MSRC_UPDATE</t>
        </is>
      </c>
      <c r="B1490" t="inlineStr">
        <is>
          <t>CVE-2026-21246</t>
        </is>
      </c>
      <c r="C1490" t="inlineStr">
        <is>
          <t>Microsoft Update: Heap-based buffer overflow in Microsoft Graphics Component allows an authorized attacker to elevate privileges locally.</t>
        </is>
      </c>
      <c r="D1490" t="n">
        <v>7.8</v>
      </c>
      <c r="E1490" t="inlineStr">
        <is>
          <t>HIGH</t>
        </is>
      </c>
      <c r="F1490" t="n">
        <v>2</v>
      </c>
      <c r="G1490" t="n">
        <v>2</v>
      </c>
      <c r="H1490" t="inlineStr">
        <is>
          <t>MEDIUM</t>
        </is>
      </c>
      <c r="I1490" t="n">
        <v>11.8</v>
      </c>
      <c r="J1490" t="inlineStr">
        <is>
          <t>NO</t>
        </is>
      </c>
      <c r="K1490" t="inlineStr">
        <is>
          <t>2026-02-10T18:16:26.010</t>
        </is>
      </c>
      <c r="L1490" t="inlineStr">
        <is>
          <t>YES</t>
        </is>
      </c>
      <c r="M1490" t="inlineStr">
        <is>
          <t>Microsoft Windows</t>
        </is>
      </c>
      <c r="N1490" t="inlineStr">
        <is>
          <t>P4</t>
        </is>
      </c>
      <c r="O1490" t="inlineStr">
        <is>
          <t>Microsoft CVE - no IP context</t>
        </is>
      </c>
      <c r="P1490" t="n">
        <v>0</v>
      </c>
      <c r="Q1490" t="n">
        <v>0</v>
      </c>
      <c r="R1490" t="inlineStr">
        <is>
          <t>T1203:Exploitation for Client Execution | T1068:Exploitation for Privilege Escalation</t>
        </is>
      </c>
      <c r="S1490" t="n">
        <v>1</v>
      </c>
      <c r="T1490" t="inlineStr">
        <is>
          <t>LOW (40%)</t>
        </is>
      </c>
      <c r="U1490" t="inlineStr">
        <is>
          <t>CHECK_MSRC</t>
        </is>
      </c>
      <c r="V1490" t="inlineStr">
        <is>
          <t>YES</t>
        </is>
      </c>
      <c r="W1490" t="inlineStr">
        <is>
          <t>https://msrc.microsoft.com/update-guide/vulnerability/CVE-2026-21246</t>
        </is>
      </c>
      <c r="X1490" t="inlineStr">
        <is>
          <t>NONE</t>
        </is>
      </c>
      <c r="Y1490" t="n">
        <v>0</v>
      </c>
      <c r="Z1490" t="inlineStr"/>
      <c r="AA1490" t="inlineStr">
        <is>
          <t>https://msrc.microsoft.com/update-guide/vulnerability/CVE-2026-21246</t>
        </is>
      </c>
    </row>
    <row r="1491">
      <c r="A1491" t="inlineStr">
        <is>
          <t>MSRC_UPDATE</t>
        </is>
      </c>
      <c r="B1491" t="inlineStr">
        <is>
          <t>CVE-2026-21258</t>
        </is>
      </c>
      <c r="C1491" t="inlineStr">
        <is>
          <t>Microsoft Update: Improper input validation in Microsoft Office Excel allows an unauthorized attacker to disclose information locally.</t>
        </is>
      </c>
      <c r="D1491" t="n">
        <v>5.5</v>
      </c>
      <c r="E1491" t="inlineStr">
        <is>
          <t>MEDIUM</t>
        </is>
      </c>
      <c r="F1491" t="n">
        <v>2</v>
      </c>
      <c r="G1491" t="n">
        <v>2</v>
      </c>
      <c r="H1491" t="inlineStr">
        <is>
          <t>MEDIUM</t>
        </is>
      </c>
      <c r="I1491" t="n">
        <v>9.5</v>
      </c>
      <c r="J1491" t="inlineStr">
        <is>
          <t>NO</t>
        </is>
      </c>
      <c r="K1491" t="inlineStr">
        <is>
          <t>2026-02-10T18:16:27.637</t>
        </is>
      </c>
      <c r="L1491" t="inlineStr">
        <is>
          <t>YES</t>
        </is>
      </c>
      <c r="M1491" t="inlineStr">
        <is>
          <t>Microsoft Windows</t>
        </is>
      </c>
      <c r="N1491" t="inlineStr">
        <is>
          <t>P4</t>
        </is>
      </c>
      <c r="O1491" t="inlineStr">
        <is>
          <t>Microsoft CVE - no IP context</t>
        </is>
      </c>
      <c r="P1491" t="n">
        <v>0</v>
      </c>
      <c r="Q1491" t="n">
        <v>0</v>
      </c>
      <c r="R1491" t="inlineStr">
        <is>
          <t>T1203:Exploitation for Client Execution | T1068:Exploitation for Privilege Escalation</t>
        </is>
      </c>
      <c r="S1491" t="n">
        <v>1</v>
      </c>
      <c r="T1491" t="inlineStr">
        <is>
          <t>LOW (40%)</t>
        </is>
      </c>
      <c r="U1491" t="inlineStr">
        <is>
          <t>CHECK_MSRC</t>
        </is>
      </c>
      <c r="V1491" t="inlineStr">
        <is>
          <t>YES</t>
        </is>
      </c>
      <c r="W1491" t="inlineStr">
        <is>
          <t>https://msrc.microsoft.com/update-guide/vulnerability/CVE-2026-21258</t>
        </is>
      </c>
      <c r="X1491" t="inlineStr">
        <is>
          <t>NONE</t>
        </is>
      </c>
      <c r="Y1491" t="n">
        <v>0</v>
      </c>
      <c r="Z1491" t="inlineStr"/>
      <c r="AA1491" t="inlineStr">
        <is>
          <t>https://msrc.microsoft.com/update-guide/vulnerability/CVE-2026-21258</t>
        </is>
      </c>
    </row>
    <row r="1492">
      <c r="A1492" t="inlineStr">
        <is>
          <t>MSRC_UPDATE</t>
        </is>
      </c>
      <c r="B1492" t="inlineStr">
        <is>
          <t>CVE-2026-21259</t>
        </is>
      </c>
      <c r="C1492" t="inlineStr">
        <is>
          <t>Microsoft Update: Heap-based buffer overflow in Microsoft Office Excel allows an unauthorized attacker to elevate privileges locally.</t>
        </is>
      </c>
      <c r="D1492" t="n">
        <v>7.8</v>
      </c>
      <c r="E1492" t="inlineStr">
        <is>
          <t>HIGH</t>
        </is>
      </c>
      <c r="F1492" t="n">
        <v>2</v>
      </c>
      <c r="G1492" t="n">
        <v>2</v>
      </c>
      <c r="H1492" t="inlineStr">
        <is>
          <t>MEDIUM</t>
        </is>
      </c>
      <c r="I1492" t="n">
        <v>11.8</v>
      </c>
      <c r="J1492" t="inlineStr">
        <is>
          <t>NO</t>
        </is>
      </c>
      <c r="K1492" t="inlineStr">
        <is>
          <t>2026-02-10T18:16:27.790</t>
        </is>
      </c>
      <c r="L1492" t="inlineStr">
        <is>
          <t>YES</t>
        </is>
      </c>
      <c r="M1492" t="inlineStr">
        <is>
          <t>Microsoft Windows</t>
        </is>
      </c>
      <c r="N1492" t="inlineStr">
        <is>
          <t>P4</t>
        </is>
      </c>
      <c r="O1492" t="inlineStr">
        <is>
          <t>Microsoft CVE - no IP context</t>
        </is>
      </c>
      <c r="P1492" t="n">
        <v>0</v>
      </c>
      <c r="Q1492" t="n">
        <v>0</v>
      </c>
      <c r="R1492" t="inlineStr">
        <is>
          <t>T1203:Exploitation for Client Execution | T1068:Exploitation for Privilege Escalation</t>
        </is>
      </c>
      <c r="S1492" t="n">
        <v>1</v>
      </c>
      <c r="T1492" t="inlineStr">
        <is>
          <t>LOW (40%)</t>
        </is>
      </c>
      <c r="U1492" t="inlineStr">
        <is>
          <t>CHECK_MSRC</t>
        </is>
      </c>
      <c r="V1492" t="inlineStr">
        <is>
          <t>YES</t>
        </is>
      </c>
      <c r="W1492" t="inlineStr">
        <is>
          <t>https://msrc.microsoft.com/update-guide/vulnerability/CVE-2026-21259</t>
        </is>
      </c>
      <c r="X1492" t="inlineStr">
        <is>
          <t>NONE</t>
        </is>
      </c>
      <c r="Y1492" t="n">
        <v>0</v>
      </c>
      <c r="Z1492" t="inlineStr"/>
      <c r="AA1492" t="inlineStr">
        <is>
          <t>https://msrc.microsoft.com/update-guide/vulnerability/CVE-2026-21259</t>
        </is>
      </c>
    </row>
    <row r="1493">
      <c r="A1493" t="inlineStr">
        <is>
          <t>MSRC_UPDATE</t>
        </is>
      </c>
      <c r="B1493" t="inlineStr">
        <is>
          <t>CVE-2026-21260</t>
        </is>
      </c>
      <c r="C1493" t="inlineStr">
        <is>
          <t>Microsoft Update: Exposure of sensitive information to an unauthorized actor in Microsoft Office Outlook allows an unauthorized attacker to perform spoofing over a network.</t>
        </is>
      </c>
      <c r="D1493" t="n">
        <v>7.5</v>
      </c>
      <c r="E1493" t="inlineStr">
        <is>
          <t>HIGH</t>
        </is>
      </c>
      <c r="F1493" t="n">
        <v>2</v>
      </c>
      <c r="G1493" t="n">
        <v>2</v>
      </c>
      <c r="H1493" t="inlineStr">
        <is>
          <t>MEDIUM</t>
        </is>
      </c>
      <c r="I1493" t="n">
        <v>11.5</v>
      </c>
      <c r="J1493" t="inlineStr">
        <is>
          <t>NO</t>
        </is>
      </c>
      <c r="K1493" t="inlineStr">
        <is>
          <t>2026-02-10T18:16:27.947</t>
        </is>
      </c>
      <c r="L1493" t="inlineStr">
        <is>
          <t>YES</t>
        </is>
      </c>
      <c r="M1493" t="inlineStr">
        <is>
          <t>Microsoft Windows</t>
        </is>
      </c>
      <c r="N1493" t="inlineStr">
        <is>
          <t>P4</t>
        </is>
      </c>
      <c r="O1493" t="inlineStr">
        <is>
          <t>Microsoft CVE - no IP context</t>
        </is>
      </c>
      <c r="P1493" t="n">
        <v>0</v>
      </c>
      <c r="Q1493" t="n">
        <v>0</v>
      </c>
      <c r="R1493" t="inlineStr">
        <is>
          <t>T1203:Exploitation for Client Execution | T1068:Exploitation for Privilege Escalation</t>
        </is>
      </c>
      <c r="S1493" t="n">
        <v>1</v>
      </c>
      <c r="T1493" t="inlineStr">
        <is>
          <t>LOW (40%)</t>
        </is>
      </c>
      <c r="U1493" t="inlineStr">
        <is>
          <t>CHECK_MSRC</t>
        </is>
      </c>
      <c r="V1493" t="inlineStr">
        <is>
          <t>YES</t>
        </is>
      </c>
      <c r="W1493" t="inlineStr">
        <is>
          <t>https://msrc.microsoft.com/update-guide/vulnerability/CVE-2026-21260</t>
        </is>
      </c>
      <c r="X1493" t="inlineStr">
        <is>
          <t>NONE</t>
        </is>
      </c>
      <c r="Y1493" t="n">
        <v>0</v>
      </c>
      <c r="Z1493" t="inlineStr"/>
      <c r="AA1493" t="inlineStr">
        <is>
          <t>https://msrc.microsoft.com/update-guide/vulnerability/CVE-2026-21260</t>
        </is>
      </c>
    </row>
    <row r="1494">
      <c r="A1494" t="inlineStr">
        <is>
          <t>MSRC_UPDATE</t>
        </is>
      </c>
      <c r="B1494" t="inlineStr">
        <is>
          <t>CVE-2026-21261</t>
        </is>
      </c>
      <c r="C1494" t="inlineStr">
        <is>
          <t>Microsoft Update: Out-of-bounds read in Microsoft Office Excel allows an unauthorized attacker to disclose information locally.</t>
        </is>
      </c>
      <c r="D1494" t="n">
        <v>5.5</v>
      </c>
      <c r="E1494" t="inlineStr">
        <is>
          <t>MEDIUM</t>
        </is>
      </c>
      <c r="F1494" t="n">
        <v>2</v>
      </c>
      <c r="G1494" t="n">
        <v>2</v>
      </c>
      <c r="H1494" t="inlineStr">
        <is>
          <t>MEDIUM</t>
        </is>
      </c>
      <c r="I1494" t="n">
        <v>9.5</v>
      </c>
      <c r="J1494" t="inlineStr">
        <is>
          <t>NO</t>
        </is>
      </c>
      <c r="K1494" t="inlineStr">
        <is>
          <t>2026-02-10T18:16:28.107</t>
        </is>
      </c>
      <c r="L1494" t="inlineStr">
        <is>
          <t>YES</t>
        </is>
      </c>
      <c r="M1494" t="inlineStr">
        <is>
          <t>Microsoft Windows</t>
        </is>
      </c>
      <c r="N1494" t="inlineStr">
        <is>
          <t>P4</t>
        </is>
      </c>
      <c r="O1494" t="inlineStr">
        <is>
          <t>Microsoft CVE - no IP context</t>
        </is>
      </c>
      <c r="P1494" t="n">
        <v>0</v>
      </c>
      <c r="Q1494" t="n">
        <v>0</v>
      </c>
      <c r="R1494" t="inlineStr">
        <is>
          <t>T1203:Exploitation for Client Execution | T1068:Exploitation for Privilege Escalation</t>
        </is>
      </c>
      <c r="S1494" t="n">
        <v>1</v>
      </c>
      <c r="T1494" t="inlineStr">
        <is>
          <t>LOW (40%)</t>
        </is>
      </c>
      <c r="U1494" t="inlineStr">
        <is>
          <t>CHECK_MSRC</t>
        </is>
      </c>
      <c r="V1494" t="inlineStr">
        <is>
          <t>YES</t>
        </is>
      </c>
      <c r="W1494" t="inlineStr">
        <is>
          <t>https://msrc.microsoft.com/update-guide/vulnerability/CVE-2026-21261</t>
        </is>
      </c>
      <c r="X1494" t="inlineStr">
        <is>
          <t>NONE</t>
        </is>
      </c>
      <c r="Y1494" t="n">
        <v>0</v>
      </c>
      <c r="Z1494" t="inlineStr"/>
      <c r="AA1494" t="inlineStr">
        <is>
          <t>https://msrc.microsoft.com/update-guide/vulnerability/CVE-2026-21261</t>
        </is>
      </c>
    </row>
    <row r="1495">
      <c r="A1495" t="inlineStr">
        <is>
          <t>MSRC_UPDATE</t>
        </is>
      </c>
      <c r="B1495" t="inlineStr">
        <is>
          <t>CVE-2026-21511</t>
        </is>
      </c>
      <c r="C1495" t="inlineStr">
        <is>
          <t>Microsoft Update: Deserialization of untrusted data in Microsoft Office Outlook allows an unauthorized attacker to perform spoofing over a network.</t>
        </is>
      </c>
      <c r="D1495" t="n">
        <v>7.5</v>
      </c>
      <c r="E1495" t="inlineStr">
        <is>
          <t>HIGH</t>
        </is>
      </c>
      <c r="F1495" t="n">
        <v>2</v>
      </c>
      <c r="G1495" t="n">
        <v>2</v>
      </c>
      <c r="H1495" t="inlineStr">
        <is>
          <t>MEDIUM</t>
        </is>
      </c>
      <c r="I1495" t="n">
        <v>11.5</v>
      </c>
      <c r="J1495" t="inlineStr">
        <is>
          <t>NO</t>
        </is>
      </c>
      <c r="K1495" t="inlineStr">
        <is>
          <t>2026-02-10T18:16:33.337</t>
        </is>
      </c>
      <c r="L1495" t="inlineStr">
        <is>
          <t>YES</t>
        </is>
      </c>
      <c r="M1495" t="inlineStr">
        <is>
          <t>Microsoft Windows</t>
        </is>
      </c>
      <c r="N1495" t="inlineStr">
        <is>
          <t>P4</t>
        </is>
      </c>
      <c r="O1495" t="inlineStr">
        <is>
          <t>Microsoft CVE - no IP context</t>
        </is>
      </c>
      <c r="P1495" t="n">
        <v>0</v>
      </c>
      <c r="Q1495" t="n">
        <v>0</v>
      </c>
      <c r="R1495" t="inlineStr">
        <is>
          <t>T1203:Exploitation for Client Execution | T1068:Exploitation for Privilege Escalation</t>
        </is>
      </c>
      <c r="S1495" t="n">
        <v>1</v>
      </c>
      <c r="T1495" t="inlineStr">
        <is>
          <t>LOW (40%)</t>
        </is>
      </c>
      <c r="U1495" t="inlineStr">
        <is>
          <t>CHECK_MSRC</t>
        </is>
      </c>
      <c r="V1495" t="inlineStr">
        <is>
          <t>YES</t>
        </is>
      </c>
      <c r="W1495" t="inlineStr">
        <is>
          <t>https://msrc.microsoft.com/update-guide/vulnerability/CVE-2026-21511</t>
        </is>
      </c>
      <c r="X1495" t="inlineStr">
        <is>
          <t>NONE</t>
        </is>
      </c>
      <c r="Y1495" t="n">
        <v>0</v>
      </c>
      <c r="Z1495" t="inlineStr"/>
      <c r="AA1495" t="inlineStr">
        <is>
          <t>https://msrc.microsoft.com/update-guide/vulnerability/CVE-2026-21511</t>
        </is>
      </c>
    </row>
    <row r="1496">
      <c r="A1496" t="inlineStr">
        <is>
          <t>MSRC_UPDATE</t>
        </is>
      </c>
      <c r="B1496" t="inlineStr">
        <is>
          <t>CVE-2026-21514</t>
        </is>
      </c>
      <c r="C1496" t="inlineStr">
        <is>
          <t>Microsoft Update: Reliance on untrusted inputs in a security decision in Microsoft Office Word allows an unauthorized attacker to bypass a security feature locally.</t>
        </is>
      </c>
      <c r="D1496" t="n">
        <v>7.8</v>
      </c>
      <c r="E1496" t="inlineStr">
        <is>
          <t>HIGH</t>
        </is>
      </c>
      <c r="F1496" t="n">
        <v>2</v>
      </c>
      <c r="G1496" t="n">
        <v>2</v>
      </c>
      <c r="H1496" t="inlineStr">
        <is>
          <t>MEDIUM</t>
        </is>
      </c>
      <c r="I1496" t="n">
        <v>11.8</v>
      </c>
      <c r="J1496" t="inlineStr">
        <is>
          <t>NO</t>
        </is>
      </c>
      <c r="K1496" t="inlineStr">
        <is>
          <t>2026-02-10T18:16:33.803</t>
        </is>
      </c>
      <c r="L1496" t="inlineStr">
        <is>
          <t>YES</t>
        </is>
      </c>
      <c r="M1496" t="inlineStr">
        <is>
          <t>Microsoft Windows</t>
        </is>
      </c>
      <c r="N1496" t="inlineStr">
        <is>
          <t>P4</t>
        </is>
      </c>
      <c r="O1496" t="inlineStr">
        <is>
          <t>Microsoft CVE - no IP context</t>
        </is>
      </c>
      <c r="P1496" t="n">
        <v>0</v>
      </c>
      <c r="Q1496" t="n">
        <v>0</v>
      </c>
      <c r="R1496" t="inlineStr">
        <is>
          <t>T1203:Exploitation for Client Execution | T1068:Exploitation for Privilege Escalation</t>
        </is>
      </c>
      <c r="S1496" t="n">
        <v>1</v>
      </c>
      <c r="T1496" t="inlineStr">
        <is>
          <t>LOW (40%)</t>
        </is>
      </c>
      <c r="U1496" t="inlineStr">
        <is>
          <t>CHECK_MSRC</t>
        </is>
      </c>
      <c r="V1496" t="inlineStr">
        <is>
          <t>YES</t>
        </is>
      </c>
      <c r="W1496" t="inlineStr">
        <is>
          <t>https://msrc.microsoft.com/update-guide/vulnerability/CVE-2026-21514</t>
        </is>
      </c>
      <c r="X1496" t="inlineStr">
        <is>
          <t>NONE</t>
        </is>
      </c>
      <c r="Y1496" t="n">
        <v>0</v>
      </c>
      <c r="Z1496" t="inlineStr"/>
      <c r="AA1496" t="inlineStr">
        <is>
          <t>https://msrc.microsoft.com/update-guide/vulnerability/CVE-2026-21514</t>
        </is>
      </c>
    </row>
    <row r="1497">
      <c r="A1497" t="inlineStr">
        <is>
          <t>MSRC_UPDATE</t>
        </is>
      </c>
      <c r="B1497" t="inlineStr">
        <is>
          <t>CVE-2026-21527</t>
        </is>
      </c>
      <c r="C1497" t="inlineStr">
        <is>
          <t>Microsoft Update: User interface (ui) misrepresentation of critical information in Microsoft Exchange Server allows an unauthorized attacker to perform spoofing over a network.</t>
        </is>
      </c>
      <c r="D1497" t="n">
        <v>6.5</v>
      </c>
      <c r="E1497" t="inlineStr">
        <is>
          <t>MEDIUM</t>
        </is>
      </c>
      <c r="F1497" t="n">
        <v>2</v>
      </c>
      <c r="G1497" t="n">
        <v>2</v>
      </c>
      <c r="H1497" t="inlineStr">
        <is>
          <t>MEDIUM</t>
        </is>
      </c>
      <c r="I1497" t="n">
        <v>10.5</v>
      </c>
      <c r="J1497" t="inlineStr">
        <is>
          <t>NO</t>
        </is>
      </c>
      <c r="K1497" t="inlineStr">
        <is>
          <t>2026-02-10T18:16:35.093</t>
        </is>
      </c>
      <c r="L1497" t="inlineStr">
        <is>
          <t>YES</t>
        </is>
      </c>
      <c r="M1497" t="inlineStr">
        <is>
          <t>Microsoft Windows</t>
        </is>
      </c>
      <c r="N1497" t="inlineStr">
        <is>
          <t>P4</t>
        </is>
      </c>
      <c r="O1497" t="inlineStr">
        <is>
          <t>Microsoft CVE - no IP context</t>
        </is>
      </c>
      <c r="P1497" t="n">
        <v>0</v>
      </c>
      <c r="Q1497" t="n">
        <v>0</v>
      </c>
      <c r="R1497" t="inlineStr">
        <is>
          <t>T1203:Exploitation for Client Execution | T1068:Exploitation for Privilege Escalation</t>
        </is>
      </c>
      <c r="S1497" t="n">
        <v>1</v>
      </c>
      <c r="T1497" t="inlineStr">
        <is>
          <t>LOW (40%)</t>
        </is>
      </c>
      <c r="U1497" t="inlineStr">
        <is>
          <t>CHECK_MSRC</t>
        </is>
      </c>
      <c r="V1497" t="inlineStr">
        <is>
          <t>YES</t>
        </is>
      </c>
      <c r="W1497" t="inlineStr">
        <is>
          <t>https://msrc.microsoft.com/update-guide/vulnerability/CVE-2026-21527</t>
        </is>
      </c>
      <c r="X1497" t="inlineStr">
        <is>
          <t>NONE</t>
        </is>
      </c>
      <c r="Y1497" t="n">
        <v>0</v>
      </c>
      <c r="Z1497" t="inlineStr"/>
      <c r="AA1497" t="inlineStr">
        <is>
          <t>https://msrc.microsoft.com/update-guide/vulnerability/CVE-2026-21527</t>
        </is>
      </c>
    </row>
    <row r="1498">
      <c r="A1498" t="inlineStr">
        <is>
          <t>MSRC_UPDATE</t>
        </is>
      </c>
      <c r="B1498" t="inlineStr">
        <is>
          <t>CVE-2026-21537</t>
        </is>
      </c>
      <c r="C1498" t="inlineStr">
        <is>
          <t>Microsoft Update: Improper control of generation of code ('code injection') in Microsoft Defender for Linux allows an unauthorized attacker to execute code over an adjacent network.</t>
        </is>
      </c>
      <c r="D1498" t="n">
        <v>8.800000000000001</v>
      </c>
      <c r="E1498" t="inlineStr">
        <is>
          <t>HIGH</t>
        </is>
      </c>
      <c r="F1498" t="n">
        <v>2</v>
      </c>
      <c r="G1498" t="n">
        <v>2</v>
      </c>
      <c r="H1498" t="inlineStr">
        <is>
          <t>MEDIUM</t>
        </is>
      </c>
      <c r="I1498" t="n">
        <v>12.8</v>
      </c>
      <c r="J1498" t="inlineStr">
        <is>
          <t>NO</t>
        </is>
      </c>
      <c r="K1498" t="inlineStr">
        <is>
          <t>2026-02-10T18:16:35.970</t>
        </is>
      </c>
      <c r="L1498" t="inlineStr">
        <is>
          <t>YES</t>
        </is>
      </c>
      <c r="M1498" t="inlineStr">
        <is>
          <t>Microsoft Windows</t>
        </is>
      </c>
      <c r="N1498" t="inlineStr">
        <is>
          <t>P4</t>
        </is>
      </c>
      <c r="O1498" t="inlineStr">
        <is>
          <t>Microsoft CVE - no IP context</t>
        </is>
      </c>
      <c r="P1498" t="n">
        <v>0</v>
      </c>
      <c r="Q1498" t="n">
        <v>0</v>
      </c>
      <c r="R1498" t="inlineStr">
        <is>
          <t>T1203:Exploitation for Client Execution | T1068:Exploitation for Privilege Escalation</t>
        </is>
      </c>
      <c r="S1498" t="n">
        <v>1</v>
      </c>
      <c r="T1498" t="inlineStr">
        <is>
          <t>LOW (40%)</t>
        </is>
      </c>
      <c r="U1498" t="inlineStr">
        <is>
          <t>CHECK_MSRC</t>
        </is>
      </c>
      <c r="V1498" t="inlineStr">
        <is>
          <t>YES</t>
        </is>
      </c>
      <c r="W1498" t="inlineStr">
        <is>
          <t>https://msrc.microsoft.com/update-guide/vulnerability/CVE-2026-21537</t>
        </is>
      </c>
      <c r="X1498" t="inlineStr">
        <is>
          <t>NONE</t>
        </is>
      </c>
      <c r="Y1498" t="n">
        <v>0</v>
      </c>
      <c r="Z1498" t="inlineStr"/>
      <c r="AA1498" t="inlineStr">
        <is>
          <t>https://msrc.microsoft.com/update-guide/vulnerability/CVE-2026-21537</t>
        </is>
      </c>
    </row>
    <row r="1499">
      <c r="A1499" t="inlineStr">
        <is>
          <t>MSRC_UPDATE</t>
        </is>
      </c>
      <c r="B1499" t="inlineStr">
        <is>
          <t>CVE-2026-22048</t>
        </is>
      </c>
      <c r="C1499" t="inlineStr">
        <is>
          <t xml:space="preserve">Microsoft Update: StorageGRID (formerly StorageGRID Webscale) versions prior to 11.9.0.12 and 12.0.0.4 with Single Sign-on enabled and configured to use Microsoft Entra ID (formerly Azure AD) as an IdP are susceptible </t>
        </is>
      </c>
      <c r="D1499" t="n">
        <v>7.1</v>
      </c>
      <c r="E1499" t="inlineStr">
        <is>
          <t>HIGH</t>
        </is>
      </c>
      <c r="F1499" t="n">
        <v>2</v>
      </c>
      <c r="G1499" t="n">
        <v>2</v>
      </c>
      <c r="H1499" t="inlineStr">
        <is>
          <t>MEDIUM</t>
        </is>
      </c>
      <c r="I1499" t="n">
        <v>11.1</v>
      </c>
      <c r="J1499" t="inlineStr">
        <is>
          <t>NO</t>
        </is>
      </c>
      <c r="K1499" t="inlineStr">
        <is>
          <t>2026-02-18T00:16:18.700</t>
        </is>
      </c>
      <c r="L1499" t="inlineStr">
        <is>
          <t>YES</t>
        </is>
      </c>
      <c r="M1499" t="inlineStr">
        <is>
          <t>Microsoft Windows</t>
        </is>
      </c>
      <c r="N1499" t="inlineStr">
        <is>
          <t>P4</t>
        </is>
      </c>
      <c r="O1499" t="inlineStr">
        <is>
          <t>Microsoft CVE - no IP context</t>
        </is>
      </c>
      <c r="P1499" t="n">
        <v>0</v>
      </c>
      <c r="Q1499" t="n">
        <v>0</v>
      </c>
      <c r="R1499" t="inlineStr">
        <is>
          <t>T1203:Exploitation for Client Execution | T1068:Exploitation for Privilege Escalation</t>
        </is>
      </c>
      <c r="S1499" t="n">
        <v>1</v>
      </c>
      <c r="T1499" t="inlineStr">
        <is>
          <t>LOW (40%)</t>
        </is>
      </c>
      <c r="U1499" t="inlineStr">
        <is>
          <t>CHECK_MSRC</t>
        </is>
      </c>
      <c r="V1499" t="inlineStr">
        <is>
          <t>YES</t>
        </is>
      </c>
      <c r="W1499" t="inlineStr">
        <is>
          <t>https://msrc.microsoft.com/update-guide/vulnerability/CVE-2026-22048</t>
        </is>
      </c>
      <c r="X1499" t="inlineStr">
        <is>
          <t>NONE</t>
        </is>
      </c>
      <c r="Y1499" t="n">
        <v>0</v>
      </c>
      <c r="Z1499" t="inlineStr"/>
      <c r="AA1499" t="inlineStr">
        <is>
          <t>https://msrc.microsoft.com/update-guide/vulnerability/CVE-2026-22048</t>
        </is>
      </c>
    </row>
    <row r="1500">
      <c r="A1500" t="inlineStr">
        <is>
          <t>MSRC_UPDATE</t>
        </is>
      </c>
      <c r="B1500" t="inlineStr">
        <is>
          <t>CVE-2026-26030</t>
        </is>
      </c>
      <c r="C1500" t="inlineStr">
        <is>
          <t xml:space="preserve">Microsoft Update: Semantic Kernel, Microsoft's semantic kernel Python SDK, has a remote code execution vulnerability in versions prior to 1.39.4, specifically within the `InMemoryVectorStore` filter functionality. The </t>
        </is>
      </c>
      <c r="D1500" t="n">
        <v>9.9</v>
      </c>
      <c r="E1500" t="inlineStr">
        <is>
          <t>CRITICAL</t>
        </is>
      </c>
      <c r="F1500" t="n">
        <v>2</v>
      </c>
      <c r="G1500" t="n">
        <v>2</v>
      </c>
      <c r="H1500" t="inlineStr">
        <is>
          <t>MEDIUM</t>
        </is>
      </c>
      <c r="I1500" t="n">
        <v>13.9</v>
      </c>
      <c r="J1500" t="inlineStr">
        <is>
          <t>NO</t>
        </is>
      </c>
      <c r="K1500" t="inlineStr">
        <is>
          <t>2026-02-19T17:24:50.487</t>
        </is>
      </c>
      <c r="L1500" t="inlineStr">
        <is>
          <t>YES</t>
        </is>
      </c>
      <c r="M1500" t="inlineStr">
        <is>
          <t>Microsoft Windows</t>
        </is>
      </c>
      <c r="N1500" t="inlineStr">
        <is>
          <t>P4</t>
        </is>
      </c>
      <c r="O1500" t="inlineStr">
        <is>
          <t>Microsoft CVE - no IP context</t>
        </is>
      </c>
      <c r="P1500" t="n">
        <v>0</v>
      </c>
      <c r="Q1500" t="n">
        <v>0</v>
      </c>
      <c r="R1500" t="inlineStr">
        <is>
          <t>T1203:Exploitation for Client Execution | T1068:Exploitation for Privilege Escalation</t>
        </is>
      </c>
      <c r="S1500" t="n">
        <v>1</v>
      </c>
      <c r="T1500" t="inlineStr">
        <is>
          <t>LOW (40%)</t>
        </is>
      </c>
      <c r="U1500" t="inlineStr">
        <is>
          <t>CHECK_MSRC</t>
        </is>
      </c>
      <c r="V1500" t="inlineStr">
        <is>
          <t>YES</t>
        </is>
      </c>
      <c r="W1500" t="inlineStr">
        <is>
          <t>https://msrc.microsoft.com/update-guide/vulnerability/CVE-2026-26030</t>
        </is>
      </c>
      <c r="X1500" t="inlineStr">
        <is>
          <t>NONE</t>
        </is>
      </c>
      <c r="Y1500" t="n">
        <v>0</v>
      </c>
      <c r="Z1500" t="inlineStr"/>
      <c r="AA1500" t="inlineStr">
        <is>
          <t>https://msrc.microsoft.com/update-guide/vulnerability/CVE-2026-26030</t>
        </is>
      </c>
    </row>
    <row r="1501">
      <c r="A1501" t="inlineStr">
        <is>
          <t>MSRC_UPDATE</t>
        </is>
      </c>
      <c r="B1501" t="inlineStr">
        <is>
          <t>CVE-2026-21535</t>
        </is>
      </c>
      <c r="C1501" t="inlineStr">
        <is>
          <t>Microsoft Update: Improper access control in Microsoft Teams allows an unauthorized attacker to disclose information over a network.</t>
        </is>
      </c>
      <c r="D1501" t="n">
        <v>8.199999999999999</v>
      </c>
      <c r="E1501" t="inlineStr">
        <is>
          <t>HIGH</t>
        </is>
      </c>
      <c r="F1501" t="n">
        <v>2</v>
      </c>
      <c r="G1501" t="n">
        <v>2</v>
      </c>
      <c r="H1501" t="inlineStr">
        <is>
          <t>MEDIUM</t>
        </is>
      </c>
      <c r="I1501" t="n">
        <v>12.2</v>
      </c>
      <c r="J1501" t="inlineStr">
        <is>
          <t>NO</t>
        </is>
      </c>
      <c r="K1501" t="inlineStr">
        <is>
          <t>2026-02-19T23:16:24.217</t>
        </is>
      </c>
      <c r="L1501" t="inlineStr">
        <is>
          <t>YES</t>
        </is>
      </c>
      <c r="M1501" t="inlineStr">
        <is>
          <t>Microsoft Windows</t>
        </is>
      </c>
      <c r="N1501" t="inlineStr">
        <is>
          <t>P4</t>
        </is>
      </c>
      <c r="O1501" t="inlineStr">
        <is>
          <t>Microsoft CVE - no IP context</t>
        </is>
      </c>
      <c r="P1501" t="n">
        <v>0</v>
      </c>
      <c r="Q1501" t="n">
        <v>0</v>
      </c>
      <c r="R1501" t="inlineStr">
        <is>
          <t>T1203:Exploitation for Client Execution | T1068:Exploitation for Privilege Escalation</t>
        </is>
      </c>
      <c r="S1501" t="n">
        <v>1</v>
      </c>
      <c r="T1501" t="inlineStr">
        <is>
          <t>LOW (40%)</t>
        </is>
      </c>
      <c r="U1501" t="inlineStr">
        <is>
          <t>CHECK_MSRC</t>
        </is>
      </c>
      <c r="V1501" t="inlineStr">
        <is>
          <t>YES</t>
        </is>
      </c>
      <c r="W1501" t="inlineStr">
        <is>
          <t>https://msrc.microsoft.com/update-guide/vulnerability/CVE-2026-21535</t>
        </is>
      </c>
      <c r="X1501" t="inlineStr">
        <is>
          <t>NONE</t>
        </is>
      </c>
      <c r="Y1501" t="n">
        <v>0</v>
      </c>
      <c r="Z1501" t="inlineStr"/>
      <c r="AA1501" t="inlineStr">
        <is>
          <t>https://msrc.microsoft.com/update-guide/vulnerability/CVE-2026-21535</t>
        </is>
      </c>
    </row>
    <row r="1502">
      <c r="A1502" t="inlineStr">
        <is>
          <t>PATCH_TUESDAY</t>
        </is>
      </c>
      <c r="B1502" t="inlineStr">
        <is>
          <t>PT-February-2026</t>
        </is>
      </c>
      <c r="C1502" t="inlineStr">
        <is>
          <t>Patch Tuesday February 2026: Patch Tuesday: February 10, 2026 - Status: Released</t>
        </is>
      </c>
      <c r="D1502" t="n">
        <v>0</v>
      </c>
      <c r="E1502" t="inlineStr">
        <is>
          <t>LOW</t>
        </is>
      </c>
      <c r="F1502" t="n">
        <v>1</v>
      </c>
      <c r="G1502" t="n">
        <v>1</v>
      </c>
      <c r="H1502" t="inlineStr">
        <is>
          <t>LOW</t>
        </is>
      </c>
      <c r="I1502" t="n">
        <v>1</v>
      </c>
      <c r="J1502" t="inlineStr">
        <is>
          <t>NO</t>
        </is>
      </c>
      <c r="K1502" t="inlineStr">
        <is>
          <t>2026-02-10</t>
        </is>
      </c>
      <c r="L1502" t="inlineStr">
        <is>
          <t>Released</t>
        </is>
      </c>
      <c r="M1502" t="inlineStr">
        <is>
          <t>Microsoft Windows / Microsoft 365</t>
        </is>
      </c>
      <c r="N1502" t="inlineStr">
        <is>
          <t>P4</t>
        </is>
      </c>
      <c r="O1502" t="inlineStr">
        <is>
          <t>Informational - no IP context</t>
        </is>
      </c>
      <c r="P1502" t="n">
        <v>0</v>
      </c>
      <c r="Q1502" t="n">
        <v>0</v>
      </c>
      <c r="R1502" t="inlineStr">
        <is>
          <t>Informational</t>
        </is>
      </c>
      <c r="S1502" t="n">
        <v>1</v>
      </c>
      <c r="T1502" t="inlineStr">
        <is>
          <t>LOW (40%)</t>
        </is>
      </c>
      <c r="U1502" t="inlineStr">
        <is>
          <t>NONE</t>
        </is>
      </c>
      <c r="V1502" t="inlineStr">
        <is>
          <t>NONE</t>
        </is>
      </c>
      <c r="W1502" t="inlineStr">
        <is>
          <t>NONE</t>
        </is>
      </c>
      <c r="X1502" t="inlineStr">
        <is>
          <t>NONE</t>
        </is>
      </c>
      <c r="Y1502" t="n">
        <v>0</v>
      </c>
      <c r="Z1502" t="inlineStr"/>
      <c r="AA1502" t="inlineStr">
        <is>
          <t>https://msrc.microsoft.com/update-guide/</t>
        </is>
      </c>
    </row>
    <row r="1503">
      <c r="A1503" t="inlineStr">
        <is>
          <t>TALOS_IP</t>
        </is>
      </c>
      <c r="B1503" t="inlineStr">
        <is>
          <t>52f5c2f32e8d</t>
        </is>
      </c>
      <c r="C1503" t="inlineStr">
        <is>
          <t>Cisco Talos Blacklisted IP: 1.15.22.112 | Verified malicious | Sources: TALOS</t>
        </is>
      </c>
      <c r="D1503" t="n">
        <v>7</v>
      </c>
      <c r="E1503" t="inlineStr">
        <is>
          <t>HIGH</t>
        </is>
      </c>
      <c r="F1503" t="n">
        <v>3</v>
      </c>
      <c r="G1503" t="n">
        <v>2</v>
      </c>
      <c r="H1503" t="inlineStr">
        <is>
          <t>HIGH</t>
        </is>
      </c>
      <c r="I1503" t="n">
        <v>13</v>
      </c>
      <c r="J1503" t="inlineStr">
        <is>
          <t>NO</t>
        </is>
      </c>
      <c r="K1503" t="inlineStr">
        <is>
          <t>2026-02-27 20:47</t>
        </is>
      </c>
      <c r="L1503" t="inlineStr">
        <is>
          <t>Block IP</t>
        </is>
      </c>
      <c r="M1503" t="inlineStr">
        <is>
          <t>Network perimeter / Email / Web</t>
        </is>
      </c>
      <c r="N1503" t="inlineStr">
        <is>
          <t>P3</t>
        </is>
      </c>
      <c r="O1503" t="inlineStr">
        <is>
          <t>Check ip-api.com + AbuseIPDB for context</t>
        </is>
      </c>
      <c r="P1503" t="n">
        <v>0</v>
      </c>
      <c r="Q1503" t="n">
        <v>0</v>
      </c>
      <c r="R1503" t="inlineStr">
        <is>
          <t>T1110:Brute Force | T1190:Exploit Public-Facing Application | T1566:Phishing</t>
        </is>
      </c>
      <c r="S1503" t="n">
        <v>1</v>
      </c>
      <c r="T1503" t="inlineStr">
        <is>
          <t>MEDIUM (60%)</t>
        </is>
      </c>
      <c r="U1503" t="inlineStr">
        <is>
          <t>NONE</t>
        </is>
      </c>
      <c r="V1503" t="inlineStr">
        <is>
          <t>NONE</t>
        </is>
      </c>
      <c r="W1503" t="inlineStr">
        <is>
          <t>NONE</t>
        </is>
      </c>
      <c r="X1503" t="inlineStr">
        <is>
          <t>NONE</t>
        </is>
      </c>
      <c r="Y1503" t="n">
        <v>0</v>
      </c>
      <c r="Z1503" t="inlineStr"/>
      <c r="AA1503" t="inlineStr">
        <is>
          <t>https://talosintelligence.com/reputation_center/lookup?search=1.15.22.112</t>
        </is>
      </c>
    </row>
    <row r="1504">
      <c r="A1504" t="inlineStr">
        <is>
          <t>TALOS_IP</t>
        </is>
      </c>
      <c r="B1504" t="inlineStr">
        <is>
          <t>5afb15da8526</t>
        </is>
      </c>
      <c r="C1504" t="inlineStr">
        <is>
          <t>Cisco Talos Blacklisted IP: 1.15.94.7 | Verified malicious | Sources: TALOS</t>
        </is>
      </c>
      <c r="D1504" t="n">
        <v>7</v>
      </c>
      <c r="E1504" t="inlineStr">
        <is>
          <t>HIGH</t>
        </is>
      </c>
      <c r="F1504" t="n">
        <v>3</v>
      </c>
      <c r="G1504" t="n">
        <v>2</v>
      </c>
      <c r="H1504" t="inlineStr">
        <is>
          <t>HIGH</t>
        </is>
      </c>
      <c r="I1504" t="n">
        <v>13</v>
      </c>
      <c r="J1504" t="inlineStr">
        <is>
          <t>NO</t>
        </is>
      </c>
      <c r="K1504" t="inlineStr">
        <is>
          <t>2026-02-27 20:47</t>
        </is>
      </c>
      <c r="L1504" t="inlineStr">
        <is>
          <t>Block IP</t>
        </is>
      </c>
      <c r="M1504" t="inlineStr">
        <is>
          <t>Network perimeter / Email / Web</t>
        </is>
      </c>
      <c r="N1504" t="inlineStr">
        <is>
          <t>P3</t>
        </is>
      </c>
      <c r="O1504" t="inlineStr">
        <is>
          <t>Check ip-api.com + AbuseIPDB for context</t>
        </is>
      </c>
      <c r="P1504" t="n">
        <v>0</v>
      </c>
      <c r="Q1504" t="n">
        <v>0</v>
      </c>
      <c r="R1504" t="inlineStr">
        <is>
          <t>T1110:Brute Force | T1190:Exploit Public-Facing Application | T1566:Phishing</t>
        </is>
      </c>
      <c r="S1504" t="n">
        <v>1</v>
      </c>
      <c r="T1504" t="inlineStr">
        <is>
          <t>MEDIUM (60%)</t>
        </is>
      </c>
      <c r="U1504" t="inlineStr">
        <is>
          <t>NONE</t>
        </is>
      </c>
      <c r="V1504" t="inlineStr">
        <is>
          <t>NONE</t>
        </is>
      </c>
      <c r="W1504" t="inlineStr">
        <is>
          <t>NONE</t>
        </is>
      </c>
      <c r="X1504" t="inlineStr">
        <is>
          <t>NONE</t>
        </is>
      </c>
      <c r="Y1504" t="n">
        <v>0</v>
      </c>
      <c r="Z1504" t="inlineStr"/>
      <c r="AA1504" t="inlineStr">
        <is>
          <t>https://talosintelligence.com/reputation_center/lookup?search=1.15.94.7</t>
        </is>
      </c>
    </row>
    <row r="1505">
      <c r="A1505" t="inlineStr">
        <is>
          <t>TALOS_IP</t>
        </is>
      </c>
      <c r="B1505" t="inlineStr">
        <is>
          <t>71a22b632d38</t>
        </is>
      </c>
      <c r="C1505" t="inlineStr">
        <is>
          <t>Cisco Talos Blacklisted IP: 1.170.61.110 | Verified malicious | Sources: TALOS</t>
        </is>
      </c>
      <c r="D1505" t="n">
        <v>7</v>
      </c>
      <c r="E1505" t="inlineStr">
        <is>
          <t>HIGH</t>
        </is>
      </c>
      <c r="F1505" t="n">
        <v>3</v>
      </c>
      <c r="G1505" t="n">
        <v>2</v>
      </c>
      <c r="H1505" t="inlineStr">
        <is>
          <t>HIGH</t>
        </is>
      </c>
      <c r="I1505" t="n">
        <v>13</v>
      </c>
      <c r="J1505" t="inlineStr">
        <is>
          <t>NO</t>
        </is>
      </c>
      <c r="K1505" t="inlineStr">
        <is>
          <t>2026-02-27 20:47</t>
        </is>
      </c>
      <c r="L1505" t="inlineStr">
        <is>
          <t>Block IP</t>
        </is>
      </c>
      <c r="M1505" t="inlineStr">
        <is>
          <t>Network perimeter / Email / Web</t>
        </is>
      </c>
      <c r="N1505" t="inlineStr">
        <is>
          <t>P3</t>
        </is>
      </c>
      <c r="O1505" t="inlineStr">
        <is>
          <t>Check ip-api.com + AbuseIPDB for context</t>
        </is>
      </c>
      <c r="P1505" t="n">
        <v>0</v>
      </c>
      <c r="Q1505" t="n">
        <v>0</v>
      </c>
      <c r="R1505" t="inlineStr">
        <is>
          <t>T1110:Brute Force | T1190:Exploit Public-Facing Application | T1566:Phishing</t>
        </is>
      </c>
      <c r="S1505" t="n">
        <v>1</v>
      </c>
      <c r="T1505" t="inlineStr">
        <is>
          <t>MEDIUM (60%)</t>
        </is>
      </c>
      <c r="U1505" t="inlineStr">
        <is>
          <t>NONE</t>
        </is>
      </c>
      <c r="V1505" t="inlineStr">
        <is>
          <t>NONE</t>
        </is>
      </c>
      <c r="W1505" t="inlineStr">
        <is>
          <t>NONE</t>
        </is>
      </c>
      <c r="X1505" t="inlineStr">
        <is>
          <t>NONE</t>
        </is>
      </c>
      <c r="Y1505" t="n">
        <v>0</v>
      </c>
      <c r="Z1505" t="inlineStr"/>
      <c r="AA1505" t="inlineStr">
        <is>
          <t>https://talosintelligence.com/reputation_center/lookup?search=1.170.61.110</t>
        </is>
      </c>
    </row>
    <row r="1506">
      <c r="A1506" t="inlineStr">
        <is>
          <t>TALOS_IP</t>
        </is>
      </c>
      <c r="B1506" t="inlineStr">
        <is>
          <t>7824aee466ca</t>
        </is>
      </c>
      <c r="C1506" t="inlineStr">
        <is>
          <t>Cisco Talos Blacklisted IP: 1.183.13.74 | Verified malicious | Sources: TALOS</t>
        </is>
      </c>
      <c r="D1506" t="n">
        <v>7</v>
      </c>
      <c r="E1506" t="inlineStr">
        <is>
          <t>HIGH</t>
        </is>
      </c>
      <c r="F1506" t="n">
        <v>3</v>
      </c>
      <c r="G1506" t="n">
        <v>2</v>
      </c>
      <c r="H1506" t="inlineStr">
        <is>
          <t>HIGH</t>
        </is>
      </c>
      <c r="I1506" t="n">
        <v>13</v>
      </c>
      <c r="J1506" t="inlineStr">
        <is>
          <t>NO</t>
        </is>
      </c>
      <c r="K1506" t="inlineStr">
        <is>
          <t>2026-02-27 20:47</t>
        </is>
      </c>
      <c r="L1506" t="inlineStr">
        <is>
          <t>Block IP</t>
        </is>
      </c>
      <c r="M1506" t="inlineStr">
        <is>
          <t>Network perimeter / Email / Web</t>
        </is>
      </c>
      <c r="N1506" t="inlineStr">
        <is>
          <t>P3</t>
        </is>
      </c>
      <c r="O1506" t="inlineStr">
        <is>
          <t>Check ip-api.com + AbuseIPDB for context</t>
        </is>
      </c>
      <c r="P1506" t="n">
        <v>0</v>
      </c>
      <c r="Q1506" t="n">
        <v>0</v>
      </c>
      <c r="R1506" t="inlineStr">
        <is>
          <t>T1110:Brute Force | T1190:Exploit Public-Facing Application | T1566:Phishing</t>
        </is>
      </c>
      <c r="S1506" t="n">
        <v>1</v>
      </c>
      <c r="T1506" t="inlineStr">
        <is>
          <t>MEDIUM (60%)</t>
        </is>
      </c>
      <c r="U1506" t="inlineStr">
        <is>
          <t>NONE</t>
        </is>
      </c>
      <c r="V1506" t="inlineStr">
        <is>
          <t>NONE</t>
        </is>
      </c>
      <c r="W1506" t="inlineStr">
        <is>
          <t>NONE</t>
        </is>
      </c>
      <c r="X1506" t="inlineStr">
        <is>
          <t>NONE</t>
        </is>
      </c>
      <c r="Y1506" t="n">
        <v>0</v>
      </c>
      <c r="Z1506" t="inlineStr"/>
      <c r="AA1506" t="inlineStr">
        <is>
          <t>https://talosintelligence.com/reputation_center/lookup?search=1.183.13.74</t>
        </is>
      </c>
    </row>
    <row r="1507">
      <c r="A1507" t="inlineStr">
        <is>
          <t>TALOS_IP</t>
        </is>
      </c>
      <c r="B1507" t="inlineStr">
        <is>
          <t>179457b71e4b</t>
        </is>
      </c>
      <c r="C1507" t="inlineStr">
        <is>
          <t>Cisco Talos Blacklisted IP: 1.188.101.101 | Verified malicious | Sources: TALOS</t>
        </is>
      </c>
      <c r="D1507" t="n">
        <v>7</v>
      </c>
      <c r="E1507" t="inlineStr">
        <is>
          <t>HIGH</t>
        </is>
      </c>
      <c r="F1507" t="n">
        <v>3</v>
      </c>
      <c r="G1507" t="n">
        <v>2</v>
      </c>
      <c r="H1507" t="inlineStr">
        <is>
          <t>HIGH</t>
        </is>
      </c>
      <c r="I1507" t="n">
        <v>13</v>
      </c>
      <c r="J1507" t="inlineStr">
        <is>
          <t>NO</t>
        </is>
      </c>
      <c r="K1507" t="inlineStr">
        <is>
          <t>2026-02-27 20:47</t>
        </is>
      </c>
      <c r="L1507" t="inlineStr">
        <is>
          <t>Block IP</t>
        </is>
      </c>
      <c r="M1507" t="inlineStr">
        <is>
          <t>Network perimeter / Email / Web</t>
        </is>
      </c>
      <c r="N1507" t="inlineStr">
        <is>
          <t>P3</t>
        </is>
      </c>
      <c r="O1507" t="inlineStr">
        <is>
          <t>Check ip-api.com + AbuseIPDB for context</t>
        </is>
      </c>
      <c r="P1507" t="n">
        <v>0</v>
      </c>
      <c r="Q1507" t="n">
        <v>0</v>
      </c>
      <c r="R1507" t="inlineStr">
        <is>
          <t>T1110:Brute Force | T1190:Exploit Public-Facing Application | T1566:Phishing</t>
        </is>
      </c>
      <c r="S1507" t="n">
        <v>1</v>
      </c>
      <c r="T1507" t="inlineStr">
        <is>
          <t>MEDIUM (60%)</t>
        </is>
      </c>
      <c r="U1507" t="inlineStr">
        <is>
          <t>NONE</t>
        </is>
      </c>
      <c r="V1507" t="inlineStr">
        <is>
          <t>NONE</t>
        </is>
      </c>
      <c r="W1507" t="inlineStr">
        <is>
          <t>NONE</t>
        </is>
      </c>
      <c r="X1507" t="inlineStr">
        <is>
          <t>NONE</t>
        </is>
      </c>
      <c r="Y1507" t="n">
        <v>0</v>
      </c>
      <c r="Z1507" t="inlineStr"/>
      <c r="AA1507" t="inlineStr">
        <is>
          <t>https://talosintelligence.com/reputation_center/lookup?search=1.188.101.101</t>
        </is>
      </c>
    </row>
    <row r="1508">
      <c r="A1508" t="inlineStr">
        <is>
          <t>TALOS_IP</t>
        </is>
      </c>
      <c r="B1508" t="inlineStr">
        <is>
          <t>04f467b0a226</t>
        </is>
      </c>
      <c r="C1508" t="inlineStr">
        <is>
          <t>Cisco Talos Blacklisted IP: 1.188.23.73 | Verified malicious | Sources: TALOS</t>
        </is>
      </c>
      <c r="D1508" t="n">
        <v>7</v>
      </c>
      <c r="E1508" t="inlineStr">
        <is>
          <t>HIGH</t>
        </is>
      </c>
      <c r="F1508" t="n">
        <v>3</v>
      </c>
      <c r="G1508" t="n">
        <v>2</v>
      </c>
      <c r="H1508" t="inlineStr">
        <is>
          <t>HIGH</t>
        </is>
      </c>
      <c r="I1508" t="n">
        <v>13</v>
      </c>
      <c r="J1508" t="inlineStr">
        <is>
          <t>NO</t>
        </is>
      </c>
      <c r="K1508" t="inlineStr">
        <is>
          <t>2026-02-27 20:47</t>
        </is>
      </c>
      <c r="L1508" t="inlineStr">
        <is>
          <t>Block IP</t>
        </is>
      </c>
      <c r="M1508" t="inlineStr">
        <is>
          <t>Network perimeter / Email / Web</t>
        </is>
      </c>
      <c r="N1508" t="inlineStr">
        <is>
          <t>P3</t>
        </is>
      </c>
      <c r="O1508" t="inlineStr">
        <is>
          <t>Check ip-api.com + AbuseIPDB for context</t>
        </is>
      </c>
      <c r="P1508" t="n">
        <v>0</v>
      </c>
      <c r="Q1508" t="n">
        <v>0</v>
      </c>
      <c r="R1508" t="inlineStr">
        <is>
          <t>T1110:Brute Force | T1190:Exploit Public-Facing Application | T1566:Phishing</t>
        </is>
      </c>
      <c r="S1508" t="n">
        <v>1</v>
      </c>
      <c r="T1508" t="inlineStr">
        <is>
          <t>MEDIUM (60%)</t>
        </is>
      </c>
      <c r="U1508" t="inlineStr">
        <is>
          <t>NONE</t>
        </is>
      </c>
      <c r="V1508" t="inlineStr">
        <is>
          <t>NONE</t>
        </is>
      </c>
      <c r="W1508" t="inlineStr">
        <is>
          <t>NONE</t>
        </is>
      </c>
      <c r="X1508" t="inlineStr">
        <is>
          <t>NONE</t>
        </is>
      </c>
      <c r="Y1508" t="n">
        <v>0</v>
      </c>
      <c r="Z1508" t="inlineStr"/>
      <c r="AA1508" t="inlineStr">
        <is>
          <t>https://talosintelligence.com/reputation_center/lookup?search=1.188.23.73</t>
        </is>
      </c>
    </row>
    <row r="1509">
      <c r="A1509" t="inlineStr">
        <is>
          <t>TALOS_IP</t>
        </is>
      </c>
      <c r="B1509" t="inlineStr">
        <is>
          <t>f1086e5150b4</t>
        </is>
      </c>
      <c r="C1509" t="inlineStr">
        <is>
          <t>Cisco Talos Blacklisted IP: 1.192.2.191 | Verified malicious | Sources: TALOS</t>
        </is>
      </c>
      <c r="D1509" t="n">
        <v>7</v>
      </c>
      <c r="E1509" t="inlineStr">
        <is>
          <t>HIGH</t>
        </is>
      </c>
      <c r="F1509" t="n">
        <v>3</v>
      </c>
      <c r="G1509" t="n">
        <v>2</v>
      </c>
      <c r="H1509" t="inlineStr">
        <is>
          <t>HIGH</t>
        </is>
      </c>
      <c r="I1509" t="n">
        <v>13</v>
      </c>
      <c r="J1509" t="inlineStr">
        <is>
          <t>NO</t>
        </is>
      </c>
      <c r="K1509" t="inlineStr">
        <is>
          <t>2026-02-27 20:47</t>
        </is>
      </c>
      <c r="L1509" t="inlineStr">
        <is>
          <t>Block IP</t>
        </is>
      </c>
      <c r="M1509" t="inlineStr">
        <is>
          <t>Network perimeter / Email / Web</t>
        </is>
      </c>
      <c r="N1509" t="inlineStr">
        <is>
          <t>P3</t>
        </is>
      </c>
      <c r="O1509" t="inlineStr">
        <is>
          <t>Check ip-api.com + AbuseIPDB for context</t>
        </is>
      </c>
      <c r="P1509" t="n">
        <v>0</v>
      </c>
      <c r="Q1509" t="n">
        <v>0</v>
      </c>
      <c r="R1509" t="inlineStr">
        <is>
          <t>T1110:Brute Force | T1190:Exploit Public-Facing Application | T1566:Phishing</t>
        </is>
      </c>
      <c r="S1509" t="n">
        <v>1</v>
      </c>
      <c r="T1509" t="inlineStr">
        <is>
          <t>MEDIUM (60%)</t>
        </is>
      </c>
      <c r="U1509" t="inlineStr">
        <is>
          <t>NONE</t>
        </is>
      </c>
      <c r="V1509" t="inlineStr">
        <is>
          <t>NONE</t>
        </is>
      </c>
      <c r="W1509" t="inlineStr">
        <is>
          <t>NONE</t>
        </is>
      </c>
      <c r="X1509" t="inlineStr">
        <is>
          <t>NONE</t>
        </is>
      </c>
      <c r="Y1509" t="n">
        <v>0</v>
      </c>
      <c r="Z1509" t="inlineStr"/>
      <c r="AA1509" t="inlineStr">
        <is>
          <t>https://talosintelligence.com/reputation_center/lookup?search=1.192.2.191</t>
        </is>
      </c>
    </row>
    <row r="1510">
      <c r="A1510" t="inlineStr">
        <is>
          <t>TALOS_IP</t>
        </is>
      </c>
      <c r="B1510" t="inlineStr">
        <is>
          <t>29e7c0080b66</t>
        </is>
      </c>
      <c r="C1510" t="inlineStr">
        <is>
          <t>Cisco Talos Blacklisted IP: 1.192.3.139 | Verified malicious | Sources: TALOS</t>
        </is>
      </c>
      <c r="D1510" t="n">
        <v>7</v>
      </c>
      <c r="E1510" t="inlineStr">
        <is>
          <t>HIGH</t>
        </is>
      </c>
      <c r="F1510" t="n">
        <v>3</v>
      </c>
      <c r="G1510" t="n">
        <v>2</v>
      </c>
      <c r="H1510" t="inlineStr">
        <is>
          <t>HIGH</t>
        </is>
      </c>
      <c r="I1510" t="n">
        <v>13</v>
      </c>
      <c r="J1510" t="inlineStr">
        <is>
          <t>NO</t>
        </is>
      </c>
      <c r="K1510" t="inlineStr">
        <is>
          <t>2026-02-27 20:47</t>
        </is>
      </c>
      <c r="L1510" t="inlineStr">
        <is>
          <t>Block IP</t>
        </is>
      </c>
      <c r="M1510" t="inlineStr">
        <is>
          <t>Network perimeter / Email / Web</t>
        </is>
      </c>
      <c r="N1510" t="inlineStr">
        <is>
          <t>P3</t>
        </is>
      </c>
      <c r="O1510" t="inlineStr">
        <is>
          <t>Check ip-api.com + AbuseIPDB for context</t>
        </is>
      </c>
      <c r="P1510" t="n">
        <v>0</v>
      </c>
      <c r="Q1510" t="n">
        <v>0</v>
      </c>
      <c r="R1510" t="inlineStr">
        <is>
          <t>T1110:Brute Force | T1190:Exploit Public-Facing Application | T1566:Phishing</t>
        </is>
      </c>
      <c r="S1510" t="n">
        <v>1</v>
      </c>
      <c r="T1510" t="inlineStr">
        <is>
          <t>MEDIUM (60%)</t>
        </is>
      </c>
      <c r="U1510" t="inlineStr">
        <is>
          <t>NONE</t>
        </is>
      </c>
      <c r="V1510" t="inlineStr">
        <is>
          <t>NONE</t>
        </is>
      </c>
      <c r="W1510" t="inlineStr">
        <is>
          <t>NONE</t>
        </is>
      </c>
      <c r="X1510" t="inlineStr">
        <is>
          <t>NONE</t>
        </is>
      </c>
      <c r="Y1510" t="n">
        <v>0</v>
      </c>
      <c r="Z1510" t="inlineStr"/>
      <c r="AA1510" t="inlineStr">
        <is>
          <t>https://talosintelligence.com/reputation_center/lookup?search=1.192.3.139</t>
        </is>
      </c>
    </row>
    <row r="1511">
      <c r="A1511" t="inlineStr">
        <is>
          <t>TALOS_IP</t>
        </is>
      </c>
      <c r="B1511" t="inlineStr">
        <is>
          <t>ecb88cf966c1</t>
        </is>
      </c>
      <c r="C1511" t="inlineStr">
        <is>
          <t>Cisco Talos Blacklisted IP: 1.193.63.180 | Verified malicious | Sources: TALOS</t>
        </is>
      </c>
      <c r="D1511" t="n">
        <v>7</v>
      </c>
      <c r="E1511" t="inlineStr">
        <is>
          <t>HIGH</t>
        </is>
      </c>
      <c r="F1511" t="n">
        <v>3</v>
      </c>
      <c r="G1511" t="n">
        <v>2</v>
      </c>
      <c r="H1511" t="inlineStr">
        <is>
          <t>HIGH</t>
        </is>
      </c>
      <c r="I1511" t="n">
        <v>13</v>
      </c>
      <c r="J1511" t="inlineStr">
        <is>
          <t>NO</t>
        </is>
      </c>
      <c r="K1511" t="inlineStr">
        <is>
          <t>2026-02-27 20:47</t>
        </is>
      </c>
      <c r="L1511" t="inlineStr">
        <is>
          <t>Block IP</t>
        </is>
      </c>
      <c r="M1511" t="inlineStr">
        <is>
          <t>Network perimeter / Email / Web</t>
        </is>
      </c>
      <c r="N1511" t="inlineStr">
        <is>
          <t>P3</t>
        </is>
      </c>
      <c r="O1511" t="inlineStr">
        <is>
          <t>Check ip-api.com + AbuseIPDB for context</t>
        </is>
      </c>
      <c r="P1511" t="n">
        <v>0</v>
      </c>
      <c r="Q1511" t="n">
        <v>0</v>
      </c>
      <c r="R1511" t="inlineStr">
        <is>
          <t>T1110:Brute Force | T1190:Exploit Public-Facing Application | T1566:Phishing</t>
        </is>
      </c>
      <c r="S1511" t="n">
        <v>1</v>
      </c>
      <c r="T1511" t="inlineStr">
        <is>
          <t>MEDIUM (60%)</t>
        </is>
      </c>
      <c r="U1511" t="inlineStr">
        <is>
          <t>NONE</t>
        </is>
      </c>
      <c r="V1511" t="inlineStr">
        <is>
          <t>NONE</t>
        </is>
      </c>
      <c r="W1511" t="inlineStr">
        <is>
          <t>NONE</t>
        </is>
      </c>
      <c r="X1511" t="inlineStr">
        <is>
          <t>NONE</t>
        </is>
      </c>
      <c r="Y1511" t="n">
        <v>0</v>
      </c>
      <c r="Z1511" t="inlineStr"/>
      <c r="AA1511" t="inlineStr">
        <is>
          <t>https://talosintelligence.com/reputation_center/lookup?search=1.193.63.180</t>
        </is>
      </c>
    </row>
    <row r="1512">
      <c r="A1512" t="inlineStr">
        <is>
          <t>TALOS_IP</t>
        </is>
      </c>
      <c r="B1512" t="inlineStr">
        <is>
          <t>9e635e50aabf</t>
        </is>
      </c>
      <c r="C1512" t="inlineStr">
        <is>
          <t>Cisco Talos Blacklisted IP: 1.193.63.181 | Verified malicious | Sources: TALOS</t>
        </is>
      </c>
      <c r="D1512" t="n">
        <v>7</v>
      </c>
      <c r="E1512" t="inlineStr">
        <is>
          <t>HIGH</t>
        </is>
      </c>
      <c r="F1512" t="n">
        <v>3</v>
      </c>
      <c r="G1512" t="n">
        <v>2</v>
      </c>
      <c r="H1512" t="inlineStr">
        <is>
          <t>HIGH</t>
        </is>
      </c>
      <c r="I1512" t="n">
        <v>13</v>
      </c>
      <c r="J1512" t="inlineStr">
        <is>
          <t>NO</t>
        </is>
      </c>
      <c r="K1512" t="inlineStr">
        <is>
          <t>2026-02-27 20:47</t>
        </is>
      </c>
      <c r="L1512" t="inlineStr">
        <is>
          <t>Block IP</t>
        </is>
      </c>
      <c r="M1512" t="inlineStr">
        <is>
          <t>Network perimeter / Email / Web</t>
        </is>
      </c>
      <c r="N1512" t="inlineStr">
        <is>
          <t>P3</t>
        </is>
      </c>
      <c r="O1512" t="inlineStr">
        <is>
          <t>Check ip-api.com + AbuseIPDB for context</t>
        </is>
      </c>
      <c r="P1512" t="n">
        <v>0</v>
      </c>
      <c r="Q1512" t="n">
        <v>0</v>
      </c>
      <c r="R1512" t="inlineStr">
        <is>
          <t>T1110:Brute Force | T1190:Exploit Public-Facing Application | T1566:Phishing</t>
        </is>
      </c>
      <c r="S1512" t="n">
        <v>1</v>
      </c>
      <c r="T1512" t="inlineStr">
        <is>
          <t>MEDIUM (60%)</t>
        </is>
      </c>
      <c r="U1512" t="inlineStr">
        <is>
          <t>NONE</t>
        </is>
      </c>
      <c r="V1512" t="inlineStr">
        <is>
          <t>NONE</t>
        </is>
      </c>
      <c r="W1512" t="inlineStr">
        <is>
          <t>NONE</t>
        </is>
      </c>
      <c r="X1512" t="inlineStr">
        <is>
          <t>NONE</t>
        </is>
      </c>
      <c r="Y1512" t="n">
        <v>0</v>
      </c>
      <c r="Z1512" t="inlineStr"/>
      <c r="AA1512" t="inlineStr">
        <is>
          <t>https://talosintelligence.com/reputation_center/lookup?search=1.193.63.181</t>
        </is>
      </c>
    </row>
    <row r="1513">
      <c r="A1513" t="inlineStr">
        <is>
          <t>TALOS_IP</t>
        </is>
      </c>
      <c r="B1513" t="inlineStr">
        <is>
          <t>4cc6bc46cc56</t>
        </is>
      </c>
      <c r="C1513" t="inlineStr">
        <is>
          <t>Cisco Talos Blacklisted IP: 1.193.63.204 | Verified malicious | Sources: TALOS</t>
        </is>
      </c>
      <c r="D1513" t="n">
        <v>7</v>
      </c>
      <c r="E1513" t="inlineStr">
        <is>
          <t>HIGH</t>
        </is>
      </c>
      <c r="F1513" t="n">
        <v>3</v>
      </c>
      <c r="G1513" t="n">
        <v>2</v>
      </c>
      <c r="H1513" t="inlineStr">
        <is>
          <t>HIGH</t>
        </is>
      </c>
      <c r="I1513" t="n">
        <v>13</v>
      </c>
      <c r="J1513" t="inlineStr">
        <is>
          <t>NO</t>
        </is>
      </c>
      <c r="K1513" t="inlineStr">
        <is>
          <t>2026-02-27 20:47</t>
        </is>
      </c>
      <c r="L1513" t="inlineStr">
        <is>
          <t>Block IP</t>
        </is>
      </c>
      <c r="M1513" t="inlineStr">
        <is>
          <t>Network perimeter / Email / Web</t>
        </is>
      </c>
      <c r="N1513" t="inlineStr">
        <is>
          <t>P3</t>
        </is>
      </c>
      <c r="O1513" t="inlineStr">
        <is>
          <t>Check ip-api.com + AbuseIPDB for context</t>
        </is>
      </c>
      <c r="P1513" t="n">
        <v>0</v>
      </c>
      <c r="Q1513" t="n">
        <v>0</v>
      </c>
      <c r="R1513" t="inlineStr">
        <is>
          <t>T1110:Brute Force | T1190:Exploit Public-Facing Application | T1566:Phishing</t>
        </is>
      </c>
      <c r="S1513" t="n">
        <v>1</v>
      </c>
      <c r="T1513" t="inlineStr">
        <is>
          <t>MEDIUM (60%)</t>
        </is>
      </c>
      <c r="U1513" t="inlineStr">
        <is>
          <t>NONE</t>
        </is>
      </c>
      <c r="V1513" t="inlineStr">
        <is>
          <t>NONE</t>
        </is>
      </c>
      <c r="W1513" t="inlineStr">
        <is>
          <t>NONE</t>
        </is>
      </c>
      <c r="X1513" t="inlineStr">
        <is>
          <t>NONE</t>
        </is>
      </c>
      <c r="Y1513" t="n">
        <v>0</v>
      </c>
      <c r="Z1513" t="inlineStr"/>
      <c r="AA1513" t="inlineStr">
        <is>
          <t>https://talosintelligence.com/reputation_center/lookup?search=1.193.63.204</t>
        </is>
      </c>
    </row>
    <row r="1514">
      <c r="A1514" t="inlineStr">
        <is>
          <t>TALOS_IP</t>
        </is>
      </c>
      <c r="B1514" t="inlineStr">
        <is>
          <t>ca9a910a92b1</t>
        </is>
      </c>
      <c r="C1514" t="inlineStr">
        <is>
          <t>Cisco Talos Blacklisted IP: 1.193.63.41 | Verified malicious | Sources: TALOS</t>
        </is>
      </c>
      <c r="D1514" t="n">
        <v>7</v>
      </c>
      <c r="E1514" t="inlineStr">
        <is>
          <t>HIGH</t>
        </is>
      </c>
      <c r="F1514" t="n">
        <v>3</v>
      </c>
      <c r="G1514" t="n">
        <v>2</v>
      </c>
      <c r="H1514" t="inlineStr">
        <is>
          <t>HIGH</t>
        </is>
      </c>
      <c r="I1514" t="n">
        <v>13</v>
      </c>
      <c r="J1514" t="inlineStr">
        <is>
          <t>NO</t>
        </is>
      </c>
      <c r="K1514" t="inlineStr">
        <is>
          <t>2026-02-27 20:47</t>
        </is>
      </c>
      <c r="L1514" t="inlineStr">
        <is>
          <t>Block IP</t>
        </is>
      </c>
      <c r="M1514" t="inlineStr">
        <is>
          <t>Network perimeter / Email / Web</t>
        </is>
      </c>
      <c r="N1514" t="inlineStr">
        <is>
          <t>P3</t>
        </is>
      </c>
      <c r="O1514" t="inlineStr">
        <is>
          <t>Check ip-api.com + AbuseIPDB for context</t>
        </is>
      </c>
      <c r="P1514" t="n">
        <v>0</v>
      </c>
      <c r="Q1514" t="n">
        <v>0</v>
      </c>
      <c r="R1514" t="inlineStr">
        <is>
          <t>T1110:Brute Force | T1190:Exploit Public-Facing Application | T1566:Phishing</t>
        </is>
      </c>
      <c r="S1514" t="n">
        <v>1</v>
      </c>
      <c r="T1514" t="inlineStr">
        <is>
          <t>MEDIUM (60%)</t>
        </is>
      </c>
      <c r="U1514" t="inlineStr">
        <is>
          <t>NONE</t>
        </is>
      </c>
      <c r="V1514" t="inlineStr">
        <is>
          <t>NONE</t>
        </is>
      </c>
      <c r="W1514" t="inlineStr">
        <is>
          <t>NONE</t>
        </is>
      </c>
      <c r="X1514" t="inlineStr">
        <is>
          <t>NONE</t>
        </is>
      </c>
      <c r="Y1514" t="n">
        <v>0</v>
      </c>
      <c r="Z1514" t="inlineStr"/>
      <c r="AA1514" t="inlineStr">
        <is>
          <t>https://talosintelligence.com/reputation_center/lookup?search=1.193.63.41</t>
        </is>
      </c>
    </row>
    <row r="1515">
      <c r="A1515" t="inlineStr">
        <is>
          <t>TALOS_IP</t>
        </is>
      </c>
      <c r="B1515" t="inlineStr">
        <is>
          <t>0dbde777d291</t>
        </is>
      </c>
      <c r="C1515" t="inlineStr">
        <is>
          <t>Cisco Talos Blacklisted IP: 1.193.63.92 | Verified malicious | Sources: TALOS</t>
        </is>
      </c>
      <c r="D1515" t="n">
        <v>7</v>
      </c>
      <c r="E1515" t="inlineStr">
        <is>
          <t>HIGH</t>
        </is>
      </c>
      <c r="F1515" t="n">
        <v>3</v>
      </c>
      <c r="G1515" t="n">
        <v>2</v>
      </c>
      <c r="H1515" t="inlineStr">
        <is>
          <t>HIGH</t>
        </is>
      </c>
      <c r="I1515" t="n">
        <v>13</v>
      </c>
      <c r="J1515" t="inlineStr">
        <is>
          <t>NO</t>
        </is>
      </c>
      <c r="K1515" t="inlineStr">
        <is>
          <t>2026-02-27 20:47</t>
        </is>
      </c>
      <c r="L1515" t="inlineStr">
        <is>
          <t>Block IP</t>
        </is>
      </c>
      <c r="M1515" t="inlineStr">
        <is>
          <t>Network perimeter / Email / Web</t>
        </is>
      </c>
      <c r="N1515" t="inlineStr">
        <is>
          <t>P3</t>
        </is>
      </c>
      <c r="O1515" t="inlineStr">
        <is>
          <t>Check ip-api.com + AbuseIPDB for context</t>
        </is>
      </c>
      <c r="P1515" t="n">
        <v>0</v>
      </c>
      <c r="Q1515" t="n">
        <v>0</v>
      </c>
      <c r="R1515" t="inlineStr">
        <is>
          <t>T1110:Brute Force | T1190:Exploit Public-Facing Application | T1566:Phishing</t>
        </is>
      </c>
      <c r="S1515" t="n">
        <v>1</v>
      </c>
      <c r="T1515" t="inlineStr">
        <is>
          <t>MEDIUM (60%)</t>
        </is>
      </c>
      <c r="U1515" t="inlineStr">
        <is>
          <t>NONE</t>
        </is>
      </c>
      <c r="V1515" t="inlineStr">
        <is>
          <t>NONE</t>
        </is>
      </c>
      <c r="W1515" t="inlineStr">
        <is>
          <t>NONE</t>
        </is>
      </c>
      <c r="X1515" t="inlineStr">
        <is>
          <t>NONE</t>
        </is>
      </c>
      <c r="Y1515" t="n">
        <v>0</v>
      </c>
      <c r="Z1515" t="inlineStr"/>
      <c r="AA1515" t="inlineStr">
        <is>
          <t>https://talosintelligence.com/reputation_center/lookup?search=1.193.63.92</t>
        </is>
      </c>
    </row>
    <row r="1516">
      <c r="A1516" t="inlineStr">
        <is>
          <t>TALOS_IP</t>
        </is>
      </c>
      <c r="B1516" t="inlineStr">
        <is>
          <t>0fc0746bf6ec</t>
        </is>
      </c>
      <c r="C1516" t="inlineStr">
        <is>
          <t>Cisco Talos Blacklisted IP: 1.20.203.179 | Verified malicious | Sources: TALOS</t>
        </is>
      </c>
      <c r="D1516" t="n">
        <v>7</v>
      </c>
      <c r="E1516" t="inlineStr">
        <is>
          <t>HIGH</t>
        </is>
      </c>
      <c r="F1516" t="n">
        <v>3</v>
      </c>
      <c r="G1516" t="n">
        <v>2</v>
      </c>
      <c r="H1516" t="inlineStr">
        <is>
          <t>HIGH</t>
        </is>
      </c>
      <c r="I1516" t="n">
        <v>13</v>
      </c>
      <c r="J1516" t="inlineStr">
        <is>
          <t>NO</t>
        </is>
      </c>
      <c r="K1516" t="inlineStr">
        <is>
          <t>2026-02-27 20:47</t>
        </is>
      </c>
      <c r="L1516" t="inlineStr">
        <is>
          <t>Block IP</t>
        </is>
      </c>
      <c r="M1516" t="inlineStr">
        <is>
          <t>Network perimeter / Email / Web</t>
        </is>
      </c>
      <c r="N1516" t="inlineStr">
        <is>
          <t>P3</t>
        </is>
      </c>
      <c r="O1516" t="inlineStr">
        <is>
          <t>Check ip-api.com + AbuseIPDB for context</t>
        </is>
      </c>
      <c r="P1516" t="n">
        <v>0</v>
      </c>
      <c r="Q1516" t="n">
        <v>0</v>
      </c>
      <c r="R1516" t="inlineStr">
        <is>
          <t>T1110:Brute Force | T1190:Exploit Public-Facing Application | T1566:Phishing</t>
        </is>
      </c>
      <c r="S1516" t="n">
        <v>1</v>
      </c>
      <c r="T1516" t="inlineStr">
        <is>
          <t>MEDIUM (60%)</t>
        </is>
      </c>
      <c r="U1516" t="inlineStr">
        <is>
          <t>NONE</t>
        </is>
      </c>
      <c r="V1516" t="inlineStr">
        <is>
          <t>NONE</t>
        </is>
      </c>
      <c r="W1516" t="inlineStr">
        <is>
          <t>NONE</t>
        </is>
      </c>
      <c r="X1516" t="inlineStr">
        <is>
          <t>NONE</t>
        </is>
      </c>
      <c r="Y1516" t="n">
        <v>0</v>
      </c>
      <c r="Z1516" t="inlineStr"/>
      <c r="AA1516" t="inlineStr">
        <is>
          <t>https://talosintelligence.com/reputation_center/lookup?search=1.20.203.179</t>
        </is>
      </c>
    </row>
    <row r="1517">
      <c r="A1517" t="inlineStr">
        <is>
          <t>TALOS_IP</t>
        </is>
      </c>
      <c r="B1517" t="inlineStr">
        <is>
          <t>f9ed7dcf18b1</t>
        </is>
      </c>
      <c r="C1517" t="inlineStr">
        <is>
          <t>Cisco Talos Blacklisted IP: 1.20.93.92 | Verified malicious | Sources: TALOS</t>
        </is>
      </c>
      <c r="D1517" t="n">
        <v>7</v>
      </c>
      <c r="E1517" t="inlineStr">
        <is>
          <t>HIGH</t>
        </is>
      </c>
      <c r="F1517" t="n">
        <v>3</v>
      </c>
      <c r="G1517" t="n">
        <v>2</v>
      </c>
      <c r="H1517" t="inlineStr">
        <is>
          <t>HIGH</t>
        </is>
      </c>
      <c r="I1517" t="n">
        <v>13</v>
      </c>
      <c r="J1517" t="inlineStr">
        <is>
          <t>NO</t>
        </is>
      </c>
      <c r="K1517" t="inlineStr">
        <is>
          <t>2026-02-27 20:47</t>
        </is>
      </c>
      <c r="L1517" t="inlineStr">
        <is>
          <t>Block IP</t>
        </is>
      </c>
      <c r="M1517" t="inlineStr">
        <is>
          <t>Network perimeter / Email / Web</t>
        </is>
      </c>
      <c r="N1517" t="inlineStr">
        <is>
          <t>P3</t>
        </is>
      </c>
      <c r="O1517" t="inlineStr">
        <is>
          <t>Check ip-api.com + AbuseIPDB for context</t>
        </is>
      </c>
      <c r="P1517" t="n">
        <v>0</v>
      </c>
      <c r="Q1517" t="n">
        <v>0</v>
      </c>
      <c r="R1517" t="inlineStr">
        <is>
          <t>T1110:Brute Force | T1190:Exploit Public-Facing Application | T1566:Phishing</t>
        </is>
      </c>
      <c r="S1517" t="n">
        <v>1</v>
      </c>
      <c r="T1517" t="inlineStr">
        <is>
          <t>MEDIUM (60%)</t>
        </is>
      </c>
      <c r="U1517" t="inlineStr">
        <is>
          <t>NONE</t>
        </is>
      </c>
      <c r="V1517" t="inlineStr">
        <is>
          <t>NONE</t>
        </is>
      </c>
      <c r="W1517" t="inlineStr">
        <is>
          <t>NONE</t>
        </is>
      </c>
      <c r="X1517" t="inlineStr">
        <is>
          <t>NONE</t>
        </is>
      </c>
      <c r="Y1517" t="n">
        <v>0</v>
      </c>
      <c r="Z1517" t="inlineStr"/>
      <c r="AA1517" t="inlineStr">
        <is>
          <t>https://talosintelligence.com/reputation_center/lookup?search=1.20.93.92</t>
        </is>
      </c>
    </row>
    <row r="1518">
      <c r="A1518" t="inlineStr">
        <is>
          <t>TALOS_IP</t>
        </is>
      </c>
      <c r="B1518" t="inlineStr">
        <is>
          <t>e2824185e33a</t>
        </is>
      </c>
      <c r="C1518" t="inlineStr">
        <is>
          <t>Cisco Talos Blacklisted IP: 1.203.97.227 | Verified malicious | Sources: TALOS</t>
        </is>
      </c>
      <c r="D1518" t="n">
        <v>7</v>
      </c>
      <c r="E1518" t="inlineStr">
        <is>
          <t>HIGH</t>
        </is>
      </c>
      <c r="F1518" t="n">
        <v>3</v>
      </c>
      <c r="G1518" t="n">
        <v>2</v>
      </c>
      <c r="H1518" t="inlineStr">
        <is>
          <t>HIGH</t>
        </is>
      </c>
      <c r="I1518" t="n">
        <v>13</v>
      </c>
      <c r="J1518" t="inlineStr">
        <is>
          <t>NO</t>
        </is>
      </c>
      <c r="K1518" t="inlineStr">
        <is>
          <t>2026-02-27 20:47</t>
        </is>
      </c>
      <c r="L1518" t="inlineStr">
        <is>
          <t>Block IP</t>
        </is>
      </c>
      <c r="M1518" t="inlineStr">
        <is>
          <t>Network perimeter / Email / Web</t>
        </is>
      </c>
      <c r="N1518" t="inlineStr">
        <is>
          <t>P3</t>
        </is>
      </c>
      <c r="O1518" t="inlineStr">
        <is>
          <t>Check ip-api.com + AbuseIPDB for context</t>
        </is>
      </c>
      <c r="P1518" t="n">
        <v>0</v>
      </c>
      <c r="Q1518" t="n">
        <v>0</v>
      </c>
      <c r="R1518" t="inlineStr">
        <is>
          <t>T1110:Brute Force | T1190:Exploit Public-Facing Application | T1566:Phishing</t>
        </is>
      </c>
      <c r="S1518" t="n">
        <v>1</v>
      </c>
      <c r="T1518" t="inlineStr">
        <is>
          <t>MEDIUM (60%)</t>
        </is>
      </c>
      <c r="U1518" t="inlineStr">
        <is>
          <t>NONE</t>
        </is>
      </c>
      <c r="V1518" t="inlineStr">
        <is>
          <t>NONE</t>
        </is>
      </c>
      <c r="W1518" t="inlineStr">
        <is>
          <t>NONE</t>
        </is>
      </c>
      <c r="X1518" t="inlineStr">
        <is>
          <t>NONE</t>
        </is>
      </c>
      <c r="Y1518" t="n">
        <v>0</v>
      </c>
      <c r="Z1518" t="inlineStr"/>
      <c r="AA1518" t="inlineStr">
        <is>
          <t>https://talosintelligence.com/reputation_center/lookup?search=1.203.97.227</t>
        </is>
      </c>
    </row>
    <row r="1519">
      <c r="A1519" t="inlineStr">
        <is>
          <t>TALOS_IP</t>
        </is>
      </c>
      <c r="B1519" t="inlineStr">
        <is>
          <t>3bf11834fe2a</t>
        </is>
      </c>
      <c r="C1519" t="inlineStr">
        <is>
          <t>Cisco Talos Blacklisted IP: 1.204.118.150 | Verified malicious | Sources: TALOS</t>
        </is>
      </c>
      <c r="D1519" t="n">
        <v>7</v>
      </c>
      <c r="E1519" t="inlineStr">
        <is>
          <t>HIGH</t>
        </is>
      </c>
      <c r="F1519" t="n">
        <v>3</v>
      </c>
      <c r="G1519" t="n">
        <v>2</v>
      </c>
      <c r="H1519" t="inlineStr">
        <is>
          <t>HIGH</t>
        </is>
      </c>
      <c r="I1519" t="n">
        <v>13</v>
      </c>
      <c r="J1519" t="inlineStr">
        <is>
          <t>NO</t>
        </is>
      </c>
      <c r="K1519" t="inlineStr">
        <is>
          <t>2026-02-27 20:47</t>
        </is>
      </c>
      <c r="L1519" t="inlineStr">
        <is>
          <t>Block IP</t>
        </is>
      </c>
      <c r="M1519" t="inlineStr">
        <is>
          <t>Network perimeter / Email / Web</t>
        </is>
      </c>
      <c r="N1519" t="inlineStr">
        <is>
          <t>P3</t>
        </is>
      </c>
      <c r="O1519" t="inlineStr">
        <is>
          <t>Check ip-api.com + AbuseIPDB for context</t>
        </is>
      </c>
      <c r="P1519" t="n">
        <v>0</v>
      </c>
      <c r="Q1519" t="n">
        <v>0</v>
      </c>
      <c r="R1519" t="inlineStr">
        <is>
          <t>T1110:Brute Force | T1190:Exploit Public-Facing Application | T1566:Phishing</t>
        </is>
      </c>
      <c r="S1519" t="n">
        <v>1</v>
      </c>
      <c r="T1519" t="inlineStr">
        <is>
          <t>MEDIUM (60%)</t>
        </is>
      </c>
      <c r="U1519" t="inlineStr">
        <is>
          <t>NONE</t>
        </is>
      </c>
      <c r="V1519" t="inlineStr">
        <is>
          <t>NONE</t>
        </is>
      </c>
      <c r="W1519" t="inlineStr">
        <is>
          <t>NONE</t>
        </is>
      </c>
      <c r="X1519" t="inlineStr">
        <is>
          <t>NONE</t>
        </is>
      </c>
      <c r="Y1519" t="n">
        <v>0</v>
      </c>
      <c r="Z1519" t="inlineStr"/>
      <c r="AA1519" t="inlineStr">
        <is>
          <t>https://talosintelligence.com/reputation_center/lookup?search=1.204.118.150</t>
        </is>
      </c>
    </row>
    <row r="1520">
      <c r="A1520" t="inlineStr">
        <is>
          <t>TALOS_IP</t>
        </is>
      </c>
      <c r="B1520" t="inlineStr">
        <is>
          <t>735658f2598f</t>
        </is>
      </c>
      <c r="C1520" t="inlineStr">
        <is>
          <t>Cisco Talos Blacklisted IP: 1.223.227.114 | Verified malicious | Sources: TALOS</t>
        </is>
      </c>
      <c r="D1520" t="n">
        <v>7</v>
      </c>
      <c r="E1520" t="inlineStr">
        <is>
          <t>HIGH</t>
        </is>
      </c>
      <c r="F1520" t="n">
        <v>3</v>
      </c>
      <c r="G1520" t="n">
        <v>2</v>
      </c>
      <c r="H1520" t="inlineStr">
        <is>
          <t>HIGH</t>
        </is>
      </c>
      <c r="I1520" t="n">
        <v>13</v>
      </c>
      <c r="J1520" t="inlineStr">
        <is>
          <t>NO</t>
        </is>
      </c>
      <c r="K1520" t="inlineStr">
        <is>
          <t>2026-02-27 20:47</t>
        </is>
      </c>
      <c r="L1520" t="inlineStr">
        <is>
          <t>Block IP</t>
        </is>
      </c>
      <c r="M1520" t="inlineStr">
        <is>
          <t>Network perimeter / Email / Web</t>
        </is>
      </c>
      <c r="N1520" t="inlineStr">
        <is>
          <t>P3</t>
        </is>
      </c>
      <c r="O1520" t="inlineStr">
        <is>
          <t>Check ip-api.com + AbuseIPDB for context</t>
        </is>
      </c>
      <c r="P1520" t="n">
        <v>0</v>
      </c>
      <c r="Q1520" t="n">
        <v>0</v>
      </c>
      <c r="R1520" t="inlineStr">
        <is>
          <t>T1110:Brute Force | T1190:Exploit Public-Facing Application | T1566:Phishing</t>
        </is>
      </c>
      <c r="S1520" t="n">
        <v>1</v>
      </c>
      <c r="T1520" t="inlineStr">
        <is>
          <t>MEDIUM (60%)</t>
        </is>
      </c>
      <c r="U1520" t="inlineStr">
        <is>
          <t>NONE</t>
        </is>
      </c>
      <c r="V1520" t="inlineStr">
        <is>
          <t>NONE</t>
        </is>
      </c>
      <c r="W1520" t="inlineStr">
        <is>
          <t>NONE</t>
        </is>
      </c>
      <c r="X1520" t="inlineStr">
        <is>
          <t>NONE</t>
        </is>
      </c>
      <c r="Y1520" t="n">
        <v>0</v>
      </c>
      <c r="Z1520" t="inlineStr"/>
      <c r="AA1520" t="inlineStr">
        <is>
          <t>https://talosintelligence.com/reputation_center/lookup?search=1.223.227.114</t>
        </is>
      </c>
    </row>
    <row r="1521">
      <c r="A1521" t="inlineStr">
        <is>
          <t>TALOS_IP</t>
        </is>
      </c>
      <c r="B1521" t="inlineStr">
        <is>
          <t>d62d82b65f98</t>
        </is>
      </c>
      <c r="C1521" t="inlineStr">
        <is>
          <t>Cisco Talos Blacklisted IP: 1.24.16.101 | Verified malicious | Sources: TALOS</t>
        </is>
      </c>
      <c r="D1521" t="n">
        <v>7</v>
      </c>
      <c r="E1521" t="inlineStr">
        <is>
          <t>HIGH</t>
        </is>
      </c>
      <c r="F1521" t="n">
        <v>3</v>
      </c>
      <c r="G1521" t="n">
        <v>2</v>
      </c>
      <c r="H1521" t="inlineStr">
        <is>
          <t>HIGH</t>
        </is>
      </c>
      <c r="I1521" t="n">
        <v>13</v>
      </c>
      <c r="J1521" t="inlineStr">
        <is>
          <t>NO</t>
        </is>
      </c>
      <c r="K1521" t="inlineStr">
        <is>
          <t>2026-02-27 20:47</t>
        </is>
      </c>
      <c r="L1521" t="inlineStr">
        <is>
          <t>Block IP</t>
        </is>
      </c>
      <c r="M1521" t="inlineStr">
        <is>
          <t>Network perimeter / Email / Web</t>
        </is>
      </c>
      <c r="N1521" t="inlineStr">
        <is>
          <t>P3</t>
        </is>
      </c>
      <c r="O1521" t="inlineStr">
        <is>
          <t>Check ip-api.com + AbuseIPDB for context</t>
        </is>
      </c>
      <c r="P1521" t="n">
        <v>0</v>
      </c>
      <c r="Q1521" t="n">
        <v>0</v>
      </c>
      <c r="R1521" t="inlineStr">
        <is>
          <t>T1110:Brute Force | T1190:Exploit Public-Facing Application | T1566:Phishing</t>
        </is>
      </c>
      <c r="S1521" t="n">
        <v>1</v>
      </c>
      <c r="T1521" t="inlineStr">
        <is>
          <t>MEDIUM (60%)</t>
        </is>
      </c>
      <c r="U1521" t="inlineStr">
        <is>
          <t>NONE</t>
        </is>
      </c>
      <c r="V1521" t="inlineStr">
        <is>
          <t>NONE</t>
        </is>
      </c>
      <c r="W1521" t="inlineStr">
        <is>
          <t>NONE</t>
        </is>
      </c>
      <c r="X1521" t="inlineStr">
        <is>
          <t>NONE</t>
        </is>
      </c>
      <c r="Y1521" t="n">
        <v>0</v>
      </c>
      <c r="Z1521" t="inlineStr"/>
      <c r="AA1521" t="inlineStr">
        <is>
          <t>https://talosintelligence.com/reputation_center/lookup?search=1.24.16.101</t>
        </is>
      </c>
    </row>
    <row r="1522">
      <c r="A1522" t="inlineStr">
        <is>
          <t>TALOS_IP</t>
        </is>
      </c>
      <c r="B1522" t="inlineStr">
        <is>
          <t>0418036ca79b</t>
        </is>
      </c>
      <c r="C1522" t="inlineStr">
        <is>
          <t>Cisco Talos Blacklisted IP: 1.24.16.105 | Verified malicious | Sources: TALOS</t>
        </is>
      </c>
      <c r="D1522" t="n">
        <v>7</v>
      </c>
      <c r="E1522" t="inlineStr">
        <is>
          <t>HIGH</t>
        </is>
      </c>
      <c r="F1522" t="n">
        <v>3</v>
      </c>
      <c r="G1522" t="n">
        <v>2</v>
      </c>
      <c r="H1522" t="inlineStr">
        <is>
          <t>HIGH</t>
        </is>
      </c>
      <c r="I1522" t="n">
        <v>13</v>
      </c>
      <c r="J1522" t="inlineStr">
        <is>
          <t>NO</t>
        </is>
      </c>
      <c r="K1522" t="inlineStr">
        <is>
          <t>2026-02-27 20:47</t>
        </is>
      </c>
      <c r="L1522" t="inlineStr">
        <is>
          <t>Block IP</t>
        </is>
      </c>
      <c r="M1522" t="inlineStr">
        <is>
          <t>Network perimeter / Email / Web</t>
        </is>
      </c>
      <c r="N1522" t="inlineStr">
        <is>
          <t>P3</t>
        </is>
      </c>
      <c r="O1522" t="inlineStr">
        <is>
          <t>Check ip-api.com + AbuseIPDB for context</t>
        </is>
      </c>
      <c r="P1522" t="n">
        <v>0</v>
      </c>
      <c r="Q1522" t="n">
        <v>0</v>
      </c>
      <c r="R1522" t="inlineStr">
        <is>
          <t>T1110:Brute Force | T1190:Exploit Public-Facing Application | T1566:Phishing</t>
        </is>
      </c>
      <c r="S1522" t="n">
        <v>1</v>
      </c>
      <c r="T1522" t="inlineStr">
        <is>
          <t>MEDIUM (60%)</t>
        </is>
      </c>
      <c r="U1522" t="inlineStr">
        <is>
          <t>NONE</t>
        </is>
      </c>
      <c r="V1522" t="inlineStr">
        <is>
          <t>NONE</t>
        </is>
      </c>
      <c r="W1522" t="inlineStr">
        <is>
          <t>NONE</t>
        </is>
      </c>
      <c r="X1522" t="inlineStr">
        <is>
          <t>NONE</t>
        </is>
      </c>
      <c r="Y1522" t="n">
        <v>0</v>
      </c>
      <c r="Z1522" t="inlineStr"/>
      <c r="AA1522" t="inlineStr">
        <is>
          <t>https://talosintelligence.com/reputation_center/lookup?search=1.24.16.105</t>
        </is>
      </c>
    </row>
    <row r="1523">
      <c r="A1523" t="inlineStr">
        <is>
          <t>TALOS_IP</t>
        </is>
      </c>
      <c r="B1523" t="inlineStr">
        <is>
          <t>015abd9a7678</t>
        </is>
      </c>
      <c r="C1523" t="inlineStr">
        <is>
          <t>Cisco Talos Blacklisted IP: 1.24.16.107 | Verified malicious | Sources: TALOS</t>
        </is>
      </c>
      <c r="D1523" t="n">
        <v>7</v>
      </c>
      <c r="E1523" t="inlineStr">
        <is>
          <t>HIGH</t>
        </is>
      </c>
      <c r="F1523" t="n">
        <v>3</v>
      </c>
      <c r="G1523" t="n">
        <v>2</v>
      </c>
      <c r="H1523" t="inlineStr">
        <is>
          <t>HIGH</t>
        </is>
      </c>
      <c r="I1523" t="n">
        <v>13</v>
      </c>
      <c r="J1523" t="inlineStr">
        <is>
          <t>NO</t>
        </is>
      </c>
      <c r="K1523" t="inlineStr">
        <is>
          <t>2026-02-27 20:47</t>
        </is>
      </c>
      <c r="L1523" t="inlineStr">
        <is>
          <t>Block IP</t>
        </is>
      </c>
      <c r="M1523" t="inlineStr">
        <is>
          <t>Network perimeter / Email / Web</t>
        </is>
      </c>
      <c r="N1523" t="inlineStr">
        <is>
          <t>P3</t>
        </is>
      </c>
      <c r="O1523" t="inlineStr">
        <is>
          <t>Check ip-api.com + AbuseIPDB for context</t>
        </is>
      </c>
      <c r="P1523" t="n">
        <v>0</v>
      </c>
      <c r="Q1523" t="n">
        <v>0</v>
      </c>
      <c r="R1523" t="inlineStr">
        <is>
          <t>T1110:Brute Force | T1190:Exploit Public-Facing Application | T1566:Phishing</t>
        </is>
      </c>
      <c r="S1523" t="n">
        <v>1</v>
      </c>
      <c r="T1523" t="inlineStr">
        <is>
          <t>MEDIUM (60%)</t>
        </is>
      </c>
      <c r="U1523" t="inlineStr">
        <is>
          <t>NONE</t>
        </is>
      </c>
      <c r="V1523" t="inlineStr">
        <is>
          <t>NONE</t>
        </is>
      </c>
      <c r="W1523" t="inlineStr">
        <is>
          <t>NONE</t>
        </is>
      </c>
      <c r="X1523" t="inlineStr">
        <is>
          <t>NONE</t>
        </is>
      </c>
      <c r="Y1523" t="n">
        <v>0</v>
      </c>
      <c r="Z1523" t="inlineStr"/>
      <c r="AA1523" t="inlineStr">
        <is>
          <t>https://talosintelligence.com/reputation_center/lookup?search=1.24.16.107</t>
        </is>
      </c>
    </row>
    <row r="1524">
      <c r="A1524" t="inlineStr">
        <is>
          <t>TALOS_IP</t>
        </is>
      </c>
      <c r="B1524" t="inlineStr">
        <is>
          <t>f74bd1b43143</t>
        </is>
      </c>
      <c r="C1524" t="inlineStr">
        <is>
          <t>Cisco Talos Blacklisted IP: 1.24.16.108 | Verified malicious | Sources: TALOS</t>
        </is>
      </c>
      <c r="D1524" t="n">
        <v>7</v>
      </c>
      <c r="E1524" t="inlineStr">
        <is>
          <t>HIGH</t>
        </is>
      </c>
      <c r="F1524" t="n">
        <v>3</v>
      </c>
      <c r="G1524" t="n">
        <v>2</v>
      </c>
      <c r="H1524" t="inlineStr">
        <is>
          <t>HIGH</t>
        </is>
      </c>
      <c r="I1524" t="n">
        <v>13</v>
      </c>
      <c r="J1524" t="inlineStr">
        <is>
          <t>NO</t>
        </is>
      </c>
      <c r="K1524" t="inlineStr">
        <is>
          <t>2026-02-27 20:47</t>
        </is>
      </c>
      <c r="L1524" t="inlineStr">
        <is>
          <t>Block IP</t>
        </is>
      </c>
      <c r="M1524" t="inlineStr">
        <is>
          <t>Network perimeter / Email / Web</t>
        </is>
      </c>
      <c r="N1524" t="inlineStr">
        <is>
          <t>P3</t>
        </is>
      </c>
      <c r="O1524" t="inlineStr">
        <is>
          <t>Check ip-api.com + AbuseIPDB for context</t>
        </is>
      </c>
      <c r="P1524" t="n">
        <v>0</v>
      </c>
      <c r="Q1524" t="n">
        <v>0</v>
      </c>
      <c r="R1524" t="inlineStr">
        <is>
          <t>T1110:Brute Force | T1190:Exploit Public-Facing Application | T1566:Phishing</t>
        </is>
      </c>
      <c r="S1524" t="n">
        <v>1</v>
      </c>
      <c r="T1524" t="inlineStr">
        <is>
          <t>MEDIUM (60%)</t>
        </is>
      </c>
      <c r="U1524" t="inlineStr">
        <is>
          <t>NONE</t>
        </is>
      </c>
      <c r="V1524" t="inlineStr">
        <is>
          <t>NONE</t>
        </is>
      </c>
      <c r="W1524" t="inlineStr">
        <is>
          <t>NONE</t>
        </is>
      </c>
      <c r="X1524" t="inlineStr">
        <is>
          <t>NONE</t>
        </is>
      </c>
      <c r="Y1524" t="n">
        <v>0</v>
      </c>
      <c r="Z1524" t="inlineStr"/>
      <c r="AA1524" t="inlineStr">
        <is>
          <t>https://talosintelligence.com/reputation_center/lookup?search=1.24.16.108</t>
        </is>
      </c>
    </row>
    <row r="1525">
      <c r="A1525" t="inlineStr">
        <is>
          <t>TALOS_IP</t>
        </is>
      </c>
      <c r="B1525" t="inlineStr">
        <is>
          <t>d509eda925c3</t>
        </is>
      </c>
      <c r="C1525" t="inlineStr">
        <is>
          <t>Cisco Talos Blacklisted IP: 1.24.16.11 | Verified malicious | Sources: TALOS</t>
        </is>
      </c>
      <c r="D1525" t="n">
        <v>7</v>
      </c>
      <c r="E1525" t="inlineStr">
        <is>
          <t>HIGH</t>
        </is>
      </c>
      <c r="F1525" t="n">
        <v>3</v>
      </c>
      <c r="G1525" t="n">
        <v>2</v>
      </c>
      <c r="H1525" t="inlineStr">
        <is>
          <t>HIGH</t>
        </is>
      </c>
      <c r="I1525" t="n">
        <v>13</v>
      </c>
      <c r="J1525" t="inlineStr">
        <is>
          <t>NO</t>
        </is>
      </c>
      <c r="K1525" t="inlineStr">
        <is>
          <t>2026-02-27 20:47</t>
        </is>
      </c>
      <c r="L1525" t="inlineStr">
        <is>
          <t>Block IP</t>
        </is>
      </c>
      <c r="M1525" t="inlineStr">
        <is>
          <t>Network perimeter / Email / Web</t>
        </is>
      </c>
      <c r="N1525" t="inlineStr">
        <is>
          <t>P3</t>
        </is>
      </c>
      <c r="O1525" t="inlineStr">
        <is>
          <t>Check ip-api.com + AbuseIPDB for context</t>
        </is>
      </c>
      <c r="P1525" t="n">
        <v>0</v>
      </c>
      <c r="Q1525" t="n">
        <v>0</v>
      </c>
      <c r="R1525" t="inlineStr">
        <is>
          <t>T1110:Brute Force | T1190:Exploit Public-Facing Application | T1566:Phishing</t>
        </is>
      </c>
      <c r="S1525" t="n">
        <v>1</v>
      </c>
      <c r="T1525" t="inlineStr">
        <is>
          <t>MEDIUM (60%)</t>
        </is>
      </c>
      <c r="U1525" t="inlineStr">
        <is>
          <t>NONE</t>
        </is>
      </c>
      <c r="V1525" t="inlineStr">
        <is>
          <t>NONE</t>
        </is>
      </c>
      <c r="W1525" t="inlineStr">
        <is>
          <t>NONE</t>
        </is>
      </c>
      <c r="X1525" t="inlineStr">
        <is>
          <t>NONE</t>
        </is>
      </c>
      <c r="Y1525" t="n">
        <v>0</v>
      </c>
      <c r="Z1525" t="inlineStr"/>
      <c r="AA1525" t="inlineStr">
        <is>
          <t>https://talosintelligence.com/reputation_center/lookup?search=1.24.16.11</t>
        </is>
      </c>
    </row>
    <row r="1526">
      <c r="A1526" t="inlineStr">
        <is>
          <t>TALOS_IP</t>
        </is>
      </c>
      <c r="B1526" t="inlineStr">
        <is>
          <t>74b36ff2f4bd</t>
        </is>
      </c>
      <c r="C1526" t="inlineStr">
        <is>
          <t>Cisco Talos Blacklisted IP: 1.24.16.113 | Verified malicious | Sources: TALOS</t>
        </is>
      </c>
      <c r="D1526" t="n">
        <v>7</v>
      </c>
      <c r="E1526" t="inlineStr">
        <is>
          <t>HIGH</t>
        </is>
      </c>
      <c r="F1526" t="n">
        <v>3</v>
      </c>
      <c r="G1526" t="n">
        <v>2</v>
      </c>
      <c r="H1526" t="inlineStr">
        <is>
          <t>HIGH</t>
        </is>
      </c>
      <c r="I1526" t="n">
        <v>13</v>
      </c>
      <c r="J1526" t="inlineStr">
        <is>
          <t>NO</t>
        </is>
      </c>
      <c r="K1526" t="inlineStr">
        <is>
          <t>2026-02-27 20:47</t>
        </is>
      </c>
      <c r="L1526" t="inlineStr">
        <is>
          <t>Block IP</t>
        </is>
      </c>
      <c r="M1526" t="inlineStr">
        <is>
          <t>Network perimeter / Email / Web</t>
        </is>
      </c>
      <c r="N1526" t="inlineStr">
        <is>
          <t>P3</t>
        </is>
      </c>
      <c r="O1526" t="inlineStr">
        <is>
          <t>Check ip-api.com + AbuseIPDB for context</t>
        </is>
      </c>
      <c r="P1526" t="n">
        <v>0</v>
      </c>
      <c r="Q1526" t="n">
        <v>0</v>
      </c>
      <c r="R1526" t="inlineStr">
        <is>
          <t>T1110:Brute Force | T1190:Exploit Public-Facing Application | T1566:Phishing</t>
        </is>
      </c>
      <c r="S1526" t="n">
        <v>1</v>
      </c>
      <c r="T1526" t="inlineStr">
        <is>
          <t>MEDIUM (60%)</t>
        </is>
      </c>
      <c r="U1526" t="inlineStr">
        <is>
          <t>NONE</t>
        </is>
      </c>
      <c r="V1526" t="inlineStr">
        <is>
          <t>NONE</t>
        </is>
      </c>
      <c r="W1526" t="inlineStr">
        <is>
          <t>NONE</t>
        </is>
      </c>
      <c r="X1526" t="inlineStr">
        <is>
          <t>NONE</t>
        </is>
      </c>
      <c r="Y1526" t="n">
        <v>0</v>
      </c>
      <c r="Z1526" t="inlineStr"/>
      <c r="AA1526" t="inlineStr">
        <is>
          <t>https://talosintelligence.com/reputation_center/lookup?search=1.24.16.113</t>
        </is>
      </c>
    </row>
    <row r="1527">
      <c r="A1527" t="inlineStr">
        <is>
          <t>TALOS_IP</t>
        </is>
      </c>
      <c r="B1527" t="inlineStr">
        <is>
          <t>d543ed6c9a51</t>
        </is>
      </c>
      <c r="C1527" t="inlineStr">
        <is>
          <t>Cisco Talos Blacklisted IP: 1.24.16.114 | Verified malicious | Sources: TALOS</t>
        </is>
      </c>
      <c r="D1527" t="n">
        <v>7</v>
      </c>
      <c r="E1527" t="inlineStr">
        <is>
          <t>HIGH</t>
        </is>
      </c>
      <c r="F1527" t="n">
        <v>3</v>
      </c>
      <c r="G1527" t="n">
        <v>2</v>
      </c>
      <c r="H1527" t="inlineStr">
        <is>
          <t>HIGH</t>
        </is>
      </c>
      <c r="I1527" t="n">
        <v>13</v>
      </c>
      <c r="J1527" t="inlineStr">
        <is>
          <t>NO</t>
        </is>
      </c>
      <c r="K1527" t="inlineStr">
        <is>
          <t>2026-02-27 20:47</t>
        </is>
      </c>
      <c r="L1527" t="inlineStr">
        <is>
          <t>Block IP</t>
        </is>
      </c>
      <c r="M1527" t="inlineStr">
        <is>
          <t>Network perimeter / Email / Web</t>
        </is>
      </c>
      <c r="N1527" t="inlineStr">
        <is>
          <t>P3</t>
        </is>
      </c>
      <c r="O1527" t="inlineStr">
        <is>
          <t>Check ip-api.com + AbuseIPDB for context</t>
        </is>
      </c>
      <c r="P1527" t="n">
        <v>0</v>
      </c>
      <c r="Q1527" t="n">
        <v>0</v>
      </c>
      <c r="R1527" t="inlineStr">
        <is>
          <t>T1110:Brute Force | T1190:Exploit Public-Facing Application | T1566:Phishing</t>
        </is>
      </c>
      <c r="S1527" t="n">
        <v>1</v>
      </c>
      <c r="T1527" t="inlineStr">
        <is>
          <t>MEDIUM (60%)</t>
        </is>
      </c>
      <c r="U1527" t="inlineStr">
        <is>
          <t>NONE</t>
        </is>
      </c>
      <c r="V1527" t="inlineStr">
        <is>
          <t>NONE</t>
        </is>
      </c>
      <c r="W1527" t="inlineStr">
        <is>
          <t>NONE</t>
        </is>
      </c>
      <c r="X1527" t="inlineStr">
        <is>
          <t>NONE</t>
        </is>
      </c>
      <c r="Y1527" t="n">
        <v>0</v>
      </c>
      <c r="Z1527" t="inlineStr"/>
      <c r="AA1527" t="inlineStr">
        <is>
          <t>https://talosintelligence.com/reputation_center/lookup?search=1.24.16.114</t>
        </is>
      </c>
    </row>
    <row r="1528">
      <c r="A1528" t="inlineStr">
        <is>
          <t>TALOS_IP</t>
        </is>
      </c>
      <c r="B1528" t="inlineStr">
        <is>
          <t>1fdc3d940f13</t>
        </is>
      </c>
      <c r="C1528" t="inlineStr">
        <is>
          <t>Cisco Talos Blacklisted IP: 1.24.16.119 | Verified malicious | Sources: TALOS</t>
        </is>
      </c>
      <c r="D1528" t="n">
        <v>7</v>
      </c>
      <c r="E1528" t="inlineStr">
        <is>
          <t>HIGH</t>
        </is>
      </c>
      <c r="F1528" t="n">
        <v>3</v>
      </c>
      <c r="G1528" t="n">
        <v>2</v>
      </c>
      <c r="H1528" t="inlineStr">
        <is>
          <t>HIGH</t>
        </is>
      </c>
      <c r="I1528" t="n">
        <v>13</v>
      </c>
      <c r="J1528" t="inlineStr">
        <is>
          <t>NO</t>
        </is>
      </c>
      <c r="K1528" t="inlineStr">
        <is>
          <t>2026-02-27 20:47</t>
        </is>
      </c>
      <c r="L1528" t="inlineStr">
        <is>
          <t>Block IP</t>
        </is>
      </c>
      <c r="M1528" t="inlineStr">
        <is>
          <t>Network perimeter / Email / Web</t>
        </is>
      </c>
      <c r="N1528" t="inlineStr">
        <is>
          <t>P3</t>
        </is>
      </c>
      <c r="O1528" t="inlineStr">
        <is>
          <t>Check ip-api.com + AbuseIPDB for context</t>
        </is>
      </c>
      <c r="P1528" t="n">
        <v>0</v>
      </c>
      <c r="Q1528" t="n">
        <v>0</v>
      </c>
      <c r="R1528" t="inlineStr">
        <is>
          <t>T1110:Brute Force | T1190:Exploit Public-Facing Application | T1566:Phishing</t>
        </is>
      </c>
      <c r="S1528" t="n">
        <v>1</v>
      </c>
      <c r="T1528" t="inlineStr">
        <is>
          <t>MEDIUM (60%)</t>
        </is>
      </c>
      <c r="U1528" t="inlineStr">
        <is>
          <t>NONE</t>
        </is>
      </c>
      <c r="V1528" t="inlineStr">
        <is>
          <t>NONE</t>
        </is>
      </c>
      <c r="W1528" t="inlineStr">
        <is>
          <t>NONE</t>
        </is>
      </c>
      <c r="X1528" t="inlineStr">
        <is>
          <t>NONE</t>
        </is>
      </c>
      <c r="Y1528" t="n">
        <v>0</v>
      </c>
      <c r="Z1528" t="inlineStr"/>
      <c r="AA1528" t="inlineStr">
        <is>
          <t>https://talosintelligence.com/reputation_center/lookup?search=1.24.16.119</t>
        </is>
      </c>
    </row>
    <row r="1529">
      <c r="A1529" t="inlineStr">
        <is>
          <t>TALOS_IP</t>
        </is>
      </c>
      <c r="B1529" t="inlineStr">
        <is>
          <t>440c2c3f2336</t>
        </is>
      </c>
      <c r="C1529" t="inlineStr">
        <is>
          <t>Cisco Talos Blacklisted IP: 1.24.16.122 | Verified malicious | Sources: TALOS</t>
        </is>
      </c>
      <c r="D1529" t="n">
        <v>7</v>
      </c>
      <c r="E1529" t="inlineStr">
        <is>
          <t>HIGH</t>
        </is>
      </c>
      <c r="F1529" t="n">
        <v>3</v>
      </c>
      <c r="G1529" t="n">
        <v>2</v>
      </c>
      <c r="H1529" t="inlineStr">
        <is>
          <t>HIGH</t>
        </is>
      </c>
      <c r="I1529" t="n">
        <v>13</v>
      </c>
      <c r="J1529" t="inlineStr">
        <is>
          <t>NO</t>
        </is>
      </c>
      <c r="K1529" t="inlineStr">
        <is>
          <t>2026-02-27 20:47</t>
        </is>
      </c>
      <c r="L1529" t="inlineStr">
        <is>
          <t>Block IP</t>
        </is>
      </c>
      <c r="M1529" t="inlineStr">
        <is>
          <t>Network perimeter / Email / Web</t>
        </is>
      </c>
      <c r="N1529" t="inlineStr">
        <is>
          <t>P3</t>
        </is>
      </c>
      <c r="O1529" t="inlineStr">
        <is>
          <t>Check ip-api.com + AbuseIPDB for context</t>
        </is>
      </c>
      <c r="P1529" t="n">
        <v>0</v>
      </c>
      <c r="Q1529" t="n">
        <v>0</v>
      </c>
      <c r="R1529" t="inlineStr">
        <is>
          <t>T1110:Brute Force | T1190:Exploit Public-Facing Application | T1566:Phishing</t>
        </is>
      </c>
      <c r="S1529" t="n">
        <v>1</v>
      </c>
      <c r="T1529" t="inlineStr">
        <is>
          <t>MEDIUM (60%)</t>
        </is>
      </c>
      <c r="U1529" t="inlineStr">
        <is>
          <t>NONE</t>
        </is>
      </c>
      <c r="V1529" t="inlineStr">
        <is>
          <t>NONE</t>
        </is>
      </c>
      <c r="W1529" t="inlineStr">
        <is>
          <t>NONE</t>
        </is>
      </c>
      <c r="X1529" t="inlineStr">
        <is>
          <t>NONE</t>
        </is>
      </c>
      <c r="Y1529" t="n">
        <v>0</v>
      </c>
      <c r="Z1529" t="inlineStr"/>
      <c r="AA1529" t="inlineStr">
        <is>
          <t>https://talosintelligence.com/reputation_center/lookup?search=1.24.16.122</t>
        </is>
      </c>
    </row>
    <row r="1530">
      <c r="A1530" t="inlineStr">
        <is>
          <t>TALOS_IP</t>
        </is>
      </c>
      <c r="B1530" t="inlineStr">
        <is>
          <t>01240ae7e801</t>
        </is>
      </c>
      <c r="C1530" t="inlineStr">
        <is>
          <t>Cisco Talos Blacklisted IP: 1.24.16.125 | Verified malicious | Sources: TALOS</t>
        </is>
      </c>
      <c r="D1530" t="n">
        <v>7</v>
      </c>
      <c r="E1530" t="inlineStr">
        <is>
          <t>HIGH</t>
        </is>
      </c>
      <c r="F1530" t="n">
        <v>3</v>
      </c>
      <c r="G1530" t="n">
        <v>2</v>
      </c>
      <c r="H1530" t="inlineStr">
        <is>
          <t>HIGH</t>
        </is>
      </c>
      <c r="I1530" t="n">
        <v>13</v>
      </c>
      <c r="J1530" t="inlineStr">
        <is>
          <t>NO</t>
        </is>
      </c>
      <c r="K1530" t="inlineStr">
        <is>
          <t>2026-02-27 20:47</t>
        </is>
      </c>
      <c r="L1530" t="inlineStr">
        <is>
          <t>Block IP</t>
        </is>
      </c>
      <c r="M1530" t="inlineStr">
        <is>
          <t>Network perimeter / Email / Web</t>
        </is>
      </c>
      <c r="N1530" t="inlineStr">
        <is>
          <t>P3</t>
        </is>
      </c>
      <c r="O1530" t="inlineStr">
        <is>
          <t>Check ip-api.com + AbuseIPDB for context</t>
        </is>
      </c>
      <c r="P1530" t="n">
        <v>0</v>
      </c>
      <c r="Q1530" t="n">
        <v>0</v>
      </c>
      <c r="R1530" t="inlineStr">
        <is>
          <t>T1110:Brute Force | T1190:Exploit Public-Facing Application | T1566:Phishing</t>
        </is>
      </c>
      <c r="S1530" t="n">
        <v>1</v>
      </c>
      <c r="T1530" t="inlineStr">
        <is>
          <t>MEDIUM (60%)</t>
        </is>
      </c>
      <c r="U1530" t="inlineStr">
        <is>
          <t>NONE</t>
        </is>
      </c>
      <c r="V1530" t="inlineStr">
        <is>
          <t>NONE</t>
        </is>
      </c>
      <c r="W1530" t="inlineStr">
        <is>
          <t>NONE</t>
        </is>
      </c>
      <c r="X1530" t="inlineStr">
        <is>
          <t>NONE</t>
        </is>
      </c>
      <c r="Y1530" t="n">
        <v>0</v>
      </c>
      <c r="Z1530" t="inlineStr"/>
      <c r="AA1530" t="inlineStr">
        <is>
          <t>https://talosintelligence.com/reputation_center/lookup?search=1.24.16.125</t>
        </is>
      </c>
    </row>
    <row r="1531">
      <c r="A1531" t="inlineStr">
        <is>
          <t>TALOS_IP</t>
        </is>
      </c>
      <c r="B1531" t="inlineStr">
        <is>
          <t>44c315f73c73</t>
        </is>
      </c>
      <c r="C1531" t="inlineStr">
        <is>
          <t>Cisco Talos Blacklisted IP: 1.24.16.130 | Verified malicious | Sources: TALOS</t>
        </is>
      </c>
      <c r="D1531" t="n">
        <v>7</v>
      </c>
      <c r="E1531" t="inlineStr">
        <is>
          <t>HIGH</t>
        </is>
      </c>
      <c r="F1531" t="n">
        <v>3</v>
      </c>
      <c r="G1531" t="n">
        <v>2</v>
      </c>
      <c r="H1531" t="inlineStr">
        <is>
          <t>HIGH</t>
        </is>
      </c>
      <c r="I1531" t="n">
        <v>13</v>
      </c>
      <c r="J1531" t="inlineStr">
        <is>
          <t>NO</t>
        </is>
      </c>
      <c r="K1531" t="inlineStr">
        <is>
          <t>2026-02-27 20:47</t>
        </is>
      </c>
      <c r="L1531" t="inlineStr">
        <is>
          <t>Block IP</t>
        </is>
      </c>
      <c r="M1531" t="inlineStr">
        <is>
          <t>Network perimeter / Email / Web</t>
        </is>
      </c>
      <c r="N1531" t="inlineStr">
        <is>
          <t>P3</t>
        </is>
      </c>
      <c r="O1531" t="inlineStr">
        <is>
          <t>Check ip-api.com + AbuseIPDB for context</t>
        </is>
      </c>
      <c r="P1531" t="n">
        <v>0</v>
      </c>
      <c r="Q1531" t="n">
        <v>0</v>
      </c>
      <c r="R1531" t="inlineStr">
        <is>
          <t>T1110:Brute Force | T1190:Exploit Public-Facing Application | T1566:Phishing</t>
        </is>
      </c>
      <c r="S1531" t="n">
        <v>1</v>
      </c>
      <c r="T1531" t="inlineStr">
        <is>
          <t>MEDIUM (60%)</t>
        </is>
      </c>
      <c r="U1531" t="inlineStr">
        <is>
          <t>NONE</t>
        </is>
      </c>
      <c r="V1531" t="inlineStr">
        <is>
          <t>NONE</t>
        </is>
      </c>
      <c r="W1531" t="inlineStr">
        <is>
          <t>NONE</t>
        </is>
      </c>
      <c r="X1531" t="inlineStr">
        <is>
          <t>NONE</t>
        </is>
      </c>
      <c r="Y1531" t="n">
        <v>0</v>
      </c>
      <c r="Z1531" t="inlineStr"/>
      <c r="AA1531" t="inlineStr">
        <is>
          <t>https://talosintelligence.com/reputation_center/lookup?search=1.24.16.130</t>
        </is>
      </c>
    </row>
    <row r="1532">
      <c r="A1532" t="inlineStr">
        <is>
          <t>TALOS_IP</t>
        </is>
      </c>
      <c r="B1532" t="inlineStr">
        <is>
          <t>d42446050cad</t>
        </is>
      </c>
      <c r="C1532" t="inlineStr">
        <is>
          <t>Cisco Talos Blacklisted IP: 1.24.16.132 | Verified malicious | Sources: TALOS</t>
        </is>
      </c>
      <c r="D1532" t="n">
        <v>7</v>
      </c>
      <c r="E1532" t="inlineStr">
        <is>
          <t>HIGH</t>
        </is>
      </c>
      <c r="F1532" t="n">
        <v>3</v>
      </c>
      <c r="G1532" t="n">
        <v>2</v>
      </c>
      <c r="H1532" t="inlineStr">
        <is>
          <t>HIGH</t>
        </is>
      </c>
      <c r="I1532" t="n">
        <v>13</v>
      </c>
      <c r="J1532" t="inlineStr">
        <is>
          <t>NO</t>
        </is>
      </c>
      <c r="K1532" t="inlineStr">
        <is>
          <t>2026-02-27 20:47</t>
        </is>
      </c>
      <c r="L1532" t="inlineStr">
        <is>
          <t>Block IP</t>
        </is>
      </c>
      <c r="M1532" t="inlineStr">
        <is>
          <t>Network perimeter / Email / Web</t>
        </is>
      </c>
      <c r="N1532" t="inlineStr">
        <is>
          <t>P3</t>
        </is>
      </c>
      <c r="O1532" t="inlineStr">
        <is>
          <t>Check ip-api.com + AbuseIPDB for context</t>
        </is>
      </c>
      <c r="P1532" t="n">
        <v>0</v>
      </c>
      <c r="Q1532" t="n">
        <v>0</v>
      </c>
      <c r="R1532" t="inlineStr">
        <is>
          <t>T1110:Brute Force | T1190:Exploit Public-Facing Application | T1566:Phishing</t>
        </is>
      </c>
      <c r="S1532" t="n">
        <v>1</v>
      </c>
      <c r="T1532" t="inlineStr">
        <is>
          <t>MEDIUM (60%)</t>
        </is>
      </c>
      <c r="U1532" t="inlineStr">
        <is>
          <t>NONE</t>
        </is>
      </c>
      <c r="V1532" t="inlineStr">
        <is>
          <t>NONE</t>
        </is>
      </c>
      <c r="W1532" t="inlineStr">
        <is>
          <t>NONE</t>
        </is>
      </c>
      <c r="X1532" t="inlineStr">
        <is>
          <t>NONE</t>
        </is>
      </c>
      <c r="Y1532" t="n">
        <v>0</v>
      </c>
      <c r="Z1532" t="inlineStr"/>
      <c r="AA1532" t="inlineStr">
        <is>
          <t>https://talosintelligence.com/reputation_center/lookup?search=1.24.16.132</t>
        </is>
      </c>
    </row>
    <row r="1533">
      <c r="A1533" t="inlineStr">
        <is>
          <t>TALOS_IP</t>
        </is>
      </c>
      <c r="B1533" t="inlineStr">
        <is>
          <t>c48dc9d90351</t>
        </is>
      </c>
      <c r="C1533" t="inlineStr">
        <is>
          <t>Cisco Talos Blacklisted IP: 1.24.16.138 | Verified malicious | Sources: TALOS</t>
        </is>
      </c>
      <c r="D1533" t="n">
        <v>7</v>
      </c>
      <c r="E1533" t="inlineStr">
        <is>
          <t>HIGH</t>
        </is>
      </c>
      <c r="F1533" t="n">
        <v>3</v>
      </c>
      <c r="G1533" t="n">
        <v>2</v>
      </c>
      <c r="H1533" t="inlineStr">
        <is>
          <t>HIGH</t>
        </is>
      </c>
      <c r="I1533" t="n">
        <v>13</v>
      </c>
      <c r="J1533" t="inlineStr">
        <is>
          <t>NO</t>
        </is>
      </c>
      <c r="K1533" t="inlineStr">
        <is>
          <t>2026-02-27 20:47</t>
        </is>
      </c>
      <c r="L1533" t="inlineStr">
        <is>
          <t>Block IP</t>
        </is>
      </c>
      <c r="M1533" t="inlineStr">
        <is>
          <t>Network perimeter / Email / Web</t>
        </is>
      </c>
      <c r="N1533" t="inlineStr">
        <is>
          <t>P3</t>
        </is>
      </c>
      <c r="O1533" t="inlineStr">
        <is>
          <t>Check ip-api.com + AbuseIPDB for context</t>
        </is>
      </c>
      <c r="P1533" t="n">
        <v>0</v>
      </c>
      <c r="Q1533" t="n">
        <v>0</v>
      </c>
      <c r="R1533" t="inlineStr">
        <is>
          <t>T1110:Brute Force | T1190:Exploit Public-Facing Application | T1566:Phishing</t>
        </is>
      </c>
      <c r="S1533" t="n">
        <v>1</v>
      </c>
      <c r="T1533" t="inlineStr">
        <is>
          <t>MEDIUM (60%)</t>
        </is>
      </c>
      <c r="U1533" t="inlineStr">
        <is>
          <t>NONE</t>
        </is>
      </c>
      <c r="V1533" t="inlineStr">
        <is>
          <t>NONE</t>
        </is>
      </c>
      <c r="W1533" t="inlineStr">
        <is>
          <t>NONE</t>
        </is>
      </c>
      <c r="X1533" t="inlineStr">
        <is>
          <t>NONE</t>
        </is>
      </c>
      <c r="Y1533" t="n">
        <v>0</v>
      </c>
      <c r="Z1533" t="inlineStr"/>
      <c r="AA1533" t="inlineStr">
        <is>
          <t>https://talosintelligence.com/reputation_center/lookup?search=1.24.16.138</t>
        </is>
      </c>
    </row>
    <row r="1534">
      <c r="A1534" t="inlineStr">
        <is>
          <t>TALOS_IP</t>
        </is>
      </c>
      <c r="B1534" t="inlineStr">
        <is>
          <t>ed18e1b5f5ac</t>
        </is>
      </c>
      <c r="C1534" t="inlineStr">
        <is>
          <t>Cisco Talos Blacklisted IP: 1.24.16.140 | Verified malicious | Sources: TALOS</t>
        </is>
      </c>
      <c r="D1534" t="n">
        <v>7</v>
      </c>
      <c r="E1534" t="inlineStr">
        <is>
          <t>HIGH</t>
        </is>
      </c>
      <c r="F1534" t="n">
        <v>3</v>
      </c>
      <c r="G1534" t="n">
        <v>2</v>
      </c>
      <c r="H1534" t="inlineStr">
        <is>
          <t>HIGH</t>
        </is>
      </c>
      <c r="I1534" t="n">
        <v>13</v>
      </c>
      <c r="J1534" t="inlineStr">
        <is>
          <t>NO</t>
        </is>
      </c>
      <c r="K1534" t="inlineStr">
        <is>
          <t>2026-02-27 20:47</t>
        </is>
      </c>
      <c r="L1534" t="inlineStr">
        <is>
          <t>Block IP</t>
        </is>
      </c>
      <c r="M1534" t="inlineStr">
        <is>
          <t>Network perimeter / Email / Web</t>
        </is>
      </c>
      <c r="N1534" t="inlineStr">
        <is>
          <t>P3</t>
        </is>
      </c>
      <c r="O1534" t="inlineStr">
        <is>
          <t>Check ip-api.com + AbuseIPDB for context</t>
        </is>
      </c>
      <c r="P1534" t="n">
        <v>0</v>
      </c>
      <c r="Q1534" t="n">
        <v>0</v>
      </c>
      <c r="R1534" t="inlineStr">
        <is>
          <t>T1110:Brute Force | T1190:Exploit Public-Facing Application | T1566:Phishing</t>
        </is>
      </c>
      <c r="S1534" t="n">
        <v>1</v>
      </c>
      <c r="T1534" t="inlineStr">
        <is>
          <t>MEDIUM (60%)</t>
        </is>
      </c>
      <c r="U1534" t="inlineStr">
        <is>
          <t>NONE</t>
        </is>
      </c>
      <c r="V1534" t="inlineStr">
        <is>
          <t>NONE</t>
        </is>
      </c>
      <c r="W1534" t="inlineStr">
        <is>
          <t>NONE</t>
        </is>
      </c>
      <c r="X1534" t="inlineStr">
        <is>
          <t>NONE</t>
        </is>
      </c>
      <c r="Y1534" t="n">
        <v>0</v>
      </c>
      <c r="Z1534" t="inlineStr"/>
      <c r="AA1534" t="inlineStr">
        <is>
          <t>https://talosintelligence.com/reputation_center/lookup?search=1.24.16.140</t>
        </is>
      </c>
    </row>
    <row r="1535">
      <c r="A1535" t="inlineStr">
        <is>
          <t>TALOS_IP</t>
        </is>
      </c>
      <c r="B1535" t="inlineStr">
        <is>
          <t>30dbd1a40fae</t>
        </is>
      </c>
      <c r="C1535" t="inlineStr">
        <is>
          <t>Cisco Talos Blacklisted IP: 1.24.16.141 | Verified malicious | Sources: TALOS</t>
        </is>
      </c>
      <c r="D1535" t="n">
        <v>7</v>
      </c>
      <c r="E1535" t="inlineStr">
        <is>
          <t>HIGH</t>
        </is>
      </c>
      <c r="F1535" t="n">
        <v>3</v>
      </c>
      <c r="G1535" t="n">
        <v>2</v>
      </c>
      <c r="H1535" t="inlineStr">
        <is>
          <t>HIGH</t>
        </is>
      </c>
      <c r="I1535" t="n">
        <v>13</v>
      </c>
      <c r="J1535" t="inlineStr">
        <is>
          <t>NO</t>
        </is>
      </c>
      <c r="K1535" t="inlineStr">
        <is>
          <t>2026-02-27 20:47</t>
        </is>
      </c>
      <c r="L1535" t="inlineStr">
        <is>
          <t>Block IP</t>
        </is>
      </c>
      <c r="M1535" t="inlineStr">
        <is>
          <t>Network perimeter / Email / Web</t>
        </is>
      </c>
      <c r="N1535" t="inlineStr">
        <is>
          <t>P3</t>
        </is>
      </c>
      <c r="O1535" t="inlineStr">
        <is>
          <t>Check ip-api.com + AbuseIPDB for context</t>
        </is>
      </c>
      <c r="P1535" t="n">
        <v>0</v>
      </c>
      <c r="Q1535" t="n">
        <v>0</v>
      </c>
      <c r="R1535" t="inlineStr">
        <is>
          <t>T1110:Brute Force | T1190:Exploit Public-Facing Application | T1566:Phishing</t>
        </is>
      </c>
      <c r="S1535" t="n">
        <v>1</v>
      </c>
      <c r="T1535" t="inlineStr">
        <is>
          <t>MEDIUM (60%)</t>
        </is>
      </c>
      <c r="U1535" t="inlineStr">
        <is>
          <t>NONE</t>
        </is>
      </c>
      <c r="V1535" t="inlineStr">
        <is>
          <t>NONE</t>
        </is>
      </c>
      <c r="W1535" t="inlineStr">
        <is>
          <t>NONE</t>
        </is>
      </c>
      <c r="X1535" t="inlineStr">
        <is>
          <t>NONE</t>
        </is>
      </c>
      <c r="Y1535" t="n">
        <v>0</v>
      </c>
      <c r="Z1535" t="inlineStr"/>
      <c r="AA1535" t="inlineStr">
        <is>
          <t>https://talosintelligence.com/reputation_center/lookup?search=1.24.16.141</t>
        </is>
      </c>
    </row>
    <row r="1536">
      <c r="A1536" t="inlineStr">
        <is>
          <t>TALOS_IP</t>
        </is>
      </c>
      <c r="B1536" t="inlineStr">
        <is>
          <t>367105c805fe</t>
        </is>
      </c>
      <c r="C1536" t="inlineStr">
        <is>
          <t>Cisco Talos Blacklisted IP: 1.24.16.144 | Verified malicious | Sources: TALOS</t>
        </is>
      </c>
      <c r="D1536" t="n">
        <v>7</v>
      </c>
      <c r="E1536" t="inlineStr">
        <is>
          <t>HIGH</t>
        </is>
      </c>
      <c r="F1536" t="n">
        <v>3</v>
      </c>
      <c r="G1536" t="n">
        <v>2</v>
      </c>
      <c r="H1536" t="inlineStr">
        <is>
          <t>HIGH</t>
        </is>
      </c>
      <c r="I1536" t="n">
        <v>13</v>
      </c>
      <c r="J1536" t="inlineStr">
        <is>
          <t>NO</t>
        </is>
      </c>
      <c r="K1536" t="inlineStr">
        <is>
          <t>2026-02-27 20:47</t>
        </is>
      </c>
      <c r="L1536" t="inlineStr">
        <is>
          <t>Block IP</t>
        </is>
      </c>
      <c r="M1536" t="inlineStr">
        <is>
          <t>Network perimeter / Email / Web</t>
        </is>
      </c>
      <c r="N1536" t="inlineStr">
        <is>
          <t>P3</t>
        </is>
      </c>
      <c r="O1536" t="inlineStr">
        <is>
          <t>Check ip-api.com + AbuseIPDB for context</t>
        </is>
      </c>
      <c r="P1536" t="n">
        <v>0</v>
      </c>
      <c r="Q1536" t="n">
        <v>0</v>
      </c>
      <c r="R1536" t="inlineStr">
        <is>
          <t>T1110:Brute Force | T1190:Exploit Public-Facing Application | T1566:Phishing</t>
        </is>
      </c>
      <c r="S1536" t="n">
        <v>1</v>
      </c>
      <c r="T1536" t="inlineStr">
        <is>
          <t>MEDIUM (60%)</t>
        </is>
      </c>
      <c r="U1536" t="inlineStr">
        <is>
          <t>NONE</t>
        </is>
      </c>
      <c r="V1536" t="inlineStr">
        <is>
          <t>NONE</t>
        </is>
      </c>
      <c r="W1536" t="inlineStr">
        <is>
          <t>NONE</t>
        </is>
      </c>
      <c r="X1536" t="inlineStr">
        <is>
          <t>NONE</t>
        </is>
      </c>
      <c r="Y1536" t="n">
        <v>0</v>
      </c>
      <c r="Z1536" t="inlineStr"/>
      <c r="AA1536" t="inlineStr">
        <is>
          <t>https://talosintelligence.com/reputation_center/lookup?search=1.24.16.144</t>
        </is>
      </c>
    </row>
    <row r="1537">
      <c r="A1537" t="inlineStr">
        <is>
          <t>TALOS_IP</t>
        </is>
      </c>
      <c r="B1537" t="inlineStr">
        <is>
          <t>b15bae32054c</t>
        </is>
      </c>
      <c r="C1537" t="inlineStr">
        <is>
          <t>Cisco Talos Blacklisted IP: 1.24.16.149 | Verified malicious | Sources: TALOS</t>
        </is>
      </c>
      <c r="D1537" t="n">
        <v>7</v>
      </c>
      <c r="E1537" t="inlineStr">
        <is>
          <t>HIGH</t>
        </is>
      </c>
      <c r="F1537" t="n">
        <v>3</v>
      </c>
      <c r="G1537" t="n">
        <v>2</v>
      </c>
      <c r="H1537" t="inlineStr">
        <is>
          <t>HIGH</t>
        </is>
      </c>
      <c r="I1537" t="n">
        <v>13</v>
      </c>
      <c r="J1537" t="inlineStr">
        <is>
          <t>NO</t>
        </is>
      </c>
      <c r="K1537" t="inlineStr">
        <is>
          <t>2026-02-27 20:47</t>
        </is>
      </c>
      <c r="L1537" t="inlineStr">
        <is>
          <t>Block IP</t>
        </is>
      </c>
      <c r="M1537" t="inlineStr">
        <is>
          <t>Network perimeter / Email / Web</t>
        </is>
      </c>
      <c r="N1537" t="inlineStr">
        <is>
          <t>P3</t>
        </is>
      </c>
      <c r="O1537" t="inlineStr">
        <is>
          <t>Check ip-api.com + AbuseIPDB for context</t>
        </is>
      </c>
      <c r="P1537" t="n">
        <v>0</v>
      </c>
      <c r="Q1537" t="n">
        <v>0</v>
      </c>
      <c r="R1537" t="inlineStr">
        <is>
          <t>T1110:Brute Force | T1190:Exploit Public-Facing Application | T1566:Phishing</t>
        </is>
      </c>
      <c r="S1537" t="n">
        <v>1</v>
      </c>
      <c r="T1537" t="inlineStr">
        <is>
          <t>MEDIUM (60%)</t>
        </is>
      </c>
      <c r="U1537" t="inlineStr">
        <is>
          <t>NONE</t>
        </is>
      </c>
      <c r="V1537" t="inlineStr">
        <is>
          <t>NONE</t>
        </is>
      </c>
      <c r="W1537" t="inlineStr">
        <is>
          <t>NONE</t>
        </is>
      </c>
      <c r="X1537" t="inlineStr">
        <is>
          <t>NONE</t>
        </is>
      </c>
      <c r="Y1537" t="n">
        <v>0</v>
      </c>
      <c r="Z1537" t="inlineStr"/>
      <c r="AA1537" t="inlineStr">
        <is>
          <t>https://talosintelligence.com/reputation_center/lookup?search=1.24.16.149</t>
        </is>
      </c>
    </row>
    <row r="1538">
      <c r="A1538" t="inlineStr">
        <is>
          <t>TALOS_IP</t>
        </is>
      </c>
      <c r="B1538" t="inlineStr">
        <is>
          <t>0ae1e8a715e3</t>
        </is>
      </c>
      <c r="C1538" t="inlineStr">
        <is>
          <t>Cisco Talos Blacklisted IP: 1.24.16.15 | Verified malicious | Sources: TALOS</t>
        </is>
      </c>
      <c r="D1538" t="n">
        <v>7</v>
      </c>
      <c r="E1538" t="inlineStr">
        <is>
          <t>HIGH</t>
        </is>
      </c>
      <c r="F1538" t="n">
        <v>3</v>
      </c>
      <c r="G1538" t="n">
        <v>2</v>
      </c>
      <c r="H1538" t="inlineStr">
        <is>
          <t>HIGH</t>
        </is>
      </c>
      <c r="I1538" t="n">
        <v>13</v>
      </c>
      <c r="J1538" t="inlineStr">
        <is>
          <t>NO</t>
        </is>
      </c>
      <c r="K1538" t="inlineStr">
        <is>
          <t>2026-02-27 20:47</t>
        </is>
      </c>
      <c r="L1538" t="inlineStr">
        <is>
          <t>Block IP</t>
        </is>
      </c>
      <c r="M1538" t="inlineStr">
        <is>
          <t>Network perimeter / Email / Web</t>
        </is>
      </c>
      <c r="N1538" t="inlineStr">
        <is>
          <t>P3</t>
        </is>
      </c>
      <c r="O1538" t="inlineStr">
        <is>
          <t>Check ip-api.com + AbuseIPDB for context</t>
        </is>
      </c>
      <c r="P1538" t="n">
        <v>0</v>
      </c>
      <c r="Q1538" t="n">
        <v>0</v>
      </c>
      <c r="R1538" t="inlineStr">
        <is>
          <t>T1110:Brute Force | T1190:Exploit Public-Facing Application | T1566:Phishing</t>
        </is>
      </c>
      <c r="S1538" t="n">
        <v>1</v>
      </c>
      <c r="T1538" t="inlineStr">
        <is>
          <t>MEDIUM (60%)</t>
        </is>
      </c>
      <c r="U1538" t="inlineStr">
        <is>
          <t>NONE</t>
        </is>
      </c>
      <c r="V1538" t="inlineStr">
        <is>
          <t>NONE</t>
        </is>
      </c>
      <c r="W1538" t="inlineStr">
        <is>
          <t>NONE</t>
        </is>
      </c>
      <c r="X1538" t="inlineStr">
        <is>
          <t>NONE</t>
        </is>
      </c>
      <c r="Y1538" t="n">
        <v>0</v>
      </c>
      <c r="Z1538" t="inlineStr"/>
      <c r="AA1538" t="inlineStr">
        <is>
          <t>https://talosintelligence.com/reputation_center/lookup?search=1.24.16.15</t>
        </is>
      </c>
    </row>
    <row r="1539">
      <c r="A1539" t="inlineStr">
        <is>
          <t>TALOS_IP</t>
        </is>
      </c>
      <c r="B1539" t="inlineStr">
        <is>
          <t>39618ac9f046</t>
        </is>
      </c>
      <c r="C1539" t="inlineStr">
        <is>
          <t>Cisco Talos Blacklisted IP: 1.24.16.152 | Verified malicious | Sources: TALOS</t>
        </is>
      </c>
      <c r="D1539" t="n">
        <v>7</v>
      </c>
      <c r="E1539" t="inlineStr">
        <is>
          <t>HIGH</t>
        </is>
      </c>
      <c r="F1539" t="n">
        <v>3</v>
      </c>
      <c r="G1539" t="n">
        <v>2</v>
      </c>
      <c r="H1539" t="inlineStr">
        <is>
          <t>HIGH</t>
        </is>
      </c>
      <c r="I1539" t="n">
        <v>13</v>
      </c>
      <c r="J1539" t="inlineStr">
        <is>
          <t>NO</t>
        </is>
      </c>
      <c r="K1539" t="inlineStr">
        <is>
          <t>2026-02-27 20:47</t>
        </is>
      </c>
      <c r="L1539" t="inlineStr">
        <is>
          <t>Block IP</t>
        </is>
      </c>
      <c r="M1539" t="inlineStr">
        <is>
          <t>Network perimeter / Email / Web</t>
        </is>
      </c>
      <c r="N1539" t="inlineStr">
        <is>
          <t>P3</t>
        </is>
      </c>
      <c r="O1539" t="inlineStr">
        <is>
          <t>Check ip-api.com + AbuseIPDB for context</t>
        </is>
      </c>
      <c r="P1539" t="n">
        <v>0</v>
      </c>
      <c r="Q1539" t="n">
        <v>0</v>
      </c>
      <c r="R1539" t="inlineStr">
        <is>
          <t>T1110:Brute Force | T1190:Exploit Public-Facing Application | T1566:Phishing</t>
        </is>
      </c>
      <c r="S1539" t="n">
        <v>1</v>
      </c>
      <c r="T1539" t="inlineStr">
        <is>
          <t>MEDIUM (60%)</t>
        </is>
      </c>
      <c r="U1539" t="inlineStr">
        <is>
          <t>NONE</t>
        </is>
      </c>
      <c r="V1539" t="inlineStr">
        <is>
          <t>NONE</t>
        </is>
      </c>
      <c r="W1539" t="inlineStr">
        <is>
          <t>NONE</t>
        </is>
      </c>
      <c r="X1539" t="inlineStr">
        <is>
          <t>NONE</t>
        </is>
      </c>
      <c r="Y1539" t="n">
        <v>0</v>
      </c>
      <c r="Z1539" t="inlineStr"/>
      <c r="AA1539" t="inlineStr">
        <is>
          <t>https://talosintelligence.com/reputation_center/lookup?search=1.24.16.152</t>
        </is>
      </c>
    </row>
    <row r="1540">
      <c r="A1540" t="inlineStr">
        <is>
          <t>TALOS_IP</t>
        </is>
      </c>
      <c r="B1540" t="inlineStr">
        <is>
          <t>a080d8384952</t>
        </is>
      </c>
      <c r="C1540" t="inlineStr">
        <is>
          <t>Cisco Talos Blacklisted IP: 1.24.16.157 | Verified malicious | Sources: TALOS</t>
        </is>
      </c>
      <c r="D1540" t="n">
        <v>7</v>
      </c>
      <c r="E1540" t="inlineStr">
        <is>
          <t>HIGH</t>
        </is>
      </c>
      <c r="F1540" t="n">
        <v>3</v>
      </c>
      <c r="G1540" t="n">
        <v>2</v>
      </c>
      <c r="H1540" t="inlineStr">
        <is>
          <t>HIGH</t>
        </is>
      </c>
      <c r="I1540" t="n">
        <v>13</v>
      </c>
      <c r="J1540" t="inlineStr">
        <is>
          <t>NO</t>
        </is>
      </c>
      <c r="K1540" t="inlineStr">
        <is>
          <t>2026-02-27 20:47</t>
        </is>
      </c>
      <c r="L1540" t="inlineStr">
        <is>
          <t>Block IP</t>
        </is>
      </c>
      <c r="M1540" t="inlineStr">
        <is>
          <t>Network perimeter / Email / Web</t>
        </is>
      </c>
      <c r="N1540" t="inlineStr">
        <is>
          <t>P3</t>
        </is>
      </c>
      <c r="O1540" t="inlineStr">
        <is>
          <t>Check ip-api.com + AbuseIPDB for context</t>
        </is>
      </c>
      <c r="P1540" t="n">
        <v>0</v>
      </c>
      <c r="Q1540" t="n">
        <v>0</v>
      </c>
      <c r="R1540" t="inlineStr">
        <is>
          <t>T1110:Brute Force | T1190:Exploit Public-Facing Application | T1566:Phishing</t>
        </is>
      </c>
      <c r="S1540" t="n">
        <v>1</v>
      </c>
      <c r="T1540" t="inlineStr">
        <is>
          <t>MEDIUM (60%)</t>
        </is>
      </c>
      <c r="U1540" t="inlineStr">
        <is>
          <t>NONE</t>
        </is>
      </c>
      <c r="V1540" t="inlineStr">
        <is>
          <t>NONE</t>
        </is>
      </c>
      <c r="W1540" t="inlineStr">
        <is>
          <t>NONE</t>
        </is>
      </c>
      <c r="X1540" t="inlineStr">
        <is>
          <t>NONE</t>
        </is>
      </c>
      <c r="Y1540" t="n">
        <v>0</v>
      </c>
      <c r="Z1540" t="inlineStr"/>
      <c r="AA1540" t="inlineStr">
        <is>
          <t>https://talosintelligence.com/reputation_center/lookup?search=1.24.16.157</t>
        </is>
      </c>
    </row>
    <row r="1541">
      <c r="A1541" t="inlineStr">
        <is>
          <t>TALOS_IP</t>
        </is>
      </c>
      <c r="B1541" t="inlineStr">
        <is>
          <t>9bde7a56c487</t>
        </is>
      </c>
      <c r="C1541" t="inlineStr">
        <is>
          <t>Cisco Talos Blacklisted IP: 1.24.16.159 | Verified malicious | Sources: TALOS</t>
        </is>
      </c>
      <c r="D1541" t="n">
        <v>7</v>
      </c>
      <c r="E1541" t="inlineStr">
        <is>
          <t>HIGH</t>
        </is>
      </c>
      <c r="F1541" t="n">
        <v>3</v>
      </c>
      <c r="G1541" t="n">
        <v>2</v>
      </c>
      <c r="H1541" t="inlineStr">
        <is>
          <t>HIGH</t>
        </is>
      </c>
      <c r="I1541" t="n">
        <v>13</v>
      </c>
      <c r="J1541" t="inlineStr">
        <is>
          <t>NO</t>
        </is>
      </c>
      <c r="K1541" t="inlineStr">
        <is>
          <t>2026-02-27 20:47</t>
        </is>
      </c>
      <c r="L1541" t="inlineStr">
        <is>
          <t>Block IP</t>
        </is>
      </c>
      <c r="M1541" t="inlineStr">
        <is>
          <t>Network perimeter / Email / Web</t>
        </is>
      </c>
      <c r="N1541" t="inlineStr">
        <is>
          <t>P3</t>
        </is>
      </c>
      <c r="O1541" t="inlineStr">
        <is>
          <t>Check ip-api.com + AbuseIPDB for context</t>
        </is>
      </c>
      <c r="P1541" t="n">
        <v>0</v>
      </c>
      <c r="Q1541" t="n">
        <v>0</v>
      </c>
      <c r="R1541" t="inlineStr">
        <is>
          <t>T1110:Brute Force | T1190:Exploit Public-Facing Application | T1566:Phishing</t>
        </is>
      </c>
      <c r="S1541" t="n">
        <v>1</v>
      </c>
      <c r="T1541" t="inlineStr">
        <is>
          <t>MEDIUM (60%)</t>
        </is>
      </c>
      <c r="U1541" t="inlineStr">
        <is>
          <t>NONE</t>
        </is>
      </c>
      <c r="V1541" t="inlineStr">
        <is>
          <t>NONE</t>
        </is>
      </c>
      <c r="W1541" t="inlineStr">
        <is>
          <t>NONE</t>
        </is>
      </c>
      <c r="X1541" t="inlineStr">
        <is>
          <t>NONE</t>
        </is>
      </c>
      <c r="Y1541" t="n">
        <v>0</v>
      </c>
      <c r="Z1541" t="inlineStr"/>
      <c r="AA1541" t="inlineStr">
        <is>
          <t>https://talosintelligence.com/reputation_center/lookup?search=1.24.16.159</t>
        </is>
      </c>
    </row>
    <row r="1542">
      <c r="A1542" t="inlineStr">
        <is>
          <t>TALOS_IP</t>
        </is>
      </c>
      <c r="B1542" t="inlineStr">
        <is>
          <t>cb4cdd980323</t>
        </is>
      </c>
      <c r="C1542" t="inlineStr">
        <is>
          <t>Cisco Talos Blacklisted IP: 1.24.16.16 | Verified malicious | Sources: TALOS</t>
        </is>
      </c>
      <c r="D1542" t="n">
        <v>7</v>
      </c>
      <c r="E1542" t="inlineStr">
        <is>
          <t>HIGH</t>
        </is>
      </c>
      <c r="F1542" t="n">
        <v>3</v>
      </c>
      <c r="G1542" t="n">
        <v>2</v>
      </c>
      <c r="H1542" t="inlineStr">
        <is>
          <t>HIGH</t>
        </is>
      </c>
      <c r="I1542" t="n">
        <v>13</v>
      </c>
      <c r="J1542" t="inlineStr">
        <is>
          <t>NO</t>
        </is>
      </c>
      <c r="K1542" t="inlineStr">
        <is>
          <t>2026-02-27 20:47</t>
        </is>
      </c>
      <c r="L1542" t="inlineStr">
        <is>
          <t>Block IP</t>
        </is>
      </c>
      <c r="M1542" t="inlineStr">
        <is>
          <t>Network perimeter / Email / Web</t>
        </is>
      </c>
      <c r="N1542" t="inlineStr">
        <is>
          <t>P3</t>
        </is>
      </c>
      <c r="O1542" t="inlineStr">
        <is>
          <t>Check ip-api.com + AbuseIPDB for context</t>
        </is>
      </c>
      <c r="P1542" t="n">
        <v>0</v>
      </c>
      <c r="Q1542" t="n">
        <v>0</v>
      </c>
      <c r="R1542" t="inlineStr">
        <is>
          <t>T1110:Brute Force | T1190:Exploit Public-Facing Application | T1566:Phishing</t>
        </is>
      </c>
      <c r="S1542" t="n">
        <v>1</v>
      </c>
      <c r="T1542" t="inlineStr">
        <is>
          <t>MEDIUM (60%)</t>
        </is>
      </c>
      <c r="U1542" t="inlineStr">
        <is>
          <t>NONE</t>
        </is>
      </c>
      <c r="V1542" t="inlineStr">
        <is>
          <t>NONE</t>
        </is>
      </c>
      <c r="W1542" t="inlineStr">
        <is>
          <t>NONE</t>
        </is>
      </c>
      <c r="X1542" t="inlineStr">
        <is>
          <t>NONE</t>
        </is>
      </c>
      <c r="Y1542" t="n">
        <v>0</v>
      </c>
      <c r="Z1542" t="inlineStr"/>
      <c r="AA1542" t="inlineStr">
        <is>
          <t>https://talosintelligence.com/reputation_center/lookup?search=1.24.16.16</t>
        </is>
      </c>
    </row>
    <row r="1543">
      <c r="A1543" t="inlineStr">
        <is>
          <t>TALOS_IP</t>
        </is>
      </c>
      <c r="B1543" t="inlineStr">
        <is>
          <t>3504175bba14</t>
        </is>
      </c>
      <c r="C1543" t="inlineStr">
        <is>
          <t>Cisco Talos Blacklisted IP: 1.24.16.161 | Verified malicious | Sources: TALOS</t>
        </is>
      </c>
      <c r="D1543" t="n">
        <v>7</v>
      </c>
      <c r="E1543" t="inlineStr">
        <is>
          <t>HIGH</t>
        </is>
      </c>
      <c r="F1543" t="n">
        <v>3</v>
      </c>
      <c r="G1543" t="n">
        <v>2</v>
      </c>
      <c r="H1543" t="inlineStr">
        <is>
          <t>HIGH</t>
        </is>
      </c>
      <c r="I1543" t="n">
        <v>13</v>
      </c>
      <c r="J1543" t="inlineStr">
        <is>
          <t>NO</t>
        </is>
      </c>
      <c r="K1543" t="inlineStr">
        <is>
          <t>2026-02-27 20:47</t>
        </is>
      </c>
      <c r="L1543" t="inlineStr">
        <is>
          <t>Block IP</t>
        </is>
      </c>
      <c r="M1543" t="inlineStr">
        <is>
          <t>Network perimeter / Email / Web</t>
        </is>
      </c>
      <c r="N1543" t="inlineStr">
        <is>
          <t>P3</t>
        </is>
      </c>
      <c r="O1543" t="inlineStr">
        <is>
          <t>Check ip-api.com + AbuseIPDB for context</t>
        </is>
      </c>
      <c r="P1543" t="n">
        <v>0</v>
      </c>
      <c r="Q1543" t="n">
        <v>0</v>
      </c>
      <c r="R1543" t="inlineStr">
        <is>
          <t>T1110:Brute Force | T1190:Exploit Public-Facing Application | T1566:Phishing</t>
        </is>
      </c>
      <c r="S1543" t="n">
        <v>1</v>
      </c>
      <c r="T1543" t="inlineStr">
        <is>
          <t>MEDIUM (60%)</t>
        </is>
      </c>
      <c r="U1543" t="inlineStr">
        <is>
          <t>NONE</t>
        </is>
      </c>
      <c r="V1543" t="inlineStr">
        <is>
          <t>NONE</t>
        </is>
      </c>
      <c r="W1543" t="inlineStr">
        <is>
          <t>NONE</t>
        </is>
      </c>
      <c r="X1543" t="inlineStr">
        <is>
          <t>NONE</t>
        </is>
      </c>
      <c r="Y1543" t="n">
        <v>0</v>
      </c>
      <c r="Z1543" t="inlineStr"/>
      <c r="AA1543" t="inlineStr">
        <is>
          <t>https://talosintelligence.com/reputation_center/lookup?search=1.24.16.161</t>
        </is>
      </c>
    </row>
    <row r="1544">
      <c r="A1544" t="inlineStr">
        <is>
          <t>TALOS_IP</t>
        </is>
      </c>
      <c r="B1544" t="inlineStr">
        <is>
          <t>afd5213b6785</t>
        </is>
      </c>
      <c r="C1544" t="inlineStr">
        <is>
          <t>Cisco Talos Blacklisted IP: 1.24.16.162 | Verified malicious | Sources: TALOS</t>
        </is>
      </c>
      <c r="D1544" t="n">
        <v>7</v>
      </c>
      <c r="E1544" t="inlineStr">
        <is>
          <t>HIGH</t>
        </is>
      </c>
      <c r="F1544" t="n">
        <v>3</v>
      </c>
      <c r="G1544" t="n">
        <v>2</v>
      </c>
      <c r="H1544" t="inlineStr">
        <is>
          <t>HIGH</t>
        </is>
      </c>
      <c r="I1544" t="n">
        <v>13</v>
      </c>
      <c r="J1544" t="inlineStr">
        <is>
          <t>NO</t>
        </is>
      </c>
      <c r="K1544" t="inlineStr">
        <is>
          <t>2026-02-27 20:47</t>
        </is>
      </c>
      <c r="L1544" t="inlineStr">
        <is>
          <t>Block IP</t>
        </is>
      </c>
      <c r="M1544" t="inlineStr">
        <is>
          <t>Network perimeter / Email / Web</t>
        </is>
      </c>
      <c r="N1544" t="inlineStr">
        <is>
          <t>P3</t>
        </is>
      </c>
      <c r="O1544" t="inlineStr">
        <is>
          <t>Check ip-api.com + AbuseIPDB for context</t>
        </is>
      </c>
      <c r="P1544" t="n">
        <v>0</v>
      </c>
      <c r="Q1544" t="n">
        <v>0</v>
      </c>
      <c r="R1544" t="inlineStr">
        <is>
          <t>T1110:Brute Force | T1190:Exploit Public-Facing Application | T1566:Phishing</t>
        </is>
      </c>
      <c r="S1544" t="n">
        <v>1</v>
      </c>
      <c r="T1544" t="inlineStr">
        <is>
          <t>MEDIUM (60%)</t>
        </is>
      </c>
      <c r="U1544" t="inlineStr">
        <is>
          <t>NONE</t>
        </is>
      </c>
      <c r="V1544" t="inlineStr">
        <is>
          <t>NONE</t>
        </is>
      </c>
      <c r="W1544" t="inlineStr">
        <is>
          <t>NONE</t>
        </is>
      </c>
      <c r="X1544" t="inlineStr">
        <is>
          <t>NONE</t>
        </is>
      </c>
      <c r="Y1544" t="n">
        <v>0</v>
      </c>
      <c r="Z1544" t="inlineStr"/>
      <c r="AA1544" t="inlineStr">
        <is>
          <t>https://talosintelligence.com/reputation_center/lookup?search=1.24.16.162</t>
        </is>
      </c>
    </row>
    <row r="1545">
      <c r="A1545" t="inlineStr">
        <is>
          <t>TALOS_IP</t>
        </is>
      </c>
      <c r="B1545" t="inlineStr">
        <is>
          <t>90c3fe83abfc</t>
        </is>
      </c>
      <c r="C1545" t="inlineStr">
        <is>
          <t>Cisco Talos Blacklisted IP: 1.24.16.164 | Verified malicious | Sources: TALOS</t>
        </is>
      </c>
      <c r="D1545" t="n">
        <v>7</v>
      </c>
      <c r="E1545" t="inlineStr">
        <is>
          <t>HIGH</t>
        </is>
      </c>
      <c r="F1545" t="n">
        <v>3</v>
      </c>
      <c r="G1545" t="n">
        <v>2</v>
      </c>
      <c r="H1545" t="inlineStr">
        <is>
          <t>HIGH</t>
        </is>
      </c>
      <c r="I1545" t="n">
        <v>13</v>
      </c>
      <c r="J1545" t="inlineStr">
        <is>
          <t>NO</t>
        </is>
      </c>
      <c r="K1545" t="inlineStr">
        <is>
          <t>2026-02-27 20:47</t>
        </is>
      </c>
      <c r="L1545" t="inlineStr">
        <is>
          <t>Block IP</t>
        </is>
      </c>
      <c r="M1545" t="inlineStr">
        <is>
          <t>Network perimeter / Email / Web</t>
        </is>
      </c>
      <c r="N1545" t="inlineStr">
        <is>
          <t>P3</t>
        </is>
      </c>
      <c r="O1545" t="inlineStr">
        <is>
          <t>Check ip-api.com + AbuseIPDB for context</t>
        </is>
      </c>
      <c r="P1545" t="n">
        <v>0</v>
      </c>
      <c r="Q1545" t="n">
        <v>0</v>
      </c>
      <c r="R1545" t="inlineStr">
        <is>
          <t>T1110:Brute Force | T1190:Exploit Public-Facing Application | T1566:Phishing</t>
        </is>
      </c>
      <c r="S1545" t="n">
        <v>1</v>
      </c>
      <c r="T1545" t="inlineStr">
        <is>
          <t>MEDIUM (60%)</t>
        </is>
      </c>
      <c r="U1545" t="inlineStr">
        <is>
          <t>NONE</t>
        </is>
      </c>
      <c r="V1545" t="inlineStr">
        <is>
          <t>NONE</t>
        </is>
      </c>
      <c r="W1545" t="inlineStr">
        <is>
          <t>NONE</t>
        </is>
      </c>
      <c r="X1545" t="inlineStr">
        <is>
          <t>NONE</t>
        </is>
      </c>
      <c r="Y1545" t="n">
        <v>0</v>
      </c>
      <c r="Z1545" t="inlineStr"/>
      <c r="AA1545" t="inlineStr">
        <is>
          <t>https://talosintelligence.com/reputation_center/lookup?search=1.24.16.164</t>
        </is>
      </c>
    </row>
    <row r="1546">
      <c r="A1546" t="inlineStr">
        <is>
          <t>TALOS_IP</t>
        </is>
      </c>
      <c r="B1546" t="inlineStr">
        <is>
          <t>687d79546a24</t>
        </is>
      </c>
      <c r="C1546" t="inlineStr">
        <is>
          <t>Cisco Talos Blacklisted IP: 1.24.16.166 | Verified malicious | Sources: TALOS</t>
        </is>
      </c>
      <c r="D1546" t="n">
        <v>7</v>
      </c>
      <c r="E1546" t="inlineStr">
        <is>
          <t>HIGH</t>
        </is>
      </c>
      <c r="F1546" t="n">
        <v>3</v>
      </c>
      <c r="G1546" t="n">
        <v>2</v>
      </c>
      <c r="H1546" t="inlineStr">
        <is>
          <t>HIGH</t>
        </is>
      </c>
      <c r="I1546" t="n">
        <v>13</v>
      </c>
      <c r="J1546" t="inlineStr">
        <is>
          <t>NO</t>
        </is>
      </c>
      <c r="K1546" t="inlineStr">
        <is>
          <t>2026-02-27 20:47</t>
        </is>
      </c>
      <c r="L1546" t="inlineStr">
        <is>
          <t>Block IP</t>
        </is>
      </c>
      <c r="M1546" t="inlineStr">
        <is>
          <t>Network perimeter / Email / Web</t>
        </is>
      </c>
      <c r="N1546" t="inlineStr">
        <is>
          <t>P3</t>
        </is>
      </c>
      <c r="O1546" t="inlineStr">
        <is>
          <t>Check ip-api.com + AbuseIPDB for context</t>
        </is>
      </c>
      <c r="P1546" t="n">
        <v>0</v>
      </c>
      <c r="Q1546" t="n">
        <v>0</v>
      </c>
      <c r="R1546" t="inlineStr">
        <is>
          <t>T1110:Brute Force | T1190:Exploit Public-Facing Application | T1566:Phishing</t>
        </is>
      </c>
      <c r="S1546" t="n">
        <v>1</v>
      </c>
      <c r="T1546" t="inlineStr">
        <is>
          <t>MEDIUM (60%)</t>
        </is>
      </c>
      <c r="U1546" t="inlineStr">
        <is>
          <t>NONE</t>
        </is>
      </c>
      <c r="V1546" t="inlineStr">
        <is>
          <t>NONE</t>
        </is>
      </c>
      <c r="W1546" t="inlineStr">
        <is>
          <t>NONE</t>
        </is>
      </c>
      <c r="X1546" t="inlineStr">
        <is>
          <t>NONE</t>
        </is>
      </c>
      <c r="Y1546" t="n">
        <v>0</v>
      </c>
      <c r="Z1546" t="inlineStr"/>
      <c r="AA1546" t="inlineStr">
        <is>
          <t>https://talosintelligence.com/reputation_center/lookup?search=1.24.16.166</t>
        </is>
      </c>
    </row>
    <row r="1547">
      <c r="A1547" t="inlineStr">
        <is>
          <t>TALOS_IP</t>
        </is>
      </c>
      <c r="B1547" t="inlineStr">
        <is>
          <t>70086f3b4106</t>
        </is>
      </c>
      <c r="C1547" t="inlineStr">
        <is>
          <t>Cisco Talos Blacklisted IP: 1.24.16.169 | Verified malicious | Sources: TALOS</t>
        </is>
      </c>
      <c r="D1547" t="n">
        <v>7</v>
      </c>
      <c r="E1547" t="inlineStr">
        <is>
          <t>HIGH</t>
        </is>
      </c>
      <c r="F1547" t="n">
        <v>3</v>
      </c>
      <c r="G1547" t="n">
        <v>2</v>
      </c>
      <c r="H1547" t="inlineStr">
        <is>
          <t>HIGH</t>
        </is>
      </c>
      <c r="I1547" t="n">
        <v>13</v>
      </c>
      <c r="J1547" t="inlineStr">
        <is>
          <t>NO</t>
        </is>
      </c>
      <c r="K1547" t="inlineStr">
        <is>
          <t>2026-02-27 20:47</t>
        </is>
      </c>
      <c r="L1547" t="inlineStr">
        <is>
          <t>Block IP</t>
        </is>
      </c>
      <c r="M1547" t="inlineStr">
        <is>
          <t>Network perimeter / Email / Web</t>
        </is>
      </c>
      <c r="N1547" t="inlineStr">
        <is>
          <t>P3</t>
        </is>
      </c>
      <c r="O1547" t="inlineStr">
        <is>
          <t>Check ip-api.com + AbuseIPDB for context</t>
        </is>
      </c>
      <c r="P1547" t="n">
        <v>0</v>
      </c>
      <c r="Q1547" t="n">
        <v>0</v>
      </c>
      <c r="R1547" t="inlineStr">
        <is>
          <t>T1110:Brute Force | T1190:Exploit Public-Facing Application | T1566:Phishing</t>
        </is>
      </c>
      <c r="S1547" t="n">
        <v>1</v>
      </c>
      <c r="T1547" t="inlineStr">
        <is>
          <t>MEDIUM (60%)</t>
        </is>
      </c>
      <c r="U1547" t="inlineStr">
        <is>
          <t>NONE</t>
        </is>
      </c>
      <c r="V1547" t="inlineStr">
        <is>
          <t>NONE</t>
        </is>
      </c>
      <c r="W1547" t="inlineStr">
        <is>
          <t>NONE</t>
        </is>
      </c>
      <c r="X1547" t="inlineStr">
        <is>
          <t>NONE</t>
        </is>
      </c>
      <c r="Y1547" t="n">
        <v>0</v>
      </c>
      <c r="Z1547" t="inlineStr"/>
      <c r="AA1547" t="inlineStr">
        <is>
          <t>https://talosintelligence.com/reputation_center/lookup?search=1.24.16.169</t>
        </is>
      </c>
    </row>
    <row r="1548">
      <c r="A1548" t="inlineStr">
        <is>
          <t>TALOS_IP</t>
        </is>
      </c>
      <c r="B1548" t="inlineStr">
        <is>
          <t>dadee061d58f</t>
        </is>
      </c>
      <c r="C1548" t="inlineStr">
        <is>
          <t>Cisco Talos Blacklisted IP: 1.24.16.172 | Verified malicious | Sources: TALOS</t>
        </is>
      </c>
      <c r="D1548" t="n">
        <v>7</v>
      </c>
      <c r="E1548" t="inlineStr">
        <is>
          <t>HIGH</t>
        </is>
      </c>
      <c r="F1548" t="n">
        <v>3</v>
      </c>
      <c r="G1548" t="n">
        <v>2</v>
      </c>
      <c r="H1548" t="inlineStr">
        <is>
          <t>HIGH</t>
        </is>
      </c>
      <c r="I1548" t="n">
        <v>13</v>
      </c>
      <c r="J1548" t="inlineStr">
        <is>
          <t>NO</t>
        </is>
      </c>
      <c r="K1548" t="inlineStr">
        <is>
          <t>2026-02-27 20:47</t>
        </is>
      </c>
      <c r="L1548" t="inlineStr">
        <is>
          <t>Block IP</t>
        </is>
      </c>
      <c r="M1548" t="inlineStr">
        <is>
          <t>Network perimeter / Email / Web</t>
        </is>
      </c>
      <c r="N1548" t="inlineStr">
        <is>
          <t>P3</t>
        </is>
      </c>
      <c r="O1548" t="inlineStr">
        <is>
          <t>Check ip-api.com + AbuseIPDB for context</t>
        </is>
      </c>
      <c r="P1548" t="n">
        <v>0</v>
      </c>
      <c r="Q1548" t="n">
        <v>0</v>
      </c>
      <c r="R1548" t="inlineStr">
        <is>
          <t>T1110:Brute Force | T1190:Exploit Public-Facing Application | T1566:Phishing</t>
        </is>
      </c>
      <c r="S1548" t="n">
        <v>1</v>
      </c>
      <c r="T1548" t="inlineStr">
        <is>
          <t>MEDIUM (60%)</t>
        </is>
      </c>
      <c r="U1548" t="inlineStr">
        <is>
          <t>NONE</t>
        </is>
      </c>
      <c r="V1548" t="inlineStr">
        <is>
          <t>NONE</t>
        </is>
      </c>
      <c r="W1548" t="inlineStr">
        <is>
          <t>NONE</t>
        </is>
      </c>
      <c r="X1548" t="inlineStr">
        <is>
          <t>NONE</t>
        </is>
      </c>
      <c r="Y1548" t="n">
        <v>0</v>
      </c>
      <c r="Z1548" t="inlineStr"/>
      <c r="AA1548" t="inlineStr">
        <is>
          <t>https://talosintelligence.com/reputation_center/lookup?search=1.24.16.172</t>
        </is>
      </c>
    </row>
    <row r="1549">
      <c r="A1549" t="inlineStr">
        <is>
          <t>TALOS_IP</t>
        </is>
      </c>
      <c r="B1549" t="inlineStr">
        <is>
          <t>9b95b2282c3b</t>
        </is>
      </c>
      <c r="C1549" t="inlineStr">
        <is>
          <t>Cisco Talos Blacklisted IP: 1.24.16.177 | Verified malicious | Sources: TALOS</t>
        </is>
      </c>
      <c r="D1549" t="n">
        <v>7</v>
      </c>
      <c r="E1549" t="inlineStr">
        <is>
          <t>HIGH</t>
        </is>
      </c>
      <c r="F1549" t="n">
        <v>3</v>
      </c>
      <c r="G1549" t="n">
        <v>2</v>
      </c>
      <c r="H1549" t="inlineStr">
        <is>
          <t>HIGH</t>
        </is>
      </c>
      <c r="I1549" t="n">
        <v>13</v>
      </c>
      <c r="J1549" t="inlineStr">
        <is>
          <t>NO</t>
        </is>
      </c>
      <c r="K1549" t="inlineStr">
        <is>
          <t>2026-02-27 20:47</t>
        </is>
      </c>
      <c r="L1549" t="inlineStr">
        <is>
          <t>Block IP</t>
        </is>
      </c>
      <c r="M1549" t="inlineStr">
        <is>
          <t>Network perimeter / Email / Web</t>
        </is>
      </c>
      <c r="N1549" t="inlineStr">
        <is>
          <t>P3</t>
        </is>
      </c>
      <c r="O1549" t="inlineStr">
        <is>
          <t>Check ip-api.com + AbuseIPDB for context</t>
        </is>
      </c>
      <c r="P1549" t="n">
        <v>0</v>
      </c>
      <c r="Q1549" t="n">
        <v>0</v>
      </c>
      <c r="R1549" t="inlineStr">
        <is>
          <t>T1110:Brute Force | T1190:Exploit Public-Facing Application | T1566:Phishing</t>
        </is>
      </c>
      <c r="S1549" t="n">
        <v>1</v>
      </c>
      <c r="T1549" t="inlineStr">
        <is>
          <t>MEDIUM (60%)</t>
        </is>
      </c>
      <c r="U1549" t="inlineStr">
        <is>
          <t>NONE</t>
        </is>
      </c>
      <c r="V1549" t="inlineStr">
        <is>
          <t>NONE</t>
        </is>
      </c>
      <c r="W1549" t="inlineStr">
        <is>
          <t>NONE</t>
        </is>
      </c>
      <c r="X1549" t="inlineStr">
        <is>
          <t>NONE</t>
        </is>
      </c>
      <c r="Y1549" t="n">
        <v>0</v>
      </c>
      <c r="Z1549" t="inlineStr"/>
      <c r="AA1549" t="inlineStr">
        <is>
          <t>https://talosintelligence.com/reputation_center/lookup?search=1.24.16.177</t>
        </is>
      </c>
    </row>
    <row r="1550">
      <c r="A1550" t="inlineStr">
        <is>
          <t>TALOS_IP</t>
        </is>
      </c>
      <c r="B1550" t="inlineStr">
        <is>
          <t>7876b240ab80</t>
        </is>
      </c>
      <c r="C1550" t="inlineStr">
        <is>
          <t>Cisco Talos Blacklisted IP: 1.24.16.178 | Verified malicious | Sources: TALOS</t>
        </is>
      </c>
      <c r="D1550" t="n">
        <v>7</v>
      </c>
      <c r="E1550" t="inlineStr">
        <is>
          <t>HIGH</t>
        </is>
      </c>
      <c r="F1550" t="n">
        <v>3</v>
      </c>
      <c r="G1550" t="n">
        <v>2</v>
      </c>
      <c r="H1550" t="inlineStr">
        <is>
          <t>HIGH</t>
        </is>
      </c>
      <c r="I1550" t="n">
        <v>13</v>
      </c>
      <c r="J1550" t="inlineStr">
        <is>
          <t>NO</t>
        </is>
      </c>
      <c r="K1550" t="inlineStr">
        <is>
          <t>2026-02-27 20:47</t>
        </is>
      </c>
      <c r="L1550" t="inlineStr">
        <is>
          <t>Block IP</t>
        </is>
      </c>
      <c r="M1550" t="inlineStr">
        <is>
          <t>Network perimeter / Email / Web</t>
        </is>
      </c>
      <c r="N1550" t="inlineStr">
        <is>
          <t>P3</t>
        </is>
      </c>
      <c r="O1550" t="inlineStr">
        <is>
          <t>Check ip-api.com + AbuseIPDB for context</t>
        </is>
      </c>
      <c r="P1550" t="n">
        <v>0</v>
      </c>
      <c r="Q1550" t="n">
        <v>0</v>
      </c>
      <c r="R1550" t="inlineStr">
        <is>
          <t>T1110:Brute Force | T1190:Exploit Public-Facing Application | T1566:Phishing</t>
        </is>
      </c>
      <c r="S1550" t="n">
        <v>1</v>
      </c>
      <c r="T1550" t="inlineStr">
        <is>
          <t>MEDIUM (60%)</t>
        </is>
      </c>
      <c r="U1550" t="inlineStr">
        <is>
          <t>NONE</t>
        </is>
      </c>
      <c r="V1550" t="inlineStr">
        <is>
          <t>NONE</t>
        </is>
      </c>
      <c r="W1550" t="inlineStr">
        <is>
          <t>NONE</t>
        </is>
      </c>
      <c r="X1550" t="inlineStr">
        <is>
          <t>NONE</t>
        </is>
      </c>
      <c r="Y1550" t="n">
        <v>0</v>
      </c>
      <c r="Z1550" t="inlineStr"/>
      <c r="AA1550" t="inlineStr">
        <is>
          <t>https://talosintelligence.com/reputation_center/lookup?search=1.24.16.178</t>
        </is>
      </c>
    </row>
    <row r="1551">
      <c r="A1551" t="inlineStr">
        <is>
          <t>TALOS_IP</t>
        </is>
      </c>
      <c r="B1551" t="inlineStr">
        <is>
          <t>df69890b86b8</t>
        </is>
      </c>
      <c r="C1551" t="inlineStr">
        <is>
          <t>Cisco Talos Blacklisted IP: 1.24.16.181 | Verified malicious | Sources: TALOS</t>
        </is>
      </c>
      <c r="D1551" t="n">
        <v>7</v>
      </c>
      <c r="E1551" t="inlineStr">
        <is>
          <t>HIGH</t>
        </is>
      </c>
      <c r="F1551" t="n">
        <v>3</v>
      </c>
      <c r="G1551" t="n">
        <v>2</v>
      </c>
      <c r="H1551" t="inlineStr">
        <is>
          <t>HIGH</t>
        </is>
      </c>
      <c r="I1551" t="n">
        <v>13</v>
      </c>
      <c r="J1551" t="inlineStr">
        <is>
          <t>NO</t>
        </is>
      </c>
      <c r="K1551" t="inlineStr">
        <is>
          <t>2026-02-27 20:47</t>
        </is>
      </c>
      <c r="L1551" t="inlineStr">
        <is>
          <t>Block IP</t>
        </is>
      </c>
      <c r="M1551" t="inlineStr">
        <is>
          <t>Network perimeter / Email / Web</t>
        </is>
      </c>
      <c r="N1551" t="inlineStr">
        <is>
          <t>P3</t>
        </is>
      </c>
      <c r="O1551" t="inlineStr">
        <is>
          <t>Check ip-api.com + AbuseIPDB for context</t>
        </is>
      </c>
      <c r="P1551" t="n">
        <v>0</v>
      </c>
      <c r="Q1551" t="n">
        <v>0</v>
      </c>
      <c r="R1551" t="inlineStr">
        <is>
          <t>T1110:Brute Force | T1190:Exploit Public-Facing Application | T1566:Phishing</t>
        </is>
      </c>
      <c r="S1551" t="n">
        <v>1</v>
      </c>
      <c r="T1551" t="inlineStr">
        <is>
          <t>MEDIUM (60%)</t>
        </is>
      </c>
      <c r="U1551" t="inlineStr">
        <is>
          <t>NONE</t>
        </is>
      </c>
      <c r="V1551" t="inlineStr">
        <is>
          <t>NONE</t>
        </is>
      </c>
      <c r="W1551" t="inlineStr">
        <is>
          <t>NONE</t>
        </is>
      </c>
      <c r="X1551" t="inlineStr">
        <is>
          <t>NONE</t>
        </is>
      </c>
      <c r="Y1551" t="n">
        <v>0</v>
      </c>
      <c r="Z1551" t="inlineStr"/>
      <c r="AA1551" t="inlineStr">
        <is>
          <t>https://talosintelligence.com/reputation_center/lookup?search=1.24.16.181</t>
        </is>
      </c>
    </row>
    <row r="1552">
      <c r="A1552" t="inlineStr">
        <is>
          <t>TALOS_IP</t>
        </is>
      </c>
      <c r="B1552" t="inlineStr">
        <is>
          <t>01c1d2775c7f</t>
        </is>
      </c>
      <c r="C1552" t="inlineStr">
        <is>
          <t>Cisco Talos Blacklisted IP: 1.24.16.182 | Verified malicious | Sources: TALOS</t>
        </is>
      </c>
      <c r="D1552" t="n">
        <v>7</v>
      </c>
      <c r="E1552" t="inlineStr">
        <is>
          <t>HIGH</t>
        </is>
      </c>
      <c r="F1552" t="n">
        <v>3</v>
      </c>
      <c r="G1552" t="n">
        <v>2</v>
      </c>
      <c r="H1552" t="inlineStr">
        <is>
          <t>HIGH</t>
        </is>
      </c>
      <c r="I1552" t="n">
        <v>13</v>
      </c>
      <c r="J1552" t="inlineStr">
        <is>
          <t>NO</t>
        </is>
      </c>
      <c r="K1552" t="inlineStr">
        <is>
          <t>2026-02-27 20:47</t>
        </is>
      </c>
      <c r="L1552" t="inlineStr">
        <is>
          <t>Block IP</t>
        </is>
      </c>
      <c r="M1552" t="inlineStr">
        <is>
          <t>Network perimeter / Email / Web</t>
        </is>
      </c>
      <c r="N1552" t="inlineStr">
        <is>
          <t>P3</t>
        </is>
      </c>
      <c r="O1552" t="inlineStr">
        <is>
          <t>Check ip-api.com + AbuseIPDB for context</t>
        </is>
      </c>
      <c r="P1552" t="n">
        <v>0</v>
      </c>
      <c r="Q1552" t="n">
        <v>0</v>
      </c>
      <c r="R1552" t="inlineStr">
        <is>
          <t>T1110:Brute Force | T1190:Exploit Public-Facing Application | T1566:Phishing</t>
        </is>
      </c>
      <c r="S1552" t="n">
        <v>1</v>
      </c>
      <c r="T1552" t="inlineStr">
        <is>
          <t>MEDIUM (60%)</t>
        </is>
      </c>
      <c r="U1552" t="inlineStr">
        <is>
          <t>NONE</t>
        </is>
      </c>
      <c r="V1552" t="inlineStr">
        <is>
          <t>NONE</t>
        </is>
      </c>
      <c r="W1552" t="inlineStr">
        <is>
          <t>NONE</t>
        </is>
      </c>
      <c r="X1552" t="inlineStr">
        <is>
          <t>NONE</t>
        </is>
      </c>
      <c r="Y1552" t="n">
        <v>0</v>
      </c>
      <c r="Z1552" t="inlineStr"/>
      <c r="AA1552" t="inlineStr">
        <is>
          <t>https://talosintelligence.com/reputation_center/lookup?search=1.24.16.182</t>
        </is>
      </c>
    </row>
    <row r="1553">
      <c r="A1553" t="inlineStr">
        <is>
          <t>TALOS_IP</t>
        </is>
      </c>
      <c r="B1553" t="inlineStr">
        <is>
          <t>16a495dd4783</t>
        </is>
      </c>
      <c r="C1553" t="inlineStr">
        <is>
          <t>Cisco Talos Blacklisted IP: 1.24.16.185 | Verified malicious | Sources: TALOS</t>
        </is>
      </c>
      <c r="D1553" t="n">
        <v>7</v>
      </c>
      <c r="E1553" t="inlineStr">
        <is>
          <t>HIGH</t>
        </is>
      </c>
      <c r="F1553" t="n">
        <v>3</v>
      </c>
      <c r="G1553" t="n">
        <v>2</v>
      </c>
      <c r="H1553" t="inlineStr">
        <is>
          <t>HIGH</t>
        </is>
      </c>
      <c r="I1553" t="n">
        <v>13</v>
      </c>
      <c r="J1553" t="inlineStr">
        <is>
          <t>NO</t>
        </is>
      </c>
      <c r="K1553" t="inlineStr">
        <is>
          <t>2026-02-27 20:47</t>
        </is>
      </c>
      <c r="L1553" t="inlineStr">
        <is>
          <t>Block IP</t>
        </is>
      </c>
      <c r="M1553" t="inlineStr">
        <is>
          <t>Network perimeter / Email / Web</t>
        </is>
      </c>
      <c r="N1553" t="inlineStr">
        <is>
          <t>P3</t>
        </is>
      </c>
      <c r="O1553" t="inlineStr">
        <is>
          <t>Check ip-api.com + AbuseIPDB for context</t>
        </is>
      </c>
      <c r="P1553" t="n">
        <v>0</v>
      </c>
      <c r="Q1553" t="n">
        <v>0</v>
      </c>
      <c r="R1553" t="inlineStr">
        <is>
          <t>T1110:Brute Force | T1190:Exploit Public-Facing Application | T1566:Phishing</t>
        </is>
      </c>
      <c r="S1553" t="n">
        <v>1</v>
      </c>
      <c r="T1553" t="inlineStr">
        <is>
          <t>MEDIUM (60%)</t>
        </is>
      </c>
      <c r="U1553" t="inlineStr">
        <is>
          <t>NONE</t>
        </is>
      </c>
      <c r="V1553" t="inlineStr">
        <is>
          <t>NONE</t>
        </is>
      </c>
      <c r="W1553" t="inlineStr">
        <is>
          <t>NONE</t>
        </is>
      </c>
      <c r="X1553" t="inlineStr">
        <is>
          <t>NONE</t>
        </is>
      </c>
      <c r="Y1553" t="n">
        <v>0</v>
      </c>
      <c r="Z1553" t="inlineStr"/>
      <c r="AA1553" t="inlineStr">
        <is>
          <t>https://talosintelligence.com/reputation_center/lookup?search=1.24.16.185</t>
        </is>
      </c>
    </row>
    <row r="1554">
      <c r="A1554" t="inlineStr">
        <is>
          <t>TALOS_IP</t>
        </is>
      </c>
      <c r="B1554" t="inlineStr">
        <is>
          <t>e1562f90b978</t>
        </is>
      </c>
      <c r="C1554" t="inlineStr">
        <is>
          <t>Cisco Talos Blacklisted IP: 1.24.16.192 | Verified malicious | Sources: TALOS</t>
        </is>
      </c>
      <c r="D1554" t="n">
        <v>7</v>
      </c>
      <c r="E1554" t="inlineStr">
        <is>
          <t>HIGH</t>
        </is>
      </c>
      <c r="F1554" t="n">
        <v>3</v>
      </c>
      <c r="G1554" t="n">
        <v>2</v>
      </c>
      <c r="H1554" t="inlineStr">
        <is>
          <t>HIGH</t>
        </is>
      </c>
      <c r="I1554" t="n">
        <v>13</v>
      </c>
      <c r="J1554" t="inlineStr">
        <is>
          <t>NO</t>
        </is>
      </c>
      <c r="K1554" t="inlineStr">
        <is>
          <t>2026-02-27 20:47</t>
        </is>
      </c>
      <c r="L1554" t="inlineStr">
        <is>
          <t>Block IP</t>
        </is>
      </c>
      <c r="M1554" t="inlineStr">
        <is>
          <t>Network perimeter / Email / Web</t>
        </is>
      </c>
      <c r="N1554" t="inlineStr">
        <is>
          <t>P3</t>
        </is>
      </c>
      <c r="O1554" t="inlineStr">
        <is>
          <t>Check ip-api.com + AbuseIPDB for context</t>
        </is>
      </c>
      <c r="P1554" t="n">
        <v>0</v>
      </c>
      <c r="Q1554" t="n">
        <v>0</v>
      </c>
      <c r="R1554" t="inlineStr">
        <is>
          <t>T1110:Brute Force | T1190:Exploit Public-Facing Application | T1566:Phishing</t>
        </is>
      </c>
      <c r="S1554" t="n">
        <v>1</v>
      </c>
      <c r="T1554" t="inlineStr">
        <is>
          <t>MEDIUM (60%)</t>
        </is>
      </c>
      <c r="U1554" t="inlineStr">
        <is>
          <t>NONE</t>
        </is>
      </c>
      <c r="V1554" t="inlineStr">
        <is>
          <t>NONE</t>
        </is>
      </c>
      <c r="W1554" t="inlineStr">
        <is>
          <t>NONE</t>
        </is>
      </c>
      <c r="X1554" t="inlineStr">
        <is>
          <t>NONE</t>
        </is>
      </c>
      <c r="Y1554" t="n">
        <v>0</v>
      </c>
      <c r="Z1554" t="inlineStr"/>
      <c r="AA1554" t="inlineStr">
        <is>
          <t>https://talosintelligence.com/reputation_center/lookup?search=1.24.16.192</t>
        </is>
      </c>
    </row>
    <row r="1555">
      <c r="A1555" t="inlineStr">
        <is>
          <t>TALOS_IP</t>
        </is>
      </c>
      <c r="B1555" t="inlineStr">
        <is>
          <t>86a077e65602</t>
        </is>
      </c>
      <c r="C1555" t="inlineStr">
        <is>
          <t>Cisco Talos Blacklisted IP: 1.24.16.195 | Verified malicious | Sources: TALOS</t>
        </is>
      </c>
      <c r="D1555" t="n">
        <v>7</v>
      </c>
      <c r="E1555" t="inlineStr">
        <is>
          <t>HIGH</t>
        </is>
      </c>
      <c r="F1555" t="n">
        <v>3</v>
      </c>
      <c r="G1555" t="n">
        <v>2</v>
      </c>
      <c r="H1555" t="inlineStr">
        <is>
          <t>HIGH</t>
        </is>
      </c>
      <c r="I1555" t="n">
        <v>13</v>
      </c>
      <c r="J1555" t="inlineStr">
        <is>
          <t>NO</t>
        </is>
      </c>
      <c r="K1555" t="inlineStr">
        <is>
          <t>2026-02-27 20:47</t>
        </is>
      </c>
      <c r="L1555" t="inlineStr">
        <is>
          <t>Block IP</t>
        </is>
      </c>
      <c r="M1555" t="inlineStr">
        <is>
          <t>Network perimeter / Email / Web</t>
        </is>
      </c>
      <c r="N1555" t="inlineStr">
        <is>
          <t>P3</t>
        </is>
      </c>
      <c r="O1555" t="inlineStr">
        <is>
          <t>Check ip-api.com + AbuseIPDB for context</t>
        </is>
      </c>
      <c r="P1555" t="n">
        <v>0</v>
      </c>
      <c r="Q1555" t="n">
        <v>0</v>
      </c>
      <c r="R1555" t="inlineStr">
        <is>
          <t>T1110:Brute Force | T1190:Exploit Public-Facing Application | T1566:Phishing</t>
        </is>
      </c>
      <c r="S1555" t="n">
        <v>1</v>
      </c>
      <c r="T1555" t="inlineStr">
        <is>
          <t>MEDIUM (60%)</t>
        </is>
      </c>
      <c r="U1555" t="inlineStr">
        <is>
          <t>NONE</t>
        </is>
      </c>
      <c r="V1555" t="inlineStr">
        <is>
          <t>NONE</t>
        </is>
      </c>
      <c r="W1555" t="inlineStr">
        <is>
          <t>NONE</t>
        </is>
      </c>
      <c r="X1555" t="inlineStr">
        <is>
          <t>NONE</t>
        </is>
      </c>
      <c r="Y1555" t="n">
        <v>0</v>
      </c>
      <c r="Z1555" t="inlineStr"/>
      <c r="AA1555" t="inlineStr">
        <is>
          <t>https://talosintelligence.com/reputation_center/lookup?search=1.24.16.195</t>
        </is>
      </c>
    </row>
    <row r="1556">
      <c r="A1556" t="inlineStr">
        <is>
          <t>TALOS_IP</t>
        </is>
      </c>
      <c r="B1556" t="inlineStr">
        <is>
          <t>aa900abb23d0</t>
        </is>
      </c>
      <c r="C1556" t="inlineStr">
        <is>
          <t>Cisco Talos Blacklisted IP: 1.24.16.199 | Verified malicious | Sources: TALOS</t>
        </is>
      </c>
      <c r="D1556" t="n">
        <v>7</v>
      </c>
      <c r="E1556" t="inlineStr">
        <is>
          <t>HIGH</t>
        </is>
      </c>
      <c r="F1556" t="n">
        <v>3</v>
      </c>
      <c r="G1556" t="n">
        <v>2</v>
      </c>
      <c r="H1556" t="inlineStr">
        <is>
          <t>HIGH</t>
        </is>
      </c>
      <c r="I1556" t="n">
        <v>13</v>
      </c>
      <c r="J1556" t="inlineStr">
        <is>
          <t>NO</t>
        </is>
      </c>
      <c r="K1556" t="inlineStr">
        <is>
          <t>2026-02-27 20:47</t>
        </is>
      </c>
      <c r="L1556" t="inlineStr">
        <is>
          <t>Block IP</t>
        </is>
      </c>
      <c r="M1556" t="inlineStr">
        <is>
          <t>Network perimeter / Email / Web</t>
        </is>
      </c>
      <c r="N1556" t="inlineStr">
        <is>
          <t>P3</t>
        </is>
      </c>
      <c r="O1556" t="inlineStr">
        <is>
          <t>Check ip-api.com + AbuseIPDB for context</t>
        </is>
      </c>
      <c r="P1556" t="n">
        <v>0</v>
      </c>
      <c r="Q1556" t="n">
        <v>0</v>
      </c>
      <c r="R1556" t="inlineStr">
        <is>
          <t>T1110:Brute Force | T1190:Exploit Public-Facing Application | T1566:Phishing</t>
        </is>
      </c>
      <c r="S1556" t="n">
        <v>1</v>
      </c>
      <c r="T1556" t="inlineStr">
        <is>
          <t>MEDIUM (60%)</t>
        </is>
      </c>
      <c r="U1556" t="inlineStr">
        <is>
          <t>NONE</t>
        </is>
      </c>
      <c r="V1556" t="inlineStr">
        <is>
          <t>NONE</t>
        </is>
      </c>
      <c r="W1556" t="inlineStr">
        <is>
          <t>NONE</t>
        </is>
      </c>
      <c r="X1556" t="inlineStr">
        <is>
          <t>NONE</t>
        </is>
      </c>
      <c r="Y1556" t="n">
        <v>0</v>
      </c>
      <c r="Z1556" t="inlineStr"/>
      <c r="AA1556" t="inlineStr">
        <is>
          <t>https://talosintelligence.com/reputation_center/lookup?search=1.24.16.199</t>
        </is>
      </c>
    </row>
    <row r="1557">
      <c r="A1557" t="inlineStr">
        <is>
          <t>TALOS_IP</t>
        </is>
      </c>
      <c r="B1557" t="inlineStr">
        <is>
          <t>29ade8b736cb</t>
        </is>
      </c>
      <c r="C1557" t="inlineStr">
        <is>
          <t>Cisco Talos Blacklisted IP: 1.24.16.2 | Verified malicious | Sources: TALOS</t>
        </is>
      </c>
      <c r="D1557" t="n">
        <v>7</v>
      </c>
      <c r="E1557" t="inlineStr">
        <is>
          <t>HIGH</t>
        </is>
      </c>
      <c r="F1557" t="n">
        <v>3</v>
      </c>
      <c r="G1557" t="n">
        <v>2</v>
      </c>
      <c r="H1557" t="inlineStr">
        <is>
          <t>HIGH</t>
        </is>
      </c>
      <c r="I1557" t="n">
        <v>13</v>
      </c>
      <c r="J1557" t="inlineStr">
        <is>
          <t>NO</t>
        </is>
      </c>
      <c r="K1557" t="inlineStr">
        <is>
          <t>2026-02-27 20:47</t>
        </is>
      </c>
      <c r="L1557" t="inlineStr">
        <is>
          <t>Block IP</t>
        </is>
      </c>
      <c r="M1557" t="inlineStr">
        <is>
          <t>Network perimeter / Email / Web</t>
        </is>
      </c>
      <c r="N1557" t="inlineStr">
        <is>
          <t>P3</t>
        </is>
      </c>
      <c r="O1557" t="inlineStr">
        <is>
          <t>Check ip-api.com + AbuseIPDB for context</t>
        </is>
      </c>
      <c r="P1557" t="n">
        <v>0</v>
      </c>
      <c r="Q1557" t="n">
        <v>0</v>
      </c>
      <c r="R1557" t="inlineStr">
        <is>
          <t>T1110:Brute Force | T1190:Exploit Public-Facing Application | T1566:Phishing</t>
        </is>
      </c>
      <c r="S1557" t="n">
        <v>1</v>
      </c>
      <c r="T1557" t="inlineStr">
        <is>
          <t>MEDIUM (60%)</t>
        </is>
      </c>
      <c r="U1557" t="inlineStr">
        <is>
          <t>NONE</t>
        </is>
      </c>
      <c r="V1557" t="inlineStr">
        <is>
          <t>NONE</t>
        </is>
      </c>
      <c r="W1557" t="inlineStr">
        <is>
          <t>NONE</t>
        </is>
      </c>
      <c r="X1557" t="inlineStr">
        <is>
          <t>NONE</t>
        </is>
      </c>
      <c r="Y1557" t="n">
        <v>0</v>
      </c>
      <c r="Z1557" t="inlineStr"/>
      <c r="AA1557" t="inlineStr">
        <is>
          <t>https://talosintelligence.com/reputation_center/lookup?search=1.24.16.2</t>
        </is>
      </c>
    </row>
    <row r="1558">
      <c r="A1558" t="inlineStr">
        <is>
          <t>TALOS_IP</t>
        </is>
      </c>
      <c r="B1558" t="inlineStr">
        <is>
          <t>d243f44e62af</t>
        </is>
      </c>
      <c r="C1558" t="inlineStr">
        <is>
          <t>Cisco Talos Blacklisted IP: 1.24.16.200 | Verified malicious | Sources: TALOS</t>
        </is>
      </c>
      <c r="D1558" t="n">
        <v>7</v>
      </c>
      <c r="E1558" t="inlineStr">
        <is>
          <t>HIGH</t>
        </is>
      </c>
      <c r="F1558" t="n">
        <v>3</v>
      </c>
      <c r="G1558" t="n">
        <v>2</v>
      </c>
      <c r="H1558" t="inlineStr">
        <is>
          <t>HIGH</t>
        </is>
      </c>
      <c r="I1558" t="n">
        <v>13</v>
      </c>
      <c r="J1558" t="inlineStr">
        <is>
          <t>NO</t>
        </is>
      </c>
      <c r="K1558" t="inlineStr">
        <is>
          <t>2026-02-27 20:47</t>
        </is>
      </c>
      <c r="L1558" t="inlineStr">
        <is>
          <t>Block IP</t>
        </is>
      </c>
      <c r="M1558" t="inlineStr">
        <is>
          <t>Network perimeter / Email / Web</t>
        </is>
      </c>
      <c r="N1558" t="inlineStr">
        <is>
          <t>P3</t>
        </is>
      </c>
      <c r="O1558" t="inlineStr">
        <is>
          <t>Check ip-api.com + AbuseIPDB for context</t>
        </is>
      </c>
      <c r="P1558" t="n">
        <v>0</v>
      </c>
      <c r="Q1558" t="n">
        <v>0</v>
      </c>
      <c r="R1558" t="inlineStr">
        <is>
          <t>T1110:Brute Force | T1190:Exploit Public-Facing Application | T1566:Phishing</t>
        </is>
      </c>
      <c r="S1558" t="n">
        <v>1</v>
      </c>
      <c r="T1558" t="inlineStr">
        <is>
          <t>MEDIUM (60%)</t>
        </is>
      </c>
      <c r="U1558" t="inlineStr">
        <is>
          <t>NONE</t>
        </is>
      </c>
      <c r="V1558" t="inlineStr">
        <is>
          <t>NONE</t>
        </is>
      </c>
      <c r="W1558" t="inlineStr">
        <is>
          <t>NONE</t>
        </is>
      </c>
      <c r="X1558" t="inlineStr">
        <is>
          <t>NONE</t>
        </is>
      </c>
      <c r="Y1558" t="n">
        <v>0</v>
      </c>
      <c r="Z1558" t="inlineStr"/>
      <c r="AA1558" t="inlineStr">
        <is>
          <t>https://talosintelligence.com/reputation_center/lookup?search=1.24.16.200</t>
        </is>
      </c>
    </row>
    <row r="1559">
      <c r="A1559" t="inlineStr">
        <is>
          <t>TALOS_IP</t>
        </is>
      </c>
      <c r="B1559" t="inlineStr">
        <is>
          <t>34839a56ae1a</t>
        </is>
      </c>
      <c r="C1559" t="inlineStr">
        <is>
          <t>Cisco Talos Blacklisted IP: 1.24.16.206 | Verified malicious | Sources: TALOS</t>
        </is>
      </c>
      <c r="D1559" t="n">
        <v>7</v>
      </c>
      <c r="E1559" t="inlineStr">
        <is>
          <t>HIGH</t>
        </is>
      </c>
      <c r="F1559" t="n">
        <v>3</v>
      </c>
      <c r="G1559" t="n">
        <v>2</v>
      </c>
      <c r="H1559" t="inlineStr">
        <is>
          <t>HIGH</t>
        </is>
      </c>
      <c r="I1559" t="n">
        <v>13</v>
      </c>
      <c r="J1559" t="inlineStr">
        <is>
          <t>NO</t>
        </is>
      </c>
      <c r="K1559" t="inlineStr">
        <is>
          <t>2026-02-27 20:47</t>
        </is>
      </c>
      <c r="L1559" t="inlineStr">
        <is>
          <t>Block IP</t>
        </is>
      </c>
      <c r="M1559" t="inlineStr">
        <is>
          <t>Network perimeter / Email / Web</t>
        </is>
      </c>
      <c r="N1559" t="inlineStr">
        <is>
          <t>P3</t>
        </is>
      </c>
      <c r="O1559" t="inlineStr">
        <is>
          <t>Check ip-api.com + AbuseIPDB for context</t>
        </is>
      </c>
      <c r="P1559" t="n">
        <v>0</v>
      </c>
      <c r="Q1559" t="n">
        <v>0</v>
      </c>
      <c r="R1559" t="inlineStr">
        <is>
          <t>T1110:Brute Force | T1190:Exploit Public-Facing Application | T1566:Phishing</t>
        </is>
      </c>
      <c r="S1559" t="n">
        <v>1</v>
      </c>
      <c r="T1559" t="inlineStr">
        <is>
          <t>MEDIUM (60%)</t>
        </is>
      </c>
      <c r="U1559" t="inlineStr">
        <is>
          <t>NONE</t>
        </is>
      </c>
      <c r="V1559" t="inlineStr">
        <is>
          <t>NONE</t>
        </is>
      </c>
      <c r="W1559" t="inlineStr">
        <is>
          <t>NONE</t>
        </is>
      </c>
      <c r="X1559" t="inlineStr">
        <is>
          <t>NONE</t>
        </is>
      </c>
      <c r="Y1559" t="n">
        <v>0</v>
      </c>
      <c r="Z1559" t="inlineStr"/>
      <c r="AA1559" t="inlineStr">
        <is>
          <t>https://talosintelligence.com/reputation_center/lookup?search=1.24.16.206</t>
        </is>
      </c>
    </row>
    <row r="1560">
      <c r="A1560" t="inlineStr">
        <is>
          <t>TALOS_IP</t>
        </is>
      </c>
      <c r="B1560" t="inlineStr">
        <is>
          <t>35a9c287f305</t>
        </is>
      </c>
      <c r="C1560" t="inlineStr">
        <is>
          <t>Cisco Talos Blacklisted IP: 1.24.16.210 | Verified malicious | Sources: TALOS</t>
        </is>
      </c>
      <c r="D1560" t="n">
        <v>7</v>
      </c>
      <c r="E1560" t="inlineStr">
        <is>
          <t>HIGH</t>
        </is>
      </c>
      <c r="F1560" t="n">
        <v>3</v>
      </c>
      <c r="G1560" t="n">
        <v>2</v>
      </c>
      <c r="H1560" t="inlineStr">
        <is>
          <t>HIGH</t>
        </is>
      </c>
      <c r="I1560" t="n">
        <v>13</v>
      </c>
      <c r="J1560" t="inlineStr">
        <is>
          <t>NO</t>
        </is>
      </c>
      <c r="K1560" t="inlineStr">
        <is>
          <t>2026-02-27 20:47</t>
        </is>
      </c>
      <c r="L1560" t="inlineStr">
        <is>
          <t>Block IP</t>
        </is>
      </c>
      <c r="M1560" t="inlineStr">
        <is>
          <t>Network perimeter / Email / Web</t>
        </is>
      </c>
      <c r="N1560" t="inlineStr">
        <is>
          <t>P3</t>
        </is>
      </c>
      <c r="O1560" t="inlineStr">
        <is>
          <t>Check ip-api.com + AbuseIPDB for context</t>
        </is>
      </c>
      <c r="P1560" t="n">
        <v>0</v>
      </c>
      <c r="Q1560" t="n">
        <v>0</v>
      </c>
      <c r="R1560" t="inlineStr">
        <is>
          <t>T1110:Brute Force | T1190:Exploit Public-Facing Application | T1566:Phishing</t>
        </is>
      </c>
      <c r="S1560" t="n">
        <v>1</v>
      </c>
      <c r="T1560" t="inlineStr">
        <is>
          <t>MEDIUM (60%)</t>
        </is>
      </c>
      <c r="U1560" t="inlineStr">
        <is>
          <t>NONE</t>
        </is>
      </c>
      <c r="V1560" t="inlineStr">
        <is>
          <t>NONE</t>
        </is>
      </c>
      <c r="W1560" t="inlineStr">
        <is>
          <t>NONE</t>
        </is>
      </c>
      <c r="X1560" t="inlineStr">
        <is>
          <t>NONE</t>
        </is>
      </c>
      <c r="Y1560" t="n">
        <v>0</v>
      </c>
      <c r="Z1560" t="inlineStr"/>
      <c r="AA1560" t="inlineStr">
        <is>
          <t>https://talosintelligence.com/reputation_center/lookup?search=1.24.16.210</t>
        </is>
      </c>
    </row>
    <row r="1561">
      <c r="A1561" t="inlineStr">
        <is>
          <t>TALOS_IP</t>
        </is>
      </c>
      <c r="B1561" t="inlineStr">
        <is>
          <t>a9d80b38c65d</t>
        </is>
      </c>
      <c r="C1561" t="inlineStr">
        <is>
          <t>Cisco Talos Blacklisted IP: 1.24.16.212 | Verified malicious | Sources: TALOS</t>
        </is>
      </c>
      <c r="D1561" t="n">
        <v>7</v>
      </c>
      <c r="E1561" t="inlineStr">
        <is>
          <t>HIGH</t>
        </is>
      </c>
      <c r="F1561" t="n">
        <v>3</v>
      </c>
      <c r="G1561" t="n">
        <v>2</v>
      </c>
      <c r="H1561" t="inlineStr">
        <is>
          <t>HIGH</t>
        </is>
      </c>
      <c r="I1561" t="n">
        <v>13</v>
      </c>
      <c r="J1561" t="inlineStr">
        <is>
          <t>NO</t>
        </is>
      </c>
      <c r="K1561" t="inlineStr">
        <is>
          <t>2026-02-27 20:47</t>
        </is>
      </c>
      <c r="L1561" t="inlineStr">
        <is>
          <t>Block IP</t>
        </is>
      </c>
      <c r="M1561" t="inlineStr">
        <is>
          <t>Network perimeter / Email / Web</t>
        </is>
      </c>
      <c r="N1561" t="inlineStr">
        <is>
          <t>P3</t>
        </is>
      </c>
      <c r="O1561" t="inlineStr">
        <is>
          <t>Check ip-api.com + AbuseIPDB for context</t>
        </is>
      </c>
      <c r="P1561" t="n">
        <v>0</v>
      </c>
      <c r="Q1561" t="n">
        <v>0</v>
      </c>
      <c r="R1561" t="inlineStr">
        <is>
          <t>T1110:Brute Force | T1190:Exploit Public-Facing Application | T1566:Phishing</t>
        </is>
      </c>
      <c r="S1561" t="n">
        <v>1</v>
      </c>
      <c r="T1561" t="inlineStr">
        <is>
          <t>MEDIUM (60%)</t>
        </is>
      </c>
      <c r="U1561" t="inlineStr">
        <is>
          <t>NONE</t>
        </is>
      </c>
      <c r="V1561" t="inlineStr">
        <is>
          <t>NONE</t>
        </is>
      </c>
      <c r="W1561" t="inlineStr">
        <is>
          <t>NONE</t>
        </is>
      </c>
      <c r="X1561" t="inlineStr">
        <is>
          <t>NONE</t>
        </is>
      </c>
      <c r="Y1561" t="n">
        <v>0</v>
      </c>
      <c r="Z1561" t="inlineStr"/>
      <c r="AA1561" t="inlineStr">
        <is>
          <t>https://talosintelligence.com/reputation_center/lookup?search=1.24.16.212</t>
        </is>
      </c>
    </row>
    <row r="1562">
      <c r="A1562" t="inlineStr">
        <is>
          <t>TALOS_IP</t>
        </is>
      </c>
      <c r="B1562" t="inlineStr">
        <is>
          <t>1dba9b38a803</t>
        </is>
      </c>
      <c r="C1562" t="inlineStr">
        <is>
          <t>Cisco Talos Blacklisted IP: 1.24.16.213 | Verified malicious | Sources: TALOS</t>
        </is>
      </c>
      <c r="D1562" t="n">
        <v>7</v>
      </c>
      <c r="E1562" t="inlineStr">
        <is>
          <t>HIGH</t>
        </is>
      </c>
      <c r="F1562" t="n">
        <v>3</v>
      </c>
      <c r="G1562" t="n">
        <v>2</v>
      </c>
      <c r="H1562" t="inlineStr">
        <is>
          <t>HIGH</t>
        </is>
      </c>
      <c r="I1562" t="n">
        <v>13</v>
      </c>
      <c r="J1562" t="inlineStr">
        <is>
          <t>NO</t>
        </is>
      </c>
      <c r="K1562" t="inlineStr">
        <is>
          <t>2026-02-27 20:47</t>
        </is>
      </c>
      <c r="L1562" t="inlineStr">
        <is>
          <t>Block IP</t>
        </is>
      </c>
      <c r="M1562" t="inlineStr">
        <is>
          <t>Network perimeter / Email / Web</t>
        </is>
      </c>
      <c r="N1562" t="inlineStr">
        <is>
          <t>P3</t>
        </is>
      </c>
      <c r="O1562" t="inlineStr">
        <is>
          <t>Check ip-api.com + AbuseIPDB for context</t>
        </is>
      </c>
      <c r="P1562" t="n">
        <v>0</v>
      </c>
      <c r="Q1562" t="n">
        <v>0</v>
      </c>
      <c r="R1562" t="inlineStr">
        <is>
          <t>T1110:Brute Force | T1190:Exploit Public-Facing Application | T1566:Phishing</t>
        </is>
      </c>
      <c r="S1562" t="n">
        <v>1</v>
      </c>
      <c r="T1562" t="inlineStr">
        <is>
          <t>MEDIUM (60%)</t>
        </is>
      </c>
      <c r="U1562" t="inlineStr">
        <is>
          <t>NONE</t>
        </is>
      </c>
      <c r="V1562" t="inlineStr">
        <is>
          <t>NONE</t>
        </is>
      </c>
      <c r="W1562" t="inlineStr">
        <is>
          <t>NONE</t>
        </is>
      </c>
      <c r="X1562" t="inlineStr">
        <is>
          <t>NONE</t>
        </is>
      </c>
      <c r="Y1562" t="n">
        <v>0</v>
      </c>
      <c r="Z1562" t="inlineStr"/>
      <c r="AA1562" t="inlineStr">
        <is>
          <t>https://talosintelligence.com/reputation_center/lookup?search=1.24.16.213</t>
        </is>
      </c>
    </row>
    <row r="1563">
      <c r="A1563" t="inlineStr">
        <is>
          <t>TALOS_IP</t>
        </is>
      </c>
      <c r="B1563" t="inlineStr">
        <is>
          <t>95ebea08c652</t>
        </is>
      </c>
      <c r="C1563" t="inlineStr">
        <is>
          <t>Cisco Talos Blacklisted IP: 1.24.16.215 | Verified malicious | Sources: TALOS</t>
        </is>
      </c>
      <c r="D1563" t="n">
        <v>7</v>
      </c>
      <c r="E1563" t="inlineStr">
        <is>
          <t>HIGH</t>
        </is>
      </c>
      <c r="F1563" t="n">
        <v>3</v>
      </c>
      <c r="G1563" t="n">
        <v>2</v>
      </c>
      <c r="H1563" t="inlineStr">
        <is>
          <t>HIGH</t>
        </is>
      </c>
      <c r="I1563" t="n">
        <v>13</v>
      </c>
      <c r="J1563" t="inlineStr">
        <is>
          <t>NO</t>
        </is>
      </c>
      <c r="K1563" t="inlineStr">
        <is>
          <t>2026-02-27 20:47</t>
        </is>
      </c>
      <c r="L1563" t="inlineStr">
        <is>
          <t>Block IP</t>
        </is>
      </c>
      <c r="M1563" t="inlineStr">
        <is>
          <t>Network perimeter / Email / Web</t>
        </is>
      </c>
      <c r="N1563" t="inlineStr">
        <is>
          <t>P3</t>
        </is>
      </c>
      <c r="O1563" t="inlineStr">
        <is>
          <t>Check ip-api.com + AbuseIPDB for context</t>
        </is>
      </c>
      <c r="P1563" t="n">
        <v>0</v>
      </c>
      <c r="Q1563" t="n">
        <v>0</v>
      </c>
      <c r="R1563" t="inlineStr">
        <is>
          <t>T1110:Brute Force | T1190:Exploit Public-Facing Application | T1566:Phishing</t>
        </is>
      </c>
      <c r="S1563" t="n">
        <v>1</v>
      </c>
      <c r="T1563" t="inlineStr">
        <is>
          <t>MEDIUM (60%)</t>
        </is>
      </c>
      <c r="U1563" t="inlineStr">
        <is>
          <t>NONE</t>
        </is>
      </c>
      <c r="V1563" t="inlineStr">
        <is>
          <t>NONE</t>
        </is>
      </c>
      <c r="W1563" t="inlineStr">
        <is>
          <t>NONE</t>
        </is>
      </c>
      <c r="X1563" t="inlineStr">
        <is>
          <t>NONE</t>
        </is>
      </c>
      <c r="Y1563" t="n">
        <v>0</v>
      </c>
      <c r="Z1563" t="inlineStr"/>
      <c r="AA1563" t="inlineStr">
        <is>
          <t>https://talosintelligence.com/reputation_center/lookup?search=1.24.16.215</t>
        </is>
      </c>
    </row>
    <row r="1564">
      <c r="A1564" t="inlineStr">
        <is>
          <t>TALOS_IP</t>
        </is>
      </c>
      <c r="B1564" t="inlineStr">
        <is>
          <t>84bd8e9a7aef</t>
        </is>
      </c>
      <c r="C1564" t="inlineStr">
        <is>
          <t>Cisco Talos Blacklisted IP: 1.24.16.216 | Verified malicious | Sources: TALOS</t>
        </is>
      </c>
      <c r="D1564" t="n">
        <v>7</v>
      </c>
      <c r="E1564" t="inlineStr">
        <is>
          <t>HIGH</t>
        </is>
      </c>
      <c r="F1564" t="n">
        <v>3</v>
      </c>
      <c r="G1564" t="n">
        <v>2</v>
      </c>
      <c r="H1564" t="inlineStr">
        <is>
          <t>HIGH</t>
        </is>
      </c>
      <c r="I1564" t="n">
        <v>13</v>
      </c>
      <c r="J1564" t="inlineStr">
        <is>
          <t>NO</t>
        </is>
      </c>
      <c r="K1564" t="inlineStr">
        <is>
          <t>2026-02-27 20:47</t>
        </is>
      </c>
      <c r="L1564" t="inlineStr">
        <is>
          <t>Block IP</t>
        </is>
      </c>
      <c r="M1564" t="inlineStr">
        <is>
          <t>Network perimeter / Email / Web</t>
        </is>
      </c>
      <c r="N1564" t="inlineStr">
        <is>
          <t>P3</t>
        </is>
      </c>
      <c r="O1564" t="inlineStr">
        <is>
          <t>Check ip-api.com + AbuseIPDB for context</t>
        </is>
      </c>
      <c r="P1564" t="n">
        <v>0</v>
      </c>
      <c r="Q1564" t="n">
        <v>0</v>
      </c>
      <c r="R1564" t="inlineStr">
        <is>
          <t>T1110:Brute Force | T1190:Exploit Public-Facing Application | T1566:Phishing</t>
        </is>
      </c>
      <c r="S1564" t="n">
        <v>1</v>
      </c>
      <c r="T1564" t="inlineStr">
        <is>
          <t>MEDIUM (60%)</t>
        </is>
      </c>
      <c r="U1564" t="inlineStr">
        <is>
          <t>NONE</t>
        </is>
      </c>
      <c r="V1564" t="inlineStr">
        <is>
          <t>NONE</t>
        </is>
      </c>
      <c r="W1564" t="inlineStr">
        <is>
          <t>NONE</t>
        </is>
      </c>
      <c r="X1564" t="inlineStr">
        <is>
          <t>NONE</t>
        </is>
      </c>
      <c r="Y1564" t="n">
        <v>0</v>
      </c>
      <c r="Z1564" t="inlineStr"/>
      <c r="AA1564" t="inlineStr">
        <is>
          <t>https://talosintelligence.com/reputation_center/lookup?search=1.24.16.216</t>
        </is>
      </c>
    </row>
    <row r="1565">
      <c r="A1565" t="inlineStr">
        <is>
          <t>TALOS_IP</t>
        </is>
      </c>
      <c r="B1565" t="inlineStr">
        <is>
          <t>44e6378597e0</t>
        </is>
      </c>
      <c r="C1565" t="inlineStr">
        <is>
          <t>Cisco Talos Blacklisted IP: 1.24.16.231 | Verified malicious | Sources: TALOS</t>
        </is>
      </c>
      <c r="D1565" t="n">
        <v>7</v>
      </c>
      <c r="E1565" t="inlineStr">
        <is>
          <t>HIGH</t>
        </is>
      </c>
      <c r="F1565" t="n">
        <v>3</v>
      </c>
      <c r="G1565" t="n">
        <v>2</v>
      </c>
      <c r="H1565" t="inlineStr">
        <is>
          <t>HIGH</t>
        </is>
      </c>
      <c r="I1565" t="n">
        <v>13</v>
      </c>
      <c r="J1565" t="inlineStr">
        <is>
          <t>NO</t>
        </is>
      </c>
      <c r="K1565" t="inlineStr">
        <is>
          <t>2026-02-27 20:47</t>
        </is>
      </c>
      <c r="L1565" t="inlineStr">
        <is>
          <t>Block IP</t>
        </is>
      </c>
      <c r="M1565" t="inlineStr">
        <is>
          <t>Network perimeter / Email / Web</t>
        </is>
      </c>
      <c r="N1565" t="inlineStr">
        <is>
          <t>P3</t>
        </is>
      </c>
      <c r="O1565" t="inlineStr">
        <is>
          <t>Check ip-api.com + AbuseIPDB for context</t>
        </is>
      </c>
      <c r="P1565" t="n">
        <v>0</v>
      </c>
      <c r="Q1565" t="n">
        <v>0</v>
      </c>
      <c r="R1565" t="inlineStr">
        <is>
          <t>T1110:Brute Force | T1190:Exploit Public-Facing Application | T1566:Phishing</t>
        </is>
      </c>
      <c r="S1565" t="n">
        <v>1</v>
      </c>
      <c r="T1565" t="inlineStr">
        <is>
          <t>MEDIUM (60%)</t>
        </is>
      </c>
      <c r="U1565" t="inlineStr">
        <is>
          <t>NONE</t>
        </is>
      </c>
      <c r="V1565" t="inlineStr">
        <is>
          <t>NONE</t>
        </is>
      </c>
      <c r="W1565" t="inlineStr">
        <is>
          <t>NONE</t>
        </is>
      </c>
      <c r="X1565" t="inlineStr">
        <is>
          <t>NONE</t>
        </is>
      </c>
      <c r="Y1565" t="n">
        <v>0</v>
      </c>
      <c r="Z1565" t="inlineStr"/>
      <c r="AA1565" t="inlineStr">
        <is>
          <t>https://talosintelligence.com/reputation_center/lookup?search=1.24.16.231</t>
        </is>
      </c>
    </row>
    <row r="1566">
      <c r="A1566" t="inlineStr">
        <is>
          <t>TALOS_IP</t>
        </is>
      </c>
      <c r="B1566" t="inlineStr">
        <is>
          <t>2b45d5107e18</t>
        </is>
      </c>
      <c r="C1566" t="inlineStr">
        <is>
          <t>Cisco Talos Blacklisted IP: 1.24.16.243 | Verified malicious | Sources: TALOS</t>
        </is>
      </c>
      <c r="D1566" t="n">
        <v>7</v>
      </c>
      <c r="E1566" t="inlineStr">
        <is>
          <t>HIGH</t>
        </is>
      </c>
      <c r="F1566" t="n">
        <v>3</v>
      </c>
      <c r="G1566" t="n">
        <v>2</v>
      </c>
      <c r="H1566" t="inlineStr">
        <is>
          <t>HIGH</t>
        </is>
      </c>
      <c r="I1566" t="n">
        <v>13</v>
      </c>
      <c r="J1566" t="inlineStr">
        <is>
          <t>NO</t>
        </is>
      </c>
      <c r="K1566" t="inlineStr">
        <is>
          <t>2026-02-27 20:47</t>
        </is>
      </c>
      <c r="L1566" t="inlineStr">
        <is>
          <t>Block IP</t>
        </is>
      </c>
      <c r="M1566" t="inlineStr">
        <is>
          <t>Network perimeter / Email / Web</t>
        </is>
      </c>
      <c r="N1566" t="inlineStr">
        <is>
          <t>P3</t>
        </is>
      </c>
      <c r="O1566" t="inlineStr">
        <is>
          <t>Check ip-api.com + AbuseIPDB for context</t>
        </is>
      </c>
      <c r="P1566" t="n">
        <v>0</v>
      </c>
      <c r="Q1566" t="n">
        <v>0</v>
      </c>
      <c r="R1566" t="inlineStr">
        <is>
          <t>T1110:Brute Force | T1190:Exploit Public-Facing Application | T1566:Phishing</t>
        </is>
      </c>
      <c r="S1566" t="n">
        <v>1</v>
      </c>
      <c r="T1566" t="inlineStr">
        <is>
          <t>MEDIUM (60%)</t>
        </is>
      </c>
      <c r="U1566" t="inlineStr">
        <is>
          <t>NONE</t>
        </is>
      </c>
      <c r="V1566" t="inlineStr">
        <is>
          <t>NONE</t>
        </is>
      </c>
      <c r="W1566" t="inlineStr">
        <is>
          <t>NONE</t>
        </is>
      </c>
      <c r="X1566" t="inlineStr">
        <is>
          <t>NONE</t>
        </is>
      </c>
      <c r="Y1566" t="n">
        <v>0</v>
      </c>
      <c r="Z1566" t="inlineStr"/>
      <c r="AA1566" t="inlineStr">
        <is>
          <t>https://talosintelligence.com/reputation_center/lookup?search=1.24.16.243</t>
        </is>
      </c>
    </row>
    <row r="1567">
      <c r="A1567" t="inlineStr">
        <is>
          <t>TALOS_IP</t>
        </is>
      </c>
      <c r="B1567" t="inlineStr">
        <is>
          <t>d2a9a604a368</t>
        </is>
      </c>
      <c r="C1567" t="inlineStr">
        <is>
          <t>Cisco Talos Blacklisted IP: 1.24.16.244 | Verified malicious | Sources: TALOS</t>
        </is>
      </c>
      <c r="D1567" t="n">
        <v>7</v>
      </c>
      <c r="E1567" t="inlineStr">
        <is>
          <t>HIGH</t>
        </is>
      </c>
      <c r="F1567" t="n">
        <v>3</v>
      </c>
      <c r="G1567" t="n">
        <v>2</v>
      </c>
      <c r="H1567" t="inlineStr">
        <is>
          <t>HIGH</t>
        </is>
      </c>
      <c r="I1567" t="n">
        <v>13</v>
      </c>
      <c r="J1567" t="inlineStr">
        <is>
          <t>NO</t>
        </is>
      </c>
      <c r="K1567" t="inlineStr">
        <is>
          <t>2026-02-27 20:47</t>
        </is>
      </c>
      <c r="L1567" t="inlineStr">
        <is>
          <t>Block IP</t>
        </is>
      </c>
      <c r="M1567" t="inlineStr">
        <is>
          <t>Network perimeter / Email / Web</t>
        </is>
      </c>
      <c r="N1567" t="inlineStr">
        <is>
          <t>P3</t>
        </is>
      </c>
      <c r="O1567" t="inlineStr">
        <is>
          <t>Check ip-api.com + AbuseIPDB for context</t>
        </is>
      </c>
      <c r="P1567" t="n">
        <v>0</v>
      </c>
      <c r="Q1567" t="n">
        <v>0</v>
      </c>
      <c r="R1567" t="inlineStr">
        <is>
          <t>T1110:Brute Force | T1190:Exploit Public-Facing Application | T1566:Phishing</t>
        </is>
      </c>
      <c r="S1567" t="n">
        <v>1</v>
      </c>
      <c r="T1567" t="inlineStr">
        <is>
          <t>MEDIUM (60%)</t>
        </is>
      </c>
      <c r="U1567" t="inlineStr">
        <is>
          <t>NONE</t>
        </is>
      </c>
      <c r="V1567" t="inlineStr">
        <is>
          <t>NONE</t>
        </is>
      </c>
      <c r="W1567" t="inlineStr">
        <is>
          <t>NONE</t>
        </is>
      </c>
      <c r="X1567" t="inlineStr">
        <is>
          <t>NONE</t>
        </is>
      </c>
      <c r="Y1567" t="n">
        <v>0</v>
      </c>
      <c r="Z1567" t="inlineStr"/>
      <c r="AA1567" t="inlineStr">
        <is>
          <t>https://talosintelligence.com/reputation_center/lookup?search=1.24.16.244</t>
        </is>
      </c>
    </row>
    <row r="1568">
      <c r="A1568" t="inlineStr">
        <is>
          <t>TALOS_IP</t>
        </is>
      </c>
      <c r="B1568" t="inlineStr">
        <is>
          <t>d7456141c2cd</t>
        </is>
      </c>
      <c r="C1568" t="inlineStr">
        <is>
          <t>Cisco Talos Blacklisted IP: 1.24.16.247 | Verified malicious | Sources: TALOS</t>
        </is>
      </c>
      <c r="D1568" t="n">
        <v>7</v>
      </c>
      <c r="E1568" t="inlineStr">
        <is>
          <t>HIGH</t>
        </is>
      </c>
      <c r="F1568" t="n">
        <v>3</v>
      </c>
      <c r="G1568" t="n">
        <v>2</v>
      </c>
      <c r="H1568" t="inlineStr">
        <is>
          <t>HIGH</t>
        </is>
      </c>
      <c r="I1568" t="n">
        <v>13</v>
      </c>
      <c r="J1568" t="inlineStr">
        <is>
          <t>NO</t>
        </is>
      </c>
      <c r="K1568" t="inlineStr">
        <is>
          <t>2026-02-27 20:47</t>
        </is>
      </c>
      <c r="L1568" t="inlineStr">
        <is>
          <t>Block IP</t>
        </is>
      </c>
      <c r="M1568" t="inlineStr">
        <is>
          <t>Network perimeter / Email / Web</t>
        </is>
      </c>
      <c r="N1568" t="inlineStr">
        <is>
          <t>P3</t>
        </is>
      </c>
      <c r="O1568" t="inlineStr">
        <is>
          <t>Check ip-api.com + AbuseIPDB for context</t>
        </is>
      </c>
      <c r="P1568" t="n">
        <v>0</v>
      </c>
      <c r="Q1568" t="n">
        <v>0</v>
      </c>
      <c r="R1568" t="inlineStr">
        <is>
          <t>T1110:Brute Force | T1190:Exploit Public-Facing Application | T1566:Phishing</t>
        </is>
      </c>
      <c r="S1568" t="n">
        <v>1</v>
      </c>
      <c r="T1568" t="inlineStr">
        <is>
          <t>MEDIUM (60%)</t>
        </is>
      </c>
      <c r="U1568" t="inlineStr">
        <is>
          <t>NONE</t>
        </is>
      </c>
      <c r="V1568" t="inlineStr">
        <is>
          <t>NONE</t>
        </is>
      </c>
      <c r="W1568" t="inlineStr">
        <is>
          <t>NONE</t>
        </is>
      </c>
      <c r="X1568" t="inlineStr">
        <is>
          <t>NONE</t>
        </is>
      </c>
      <c r="Y1568" t="n">
        <v>0</v>
      </c>
      <c r="Z1568" t="inlineStr"/>
      <c r="AA1568" t="inlineStr">
        <is>
          <t>https://talosintelligence.com/reputation_center/lookup?search=1.24.16.247</t>
        </is>
      </c>
    </row>
    <row r="1569">
      <c r="A1569" t="inlineStr">
        <is>
          <t>TALOS_IP</t>
        </is>
      </c>
      <c r="B1569" t="inlineStr">
        <is>
          <t>70744d953256</t>
        </is>
      </c>
      <c r="C1569" t="inlineStr">
        <is>
          <t>Cisco Talos Blacklisted IP: 1.24.16.254 | Verified malicious | Sources: TALOS</t>
        </is>
      </c>
      <c r="D1569" t="n">
        <v>7</v>
      </c>
      <c r="E1569" t="inlineStr">
        <is>
          <t>HIGH</t>
        </is>
      </c>
      <c r="F1569" t="n">
        <v>3</v>
      </c>
      <c r="G1569" t="n">
        <v>2</v>
      </c>
      <c r="H1569" t="inlineStr">
        <is>
          <t>HIGH</t>
        </is>
      </c>
      <c r="I1569" t="n">
        <v>13</v>
      </c>
      <c r="J1569" t="inlineStr">
        <is>
          <t>NO</t>
        </is>
      </c>
      <c r="K1569" t="inlineStr">
        <is>
          <t>2026-02-27 20:47</t>
        </is>
      </c>
      <c r="L1569" t="inlineStr">
        <is>
          <t>Block IP</t>
        </is>
      </c>
      <c r="M1569" t="inlineStr">
        <is>
          <t>Network perimeter / Email / Web</t>
        </is>
      </c>
      <c r="N1569" t="inlineStr">
        <is>
          <t>P3</t>
        </is>
      </c>
      <c r="O1569" t="inlineStr">
        <is>
          <t>Check ip-api.com + AbuseIPDB for context</t>
        </is>
      </c>
      <c r="P1569" t="n">
        <v>0</v>
      </c>
      <c r="Q1569" t="n">
        <v>0</v>
      </c>
      <c r="R1569" t="inlineStr">
        <is>
          <t>T1110:Brute Force | T1190:Exploit Public-Facing Application | T1566:Phishing</t>
        </is>
      </c>
      <c r="S1569" t="n">
        <v>1</v>
      </c>
      <c r="T1569" t="inlineStr">
        <is>
          <t>MEDIUM (60%)</t>
        </is>
      </c>
      <c r="U1569" t="inlineStr">
        <is>
          <t>NONE</t>
        </is>
      </c>
      <c r="V1569" t="inlineStr">
        <is>
          <t>NONE</t>
        </is>
      </c>
      <c r="W1569" t="inlineStr">
        <is>
          <t>NONE</t>
        </is>
      </c>
      <c r="X1569" t="inlineStr">
        <is>
          <t>NONE</t>
        </is>
      </c>
      <c r="Y1569" t="n">
        <v>0</v>
      </c>
      <c r="Z1569" t="inlineStr"/>
      <c r="AA1569" t="inlineStr">
        <is>
          <t>https://talosintelligence.com/reputation_center/lookup?search=1.24.16.254</t>
        </is>
      </c>
    </row>
    <row r="1570">
      <c r="A1570" t="inlineStr">
        <is>
          <t>TALOS_IP</t>
        </is>
      </c>
      <c r="B1570" t="inlineStr">
        <is>
          <t>c936cedf31af</t>
        </is>
      </c>
      <c r="C1570" t="inlineStr">
        <is>
          <t>Cisco Talos Blacklisted IP: 1.24.16.28 | Verified malicious | Sources: TALOS</t>
        </is>
      </c>
      <c r="D1570" t="n">
        <v>7</v>
      </c>
      <c r="E1570" t="inlineStr">
        <is>
          <t>HIGH</t>
        </is>
      </c>
      <c r="F1570" t="n">
        <v>3</v>
      </c>
      <c r="G1570" t="n">
        <v>2</v>
      </c>
      <c r="H1570" t="inlineStr">
        <is>
          <t>HIGH</t>
        </is>
      </c>
      <c r="I1570" t="n">
        <v>13</v>
      </c>
      <c r="J1570" t="inlineStr">
        <is>
          <t>NO</t>
        </is>
      </c>
      <c r="K1570" t="inlineStr">
        <is>
          <t>2026-02-27 20:47</t>
        </is>
      </c>
      <c r="L1570" t="inlineStr">
        <is>
          <t>Block IP</t>
        </is>
      </c>
      <c r="M1570" t="inlineStr">
        <is>
          <t>Network perimeter / Email / Web</t>
        </is>
      </c>
      <c r="N1570" t="inlineStr">
        <is>
          <t>P3</t>
        </is>
      </c>
      <c r="O1570" t="inlineStr">
        <is>
          <t>Check ip-api.com + AbuseIPDB for context</t>
        </is>
      </c>
      <c r="P1570" t="n">
        <v>0</v>
      </c>
      <c r="Q1570" t="n">
        <v>0</v>
      </c>
      <c r="R1570" t="inlineStr">
        <is>
          <t>T1110:Brute Force | T1190:Exploit Public-Facing Application | T1566:Phishing</t>
        </is>
      </c>
      <c r="S1570" t="n">
        <v>1</v>
      </c>
      <c r="T1570" t="inlineStr">
        <is>
          <t>MEDIUM (60%)</t>
        </is>
      </c>
      <c r="U1570" t="inlineStr">
        <is>
          <t>NONE</t>
        </is>
      </c>
      <c r="V1570" t="inlineStr">
        <is>
          <t>NONE</t>
        </is>
      </c>
      <c r="W1570" t="inlineStr">
        <is>
          <t>NONE</t>
        </is>
      </c>
      <c r="X1570" t="inlineStr">
        <is>
          <t>NONE</t>
        </is>
      </c>
      <c r="Y1570" t="n">
        <v>0</v>
      </c>
      <c r="Z1570" t="inlineStr"/>
      <c r="AA1570" t="inlineStr">
        <is>
          <t>https://talosintelligence.com/reputation_center/lookup?search=1.24.16.28</t>
        </is>
      </c>
    </row>
    <row r="1571">
      <c r="A1571" t="inlineStr">
        <is>
          <t>TALOS_IP</t>
        </is>
      </c>
      <c r="B1571" t="inlineStr">
        <is>
          <t>34155dbe0a67</t>
        </is>
      </c>
      <c r="C1571" t="inlineStr">
        <is>
          <t>Cisco Talos Blacklisted IP: 1.24.16.33 | Verified malicious | Sources: TALOS</t>
        </is>
      </c>
      <c r="D1571" t="n">
        <v>7</v>
      </c>
      <c r="E1571" t="inlineStr">
        <is>
          <t>HIGH</t>
        </is>
      </c>
      <c r="F1571" t="n">
        <v>3</v>
      </c>
      <c r="G1571" t="n">
        <v>2</v>
      </c>
      <c r="H1571" t="inlineStr">
        <is>
          <t>HIGH</t>
        </is>
      </c>
      <c r="I1571" t="n">
        <v>13</v>
      </c>
      <c r="J1571" t="inlineStr">
        <is>
          <t>NO</t>
        </is>
      </c>
      <c r="K1571" t="inlineStr">
        <is>
          <t>2026-02-27 20:47</t>
        </is>
      </c>
      <c r="L1571" t="inlineStr">
        <is>
          <t>Block IP</t>
        </is>
      </c>
      <c r="M1571" t="inlineStr">
        <is>
          <t>Network perimeter / Email / Web</t>
        </is>
      </c>
      <c r="N1571" t="inlineStr">
        <is>
          <t>P3</t>
        </is>
      </c>
      <c r="O1571" t="inlineStr">
        <is>
          <t>Check ip-api.com + AbuseIPDB for context</t>
        </is>
      </c>
      <c r="P1571" t="n">
        <v>0</v>
      </c>
      <c r="Q1571" t="n">
        <v>0</v>
      </c>
      <c r="R1571" t="inlineStr">
        <is>
          <t>T1110:Brute Force | T1190:Exploit Public-Facing Application | T1566:Phishing</t>
        </is>
      </c>
      <c r="S1571" t="n">
        <v>1</v>
      </c>
      <c r="T1571" t="inlineStr">
        <is>
          <t>MEDIUM (60%)</t>
        </is>
      </c>
      <c r="U1571" t="inlineStr">
        <is>
          <t>NONE</t>
        </is>
      </c>
      <c r="V1571" t="inlineStr">
        <is>
          <t>NONE</t>
        </is>
      </c>
      <c r="W1571" t="inlineStr">
        <is>
          <t>NONE</t>
        </is>
      </c>
      <c r="X1571" t="inlineStr">
        <is>
          <t>NONE</t>
        </is>
      </c>
      <c r="Y1571" t="n">
        <v>0</v>
      </c>
      <c r="Z1571" t="inlineStr"/>
      <c r="AA1571" t="inlineStr">
        <is>
          <t>https://talosintelligence.com/reputation_center/lookup?search=1.24.16.33</t>
        </is>
      </c>
    </row>
    <row r="1572">
      <c r="A1572" t="inlineStr">
        <is>
          <t>TALOS_IP</t>
        </is>
      </c>
      <c r="B1572" t="inlineStr">
        <is>
          <t>a2604661cbc1</t>
        </is>
      </c>
      <c r="C1572" t="inlineStr">
        <is>
          <t>Cisco Talos Blacklisted IP: 1.24.16.36 | Verified malicious | Sources: TALOS</t>
        </is>
      </c>
      <c r="D1572" t="n">
        <v>7</v>
      </c>
      <c r="E1572" t="inlineStr">
        <is>
          <t>HIGH</t>
        </is>
      </c>
      <c r="F1572" t="n">
        <v>3</v>
      </c>
      <c r="G1572" t="n">
        <v>2</v>
      </c>
      <c r="H1572" t="inlineStr">
        <is>
          <t>HIGH</t>
        </is>
      </c>
      <c r="I1572" t="n">
        <v>13</v>
      </c>
      <c r="J1572" t="inlineStr">
        <is>
          <t>NO</t>
        </is>
      </c>
      <c r="K1572" t="inlineStr">
        <is>
          <t>2026-02-27 20:47</t>
        </is>
      </c>
      <c r="L1572" t="inlineStr">
        <is>
          <t>Block IP</t>
        </is>
      </c>
      <c r="M1572" t="inlineStr">
        <is>
          <t>Network perimeter / Email / Web</t>
        </is>
      </c>
      <c r="N1572" t="inlineStr">
        <is>
          <t>P3</t>
        </is>
      </c>
      <c r="O1572" t="inlineStr">
        <is>
          <t>Check ip-api.com + AbuseIPDB for context</t>
        </is>
      </c>
      <c r="P1572" t="n">
        <v>0</v>
      </c>
      <c r="Q1572" t="n">
        <v>0</v>
      </c>
      <c r="R1572" t="inlineStr">
        <is>
          <t>T1110:Brute Force | T1190:Exploit Public-Facing Application | T1566:Phishing</t>
        </is>
      </c>
      <c r="S1572" t="n">
        <v>1</v>
      </c>
      <c r="T1572" t="inlineStr">
        <is>
          <t>MEDIUM (60%)</t>
        </is>
      </c>
      <c r="U1572" t="inlineStr">
        <is>
          <t>NONE</t>
        </is>
      </c>
      <c r="V1572" t="inlineStr">
        <is>
          <t>NONE</t>
        </is>
      </c>
      <c r="W1572" t="inlineStr">
        <is>
          <t>NONE</t>
        </is>
      </c>
      <c r="X1572" t="inlineStr">
        <is>
          <t>NONE</t>
        </is>
      </c>
      <c r="Y1572" t="n">
        <v>0</v>
      </c>
      <c r="Z1572" t="inlineStr"/>
      <c r="AA1572" t="inlineStr">
        <is>
          <t>https://talosintelligence.com/reputation_center/lookup?search=1.24.16.36</t>
        </is>
      </c>
    </row>
    <row r="1573">
      <c r="A1573" t="inlineStr">
        <is>
          <t>TALOS_IP</t>
        </is>
      </c>
      <c r="B1573" t="inlineStr">
        <is>
          <t>67264847b051</t>
        </is>
      </c>
      <c r="C1573" t="inlineStr">
        <is>
          <t>Cisco Talos Blacklisted IP: 1.24.16.37 | Verified malicious | Sources: TALOS</t>
        </is>
      </c>
      <c r="D1573" t="n">
        <v>7</v>
      </c>
      <c r="E1573" t="inlineStr">
        <is>
          <t>HIGH</t>
        </is>
      </c>
      <c r="F1573" t="n">
        <v>3</v>
      </c>
      <c r="G1573" t="n">
        <v>2</v>
      </c>
      <c r="H1573" t="inlineStr">
        <is>
          <t>HIGH</t>
        </is>
      </c>
      <c r="I1573" t="n">
        <v>13</v>
      </c>
      <c r="J1573" t="inlineStr">
        <is>
          <t>NO</t>
        </is>
      </c>
      <c r="K1573" t="inlineStr">
        <is>
          <t>2026-02-27 20:47</t>
        </is>
      </c>
      <c r="L1573" t="inlineStr">
        <is>
          <t>Block IP</t>
        </is>
      </c>
      <c r="M1573" t="inlineStr">
        <is>
          <t>Network perimeter / Email / Web</t>
        </is>
      </c>
      <c r="N1573" t="inlineStr">
        <is>
          <t>P3</t>
        </is>
      </c>
      <c r="O1573" t="inlineStr">
        <is>
          <t>Check ip-api.com + AbuseIPDB for context</t>
        </is>
      </c>
      <c r="P1573" t="n">
        <v>0</v>
      </c>
      <c r="Q1573" t="n">
        <v>0</v>
      </c>
      <c r="R1573" t="inlineStr">
        <is>
          <t>T1110:Brute Force | T1190:Exploit Public-Facing Application | T1566:Phishing</t>
        </is>
      </c>
      <c r="S1573" t="n">
        <v>1</v>
      </c>
      <c r="T1573" t="inlineStr">
        <is>
          <t>MEDIUM (60%)</t>
        </is>
      </c>
      <c r="U1573" t="inlineStr">
        <is>
          <t>NONE</t>
        </is>
      </c>
      <c r="V1573" t="inlineStr">
        <is>
          <t>NONE</t>
        </is>
      </c>
      <c r="W1573" t="inlineStr">
        <is>
          <t>NONE</t>
        </is>
      </c>
      <c r="X1573" t="inlineStr">
        <is>
          <t>NONE</t>
        </is>
      </c>
      <c r="Y1573" t="n">
        <v>0</v>
      </c>
      <c r="Z1573" t="inlineStr"/>
      <c r="AA1573" t="inlineStr">
        <is>
          <t>https://talosintelligence.com/reputation_center/lookup?search=1.24.16.37</t>
        </is>
      </c>
    </row>
    <row r="1574">
      <c r="A1574" t="inlineStr">
        <is>
          <t>TALOS_IP</t>
        </is>
      </c>
      <c r="B1574" t="inlineStr">
        <is>
          <t>a6e1e1a422ed</t>
        </is>
      </c>
      <c r="C1574" t="inlineStr">
        <is>
          <t>Cisco Talos Blacklisted IP: 1.24.16.38 | Verified malicious | Sources: TALOS</t>
        </is>
      </c>
      <c r="D1574" t="n">
        <v>7</v>
      </c>
      <c r="E1574" t="inlineStr">
        <is>
          <t>HIGH</t>
        </is>
      </c>
      <c r="F1574" t="n">
        <v>3</v>
      </c>
      <c r="G1574" t="n">
        <v>2</v>
      </c>
      <c r="H1574" t="inlineStr">
        <is>
          <t>HIGH</t>
        </is>
      </c>
      <c r="I1574" t="n">
        <v>13</v>
      </c>
      <c r="J1574" t="inlineStr">
        <is>
          <t>NO</t>
        </is>
      </c>
      <c r="K1574" t="inlineStr">
        <is>
          <t>2026-02-27 20:47</t>
        </is>
      </c>
      <c r="L1574" t="inlineStr">
        <is>
          <t>Block IP</t>
        </is>
      </c>
      <c r="M1574" t="inlineStr">
        <is>
          <t>Network perimeter / Email / Web</t>
        </is>
      </c>
      <c r="N1574" t="inlineStr">
        <is>
          <t>P3</t>
        </is>
      </c>
      <c r="O1574" t="inlineStr">
        <is>
          <t>Check ip-api.com + AbuseIPDB for context</t>
        </is>
      </c>
      <c r="P1574" t="n">
        <v>0</v>
      </c>
      <c r="Q1574" t="n">
        <v>0</v>
      </c>
      <c r="R1574" t="inlineStr">
        <is>
          <t>T1110:Brute Force | T1190:Exploit Public-Facing Application | T1566:Phishing</t>
        </is>
      </c>
      <c r="S1574" t="n">
        <v>1</v>
      </c>
      <c r="T1574" t="inlineStr">
        <is>
          <t>MEDIUM (60%)</t>
        </is>
      </c>
      <c r="U1574" t="inlineStr">
        <is>
          <t>NONE</t>
        </is>
      </c>
      <c r="V1574" t="inlineStr">
        <is>
          <t>NONE</t>
        </is>
      </c>
      <c r="W1574" t="inlineStr">
        <is>
          <t>NONE</t>
        </is>
      </c>
      <c r="X1574" t="inlineStr">
        <is>
          <t>NONE</t>
        </is>
      </c>
      <c r="Y1574" t="n">
        <v>0</v>
      </c>
      <c r="Z1574" t="inlineStr"/>
      <c r="AA1574" t="inlineStr">
        <is>
          <t>https://talosintelligence.com/reputation_center/lookup?search=1.24.16.38</t>
        </is>
      </c>
    </row>
    <row r="1575">
      <c r="A1575" t="inlineStr">
        <is>
          <t>TALOS_IP</t>
        </is>
      </c>
      <c r="B1575" t="inlineStr">
        <is>
          <t>d14b84935e0c</t>
        </is>
      </c>
      <c r="C1575" t="inlineStr">
        <is>
          <t>Cisco Talos Blacklisted IP: 1.24.16.39 | Verified malicious | Sources: TALOS</t>
        </is>
      </c>
      <c r="D1575" t="n">
        <v>7</v>
      </c>
      <c r="E1575" t="inlineStr">
        <is>
          <t>HIGH</t>
        </is>
      </c>
      <c r="F1575" t="n">
        <v>3</v>
      </c>
      <c r="G1575" t="n">
        <v>2</v>
      </c>
      <c r="H1575" t="inlineStr">
        <is>
          <t>HIGH</t>
        </is>
      </c>
      <c r="I1575" t="n">
        <v>13</v>
      </c>
      <c r="J1575" t="inlineStr">
        <is>
          <t>NO</t>
        </is>
      </c>
      <c r="K1575" t="inlineStr">
        <is>
          <t>2026-02-27 20:47</t>
        </is>
      </c>
      <c r="L1575" t="inlineStr">
        <is>
          <t>Block IP</t>
        </is>
      </c>
      <c r="M1575" t="inlineStr">
        <is>
          <t>Network perimeter / Email / Web</t>
        </is>
      </c>
      <c r="N1575" t="inlineStr">
        <is>
          <t>P3</t>
        </is>
      </c>
      <c r="O1575" t="inlineStr">
        <is>
          <t>Check ip-api.com + AbuseIPDB for context</t>
        </is>
      </c>
      <c r="P1575" t="n">
        <v>0</v>
      </c>
      <c r="Q1575" t="n">
        <v>0</v>
      </c>
      <c r="R1575" t="inlineStr">
        <is>
          <t>T1110:Brute Force | T1190:Exploit Public-Facing Application | T1566:Phishing</t>
        </is>
      </c>
      <c r="S1575" t="n">
        <v>1</v>
      </c>
      <c r="T1575" t="inlineStr">
        <is>
          <t>MEDIUM (60%)</t>
        </is>
      </c>
      <c r="U1575" t="inlineStr">
        <is>
          <t>NONE</t>
        </is>
      </c>
      <c r="V1575" t="inlineStr">
        <is>
          <t>NONE</t>
        </is>
      </c>
      <c r="W1575" t="inlineStr">
        <is>
          <t>NONE</t>
        </is>
      </c>
      <c r="X1575" t="inlineStr">
        <is>
          <t>NONE</t>
        </is>
      </c>
      <c r="Y1575" t="n">
        <v>0</v>
      </c>
      <c r="Z1575" t="inlineStr"/>
      <c r="AA1575" t="inlineStr">
        <is>
          <t>https://talosintelligence.com/reputation_center/lookup?search=1.24.16.39</t>
        </is>
      </c>
    </row>
    <row r="1576">
      <c r="A1576" t="inlineStr">
        <is>
          <t>TALOS_IP</t>
        </is>
      </c>
      <c r="B1576" t="inlineStr">
        <is>
          <t>5ed2b43f8e62</t>
        </is>
      </c>
      <c r="C1576" t="inlineStr">
        <is>
          <t>Cisco Talos Blacklisted IP: 1.24.16.45 | Verified malicious | Sources: TALOS</t>
        </is>
      </c>
      <c r="D1576" t="n">
        <v>7</v>
      </c>
      <c r="E1576" t="inlineStr">
        <is>
          <t>HIGH</t>
        </is>
      </c>
      <c r="F1576" t="n">
        <v>3</v>
      </c>
      <c r="G1576" t="n">
        <v>2</v>
      </c>
      <c r="H1576" t="inlineStr">
        <is>
          <t>HIGH</t>
        </is>
      </c>
      <c r="I1576" t="n">
        <v>13</v>
      </c>
      <c r="J1576" t="inlineStr">
        <is>
          <t>NO</t>
        </is>
      </c>
      <c r="K1576" t="inlineStr">
        <is>
          <t>2026-02-27 20:47</t>
        </is>
      </c>
      <c r="L1576" t="inlineStr">
        <is>
          <t>Block IP</t>
        </is>
      </c>
      <c r="M1576" t="inlineStr">
        <is>
          <t>Network perimeter / Email / Web</t>
        </is>
      </c>
      <c r="N1576" t="inlineStr">
        <is>
          <t>P3</t>
        </is>
      </c>
      <c r="O1576" t="inlineStr">
        <is>
          <t>Check ip-api.com + AbuseIPDB for context</t>
        </is>
      </c>
      <c r="P1576" t="n">
        <v>0</v>
      </c>
      <c r="Q1576" t="n">
        <v>0</v>
      </c>
      <c r="R1576" t="inlineStr">
        <is>
          <t>T1110:Brute Force | T1190:Exploit Public-Facing Application | T1566:Phishing</t>
        </is>
      </c>
      <c r="S1576" t="n">
        <v>1</v>
      </c>
      <c r="T1576" t="inlineStr">
        <is>
          <t>MEDIUM (60%)</t>
        </is>
      </c>
      <c r="U1576" t="inlineStr">
        <is>
          <t>NONE</t>
        </is>
      </c>
      <c r="V1576" t="inlineStr">
        <is>
          <t>NONE</t>
        </is>
      </c>
      <c r="W1576" t="inlineStr">
        <is>
          <t>NONE</t>
        </is>
      </c>
      <c r="X1576" t="inlineStr">
        <is>
          <t>NONE</t>
        </is>
      </c>
      <c r="Y1576" t="n">
        <v>0</v>
      </c>
      <c r="Z1576" t="inlineStr"/>
      <c r="AA1576" t="inlineStr">
        <is>
          <t>https://talosintelligence.com/reputation_center/lookup?search=1.24.16.45</t>
        </is>
      </c>
    </row>
    <row r="1577">
      <c r="A1577" t="inlineStr">
        <is>
          <t>TALOS_IP</t>
        </is>
      </c>
      <c r="B1577" t="inlineStr">
        <is>
          <t>47ea4e8f5906</t>
        </is>
      </c>
      <c r="C1577" t="inlineStr">
        <is>
          <t>Cisco Talos Blacklisted IP: 1.24.16.47 | Verified malicious | Sources: TALOS</t>
        </is>
      </c>
      <c r="D1577" t="n">
        <v>7</v>
      </c>
      <c r="E1577" t="inlineStr">
        <is>
          <t>HIGH</t>
        </is>
      </c>
      <c r="F1577" t="n">
        <v>3</v>
      </c>
      <c r="G1577" t="n">
        <v>2</v>
      </c>
      <c r="H1577" t="inlineStr">
        <is>
          <t>HIGH</t>
        </is>
      </c>
      <c r="I1577" t="n">
        <v>13</v>
      </c>
      <c r="J1577" t="inlineStr">
        <is>
          <t>NO</t>
        </is>
      </c>
      <c r="K1577" t="inlineStr">
        <is>
          <t>2026-02-27 20:47</t>
        </is>
      </c>
      <c r="L1577" t="inlineStr">
        <is>
          <t>Block IP</t>
        </is>
      </c>
      <c r="M1577" t="inlineStr">
        <is>
          <t>Network perimeter / Email / Web</t>
        </is>
      </c>
      <c r="N1577" t="inlineStr">
        <is>
          <t>P3</t>
        </is>
      </c>
      <c r="O1577" t="inlineStr">
        <is>
          <t>Check ip-api.com + AbuseIPDB for context</t>
        </is>
      </c>
      <c r="P1577" t="n">
        <v>0</v>
      </c>
      <c r="Q1577" t="n">
        <v>0</v>
      </c>
      <c r="R1577" t="inlineStr">
        <is>
          <t>T1110:Brute Force | T1190:Exploit Public-Facing Application | T1566:Phishing</t>
        </is>
      </c>
      <c r="S1577" t="n">
        <v>1</v>
      </c>
      <c r="T1577" t="inlineStr">
        <is>
          <t>MEDIUM (60%)</t>
        </is>
      </c>
      <c r="U1577" t="inlineStr">
        <is>
          <t>NONE</t>
        </is>
      </c>
      <c r="V1577" t="inlineStr">
        <is>
          <t>NONE</t>
        </is>
      </c>
      <c r="W1577" t="inlineStr">
        <is>
          <t>NONE</t>
        </is>
      </c>
      <c r="X1577" t="inlineStr">
        <is>
          <t>NONE</t>
        </is>
      </c>
      <c r="Y1577" t="n">
        <v>0</v>
      </c>
      <c r="Z1577" t="inlineStr"/>
      <c r="AA1577" t="inlineStr">
        <is>
          <t>https://talosintelligence.com/reputation_center/lookup?search=1.24.16.47</t>
        </is>
      </c>
    </row>
    <row r="1578">
      <c r="A1578" t="inlineStr">
        <is>
          <t>TALOS_IP</t>
        </is>
      </c>
      <c r="B1578" t="inlineStr">
        <is>
          <t>3917f01ba62e</t>
        </is>
      </c>
      <c r="C1578" t="inlineStr">
        <is>
          <t>Cisco Talos Blacklisted IP: 1.24.16.49 | Verified malicious | Sources: TALOS</t>
        </is>
      </c>
      <c r="D1578" t="n">
        <v>7</v>
      </c>
      <c r="E1578" t="inlineStr">
        <is>
          <t>HIGH</t>
        </is>
      </c>
      <c r="F1578" t="n">
        <v>3</v>
      </c>
      <c r="G1578" t="n">
        <v>2</v>
      </c>
      <c r="H1578" t="inlineStr">
        <is>
          <t>HIGH</t>
        </is>
      </c>
      <c r="I1578" t="n">
        <v>13</v>
      </c>
      <c r="J1578" t="inlineStr">
        <is>
          <t>NO</t>
        </is>
      </c>
      <c r="K1578" t="inlineStr">
        <is>
          <t>2026-02-27 20:47</t>
        </is>
      </c>
      <c r="L1578" t="inlineStr">
        <is>
          <t>Block IP</t>
        </is>
      </c>
      <c r="M1578" t="inlineStr">
        <is>
          <t>Network perimeter / Email / Web</t>
        </is>
      </c>
      <c r="N1578" t="inlineStr">
        <is>
          <t>P3</t>
        </is>
      </c>
      <c r="O1578" t="inlineStr">
        <is>
          <t>Check ip-api.com + AbuseIPDB for context</t>
        </is>
      </c>
      <c r="P1578" t="n">
        <v>0</v>
      </c>
      <c r="Q1578" t="n">
        <v>0</v>
      </c>
      <c r="R1578" t="inlineStr">
        <is>
          <t>T1110:Brute Force | T1190:Exploit Public-Facing Application | T1566:Phishing</t>
        </is>
      </c>
      <c r="S1578" t="n">
        <v>1</v>
      </c>
      <c r="T1578" t="inlineStr">
        <is>
          <t>MEDIUM (60%)</t>
        </is>
      </c>
      <c r="U1578" t="inlineStr">
        <is>
          <t>NONE</t>
        </is>
      </c>
      <c r="V1578" t="inlineStr">
        <is>
          <t>NONE</t>
        </is>
      </c>
      <c r="W1578" t="inlineStr">
        <is>
          <t>NONE</t>
        </is>
      </c>
      <c r="X1578" t="inlineStr">
        <is>
          <t>NONE</t>
        </is>
      </c>
      <c r="Y1578" t="n">
        <v>0</v>
      </c>
      <c r="Z1578" t="inlineStr"/>
      <c r="AA1578" t="inlineStr">
        <is>
          <t>https://talosintelligence.com/reputation_center/lookup?search=1.24.16.49</t>
        </is>
      </c>
    </row>
    <row r="1579">
      <c r="A1579" t="inlineStr">
        <is>
          <t>TALOS_IP</t>
        </is>
      </c>
      <c r="B1579" t="inlineStr">
        <is>
          <t>72cadb24f124</t>
        </is>
      </c>
      <c r="C1579" t="inlineStr">
        <is>
          <t>Cisco Talos Blacklisted IP: 1.24.16.5 | Verified malicious | Sources: TALOS</t>
        </is>
      </c>
      <c r="D1579" t="n">
        <v>7</v>
      </c>
      <c r="E1579" t="inlineStr">
        <is>
          <t>HIGH</t>
        </is>
      </c>
      <c r="F1579" t="n">
        <v>3</v>
      </c>
      <c r="G1579" t="n">
        <v>2</v>
      </c>
      <c r="H1579" t="inlineStr">
        <is>
          <t>HIGH</t>
        </is>
      </c>
      <c r="I1579" t="n">
        <v>13</v>
      </c>
      <c r="J1579" t="inlineStr">
        <is>
          <t>NO</t>
        </is>
      </c>
      <c r="K1579" t="inlineStr">
        <is>
          <t>2026-02-27 20:47</t>
        </is>
      </c>
      <c r="L1579" t="inlineStr">
        <is>
          <t>Block IP</t>
        </is>
      </c>
      <c r="M1579" t="inlineStr">
        <is>
          <t>Network perimeter / Email / Web</t>
        </is>
      </c>
      <c r="N1579" t="inlineStr">
        <is>
          <t>P3</t>
        </is>
      </c>
      <c r="O1579" t="inlineStr">
        <is>
          <t>Check ip-api.com + AbuseIPDB for context</t>
        </is>
      </c>
      <c r="P1579" t="n">
        <v>0</v>
      </c>
      <c r="Q1579" t="n">
        <v>0</v>
      </c>
      <c r="R1579" t="inlineStr">
        <is>
          <t>T1110:Brute Force | T1190:Exploit Public-Facing Application | T1566:Phishing</t>
        </is>
      </c>
      <c r="S1579" t="n">
        <v>1</v>
      </c>
      <c r="T1579" t="inlineStr">
        <is>
          <t>MEDIUM (60%)</t>
        </is>
      </c>
      <c r="U1579" t="inlineStr">
        <is>
          <t>NONE</t>
        </is>
      </c>
      <c r="V1579" t="inlineStr">
        <is>
          <t>NONE</t>
        </is>
      </c>
      <c r="W1579" t="inlineStr">
        <is>
          <t>NONE</t>
        </is>
      </c>
      <c r="X1579" t="inlineStr">
        <is>
          <t>NONE</t>
        </is>
      </c>
      <c r="Y1579" t="n">
        <v>0</v>
      </c>
      <c r="Z1579" t="inlineStr"/>
      <c r="AA1579" t="inlineStr">
        <is>
          <t>https://talosintelligence.com/reputation_center/lookup?search=1.24.16.5</t>
        </is>
      </c>
    </row>
    <row r="1580">
      <c r="A1580" t="inlineStr">
        <is>
          <t>TALOS_IP</t>
        </is>
      </c>
      <c r="B1580" t="inlineStr">
        <is>
          <t>002a688dd5d1</t>
        </is>
      </c>
      <c r="C1580" t="inlineStr">
        <is>
          <t>Cisco Talos Blacklisted IP: 1.24.16.52 | Verified malicious | Sources: TALOS</t>
        </is>
      </c>
      <c r="D1580" t="n">
        <v>7</v>
      </c>
      <c r="E1580" t="inlineStr">
        <is>
          <t>HIGH</t>
        </is>
      </c>
      <c r="F1580" t="n">
        <v>3</v>
      </c>
      <c r="G1580" t="n">
        <v>2</v>
      </c>
      <c r="H1580" t="inlineStr">
        <is>
          <t>HIGH</t>
        </is>
      </c>
      <c r="I1580" t="n">
        <v>13</v>
      </c>
      <c r="J1580" t="inlineStr">
        <is>
          <t>NO</t>
        </is>
      </c>
      <c r="K1580" t="inlineStr">
        <is>
          <t>2026-02-27 20:47</t>
        </is>
      </c>
      <c r="L1580" t="inlineStr">
        <is>
          <t>Block IP</t>
        </is>
      </c>
      <c r="M1580" t="inlineStr">
        <is>
          <t>Network perimeter / Email / Web</t>
        </is>
      </c>
      <c r="N1580" t="inlineStr">
        <is>
          <t>P3</t>
        </is>
      </c>
      <c r="O1580" t="inlineStr">
        <is>
          <t>Check ip-api.com + AbuseIPDB for context</t>
        </is>
      </c>
      <c r="P1580" t="n">
        <v>0</v>
      </c>
      <c r="Q1580" t="n">
        <v>0</v>
      </c>
      <c r="R1580" t="inlineStr">
        <is>
          <t>T1110:Brute Force | T1190:Exploit Public-Facing Application | T1566:Phishing</t>
        </is>
      </c>
      <c r="S1580" t="n">
        <v>1</v>
      </c>
      <c r="T1580" t="inlineStr">
        <is>
          <t>MEDIUM (60%)</t>
        </is>
      </c>
      <c r="U1580" t="inlineStr">
        <is>
          <t>NONE</t>
        </is>
      </c>
      <c r="V1580" t="inlineStr">
        <is>
          <t>NONE</t>
        </is>
      </c>
      <c r="W1580" t="inlineStr">
        <is>
          <t>NONE</t>
        </is>
      </c>
      <c r="X1580" t="inlineStr">
        <is>
          <t>NONE</t>
        </is>
      </c>
      <c r="Y1580" t="n">
        <v>0</v>
      </c>
      <c r="Z1580" t="inlineStr"/>
      <c r="AA1580" t="inlineStr">
        <is>
          <t>https://talosintelligence.com/reputation_center/lookup?search=1.24.16.52</t>
        </is>
      </c>
    </row>
    <row r="1581">
      <c r="A1581" t="inlineStr">
        <is>
          <t>TALOS_IP</t>
        </is>
      </c>
      <c r="B1581" t="inlineStr">
        <is>
          <t>a72d863c4727</t>
        </is>
      </c>
      <c r="C1581" t="inlineStr">
        <is>
          <t>Cisco Talos Blacklisted IP: 1.24.16.65 | Verified malicious | Sources: TALOS</t>
        </is>
      </c>
      <c r="D1581" t="n">
        <v>7</v>
      </c>
      <c r="E1581" t="inlineStr">
        <is>
          <t>HIGH</t>
        </is>
      </c>
      <c r="F1581" t="n">
        <v>3</v>
      </c>
      <c r="G1581" t="n">
        <v>2</v>
      </c>
      <c r="H1581" t="inlineStr">
        <is>
          <t>HIGH</t>
        </is>
      </c>
      <c r="I1581" t="n">
        <v>13</v>
      </c>
      <c r="J1581" t="inlineStr">
        <is>
          <t>NO</t>
        </is>
      </c>
      <c r="K1581" t="inlineStr">
        <is>
          <t>2026-02-27 20:47</t>
        </is>
      </c>
      <c r="L1581" t="inlineStr">
        <is>
          <t>Block IP</t>
        </is>
      </c>
      <c r="M1581" t="inlineStr">
        <is>
          <t>Network perimeter / Email / Web</t>
        </is>
      </c>
      <c r="N1581" t="inlineStr">
        <is>
          <t>P3</t>
        </is>
      </c>
      <c r="O1581" t="inlineStr">
        <is>
          <t>Check ip-api.com + AbuseIPDB for context</t>
        </is>
      </c>
      <c r="P1581" t="n">
        <v>0</v>
      </c>
      <c r="Q1581" t="n">
        <v>0</v>
      </c>
      <c r="R1581" t="inlineStr">
        <is>
          <t>T1110:Brute Force | T1190:Exploit Public-Facing Application | T1566:Phishing</t>
        </is>
      </c>
      <c r="S1581" t="n">
        <v>1</v>
      </c>
      <c r="T1581" t="inlineStr">
        <is>
          <t>MEDIUM (60%)</t>
        </is>
      </c>
      <c r="U1581" t="inlineStr">
        <is>
          <t>NONE</t>
        </is>
      </c>
      <c r="V1581" t="inlineStr">
        <is>
          <t>NONE</t>
        </is>
      </c>
      <c r="W1581" t="inlineStr">
        <is>
          <t>NONE</t>
        </is>
      </c>
      <c r="X1581" t="inlineStr">
        <is>
          <t>NONE</t>
        </is>
      </c>
      <c r="Y1581" t="n">
        <v>0</v>
      </c>
      <c r="Z1581" t="inlineStr"/>
      <c r="AA1581" t="inlineStr">
        <is>
          <t>https://talosintelligence.com/reputation_center/lookup?search=1.24.16.65</t>
        </is>
      </c>
    </row>
    <row r="1582">
      <c r="A1582" t="inlineStr">
        <is>
          <t>TALOS_IP</t>
        </is>
      </c>
      <c r="B1582" t="inlineStr">
        <is>
          <t>0c9b77fa8b75</t>
        </is>
      </c>
      <c r="C1582" t="inlineStr">
        <is>
          <t>Cisco Talos Blacklisted IP: 1.24.16.66 | Verified malicious | Sources: TALOS</t>
        </is>
      </c>
      <c r="D1582" t="n">
        <v>7</v>
      </c>
      <c r="E1582" t="inlineStr">
        <is>
          <t>HIGH</t>
        </is>
      </c>
      <c r="F1582" t="n">
        <v>3</v>
      </c>
      <c r="G1582" t="n">
        <v>2</v>
      </c>
      <c r="H1582" t="inlineStr">
        <is>
          <t>HIGH</t>
        </is>
      </c>
      <c r="I1582" t="n">
        <v>13</v>
      </c>
      <c r="J1582" t="inlineStr">
        <is>
          <t>NO</t>
        </is>
      </c>
      <c r="K1582" t="inlineStr">
        <is>
          <t>2026-02-27 20:47</t>
        </is>
      </c>
      <c r="L1582" t="inlineStr">
        <is>
          <t>Block IP</t>
        </is>
      </c>
      <c r="M1582" t="inlineStr">
        <is>
          <t>Network perimeter / Email / Web</t>
        </is>
      </c>
      <c r="N1582" t="inlineStr">
        <is>
          <t>P3</t>
        </is>
      </c>
      <c r="O1582" t="inlineStr">
        <is>
          <t>Check ip-api.com + AbuseIPDB for context</t>
        </is>
      </c>
      <c r="P1582" t="n">
        <v>0</v>
      </c>
      <c r="Q1582" t="n">
        <v>0</v>
      </c>
      <c r="R1582" t="inlineStr">
        <is>
          <t>T1110:Brute Force | T1190:Exploit Public-Facing Application | T1566:Phishing</t>
        </is>
      </c>
      <c r="S1582" t="n">
        <v>1</v>
      </c>
      <c r="T1582" t="inlineStr">
        <is>
          <t>MEDIUM (60%)</t>
        </is>
      </c>
      <c r="U1582" t="inlineStr">
        <is>
          <t>NONE</t>
        </is>
      </c>
      <c r="V1582" t="inlineStr">
        <is>
          <t>NONE</t>
        </is>
      </c>
      <c r="W1582" t="inlineStr">
        <is>
          <t>NONE</t>
        </is>
      </c>
      <c r="X1582" t="inlineStr">
        <is>
          <t>NONE</t>
        </is>
      </c>
      <c r="Y1582" t="n">
        <v>0</v>
      </c>
      <c r="Z1582" t="inlineStr"/>
      <c r="AA1582" t="inlineStr">
        <is>
          <t>https://talosintelligence.com/reputation_center/lookup?search=1.24.16.66</t>
        </is>
      </c>
    </row>
    <row r="1583">
      <c r="A1583" t="inlineStr">
        <is>
          <t>TALOS_IP</t>
        </is>
      </c>
      <c r="B1583" t="inlineStr">
        <is>
          <t>c42c59dcd91b</t>
        </is>
      </c>
      <c r="C1583" t="inlineStr">
        <is>
          <t>Cisco Talos Blacklisted IP: 1.24.16.70 | Verified malicious | Sources: TALOS</t>
        </is>
      </c>
      <c r="D1583" t="n">
        <v>7</v>
      </c>
      <c r="E1583" t="inlineStr">
        <is>
          <t>HIGH</t>
        </is>
      </c>
      <c r="F1583" t="n">
        <v>3</v>
      </c>
      <c r="G1583" t="n">
        <v>2</v>
      </c>
      <c r="H1583" t="inlineStr">
        <is>
          <t>HIGH</t>
        </is>
      </c>
      <c r="I1583" t="n">
        <v>13</v>
      </c>
      <c r="J1583" t="inlineStr">
        <is>
          <t>NO</t>
        </is>
      </c>
      <c r="K1583" t="inlineStr">
        <is>
          <t>2026-02-27 20:47</t>
        </is>
      </c>
      <c r="L1583" t="inlineStr">
        <is>
          <t>Block IP</t>
        </is>
      </c>
      <c r="M1583" t="inlineStr">
        <is>
          <t>Network perimeter / Email / Web</t>
        </is>
      </c>
      <c r="N1583" t="inlineStr">
        <is>
          <t>P3</t>
        </is>
      </c>
      <c r="O1583" t="inlineStr">
        <is>
          <t>Check ip-api.com + AbuseIPDB for context</t>
        </is>
      </c>
      <c r="P1583" t="n">
        <v>0</v>
      </c>
      <c r="Q1583" t="n">
        <v>0</v>
      </c>
      <c r="R1583" t="inlineStr">
        <is>
          <t>T1110:Brute Force | T1190:Exploit Public-Facing Application | T1566:Phishing</t>
        </is>
      </c>
      <c r="S1583" t="n">
        <v>1</v>
      </c>
      <c r="T1583" t="inlineStr">
        <is>
          <t>MEDIUM (60%)</t>
        </is>
      </c>
      <c r="U1583" t="inlineStr">
        <is>
          <t>NONE</t>
        </is>
      </c>
      <c r="V1583" t="inlineStr">
        <is>
          <t>NONE</t>
        </is>
      </c>
      <c r="W1583" t="inlineStr">
        <is>
          <t>NONE</t>
        </is>
      </c>
      <c r="X1583" t="inlineStr">
        <is>
          <t>NONE</t>
        </is>
      </c>
      <c r="Y1583" t="n">
        <v>0</v>
      </c>
      <c r="Z1583" t="inlineStr"/>
      <c r="AA1583" t="inlineStr">
        <is>
          <t>https://talosintelligence.com/reputation_center/lookup?search=1.24.16.70</t>
        </is>
      </c>
    </row>
    <row r="1584">
      <c r="A1584" t="inlineStr">
        <is>
          <t>TALOS_IP</t>
        </is>
      </c>
      <c r="B1584" t="inlineStr">
        <is>
          <t>fb8f913d77ff</t>
        </is>
      </c>
      <c r="C1584" t="inlineStr">
        <is>
          <t>Cisco Talos Blacklisted IP: 1.24.16.75 | Verified malicious | Sources: TALOS</t>
        </is>
      </c>
      <c r="D1584" t="n">
        <v>7</v>
      </c>
      <c r="E1584" t="inlineStr">
        <is>
          <t>HIGH</t>
        </is>
      </c>
      <c r="F1584" t="n">
        <v>3</v>
      </c>
      <c r="G1584" t="n">
        <v>2</v>
      </c>
      <c r="H1584" t="inlineStr">
        <is>
          <t>HIGH</t>
        </is>
      </c>
      <c r="I1584" t="n">
        <v>13</v>
      </c>
      <c r="J1584" t="inlineStr">
        <is>
          <t>NO</t>
        </is>
      </c>
      <c r="K1584" t="inlineStr">
        <is>
          <t>2026-02-27 20:47</t>
        </is>
      </c>
      <c r="L1584" t="inlineStr">
        <is>
          <t>Block IP</t>
        </is>
      </c>
      <c r="M1584" t="inlineStr">
        <is>
          <t>Network perimeter / Email / Web</t>
        </is>
      </c>
      <c r="N1584" t="inlineStr">
        <is>
          <t>P3</t>
        </is>
      </c>
      <c r="O1584" t="inlineStr">
        <is>
          <t>Check ip-api.com + AbuseIPDB for context</t>
        </is>
      </c>
      <c r="P1584" t="n">
        <v>0</v>
      </c>
      <c r="Q1584" t="n">
        <v>0</v>
      </c>
      <c r="R1584" t="inlineStr">
        <is>
          <t>T1110:Brute Force | T1190:Exploit Public-Facing Application | T1566:Phishing</t>
        </is>
      </c>
      <c r="S1584" t="n">
        <v>1</v>
      </c>
      <c r="T1584" t="inlineStr">
        <is>
          <t>MEDIUM (60%)</t>
        </is>
      </c>
      <c r="U1584" t="inlineStr">
        <is>
          <t>NONE</t>
        </is>
      </c>
      <c r="V1584" t="inlineStr">
        <is>
          <t>NONE</t>
        </is>
      </c>
      <c r="W1584" t="inlineStr">
        <is>
          <t>NONE</t>
        </is>
      </c>
      <c r="X1584" t="inlineStr">
        <is>
          <t>NONE</t>
        </is>
      </c>
      <c r="Y1584" t="n">
        <v>0</v>
      </c>
      <c r="Z1584" t="inlineStr"/>
      <c r="AA1584" t="inlineStr">
        <is>
          <t>https://talosintelligence.com/reputation_center/lookup?search=1.24.16.75</t>
        </is>
      </c>
    </row>
    <row r="1585">
      <c r="A1585" t="inlineStr">
        <is>
          <t>TALOS_IP</t>
        </is>
      </c>
      <c r="B1585" t="inlineStr">
        <is>
          <t>3d428a3ce6fe</t>
        </is>
      </c>
      <c r="C1585" t="inlineStr">
        <is>
          <t>Cisco Talos Blacklisted IP: 1.24.16.86 | Verified malicious | Sources: TALOS</t>
        </is>
      </c>
      <c r="D1585" t="n">
        <v>7</v>
      </c>
      <c r="E1585" t="inlineStr">
        <is>
          <t>HIGH</t>
        </is>
      </c>
      <c r="F1585" t="n">
        <v>3</v>
      </c>
      <c r="G1585" t="n">
        <v>2</v>
      </c>
      <c r="H1585" t="inlineStr">
        <is>
          <t>HIGH</t>
        </is>
      </c>
      <c r="I1585" t="n">
        <v>13</v>
      </c>
      <c r="J1585" t="inlineStr">
        <is>
          <t>NO</t>
        </is>
      </c>
      <c r="K1585" t="inlineStr">
        <is>
          <t>2026-02-27 20:47</t>
        </is>
      </c>
      <c r="L1585" t="inlineStr">
        <is>
          <t>Block IP</t>
        </is>
      </c>
      <c r="M1585" t="inlineStr">
        <is>
          <t>Network perimeter / Email / Web</t>
        </is>
      </c>
      <c r="N1585" t="inlineStr">
        <is>
          <t>P3</t>
        </is>
      </c>
      <c r="O1585" t="inlineStr">
        <is>
          <t>Check ip-api.com + AbuseIPDB for context</t>
        </is>
      </c>
      <c r="P1585" t="n">
        <v>0</v>
      </c>
      <c r="Q1585" t="n">
        <v>0</v>
      </c>
      <c r="R1585" t="inlineStr">
        <is>
          <t>T1110:Brute Force | T1190:Exploit Public-Facing Application | T1566:Phishing</t>
        </is>
      </c>
      <c r="S1585" t="n">
        <v>1</v>
      </c>
      <c r="T1585" t="inlineStr">
        <is>
          <t>MEDIUM (60%)</t>
        </is>
      </c>
      <c r="U1585" t="inlineStr">
        <is>
          <t>NONE</t>
        </is>
      </c>
      <c r="V1585" t="inlineStr">
        <is>
          <t>NONE</t>
        </is>
      </c>
      <c r="W1585" t="inlineStr">
        <is>
          <t>NONE</t>
        </is>
      </c>
      <c r="X1585" t="inlineStr">
        <is>
          <t>NONE</t>
        </is>
      </c>
      <c r="Y1585" t="n">
        <v>0</v>
      </c>
      <c r="Z1585" t="inlineStr"/>
      <c r="AA1585" t="inlineStr">
        <is>
          <t>https://talosintelligence.com/reputation_center/lookup?search=1.24.16.86</t>
        </is>
      </c>
    </row>
    <row r="1586">
      <c r="A1586" t="inlineStr">
        <is>
          <t>TALOS_IP</t>
        </is>
      </c>
      <c r="B1586" t="inlineStr">
        <is>
          <t>ce9ac015fefc</t>
        </is>
      </c>
      <c r="C1586" t="inlineStr">
        <is>
          <t>Cisco Talos Blacklisted IP: 1.24.16.88 | Verified malicious | Sources: TALOS</t>
        </is>
      </c>
      <c r="D1586" t="n">
        <v>7</v>
      </c>
      <c r="E1586" t="inlineStr">
        <is>
          <t>HIGH</t>
        </is>
      </c>
      <c r="F1586" t="n">
        <v>3</v>
      </c>
      <c r="G1586" t="n">
        <v>2</v>
      </c>
      <c r="H1586" t="inlineStr">
        <is>
          <t>HIGH</t>
        </is>
      </c>
      <c r="I1586" t="n">
        <v>13</v>
      </c>
      <c r="J1586" t="inlineStr">
        <is>
          <t>NO</t>
        </is>
      </c>
      <c r="K1586" t="inlineStr">
        <is>
          <t>2026-02-27 20:47</t>
        </is>
      </c>
      <c r="L1586" t="inlineStr">
        <is>
          <t>Block IP</t>
        </is>
      </c>
      <c r="M1586" t="inlineStr">
        <is>
          <t>Network perimeter / Email / Web</t>
        </is>
      </c>
      <c r="N1586" t="inlineStr">
        <is>
          <t>P3</t>
        </is>
      </c>
      <c r="O1586" t="inlineStr">
        <is>
          <t>Check ip-api.com + AbuseIPDB for context</t>
        </is>
      </c>
      <c r="P1586" t="n">
        <v>0</v>
      </c>
      <c r="Q1586" t="n">
        <v>0</v>
      </c>
      <c r="R1586" t="inlineStr">
        <is>
          <t>T1110:Brute Force | T1190:Exploit Public-Facing Application | T1566:Phishing</t>
        </is>
      </c>
      <c r="S1586" t="n">
        <v>1</v>
      </c>
      <c r="T1586" t="inlineStr">
        <is>
          <t>MEDIUM (60%)</t>
        </is>
      </c>
      <c r="U1586" t="inlineStr">
        <is>
          <t>NONE</t>
        </is>
      </c>
      <c r="V1586" t="inlineStr">
        <is>
          <t>NONE</t>
        </is>
      </c>
      <c r="W1586" t="inlineStr">
        <is>
          <t>NONE</t>
        </is>
      </c>
      <c r="X1586" t="inlineStr">
        <is>
          <t>NONE</t>
        </is>
      </c>
      <c r="Y1586" t="n">
        <v>0</v>
      </c>
      <c r="Z1586" t="inlineStr"/>
      <c r="AA1586" t="inlineStr">
        <is>
          <t>https://talosintelligence.com/reputation_center/lookup?search=1.24.16.88</t>
        </is>
      </c>
    </row>
    <row r="1587">
      <c r="A1587" t="inlineStr">
        <is>
          <t>TALOS_IP</t>
        </is>
      </c>
      <c r="B1587" t="inlineStr">
        <is>
          <t>58d9a54368a2</t>
        </is>
      </c>
      <c r="C1587" t="inlineStr">
        <is>
          <t>Cisco Talos Blacklisted IP: 1.24.16.91 | Verified malicious | Sources: TALOS</t>
        </is>
      </c>
      <c r="D1587" t="n">
        <v>7</v>
      </c>
      <c r="E1587" t="inlineStr">
        <is>
          <t>HIGH</t>
        </is>
      </c>
      <c r="F1587" t="n">
        <v>3</v>
      </c>
      <c r="G1587" t="n">
        <v>2</v>
      </c>
      <c r="H1587" t="inlineStr">
        <is>
          <t>HIGH</t>
        </is>
      </c>
      <c r="I1587" t="n">
        <v>13</v>
      </c>
      <c r="J1587" t="inlineStr">
        <is>
          <t>NO</t>
        </is>
      </c>
      <c r="K1587" t="inlineStr">
        <is>
          <t>2026-02-27 20:47</t>
        </is>
      </c>
      <c r="L1587" t="inlineStr">
        <is>
          <t>Block IP</t>
        </is>
      </c>
      <c r="M1587" t="inlineStr">
        <is>
          <t>Network perimeter / Email / Web</t>
        </is>
      </c>
      <c r="N1587" t="inlineStr">
        <is>
          <t>P3</t>
        </is>
      </c>
      <c r="O1587" t="inlineStr">
        <is>
          <t>Check ip-api.com + AbuseIPDB for context</t>
        </is>
      </c>
      <c r="P1587" t="n">
        <v>0</v>
      </c>
      <c r="Q1587" t="n">
        <v>0</v>
      </c>
      <c r="R1587" t="inlineStr">
        <is>
          <t>T1110:Brute Force | T1190:Exploit Public-Facing Application | T1566:Phishing</t>
        </is>
      </c>
      <c r="S1587" t="n">
        <v>1</v>
      </c>
      <c r="T1587" t="inlineStr">
        <is>
          <t>MEDIUM (60%)</t>
        </is>
      </c>
      <c r="U1587" t="inlineStr">
        <is>
          <t>NONE</t>
        </is>
      </c>
      <c r="V1587" t="inlineStr">
        <is>
          <t>NONE</t>
        </is>
      </c>
      <c r="W1587" t="inlineStr">
        <is>
          <t>NONE</t>
        </is>
      </c>
      <c r="X1587" t="inlineStr">
        <is>
          <t>NONE</t>
        </is>
      </c>
      <c r="Y1587" t="n">
        <v>0</v>
      </c>
      <c r="Z1587" t="inlineStr"/>
      <c r="AA1587" t="inlineStr">
        <is>
          <t>https://talosintelligence.com/reputation_center/lookup?search=1.24.16.91</t>
        </is>
      </c>
    </row>
    <row r="1588">
      <c r="A1588" t="inlineStr">
        <is>
          <t>TALOS_IP</t>
        </is>
      </c>
      <c r="B1588" t="inlineStr">
        <is>
          <t>fe3bd451483c</t>
        </is>
      </c>
      <c r="C1588" t="inlineStr">
        <is>
          <t>Cisco Talos Blacklisted IP: 1.24.16.97 | Verified malicious | Sources: TALOS</t>
        </is>
      </c>
      <c r="D1588" t="n">
        <v>7</v>
      </c>
      <c r="E1588" t="inlineStr">
        <is>
          <t>HIGH</t>
        </is>
      </c>
      <c r="F1588" t="n">
        <v>3</v>
      </c>
      <c r="G1588" t="n">
        <v>2</v>
      </c>
      <c r="H1588" t="inlineStr">
        <is>
          <t>HIGH</t>
        </is>
      </c>
      <c r="I1588" t="n">
        <v>13</v>
      </c>
      <c r="J1588" t="inlineStr">
        <is>
          <t>NO</t>
        </is>
      </c>
      <c r="K1588" t="inlineStr">
        <is>
          <t>2026-02-27 20:47</t>
        </is>
      </c>
      <c r="L1588" t="inlineStr">
        <is>
          <t>Block IP</t>
        </is>
      </c>
      <c r="M1588" t="inlineStr">
        <is>
          <t>Network perimeter / Email / Web</t>
        </is>
      </c>
      <c r="N1588" t="inlineStr">
        <is>
          <t>P3</t>
        </is>
      </c>
      <c r="O1588" t="inlineStr">
        <is>
          <t>Check ip-api.com + AbuseIPDB for context</t>
        </is>
      </c>
      <c r="P1588" t="n">
        <v>0</v>
      </c>
      <c r="Q1588" t="n">
        <v>0</v>
      </c>
      <c r="R1588" t="inlineStr">
        <is>
          <t>T1110:Brute Force | T1190:Exploit Public-Facing Application | T1566:Phishing</t>
        </is>
      </c>
      <c r="S1588" t="n">
        <v>1</v>
      </c>
      <c r="T1588" t="inlineStr">
        <is>
          <t>MEDIUM (60%)</t>
        </is>
      </c>
      <c r="U1588" t="inlineStr">
        <is>
          <t>NONE</t>
        </is>
      </c>
      <c r="V1588" t="inlineStr">
        <is>
          <t>NONE</t>
        </is>
      </c>
      <c r="W1588" t="inlineStr">
        <is>
          <t>NONE</t>
        </is>
      </c>
      <c r="X1588" t="inlineStr">
        <is>
          <t>NONE</t>
        </is>
      </c>
      <c r="Y1588" t="n">
        <v>0</v>
      </c>
      <c r="Z1588" t="inlineStr"/>
      <c r="AA1588" t="inlineStr">
        <is>
          <t>https://talosintelligence.com/reputation_center/lookup?search=1.24.16.97</t>
        </is>
      </c>
    </row>
    <row r="1589">
      <c r="A1589" t="inlineStr">
        <is>
          <t>TALOS_IP</t>
        </is>
      </c>
      <c r="B1589" t="inlineStr">
        <is>
          <t>c1a27f1f97eb</t>
        </is>
      </c>
      <c r="C1589" t="inlineStr">
        <is>
          <t>Cisco Talos Blacklisted IP: 1.25.64.231 | Verified malicious | Sources: TALOS</t>
        </is>
      </c>
      <c r="D1589" t="n">
        <v>7</v>
      </c>
      <c r="E1589" t="inlineStr">
        <is>
          <t>HIGH</t>
        </is>
      </c>
      <c r="F1589" t="n">
        <v>3</v>
      </c>
      <c r="G1589" t="n">
        <v>2</v>
      </c>
      <c r="H1589" t="inlineStr">
        <is>
          <t>HIGH</t>
        </is>
      </c>
      <c r="I1589" t="n">
        <v>13</v>
      </c>
      <c r="J1589" t="inlineStr">
        <is>
          <t>NO</t>
        </is>
      </c>
      <c r="K1589" t="inlineStr">
        <is>
          <t>2026-02-27 20:47</t>
        </is>
      </c>
      <c r="L1589" t="inlineStr">
        <is>
          <t>Block IP</t>
        </is>
      </c>
      <c r="M1589" t="inlineStr">
        <is>
          <t>Network perimeter / Email / Web</t>
        </is>
      </c>
      <c r="N1589" t="inlineStr">
        <is>
          <t>P3</t>
        </is>
      </c>
      <c r="O1589" t="inlineStr">
        <is>
          <t>Check ip-api.com + AbuseIPDB for context</t>
        </is>
      </c>
      <c r="P1589" t="n">
        <v>0</v>
      </c>
      <c r="Q1589" t="n">
        <v>0</v>
      </c>
      <c r="R1589" t="inlineStr">
        <is>
          <t>T1110:Brute Force | T1190:Exploit Public-Facing Application | T1566:Phishing</t>
        </is>
      </c>
      <c r="S1589" t="n">
        <v>1</v>
      </c>
      <c r="T1589" t="inlineStr">
        <is>
          <t>MEDIUM (60%)</t>
        </is>
      </c>
      <c r="U1589" t="inlineStr">
        <is>
          <t>NONE</t>
        </is>
      </c>
      <c r="V1589" t="inlineStr">
        <is>
          <t>NONE</t>
        </is>
      </c>
      <c r="W1589" t="inlineStr">
        <is>
          <t>NONE</t>
        </is>
      </c>
      <c r="X1589" t="inlineStr">
        <is>
          <t>NONE</t>
        </is>
      </c>
      <c r="Y1589" t="n">
        <v>0</v>
      </c>
      <c r="Z1589" t="inlineStr"/>
      <c r="AA1589" t="inlineStr">
        <is>
          <t>https://talosintelligence.com/reputation_center/lookup?search=1.25.64.231</t>
        </is>
      </c>
    </row>
    <row r="1590">
      <c r="A1590" t="inlineStr">
        <is>
          <t>TALOS_IP</t>
        </is>
      </c>
      <c r="B1590" t="inlineStr">
        <is>
          <t>83c2b8d10280</t>
        </is>
      </c>
      <c r="C1590" t="inlineStr">
        <is>
          <t>Cisco Talos Blacklisted IP: 1.26.47.36 | Verified malicious | Sources: TALOS</t>
        </is>
      </c>
      <c r="D1590" t="n">
        <v>7</v>
      </c>
      <c r="E1590" t="inlineStr">
        <is>
          <t>HIGH</t>
        </is>
      </c>
      <c r="F1590" t="n">
        <v>3</v>
      </c>
      <c r="G1590" t="n">
        <v>2</v>
      </c>
      <c r="H1590" t="inlineStr">
        <is>
          <t>HIGH</t>
        </is>
      </c>
      <c r="I1590" t="n">
        <v>13</v>
      </c>
      <c r="J1590" t="inlineStr">
        <is>
          <t>NO</t>
        </is>
      </c>
      <c r="K1590" t="inlineStr">
        <is>
          <t>2026-02-27 20:47</t>
        </is>
      </c>
      <c r="L1590" t="inlineStr">
        <is>
          <t>Block IP</t>
        </is>
      </c>
      <c r="M1590" t="inlineStr">
        <is>
          <t>Network perimeter / Email / Web</t>
        </is>
      </c>
      <c r="N1590" t="inlineStr">
        <is>
          <t>P3</t>
        </is>
      </c>
      <c r="O1590" t="inlineStr">
        <is>
          <t>Check ip-api.com + AbuseIPDB for context</t>
        </is>
      </c>
      <c r="P1590" t="n">
        <v>0</v>
      </c>
      <c r="Q1590" t="n">
        <v>0</v>
      </c>
      <c r="R1590" t="inlineStr">
        <is>
          <t>T1110:Brute Force | T1190:Exploit Public-Facing Application | T1566:Phishing</t>
        </is>
      </c>
      <c r="S1590" t="n">
        <v>1</v>
      </c>
      <c r="T1590" t="inlineStr">
        <is>
          <t>MEDIUM (60%)</t>
        </is>
      </c>
      <c r="U1590" t="inlineStr">
        <is>
          <t>NONE</t>
        </is>
      </c>
      <c r="V1590" t="inlineStr">
        <is>
          <t>NONE</t>
        </is>
      </c>
      <c r="W1590" t="inlineStr">
        <is>
          <t>NONE</t>
        </is>
      </c>
      <c r="X1590" t="inlineStr">
        <is>
          <t>NONE</t>
        </is>
      </c>
      <c r="Y1590" t="n">
        <v>0</v>
      </c>
      <c r="Z1590" t="inlineStr"/>
      <c r="AA1590" t="inlineStr">
        <is>
          <t>https://talosintelligence.com/reputation_center/lookup?search=1.26.47.36</t>
        </is>
      </c>
    </row>
    <row r="1591">
      <c r="A1591" t="inlineStr">
        <is>
          <t>TALOS_IP</t>
        </is>
      </c>
      <c r="B1591" t="inlineStr">
        <is>
          <t>82046931c565</t>
        </is>
      </c>
      <c r="C1591" t="inlineStr">
        <is>
          <t>Cisco Talos Blacklisted IP: 1.30.110.211 | Verified malicious | Sources: TALOS</t>
        </is>
      </c>
      <c r="D1591" t="n">
        <v>7</v>
      </c>
      <c r="E1591" t="inlineStr">
        <is>
          <t>HIGH</t>
        </is>
      </c>
      <c r="F1591" t="n">
        <v>3</v>
      </c>
      <c r="G1591" t="n">
        <v>2</v>
      </c>
      <c r="H1591" t="inlineStr">
        <is>
          <t>HIGH</t>
        </is>
      </c>
      <c r="I1591" t="n">
        <v>13</v>
      </c>
      <c r="J1591" t="inlineStr">
        <is>
          <t>NO</t>
        </is>
      </c>
      <c r="K1591" t="inlineStr">
        <is>
          <t>2026-02-27 20:47</t>
        </is>
      </c>
      <c r="L1591" t="inlineStr">
        <is>
          <t>Block IP</t>
        </is>
      </c>
      <c r="M1591" t="inlineStr">
        <is>
          <t>Network perimeter / Email / Web</t>
        </is>
      </c>
      <c r="N1591" t="inlineStr">
        <is>
          <t>P3</t>
        </is>
      </c>
      <c r="O1591" t="inlineStr">
        <is>
          <t>Check ip-api.com + AbuseIPDB for context</t>
        </is>
      </c>
      <c r="P1591" t="n">
        <v>0</v>
      </c>
      <c r="Q1591" t="n">
        <v>0</v>
      </c>
      <c r="R1591" t="inlineStr">
        <is>
          <t>T1110:Brute Force | T1190:Exploit Public-Facing Application | T1566:Phishing</t>
        </is>
      </c>
      <c r="S1591" t="n">
        <v>1</v>
      </c>
      <c r="T1591" t="inlineStr">
        <is>
          <t>MEDIUM (60%)</t>
        </is>
      </c>
      <c r="U1591" t="inlineStr">
        <is>
          <t>NONE</t>
        </is>
      </c>
      <c r="V1591" t="inlineStr">
        <is>
          <t>NONE</t>
        </is>
      </c>
      <c r="W1591" t="inlineStr">
        <is>
          <t>NONE</t>
        </is>
      </c>
      <c r="X1591" t="inlineStr">
        <is>
          <t>NONE</t>
        </is>
      </c>
      <c r="Y1591" t="n">
        <v>0</v>
      </c>
      <c r="Z1591" t="inlineStr"/>
      <c r="AA1591" t="inlineStr">
        <is>
          <t>https://talosintelligence.com/reputation_center/lookup?search=1.30.110.211</t>
        </is>
      </c>
    </row>
    <row r="1592">
      <c r="A1592" t="inlineStr">
        <is>
          <t>TALOS_IP</t>
        </is>
      </c>
      <c r="B1592" t="inlineStr">
        <is>
          <t>c82b8ffa280f</t>
        </is>
      </c>
      <c r="C1592" t="inlineStr">
        <is>
          <t>Cisco Talos Blacklisted IP: 1.30.197.2 | Verified malicious | Sources: TALOS</t>
        </is>
      </c>
      <c r="D1592" t="n">
        <v>7</v>
      </c>
      <c r="E1592" t="inlineStr">
        <is>
          <t>HIGH</t>
        </is>
      </c>
      <c r="F1592" t="n">
        <v>3</v>
      </c>
      <c r="G1592" t="n">
        <v>2</v>
      </c>
      <c r="H1592" t="inlineStr">
        <is>
          <t>HIGH</t>
        </is>
      </c>
      <c r="I1592" t="n">
        <v>13</v>
      </c>
      <c r="J1592" t="inlineStr">
        <is>
          <t>NO</t>
        </is>
      </c>
      <c r="K1592" t="inlineStr">
        <is>
          <t>2026-02-27 20:47</t>
        </is>
      </c>
      <c r="L1592" t="inlineStr">
        <is>
          <t>Block IP</t>
        </is>
      </c>
      <c r="M1592" t="inlineStr">
        <is>
          <t>Network perimeter / Email / Web</t>
        </is>
      </c>
      <c r="N1592" t="inlineStr">
        <is>
          <t>P3</t>
        </is>
      </c>
      <c r="O1592" t="inlineStr">
        <is>
          <t>Check ip-api.com + AbuseIPDB for context</t>
        </is>
      </c>
      <c r="P1592" t="n">
        <v>0</v>
      </c>
      <c r="Q1592" t="n">
        <v>0</v>
      </c>
      <c r="R1592" t="inlineStr">
        <is>
          <t>T1110:Brute Force | T1190:Exploit Public-Facing Application | T1566:Phishing</t>
        </is>
      </c>
      <c r="S1592" t="n">
        <v>1</v>
      </c>
      <c r="T1592" t="inlineStr">
        <is>
          <t>MEDIUM (60%)</t>
        </is>
      </c>
      <c r="U1592" t="inlineStr">
        <is>
          <t>NONE</t>
        </is>
      </c>
      <c r="V1592" t="inlineStr">
        <is>
          <t>NONE</t>
        </is>
      </c>
      <c r="W1592" t="inlineStr">
        <is>
          <t>NONE</t>
        </is>
      </c>
      <c r="X1592" t="inlineStr">
        <is>
          <t>NONE</t>
        </is>
      </c>
      <c r="Y1592" t="n">
        <v>0</v>
      </c>
      <c r="Z1592" t="inlineStr"/>
      <c r="AA1592" t="inlineStr">
        <is>
          <t>https://talosintelligence.com/reputation_center/lookup?search=1.30.197.2</t>
        </is>
      </c>
    </row>
    <row r="1593">
      <c r="A1593" t="inlineStr">
        <is>
          <t>TALOS_IP</t>
        </is>
      </c>
      <c r="B1593" t="inlineStr">
        <is>
          <t>6f3871b4d2cf</t>
        </is>
      </c>
      <c r="C1593" t="inlineStr">
        <is>
          <t>Cisco Talos Blacklisted IP: 1.32.57.245 | Verified malicious | Sources: TALOS</t>
        </is>
      </c>
      <c r="D1593" t="n">
        <v>7</v>
      </c>
      <c r="E1593" t="inlineStr">
        <is>
          <t>HIGH</t>
        </is>
      </c>
      <c r="F1593" t="n">
        <v>3</v>
      </c>
      <c r="G1593" t="n">
        <v>2</v>
      </c>
      <c r="H1593" t="inlineStr">
        <is>
          <t>HIGH</t>
        </is>
      </c>
      <c r="I1593" t="n">
        <v>13</v>
      </c>
      <c r="J1593" t="inlineStr">
        <is>
          <t>NO</t>
        </is>
      </c>
      <c r="K1593" t="inlineStr">
        <is>
          <t>2026-02-27 20:47</t>
        </is>
      </c>
      <c r="L1593" t="inlineStr">
        <is>
          <t>Block IP</t>
        </is>
      </c>
      <c r="M1593" t="inlineStr">
        <is>
          <t>Network perimeter / Email / Web</t>
        </is>
      </c>
      <c r="N1593" t="inlineStr">
        <is>
          <t>P3</t>
        </is>
      </c>
      <c r="O1593" t="inlineStr">
        <is>
          <t>Check ip-api.com + AbuseIPDB for context</t>
        </is>
      </c>
      <c r="P1593" t="n">
        <v>0</v>
      </c>
      <c r="Q1593" t="n">
        <v>0</v>
      </c>
      <c r="R1593" t="inlineStr">
        <is>
          <t>T1110:Brute Force | T1190:Exploit Public-Facing Application | T1566:Phishing</t>
        </is>
      </c>
      <c r="S1593" t="n">
        <v>1</v>
      </c>
      <c r="T1593" t="inlineStr">
        <is>
          <t>MEDIUM (60%)</t>
        </is>
      </c>
      <c r="U1593" t="inlineStr">
        <is>
          <t>NONE</t>
        </is>
      </c>
      <c r="V1593" t="inlineStr">
        <is>
          <t>NONE</t>
        </is>
      </c>
      <c r="W1593" t="inlineStr">
        <is>
          <t>NONE</t>
        </is>
      </c>
      <c r="X1593" t="inlineStr">
        <is>
          <t>NONE</t>
        </is>
      </c>
      <c r="Y1593" t="n">
        <v>0</v>
      </c>
      <c r="Z1593" t="inlineStr"/>
      <c r="AA1593" t="inlineStr">
        <is>
          <t>https://talosintelligence.com/reputation_center/lookup?search=1.32.57.245</t>
        </is>
      </c>
    </row>
    <row r="1594">
      <c r="A1594" t="inlineStr">
        <is>
          <t>TALOS_IP</t>
        </is>
      </c>
      <c r="B1594" t="inlineStr">
        <is>
          <t>4b42c4f9aa5b</t>
        </is>
      </c>
      <c r="C1594" t="inlineStr">
        <is>
          <t>Cisco Talos Blacklisted IP: 1.34.79.8 | Verified malicious | Sources: TALOS</t>
        </is>
      </c>
      <c r="D1594" t="n">
        <v>7</v>
      </c>
      <c r="E1594" t="inlineStr">
        <is>
          <t>HIGH</t>
        </is>
      </c>
      <c r="F1594" t="n">
        <v>3</v>
      </c>
      <c r="G1594" t="n">
        <v>2</v>
      </c>
      <c r="H1594" t="inlineStr">
        <is>
          <t>HIGH</t>
        </is>
      </c>
      <c r="I1594" t="n">
        <v>13</v>
      </c>
      <c r="J1594" t="inlineStr">
        <is>
          <t>NO</t>
        </is>
      </c>
      <c r="K1594" t="inlineStr">
        <is>
          <t>2026-02-27 20:47</t>
        </is>
      </c>
      <c r="L1594" t="inlineStr">
        <is>
          <t>Block IP</t>
        </is>
      </c>
      <c r="M1594" t="inlineStr">
        <is>
          <t>Network perimeter / Email / Web</t>
        </is>
      </c>
      <c r="N1594" t="inlineStr">
        <is>
          <t>P3</t>
        </is>
      </c>
      <c r="O1594" t="inlineStr">
        <is>
          <t>Check ip-api.com + AbuseIPDB for context</t>
        </is>
      </c>
      <c r="P1594" t="n">
        <v>0</v>
      </c>
      <c r="Q1594" t="n">
        <v>0</v>
      </c>
      <c r="R1594" t="inlineStr">
        <is>
          <t>T1110:Brute Force | T1190:Exploit Public-Facing Application | T1566:Phishing</t>
        </is>
      </c>
      <c r="S1594" t="n">
        <v>1</v>
      </c>
      <c r="T1594" t="inlineStr">
        <is>
          <t>MEDIUM (60%)</t>
        </is>
      </c>
      <c r="U1594" t="inlineStr">
        <is>
          <t>NONE</t>
        </is>
      </c>
      <c r="V1594" t="inlineStr">
        <is>
          <t>NONE</t>
        </is>
      </c>
      <c r="W1594" t="inlineStr">
        <is>
          <t>NONE</t>
        </is>
      </c>
      <c r="X1594" t="inlineStr">
        <is>
          <t>NONE</t>
        </is>
      </c>
      <c r="Y1594" t="n">
        <v>0</v>
      </c>
      <c r="Z1594" t="inlineStr"/>
      <c r="AA1594" t="inlineStr">
        <is>
          <t>https://talosintelligence.com/reputation_center/lookup?search=1.34.79.8</t>
        </is>
      </c>
    </row>
    <row r="1595">
      <c r="A1595" t="inlineStr">
        <is>
          <t>TALOS_IP</t>
        </is>
      </c>
      <c r="B1595" t="inlineStr">
        <is>
          <t>5869408c2245</t>
        </is>
      </c>
      <c r="C1595" t="inlineStr">
        <is>
          <t>Cisco Talos Blacklisted IP: 1.53.228.31 | Verified malicious | Sources: TALOS</t>
        </is>
      </c>
      <c r="D1595" t="n">
        <v>7</v>
      </c>
      <c r="E1595" t="inlineStr">
        <is>
          <t>HIGH</t>
        </is>
      </c>
      <c r="F1595" t="n">
        <v>3</v>
      </c>
      <c r="G1595" t="n">
        <v>2</v>
      </c>
      <c r="H1595" t="inlineStr">
        <is>
          <t>HIGH</t>
        </is>
      </c>
      <c r="I1595" t="n">
        <v>13</v>
      </c>
      <c r="J1595" t="inlineStr">
        <is>
          <t>NO</t>
        </is>
      </c>
      <c r="K1595" t="inlineStr">
        <is>
          <t>2026-02-27 20:47</t>
        </is>
      </c>
      <c r="L1595" t="inlineStr">
        <is>
          <t>Block IP</t>
        </is>
      </c>
      <c r="M1595" t="inlineStr">
        <is>
          <t>Network perimeter / Email / Web</t>
        </is>
      </c>
      <c r="N1595" t="inlineStr">
        <is>
          <t>P3</t>
        </is>
      </c>
      <c r="O1595" t="inlineStr">
        <is>
          <t>Check ip-api.com + AbuseIPDB for context</t>
        </is>
      </c>
      <c r="P1595" t="n">
        <v>0</v>
      </c>
      <c r="Q1595" t="n">
        <v>0</v>
      </c>
      <c r="R1595" t="inlineStr">
        <is>
          <t>T1110:Brute Force | T1190:Exploit Public-Facing Application | T1566:Phishing</t>
        </is>
      </c>
      <c r="S1595" t="n">
        <v>1</v>
      </c>
      <c r="T1595" t="inlineStr">
        <is>
          <t>MEDIUM (60%)</t>
        </is>
      </c>
      <c r="U1595" t="inlineStr">
        <is>
          <t>NONE</t>
        </is>
      </c>
      <c r="V1595" t="inlineStr">
        <is>
          <t>NONE</t>
        </is>
      </c>
      <c r="W1595" t="inlineStr">
        <is>
          <t>NONE</t>
        </is>
      </c>
      <c r="X1595" t="inlineStr">
        <is>
          <t>NONE</t>
        </is>
      </c>
      <c r="Y1595" t="n">
        <v>0</v>
      </c>
      <c r="Z1595" t="inlineStr"/>
      <c r="AA1595" t="inlineStr">
        <is>
          <t>https://talosintelligence.com/reputation_center/lookup?search=1.53.228.31</t>
        </is>
      </c>
    </row>
    <row r="1596">
      <c r="A1596" t="inlineStr">
        <is>
          <t>TALOS_IP</t>
        </is>
      </c>
      <c r="B1596" t="inlineStr">
        <is>
          <t>457e9a82b1df</t>
        </is>
      </c>
      <c r="C1596" t="inlineStr">
        <is>
          <t>Cisco Talos Blacklisted IP: 1.56.230.150 | Verified malicious | Sources: TALOS</t>
        </is>
      </c>
      <c r="D1596" t="n">
        <v>7</v>
      </c>
      <c r="E1596" t="inlineStr">
        <is>
          <t>HIGH</t>
        </is>
      </c>
      <c r="F1596" t="n">
        <v>3</v>
      </c>
      <c r="G1596" t="n">
        <v>2</v>
      </c>
      <c r="H1596" t="inlineStr">
        <is>
          <t>HIGH</t>
        </is>
      </c>
      <c r="I1596" t="n">
        <v>13</v>
      </c>
      <c r="J1596" t="inlineStr">
        <is>
          <t>NO</t>
        </is>
      </c>
      <c r="K1596" t="inlineStr">
        <is>
          <t>2026-02-27 20:47</t>
        </is>
      </c>
      <c r="L1596" t="inlineStr">
        <is>
          <t>Block IP</t>
        </is>
      </c>
      <c r="M1596" t="inlineStr">
        <is>
          <t>Network perimeter / Email / Web</t>
        </is>
      </c>
      <c r="N1596" t="inlineStr">
        <is>
          <t>P3</t>
        </is>
      </c>
      <c r="O1596" t="inlineStr">
        <is>
          <t>Check ip-api.com + AbuseIPDB for context</t>
        </is>
      </c>
      <c r="P1596" t="n">
        <v>0</v>
      </c>
      <c r="Q1596" t="n">
        <v>0</v>
      </c>
      <c r="R1596" t="inlineStr">
        <is>
          <t>T1110:Brute Force | T1190:Exploit Public-Facing Application | T1566:Phishing</t>
        </is>
      </c>
      <c r="S1596" t="n">
        <v>1</v>
      </c>
      <c r="T1596" t="inlineStr">
        <is>
          <t>MEDIUM (60%)</t>
        </is>
      </c>
      <c r="U1596" t="inlineStr">
        <is>
          <t>NONE</t>
        </is>
      </c>
      <c r="V1596" t="inlineStr">
        <is>
          <t>NONE</t>
        </is>
      </c>
      <c r="W1596" t="inlineStr">
        <is>
          <t>NONE</t>
        </is>
      </c>
      <c r="X1596" t="inlineStr">
        <is>
          <t>NONE</t>
        </is>
      </c>
      <c r="Y1596" t="n">
        <v>0</v>
      </c>
      <c r="Z1596" t="inlineStr"/>
      <c r="AA1596" t="inlineStr">
        <is>
          <t>https://talosintelligence.com/reputation_center/lookup?search=1.56.230.150</t>
        </is>
      </c>
    </row>
    <row r="1597">
      <c r="A1597" t="inlineStr">
        <is>
          <t>TALOS_IP</t>
        </is>
      </c>
      <c r="B1597" t="inlineStr">
        <is>
          <t>176cc2860cc9</t>
        </is>
      </c>
      <c r="C1597" t="inlineStr">
        <is>
          <t>Cisco Talos Blacklisted IP: 1.63.153.144 | Verified malicious | Sources: TALOS</t>
        </is>
      </c>
      <c r="D1597" t="n">
        <v>7</v>
      </c>
      <c r="E1597" t="inlineStr">
        <is>
          <t>HIGH</t>
        </is>
      </c>
      <c r="F1597" t="n">
        <v>3</v>
      </c>
      <c r="G1597" t="n">
        <v>2</v>
      </c>
      <c r="H1597" t="inlineStr">
        <is>
          <t>HIGH</t>
        </is>
      </c>
      <c r="I1597" t="n">
        <v>13</v>
      </c>
      <c r="J1597" t="inlineStr">
        <is>
          <t>NO</t>
        </is>
      </c>
      <c r="K1597" t="inlineStr">
        <is>
          <t>2026-02-27 20:47</t>
        </is>
      </c>
      <c r="L1597" t="inlineStr">
        <is>
          <t>Block IP</t>
        </is>
      </c>
      <c r="M1597" t="inlineStr">
        <is>
          <t>Network perimeter / Email / Web</t>
        </is>
      </c>
      <c r="N1597" t="inlineStr">
        <is>
          <t>P3</t>
        </is>
      </c>
      <c r="O1597" t="inlineStr">
        <is>
          <t>Check ip-api.com + AbuseIPDB for context</t>
        </is>
      </c>
      <c r="P1597" t="n">
        <v>0</v>
      </c>
      <c r="Q1597" t="n">
        <v>0</v>
      </c>
      <c r="R1597" t="inlineStr">
        <is>
          <t>T1110:Brute Force | T1190:Exploit Public-Facing Application | T1566:Phishing</t>
        </is>
      </c>
      <c r="S1597" t="n">
        <v>1</v>
      </c>
      <c r="T1597" t="inlineStr">
        <is>
          <t>MEDIUM (60%)</t>
        </is>
      </c>
      <c r="U1597" t="inlineStr">
        <is>
          <t>NONE</t>
        </is>
      </c>
      <c r="V1597" t="inlineStr">
        <is>
          <t>NONE</t>
        </is>
      </c>
      <c r="W1597" t="inlineStr">
        <is>
          <t>NONE</t>
        </is>
      </c>
      <c r="X1597" t="inlineStr">
        <is>
          <t>NONE</t>
        </is>
      </c>
      <c r="Y1597" t="n">
        <v>0</v>
      </c>
      <c r="Z1597" t="inlineStr"/>
      <c r="AA1597" t="inlineStr">
        <is>
          <t>https://talosintelligence.com/reputation_center/lookup?search=1.63.153.144</t>
        </is>
      </c>
    </row>
    <row r="1598">
      <c r="A1598" t="inlineStr">
        <is>
          <t>TALOS_IP</t>
        </is>
      </c>
      <c r="B1598" t="inlineStr">
        <is>
          <t>ecbae1885a8e</t>
        </is>
      </c>
      <c r="C1598" t="inlineStr">
        <is>
          <t>Cisco Talos Blacklisted IP: 1.83.125.101 | Verified malicious | Sources: TALOS</t>
        </is>
      </c>
      <c r="D1598" t="n">
        <v>7</v>
      </c>
      <c r="E1598" t="inlineStr">
        <is>
          <t>HIGH</t>
        </is>
      </c>
      <c r="F1598" t="n">
        <v>3</v>
      </c>
      <c r="G1598" t="n">
        <v>2</v>
      </c>
      <c r="H1598" t="inlineStr">
        <is>
          <t>HIGH</t>
        </is>
      </c>
      <c r="I1598" t="n">
        <v>13</v>
      </c>
      <c r="J1598" t="inlineStr">
        <is>
          <t>NO</t>
        </is>
      </c>
      <c r="K1598" t="inlineStr">
        <is>
          <t>2026-02-27 20:47</t>
        </is>
      </c>
      <c r="L1598" t="inlineStr">
        <is>
          <t>Block IP</t>
        </is>
      </c>
      <c r="M1598" t="inlineStr">
        <is>
          <t>Network perimeter / Email / Web</t>
        </is>
      </c>
      <c r="N1598" t="inlineStr">
        <is>
          <t>P3</t>
        </is>
      </c>
      <c r="O1598" t="inlineStr">
        <is>
          <t>Check ip-api.com + AbuseIPDB for context</t>
        </is>
      </c>
      <c r="P1598" t="n">
        <v>0</v>
      </c>
      <c r="Q1598" t="n">
        <v>0</v>
      </c>
      <c r="R1598" t="inlineStr">
        <is>
          <t>T1110:Brute Force | T1190:Exploit Public-Facing Application | T1566:Phishing</t>
        </is>
      </c>
      <c r="S1598" t="n">
        <v>1</v>
      </c>
      <c r="T1598" t="inlineStr">
        <is>
          <t>MEDIUM (60%)</t>
        </is>
      </c>
      <c r="U1598" t="inlineStr">
        <is>
          <t>NONE</t>
        </is>
      </c>
      <c r="V1598" t="inlineStr">
        <is>
          <t>NONE</t>
        </is>
      </c>
      <c r="W1598" t="inlineStr">
        <is>
          <t>NONE</t>
        </is>
      </c>
      <c r="X1598" t="inlineStr">
        <is>
          <t>NONE</t>
        </is>
      </c>
      <c r="Y1598" t="n">
        <v>0</v>
      </c>
      <c r="Z1598" t="inlineStr"/>
      <c r="AA1598" t="inlineStr">
        <is>
          <t>https://talosintelligence.com/reputation_center/lookup?search=1.83.125.101</t>
        </is>
      </c>
    </row>
    <row r="1599">
      <c r="A1599" t="inlineStr">
        <is>
          <t>TALOS_IP</t>
        </is>
      </c>
      <c r="B1599" t="inlineStr">
        <is>
          <t>d485c0c4ad8b</t>
        </is>
      </c>
      <c r="C1599" t="inlineStr">
        <is>
          <t>Cisco Talos Blacklisted IP: 1.83.125.102 | Verified malicious | Sources: TALOS</t>
        </is>
      </c>
      <c r="D1599" t="n">
        <v>7</v>
      </c>
      <c r="E1599" t="inlineStr">
        <is>
          <t>HIGH</t>
        </is>
      </c>
      <c r="F1599" t="n">
        <v>3</v>
      </c>
      <c r="G1599" t="n">
        <v>2</v>
      </c>
      <c r="H1599" t="inlineStr">
        <is>
          <t>HIGH</t>
        </is>
      </c>
      <c r="I1599" t="n">
        <v>13</v>
      </c>
      <c r="J1599" t="inlineStr">
        <is>
          <t>NO</t>
        </is>
      </c>
      <c r="K1599" t="inlineStr">
        <is>
          <t>2026-02-27 20:47</t>
        </is>
      </c>
      <c r="L1599" t="inlineStr">
        <is>
          <t>Block IP</t>
        </is>
      </c>
      <c r="M1599" t="inlineStr">
        <is>
          <t>Network perimeter / Email / Web</t>
        </is>
      </c>
      <c r="N1599" t="inlineStr">
        <is>
          <t>P3</t>
        </is>
      </c>
      <c r="O1599" t="inlineStr">
        <is>
          <t>Check ip-api.com + AbuseIPDB for context</t>
        </is>
      </c>
      <c r="P1599" t="n">
        <v>0</v>
      </c>
      <c r="Q1599" t="n">
        <v>0</v>
      </c>
      <c r="R1599" t="inlineStr">
        <is>
          <t>T1110:Brute Force | T1190:Exploit Public-Facing Application | T1566:Phishing</t>
        </is>
      </c>
      <c r="S1599" t="n">
        <v>1</v>
      </c>
      <c r="T1599" t="inlineStr">
        <is>
          <t>MEDIUM (60%)</t>
        </is>
      </c>
      <c r="U1599" t="inlineStr">
        <is>
          <t>NONE</t>
        </is>
      </c>
      <c r="V1599" t="inlineStr">
        <is>
          <t>NONE</t>
        </is>
      </c>
      <c r="W1599" t="inlineStr">
        <is>
          <t>NONE</t>
        </is>
      </c>
      <c r="X1599" t="inlineStr">
        <is>
          <t>NONE</t>
        </is>
      </c>
      <c r="Y1599" t="n">
        <v>0</v>
      </c>
      <c r="Z1599" t="inlineStr"/>
      <c r="AA1599" t="inlineStr">
        <is>
          <t>https://talosintelligence.com/reputation_center/lookup?search=1.83.125.102</t>
        </is>
      </c>
    </row>
    <row r="1600">
      <c r="A1600" t="inlineStr">
        <is>
          <t>TALOS_IP</t>
        </is>
      </c>
      <c r="B1600" t="inlineStr">
        <is>
          <t>9fe36e2bc936</t>
        </is>
      </c>
      <c r="C1600" t="inlineStr">
        <is>
          <t>Cisco Talos Blacklisted IP: 1.83.125.105 | Verified malicious | Sources: TALOS</t>
        </is>
      </c>
      <c r="D1600" t="n">
        <v>7</v>
      </c>
      <c r="E1600" t="inlineStr">
        <is>
          <t>HIGH</t>
        </is>
      </c>
      <c r="F1600" t="n">
        <v>3</v>
      </c>
      <c r="G1600" t="n">
        <v>2</v>
      </c>
      <c r="H1600" t="inlineStr">
        <is>
          <t>HIGH</t>
        </is>
      </c>
      <c r="I1600" t="n">
        <v>13</v>
      </c>
      <c r="J1600" t="inlineStr">
        <is>
          <t>NO</t>
        </is>
      </c>
      <c r="K1600" t="inlineStr">
        <is>
          <t>2026-02-27 20:47</t>
        </is>
      </c>
      <c r="L1600" t="inlineStr">
        <is>
          <t>Block IP</t>
        </is>
      </c>
      <c r="M1600" t="inlineStr">
        <is>
          <t>Network perimeter / Email / Web</t>
        </is>
      </c>
      <c r="N1600" t="inlineStr">
        <is>
          <t>P3</t>
        </is>
      </c>
      <c r="O1600" t="inlineStr">
        <is>
          <t>Check ip-api.com + AbuseIPDB for context</t>
        </is>
      </c>
      <c r="P1600" t="n">
        <v>0</v>
      </c>
      <c r="Q1600" t="n">
        <v>0</v>
      </c>
      <c r="R1600" t="inlineStr">
        <is>
          <t>T1110:Brute Force | T1190:Exploit Public-Facing Application | T1566:Phishing</t>
        </is>
      </c>
      <c r="S1600" t="n">
        <v>1</v>
      </c>
      <c r="T1600" t="inlineStr">
        <is>
          <t>MEDIUM (60%)</t>
        </is>
      </c>
      <c r="U1600" t="inlineStr">
        <is>
          <t>NONE</t>
        </is>
      </c>
      <c r="V1600" t="inlineStr">
        <is>
          <t>NONE</t>
        </is>
      </c>
      <c r="W1600" t="inlineStr">
        <is>
          <t>NONE</t>
        </is>
      </c>
      <c r="X1600" t="inlineStr">
        <is>
          <t>NONE</t>
        </is>
      </c>
      <c r="Y1600" t="n">
        <v>0</v>
      </c>
      <c r="Z1600" t="inlineStr"/>
      <c r="AA1600" t="inlineStr">
        <is>
          <t>https://talosintelligence.com/reputation_center/lookup?search=1.83.125.105</t>
        </is>
      </c>
    </row>
    <row r="1601">
      <c r="A1601" t="inlineStr">
        <is>
          <t>TALOS_IP</t>
        </is>
      </c>
      <c r="B1601" t="inlineStr">
        <is>
          <t>a44b0b356621</t>
        </is>
      </c>
      <c r="C1601" t="inlineStr">
        <is>
          <t>Cisco Talos Blacklisted IP: 1.83.125.11 | Verified malicious | Sources: TALOS</t>
        </is>
      </c>
      <c r="D1601" t="n">
        <v>7</v>
      </c>
      <c r="E1601" t="inlineStr">
        <is>
          <t>HIGH</t>
        </is>
      </c>
      <c r="F1601" t="n">
        <v>3</v>
      </c>
      <c r="G1601" t="n">
        <v>2</v>
      </c>
      <c r="H1601" t="inlineStr">
        <is>
          <t>HIGH</t>
        </is>
      </c>
      <c r="I1601" t="n">
        <v>13</v>
      </c>
      <c r="J1601" t="inlineStr">
        <is>
          <t>NO</t>
        </is>
      </c>
      <c r="K1601" t="inlineStr">
        <is>
          <t>2026-02-27 20:47</t>
        </is>
      </c>
      <c r="L1601" t="inlineStr">
        <is>
          <t>Block IP</t>
        </is>
      </c>
      <c r="M1601" t="inlineStr">
        <is>
          <t>Network perimeter / Email / Web</t>
        </is>
      </c>
      <c r="N1601" t="inlineStr">
        <is>
          <t>P3</t>
        </is>
      </c>
      <c r="O1601" t="inlineStr">
        <is>
          <t>Check ip-api.com + AbuseIPDB for context</t>
        </is>
      </c>
      <c r="P1601" t="n">
        <v>0</v>
      </c>
      <c r="Q1601" t="n">
        <v>0</v>
      </c>
      <c r="R1601" t="inlineStr">
        <is>
          <t>T1110:Brute Force | T1190:Exploit Public-Facing Application | T1566:Phishing</t>
        </is>
      </c>
      <c r="S1601" t="n">
        <v>1</v>
      </c>
      <c r="T1601" t="inlineStr">
        <is>
          <t>MEDIUM (60%)</t>
        </is>
      </c>
      <c r="U1601" t="inlineStr">
        <is>
          <t>NONE</t>
        </is>
      </c>
      <c r="V1601" t="inlineStr">
        <is>
          <t>NONE</t>
        </is>
      </c>
      <c r="W1601" t="inlineStr">
        <is>
          <t>NONE</t>
        </is>
      </c>
      <c r="X1601" t="inlineStr">
        <is>
          <t>NONE</t>
        </is>
      </c>
      <c r="Y1601" t="n">
        <v>0</v>
      </c>
      <c r="Z1601" t="inlineStr"/>
      <c r="AA1601" t="inlineStr">
        <is>
          <t>https://talosintelligence.com/reputation_center/lookup?search=1.83.125.11</t>
        </is>
      </c>
    </row>
    <row r="1602">
      <c r="A1602" t="inlineStr">
        <is>
          <t>TALOS_IP</t>
        </is>
      </c>
      <c r="B1602" t="inlineStr">
        <is>
          <t>760b873aa357</t>
        </is>
      </c>
      <c r="C1602" t="inlineStr">
        <is>
          <t>Cisco Talos Blacklisted IP: 1.83.125.110 | Verified malicious | Sources: TALOS</t>
        </is>
      </c>
      <c r="D1602" t="n">
        <v>7</v>
      </c>
      <c r="E1602" t="inlineStr">
        <is>
          <t>HIGH</t>
        </is>
      </c>
      <c r="F1602" t="n">
        <v>3</v>
      </c>
      <c r="G1602" t="n">
        <v>2</v>
      </c>
      <c r="H1602" t="inlineStr">
        <is>
          <t>HIGH</t>
        </is>
      </c>
      <c r="I1602" t="n">
        <v>13</v>
      </c>
      <c r="J1602" t="inlineStr">
        <is>
          <t>NO</t>
        </is>
      </c>
      <c r="K1602" t="inlineStr">
        <is>
          <t>2026-02-27 20:47</t>
        </is>
      </c>
      <c r="L1602" t="inlineStr">
        <is>
          <t>Block IP</t>
        </is>
      </c>
      <c r="M1602" t="inlineStr">
        <is>
          <t>Network perimeter / Email / Web</t>
        </is>
      </c>
      <c r="N1602" t="inlineStr">
        <is>
          <t>P3</t>
        </is>
      </c>
      <c r="O1602" t="inlineStr">
        <is>
          <t>Check ip-api.com + AbuseIPDB for context</t>
        </is>
      </c>
      <c r="P1602" t="n">
        <v>0</v>
      </c>
      <c r="Q1602" t="n">
        <v>0</v>
      </c>
      <c r="R1602" t="inlineStr">
        <is>
          <t>T1110:Brute Force | T1190:Exploit Public-Facing Application | T1566:Phishing</t>
        </is>
      </c>
      <c r="S1602" t="n">
        <v>1</v>
      </c>
      <c r="T1602" t="inlineStr">
        <is>
          <t>MEDIUM (60%)</t>
        </is>
      </c>
      <c r="U1602" t="inlineStr">
        <is>
          <t>NONE</t>
        </is>
      </c>
      <c r="V1602" t="inlineStr">
        <is>
          <t>NONE</t>
        </is>
      </c>
      <c r="W1602" t="inlineStr">
        <is>
          <t>NONE</t>
        </is>
      </c>
      <c r="X1602" t="inlineStr">
        <is>
          <t>NONE</t>
        </is>
      </c>
      <c r="Y1602" t="n">
        <v>0</v>
      </c>
      <c r="Z1602" t="inlineStr"/>
      <c r="AA1602" t="inlineStr">
        <is>
          <t>https://talosintelligence.com/reputation_center/lookup?search=1.83.125.110</t>
        </is>
      </c>
    </row>
    <row r="1603">
      <c r="A1603" t="inlineStr">
        <is>
          <t>EMERGING_THREAT_IP</t>
        </is>
      </c>
      <c r="B1603" t="inlineStr">
        <is>
          <t>383c44b46f35</t>
        </is>
      </c>
      <c r="C1603" t="inlineStr">
        <is>
          <t>Emerging Threats Compromised IP: 101.36.104.242 | Sources: EMERGING_THREATS</t>
        </is>
      </c>
      <c r="D1603" t="n">
        <v>6.5</v>
      </c>
      <c r="E1603" t="inlineStr">
        <is>
          <t>HIGH</t>
        </is>
      </c>
      <c r="F1603" t="n">
        <v>3</v>
      </c>
      <c r="G1603" t="n">
        <v>2</v>
      </c>
      <c r="H1603" t="inlineStr">
        <is>
          <t>HIGH</t>
        </is>
      </c>
      <c r="I1603" t="n">
        <v>12.5</v>
      </c>
      <c r="J1603" t="inlineStr">
        <is>
          <t>NO</t>
        </is>
      </c>
      <c r="K1603" t="inlineStr">
        <is>
          <t>2026-02-27 20:47</t>
        </is>
      </c>
      <c r="L1603" t="inlineStr">
        <is>
          <t>Block IP</t>
        </is>
      </c>
      <c r="M1603" t="inlineStr">
        <is>
          <t>Network perimeter</t>
        </is>
      </c>
      <c r="N1603" t="inlineStr">
        <is>
          <t>P3</t>
        </is>
      </c>
      <c r="O1603" t="inlineStr">
        <is>
          <t>Check ip-api.com + AbuseIPDB for context</t>
        </is>
      </c>
      <c r="P1603" t="n">
        <v>0</v>
      </c>
      <c r="Q1603" t="n">
        <v>0</v>
      </c>
      <c r="R1603" t="inlineStr">
        <is>
          <t>T1110:Brute Force | T1190:Exploit Public-Facing Application</t>
        </is>
      </c>
      <c r="S1603" t="n">
        <v>1</v>
      </c>
      <c r="T1603" t="inlineStr">
        <is>
          <t>LOW (40%)</t>
        </is>
      </c>
      <c r="U1603" t="inlineStr">
        <is>
          <t>NONE</t>
        </is>
      </c>
      <c r="V1603" t="inlineStr">
        <is>
          <t>NONE</t>
        </is>
      </c>
      <c r="W1603" t="inlineStr">
        <is>
          <t>NONE</t>
        </is>
      </c>
      <c r="X1603" t="inlineStr">
        <is>
          <t>NONE</t>
        </is>
      </c>
      <c r="Y1603" t="n">
        <v>0</v>
      </c>
      <c r="Z1603" t="inlineStr"/>
      <c r="AA1603" t="inlineStr">
        <is>
          <t>https://rules.emergingthreats.net/</t>
        </is>
      </c>
    </row>
    <row r="1604">
      <c r="A1604" t="inlineStr">
        <is>
          <t>EMERGING_THREAT_IP</t>
        </is>
      </c>
      <c r="B1604" t="inlineStr">
        <is>
          <t>fae96200765a</t>
        </is>
      </c>
      <c r="C1604" t="inlineStr">
        <is>
          <t>Emerging Threats Compromised IP: 101.36.118.177 | Sources: EMERGING_THREATS</t>
        </is>
      </c>
      <c r="D1604" t="n">
        <v>6.5</v>
      </c>
      <c r="E1604" t="inlineStr">
        <is>
          <t>HIGH</t>
        </is>
      </c>
      <c r="F1604" t="n">
        <v>3</v>
      </c>
      <c r="G1604" t="n">
        <v>2</v>
      </c>
      <c r="H1604" t="inlineStr">
        <is>
          <t>HIGH</t>
        </is>
      </c>
      <c r="I1604" t="n">
        <v>12.5</v>
      </c>
      <c r="J1604" t="inlineStr">
        <is>
          <t>NO</t>
        </is>
      </c>
      <c r="K1604" t="inlineStr">
        <is>
          <t>2026-02-27 20:47</t>
        </is>
      </c>
      <c r="L1604" t="inlineStr">
        <is>
          <t>Block IP</t>
        </is>
      </c>
      <c r="M1604" t="inlineStr">
        <is>
          <t>Network perimeter</t>
        </is>
      </c>
      <c r="N1604" t="inlineStr">
        <is>
          <t>P3</t>
        </is>
      </c>
      <c r="O1604" t="inlineStr">
        <is>
          <t>Check ip-api.com + AbuseIPDB for context</t>
        </is>
      </c>
      <c r="P1604" t="n">
        <v>0</v>
      </c>
      <c r="Q1604" t="n">
        <v>0</v>
      </c>
      <c r="R1604" t="inlineStr">
        <is>
          <t>T1110:Brute Force | T1190:Exploit Public-Facing Application</t>
        </is>
      </c>
      <c r="S1604" t="n">
        <v>1</v>
      </c>
      <c r="T1604" t="inlineStr">
        <is>
          <t>LOW (40%)</t>
        </is>
      </c>
      <c r="U1604" t="inlineStr">
        <is>
          <t>NONE</t>
        </is>
      </c>
      <c r="V1604" t="inlineStr">
        <is>
          <t>NONE</t>
        </is>
      </c>
      <c r="W1604" t="inlineStr">
        <is>
          <t>NONE</t>
        </is>
      </c>
      <c r="X1604" t="inlineStr">
        <is>
          <t>NONE</t>
        </is>
      </c>
      <c r="Y1604" t="n">
        <v>0</v>
      </c>
      <c r="Z1604" t="inlineStr"/>
      <c r="AA1604" t="inlineStr">
        <is>
          <t>https://rules.emergingthreats.net/</t>
        </is>
      </c>
    </row>
    <row r="1605">
      <c r="A1605" t="inlineStr">
        <is>
          <t>EMERGING_THREAT_IP</t>
        </is>
      </c>
      <c r="B1605" t="inlineStr">
        <is>
          <t>455b8822a4a2</t>
        </is>
      </c>
      <c r="C1605" t="inlineStr">
        <is>
          <t>Emerging Threats Compromised IP: 101.36.123.102 | Sources: EMERGING_THREATS</t>
        </is>
      </c>
      <c r="D1605" t="n">
        <v>6.5</v>
      </c>
      <c r="E1605" t="inlineStr">
        <is>
          <t>HIGH</t>
        </is>
      </c>
      <c r="F1605" t="n">
        <v>3</v>
      </c>
      <c r="G1605" t="n">
        <v>2</v>
      </c>
      <c r="H1605" t="inlineStr">
        <is>
          <t>HIGH</t>
        </is>
      </c>
      <c r="I1605" t="n">
        <v>12.5</v>
      </c>
      <c r="J1605" t="inlineStr">
        <is>
          <t>NO</t>
        </is>
      </c>
      <c r="K1605" t="inlineStr">
        <is>
          <t>2026-02-27 20:47</t>
        </is>
      </c>
      <c r="L1605" t="inlineStr">
        <is>
          <t>Block IP</t>
        </is>
      </c>
      <c r="M1605" t="inlineStr">
        <is>
          <t>Network perimeter</t>
        </is>
      </c>
      <c r="N1605" t="inlineStr">
        <is>
          <t>P3</t>
        </is>
      </c>
      <c r="O1605" t="inlineStr">
        <is>
          <t>Check ip-api.com + AbuseIPDB for context</t>
        </is>
      </c>
      <c r="P1605" t="n">
        <v>0</v>
      </c>
      <c r="Q1605" t="n">
        <v>0</v>
      </c>
      <c r="R1605" t="inlineStr">
        <is>
          <t>T1110:Brute Force | T1190:Exploit Public-Facing Application</t>
        </is>
      </c>
      <c r="S1605" t="n">
        <v>1</v>
      </c>
      <c r="T1605" t="inlineStr">
        <is>
          <t>LOW (40%)</t>
        </is>
      </c>
      <c r="U1605" t="inlineStr">
        <is>
          <t>NONE</t>
        </is>
      </c>
      <c r="V1605" t="inlineStr">
        <is>
          <t>NONE</t>
        </is>
      </c>
      <c r="W1605" t="inlineStr">
        <is>
          <t>NONE</t>
        </is>
      </c>
      <c r="X1605" t="inlineStr">
        <is>
          <t>NONE</t>
        </is>
      </c>
      <c r="Y1605" t="n">
        <v>0</v>
      </c>
      <c r="Z1605" t="inlineStr"/>
      <c r="AA1605" t="inlineStr">
        <is>
          <t>https://rules.emergingthreats.net/</t>
        </is>
      </c>
    </row>
    <row r="1606">
      <c r="A1606" t="inlineStr">
        <is>
          <t>EMERGING_THREAT_IP</t>
        </is>
      </c>
      <c r="B1606" t="inlineStr">
        <is>
          <t>356717d3fb41</t>
        </is>
      </c>
      <c r="C1606" t="inlineStr">
        <is>
          <t>Emerging Threats Compromised IP: 102.244.97.183 | Sources: EMERGING_THREATS</t>
        </is>
      </c>
      <c r="D1606" t="n">
        <v>6.5</v>
      </c>
      <c r="E1606" t="inlineStr">
        <is>
          <t>HIGH</t>
        </is>
      </c>
      <c r="F1606" t="n">
        <v>3</v>
      </c>
      <c r="G1606" t="n">
        <v>2</v>
      </c>
      <c r="H1606" t="inlineStr">
        <is>
          <t>HIGH</t>
        </is>
      </c>
      <c r="I1606" t="n">
        <v>12.5</v>
      </c>
      <c r="J1606" t="inlineStr">
        <is>
          <t>NO</t>
        </is>
      </c>
      <c r="K1606" t="inlineStr">
        <is>
          <t>2026-02-27 20:47</t>
        </is>
      </c>
      <c r="L1606" t="inlineStr">
        <is>
          <t>Block IP</t>
        </is>
      </c>
      <c r="M1606" t="inlineStr">
        <is>
          <t>Network perimeter</t>
        </is>
      </c>
      <c r="N1606" t="inlineStr">
        <is>
          <t>P3</t>
        </is>
      </c>
      <c r="O1606" t="inlineStr">
        <is>
          <t>Check ip-api.com + AbuseIPDB for context</t>
        </is>
      </c>
      <c r="P1606" t="n">
        <v>0</v>
      </c>
      <c r="Q1606" t="n">
        <v>0</v>
      </c>
      <c r="R1606" t="inlineStr">
        <is>
          <t>T1110:Brute Force | T1190:Exploit Public-Facing Application</t>
        </is>
      </c>
      <c r="S1606" t="n">
        <v>1</v>
      </c>
      <c r="T1606" t="inlineStr">
        <is>
          <t>LOW (40%)</t>
        </is>
      </c>
      <c r="U1606" t="inlineStr">
        <is>
          <t>NONE</t>
        </is>
      </c>
      <c r="V1606" t="inlineStr">
        <is>
          <t>NONE</t>
        </is>
      </c>
      <c r="W1606" t="inlineStr">
        <is>
          <t>NONE</t>
        </is>
      </c>
      <c r="X1606" t="inlineStr">
        <is>
          <t>NONE</t>
        </is>
      </c>
      <c r="Y1606" t="n">
        <v>0</v>
      </c>
      <c r="Z1606" t="inlineStr"/>
      <c r="AA1606" t="inlineStr">
        <is>
          <t>https://rules.emergingthreats.net/</t>
        </is>
      </c>
    </row>
    <row r="1607">
      <c r="A1607" t="inlineStr">
        <is>
          <t>EMERGING_THREAT_IP</t>
        </is>
      </c>
      <c r="B1607" t="inlineStr">
        <is>
          <t>340ffbe1b705</t>
        </is>
      </c>
      <c r="C1607" t="inlineStr">
        <is>
          <t>Emerging Threats Compromised IP: 103.103.21.109 | Sources: EMERGING_THREATS</t>
        </is>
      </c>
      <c r="D1607" t="n">
        <v>6.5</v>
      </c>
      <c r="E1607" t="inlineStr">
        <is>
          <t>HIGH</t>
        </is>
      </c>
      <c r="F1607" t="n">
        <v>3</v>
      </c>
      <c r="G1607" t="n">
        <v>2</v>
      </c>
      <c r="H1607" t="inlineStr">
        <is>
          <t>HIGH</t>
        </is>
      </c>
      <c r="I1607" t="n">
        <v>12.5</v>
      </c>
      <c r="J1607" t="inlineStr">
        <is>
          <t>NO</t>
        </is>
      </c>
      <c r="K1607" t="inlineStr">
        <is>
          <t>2026-02-27 20:47</t>
        </is>
      </c>
      <c r="L1607" t="inlineStr">
        <is>
          <t>Block IP</t>
        </is>
      </c>
      <c r="M1607" t="inlineStr">
        <is>
          <t>Network perimeter</t>
        </is>
      </c>
      <c r="N1607" t="inlineStr">
        <is>
          <t>P3</t>
        </is>
      </c>
      <c r="O1607" t="inlineStr">
        <is>
          <t>Check ip-api.com + AbuseIPDB for context</t>
        </is>
      </c>
      <c r="P1607" t="n">
        <v>0</v>
      </c>
      <c r="Q1607" t="n">
        <v>0</v>
      </c>
      <c r="R1607" t="inlineStr">
        <is>
          <t>T1110:Brute Force | T1190:Exploit Public-Facing Application</t>
        </is>
      </c>
      <c r="S1607" t="n">
        <v>1</v>
      </c>
      <c r="T1607" t="inlineStr">
        <is>
          <t>LOW (40%)</t>
        </is>
      </c>
      <c r="U1607" t="inlineStr">
        <is>
          <t>NONE</t>
        </is>
      </c>
      <c r="V1607" t="inlineStr">
        <is>
          <t>NONE</t>
        </is>
      </c>
      <c r="W1607" t="inlineStr">
        <is>
          <t>NONE</t>
        </is>
      </c>
      <c r="X1607" t="inlineStr">
        <is>
          <t>NONE</t>
        </is>
      </c>
      <c r="Y1607" t="n">
        <v>0</v>
      </c>
      <c r="Z1607" t="inlineStr"/>
      <c r="AA1607" t="inlineStr">
        <is>
          <t>https://rules.emergingthreats.net/</t>
        </is>
      </c>
    </row>
    <row r="1608">
      <c r="A1608" t="inlineStr">
        <is>
          <t>EMERGING_THREAT_IP</t>
        </is>
      </c>
      <c r="B1608" t="inlineStr">
        <is>
          <t>034ed7f153b4</t>
        </is>
      </c>
      <c r="C1608" t="inlineStr">
        <is>
          <t>Emerging Threats Compromised IP: 103.121.91.144 | Sources: EMERGING_THREATS</t>
        </is>
      </c>
      <c r="D1608" t="n">
        <v>6.5</v>
      </c>
      <c r="E1608" t="inlineStr">
        <is>
          <t>HIGH</t>
        </is>
      </c>
      <c r="F1608" t="n">
        <v>3</v>
      </c>
      <c r="G1608" t="n">
        <v>2</v>
      </c>
      <c r="H1608" t="inlineStr">
        <is>
          <t>HIGH</t>
        </is>
      </c>
      <c r="I1608" t="n">
        <v>12.5</v>
      </c>
      <c r="J1608" t="inlineStr">
        <is>
          <t>NO</t>
        </is>
      </c>
      <c r="K1608" t="inlineStr">
        <is>
          <t>2026-02-27 20:47</t>
        </is>
      </c>
      <c r="L1608" t="inlineStr">
        <is>
          <t>Block IP</t>
        </is>
      </c>
      <c r="M1608" t="inlineStr">
        <is>
          <t>Network perimeter</t>
        </is>
      </c>
      <c r="N1608" t="inlineStr">
        <is>
          <t>P3</t>
        </is>
      </c>
      <c r="O1608" t="inlineStr">
        <is>
          <t>Check ip-api.com + AbuseIPDB for context</t>
        </is>
      </c>
      <c r="P1608" t="n">
        <v>0</v>
      </c>
      <c r="Q1608" t="n">
        <v>0</v>
      </c>
      <c r="R1608" t="inlineStr">
        <is>
          <t>T1110:Brute Force | T1190:Exploit Public-Facing Application</t>
        </is>
      </c>
      <c r="S1608" t="n">
        <v>1</v>
      </c>
      <c r="T1608" t="inlineStr">
        <is>
          <t>LOW (40%)</t>
        </is>
      </c>
      <c r="U1608" t="inlineStr">
        <is>
          <t>NONE</t>
        </is>
      </c>
      <c r="V1608" t="inlineStr">
        <is>
          <t>NONE</t>
        </is>
      </c>
      <c r="W1608" t="inlineStr">
        <is>
          <t>NONE</t>
        </is>
      </c>
      <c r="X1608" t="inlineStr">
        <is>
          <t>NONE</t>
        </is>
      </c>
      <c r="Y1608" t="n">
        <v>0</v>
      </c>
      <c r="Z1608" t="inlineStr"/>
      <c r="AA1608" t="inlineStr">
        <is>
          <t>https://rules.emergingthreats.net/</t>
        </is>
      </c>
    </row>
    <row r="1609">
      <c r="A1609" t="inlineStr">
        <is>
          <t>EMERGING_THREAT_IP</t>
        </is>
      </c>
      <c r="B1609" t="inlineStr">
        <is>
          <t>233f6f0124ad</t>
        </is>
      </c>
      <c r="C1609" t="inlineStr">
        <is>
          <t>Emerging Threats Compromised IP: 103.124.107.26 | Sources: EMERGING_THREATS</t>
        </is>
      </c>
      <c r="D1609" t="n">
        <v>6.5</v>
      </c>
      <c r="E1609" t="inlineStr">
        <is>
          <t>HIGH</t>
        </is>
      </c>
      <c r="F1609" t="n">
        <v>3</v>
      </c>
      <c r="G1609" t="n">
        <v>2</v>
      </c>
      <c r="H1609" t="inlineStr">
        <is>
          <t>HIGH</t>
        </is>
      </c>
      <c r="I1609" t="n">
        <v>12.5</v>
      </c>
      <c r="J1609" t="inlineStr">
        <is>
          <t>NO</t>
        </is>
      </c>
      <c r="K1609" t="inlineStr">
        <is>
          <t>2026-02-27 20:47</t>
        </is>
      </c>
      <c r="L1609" t="inlineStr">
        <is>
          <t>Block IP</t>
        </is>
      </c>
      <c r="M1609" t="inlineStr">
        <is>
          <t>Network perimeter</t>
        </is>
      </c>
      <c r="N1609" t="inlineStr">
        <is>
          <t>P3</t>
        </is>
      </c>
      <c r="O1609" t="inlineStr">
        <is>
          <t>Check ip-api.com + AbuseIPDB for context</t>
        </is>
      </c>
      <c r="P1609" t="n">
        <v>0</v>
      </c>
      <c r="Q1609" t="n">
        <v>0</v>
      </c>
      <c r="R1609" t="inlineStr">
        <is>
          <t>T1110:Brute Force | T1190:Exploit Public-Facing Application</t>
        </is>
      </c>
      <c r="S1609" t="n">
        <v>1</v>
      </c>
      <c r="T1609" t="inlineStr">
        <is>
          <t>LOW (40%)</t>
        </is>
      </c>
      <c r="U1609" t="inlineStr">
        <is>
          <t>NONE</t>
        </is>
      </c>
      <c r="V1609" t="inlineStr">
        <is>
          <t>NONE</t>
        </is>
      </c>
      <c r="W1609" t="inlineStr">
        <is>
          <t>NONE</t>
        </is>
      </c>
      <c r="X1609" t="inlineStr">
        <is>
          <t>NONE</t>
        </is>
      </c>
      <c r="Y1609" t="n">
        <v>0</v>
      </c>
      <c r="Z1609" t="inlineStr"/>
      <c r="AA1609" t="inlineStr">
        <is>
          <t>https://rules.emergingthreats.net/</t>
        </is>
      </c>
    </row>
    <row r="1610">
      <c r="A1610" t="inlineStr">
        <is>
          <t>EMERGING_THREAT_IP</t>
        </is>
      </c>
      <c r="B1610" t="inlineStr">
        <is>
          <t>f260d21ba61b</t>
        </is>
      </c>
      <c r="C1610" t="inlineStr">
        <is>
          <t>Emerging Threats Compromised IP: 103.14.32.75 | Sources: EMERGING_THREATS</t>
        </is>
      </c>
      <c r="D1610" t="n">
        <v>6.5</v>
      </c>
      <c r="E1610" t="inlineStr">
        <is>
          <t>HIGH</t>
        </is>
      </c>
      <c r="F1610" t="n">
        <v>3</v>
      </c>
      <c r="G1610" t="n">
        <v>2</v>
      </c>
      <c r="H1610" t="inlineStr">
        <is>
          <t>HIGH</t>
        </is>
      </c>
      <c r="I1610" t="n">
        <v>12.5</v>
      </c>
      <c r="J1610" t="inlineStr">
        <is>
          <t>NO</t>
        </is>
      </c>
      <c r="K1610" t="inlineStr">
        <is>
          <t>2026-02-27 20:47</t>
        </is>
      </c>
      <c r="L1610" t="inlineStr">
        <is>
          <t>Block IP</t>
        </is>
      </c>
      <c r="M1610" t="inlineStr">
        <is>
          <t>Network perimeter</t>
        </is>
      </c>
      <c r="N1610" t="inlineStr">
        <is>
          <t>P3</t>
        </is>
      </c>
      <c r="O1610" t="inlineStr">
        <is>
          <t>Check ip-api.com + AbuseIPDB for context</t>
        </is>
      </c>
      <c r="P1610" t="n">
        <v>0</v>
      </c>
      <c r="Q1610" t="n">
        <v>0</v>
      </c>
      <c r="R1610" t="inlineStr">
        <is>
          <t>T1110:Brute Force | T1190:Exploit Public-Facing Application</t>
        </is>
      </c>
      <c r="S1610" t="n">
        <v>1</v>
      </c>
      <c r="T1610" t="inlineStr">
        <is>
          <t>LOW (40%)</t>
        </is>
      </c>
      <c r="U1610" t="inlineStr">
        <is>
          <t>NONE</t>
        </is>
      </c>
      <c r="V1610" t="inlineStr">
        <is>
          <t>NONE</t>
        </is>
      </c>
      <c r="W1610" t="inlineStr">
        <is>
          <t>NONE</t>
        </is>
      </c>
      <c r="X1610" t="inlineStr">
        <is>
          <t>NONE</t>
        </is>
      </c>
      <c r="Y1610" t="n">
        <v>0</v>
      </c>
      <c r="Z1610" t="inlineStr"/>
      <c r="AA1610" t="inlineStr">
        <is>
          <t>https://rules.emergingthreats.net/</t>
        </is>
      </c>
    </row>
    <row r="1611">
      <c r="A1611" t="inlineStr">
        <is>
          <t>EMERGING_THREAT_IP</t>
        </is>
      </c>
      <c r="B1611" t="inlineStr">
        <is>
          <t>ffec239995ac</t>
        </is>
      </c>
      <c r="C1611" t="inlineStr">
        <is>
          <t>Emerging Threats Compromised IP: 103.148.118.211 | Sources: EMERGING_THREATS</t>
        </is>
      </c>
      <c r="D1611" t="n">
        <v>6.5</v>
      </c>
      <c r="E1611" t="inlineStr">
        <is>
          <t>HIGH</t>
        </is>
      </c>
      <c r="F1611" t="n">
        <v>3</v>
      </c>
      <c r="G1611" t="n">
        <v>2</v>
      </c>
      <c r="H1611" t="inlineStr">
        <is>
          <t>HIGH</t>
        </is>
      </c>
      <c r="I1611" t="n">
        <v>12.5</v>
      </c>
      <c r="J1611" t="inlineStr">
        <is>
          <t>NO</t>
        </is>
      </c>
      <c r="K1611" t="inlineStr">
        <is>
          <t>2026-02-27 20:47</t>
        </is>
      </c>
      <c r="L1611" t="inlineStr">
        <is>
          <t>Block IP</t>
        </is>
      </c>
      <c r="M1611" t="inlineStr">
        <is>
          <t>Network perimeter</t>
        </is>
      </c>
      <c r="N1611" t="inlineStr">
        <is>
          <t>P3</t>
        </is>
      </c>
      <c r="O1611" t="inlineStr">
        <is>
          <t>Check ip-api.com + AbuseIPDB for context</t>
        </is>
      </c>
      <c r="P1611" t="n">
        <v>0</v>
      </c>
      <c r="Q1611" t="n">
        <v>0</v>
      </c>
      <c r="R1611" t="inlineStr">
        <is>
          <t>T1110:Brute Force | T1190:Exploit Public-Facing Application</t>
        </is>
      </c>
      <c r="S1611" t="n">
        <v>1</v>
      </c>
      <c r="T1611" t="inlineStr">
        <is>
          <t>LOW (40%)</t>
        </is>
      </c>
      <c r="U1611" t="inlineStr">
        <is>
          <t>NONE</t>
        </is>
      </c>
      <c r="V1611" t="inlineStr">
        <is>
          <t>NONE</t>
        </is>
      </c>
      <c r="W1611" t="inlineStr">
        <is>
          <t>NONE</t>
        </is>
      </c>
      <c r="X1611" t="inlineStr">
        <is>
          <t>NONE</t>
        </is>
      </c>
      <c r="Y1611" t="n">
        <v>0</v>
      </c>
      <c r="Z1611" t="inlineStr"/>
      <c r="AA1611" t="inlineStr">
        <is>
          <t>https://rules.emergingthreats.net/</t>
        </is>
      </c>
    </row>
    <row r="1612">
      <c r="A1612" t="inlineStr">
        <is>
          <t>EMERGING_THREAT_IP</t>
        </is>
      </c>
      <c r="B1612" t="inlineStr">
        <is>
          <t>fe6b4e19212f</t>
        </is>
      </c>
      <c r="C1612" t="inlineStr">
        <is>
          <t>Emerging Threats Compromised IP: 103.148.195.198 | Sources: EMERGING_THREATS</t>
        </is>
      </c>
      <c r="D1612" t="n">
        <v>6.5</v>
      </c>
      <c r="E1612" t="inlineStr">
        <is>
          <t>HIGH</t>
        </is>
      </c>
      <c r="F1612" t="n">
        <v>3</v>
      </c>
      <c r="G1612" t="n">
        <v>2</v>
      </c>
      <c r="H1612" t="inlineStr">
        <is>
          <t>HIGH</t>
        </is>
      </c>
      <c r="I1612" t="n">
        <v>12.5</v>
      </c>
      <c r="J1612" t="inlineStr">
        <is>
          <t>NO</t>
        </is>
      </c>
      <c r="K1612" t="inlineStr">
        <is>
          <t>2026-02-27 20:47</t>
        </is>
      </c>
      <c r="L1612" t="inlineStr">
        <is>
          <t>Block IP</t>
        </is>
      </c>
      <c r="M1612" t="inlineStr">
        <is>
          <t>Network perimeter</t>
        </is>
      </c>
      <c r="N1612" t="inlineStr">
        <is>
          <t>P3</t>
        </is>
      </c>
      <c r="O1612" t="inlineStr">
        <is>
          <t>Check ip-api.com + AbuseIPDB for context</t>
        </is>
      </c>
      <c r="P1612" t="n">
        <v>0</v>
      </c>
      <c r="Q1612" t="n">
        <v>0</v>
      </c>
      <c r="R1612" t="inlineStr">
        <is>
          <t>T1110:Brute Force | T1190:Exploit Public-Facing Application</t>
        </is>
      </c>
      <c r="S1612" t="n">
        <v>1</v>
      </c>
      <c r="T1612" t="inlineStr">
        <is>
          <t>LOW (40%)</t>
        </is>
      </c>
      <c r="U1612" t="inlineStr">
        <is>
          <t>NONE</t>
        </is>
      </c>
      <c r="V1612" t="inlineStr">
        <is>
          <t>NONE</t>
        </is>
      </c>
      <c r="W1612" t="inlineStr">
        <is>
          <t>NONE</t>
        </is>
      </c>
      <c r="X1612" t="inlineStr">
        <is>
          <t>NONE</t>
        </is>
      </c>
      <c r="Y1612" t="n">
        <v>0</v>
      </c>
      <c r="Z1612" t="inlineStr"/>
      <c r="AA1612" t="inlineStr">
        <is>
          <t>https://rules.emergingthreats.net/</t>
        </is>
      </c>
    </row>
    <row r="1613">
      <c r="A1613" t="inlineStr">
        <is>
          <t>EMERGING_THREAT_IP</t>
        </is>
      </c>
      <c r="B1613" t="inlineStr">
        <is>
          <t>760e3739b969</t>
        </is>
      </c>
      <c r="C1613" t="inlineStr">
        <is>
          <t>Emerging Threats Compromised IP: 103.160.5.123 | Sources: EMERGING_THREATS</t>
        </is>
      </c>
      <c r="D1613" t="n">
        <v>6.5</v>
      </c>
      <c r="E1613" t="inlineStr">
        <is>
          <t>HIGH</t>
        </is>
      </c>
      <c r="F1613" t="n">
        <v>3</v>
      </c>
      <c r="G1613" t="n">
        <v>2</v>
      </c>
      <c r="H1613" t="inlineStr">
        <is>
          <t>HIGH</t>
        </is>
      </c>
      <c r="I1613" t="n">
        <v>12.5</v>
      </c>
      <c r="J1613" t="inlineStr">
        <is>
          <t>NO</t>
        </is>
      </c>
      <c r="K1613" t="inlineStr">
        <is>
          <t>2026-02-27 20:47</t>
        </is>
      </c>
      <c r="L1613" t="inlineStr">
        <is>
          <t>Block IP</t>
        </is>
      </c>
      <c r="M1613" t="inlineStr">
        <is>
          <t>Network perimeter</t>
        </is>
      </c>
      <c r="N1613" t="inlineStr">
        <is>
          <t>P3</t>
        </is>
      </c>
      <c r="O1613" t="inlineStr">
        <is>
          <t>Check ip-api.com + AbuseIPDB for context</t>
        </is>
      </c>
      <c r="P1613" t="n">
        <v>0</v>
      </c>
      <c r="Q1613" t="n">
        <v>0</v>
      </c>
      <c r="R1613" t="inlineStr">
        <is>
          <t>T1110:Brute Force | T1190:Exploit Public-Facing Application</t>
        </is>
      </c>
      <c r="S1613" t="n">
        <v>1</v>
      </c>
      <c r="T1613" t="inlineStr">
        <is>
          <t>LOW (40%)</t>
        </is>
      </c>
      <c r="U1613" t="inlineStr">
        <is>
          <t>NONE</t>
        </is>
      </c>
      <c r="V1613" t="inlineStr">
        <is>
          <t>NONE</t>
        </is>
      </c>
      <c r="W1613" t="inlineStr">
        <is>
          <t>NONE</t>
        </is>
      </c>
      <c r="X1613" t="inlineStr">
        <is>
          <t>NONE</t>
        </is>
      </c>
      <c r="Y1613" t="n">
        <v>0</v>
      </c>
      <c r="Z1613" t="inlineStr"/>
      <c r="AA1613" t="inlineStr">
        <is>
          <t>https://rules.emergingthreats.net/</t>
        </is>
      </c>
    </row>
    <row r="1614">
      <c r="A1614" t="inlineStr">
        <is>
          <t>EMERGING_THREAT_IP</t>
        </is>
      </c>
      <c r="B1614" t="inlineStr">
        <is>
          <t>cdf077fccefb</t>
        </is>
      </c>
      <c r="C1614" t="inlineStr">
        <is>
          <t>Emerging Threats Compromised IP: 103.218.241.106 | Sources: EMERGING_THREATS</t>
        </is>
      </c>
      <c r="D1614" t="n">
        <v>6.5</v>
      </c>
      <c r="E1614" t="inlineStr">
        <is>
          <t>HIGH</t>
        </is>
      </c>
      <c r="F1614" t="n">
        <v>3</v>
      </c>
      <c r="G1614" t="n">
        <v>2</v>
      </c>
      <c r="H1614" t="inlineStr">
        <is>
          <t>HIGH</t>
        </is>
      </c>
      <c r="I1614" t="n">
        <v>12.5</v>
      </c>
      <c r="J1614" t="inlineStr">
        <is>
          <t>NO</t>
        </is>
      </c>
      <c r="K1614" t="inlineStr">
        <is>
          <t>2026-02-27 20:47</t>
        </is>
      </c>
      <c r="L1614" t="inlineStr">
        <is>
          <t>Block IP</t>
        </is>
      </c>
      <c r="M1614" t="inlineStr">
        <is>
          <t>Network perimeter</t>
        </is>
      </c>
      <c r="N1614" t="inlineStr">
        <is>
          <t>P3</t>
        </is>
      </c>
      <c r="O1614" t="inlineStr">
        <is>
          <t>Check ip-api.com + AbuseIPDB for context</t>
        </is>
      </c>
      <c r="P1614" t="n">
        <v>0</v>
      </c>
      <c r="Q1614" t="n">
        <v>0</v>
      </c>
      <c r="R1614" t="inlineStr">
        <is>
          <t>T1110:Brute Force | T1190:Exploit Public-Facing Application</t>
        </is>
      </c>
      <c r="S1614" t="n">
        <v>1</v>
      </c>
      <c r="T1614" t="inlineStr">
        <is>
          <t>LOW (40%)</t>
        </is>
      </c>
      <c r="U1614" t="inlineStr">
        <is>
          <t>NONE</t>
        </is>
      </c>
      <c r="V1614" t="inlineStr">
        <is>
          <t>NONE</t>
        </is>
      </c>
      <c r="W1614" t="inlineStr">
        <is>
          <t>NONE</t>
        </is>
      </c>
      <c r="X1614" t="inlineStr">
        <is>
          <t>NONE</t>
        </is>
      </c>
      <c r="Y1614" t="n">
        <v>0</v>
      </c>
      <c r="Z1614" t="inlineStr"/>
      <c r="AA1614" t="inlineStr">
        <is>
          <t>https://rules.emergingthreats.net/</t>
        </is>
      </c>
    </row>
    <row r="1615">
      <c r="A1615" t="inlineStr">
        <is>
          <t>EMERGING_THREAT_IP</t>
        </is>
      </c>
      <c r="B1615" t="inlineStr">
        <is>
          <t>64210da85eb5</t>
        </is>
      </c>
      <c r="C1615" t="inlineStr">
        <is>
          <t>Emerging Threats Compromised IP: 103.232.121.71 | Sources: EMERGING_THREATS</t>
        </is>
      </c>
      <c r="D1615" t="n">
        <v>6.5</v>
      </c>
      <c r="E1615" t="inlineStr">
        <is>
          <t>HIGH</t>
        </is>
      </c>
      <c r="F1615" t="n">
        <v>3</v>
      </c>
      <c r="G1615" t="n">
        <v>2</v>
      </c>
      <c r="H1615" t="inlineStr">
        <is>
          <t>HIGH</t>
        </is>
      </c>
      <c r="I1615" t="n">
        <v>12.5</v>
      </c>
      <c r="J1615" t="inlineStr">
        <is>
          <t>NO</t>
        </is>
      </c>
      <c r="K1615" t="inlineStr">
        <is>
          <t>2026-02-27 20:47</t>
        </is>
      </c>
      <c r="L1615" t="inlineStr">
        <is>
          <t>Block IP</t>
        </is>
      </c>
      <c r="M1615" t="inlineStr">
        <is>
          <t>Network perimeter</t>
        </is>
      </c>
      <c r="N1615" t="inlineStr">
        <is>
          <t>P3</t>
        </is>
      </c>
      <c r="O1615" t="inlineStr">
        <is>
          <t>Check ip-api.com + AbuseIPDB for context</t>
        </is>
      </c>
      <c r="P1615" t="n">
        <v>0</v>
      </c>
      <c r="Q1615" t="n">
        <v>0</v>
      </c>
      <c r="R1615" t="inlineStr">
        <is>
          <t>T1110:Brute Force | T1190:Exploit Public-Facing Application</t>
        </is>
      </c>
      <c r="S1615" t="n">
        <v>1</v>
      </c>
      <c r="T1615" t="inlineStr">
        <is>
          <t>LOW (40%)</t>
        </is>
      </c>
      <c r="U1615" t="inlineStr">
        <is>
          <t>NONE</t>
        </is>
      </c>
      <c r="V1615" t="inlineStr">
        <is>
          <t>NONE</t>
        </is>
      </c>
      <c r="W1615" t="inlineStr">
        <is>
          <t>NONE</t>
        </is>
      </c>
      <c r="X1615" t="inlineStr">
        <is>
          <t>NONE</t>
        </is>
      </c>
      <c r="Y1615" t="n">
        <v>0</v>
      </c>
      <c r="Z1615" t="inlineStr"/>
      <c r="AA1615" t="inlineStr">
        <is>
          <t>https://rules.emergingthreats.net/</t>
        </is>
      </c>
    </row>
    <row r="1616">
      <c r="A1616" t="inlineStr">
        <is>
          <t>EMERGING_THREAT_IP</t>
        </is>
      </c>
      <c r="B1616" t="inlineStr">
        <is>
          <t>5c383c76de68</t>
        </is>
      </c>
      <c r="C1616" t="inlineStr">
        <is>
          <t>Emerging Threats Compromised IP: 103.239.252.132 | Sources: EMERGING_THREATS</t>
        </is>
      </c>
      <c r="D1616" t="n">
        <v>6.5</v>
      </c>
      <c r="E1616" t="inlineStr">
        <is>
          <t>HIGH</t>
        </is>
      </c>
      <c r="F1616" t="n">
        <v>3</v>
      </c>
      <c r="G1616" t="n">
        <v>2</v>
      </c>
      <c r="H1616" t="inlineStr">
        <is>
          <t>HIGH</t>
        </is>
      </c>
      <c r="I1616" t="n">
        <v>12.5</v>
      </c>
      <c r="J1616" t="inlineStr">
        <is>
          <t>NO</t>
        </is>
      </c>
      <c r="K1616" t="inlineStr">
        <is>
          <t>2026-02-27 20:47</t>
        </is>
      </c>
      <c r="L1616" t="inlineStr">
        <is>
          <t>Block IP</t>
        </is>
      </c>
      <c r="M1616" t="inlineStr">
        <is>
          <t>Network perimeter</t>
        </is>
      </c>
      <c r="N1616" t="inlineStr">
        <is>
          <t>P3</t>
        </is>
      </c>
      <c r="O1616" t="inlineStr">
        <is>
          <t>Check ip-api.com + AbuseIPDB for context</t>
        </is>
      </c>
      <c r="P1616" t="n">
        <v>0</v>
      </c>
      <c r="Q1616" t="n">
        <v>0</v>
      </c>
      <c r="R1616" t="inlineStr">
        <is>
          <t>T1110:Brute Force | T1190:Exploit Public-Facing Application</t>
        </is>
      </c>
      <c r="S1616" t="n">
        <v>1</v>
      </c>
      <c r="T1616" t="inlineStr">
        <is>
          <t>LOW (40%)</t>
        </is>
      </c>
      <c r="U1616" t="inlineStr">
        <is>
          <t>NONE</t>
        </is>
      </c>
      <c r="V1616" t="inlineStr">
        <is>
          <t>NONE</t>
        </is>
      </c>
      <c r="W1616" t="inlineStr">
        <is>
          <t>NONE</t>
        </is>
      </c>
      <c r="X1616" t="inlineStr">
        <is>
          <t>NONE</t>
        </is>
      </c>
      <c r="Y1616" t="n">
        <v>0</v>
      </c>
      <c r="Z1616" t="inlineStr"/>
      <c r="AA1616" t="inlineStr">
        <is>
          <t>https://rules.emergingthreats.net/</t>
        </is>
      </c>
    </row>
    <row r="1617">
      <c r="A1617" t="inlineStr">
        <is>
          <t>EMERGING_THREAT_IP</t>
        </is>
      </c>
      <c r="B1617" t="inlineStr">
        <is>
          <t>5583c88d0b92</t>
        </is>
      </c>
      <c r="C1617" t="inlineStr">
        <is>
          <t>Emerging Threats Compromised IP: 103.249.200.230 | Sources: EMERGING_THREATS</t>
        </is>
      </c>
      <c r="D1617" t="n">
        <v>6.5</v>
      </c>
      <c r="E1617" t="inlineStr">
        <is>
          <t>HIGH</t>
        </is>
      </c>
      <c r="F1617" t="n">
        <v>3</v>
      </c>
      <c r="G1617" t="n">
        <v>2</v>
      </c>
      <c r="H1617" t="inlineStr">
        <is>
          <t>HIGH</t>
        </is>
      </c>
      <c r="I1617" t="n">
        <v>12.5</v>
      </c>
      <c r="J1617" t="inlineStr">
        <is>
          <t>NO</t>
        </is>
      </c>
      <c r="K1617" t="inlineStr">
        <is>
          <t>2026-02-27 20:47</t>
        </is>
      </c>
      <c r="L1617" t="inlineStr">
        <is>
          <t>Block IP</t>
        </is>
      </c>
      <c r="M1617" t="inlineStr">
        <is>
          <t>Network perimeter</t>
        </is>
      </c>
      <c r="N1617" t="inlineStr">
        <is>
          <t>P3</t>
        </is>
      </c>
      <c r="O1617" t="inlineStr">
        <is>
          <t>Check ip-api.com + AbuseIPDB for context</t>
        </is>
      </c>
      <c r="P1617" t="n">
        <v>0</v>
      </c>
      <c r="Q1617" t="n">
        <v>0</v>
      </c>
      <c r="R1617" t="inlineStr">
        <is>
          <t>T1110:Brute Force | T1190:Exploit Public-Facing Application</t>
        </is>
      </c>
      <c r="S1617" t="n">
        <v>1</v>
      </c>
      <c r="T1617" t="inlineStr">
        <is>
          <t>LOW (40%)</t>
        </is>
      </c>
      <c r="U1617" t="inlineStr">
        <is>
          <t>NONE</t>
        </is>
      </c>
      <c r="V1617" t="inlineStr">
        <is>
          <t>NONE</t>
        </is>
      </c>
      <c r="W1617" t="inlineStr">
        <is>
          <t>NONE</t>
        </is>
      </c>
      <c r="X1617" t="inlineStr">
        <is>
          <t>NONE</t>
        </is>
      </c>
      <c r="Y1617" t="n">
        <v>0</v>
      </c>
      <c r="Z1617" t="inlineStr"/>
      <c r="AA1617" t="inlineStr">
        <is>
          <t>https://rules.emergingthreats.net/</t>
        </is>
      </c>
    </row>
    <row r="1618">
      <c r="A1618" t="inlineStr">
        <is>
          <t>EMERGING_THREAT_IP</t>
        </is>
      </c>
      <c r="B1618" t="inlineStr">
        <is>
          <t>890c9c3b7ae6</t>
        </is>
      </c>
      <c r="C1618" t="inlineStr">
        <is>
          <t>Emerging Threats Compromised IP: 103.252.73.37 | Sources: EMERGING_THREATS</t>
        </is>
      </c>
      <c r="D1618" t="n">
        <v>6.5</v>
      </c>
      <c r="E1618" t="inlineStr">
        <is>
          <t>HIGH</t>
        </is>
      </c>
      <c r="F1618" t="n">
        <v>3</v>
      </c>
      <c r="G1618" t="n">
        <v>2</v>
      </c>
      <c r="H1618" t="inlineStr">
        <is>
          <t>HIGH</t>
        </is>
      </c>
      <c r="I1618" t="n">
        <v>12.5</v>
      </c>
      <c r="J1618" t="inlineStr">
        <is>
          <t>NO</t>
        </is>
      </c>
      <c r="K1618" t="inlineStr">
        <is>
          <t>2026-02-27 20:47</t>
        </is>
      </c>
      <c r="L1618" t="inlineStr">
        <is>
          <t>Block IP</t>
        </is>
      </c>
      <c r="M1618" t="inlineStr">
        <is>
          <t>Network perimeter</t>
        </is>
      </c>
      <c r="N1618" t="inlineStr">
        <is>
          <t>P3</t>
        </is>
      </c>
      <c r="O1618" t="inlineStr">
        <is>
          <t>Check ip-api.com + AbuseIPDB for context</t>
        </is>
      </c>
      <c r="P1618" t="n">
        <v>0</v>
      </c>
      <c r="Q1618" t="n">
        <v>0</v>
      </c>
      <c r="R1618" t="inlineStr">
        <is>
          <t>T1110:Brute Force | T1190:Exploit Public-Facing Application</t>
        </is>
      </c>
      <c r="S1618" t="n">
        <v>1</v>
      </c>
      <c r="T1618" t="inlineStr">
        <is>
          <t>LOW (40%)</t>
        </is>
      </c>
      <c r="U1618" t="inlineStr">
        <is>
          <t>NONE</t>
        </is>
      </c>
      <c r="V1618" t="inlineStr">
        <is>
          <t>NONE</t>
        </is>
      </c>
      <c r="W1618" t="inlineStr">
        <is>
          <t>NONE</t>
        </is>
      </c>
      <c r="X1618" t="inlineStr">
        <is>
          <t>NONE</t>
        </is>
      </c>
      <c r="Y1618" t="n">
        <v>0</v>
      </c>
      <c r="Z1618" t="inlineStr"/>
      <c r="AA1618" t="inlineStr">
        <is>
          <t>https://rules.emergingthreats.net/</t>
        </is>
      </c>
    </row>
    <row r="1619">
      <c r="A1619" t="inlineStr">
        <is>
          <t>EMERGING_THREAT_IP</t>
        </is>
      </c>
      <c r="B1619" t="inlineStr">
        <is>
          <t>e7df42bbb1e6</t>
        </is>
      </c>
      <c r="C1619" t="inlineStr">
        <is>
          <t>Emerging Threats Compromised IP: 103.39.222.143 | Sources: EMERGING_THREATS</t>
        </is>
      </c>
      <c r="D1619" t="n">
        <v>6.5</v>
      </c>
      <c r="E1619" t="inlineStr">
        <is>
          <t>HIGH</t>
        </is>
      </c>
      <c r="F1619" t="n">
        <v>3</v>
      </c>
      <c r="G1619" t="n">
        <v>2</v>
      </c>
      <c r="H1619" t="inlineStr">
        <is>
          <t>HIGH</t>
        </is>
      </c>
      <c r="I1619" t="n">
        <v>12.5</v>
      </c>
      <c r="J1619" t="inlineStr">
        <is>
          <t>NO</t>
        </is>
      </c>
      <c r="K1619" t="inlineStr">
        <is>
          <t>2026-02-27 20:47</t>
        </is>
      </c>
      <c r="L1619" t="inlineStr">
        <is>
          <t>Block IP</t>
        </is>
      </c>
      <c r="M1619" t="inlineStr">
        <is>
          <t>Network perimeter</t>
        </is>
      </c>
      <c r="N1619" t="inlineStr">
        <is>
          <t>P3</t>
        </is>
      </c>
      <c r="O1619" t="inlineStr">
        <is>
          <t>Check ip-api.com + AbuseIPDB for context</t>
        </is>
      </c>
      <c r="P1619" t="n">
        <v>0</v>
      </c>
      <c r="Q1619" t="n">
        <v>0</v>
      </c>
      <c r="R1619" t="inlineStr">
        <is>
          <t>T1110:Brute Force | T1190:Exploit Public-Facing Application</t>
        </is>
      </c>
      <c r="S1619" t="n">
        <v>1</v>
      </c>
      <c r="T1619" t="inlineStr">
        <is>
          <t>LOW (40%)</t>
        </is>
      </c>
      <c r="U1619" t="inlineStr">
        <is>
          <t>NONE</t>
        </is>
      </c>
      <c r="V1619" t="inlineStr">
        <is>
          <t>NONE</t>
        </is>
      </c>
      <c r="W1619" t="inlineStr">
        <is>
          <t>NONE</t>
        </is>
      </c>
      <c r="X1619" t="inlineStr">
        <is>
          <t>NONE</t>
        </is>
      </c>
      <c r="Y1619" t="n">
        <v>0</v>
      </c>
      <c r="Z1619" t="inlineStr"/>
      <c r="AA1619" t="inlineStr">
        <is>
          <t>https://rules.emergingthreats.net/</t>
        </is>
      </c>
    </row>
    <row r="1620">
      <c r="A1620" t="inlineStr">
        <is>
          <t>EMERGING_THREAT_IP</t>
        </is>
      </c>
      <c r="B1620" t="inlineStr">
        <is>
          <t>ae885b936d47</t>
        </is>
      </c>
      <c r="C1620" t="inlineStr">
        <is>
          <t>Emerging Threats Compromised IP: 103.40.61.98 | Sources: EMERGING_THREATS</t>
        </is>
      </c>
      <c r="D1620" t="n">
        <v>6.5</v>
      </c>
      <c r="E1620" t="inlineStr">
        <is>
          <t>HIGH</t>
        </is>
      </c>
      <c r="F1620" t="n">
        <v>3</v>
      </c>
      <c r="G1620" t="n">
        <v>2</v>
      </c>
      <c r="H1620" t="inlineStr">
        <is>
          <t>HIGH</t>
        </is>
      </c>
      <c r="I1620" t="n">
        <v>12.5</v>
      </c>
      <c r="J1620" t="inlineStr">
        <is>
          <t>NO</t>
        </is>
      </c>
      <c r="K1620" t="inlineStr">
        <is>
          <t>2026-02-27 20:47</t>
        </is>
      </c>
      <c r="L1620" t="inlineStr">
        <is>
          <t>Block IP</t>
        </is>
      </c>
      <c r="M1620" t="inlineStr">
        <is>
          <t>Network perimeter</t>
        </is>
      </c>
      <c r="N1620" t="inlineStr">
        <is>
          <t>P3</t>
        </is>
      </c>
      <c r="O1620" t="inlineStr">
        <is>
          <t>Check ip-api.com + AbuseIPDB for context</t>
        </is>
      </c>
      <c r="P1620" t="n">
        <v>0</v>
      </c>
      <c r="Q1620" t="n">
        <v>0</v>
      </c>
      <c r="R1620" t="inlineStr">
        <is>
          <t>T1110:Brute Force | T1190:Exploit Public-Facing Application</t>
        </is>
      </c>
      <c r="S1620" t="n">
        <v>1</v>
      </c>
      <c r="T1620" t="inlineStr">
        <is>
          <t>LOW (40%)</t>
        </is>
      </c>
      <c r="U1620" t="inlineStr">
        <is>
          <t>NONE</t>
        </is>
      </c>
      <c r="V1620" t="inlineStr">
        <is>
          <t>NONE</t>
        </is>
      </c>
      <c r="W1620" t="inlineStr">
        <is>
          <t>NONE</t>
        </is>
      </c>
      <c r="X1620" t="inlineStr">
        <is>
          <t>NONE</t>
        </is>
      </c>
      <c r="Y1620" t="n">
        <v>0</v>
      </c>
      <c r="Z1620" t="inlineStr"/>
      <c r="AA1620" t="inlineStr">
        <is>
          <t>https://rules.emergingthreats.net/</t>
        </is>
      </c>
    </row>
    <row r="1621">
      <c r="A1621" t="inlineStr">
        <is>
          <t>EMERGING_THREAT_IP</t>
        </is>
      </c>
      <c r="B1621" t="inlineStr">
        <is>
          <t>2ba8853e01d2</t>
        </is>
      </c>
      <c r="C1621" t="inlineStr">
        <is>
          <t>Emerging Threats Compromised IP: 103.63.24.38 | Sources: EMERGING_THREATS</t>
        </is>
      </c>
      <c r="D1621" t="n">
        <v>6.5</v>
      </c>
      <c r="E1621" t="inlineStr">
        <is>
          <t>HIGH</t>
        </is>
      </c>
      <c r="F1621" t="n">
        <v>3</v>
      </c>
      <c r="G1621" t="n">
        <v>2</v>
      </c>
      <c r="H1621" t="inlineStr">
        <is>
          <t>HIGH</t>
        </is>
      </c>
      <c r="I1621" t="n">
        <v>12.5</v>
      </c>
      <c r="J1621" t="inlineStr">
        <is>
          <t>NO</t>
        </is>
      </c>
      <c r="K1621" t="inlineStr">
        <is>
          <t>2026-02-27 20:47</t>
        </is>
      </c>
      <c r="L1621" t="inlineStr">
        <is>
          <t>Block IP</t>
        </is>
      </c>
      <c r="M1621" t="inlineStr">
        <is>
          <t>Network perimeter</t>
        </is>
      </c>
      <c r="N1621" t="inlineStr">
        <is>
          <t>P3</t>
        </is>
      </c>
      <c r="O1621" t="inlineStr">
        <is>
          <t>Check ip-api.com + AbuseIPDB for context</t>
        </is>
      </c>
      <c r="P1621" t="n">
        <v>0</v>
      </c>
      <c r="Q1621" t="n">
        <v>0</v>
      </c>
      <c r="R1621" t="inlineStr">
        <is>
          <t>T1110:Brute Force | T1190:Exploit Public-Facing Application</t>
        </is>
      </c>
      <c r="S1621" t="n">
        <v>1</v>
      </c>
      <c r="T1621" t="inlineStr">
        <is>
          <t>LOW (40%)</t>
        </is>
      </c>
      <c r="U1621" t="inlineStr">
        <is>
          <t>NONE</t>
        </is>
      </c>
      <c r="V1621" t="inlineStr">
        <is>
          <t>NONE</t>
        </is>
      </c>
      <c r="W1621" t="inlineStr">
        <is>
          <t>NONE</t>
        </is>
      </c>
      <c r="X1621" t="inlineStr">
        <is>
          <t>NONE</t>
        </is>
      </c>
      <c r="Y1621" t="n">
        <v>0</v>
      </c>
      <c r="Z1621" t="inlineStr"/>
      <c r="AA1621" t="inlineStr">
        <is>
          <t>https://rules.emergingthreats.net/</t>
        </is>
      </c>
    </row>
    <row r="1622">
      <c r="A1622" t="inlineStr">
        <is>
          <t>EMERGING_THREAT_IP</t>
        </is>
      </c>
      <c r="B1622" t="inlineStr">
        <is>
          <t>935a49ba8025</t>
        </is>
      </c>
      <c r="C1622" t="inlineStr">
        <is>
          <t>Emerging Threats Compromised IP: 104.131.20.206 | Sources: EMERGING_THREATS</t>
        </is>
      </c>
      <c r="D1622" t="n">
        <v>6.5</v>
      </c>
      <c r="E1622" t="inlineStr">
        <is>
          <t>HIGH</t>
        </is>
      </c>
      <c r="F1622" t="n">
        <v>3</v>
      </c>
      <c r="G1622" t="n">
        <v>2</v>
      </c>
      <c r="H1622" t="inlineStr">
        <is>
          <t>HIGH</t>
        </is>
      </c>
      <c r="I1622" t="n">
        <v>12.5</v>
      </c>
      <c r="J1622" t="inlineStr">
        <is>
          <t>NO</t>
        </is>
      </c>
      <c r="K1622" t="inlineStr">
        <is>
          <t>2026-02-27 20:47</t>
        </is>
      </c>
      <c r="L1622" t="inlineStr">
        <is>
          <t>Block IP</t>
        </is>
      </c>
      <c r="M1622" t="inlineStr">
        <is>
          <t>Network perimeter</t>
        </is>
      </c>
      <c r="N1622" t="inlineStr">
        <is>
          <t>P3</t>
        </is>
      </c>
      <c r="O1622" t="inlineStr">
        <is>
          <t>Check ip-api.com + AbuseIPDB for context</t>
        </is>
      </c>
      <c r="P1622" t="n">
        <v>0</v>
      </c>
      <c r="Q1622" t="n">
        <v>0</v>
      </c>
      <c r="R1622" t="inlineStr">
        <is>
          <t>T1110:Brute Force | T1190:Exploit Public-Facing Application</t>
        </is>
      </c>
      <c r="S1622" t="n">
        <v>1</v>
      </c>
      <c r="T1622" t="inlineStr">
        <is>
          <t>LOW (40%)</t>
        </is>
      </c>
      <c r="U1622" t="inlineStr">
        <is>
          <t>NONE</t>
        </is>
      </c>
      <c r="V1622" t="inlineStr">
        <is>
          <t>NONE</t>
        </is>
      </c>
      <c r="W1622" t="inlineStr">
        <is>
          <t>NONE</t>
        </is>
      </c>
      <c r="X1622" t="inlineStr">
        <is>
          <t>NONE</t>
        </is>
      </c>
      <c r="Y1622" t="n">
        <v>0</v>
      </c>
      <c r="Z1622" t="inlineStr"/>
      <c r="AA1622" t="inlineStr">
        <is>
          <t>https://rules.emergingthreats.net/</t>
        </is>
      </c>
    </row>
    <row r="1623">
      <c r="A1623" t="inlineStr">
        <is>
          <t>EMERGING_THREAT_IP</t>
        </is>
      </c>
      <c r="B1623" t="inlineStr">
        <is>
          <t>47a83752a21b</t>
        </is>
      </c>
      <c r="C1623" t="inlineStr">
        <is>
          <t>Emerging Threats Compromised IP: 104.131.4.130 | Sources: EMERGING_THREATS</t>
        </is>
      </c>
      <c r="D1623" t="n">
        <v>6.5</v>
      </c>
      <c r="E1623" t="inlineStr">
        <is>
          <t>HIGH</t>
        </is>
      </c>
      <c r="F1623" t="n">
        <v>3</v>
      </c>
      <c r="G1623" t="n">
        <v>2</v>
      </c>
      <c r="H1623" t="inlineStr">
        <is>
          <t>HIGH</t>
        </is>
      </c>
      <c r="I1623" t="n">
        <v>12.5</v>
      </c>
      <c r="J1623" t="inlineStr">
        <is>
          <t>NO</t>
        </is>
      </c>
      <c r="K1623" t="inlineStr">
        <is>
          <t>2026-02-27 20:47</t>
        </is>
      </c>
      <c r="L1623" t="inlineStr">
        <is>
          <t>Block IP</t>
        </is>
      </c>
      <c r="M1623" t="inlineStr">
        <is>
          <t>Network perimeter</t>
        </is>
      </c>
      <c r="N1623" t="inlineStr">
        <is>
          <t>P3</t>
        </is>
      </c>
      <c r="O1623" t="inlineStr">
        <is>
          <t>Check ip-api.com + AbuseIPDB for context</t>
        </is>
      </c>
      <c r="P1623" t="n">
        <v>0</v>
      </c>
      <c r="Q1623" t="n">
        <v>0</v>
      </c>
      <c r="R1623" t="inlineStr">
        <is>
          <t>T1110:Brute Force | T1190:Exploit Public-Facing Application</t>
        </is>
      </c>
      <c r="S1623" t="n">
        <v>1</v>
      </c>
      <c r="T1623" t="inlineStr">
        <is>
          <t>LOW (40%)</t>
        </is>
      </c>
      <c r="U1623" t="inlineStr">
        <is>
          <t>NONE</t>
        </is>
      </c>
      <c r="V1623" t="inlineStr">
        <is>
          <t>NONE</t>
        </is>
      </c>
      <c r="W1623" t="inlineStr">
        <is>
          <t>NONE</t>
        </is>
      </c>
      <c r="X1623" t="inlineStr">
        <is>
          <t>NONE</t>
        </is>
      </c>
      <c r="Y1623" t="n">
        <v>0</v>
      </c>
      <c r="Z1623" t="inlineStr"/>
      <c r="AA1623" t="inlineStr">
        <is>
          <t>https://rules.emergingthreats.net/</t>
        </is>
      </c>
    </row>
    <row r="1624">
      <c r="A1624" t="inlineStr">
        <is>
          <t>EMERGING_THREAT_IP</t>
        </is>
      </c>
      <c r="B1624" t="inlineStr">
        <is>
          <t>4125319882fc</t>
        </is>
      </c>
      <c r="C1624" t="inlineStr">
        <is>
          <t>Emerging Threats Compromised IP: 104.168.4.152 | Sources: EMERGING_THREATS</t>
        </is>
      </c>
      <c r="D1624" t="n">
        <v>6.5</v>
      </c>
      <c r="E1624" t="inlineStr">
        <is>
          <t>HIGH</t>
        </is>
      </c>
      <c r="F1624" t="n">
        <v>3</v>
      </c>
      <c r="G1624" t="n">
        <v>2</v>
      </c>
      <c r="H1624" t="inlineStr">
        <is>
          <t>HIGH</t>
        </is>
      </c>
      <c r="I1624" t="n">
        <v>12.5</v>
      </c>
      <c r="J1624" t="inlineStr">
        <is>
          <t>NO</t>
        </is>
      </c>
      <c r="K1624" t="inlineStr">
        <is>
          <t>2026-02-27 20:47</t>
        </is>
      </c>
      <c r="L1624" t="inlineStr">
        <is>
          <t>Block IP</t>
        </is>
      </c>
      <c r="M1624" t="inlineStr">
        <is>
          <t>Network perimeter</t>
        </is>
      </c>
      <c r="N1624" t="inlineStr">
        <is>
          <t>P3</t>
        </is>
      </c>
      <c r="O1624" t="inlineStr">
        <is>
          <t>Check ip-api.com + AbuseIPDB for context</t>
        </is>
      </c>
      <c r="P1624" t="n">
        <v>0</v>
      </c>
      <c r="Q1624" t="n">
        <v>0</v>
      </c>
      <c r="R1624" t="inlineStr">
        <is>
          <t>T1110:Brute Force | T1190:Exploit Public-Facing Application</t>
        </is>
      </c>
      <c r="S1624" t="n">
        <v>1</v>
      </c>
      <c r="T1624" t="inlineStr">
        <is>
          <t>LOW (40%)</t>
        </is>
      </c>
      <c r="U1624" t="inlineStr">
        <is>
          <t>NONE</t>
        </is>
      </c>
      <c r="V1624" t="inlineStr">
        <is>
          <t>NONE</t>
        </is>
      </c>
      <c r="W1624" t="inlineStr">
        <is>
          <t>NONE</t>
        </is>
      </c>
      <c r="X1624" t="inlineStr">
        <is>
          <t>NONE</t>
        </is>
      </c>
      <c r="Y1624" t="n">
        <v>0</v>
      </c>
      <c r="Z1624" t="inlineStr"/>
      <c r="AA1624" t="inlineStr">
        <is>
          <t>https://rules.emergingthreats.net/</t>
        </is>
      </c>
    </row>
    <row r="1625">
      <c r="A1625" t="inlineStr">
        <is>
          <t>EMERGING_THREAT_IP</t>
        </is>
      </c>
      <c r="B1625" t="inlineStr">
        <is>
          <t>55063dd94c21</t>
        </is>
      </c>
      <c r="C1625" t="inlineStr">
        <is>
          <t>Emerging Threats Compromised IP: 104.236.80.177 | Sources: EMERGING_THREATS</t>
        </is>
      </c>
      <c r="D1625" t="n">
        <v>6.5</v>
      </c>
      <c r="E1625" t="inlineStr">
        <is>
          <t>HIGH</t>
        </is>
      </c>
      <c r="F1625" t="n">
        <v>3</v>
      </c>
      <c r="G1625" t="n">
        <v>2</v>
      </c>
      <c r="H1625" t="inlineStr">
        <is>
          <t>HIGH</t>
        </is>
      </c>
      <c r="I1625" t="n">
        <v>12.5</v>
      </c>
      <c r="J1625" t="inlineStr">
        <is>
          <t>NO</t>
        </is>
      </c>
      <c r="K1625" t="inlineStr">
        <is>
          <t>2026-02-27 20:47</t>
        </is>
      </c>
      <c r="L1625" t="inlineStr">
        <is>
          <t>Block IP</t>
        </is>
      </c>
      <c r="M1625" t="inlineStr">
        <is>
          <t>Network perimeter</t>
        </is>
      </c>
      <c r="N1625" t="inlineStr">
        <is>
          <t>P3</t>
        </is>
      </c>
      <c r="O1625" t="inlineStr">
        <is>
          <t>Check ip-api.com + AbuseIPDB for context</t>
        </is>
      </c>
      <c r="P1625" t="n">
        <v>0</v>
      </c>
      <c r="Q1625" t="n">
        <v>0</v>
      </c>
      <c r="R1625" t="inlineStr">
        <is>
          <t>T1110:Brute Force | T1190:Exploit Public-Facing Application</t>
        </is>
      </c>
      <c r="S1625" t="n">
        <v>1</v>
      </c>
      <c r="T1625" t="inlineStr">
        <is>
          <t>LOW (40%)</t>
        </is>
      </c>
      <c r="U1625" t="inlineStr">
        <is>
          <t>NONE</t>
        </is>
      </c>
      <c r="V1625" t="inlineStr">
        <is>
          <t>NONE</t>
        </is>
      </c>
      <c r="W1625" t="inlineStr">
        <is>
          <t>NONE</t>
        </is>
      </c>
      <c r="X1625" t="inlineStr">
        <is>
          <t>NONE</t>
        </is>
      </c>
      <c r="Y1625" t="n">
        <v>0</v>
      </c>
      <c r="Z1625" t="inlineStr"/>
      <c r="AA1625" t="inlineStr">
        <is>
          <t>https://rules.emergingthreats.net/</t>
        </is>
      </c>
    </row>
    <row r="1626">
      <c r="A1626" t="inlineStr">
        <is>
          <t>EMERGING_THREAT_IP</t>
        </is>
      </c>
      <c r="B1626" t="inlineStr">
        <is>
          <t>50750a0dd5f6</t>
        </is>
      </c>
      <c r="C1626" t="inlineStr">
        <is>
          <t>Emerging Threats Compromised IP: 104.236.84.17 | Sources: EMERGING_THREATS</t>
        </is>
      </c>
      <c r="D1626" t="n">
        <v>6.5</v>
      </c>
      <c r="E1626" t="inlineStr">
        <is>
          <t>HIGH</t>
        </is>
      </c>
      <c r="F1626" t="n">
        <v>3</v>
      </c>
      <c r="G1626" t="n">
        <v>2</v>
      </c>
      <c r="H1626" t="inlineStr">
        <is>
          <t>HIGH</t>
        </is>
      </c>
      <c r="I1626" t="n">
        <v>12.5</v>
      </c>
      <c r="J1626" t="inlineStr">
        <is>
          <t>NO</t>
        </is>
      </c>
      <c r="K1626" t="inlineStr">
        <is>
          <t>2026-02-27 20:47</t>
        </is>
      </c>
      <c r="L1626" t="inlineStr">
        <is>
          <t>Block IP</t>
        </is>
      </c>
      <c r="M1626" t="inlineStr">
        <is>
          <t>Network perimeter</t>
        </is>
      </c>
      <c r="N1626" t="inlineStr">
        <is>
          <t>P3</t>
        </is>
      </c>
      <c r="O1626" t="inlineStr">
        <is>
          <t>Check ip-api.com + AbuseIPDB for context</t>
        </is>
      </c>
      <c r="P1626" t="n">
        <v>0</v>
      </c>
      <c r="Q1626" t="n">
        <v>0</v>
      </c>
      <c r="R1626" t="inlineStr">
        <is>
          <t>T1110:Brute Force | T1190:Exploit Public-Facing Application</t>
        </is>
      </c>
      <c r="S1626" t="n">
        <v>1</v>
      </c>
      <c r="T1626" t="inlineStr">
        <is>
          <t>LOW (40%)</t>
        </is>
      </c>
      <c r="U1626" t="inlineStr">
        <is>
          <t>NONE</t>
        </is>
      </c>
      <c r="V1626" t="inlineStr">
        <is>
          <t>NONE</t>
        </is>
      </c>
      <c r="W1626" t="inlineStr">
        <is>
          <t>NONE</t>
        </is>
      </c>
      <c r="X1626" t="inlineStr">
        <is>
          <t>NONE</t>
        </is>
      </c>
      <c r="Y1626" t="n">
        <v>0</v>
      </c>
      <c r="Z1626" t="inlineStr"/>
      <c r="AA1626" t="inlineStr">
        <is>
          <t>https://rules.emergingthreats.net/</t>
        </is>
      </c>
    </row>
    <row r="1627">
      <c r="A1627" t="inlineStr">
        <is>
          <t>EMERGING_THREAT_IP</t>
        </is>
      </c>
      <c r="B1627" t="inlineStr">
        <is>
          <t>5ea9455342e5</t>
        </is>
      </c>
      <c r="C1627" t="inlineStr">
        <is>
          <t>Emerging Threats Compromised IP: 104.236.95.108 | Sources: EMERGING_THREATS</t>
        </is>
      </c>
      <c r="D1627" t="n">
        <v>6.5</v>
      </c>
      <c r="E1627" t="inlineStr">
        <is>
          <t>HIGH</t>
        </is>
      </c>
      <c r="F1627" t="n">
        <v>3</v>
      </c>
      <c r="G1627" t="n">
        <v>2</v>
      </c>
      <c r="H1627" t="inlineStr">
        <is>
          <t>HIGH</t>
        </is>
      </c>
      <c r="I1627" t="n">
        <v>12.5</v>
      </c>
      <c r="J1627" t="inlineStr">
        <is>
          <t>NO</t>
        </is>
      </c>
      <c r="K1627" t="inlineStr">
        <is>
          <t>2026-02-27 20:47</t>
        </is>
      </c>
      <c r="L1627" t="inlineStr">
        <is>
          <t>Block IP</t>
        </is>
      </c>
      <c r="M1627" t="inlineStr">
        <is>
          <t>Network perimeter</t>
        </is>
      </c>
      <c r="N1627" t="inlineStr">
        <is>
          <t>P3</t>
        </is>
      </c>
      <c r="O1627" t="inlineStr">
        <is>
          <t>Check ip-api.com + AbuseIPDB for context</t>
        </is>
      </c>
      <c r="P1627" t="n">
        <v>0</v>
      </c>
      <c r="Q1627" t="n">
        <v>0</v>
      </c>
      <c r="R1627" t="inlineStr">
        <is>
          <t>T1110:Brute Force | T1190:Exploit Public-Facing Application</t>
        </is>
      </c>
      <c r="S1627" t="n">
        <v>1</v>
      </c>
      <c r="T1627" t="inlineStr">
        <is>
          <t>LOW (40%)</t>
        </is>
      </c>
      <c r="U1627" t="inlineStr">
        <is>
          <t>NONE</t>
        </is>
      </c>
      <c r="V1627" t="inlineStr">
        <is>
          <t>NONE</t>
        </is>
      </c>
      <c r="W1627" t="inlineStr">
        <is>
          <t>NONE</t>
        </is>
      </c>
      <c r="X1627" t="inlineStr">
        <is>
          <t>NONE</t>
        </is>
      </c>
      <c r="Y1627" t="n">
        <v>0</v>
      </c>
      <c r="Z1627" t="inlineStr"/>
      <c r="AA1627" t="inlineStr">
        <is>
          <t>https://rules.emergingthreats.net/</t>
        </is>
      </c>
    </row>
    <row r="1628">
      <c r="A1628" t="inlineStr">
        <is>
          <t>EMERGING_THREAT_IP</t>
        </is>
      </c>
      <c r="B1628" t="inlineStr">
        <is>
          <t>7b158df7da56</t>
        </is>
      </c>
      <c r="C1628" t="inlineStr">
        <is>
          <t>Emerging Threats Compromised IP: 104.248.41.74 | Sources: EMERGING_THREATS</t>
        </is>
      </c>
      <c r="D1628" t="n">
        <v>6.5</v>
      </c>
      <c r="E1628" t="inlineStr">
        <is>
          <t>HIGH</t>
        </is>
      </c>
      <c r="F1628" t="n">
        <v>3</v>
      </c>
      <c r="G1628" t="n">
        <v>2</v>
      </c>
      <c r="H1628" t="inlineStr">
        <is>
          <t>HIGH</t>
        </is>
      </c>
      <c r="I1628" t="n">
        <v>12.5</v>
      </c>
      <c r="J1628" t="inlineStr">
        <is>
          <t>NO</t>
        </is>
      </c>
      <c r="K1628" t="inlineStr">
        <is>
          <t>2026-02-27 20:47</t>
        </is>
      </c>
      <c r="L1628" t="inlineStr">
        <is>
          <t>Block IP</t>
        </is>
      </c>
      <c r="M1628" t="inlineStr">
        <is>
          <t>Network perimeter</t>
        </is>
      </c>
      <c r="N1628" t="inlineStr">
        <is>
          <t>P3</t>
        </is>
      </c>
      <c r="O1628" t="inlineStr">
        <is>
          <t>Check ip-api.com + AbuseIPDB for context</t>
        </is>
      </c>
      <c r="P1628" t="n">
        <v>0</v>
      </c>
      <c r="Q1628" t="n">
        <v>0</v>
      </c>
      <c r="R1628" t="inlineStr">
        <is>
          <t>T1110:Brute Force | T1190:Exploit Public-Facing Application</t>
        </is>
      </c>
      <c r="S1628" t="n">
        <v>1</v>
      </c>
      <c r="T1628" t="inlineStr">
        <is>
          <t>LOW (40%)</t>
        </is>
      </c>
      <c r="U1628" t="inlineStr">
        <is>
          <t>NONE</t>
        </is>
      </c>
      <c r="V1628" t="inlineStr">
        <is>
          <t>NONE</t>
        </is>
      </c>
      <c r="W1628" t="inlineStr">
        <is>
          <t>NONE</t>
        </is>
      </c>
      <c r="X1628" t="inlineStr">
        <is>
          <t>NONE</t>
        </is>
      </c>
      <c r="Y1628" t="n">
        <v>0</v>
      </c>
      <c r="Z1628" t="inlineStr"/>
      <c r="AA1628" t="inlineStr">
        <is>
          <t>https://rules.emergingthreats.net/</t>
        </is>
      </c>
    </row>
    <row r="1629">
      <c r="A1629" t="inlineStr">
        <is>
          <t>EMERGING_THREAT_IP</t>
        </is>
      </c>
      <c r="B1629" t="inlineStr">
        <is>
          <t>0f5bdeffdf57</t>
        </is>
      </c>
      <c r="C1629" t="inlineStr">
        <is>
          <t>Emerging Threats Compromised IP: 104.248.84.27 | Sources: EMERGING_THREATS</t>
        </is>
      </c>
      <c r="D1629" t="n">
        <v>6.5</v>
      </c>
      <c r="E1629" t="inlineStr">
        <is>
          <t>HIGH</t>
        </is>
      </c>
      <c r="F1629" t="n">
        <v>3</v>
      </c>
      <c r="G1629" t="n">
        <v>2</v>
      </c>
      <c r="H1629" t="inlineStr">
        <is>
          <t>HIGH</t>
        </is>
      </c>
      <c r="I1629" t="n">
        <v>12.5</v>
      </c>
      <c r="J1629" t="inlineStr">
        <is>
          <t>NO</t>
        </is>
      </c>
      <c r="K1629" t="inlineStr">
        <is>
          <t>2026-02-27 20:47</t>
        </is>
      </c>
      <c r="L1629" t="inlineStr">
        <is>
          <t>Block IP</t>
        </is>
      </c>
      <c r="M1629" t="inlineStr">
        <is>
          <t>Network perimeter</t>
        </is>
      </c>
      <c r="N1629" t="inlineStr">
        <is>
          <t>P3</t>
        </is>
      </c>
      <c r="O1629" t="inlineStr">
        <is>
          <t>Check ip-api.com + AbuseIPDB for context</t>
        </is>
      </c>
      <c r="P1629" t="n">
        <v>0</v>
      </c>
      <c r="Q1629" t="n">
        <v>0</v>
      </c>
      <c r="R1629" t="inlineStr">
        <is>
          <t>T1110:Brute Force | T1190:Exploit Public-Facing Application</t>
        </is>
      </c>
      <c r="S1629" t="n">
        <v>1</v>
      </c>
      <c r="T1629" t="inlineStr">
        <is>
          <t>LOW (40%)</t>
        </is>
      </c>
      <c r="U1629" t="inlineStr">
        <is>
          <t>NONE</t>
        </is>
      </c>
      <c r="V1629" t="inlineStr">
        <is>
          <t>NONE</t>
        </is>
      </c>
      <c r="W1629" t="inlineStr">
        <is>
          <t>NONE</t>
        </is>
      </c>
      <c r="X1629" t="inlineStr">
        <is>
          <t>NONE</t>
        </is>
      </c>
      <c r="Y1629" t="n">
        <v>0</v>
      </c>
      <c r="Z1629" t="inlineStr"/>
      <c r="AA1629" t="inlineStr">
        <is>
          <t>https://rules.emergingthreats.net/</t>
        </is>
      </c>
    </row>
    <row r="1630">
      <c r="A1630" t="inlineStr">
        <is>
          <t>EMERGING_THREAT_IP</t>
        </is>
      </c>
      <c r="B1630" t="inlineStr">
        <is>
          <t>3f924c0230ce</t>
        </is>
      </c>
      <c r="C1630" t="inlineStr">
        <is>
          <t>Emerging Threats Compromised IP: 106.124.137.21 | Sources: EMERGING_THREATS</t>
        </is>
      </c>
      <c r="D1630" t="n">
        <v>6.5</v>
      </c>
      <c r="E1630" t="inlineStr">
        <is>
          <t>HIGH</t>
        </is>
      </c>
      <c r="F1630" t="n">
        <v>3</v>
      </c>
      <c r="G1630" t="n">
        <v>2</v>
      </c>
      <c r="H1630" t="inlineStr">
        <is>
          <t>HIGH</t>
        </is>
      </c>
      <c r="I1630" t="n">
        <v>12.5</v>
      </c>
      <c r="J1630" t="inlineStr">
        <is>
          <t>NO</t>
        </is>
      </c>
      <c r="K1630" t="inlineStr">
        <is>
          <t>2026-02-27 20:47</t>
        </is>
      </c>
      <c r="L1630" t="inlineStr">
        <is>
          <t>Block IP</t>
        </is>
      </c>
      <c r="M1630" t="inlineStr">
        <is>
          <t>Network perimeter</t>
        </is>
      </c>
      <c r="N1630" t="inlineStr">
        <is>
          <t>P3</t>
        </is>
      </c>
      <c r="O1630" t="inlineStr">
        <is>
          <t>Check ip-api.com + AbuseIPDB for context</t>
        </is>
      </c>
      <c r="P1630" t="n">
        <v>0</v>
      </c>
      <c r="Q1630" t="n">
        <v>0</v>
      </c>
      <c r="R1630" t="inlineStr">
        <is>
          <t>T1110:Brute Force | T1190:Exploit Public-Facing Application</t>
        </is>
      </c>
      <c r="S1630" t="n">
        <v>1</v>
      </c>
      <c r="T1630" t="inlineStr">
        <is>
          <t>LOW (40%)</t>
        </is>
      </c>
      <c r="U1630" t="inlineStr">
        <is>
          <t>NONE</t>
        </is>
      </c>
      <c r="V1630" t="inlineStr">
        <is>
          <t>NONE</t>
        </is>
      </c>
      <c r="W1630" t="inlineStr">
        <is>
          <t>NONE</t>
        </is>
      </c>
      <c r="X1630" t="inlineStr">
        <is>
          <t>NONE</t>
        </is>
      </c>
      <c r="Y1630" t="n">
        <v>0</v>
      </c>
      <c r="Z1630" t="inlineStr"/>
      <c r="AA1630" t="inlineStr">
        <is>
          <t>https://rules.emergingthreats.net/</t>
        </is>
      </c>
    </row>
    <row r="1631">
      <c r="A1631" t="inlineStr">
        <is>
          <t>EMERGING_THREAT_IP</t>
        </is>
      </c>
      <c r="B1631" t="inlineStr">
        <is>
          <t>9129fa0e480d</t>
        </is>
      </c>
      <c r="C1631" t="inlineStr">
        <is>
          <t>Emerging Threats Compromised IP: 106.74.27.94 | Sources: EMERGING_THREATS</t>
        </is>
      </c>
      <c r="D1631" t="n">
        <v>6.5</v>
      </c>
      <c r="E1631" t="inlineStr">
        <is>
          <t>HIGH</t>
        </is>
      </c>
      <c r="F1631" t="n">
        <v>3</v>
      </c>
      <c r="G1631" t="n">
        <v>2</v>
      </c>
      <c r="H1631" t="inlineStr">
        <is>
          <t>HIGH</t>
        </is>
      </c>
      <c r="I1631" t="n">
        <v>12.5</v>
      </c>
      <c r="J1631" t="inlineStr">
        <is>
          <t>NO</t>
        </is>
      </c>
      <c r="K1631" t="inlineStr">
        <is>
          <t>2026-02-27 20:47</t>
        </is>
      </c>
      <c r="L1631" t="inlineStr">
        <is>
          <t>Block IP</t>
        </is>
      </c>
      <c r="M1631" t="inlineStr">
        <is>
          <t>Network perimeter</t>
        </is>
      </c>
      <c r="N1631" t="inlineStr">
        <is>
          <t>P3</t>
        </is>
      </c>
      <c r="O1631" t="inlineStr">
        <is>
          <t>Check ip-api.com + AbuseIPDB for context</t>
        </is>
      </c>
      <c r="P1631" t="n">
        <v>0</v>
      </c>
      <c r="Q1631" t="n">
        <v>0</v>
      </c>
      <c r="R1631" t="inlineStr">
        <is>
          <t>T1110:Brute Force | T1190:Exploit Public-Facing Application</t>
        </is>
      </c>
      <c r="S1631" t="n">
        <v>1</v>
      </c>
      <c r="T1631" t="inlineStr">
        <is>
          <t>LOW (40%)</t>
        </is>
      </c>
      <c r="U1631" t="inlineStr">
        <is>
          <t>NONE</t>
        </is>
      </c>
      <c r="V1631" t="inlineStr">
        <is>
          <t>NONE</t>
        </is>
      </c>
      <c r="W1631" t="inlineStr">
        <is>
          <t>NONE</t>
        </is>
      </c>
      <c r="X1631" t="inlineStr">
        <is>
          <t>NONE</t>
        </is>
      </c>
      <c r="Y1631" t="n">
        <v>0</v>
      </c>
      <c r="Z1631" t="inlineStr"/>
      <c r="AA1631" t="inlineStr">
        <is>
          <t>https://rules.emergingthreats.net/</t>
        </is>
      </c>
    </row>
    <row r="1632">
      <c r="A1632" t="inlineStr">
        <is>
          <t>EMERGING_THREAT_IP</t>
        </is>
      </c>
      <c r="B1632" t="inlineStr">
        <is>
          <t>c7876c4462b8</t>
        </is>
      </c>
      <c r="C1632" t="inlineStr">
        <is>
          <t>Emerging Threats Compromised IP: 107.150.119.229 | Sources: EMERGING_THREATS</t>
        </is>
      </c>
      <c r="D1632" t="n">
        <v>6.5</v>
      </c>
      <c r="E1632" t="inlineStr">
        <is>
          <t>HIGH</t>
        </is>
      </c>
      <c r="F1632" t="n">
        <v>3</v>
      </c>
      <c r="G1632" t="n">
        <v>2</v>
      </c>
      <c r="H1632" t="inlineStr">
        <is>
          <t>HIGH</t>
        </is>
      </c>
      <c r="I1632" t="n">
        <v>12.5</v>
      </c>
      <c r="J1632" t="inlineStr">
        <is>
          <t>NO</t>
        </is>
      </c>
      <c r="K1632" t="inlineStr">
        <is>
          <t>2026-02-27 20:47</t>
        </is>
      </c>
      <c r="L1632" t="inlineStr">
        <is>
          <t>Block IP</t>
        </is>
      </c>
      <c r="M1632" t="inlineStr">
        <is>
          <t>Network perimeter</t>
        </is>
      </c>
      <c r="N1632" t="inlineStr">
        <is>
          <t>P3</t>
        </is>
      </c>
      <c r="O1632" t="inlineStr">
        <is>
          <t>Check ip-api.com + AbuseIPDB for context</t>
        </is>
      </c>
      <c r="P1632" t="n">
        <v>0</v>
      </c>
      <c r="Q1632" t="n">
        <v>0</v>
      </c>
      <c r="R1632" t="inlineStr">
        <is>
          <t>T1110:Brute Force | T1190:Exploit Public-Facing Application</t>
        </is>
      </c>
      <c r="S1632" t="n">
        <v>1</v>
      </c>
      <c r="T1632" t="inlineStr">
        <is>
          <t>LOW (40%)</t>
        </is>
      </c>
      <c r="U1632" t="inlineStr">
        <is>
          <t>NONE</t>
        </is>
      </c>
      <c r="V1632" t="inlineStr">
        <is>
          <t>NONE</t>
        </is>
      </c>
      <c r="W1632" t="inlineStr">
        <is>
          <t>NONE</t>
        </is>
      </c>
      <c r="X1632" t="inlineStr">
        <is>
          <t>NONE</t>
        </is>
      </c>
      <c r="Y1632" t="n">
        <v>0</v>
      </c>
      <c r="Z1632" t="inlineStr"/>
      <c r="AA1632" t="inlineStr">
        <is>
          <t>https://rules.emergingthreats.net/</t>
        </is>
      </c>
    </row>
    <row r="1633">
      <c r="A1633" t="inlineStr">
        <is>
          <t>EMERGING_THREAT_IP</t>
        </is>
      </c>
      <c r="B1633" t="inlineStr">
        <is>
          <t>f70533669fa1</t>
        </is>
      </c>
      <c r="C1633" t="inlineStr">
        <is>
          <t>Emerging Threats Compromised IP: 107.175.114.119 | Sources: EMERGING_THREATS</t>
        </is>
      </c>
      <c r="D1633" t="n">
        <v>6.5</v>
      </c>
      <c r="E1633" t="inlineStr">
        <is>
          <t>HIGH</t>
        </is>
      </c>
      <c r="F1633" t="n">
        <v>3</v>
      </c>
      <c r="G1633" t="n">
        <v>2</v>
      </c>
      <c r="H1633" t="inlineStr">
        <is>
          <t>HIGH</t>
        </is>
      </c>
      <c r="I1633" t="n">
        <v>12.5</v>
      </c>
      <c r="J1633" t="inlineStr">
        <is>
          <t>NO</t>
        </is>
      </c>
      <c r="K1633" t="inlineStr">
        <is>
          <t>2026-02-27 20:47</t>
        </is>
      </c>
      <c r="L1633" t="inlineStr">
        <is>
          <t>Block IP</t>
        </is>
      </c>
      <c r="M1633" t="inlineStr">
        <is>
          <t>Network perimeter</t>
        </is>
      </c>
      <c r="N1633" t="inlineStr">
        <is>
          <t>P3</t>
        </is>
      </c>
      <c r="O1633" t="inlineStr">
        <is>
          <t>Check ip-api.com + AbuseIPDB for context</t>
        </is>
      </c>
      <c r="P1633" t="n">
        <v>0</v>
      </c>
      <c r="Q1633" t="n">
        <v>0</v>
      </c>
      <c r="R1633" t="inlineStr">
        <is>
          <t>T1110:Brute Force | T1190:Exploit Public-Facing Application</t>
        </is>
      </c>
      <c r="S1633" t="n">
        <v>1</v>
      </c>
      <c r="T1633" t="inlineStr">
        <is>
          <t>LOW (40%)</t>
        </is>
      </c>
      <c r="U1633" t="inlineStr">
        <is>
          <t>NONE</t>
        </is>
      </c>
      <c r="V1633" t="inlineStr">
        <is>
          <t>NONE</t>
        </is>
      </c>
      <c r="W1633" t="inlineStr">
        <is>
          <t>NONE</t>
        </is>
      </c>
      <c r="X1633" t="inlineStr">
        <is>
          <t>NONE</t>
        </is>
      </c>
      <c r="Y1633" t="n">
        <v>0</v>
      </c>
      <c r="Z1633" t="inlineStr"/>
      <c r="AA1633" t="inlineStr">
        <is>
          <t>https://rules.emergingthreats.net/</t>
        </is>
      </c>
    </row>
    <row r="1634">
      <c r="A1634" t="inlineStr">
        <is>
          <t>EMERGING_THREAT_IP</t>
        </is>
      </c>
      <c r="B1634" t="inlineStr">
        <is>
          <t>8d4c992d158f</t>
        </is>
      </c>
      <c r="C1634" t="inlineStr">
        <is>
          <t>Emerging Threats Compromised IP: 109.122.196.176 | Sources: EMERGING_THREATS</t>
        </is>
      </c>
      <c r="D1634" t="n">
        <v>6.5</v>
      </c>
      <c r="E1634" t="inlineStr">
        <is>
          <t>HIGH</t>
        </is>
      </c>
      <c r="F1634" t="n">
        <v>3</v>
      </c>
      <c r="G1634" t="n">
        <v>2</v>
      </c>
      <c r="H1634" t="inlineStr">
        <is>
          <t>HIGH</t>
        </is>
      </c>
      <c r="I1634" t="n">
        <v>12.5</v>
      </c>
      <c r="J1634" t="inlineStr">
        <is>
          <t>NO</t>
        </is>
      </c>
      <c r="K1634" t="inlineStr">
        <is>
          <t>2026-02-27 20:47</t>
        </is>
      </c>
      <c r="L1634" t="inlineStr">
        <is>
          <t>Block IP</t>
        </is>
      </c>
      <c r="M1634" t="inlineStr">
        <is>
          <t>Network perimeter</t>
        </is>
      </c>
      <c r="N1634" t="inlineStr">
        <is>
          <t>P3</t>
        </is>
      </c>
      <c r="O1634" t="inlineStr">
        <is>
          <t>Check ip-api.com + AbuseIPDB for context</t>
        </is>
      </c>
      <c r="P1634" t="n">
        <v>0</v>
      </c>
      <c r="Q1634" t="n">
        <v>0</v>
      </c>
      <c r="R1634" t="inlineStr">
        <is>
          <t>T1110:Brute Force | T1190:Exploit Public-Facing Application</t>
        </is>
      </c>
      <c r="S1634" t="n">
        <v>1</v>
      </c>
      <c r="T1634" t="inlineStr">
        <is>
          <t>LOW (40%)</t>
        </is>
      </c>
      <c r="U1634" t="inlineStr">
        <is>
          <t>NONE</t>
        </is>
      </c>
      <c r="V1634" t="inlineStr">
        <is>
          <t>NONE</t>
        </is>
      </c>
      <c r="W1634" t="inlineStr">
        <is>
          <t>NONE</t>
        </is>
      </c>
      <c r="X1634" t="inlineStr">
        <is>
          <t>NONE</t>
        </is>
      </c>
      <c r="Y1634" t="n">
        <v>0</v>
      </c>
      <c r="Z1634" t="inlineStr"/>
      <c r="AA1634" t="inlineStr">
        <is>
          <t>https://rules.emergingthreats.net/</t>
        </is>
      </c>
    </row>
    <row r="1635">
      <c r="A1635" t="inlineStr">
        <is>
          <t>EMERGING_THREAT_IP</t>
        </is>
      </c>
      <c r="B1635" t="inlineStr">
        <is>
          <t>c90196742a73</t>
        </is>
      </c>
      <c r="C1635" t="inlineStr">
        <is>
          <t>Emerging Threats Compromised IP: 109.172.55.64 | Sources: EMERGING_THREATS</t>
        </is>
      </c>
      <c r="D1635" t="n">
        <v>6.5</v>
      </c>
      <c r="E1635" t="inlineStr">
        <is>
          <t>HIGH</t>
        </is>
      </c>
      <c r="F1635" t="n">
        <v>3</v>
      </c>
      <c r="G1635" t="n">
        <v>2</v>
      </c>
      <c r="H1635" t="inlineStr">
        <is>
          <t>HIGH</t>
        </is>
      </c>
      <c r="I1635" t="n">
        <v>12.5</v>
      </c>
      <c r="J1635" t="inlineStr">
        <is>
          <t>NO</t>
        </is>
      </c>
      <c r="K1635" t="inlineStr">
        <is>
          <t>2026-02-27 20:47</t>
        </is>
      </c>
      <c r="L1635" t="inlineStr">
        <is>
          <t>Block IP</t>
        </is>
      </c>
      <c r="M1635" t="inlineStr">
        <is>
          <t>Network perimeter</t>
        </is>
      </c>
      <c r="N1635" t="inlineStr">
        <is>
          <t>P3</t>
        </is>
      </c>
      <c r="O1635" t="inlineStr">
        <is>
          <t>Check ip-api.com + AbuseIPDB for context</t>
        </is>
      </c>
      <c r="P1635" t="n">
        <v>0</v>
      </c>
      <c r="Q1635" t="n">
        <v>0</v>
      </c>
      <c r="R1635" t="inlineStr">
        <is>
          <t>T1110:Brute Force | T1190:Exploit Public-Facing Application</t>
        </is>
      </c>
      <c r="S1635" t="n">
        <v>1</v>
      </c>
      <c r="T1635" t="inlineStr">
        <is>
          <t>LOW (40%)</t>
        </is>
      </c>
      <c r="U1635" t="inlineStr">
        <is>
          <t>NONE</t>
        </is>
      </c>
      <c r="V1635" t="inlineStr">
        <is>
          <t>NONE</t>
        </is>
      </c>
      <c r="W1635" t="inlineStr">
        <is>
          <t>NONE</t>
        </is>
      </c>
      <c r="X1635" t="inlineStr">
        <is>
          <t>NONE</t>
        </is>
      </c>
      <c r="Y1635" t="n">
        <v>0</v>
      </c>
      <c r="Z1635" t="inlineStr"/>
      <c r="AA1635" t="inlineStr">
        <is>
          <t>https://rules.emergingthreats.net/</t>
        </is>
      </c>
    </row>
    <row r="1636">
      <c r="A1636" t="inlineStr">
        <is>
          <t>EMERGING_THREAT_IP</t>
        </is>
      </c>
      <c r="B1636" t="inlineStr">
        <is>
          <t>58a732101248</t>
        </is>
      </c>
      <c r="C1636" t="inlineStr">
        <is>
          <t>Emerging Threats Compromised IP: 111.160.133.62 | Sources: EMERGING_THREATS</t>
        </is>
      </c>
      <c r="D1636" t="n">
        <v>6.5</v>
      </c>
      <c r="E1636" t="inlineStr">
        <is>
          <t>HIGH</t>
        </is>
      </c>
      <c r="F1636" t="n">
        <v>3</v>
      </c>
      <c r="G1636" t="n">
        <v>2</v>
      </c>
      <c r="H1636" t="inlineStr">
        <is>
          <t>HIGH</t>
        </is>
      </c>
      <c r="I1636" t="n">
        <v>12.5</v>
      </c>
      <c r="J1636" t="inlineStr">
        <is>
          <t>NO</t>
        </is>
      </c>
      <c r="K1636" t="inlineStr">
        <is>
          <t>2026-02-27 20:47</t>
        </is>
      </c>
      <c r="L1636" t="inlineStr">
        <is>
          <t>Block IP</t>
        </is>
      </c>
      <c r="M1636" t="inlineStr">
        <is>
          <t>Network perimeter</t>
        </is>
      </c>
      <c r="N1636" t="inlineStr">
        <is>
          <t>P3</t>
        </is>
      </c>
      <c r="O1636" t="inlineStr">
        <is>
          <t>Check ip-api.com + AbuseIPDB for context</t>
        </is>
      </c>
      <c r="P1636" t="n">
        <v>0</v>
      </c>
      <c r="Q1636" t="n">
        <v>0</v>
      </c>
      <c r="R1636" t="inlineStr">
        <is>
          <t>T1110:Brute Force | T1190:Exploit Public-Facing Application</t>
        </is>
      </c>
      <c r="S1636" t="n">
        <v>1</v>
      </c>
      <c r="T1636" t="inlineStr">
        <is>
          <t>LOW (40%)</t>
        </is>
      </c>
      <c r="U1636" t="inlineStr">
        <is>
          <t>NONE</t>
        </is>
      </c>
      <c r="V1636" t="inlineStr">
        <is>
          <t>NONE</t>
        </is>
      </c>
      <c r="W1636" t="inlineStr">
        <is>
          <t>NONE</t>
        </is>
      </c>
      <c r="X1636" t="inlineStr">
        <is>
          <t>NONE</t>
        </is>
      </c>
      <c r="Y1636" t="n">
        <v>0</v>
      </c>
      <c r="Z1636" t="inlineStr"/>
      <c r="AA1636" t="inlineStr">
        <is>
          <t>https://rules.emergingthreats.net/</t>
        </is>
      </c>
    </row>
    <row r="1637">
      <c r="A1637" t="inlineStr">
        <is>
          <t>EMERGING_THREAT_IP</t>
        </is>
      </c>
      <c r="B1637" t="inlineStr">
        <is>
          <t>153710cc82cd</t>
        </is>
      </c>
      <c r="C1637" t="inlineStr">
        <is>
          <t>Emerging Threats Compromised IP: 111.32.36.226 | Sources: EMERGING_THREATS</t>
        </is>
      </c>
      <c r="D1637" t="n">
        <v>6.5</v>
      </c>
      <c r="E1637" t="inlineStr">
        <is>
          <t>HIGH</t>
        </is>
      </c>
      <c r="F1637" t="n">
        <v>3</v>
      </c>
      <c r="G1637" t="n">
        <v>2</v>
      </c>
      <c r="H1637" t="inlineStr">
        <is>
          <t>HIGH</t>
        </is>
      </c>
      <c r="I1637" t="n">
        <v>12.5</v>
      </c>
      <c r="J1637" t="inlineStr">
        <is>
          <t>NO</t>
        </is>
      </c>
      <c r="K1637" t="inlineStr">
        <is>
          <t>2026-02-27 20:47</t>
        </is>
      </c>
      <c r="L1637" t="inlineStr">
        <is>
          <t>Block IP</t>
        </is>
      </c>
      <c r="M1637" t="inlineStr">
        <is>
          <t>Network perimeter</t>
        </is>
      </c>
      <c r="N1637" t="inlineStr">
        <is>
          <t>P3</t>
        </is>
      </c>
      <c r="O1637" t="inlineStr">
        <is>
          <t>Check ip-api.com + AbuseIPDB for context</t>
        </is>
      </c>
      <c r="P1637" t="n">
        <v>0</v>
      </c>
      <c r="Q1637" t="n">
        <v>0</v>
      </c>
      <c r="R1637" t="inlineStr">
        <is>
          <t>T1110:Brute Force | T1190:Exploit Public-Facing Application</t>
        </is>
      </c>
      <c r="S1637" t="n">
        <v>1</v>
      </c>
      <c r="T1637" t="inlineStr">
        <is>
          <t>LOW (40%)</t>
        </is>
      </c>
      <c r="U1637" t="inlineStr">
        <is>
          <t>NONE</t>
        </is>
      </c>
      <c r="V1637" t="inlineStr">
        <is>
          <t>NONE</t>
        </is>
      </c>
      <c r="W1637" t="inlineStr">
        <is>
          <t>NONE</t>
        </is>
      </c>
      <c r="X1637" t="inlineStr">
        <is>
          <t>NONE</t>
        </is>
      </c>
      <c r="Y1637" t="n">
        <v>0</v>
      </c>
      <c r="Z1637" t="inlineStr"/>
      <c r="AA1637" t="inlineStr">
        <is>
          <t>https://rules.emergingthreats.net/</t>
        </is>
      </c>
    </row>
    <row r="1638">
      <c r="A1638" t="inlineStr">
        <is>
          <t>EMERGING_THREAT_IP</t>
        </is>
      </c>
      <c r="B1638" t="inlineStr">
        <is>
          <t>56362e505e20</t>
        </is>
      </c>
      <c r="C1638" t="inlineStr">
        <is>
          <t>Emerging Threats Compromised IP: 112.163.119.199 | Sources: EMERGING_THREATS</t>
        </is>
      </c>
      <c r="D1638" t="n">
        <v>6.5</v>
      </c>
      <c r="E1638" t="inlineStr">
        <is>
          <t>HIGH</t>
        </is>
      </c>
      <c r="F1638" t="n">
        <v>3</v>
      </c>
      <c r="G1638" t="n">
        <v>2</v>
      </c>
      <c r="H1638" t="inlineStr">
        <is>
          <t>HIGH</t>
        </is>
      </c>
      <c r="I1638" t="n">
        <v>12.5</v>
      </c>
      <c r="J1638" t="inlineStr">
        <is>
          <t>NO</t>
        </is>
      </c>
      <c r="K1638" t="inlineStr">
        <is>
          <t>2026-02-27 20:47</t>
        </is>
      </c>
      <c r="L1638" t="inlineStr">
        <is>
          <t>Block IP</t>
        </is>
      </c>
      <c r="M1638" t="inlineStr">
        <is>
          <t>Network perimeter</t>
        </is>
      </c>
      <c r="N1638" t="inlineStr">
        <is>
          <t>P3</t>
        </is>
      </c>
      <c r="O1638" t="inlineStr">
        <is>
          <t>Check ip-api.com + AbuseIPDB for context</t>
        </is>
      </c>
      <c r="P1638" t="n">
        <v>0</v>
      </c>
      <c r="Q1638" t="n">
        <v>0</v>
      </c>
      <c r="R1638" t="inlineStr">
        <is>
          <t>T1110:Brute Force | T1190:Exploit Public-Facing Application</t>
        </is>
      </c>
      <c r="S1638" t="n">
        <v>1</v>
      </c>
      <c r="T1638" t="inlineStr">
        <is>
          <t>LOW (40%)</t>
        </is>
      </c>
      <c r="U1638" t="inlineStr">
        <is>
          <t>NONE</t>
        </is>
      </c>
      <c r="V1638" t="inlineStr">
        <is>
          <t>NONE</t>
        </is>
      </c>
      <c r="W1638" t="inlineStr">
        <is>
          <t>NONE</t>
        </is>
      </c>
      <c r="X1638" t="inlineStr">
        <is>
          <t>NONE</t>
        </is>
      </c>
      <c r="Y1638" t="n">
        <v>0</v>
      </c>
      <c r="Z1638" t="inlineStr"/>
      <c r="AA1638" t="inlineStr">
        <is>
          <t>https://rules.emergingthreats.net/</t>
        </is>
      </c>
    </row>
    <row r="1639">
      <c r="A1639" t="inlineStr">
        <is>
          <t>EMERGING_THREAT_IP</t>
        </is>
      </c>
      <c r="B1639" t="inlineStr">
        <is>
          <t>a5391b0ff482</t>
        </is>
      </c>
      <c r="C1639" t="inlineStr">
        <is>
          <t>Emerging Threats Compromised IP: 112.203.76.195 | Sources: EMERGING_THREATS</t>
        </is>
      </c>
      <c r="D1639" t="n">
        <v>6.5</v>
      </c>
      <c r="E1639" t="inlineStr">
        <is>
          <t>HIGH</t>
        </is>
      </c>
      <c r="F1639" t="n">
        <v>3</v>
      </c>
      <c r="G1639" t="n">
        <v>2</v>
      </c>
      <c r="H1639" t="inlineStr">
        <is>
          <t>HIGH</t>
        </is>
      </c>
      <c r="I1639" t="n">
        <v>12.5</v>
      </c>
      <c r="J1639" t="inlineStr">
        <is>
          <t>NO</t>
        </is>
      </c>
      <c r="K1639" t="inlineStr">
        <is>
          <t>2026-02-27 20:47</t>
        </is>
      </c>
      <c r="L1639" t="inlineStr">
        <is>
          <t>Block IP</t>
        </is>
      </c>
      <c r="M1639" t="inlineStr">
        <is>
          <t>Network perimeter</t>
        </is>
      </c>
      <c r="N1639" t="inlineStr">
        <is>
          <t>P3</t>
        </is>
      </c>
      <c r="O1639" t="inlineStr">
        <is>
          <t>Check ip-api.com + AbuseIPDB for context</t>
        </is>
      </c>
      <c r="P1639" t="n">
        <v>0</v>
      </c>
      <c r="Q1639" t="n">
        <v>0</v>
      </c>
      <c r="R1639" t="inlineStr">
        <is>
          <t>T1110:Brute Force | T1190:Exploit Public-Facing Application</t>
        </is>
      </c>
      <c r="S1639" t="n">
        <v>1</v>
      </c>
      <c r="T1639" t="inlineStr">
        <is>
          <t>LOW (40%)</t>
        </is>
      </c>
      <c r="U1639" t="inlineStr">
        <is>
          <t>NONE</t>
        </is>
      </c>
      <c r="V1639" t="inlineStr">
        <is>
          <t>NONE</t>
        </is>
      </c>
      <c r="W1639" t="inlineStr">
        <is>
          <t>NONE</t>
        </is>
      </c>
      <c r="X1639" t="inlineStr">
        <is>
          <t>NONE</t>
        </is>
      </c>
      <c r="Y1639" t="n">
        <v>0</v>
      </c>
      <c r="Z1639" t="inlineStr"/>
      <c r="AA1639" t="inlineStr">
        <is>
          <t>https://rules.emergingthreats.net/</t>
        </is>
      </c>
    </row>
    <row r="1640">
      <c r="A1640" t="inlineStr">
        <is>
          <t>EMERGING_THREAT_IP</t>
        </is>
      </c>
      <c r="B1640" t="inlineStr">
        <is>
          <t>fb69466d3c6c</t>
        </is>
      </c>
      <c r="C1640" t="inlineStr">
        <is>
          <t>Emerging Threats Compromised IP: 113.240.110.0 | Sources: EMERGING_THREATS</t>
        </is>
      </c>
      <c r="D1640" t="n">
        <v>6.5</v>
      </c>
      <c r="E1640" t="inlineStr">
        <is>
          <t>HIGH</t>
        </is>
      </c>
      <c r="F1640" t="n">
        <v>3</v>
      </c>
      <c r="G1640" t="n">
        <v>2</v>
      </c>
      <c r="H1640" t="inlineStr">
        <is>
          <t>HIGH</t>
        </is>
      </c>
      <c r="I1640" t="n">
        <v>12.5</v>
      </c>
      <c r="J1640" t="inlineStr">
        <is>
          <t>NO</t>
        </is>
      </c>
      <c r="K1640" t="inlineStr">
        <is>
          <t>2026-02-27 20:47</t>
        </is>
      </c>
      <c r="L1640" t="inlineStr">
        <is>
          <t>Block IP</t>
        </is>
      </c>
      <c r="M1640" t="inlineStr">
        <is>
          <t>Network perimeter</t>
        </is>
      </c>
      <c r="N1640" t="inlineStr">
        <is>
          <t>P3</t>
        </is>
      </c>
      <c r="O1640" t="inlineStr">
        <is>
          <t>Check ip-api.com + AbuseIPDB for context</t>
        </is>
      </c>
      <c r="P1640" t="n">
        <v>0</v>
      </c>
      <c r="Q1640" t="n">
        <v>0</v>
      </c>
      <c r="R1640" t="inlineStr">
        <is>
          <t>T1110:Brute Force | T1190:Exploit Public-Facing Application</t>
        </is>
      </c>
      <c r="S1640" t="n">
        <v>1</v>
      </c>
      <c r="T1640" t="inlineStr">
        <is>
          <t>LOW (40%)</t>
        </is>
      </c>
      <c r="U1640" t="inlineStr">
        <is>
          <t>NONE</t>
        </is>
      </c>
      <c r="V1640" t="inlineStr">
        <is>
          <t>NONE</t>
        </is>
      </c>
      <c r="W1640" t="inlineStr">
        <is>
          <t>NONE</t>
        </is>
      </c>
      <c r="X1640" t="inlineStr">
        <is>
          <t>NONE</t>
        </is>
      </c>
      <c r="Y1640" t="n">
        <v>0</v>
      </c>
      <c r="Z1640" t="inlineStr"/>
      <c r="AA1640" t="inlineStr">
        <is>
          <t>https://rules.emergingthreats.net/</t>
        </is>
      </c>
    </row>
    <row r="1641">
      <c r="A1641" t="inlineStr">
        <is>
          <t>EMERGING_THREAT_IP</t>
        </is>
      </c>
      <c r="B1641" t="inlineStr">
        <is>
          <t>2bc8ac825e6b</t>
        </is>
      </c>
      <c r="C1641" t="inlineStr">
        <is>
          <t>Emerging Threats Compromised IP: 114.246.36.108 | Sources: EMERGING_THREATS</t>
        </is>
      </c>
      <c r="D1641" t="n">
        <v>6.5</v>
      </c>
      <c r="E1641" t="inlineStr">
        <is>
          <t>HIGH</t>
        </is>
      </c>
      <c r="F1641" t="n">
        <v>3</v>
      </c>
      <c r="G1641" t="n">
        <v>2</v>
      </c>
      <c r="H1641" t="inlineStr">
        <is>
          <t>HIGH</t>
        </is>
      </c>
      <c r="I1641" t="n">
        <v>12.5</v>
      </c>
      <c r="J1641" t="inlineStr">
        <is>
          <t>NO</t>
        </is>
      </c>
      <c r="K1641" t="inlineStr">
        <is>
          <t>2026-02-27 20:47</t>
        </is>
      </c>
      <c r="L1641" t="inlineStr">
        <is>
          <t>Block IP</t>
        </is>
      </c>
      <c r="M1641" t="inlineStr">
        <is>
          <t>Network perimeter</t>
        </is>
      </c>
      <c r="N1641" t="inlineStr">
        <is>
          <t>P3</t>
        </is>
      </c>
      <c r="O1641" t="inlineStr">
        <is>
          <t>Check ip-api.com + AbuseIPDB for context</t>
        </is>
      </c>
      <c r="P1641" t="n">
        <v>0</v>
      </c>
      <c r="Q1641" t="n">
        <v>0</v>
      </c>
      <c r="R1641" t="inlineStr">
        <is>
          <t>T1110:Brute Force | T1190:Exploit Public-Facing Application</t>
        </is>
      </c>
      <c r="S1641" t="n">
        <v>1</v>
      </c>
      <c r="T1641" t="inlineStr">
        <is>
          <t>LOW (40%)</t>
        </is>
      </c>
      <c r="U1641" t="inlineStr">
        <is>
          <t>NONE</t>
        </is>
      </c>
      <c r="V1641" t="inlineStr">
        <is>
          <t>NONE</t>
        </is>
      </c>
      <c r="W1641" t="inlineStr">
        <is>
          <t>NONE</t>
        </is>
      </c>
      <c r="X1641" t="inlineStr">
        <is>
          <t>NONE</t>
        </is>
      </c>
      <c r="Y1641" t="n">
        <v>0</v>
      </c>
      <c r="Z1641" t="inlineStr"/>
      <c r="AA1641" t="inlineStr">
        <is>
          <t>https://rules.emergingthreats.net/</t>
        </is>
      </c>
    </row>
    <row r="1642">
      <c r="A1642" t="inlineStr">
        <is>
          <t>EMERGING_THREAT_IP</t>
        </is>
      </c>
      <c r="B1642" t="inlineStr">
        <is>
          <t>0d9c0ca40d1b</t>
        </is>
      </c>
      <c r="C1642" t="inlineStr">
        <is>
          <t>Emerging Threats Compromised IP: 115.140.161.61 | Sources: EMERGING_THREATS</t>
        </is>
      </c>
      <c r="D1642" t="n">
        <v>6.5</v>
      </c>
      <c r="E1642" t="inlineStr">
        <is>
          <t>HIGH</t>
        </is>
      </c>
      <c r="F1642" t="n">
        <v>3</v>
      </c>
      <c r="G1642" t="n">
        <v>2</v>
      </c>
      <c r="H1642" t="inlineStr">
        <is>
          <t>HIGH</t>
        </is>
      </c>
      <c r="I1642" t="n">
        <v>12.5</v>
      </c>
      <c r="J1642" t="inlineStr">
        <is>
          <t>NO</t>
        </is>
      </c>
      <c r="K1642" t="inlineStr">
        <is>
          <t>2026-02-27 20:47</t>
        </is>
      </c>
      <c r="L1642" t="inlineStr">
        <is>
          <t>Block IP</t>
        </is>
      </c>
      <c r="M1642" t="inlineStr">
        <is>
          <t>Network perimeter</t>
        </is>
      </c>
      <c r="N1642" t="inlineStr">
        <is>
          <t>P3</t>
        </is>
      </c>
      <c r="O1642" t="inlineStr">
        <is>
          <t>Check ip-api.com + AbuseIPDB for context</t>
        </is>
      </c>
      <c r="P1642" t="n">
        <v>0</v>
      </c>
      <c r="Q1642" t="n">
        <v>0</v>
      </c>
      <c r="R1642" t="inlineStr">
        <is>
          <t>T1110:Brute Force | T1190:Exploit Public-Facing Application</t>
        </is>
      </c>
      <c r="S1642" t="n">
        <v>1</v>
      </c>
      <c r="T1642" t="inlineStr">
        <is>
          <t>LOW (40%)</t>
        </is>
      </c>
      <c r="U1642" t="inlineStr">
        <is>
          <t>NONE</t>
        </is>
      </c>
      <c r="V1642" t="inlineStr">
        <is>
          <t>NONE</t>
        </is>
      </c>
      <c r="W1642" t="inlineStr">
        <is>
          <t>NONE</t>
        </is>
      </c>
      <c r="X1642" t="inlineStr">
        <is>
          <t>NONE</t>
        </is>
      </c>
      <c r="Y1642" t="n">
        <v>0</v>
      </c>
      <c r="Z1642" t="inlineStr"/>
      <c r="AA1642" t="inlineStr">
        <is>
          <t>https://rules.emergingthreats.net/</t>
        </is>
      </c>
    </row>
    <row r="1643">
      <c r="A1643" t="inlineStr">
        <is>
          <t>EMERGING_THREAT_IP</t>
        </is>
      </c>
      <c r="B1643" t="inlineStr">
        <is>
          <t>b193ce1c8118</t>
        </is>
      </c>
      <c r="C1643" t="inlineStr">
        <is>
          <t>Emerging Threats Compromised IP: 115.160.79.71 | Sources: EMERGING_THREATS</t>
        </is>
      </c>
      <c r="D1643" t="n">
        <v>6.5</v>
      </c>
      <c r="E1643" t="inlineStr">
        <is>
          <t>HIGH</t>
        </is>
      </c>
      <c r="F1643" t="n">
        <v>3</v>
      </c>
      <c r="G1643" t="n">
        <v>2</v>
      </c>
      <c r="H1643" t="inlineStr">
        <is>
          <t>HIGH</t>
        </is>
      </c>
      <c r="I1643" t="n">
        <v>12.5</v>
      </c>
      <c r="J1643" t="inlineStr">
        <is>
          <t>NO</t>
        </is>
      </c>
      <c r="K1643" t="inlineStr">
        <is>
          <t>2026-02-27 20:47</t>
        </is>
      </c>
      <c r="L1643" t="inlineStr">
        <is>
          <t>Block IP</t>
        </is>
      </c>
      <c r="M1643" t="inlineStr">
        <is>
          <t>Network perimeter</t>
        </is>
      </c>
      <c r="N1643" t="inlineStr">
        <is>
          <t>P3</t>
        </is>
      </c>
      <c r="O1643" t="inlineStr">
        <is>
          <t>Check ip-api.com + AbuseIPDB for context</t>
        </is>
      </c>
      <c r="P1643" t="n">
        <v>0</v>
      </c>
      <c r="Q1643" t="n">
        <v>0</v>
      </c>
      <c r="R1643" t="inlineStr">
        <is>
          <t>T1110:Brute Force | T1190:Exploit Public-Facing Application</t>
        </is>
      </c>
      <c r="S1643" t="n">
        <v>1</v>
      </c>
      <c r="T1643" t="inlineStr">
        <is>
          <t>LOW (40%)</t>
        </is>
      </c>
      <c r="U1643" t="inlineStr">
        <is>
          <t>NONE</t>
        </is>
      </c>
      <c r="V1643" t="inlineStr">
        <is>
          <t>NONE</t>
        </is>
      </c>
      <c r="W1643" t="inlineStr">
        <is>
          <t>NONE</t>
        </is>
      </c>
      <c r="X1643" t="inlineStr">
        <is>
          <t>NONE</t>
        </is>
      </c>
      <c r="Y1643" t="n">
        <v>0</v>
      </c>
      <c r="Z1643" t="inlineStr"/>
      <c r="AA1643" t="inlineStr">
        <is>
          <t>https://rules.emergingthreats.net/</t>
        </is>
      </c>
    </row>
    <row r="1644">
      <c r="A1644" t="inlineStr">
        <is>
          <t>EMERGING_THREAT_IP</t>
        </is>
      </c>
      <c r="B1644" t="inlineStr">
        <is>
          <t>98108d97a1e0</t>
        </is>
      </c>
      <c r="C1644" t="inlineStr">
        <is>
          <t>Emerging Threats Compromised IP: 115.190.14.206 | Sources: EMERGING_THREATS</t>
        </is>
      </c>
      <c r="D1644" t="n">
        <v>6.5</v>
      </c>
      <c r="E1644" t="inlineStr">
        <is>
          <t>HIGH</t>
        </is>
      </c>
      <c r="F1644" t="n">
        <v>3</v>
      </c>
      <c r="G1644" t="n">
        <v>2</v>
      </c>
      <c r="H1644" t="inlineStr">
        <is>
          <t>HIGH</t>
        </is>
      </c>
      <c r="I1644" t="n">
        <v>12.5</v>
      </c>
      <c r="J1644" t="inlineStr">
        <is>
          <t>NO</t>
        </is>
      </c>
      <c r="K1644" t="inlineStr">
        <is>
          <t>2026-02-27 20:47</t>
        </is>
      </c>
      <c r="L1644" t="inlineStr">
        <is>
          <t>Block IP</t>
        </is>
      </c>
      <c r="M1644" t="inlineStr">
        <is>
          <t>Network perimeter</t>
        </is>
      </c>
      <c r="N1644" t="inlineStr">
        <is>
          <t>P3</t>
        </is>
      </c>
      <c r="O1644" t="inlineStr">
        <is>
          <t>Check ip-api.com + AbuseIPDB for context</t>
        </is>
      </c>
      <c r="P1644" t="n">
        <v>0</v>
      </c>
      <c r="Q1644" t="n">
        <v>0</v>
      </c>
      <c r="R1644" t="inlineStr">
        <is>
          <t>T1110:Brute Force | T1190:Exploit Public-Facing Application</t>
        </is>
      </c>
      <c r="S1644" t="n">
        <v>1</v>
      </c>
      <c r="T1644" t="inlineStr">
        <is>
          <t>LOW (40%)</t>
        </is>
      </c>
      <c r="U1644" t="inlineStr">
        <is>
          <t>NONE</t>
        </is>
      </c>
      <c r="V1644" t="inlineStr">
        <is>
          <t>NONE</t>
        </is>
      </c>
      <c r="W1644" t="inlineStr">
        <is>
          <t>NONE</t>
        </is>
      </c>
      <c r="X1644" t="inlineStr">
        <is>
          <t>NONE</t>
        </is>
      </c>
      <c r="Y1644" t="n">
        <v>0</v>
      </c>
      <c r="Z1644" t="inlineStr"/>
      <c r="AA1644" t="inlineStr">
        <is>
          <t>https://rules.emergingthreats.net/</t>
        </is>
      </c>
    </row>
    <row r="1645">
      <c r="A1645" t="inlineStr">
        <is>
          <t>EMERGING_THREAT_IP</t>
        </is>
      </c>
      <c r="B1645" t="inlineStr">
        <is>
          <t>f6a22beb1877</t>
        </is>
      </c>
      <c r="C1645" t="inlineStr">
        <is>
          <t>Emerging Threats Compromised IP: 115.190.20.70 | Sources: EMERGING_THREATS</t>
        </is>
      </c>
      <c r="D1645" t="n">
        <v>6.5</v>
      </c>
      <c r="E1645" t="inlineStr">
        <is>
          <t>HIGH</t>
        </is>
      </c>
      <c r="F1645" t="n">
        <v>3</v>
      </c>
      <c r="G1645" t="n">
        <v>2</v>
      </c>
      <c r="H1645" t="inlineStr">
        <is>
          <t>HIGH</t>
        </is>
      </c>
      <c r="I1645" t="n">
        <v>12.5</v>
      </c>
      <c r="J1645" t="inlineStr">
        <is>
          <t>NO</t>
        </is>
      </c>
      <c r="K1645" t="inlineStr">
        <is>
          <t>2026-02-27 20:47</t>
        </is>
      </c>
      <c r="L1645" t="inlineStr">
        <is>
          <t>Block IP</t>
        </is>
      </c>
      <c r="M1645" t="inlineStr">
        <is>
          <t>Network perimeter</t>
        </is>
      </c>
      <c r="N1645" t="inlineStr">
        <is>
          <t>P3</t>
        </is>
      </c>
      <c r="O1645" t="inlineStr">
        <is>
          <t>Check ip-api.com + AbuseIPDB for context</t>
        </is>
      </c>
      <c r="P1645" t="n">
        <v>0</v>
      </c>
      <c r="Q1645" t="n">
        <v>0</v>
      </c>
      <c r="R1645" t="inlineStr">
        <is>
          <t>T1110:Brute Force | T1190:Exploit Public-Facing Application</t>
        </is>
      </c>
      <c r="S1645" t="n">
        <v>1</v>
      </c>
      <c r="T1645" t="inlineStr">
        <is>
          <t>LOW (40%)</t>
        </is>
      </c>
      <c r="U1645" t="inlineStr">
        <is>
          <t>NONE</t>
        </is>
      </c>
      <c r="V1645" t="inlineStr">
        <is>
          <t>NONE</t>
        </is>
      </c>
      <c r="W1645" t="inlineStr">
        <is>
          <t>NONE</t>
        </is>
      </c>
      <c r="X1645" t="inlineStr">
        <is>
          <t>NONE</t>
        </is>
      </c>
      <c r="Y1645" t="n">
        <v>0</v>
      </c>
      <c r="Z1645" t="inlineStr"/>
      <c r="AA1645" t="inlineStr">
        <is>
          <t>https://rules.emergingthreats.net/</t>
        </is>
      </c>
    </row>
    <row r="1646">
      <c r="A1646" t="inlineStr">
        <is>
          <t>EMERGING_THREAT_IP</t>
        </is>
      </c>
      <c r="B1646" t="inlineStr">
        <is>
          <t>601857c09b38</t>
        </is>
      </c>
      <c r="C1646" t="inlineStr">
        <is>
          <t>Emerging Threats Compromised IP: 115.190.87.147 | Sources: EMERGING_THREATS</t>
        </is>
      </c>
      <c r="D1646" t="n">
        <v>6.5</v>
      </c>
      <c r="E1646" t="inlineStr">
        <is>
          <t>HIGH</t>
        </is>
      </c>
      <c r="F1646" t="n">
        <v>3</v>
      </c>
      <c r="G1646" t="n">
        <v>2</v>
      </c>
      <c r="H1646" t="inlineStr">
        <is>
          <t>HIGH</t>
        </is>
      </c>
      <c r="I1646" t="n">
        <v>12.5</v>
      </c>
      <c r="J1646" t="inlineStr">
        <is>
          <t>NO</t>
        </is>
      </c>
      <c r="K1646" t="inlineStr">
        <is>
          <t>2026-02-27 20:47</t>
        </is>
      </c>
      <c r="L1646" t="inlineStr">
        <is>
          <t>Block IP</t>
        </is>
      </c>
      <c r="M1646" t="inlineStr">
        <is>
          <t>Network perimeter</t>
        </is>
      </c>
      <c r="N1646" t="inlineStr">
        <is>
          <t>P3</t>
        </is>
      </c>
      <c r="O1646" t="inlineStr">
        <is>
          <t>Check ip-api.com + AbuseIPDB for context</t>
        </is>
      </c>
      <c r="P1646" t="n">
        <v>0</v>
      </c>
      <c r="Q1646" t="n">
        <v>0</v>
      </c>
      <c r="R1646" t="inlineStr">
        <is>
          <t>T1110:Brute Force | T1190:Exploit Public-Facing Application</t>
        </is>
      </c>
      <c r="S1646" t="n">
        <v>1</v>
      </c>
      <c r="T1646" t="inlineStr">
        <is>
          <t>LOW (40%)</t>
        </is>
      </c>
      <c r="U1646" t="inlineStr">
        <is>
          <t>NONE</t>
        </is>
      </c>
      <c r="V1646" t="inlineStr">
        <is>
          <t>NONE</t>
        </is>
      </c>
      <c r="W1646" t="inlineStr">
        <is>
          <t>NONE</t>
        </is>
      </c>
      <c r="X1646" t="inlineStr">
        <is>
          <t>NONE</t>
        </is>
      </c>
      <c r="Y1646" t="n">
        <v>0</v>
      </c>
      <c r="Z1646" t="inlineStr"/>
      <c r="AA1646" t="inlineStr">
        <is>
          <t>https://rules.emergingthreats.net/</t>
        </is>
      </c>
    </row>
    <row r="1647">
      <c r="A1647" t="inlineStr">
        <is>
          <t>EMERGING_THREAT_IP</t>
        </is>
      </c>
      <c r="B1647" t="inlineStr">
        <is>
          <t>a39bf180eb6c</t>
        </is>
      </c>
      <c r="C1647" t="inlineStr">
        <is>
          <t>Emerging Threats Compromised IP: 115.245.162.218 | Sources: EMERGING_THREATS</t>
        </is>
      </c>
      <c r="D1647" t="n">
        <v>6.5</v>
      </c>
      <c r="E1647" t="inlineStr">
        <is>
          <t>HIGH</t>
        </is>
      </c>
      <c r="F1647" t="n">
        <v>3</v>
      </c>
      <c r="G1647" t="n">
        <v>2</v>
      </c>
      <c r="H1647" t="inlineStr">
        <is>
          <t>HIGH</t>
        </is>
      </c>
      <c r="I1647" t="n">
        <v>12.5</v>
      </c>
      <c r="J1647" t="inlineStr">
        <is>
          <t>NO</t>
        </is>
      </c>
      <c r="K1647" t="inlineStr">
        <is>
          <t>2026-02-27 20:47</t>
        </is>
      </c>
      <c r="L1647" t="inlineStr">
        <is>
          <t>Block IP</t>
        </is>
      </c>
      <c r="M1647" t="inlineStr">
        <is>
          <t>Network perimeter</t>
        </is>
      </c>
      <c r="N1647" t="inlineStr">
        <is>
          <t>P3</t>
        </is>
      </c>
      <c r="O1647" t="inlineStr">
        <is>
          <t>Check ip-api.com + AbuseIPDB for context</t>
        </is>
      </c>
      <c r="P1647" t="n">
        <v>0</v>
      </c>
      <c r="Q1647" t="n">
        <v>0</v>
      </c>
      <c r="R1647" t="inlineStr">
        <is>
          <t>T1110:Brute Force | T1190:Exploit Public-Facing Application</t>
        </is>
      </c>
      <c r="S1647" t="n">
        <v>1</v>
      </c>
      <c r="T1647" t="inlineStr">
        <is>
          <t>LOW (40%)</t>
        </is>
      </c>
      <c r="U1647" t="inlineStr">
        <is>
          <t>NONE</t>
        </is>
      </c>
      <c r="V1647" t="inlineStr">
        <is>
          <t>NONE</t>
        </is>
      </c>
      <c r="W1647" t="inlineStr">
        <is>
          <t>NONE</t>
        </is>
      </c>
      <c r="X1647" t="inlineStr">
        <is>
          <t>NONE</t>
        </is>
      </c>
      <c r="Y1647" t="n">
        <v>0</v>
      </c>
      <c r="Z1647" t="inlineStr"/>
      <c r="AA1647" t="inlineStr">
        <is>
          <t>https://rules.emergingthreats.net/</t>
        </is>
      </c>
    </row>
    <row r="1648">
      <c r="A1648" t="inlineStr">
        <is>
          <t>EMERGING_THREAT_IP</t>
        </is>
      </c>
      <c r="B1648" t="inlineStr">
        <is>
          <t>c251342adada</t>
        </is>
      </c>
      <c r="C1648" t="inlineStr">
        <is>
          <t>Emerging Threats Compromised IP: 116.110.13.198 | Sources: EMERGING_THREATS</t>
        </is>
      </c>
      <c r="D1648" t="n">
        <v>6.5</v>
      </c>
      <c r="E1648" t="inlineStr">
        <is>
          <t>HIGH</t>
        </is>
      </c>
      <c r="F1648" t="n">
        <v>3</v>
      </c>
      <c r="G1648" t="n">
        <v>2</v>
      </c>
      <c r="H1648" t="inlineStr">
        <is>
          <t>HIGH</t>
        </is>
      </c>
      <c r="I1648" t="n">
        <v>12.5</v>
      </c>
      <c r="J1648" t="inlineStr">
        <is>
          <t>NO</t>
        </is>
      </c>
      <c r="K1648" t="inlineStr">
        <is>
          <t>2026-02-27 20:47</t>
        </is>
      </c>
      <c r="L1648" t="inlineStr">
        <is>
          <t>Block IP</t>
        </is>
      </c>
      <c r="M1648" t="inlineStr">
        <is>
          <t>Network perimeter</t>
        </is>
      </c>
      <c r="N1648" t="inlineStr">
        <is>
          <t>P3</t>
        </is>
      </c>
      <c r="O1648" t="inlineStr">
        <is>
          <t>Check ip-api.com + AbuseIPDB for context</t>
        </is>
      </c>
      <c r="P1648" t="n">
        <v>0</v>
      </c>
      <c r="Q1648" t="n">
        <v>0</v>
      </c>
      <c r="R1648" t="inlineStr">
        <is>
          <t>T1110:Brute Force | T1190:Exploit Public-Facing Application</t>
        </is>
      </c>
      <c r="S1648" t="n">
        <v>1</v>
      </c>
      <c r="T1648" t="inlineStr">
        <is>
          <t>LOW (40%)</t>
        </is>
      </c>
      <c r="U1648" t="inlineStr">
        <is>
          <t>NONE</t>
        </is>
      </c>
      <c r="V1648" t="inlineStr">
        <is>
          <t>NONE</t>
        </is>
      </c>
      <c r="W1648" t="inlineStr">
        <is>
          <t>NONE</t>
        </is>
      </c>
      <c r="X1648" t="inlineStr">
        <is>
          <t>NONE</t>
        </is>
      </c>
      <c r="Y1648" t="n">
        <v>0</v>
      </c>
      <c r="Z1648" t="inlineStr"/>
      <c r="AA1648" t="inlineStr">
        <is>
          <t>https://rules.emergingthreats.net/</t>
        </is>
      </c>
    </row>
    <row r="1649">
      <c r="A1649" t="inlineStr">
        <is>
          <t>EMERGING_THREAT_IP</t>
        </is>
      </c>
      <c r="B1649" t="inlineStr">
        <is>
          <t>689af0729f7f</t>
        </is>
      </c>
      <c r="C1649" t="inlineStr">
        <is>
          <t>Emerging Threats Compromised IP: 116.110.146.223 | Sources: EMERGING_THREATS</t>
        </is>
      </c>
      <c r="D1649" t="n">
        <v>6.5</v>
      </c>
      <c r="E1649" t="inlineStr">
        <is>
          <t>HIGH</t>
        </is>
      </c>
      <c r="F1649" t="n">
        <v>3</v>
      </c>
      <c r="G1649" t="n">
        <v>2</v>
      </c>
      <c r="H1649" t="inlineStr">
        <is>
          <t>HIGH</t>
        </is>
      </c>
      <c r="I1649" t="n">
        <v>12.5</v>
      </c>
      <c r="J1649" t="inlineStr">
        <is>
          <t>NO</t>
        </is>
      </c>
      <c r="K1649" t="inlineStr">
        <is>
          <t>2026-02-27 20:47</t>
        </is>
      </c>
      <c r="L1649" t="inlineStr">
        <is>
          <t>Block IP</t>
        </is>
      </c>
      <c r="M1649" t="inlineStr">
        <is>
          <t>Network perimeter</t>
        </is>
      </c>
      <c r="N1649" t="inlineStr">
        <is>
          <t>P3</t>
        </is>
      </c>
      <c r="O1649" t="inlineStr">
        <is>
          <t>Check ip-api.com + AbuseIPDB for context</t>
        </is>
      </c>
      <c r="P1649" t="n">
        <v>0</v>
      </c>
      <c r="Q1649" t="n">
        <v>0</v>
      </c>
      <c r="R1649" t="inlineStr">
        <is>
          <t>T1110:Brute Force | T1190:Exploit Public-Facing Application</t>
        </is>
      </c>
      <c r="S1649" t="n">
        <v>1</v>
      </c>
      <c r="T1649" t="inlineStr">
        <is>
          <t>LOW (40%)</t>
        </is>
      </c>
      <c r="U1649" t="inlineStr">
        <is>
          <t>NONE</t>
        </is>
      </c>
      <c r="V1649" t="inlineStr">
        <is>
          <t>NONE</t>
        </is>
      </c>
      <c r="W1649" t="inlineStr">
        <is>
          <t>NONE</t>
        </is>
      </c>
      <c r="X1649" t="inlineStr">
        <is>
          <t>NONE</t>
        </is>
      </c>
      <c r="Y1649" t="n">
        <v>0</v>
      </c>
      <c r="Z1649" t="inlineStr"/>
      <c r="AA1649" t="inlineStr">
        <is>
          <t>https://rules.emergingthreats.net/</t>
        </is>
      </c>
    </row>
    <row r="1650">
      <c r="A1650" t="inlineStr">
        <is>
          <t>EMERGING_THREAT_IP</t>
        </is>
      </c>
      <c r="B1650" t="inlineStr">
        <is>
          <t>b2f16ddb6fcd</t>
        </is>
      </c>
      <c r="C1650" t="inlineStr">
        <is>
          <t>Emerging Threats Compromised IP: 116.110.155.60 | Sources: EMERGING_THREATS</t>
        </is>
      </c>
      <c r="D1650" t="n">
        <v>6.5</v>
      </c>
      <c r="E1650" t="inlineStr">
        <is>
          <t>HIGH</t>
        </is>
      </c>
      <c r="F1650" t="n">
        <v>3</v>
      </c>
      <c r="G1650" t="n">
        <v>2</v>
      </c>
      <c r="H1650" t="inlineStr">
        <is>
          <t>HIGH</t>
        </is>
      </c>
      <c r="I1650" t="n">
        <v>12.5</v>
      </c>
      <c r="J1650" t="inlineStr">
        <is>
          <t>NO</t>
        </is>
      </c>
      <c r="K1650" t="inlineStr">
        <is>
          <t>2026-02-27 20:47</t>
        </is>
      </c>
      <c r="L1650" t="inlineStr">
        <is>
          <t>Block IP</t>
        </is>
      </c>
      <c r="M1650" t="inlineStr">
        <is>
          <t>Network perimeter</t>
        </is>
      </c>
      <c r="N1650" t="inlineStr">
        <is>
          <t>P3</t>
        </is>
      </c>
      <c r="O1650" t="inlineStr">
        <is>
          <t>Check ip-api.com + AbuseIPDB for context</t>
        </is>
      </c>
      <c r="P1650" t="n">
        <v>0</v>
      </c>
      <c r="Q1650" t="n">
        <v>0</v>
      </c>
      <c r="R1650" t="inlineStr">
        <is>
          <t>T1110:Brute Force | T1190:Exploit Public-Facing Application</t>
        </is>
      </c>
      <c r="S1650" t="n">
        <v>1</v>
      </c>
      <c r="T1650" t="inlineStr">
        <is>
          <t>LOW (40%)</t>
        </is>
      </c>
      <c r="U1650" t="inlineStr">
        <is>
          <t>NONE</t>
        </is>
      </c>
      <c r="V1650" t="inlineStr">
        <is>
          <t>NONE</t>
        </is>
      </c>
      <c r="W1650" t="inlineStr">
        <is>
          <t>NONE</t>
        </is>
      </c>
      <c r="X1650" t="inlineStr">
        <is>
          <t>NONE</t>
        </is>
      </c>
      <c r="Y1650" t="n">
        <v>0</v>
      </c>
      <c r="Z1650" t="inlineStr"/>
      <c r="AA1650" t="inlineStr">
        <is>
          <t>https://rules.emergingthreats.net/</t>
        </is>
      </c>
    </row>
    <row r="1651">
      <c r="A1651" t="inlineStr">
        <is>
          <t>EMERGING_THREAT_IP</t>
        </is>
      </c>
      <c r="B1651" t="inlineStr">
        <is>
          <t>fe1a3a1be248</t>
        </is>
      </c>
      <c r="C1651" t="inlineStr">
        <is>
          <t>Emerging Threats Compromised IP: 116.110.213.68 | Sources: EMERGING_THREATS</t>
        </is>
      </c>
      <c r="D1651" t="n">
        <v>6.5</v>
      </c>
      <c r="E1651" t="inlineStr">
        <is>
          <t>HIGH</t>
        </is>
      </c>
      <c r="F1651" t="n">
        <v>3</v>
      </c>
      <c r="G1651" t="n">
        <v>2</v>
      </c>
      <c r="H1651" t="inlineStr">
        <is>
          <t>HIGH</t>
        </is>
      </c>
      <c r="I1651" t="n">
        <v>12.5</v>
      </c>
      <c r="J1651" t="inlineStr">
        <is>
          <t>NO</t>
        </is>
      </c>
      <c r="K1651" t="inlineStr">
        <is>
          <t>2026-02-27 20:47</t>
        </is>
      </c>
      <c r="L1651" t="inlineStr">
        <is>
          <t>Block IP</t>
        </is>
      </c>
      <c r="M1651" t="inlineStr">
        <is>
          <t>Network perimeter</t>
        </is>
      </c>
      <c r="N1651" t="inlineStr">
        <is>
          <t>P3</t>
        </is>
      </c>
      <c r="O1651" t="inlineStr">
        <is>
          <t>Check ip-api.com + AbuseIPDB for context</t>
        </is>
      </c>
      <c r="P1651" t="n">
        <v>0</v>
      </c>
      <c r="Q1651" t="n">
        <v>0</v>
      </c>
      <c r="R1651" t="inlineStr">
        <is>
          <t>T1110:Brute Force | T1190:Exploit Public-Facing Application</t>
        </is>
      </c>
      <c r="S1651" t="n">
        <v>1</v>
      </c>
      <c r="T1651" t="inlineStr">
        <is>
          <t>LOW (40%)</t>
        </is>
      </c>
      <c r="U1651" t="inlineStr">
        <is>
          <t>NONE</t>
        </is>
      </c>
      <c r="V1651" t="inlineStr">
        <is>
          <t>NONE</t>
        </is>
      </c>
      <c r="W1651" t="inlineStr">
        <is>
          <t>NONE</t>
        </is>
      </c>
      <c r="X1651" t="inlineStr">
        <is>
          <t>NONE</t>
        </is>
      </c>
      <c r="Y1651" t="n">
        <v>0</v>
      </c>
      <c r="Z1651" t="inlineStr"/>
      <c r="AA1651" t="inlineStr">
        <is>
          <t>https://rules.emergingthreats.net/</t>
        </is>
      </c>
    </row>
    <row r="1652">
      <c r="A1652" t="inlineStr">
        <is>
          <t>EMERGING_THREAT_IP</t>
        </is>
      </c>
      <c r="B1652" t="inlineStr">
        <is>
          <t>c3a5ec83daeb</t>
        </is>
      </c>
      <c r="C1652" t="inlineStr">
        <is>
          <t>Emerging Threats Compromised IP: 116.110.213.79 | Sources: EMERGING_THREATS</t>
        </is>
      </c>
      <c r="D1652" t="n">
        <v>6.5</v>
      </c>
      <c r="E1652" t="inlineStr">
        <is>
          <t>HIGH</t>
        </is>
      </c>
      <c r="F1652" t="n">
        <v>3</v>
      </c>
      <c r="G1652" t="n">
        <v>2</v>
      </c>
      <c r="H1652" t="inlineStr">
        <is>
          <t>HIGH</t>
        </is>
      </c>
      <c r="I1652" t="n">
        <v>12.5</v>
      </c>
      <c r="J1652" t="inlineStr">
        <is>
          <t>NO</t>
        </is>
      </c>
      <c r="K1652" t="inlineStr">
        <is>
          <t>2026-02-27 20:47</t>
        </is>
      </c>
      <c r="L1652" t="inlineStr">
        <is>
          <t>Block IP</t>
        </is>
      </c>
      <c r="M1652" t="inlineStr">
        <is>
          <t>Network perimeter</t>
        </is>
      </c>
      <c r="N1652" t="inlineStr">
        <is>
          <t>P3</t>
        </is>
      </c>
      <c r="O1652" t="inlineStr">
        <is>
          <t>Check ip-api.com + AbuseIPDB for context</t>
        </is>
      </c>
      <c r="P1652" t="n">
        <v>0</v>
      </c>
      <c r="Q1652" t="n">
        <v>0</v>
      </c>
      <c r="R1652" t="inlineStr">
        <is>
          <t>T1110:Brute Force | T1190:Exploit Public-Facing Application</t>
        </is>
      </c>
      <c r="S1652" t="n">
        <v>1</v>
      </c>
      <c r="T1652" t="inlineStr">
        <is>
          <t>LOW (40%)</t>
        </is>
      </c>
      <c r="U1652" t="inlineStr">
        <is>
          <t>NONE</t>
        </is>
      </c>
      <c r="V1652" t="inlineStr">
        <is>
          <t>NONE</t>
        </is>
      </c>
      <c r="W1652" t="inlineStr">
        <is>
          <t>NONE</t>
        </is>
      </c>
      <c r="X1652" t="inlineStr">
        <is>
          <t>NONE</t>
        </is>
      </c>
      <c r="Y1652" t="n">
        <v>0</v>
      </c>
      <c r="Z1652" t="inlineStr"/>
      <c r="AA1652" t="inlineStr">
        <is>
          <t>https://rules.emergingthreats.net/</t>
        </is>
      </c>
    </row>
    <row r="1653">
      <c r="A1653" t="inlineStr">
        <is>
          <t>VULNCHECK_KEV</t>
        </is>
      </c>
      <c r="B1653" t="inlineStr">
        <is>
          <t>950424e6ecc8</t>
        </is>
      </c>
      <c r="C1653" t="inlineStr">
        <is>
          <t>VulnCheck KEV:  | CVEs: CVE-2026-27542</t>
        </is>
      </c>
      <c r="D1653" t="n">
        <v>7</v>
      </c>
      <c r="E1653" t="inlineStr">
        <is>
          <t>HIGH</t>
        </is>
      </c>
      <c r="F1653" t="n">
        <v>3</v>
      </c>
      <c r="G1653" t="n">
        <v>2</v>
      </c>
      <c r="H1653" t="inlineStr">
        <is>
          <t>HIGH</t>
        </is>
      </c>
      <c r="I1653" t="n">
        <v>13</v>
      </c>
      <c r="J1653" t="inlineStr">
        <is>
          <t>YES</t>
        </is>
      </c>
      <c r="K1653" t="inlineStr"/>
      <c r="L1653" t="inlineStr">
        <is>
          <t>URGENT - actively exploited</t>
        </is>
      </c>
      <c r="M1653" t="inlineStr">
        <is>
          <t>CVE-2026-27542</t>
        </is>
      </c>
      <c r="N1653" t="inlineStr">
        <is>
          <t>P1</t>
        </is>
      </c>
      <c r="O1653" t="inlineStr">
        <is>
          <t>KEV entry - check specific CVEs for IP context</t>
        </is>
      </c>
      <c r="P1653" t="n">
        <v>0</v>
      </c>
      <c r="Q1653" t="n">
        <v>0</v>
      </c>
      <c r="R1653" t="inlineStr">
        <is>
          <t>T1190:Exploit Public-Facing Application</t>
        </is>
      </c>
      <c r="S1653" t="n">
        <v>2</v>
      </c>
      <c r="T1653" t="inlineStr">
        <is>
          <t>CONFIRMED (82%)</t>
        </is>
      </c>
      <c r="U1653" t="inlineStr">
        <is>
          <t>YES</t>
        </is>
      </c>
      <c r="V1653" t="inlineStr">
        <is>
          <t>URGENT</t>
        </is>
      </c>
      <c r="W1653" t="inlineStr">
        <is>
          <t>https://vulncheck.com/blog/vuln-check-kev</t>
        </is>
      </c>
      <c r="X1653" t="inlineStr">
        <is>
          <t>NONE</t>
        </is>
      </c>
      <c r="Y1653" t="n">
        <v>0</v>
      </c>
      <c r="Z1653" t="inlineStr"/>
      <c r="AA1653" t="inlineStr">
        <is>
          <t>https://vulncheck.com/blog/vuln-check-kev</t>
        </is>
      </c>
    </row>
    <row r="1654">
      <c r="A1654" t="inlineStr">
        <is>
          <t>VULNCHECK_KEV</t>
        </is>
      </c>
      <c r="B1654" t="inlineStr">
        <is>
          <t>7960a82ce30a</t>
        </is>
      </c>
      <c r="C1654" t="inlineStr">
        <is>
          <t>VulnCheck KEV:  | CVEs: CVE-2026-27540</t>
        </is>
      </c>
      <c r="D1654" t="n">
        <v>7</v>
      </c>
      <c r="E1654" t="inlineStr">
        <is>
          <t>HIGH</t>
        </is>
      </c>
      <c r="F1654" t="n">
        <v>3</v>
      </c>
      <c r="G1654" t="n">
        <v>2</v>
      </c>
      <c r="H1654" t="inlineStr">
        <is>
          <t>HIGH</t>
        </is>
      </c>
      <c r="I1654" t="n">
        <v>13</v>
      </c>
      <c r="J1654" t="inlineStr">
        <is>
          <t>YES</t>
        </is>
      </c>
      <c r="K1654" t="inlineStr"/>
      <c r="L1654" t="inlineStr">
        <is>
          <t>URGENT - actively exploited</t>
        </is>
      </c>
      <c r="M1654" t="inlineStr">
        <is>
          <t>CVE-2026-27540</t>
        </is>
      </c>
      <c r="N1654" t="inlineStr">
        <is>
          <t>P1</t>
        </is>
      </c>
      <c r="O1654" t="inlineStr">
        <is>
          <t>KEV entry - check specific CVEs for IP context</t>
        </is>
      </c>
      <c r="P1654" t="n">
        <v>0</v>
      </c>
      <c r="Q1654" t="n">
        <v>0</v>
      </c>
      <c r="R1654" t="inlineStr">
        <is>
          <t>T1190:Exploit Public-Facing Application</t>
        </is>
      </c>
      <c r="S1654" t="n">
        <v>2</v>
      </c>
      <c r="T1654" t="inlineStr">
        <is>
          <t>CONFIRMED (82%)</t>
        </is>
      </c>
      <c r="U1654" t="inlineStr">
        <is>
          <t>YES</t>
        </is>
      </c>
      <c r="V1654" t="inlineStr">
        <is>
          <t>URGENT</t>
        </is>
      </c>
      <c r="W1654" t="inlineStr">
        <is>
          <t>https://vulncheck.com/blog/vuln-check-kev</t>
        </is>
      </c>
      <c r="X1654" t="inlineStr">
        <is>
          <t>NONE</t>
        </is>
      </c>
      <c r="Y1654" t="n">
        <v>0</v>
      </c>
      <c r="Z1654" t="inlineStr"/>
      <c r="AA1654" t="inlineStr">
        <is>
          <t>https://vulncheck.com/blog/vuln-check-kev</t>
        </is>
      </c>
    </row>
    <row r="1655">
      <c r="A1655" t="inlineStr">
        <is>
          <t>VULNCHECK_KEV</t>
        </is>
      </c>
      <c r="B1655" t="inlineStr">
        <is>
          <t>f708391a9e44</t>
        </is>
      </c>
      <c r="C165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655" t="n">
        <v>7</v>
      </c>
      <c r="E1655" t="inlineStr">
        <is>
          <t>HIGH</t>
        </is>
      </c>
      <c r="F1655" t="n">
        <v>3</v>
      </c>
      <c r="G1655" t="n">
        <v>2</v>
      </c>
      <c r="H1655" t="inlineStr">
        <is>
          <t>HIGH</t>
        </is>
      </c>
      <c r="I1655" t="n">
        <v>13</v>
      </c>
      <c r="J1655" t="inlineStr">
        <is>
          <t>YES</t>
        </is>
      </c>
      <c r="K1655" t="inlineStr"/>
      <c r="L1655" t="inlineStr">
        <is>
          <t>URGENT - actively exploited</t>
        </is>
      </c>
      <c r="M1655" t="inlineStr">
        <is>
          <t>CVE-2026-25815</t>
        </is>
      </c>
      <c r="N1655" t="inlineStr">
        <is>
          <t>P1</t>
        </is>
      </c>
      <c r="O1655" t="inlineStr">
        <is>
          <t>KEV entry - check specific CVEs for IP context</t>
        </is>
      </c>
      <c r="P1655" t="n">
        <v>0</v>
      </c>
      <c r="Q1655" t="n">
        <v>0</v>
      </c>
      <c r="R1655" t="inlineStr">
        <is>
          <t>T1190:Exploit Public-Facing Application</t>
        </is>
      </c>
      <c r="S1655" t="n">
        <v>2</v>
      </c>
      <c r="T1655" t="inlineStr">
        <is>
          <t>CONFIRMED (82%)</t>
        </is>
      </c>
      <c r="U1655" t="inlineStr">
        <is>
          <t>YES</t>
        </is>
      </c>
      <c r="V1655" t="inlineStr">
        <is>
          <t>URGENT</t>
        </is>
      </c>
      <c r="W1655" t="inlineStr">
        <is>
          <t>https://vulncheck.com/blog/vuln-check-kev</t>
        </is>
      </c>
      <c r="X1655" t="inlineStr">
        <is>
          <t>NONE</t>
        </is>
      </c>
      <c r="Y1655" t="n">
        <v>0</v>
      </c>
      <c r="Z1655" t="inlineStr"/>
      <c r="AA1655" t="inlineStr">
        <is>
          <t>https://vulncheck.com/blog/vuln-check-kev</t>
        </is>
      </c>
    </row>
    <row r="1656">
      <c r="A1656" t="inlineStr">
        <is>
          <t>VULNCHECK_KEV</t>
        </is>
      </c>
      <c r="B1656" t="inlineStr">
        <is>
          <t>b090c6c9d65f</t>
        </is>
      </c>
      <c r="C1656" t="inlineStr">
        <is>
          <t>VulnCheck KEV: OpenClaw (aka clawdbot or Moltbot) before 2026.1.29 obtains a gatewayUrl value from a query string and automatically makes a WebSocket connection without prompting, sending a token value. | CVEs: CVE-2026-25253</t>
        </is>
      </c>
      <c r="D1656" t="n">
        <v>7</v>
      </c>
      <c r="E1656" t="inlineStr">
        <is>
          <t>HIGH</t>
        </is>
      </c>
      <c r="F1656" t="n">
        <v>3</v>
      </c>
      <c r="G1656" t="n">
        <v>2</v>
      </c>
      <c r="H1656" t="inlineStr">
        <is>
          <t>HIGH</t>
        </is>
      </c>
      <c r="I1656" t="n">
        <v>13</v>
      </c>
      <c r="J1656" t="inlineStr">
        <is>
          <t>YES</t>
        </is>
      </c>
      <c r="K1656" t="inlineStr"/>
      <c r="L1656" t="inlineStr">
        <is>
          <t>URGENT - actively exploited</t>
        </is>
      </c>
      <c r="M1656" t="inlineStr">
        <is>
          <t>CVE-2026-25253</t>
        </is>
      </c>
      <c r="N1656" t="inlineStr">
        <is>
          <t>P1</t>
        </is>
      </c>
      <c r="O1656" t="inlineStr">
        <is>
          <t>KEV entry - check specific CVEs for IP context</t>
        </is>
      </c>
      <c r="P1656" t="n">
        <v>0</v>
      </c>
      <c r="Q1656" t="n">
        <v>0</v>
      </c>
      <c r="R1656" t="inlineStr">
        <is>
          <t>T1190:Exploit Public-Facing Application</t>
        </is>
      </c>
      <c r="S1656" t="n">
        <v>2</v>
      </c>
      <c r="T1656" t="inlineStr">
        <is>
          <t>CONFIRMED (82%)</t>
        </is>
      </c>
      <c r="U1656" t="inlineStr">
        <is>
          <t>YES</t>
        </is>
      </c>
      <c r="V1656" t="inlineStr">
        <is>
          <t>URGENT</t>
        </is>
      </c>
      <c r="W1656" t="inlineStr">
        <is>
          <t>https://vulncheck.com/blog/vuln-check-kev</t>
        </is>
      </c>
      <c r="X1656" t="inlineStr">
        <is>
          <t>NONE</t>
        </is>
      </c>
      <c r="Y1656" t="n">
        <v>0</v>
      </c>
      <c r="Z1656" t="inlineStr"/>
      <c r="AA1656" t="inlineStr">
        <is>
          <t>https://vulncheck.com/blog/vuln-check-kev</t>
        </is>
      </c>
    </row>
    <row r="1657">
      <c r="A1657" t="inlineStr">
        <is>
          <t>VULNCHECK_KEV</t>
        </is>
      </c>
      <c r="B1657" t="inlineStr">
        <is>
          <t>cee91b1f674c</t>
        </is>
      </c>
      <c r="C1657" t="inlineStr">
        <is>
          <t>VulnCheck KEV: Soliton Systems K.K FileZen contains an OS command injection vulnerability when an user logs-in to the affected product and sends a specially crafted HTTP request. | CVEs: CVE-2026-25108</t>
        </is>
      </c>
      <c r="D1657" t="n">
        <v>7</v>
      </c>
      <c r="E1657" t="inlineStr">
        <is>
          <t>HIGH</t>
        </is>
      </c>
      <c r="F1657" t="n">
        <v>3</v>
      </c>
      <c r="G1657" t="n">
        <v>2</v>
      </c>
      <c r="H1657" t="inlineStr">
        <is>
          <t>HIGH</t>
        </is>
      </c>
      <c r="I1657" t="n">
        <v>13</v>
      </c>
      <c r="J1657" t="inlineStr">
        <is>
          <t>YES</t>
        </is>
      </c>
      <c r="K1657" t="inlineStr"/>
      <c r="L1657" t="inlineStr">
        <is>
          <t>URGENT - actively exploited</t>
        </is>
      </c>
      <c r="M1657" t="inlineStr">
        <is>
          <t>CVE-2026-25108</t>
        </is>
      </c>
      <c r="N1657" t="inlineStr">
        <is>
          <t>P1</t>
        </is>
      </c>
      <c r="O1657" t="inlineStr">
        <is>
          <t>KEV entry - check specific CVEs for IP context</t>
        </is>
      </c>
      <c r="P1657" t="n">
        <v>0</v>
      </c>
      <c r="Q1657" t="n">
        <v>0</v>
      </c>
      <c r="R1657" t="inlineStr">
        <is>
          <t>T1190:Exploit Public-Facing Application</t>
        </is>
      </c>
      <c r="S1657" t="n">
        <v>2</v>
      </c>
      <c r="T1657" t="inlineStr">
        <is>
          <t>CONFIRMED (82%)</t>
        </is>
      </c>
      <c r="U1657" t="inlineStr">
        <is>
          <t>YES</t>
        </is>
      </c>
      <c r="V1657" t="inlineStr">
        <is>
          <t>URGENT</t>
        </is>
      </c>
      <c r="W1657" t="inlineStr">
        <is>
          <t>https://vulncheck.com/blog/vuln-check-kev</t>
        </is>
      </c>
      <c r="X1657" t="inlineStr">
        <is>
          <t>NONE</t>
        </is>
      </c>
      <c r="Y1657" t="n">
        <v>0</v>
      </c>
      <c r="Z1657" t="inlineStr"/>
      <c r="AA1657" t="inlineStr">
        <is>
          <t>https://vulncheck.com/blog/vuln-check-kev</t>
        </is>
      </c>
    </row>
    <row r="1658">
      <c r="A1658" t="inlineStr">
        <is>
          <t>VULNCHECK_KEV</t>
        </is>
      </c>
      <c r="B1658" t="inlineStr">
        <is>
          <t>5b14f44ef18f</t>
        </is>
      </c>
      <c r="C1658"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658" t="n">
        <v>7</v>
      </c>
      <c r="E1658" t="inlineStr">
        <is>
          <t>HIGH</t>
        </is>
      </c>
      <c r="F1658" t="n">
        <v>3</v>
      </c>
      <c r="G1658" t="n">
        <v>2</v>
      </c>
      <c r="H1658" t="inlineStr">
        <is>
          <t>HIGH</t>
        </is>
      </c>
      <c r="I1658" t="n">
        <v>13</v>
      </c>
      <c r="J1658" t="inlineStr">
        <is>
          <t>YES</t>
        </is>
      </c>
      <c r="K1658" t="inlineStr"/>
      <c r="L1658" t="inlineStr">
        <is>
          <t>URGENT - actively exploited</t>
        </is>
      </c>
      <c r="M1658" t="inlineStr">
        <is>
          <t>CVE-2026-24858</t>
        </is>
      </c>
      <c r="N1658" t="inlineStr">
        <is>
          <t>P1</t>
        </is>
      </c>
      <c r="O1658" t="inlineStr">
        <is>
          <t>KEV entry - check specific CVEs for IP context</t>
        </is>
      </c>
      <c r="P1658" t="n">
        <v>0</v>
      </c>
      <c r="Q1658" t="n">
        <v>0</v>
      </c>
      <c r="R1658" t="inlineStr">
        <is>
          <t>T1190:Exploit Public-Facing Application</t>
        </is>
      </c>
      <c r="S1658" t="n">
        <v>2</v>
      </c>
      <c r="T1658" t="inlineStr">
        <is>
          <t>CONFIRMED (82%)</t>
        </is>
      </c>
      <c r="U1658" t="inlineStr">
        <is>
          <t>YES</t>
        </is>
      </c>
      <c r="V1658" t="inlineStr">
        <is>
          <t>URGENT</t>
        </is>
      </c>
      <c r="W1658" t="inlineStr">
        <is>
          <t>https://vulncheck.com/blog/vuln-check-kev</t>
        </is>
      </c>
      <c r="X1658" t="inlineStr">
        <is>
          <t>NONE</t>
        </is>
      </c>
      <c r="Y1658" t="n">
        <v>0</v>
      </c>
      <c r="Z1658" t="inlineStr"/>
      <c r="AA1658" t="inlineStr">
        <is>
          <t>https://vulncheck.com/blog/vuln-check-kev</t>
        </is>
      </c>
    </row>
    <row r="1659">
      <c r="A1659" t="inlineStr">
        <is>
          <t>VULNCHECK_KEV</t>
        </is>
      </c>
      <c r="B1659" t="inlineStr">
        <is>
          <t>7216a4375bca</t>
        </is>
      </c>
      <c r="C165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659" t="n">
        <v>7</v>
      </c>
      <c r="E1659" t="inlineStr">
        <is>
          <t>HIGH</t>
        </is>
      </c>
      <c r="F1659" t="n">
        <v>3</v>
      </c>
      <c r="G1659" t="n">
        <v>2</v>
      </c>
      <c r="H1659" t="inlineStr">
        <is>
          <t>HIGH</t>
        </is>
      </c>
      <c r="I1659" t="n">
        <v>13</v>
      </c>
      <c r="J1659" t="inlineStr">
        <is>
          <t>YES</t>
        </is>
      </c>
      <c r="K1659" t="inlineStr"/>
      <c r="L1659" t="inlineStr">
        <is>
          <t>URGENT - actively exploited</t>
        </is>
      </c>
      <c r="M1659" t="inlineStr">
        <is>
          <t>CVE-2026-24423</t>
        </is>
      </c>
      <c r="N1659" t="inlineStr">
        <is>
          <t>P1</t>
        </is>
      </c>
      <c r="O1659" t="inlineStr">
        <is>
          <t>KEV entry - check specific CVEs for IP context</t>
        </is>
      </c>
      <c r="P1659" t="n">
        <v>0</v>
      </c>
      <c r="Q1659" t="n">
        <v>0</v>
      </c>
      <c r="R1659" t="inlineStr">
        <is>
          <t>T1190:Exploit Public-Facing Application</t>
        </is>
      </c>
      <c r="S1659" t="n">
        <v>2</v>
      </c>
      <c r="T1659" t="inlineStr">
        <is>
          <t>CONFIRMED (82%)</t>
        </is>
      </c>
      <c r="U1659" t="inlineStr">
        <is>
          <t>YES</t>
        </is>
      </c>
      <c r="V1659" t="inlineStr">
        <is>
          <t>URGENT</t>
        </is>
      </c>
      <c r="W1659" t="inlineStr">
        <is>
          <t>https://vulncheck.com/blog/vuln-check-kev</t>
        </is>
      </c>
      <c r="X1659" t="inlineStr">
        <is>
          <t>NONE</t>
        </is>
      </c>
      <c r="Y1659" t="n">
        <v>0</v>
      </c>
      <c r="Z1659" t="inlineStr"/>
      <c r="AA1659" t="inlineStr">
        <is>
          <t>https://vulncheck.com/blog/vuln-check-kev</t>
        </is>
      </c>
    </row>
    <row r="1660">
      <c r="A1660" t="inlineStr">
        <is>
          <t>VULNCHECK_KEV</t>
        </is>
      </c>
      <c r="B1660" t="inlineStr">
        <is>
          <t>792e86d42368</t>
        </is>
      </c>
      <c r="C1660"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660" t="n">
        <v>7</v>
      </c>
      <c r="E1660" t="inlineStr">
        <is>
          <t>HIGH</t>
        </is>
      </c>
      <c r="F1660" t="n">
        <v>3</v>
      </c>
      <c r="G1660" t="n">
        <v>2</v>
      </c>
      <c r="H1660" t="inlineStr">
        <is>
          <t>HIGH</t>
        </is>
      </c>
      <c r="I1660" t="n">
        <v>13</v>
      </c>
      <c r="J1660" t="inlineStr">
        <is>
          <t>YES</t>
        </is>
      </c>
      <c r="K1660" t="inlineStr"/>
      <c r="L1660" t="inlineStr">
        <is>
          <t>URGENT - actively exploited</t>
        </is>
      </c>
      <c r="M1660" t="inlineStr">
        <is>
          <t>CVE-2026-2441</t>
        </is>
      </c>
      <c r="N1660" t="inlineStr">
        <is>
          <t>P1</t>
        </is>
      </c>
      <c r="O1660" t="inlineStr">
        <is>
          <t>KEV entry - check specific CVEs for IP context</t>
        </is>
      </c>
      <c r="P1660" t="n">
        <v>0</v>
      </c>
      <c r="Q1660" t="n">
        <v>0</v>
      </c>
      <c r="R1660" t="inlineStr">
        <is>
          <t>T1190:Exploit Public-Facing Application</t>
        </is>
      </c>
      <c r="S1660" t="n">
        <v>2</v>
      </c>
      <c r="T1660" t="inlineStr">
        <is>
          <t>CONFIRMED (82%)</t>
        </is>
      </c>
      <c r="U1660" t="inlineStr">
        <is>
          <t>YES</t>
        </is>
      </c>
      <c r="V1660" t="inlineStr">
        <is>
          <t>URGENT</t>
        </is>
      </c>
      <c r="W1660" t="inlineStr">
        <is>
          <t>https://vulncheck.com/blog/vuln-check-kev</t>
        </is>
      </c>
      <c r="X1660" t="inlineStr">
        <is>
          <t>NONE</t>
        </is>
      </c>
      <c r="Y1660" t="n">
        <v>0</v>
      </c>
      <c r="Z1660" t="inlineStr"/>
      <c r="AA1660" t="inlineStr">
        <is>
          <t>https://vulncheck.com/blog/vuln-check-kev</t>
        </is>
      </c>
    </row>
    <row r="1661">
      <c r="A1661" t="inlineStr">
        <is>
          <t>VULNCHECK_KEV</t>
        </is>
      </c>
      <c r="B1661" t="inlineStr">
        <is>
          <t>693cd28f6e90</t>
        </is>
      </c>
      <c r="C1661" t="inlineStr">
        <is>
          <t>VulnCheck KEV: GNU InetUtils contains an argument injection vulnerability in telnetd that could allow for remote authentication bypass via a "-f root" value for the USER environment variable. | CVEs: CVE-2026-24061</t>
        </is>
      </c>
      <c r="D1661" t="n">
        <v>7</v>
      </c>
      <c r="E1661" t="inlineStr">
        <is>
          <t>HIGH</t>
        </is>
      </c>
      <c r="F1661" t="n">
        <v>3</v>
      </c>
      <c r="G1661" t="n">
        <v>2</v>
      </c>
      <c r="H1661" t="inlineStr">
        <is>
          <t>HIGH</t>
        </is>
      </c>
      <c r="I1661" t="n">
        <v>13</v>
      </c>
      <c r="J1661" t="inlineStr">
        <is>
          <t>YES</t>
        </is>
      </c>
      <c r="K1661" t="inlineStr"/>
      <c r="L1661" t="inlineStr">
        <is>
          <t>URGENT - actively exploited</t>
        </is>
      </c>
      <c r="M1661" t="inlineStr">
        <is>
          <t>CVE-2026-24061</t>
        </is>
      </c>
      <c r="N1661" t="inlineStr">
        <is>
          <t>P1</t>
        </is>
      </c>
      <c r="O1661" t="inlineStr">
        <is>
          <t>KEV entry - check specific CVEs for IP context</t>
        </is>
      </c>
      <c r="P1661" t="n">
        <v>0</v>
      </c>
      <c r="Q1661" t="n">
        <v>0</v>
      </c>
      <c r="R1661" t="inlineStr">
        <is>
          <t>T1190:Exploit Public-Facing Application</t>
        </is>
      </c>
      <c r="S1661" t="n">
        <v>2</v>
      </c>
      <c r="T1661" t="inlineStr">
        <is>
          <t>CONFIRMED (82%)</t>
        </is>
      </c>
      <c r="U1661" t="inlineStr">
        <is>
          <t>YES</t>
        </is>
      </c>
      <c r="V1661" t="inlineStr">
        <is>
          <t>URGENT</t>
        </is>
      </c>
      <c r="W1661" t="inlineStr">
        <is>
          <t>https://vulncheck.com/blog/vuln-check-kev</t>
        </is>
      </c>
      <c r="X1661" t="inlineStr">
        <is>
          <t>NONE</t>
        </is>
      </c>
      <c r="Y1661" t="n">
        <v>0</v>
      </c>
      <c r="Z1661" t="inlineStr"/>
      <c r="AA1661" t="inlineStr">
        <is>
          <t>https://vulncheck.com/blog/vuln-check-kev</t>
        </is>
      </c>
    </row>
    <row r="1662">
      <c r="A1662" t="inlineStr">
        <is>
          <t>VULNCHECK_KEV</t>
        </is>
      </c>
      <c r="B1662" t="inlineStr">
        <is>
          <t>23d9f45e272e</t>
        </is>
      </c>
      <c r="C1662" t="inlineStr">
        <is>
          <t>VulnCheck KEV: Incorrect Privilege Assignment vulnerability in Modular DS modular-connector allows Privilege Escalation.This issue affects Modular DS: from 2.5.2 before 2.6.0. | CVEs: CVE-2026-23800</t>
        </is>
      </c>
      <c r="D1662" t="n">
        <v>7</v>
      </c>
      <c r="E1662" t="inlineStr">
        <is>
          <t>HIGH</t>
        </is>
      </c>
      <c r="F1662" t="n">
        <v>3</v>
      </c>
      <c r="G1662" t="n">
        <v>2</v>
      </c>
      <c r="H1662" t="inlineStr">
        <is>
          <t>HIGH</t>
        </is>
      </c>
      <c r="I1662" t="n">
        <v>13</v>
      </c>
      <c r="J1662" t="inlineStr">
        <is>
          <t>YES</t>
        </is>
      </c>
      <c r="K1662" t="inlineStr"/>
      <c r="L1662" t="inlineStr">
        <is>
          <t>URGENT - actively exploited</t>
        </is>
      </c>
      <c r="M1662" t="inlineStr">
        <is>
          <t>CVE-2026-23800</t>
        </is>
      </c>
      <c r="N1662" t="inlineStr">
        <is>
          <t>P1</t>
        </is>
      </c>
      <c r="O1662" t="inlineStr">
        <is>
          <t>KEV entry - check specific CVEs for IP context</t>
        </is>
      </c>
      <c r="P1662" t="n">
        <v>0</v>
      </c>
      <c r="Q1662" t="n">
        <v>0</v>
      </c>
      <c r="R1662" t="inlineStr">
        <is>
          <t>T1190:Exploit Public-Facing Application</t>
        </is>
      </c>
      <c r="S1662" t="n">
        <v>2</v>
      </c>
      <c r="T1662" t="inlineStr">
        <is>
          <t>CONFIRMED (82%)</t>
        </is>
      </c>
      <c r="U1662" t="inlineStr">
        <is>
          <t>YES</t>
        </is>
      </c>
      <c r="V1662" t="inlineStr">
        <is>
          <t>URGENT</t>
        </is>
      </c>
      <c r="W1662" t="inlineStr">
        <is>
          <t>https://vulncheck.com/blog/vuln-check-kev</t>
        </is>
      </c>
      <c r="X1662" t="inlineStr">
        <is>
          <t>NONE</t>
        </is>
      </c>
      <c r="Y1662" t="n">
        <v>0</v>
      </c>
      <c r="Z1662" t="inlineStr"/>
      <c r="AA1662" t="inlineStr">
        <is>
          <t>https://vulncheck.com/blog/vuln-check-kev</t>
        </is>
      </c>
    </row>
    <row r="1663">
      <c r="A1663" t="inlineStr">
        <is>
          <t>VULNCHECK_KEV</t>
        </is>
      </c>
      <c r="B1663" t="inlineStr">
        <is>
          <t>5cf1ec21b577</t>
        </is>
      </c>
      <c r="C166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663" t="n">
        <v>7</v>
      </c>
      <c r="E1663" t="inlineStr">
        <is>
          <t>HIGH</t>
        </is>
      </c>
      <c r="F1663" t="n">
        <v>3</v>
      </c>
      <c r="G1663" t="n">
        <v>2</v>
      </c>
      <c r="H1663" t="inlineStr">
        <is>
          <t>HIGH</t>
        </is>
      </c>
      <c r="I1663" t="n">
        <v>13</v>
      </c>
      <c r="J1663" t="inlineStr">
        <is>
          <t>YES</t>
        </is>
      </c>
      <c r="K1663" t="inlineStr"/>
      <c r="L1663" t="inlineStr">
        <is>
          <t>URGENT - actively exploited</t>
        </is>
      </c>
      <c r="M1663" t="inlineStr">
        <is>
          <t>CVE-2026-23760</t>
        </is>
      </c>
      <c r="N1663" t="inlineStr">
        <is>
          <t>P1</t>
        </is>
      </c>
      <c r="O1663" t="inlineStr">
        <is>
          <t>KEV entry - check specific CVEs for IP context</t>
        </is>
      </c>
      <c r="P1663" t="n">
        <v>0</v>
      </c>
      <c r="Q1663" t="n">
        <v>0</v>
      </c>
      <c r="R1663" t="inlineStr">
        <is>
          <t>T1190:Exploit Public-Facing Application</t>
        </is>
      </c>
      <c r="S1663" t="n">
        <v>2</v>
      </c>
      <c r="T1663" t="inlineStr">
        <is>
          <t>CONFIRMED (82%)</t>
        </is>
      </c>
      <c r="U1663" t="inlineStr">
        <is>
          <t>YES</t>
        </is>
      </c>
      <c r="V1663" t="inlineStr">
        <is>
          <t>URGENT</t>
        </is>
      </c>
      <c r="W1663" t="inlineStr">
        <is>
          <t>https://vulncheck.com/blog/vuln-check-kev</t>
        </is>
      </c>
      <c r="X1663" t="inlineStr">
        <is>
          <t>NONE</t>
        </is>
      </c>
      <c r="Y1663" t="n">
        <v>0</v>
      </c>
      <c r="Z1663" t="inlineStr"/>
      <c r="AA1663" t="inlineStr">
        <is>
          <t>https://vulncheck.com/blog/vuln-check-kev</t>
        </is>
      </c>
    </row>
    <row r="1664">
      <c r="A1664" t="inlineStr">
        <is>
          <t>VULNCHECK_KEV</t>
        </is>
      </c>
      <c r="B1664" t="inlineStr">
        <is>
          <t>1f4d494859cc</t>
        </is>
      </c>
      <c r="C1664"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664" t="n">
        <v>7</v>
      </c>
      <c r="E1664" t="inlineStr">
        <is>
          <t>HIGH</t>
        </is>
      </c>
      <c r="F1664" t="n">
        <v>3</v>
      </c>
      <c r="G1664" t="n">
        <v>2</v>
      </c>
      <c r="H1664" t="inlineStr">
        <is>
          <t>HIGH</t>
        </is>
      </c>
      <c r="I1664" t="n">
        <v>13</v>
      </c>
      <c r="J1664" t="inlineStr">
        <is>
          <t>YES</t>
        </is>
      </c>
      <c r="K1664" t="inlineStr"/>
      <c r="L1664" t="inlineStr">
        <is>
          <t>URGENT - actively exploited</t>
        </is>
      </c>
      <c r="M1664" t="inlineStr">
        <is>
          <t>CVE-2026-23744</t>
        </is>
      </c>
      <c r="N1664" t="inlineStr">
        <is>
          <t>P1</t>
        </is>
      </c>
      <c r="O1664" t="inlineStr">
        <is>
          <t>KEV entry - check specific CVEs for IP context</t>
        </is>
      </c>
      <c r="P1664" t="n">
        <v>0</v>
      </c>
      <c r="Q1664" t="n">
        <v>0</v>
      </c>
      <c r="R1664" t="inlineStr">
        <is>
          <t>T1190:Exploit Public-Facing Application</t>
        </is>
      </c>
      <c r="S1664" t="n">
        <v>2</v>
      </c>
      <c r="T1664" t="inlineStr">
        <is>
          <t>CONFIRMED (82%)</t>
        </is>
      </c>
      <c r="U1664" t="inlineStr">
        <is>
          <t>YES</t>
        </is>
      </c>
      <c r="V1664" t="inlineStr">
        <is>
          <t>URGENT</t>
        </is>
      </c>
      <c r="W1664" t="inlineStr">
        <is>
          <t>https://vulncheck.com/blog/vuln-check-kev</t>
        </is>
      </c>
      <c r="X1664" t="inlineStr">
        <is>
          <t>NONE</t>
        </is>
      </c>
      <c r="Y1664" t="n">
        <v>0</v>
      </c>
      <c r="Z1664" t="inlineStr"/>
      <c r="AA1664" t="inlineStr">
        <is>
          <t>https://vulncheck.com/blog/vuln-check-kev</t>
        </is>
      </c>
    </row>
    <row r="1665">
      <c r="A1665" t="inlineStr">
        <is>
          <t>VULNCHECK_KEV</t>
        </is>
      </c>
      <c r="B1665" t="inlineStr">
        <is>
          <t>b49d35435cd1</t>
        </is>
      </c>
      <c r="C1665" t="inlineStr">
        <is>
          <t>VulnCheck KEV: Incorrect Privilege Assignment vulnerability in Modular DS allows Privilege Escalation.This issue affects Modular DS: from n/a through 2.5.1. | CVEs: CVE-2026-23550</t>
        </is>
      </c>
      <c r="D1665" t="n">
        <v>7</v>
      </c>
      <c r="E1665" t="inlineStr">
        <is>
          <t>HIGH</t>
        </is>
      </c>
      <c r="F1665" t="n">
        <v>3</v>
      </c>
      <c r="G1665" t="n">
        <v>2</v>
      </c>
      <c r="H1665" t="inlineStr">
        <is>
          <t>HIGH</t>
        </is>
      </c>
      <c r="I1665" t="n">
        <v>13</v>
      </c>
      <c r="J1665" t="inlineStr">
        <is>
          <t>YES</t>
        </is>
      </c>
      <c r="K1665" t="inlineStr"/>
      <c r="L1665" t="inlineStr">
        <is>
          <t>URGENT - actively exploited</t>
        </is>
      </c>
      <c r="M1665" t="inlineStr">
        <is>
          <t>CVE-2026-23550</t>
        </is>
      </c>
      <c r="N1665" t="inlineStr">
        <is>
          <t>P1</t>
        </is>
      </c>
      <c r="O1665" t="inlineStr">
        <is>
          <t>KEV entry - check specific CVEs for IP context</t>
        </is>
      </c>
      <c r="P1665" t="n">
        <v>0</v>
      </c>
      <c r="Q1665" t="n">
        <v>0</v>
      </c>
      <c r="R1665" t="inlineStr">
        <is>
          <t>T1190:Exploit Public-Facing Application</t>
        </is>
      </c>
      <c r="S1665" t="n">
        <v>2</v>
      </c>
      <c r="T1665" t="inlineStr">
        <is>
          <t>CONFIRMED (82%)</t>
        </is>
      </c>
      <c r="U1665" t="inlineStr">
        <is>
          <t>YES</t>
        </is>
      </c>
      <c r="V1665" t="inlineStr">
        <is>
          <t>URGENT</t>
        </is>
      </c>
      <c r="W1665" t="inlineStr">
        <is>
          <t>https://vulncheck.com/blog/vuln-check-kev</t>
        </is>
      </c>
      <c r="X1665" t="inlineStr">
        <is>
          <t>NONE</t>
        </is>
      </c>
      <c r="Y1665" t="n">
        <v>0</v>
      </c>
      <c r="Z1665" t="inlineStr"/>
      <c r="AA1665" t="inlineStr">
        <is>
          <t>https://vulncheck.com/blog/vuln-check-kev</t>
        </is>
      </c>
    </row>
    <row r="1666">
      <c r="A1666" t="inlineStr">
        <is>
          <t>VULNCHECK_KEV</t>
        </is>
      </c>
      <c r="B1666" t="inlineStr">
        <is>
          <t>cea8b06eb756</t>
        </is>
      </c>
      <c r="C1666"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666" t="n">
        <v>7</v>
      </c>
      <c r="E1666" t="inlineStr">
        <is>
          <t>HIGH</t>
        </is>
      </c>
      <c r="F1666" t="n">
        <v>3</v>
      </c>
      <c r="G1666" t="n">
        <v>2</v>
      </c>
      <c r="H1666" t="inlineStr">
        <is>
          <t>HIGH</t>
        </is>
      </c>
      <c r="I1666" t="n">
        <v>13</v>
      </c>
      <c r="J1666" t="inlineStr">
        <is>
          <t>YES</t>
        </is>
      </c>
      <c r="K1666" t="inlineStr"/>
      <c r="L1666" t="inlineStr">
        <is>
          <t>URGENT - actively exploited</t>
        </is>
      </c>
      <c r="M1666" t="inlineStr">
        <is>
          <t>CVE-2026-22769</t>
        </is>
      </c>
      <c r="N1666" t="inlineStr">
        <is>
          <t>P1</t>
        </is>
      </c>
      <c r="O1666" t="inlineStr">
        <is>
          <t>KEV entry - check specific CVEs for IP context</t>
        </is>
      </c>
      <c r="P1666" t="n">
        <v>0</v>
      </c>
      <c r="Q1666" t="n">
        <v>0</v>
      </c>
      <c r="R1666" t="inlineStr">
        <is>
          <t>T1190:Exploit Public-Facing Application</t>
        </is>
      </c>
      <c r="S1666" t="n">
        <v>2</v>
      </c>
      <c r="T1666" t="inlineStr">
        <is>
          <t>CONFIRMED (82%)</t>
        </is>
      </c>
      <c r="U1666" t="inlineStr">
        <is>
          <t>YES</t>
        </is>
      </c>
      <c r="V1666" t="inlineStr">
        <is>
          <t>URGENT</t>
        </is>
      </c>
      <c r="W1666" t="inlineStr">
        <is>
          <t>https://vulncheck.com/blog/vuln-check-kev</t>
        </is>
      </c>
      <c r="X1666" t="inlineStr">
        <is>
          <t>NONE</t>
        </is>
      </c>
      <c r="Y1666" t="n">
        <v>0</v>
      </c>
      <c r="Z1666" t="inlineStr"/>
      <c r="AA1666" t="inlineStr">
        <is>
          <t>https://vulncheck.com/blog/vuln-check-kev</t>
        </is>
      </c>
    </row>
    <row r="1667">
      <c r="A1667" t="inlineStr">
        <is>
          <t>VULNCHECK_KEV</t>
        </is>
      </c>
      <c r="B1667" t="inlineStr">
        <is>
          <t>55eecf6fae85</t>
        </is>
      </c>
      <c r="C1667"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667" t="n">
        <v>7</v>
      </c>
      <c r="E1667" t="inlineStr">
        <is>
          <t>HIGH</t>
        </is>
      </c>
      <c r="F1667" t="n">
        <v>3</v>
      </c>
      <c r="G1667" t="n">
        <v>2</v>
      </c>
      <c r="H1667" t="inlineStr">
        <is>
          <t>HIGH</t>
        </is>
      </c>
      <c r="I1667" t="n">
        <v>13</v>
      </c>
      <c r="J1667" t="inlineStr">
        <is>
          <t>YES</t>
        </is>
      </c>
      <c r="K1667" t="inlineStr"/>
      <c r="L1667" t="inlineStr">
        <is>
          <t>URGENT - actively exploited</t>
        </is>
      </c>
      <c r="M1667" t="inlineStr">
        <is>
          <t>CVE-2026-21962</t>
        </is>
      </c>
      <c r="N1667" t="inlineStr">
        <is>
          <t>P1</t>
        </is>
      </c>
      <c r="O1667" t="inlineStr">
        <is>
          <t>KEV entry - check specific CVEs for IP context</t>
        </is>
      </c>
      <c r="P1667" t="n">
        <v>0</v>
      </c>
      <c r="Q1667" t="n">
        <v>0</v>
      </c>
      <c r="R1667" t="inlineStr">
        <is>
          <t>T1190:Exploit Public-Facing Application</t>
        </is>
      </c>
      <c r="S1667" t="n">
        <v>2</v>
      </c>
      <c r="T1667" t="inlineStr">
        <is>
          <t>CONFIRMED (82%)</t>
        </is>
      </c>
      <c r="U1667" t="inlineStr">
        <is>
          <t>YES</t>
        </is>
      </c>
      <c r="V1667" t="inlineStr">
        <is>
          <t>URGENT</t>
        </is>
      </c>
      <c r="W1667" t="inlineStr">
        <is>
          <t>https://vulncheck.com/blog/vuln-check-kev</t>
        </is>
      </c>
      <c r="X1667" t="inlineStr">
        <is>
          <t>NONE</t>
        </is>
      </c>
      <c r="Y1667" t="n">
        <v>0</v>
      </c>
      <c r="Z1667" t="inlineStr"/>
      <c r="AA1667" t="inlineStr">
        <is>
          <t>https://vulncheck.com/blog/vuln-check-kev</t>
        </is>
      </c>
    </row>
    <row r="1668">
      <c r="A1668" t="inlineStr">
        <is>
          <t>VULNCHECK_KEV</t>
        </is>
      </c>
      <c r="B1668" t="inlineStr">
        <is>
          <t>eef05c51ff9a</t>
        </is>
      </c>
      <c r="C1668"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668" t="n">
        <v>7</v>
      </c>
      <c r="E1668" t="inlineStr">
        <is>
          <t>HIGH</t>
        </is>
      </c>
      <c r="F1668" t="n">
        <v>3</v>
      </c>
      <c r="G1668" t="n">
        <v>2</v>
      </c>
      <c r="H1668" t="inlineStr">
        <is>
          <t>HIGH</t>
        </is>
      </c>
      <c r="I1668" t="n">
        <v>13</v>
      </c>
      <c r="J1668" t="inlineStr">
        <is>
          <t>YES</t>
        </is>
      </c>
      <c r="K1668" t="inlineStr"/>
      <c r="L1668" t="inlineStr">
        <is>
          <t>URGENT - actively exploited</t>
        </is>
      </c>
      <c r="M1668" t="inlineStr">
        <is>
          <t>CVE-2026-21859</t>
        </is>
      </c>
      <c r="N1668" t="inlineStr">
        <is>
          <t>P1</t>
        </is>
      </c>
      <c r="O1668" t="inlineStr">
        <is>
          <t>KEV entry - check specific CVEs for IP context</t>
        </is>
      </c>
      <c r="P1668" t="n">
        <v>0</v>
      </c>
      <c r="Q1668" t="n">
        <v>0</v>
      </c>
      <c r="R1668" t="inlineStr">
        <is>
          <t>T1190:Exploit Public-Facing Application</t>
        </is>
      </c>
      <c r="S1668" t="n">
        <v>2</v>
      </c>
      <c r="T1668" t="inlineStr">
        <is>
          <t>CONFIRMED (82%)</t>
        </is>
      </c>
      <c r="U1668" t="inlineStr">
        <is>
          <t>YES</t>
        </is>
      </c>
      <c r="V1668" t="inlineStr">
        <is>
          <t>URGENT</t>
        </is>
      </c>
      <c r="W1668" t="inlineStr">
        <is>
          <t>https://vulncheck.com/blog/vuln-check-kev</t>
        </is>
      </c>
      <c r="X1668" t="inlineStr">
        <is>
          <t>NONE</t>
        </is>
      </c>
      <c r="Y1668" t="n">
        <v>0</v>
      </c>
      <c r="Z1668" t="inlineStr"/>
      <c r="AA1668" t="inlineStr">
        <is>
          <t>https://vulncheck.com/blog/vuln-check-kev</t>
        </is>
      </c>
    </row>
    <row r="1669">
      <c r="A1669" t="inlineStr">
        <is>
          <t>VULNCHECK_KEV</t>
        </is>
      </c>
      <c r="B1669" t="inlineStr">
        <is>
          <t>243096ea782b</t>
        </is>
      </c>
      <c r="C166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669" t="n">
        <v>7</v>
      </c>
      <c r="E1669" t="inlineStr">
        <is>
          <t>HIGH</t>
        </is>
      </c>
      <c r="F1669" t="n">
        <v>3</v>
      </c>
      <c r="G1669" t="n">
        <v>2</v>
      </c>
      <c r="H1669" t="inlineStr">
        <is>
          <t>HIGH</t>
        </is>
      </c>
      <c r="I1669" t="n">
        <v>13</v>
      </c>
      <c r="J1669" t="inlineStr">
        <is>
          <t>YES</t>
        </is>
      </c>
      <c r="K1669" t="inlineStr"/>
      <c r="L1669" t="inlineStr">
        <is>
          <t>URGENT - actively exploited</t>
        </is>
      </c>
      <c r="M1669" t="inlineStr">
        <is>
          <t>CVE-2026-21858</t>
        </is>
      </c>
      <c r="N1669" t="inlineStr">
        <is>
          <t>P1</t>
        </is>
      </c>
      <c r="O1669" t="inlineStr">
        <is>
          <t>KEV entry - check specific CVEs for IP context</t>
        </is>
      </c>
      <c r="P1669" t="n">
        <v>0</v>
      </c>
      <c r="Q1669" t="n">
        <v>0</v>
      </c>
      <c r="R1669" t="inlineStr">
        <is>
          <t>T1190:Exploit Public-Facing Application</t>
        </is>
      </c>
      <c r="S1669" t="n">
        <v>2</v>
      </c>
      <c r="T1669" t="inlineStr">
        <is>
          <t>CONFIRMED (82%)</t>
        </is>
      </c>
      <c r="U1669" t="inlineStr">
        <is>
          <t>YES</t>
        </is>
      </c>
      <c r="V1669" t="inlineStr">
        <is>
          <t>URGENT</t>
        </is>
      </c>
      <c r="W1669" t="inlineStr">
        <is>
          <t>https://vulncheck.com/blog/vuln-check-kev</t>
        </is>
      </c>
      <c r="X1669" t="inlineStr">
        <is>
          <t>NONE</t>
        </is>
      </c>
      <c r="Y1669" t="n">
        <v>0</v>
      </c>
      <c r="Z1669" t="inlineStr"/>
      <c r="AA1669" t="inlineStr">
        <is>
          <t>https://vulncheck.com/blog/vuln-check-kev</t>
        </is>
      </c>
    </row>
    <row r="1670">
      <c r="A1670" t="inlineStr">
        <is>
          <t>VULNCHECK_KEV</t>
        </is>
      </c>
      <c r="B1670" t="inlineStr">
        <is>
          <t>69cfbfe107e1</t>
        </is>
      </c>
      <c r="C1670" t="inlineStr">
        <is>
          <t>VulnCheck KEV: Microsoft Windows Remote Desktop Services contains an improper privilege management vulnerability that could allow an authorized attacker to elevate privileges locally. | CVEs: CVE-2026-21533</t>
        </is>
      </c>
      <c r="D1670" t="n">
        <v>7</v>
      </c>
      <c r="E1670" t="inlineStr">
        <is>
          <t>HIGH</t>
        </is>
      </c>
      <c r="F1670" t="n">
        <v>3</v>
      </c>
      <c r="G1670" t="n">
        <v>2</v>
      </c>
      <c r="H1670" t="inlineStr">
        <is>
          <t>HIGH</t>
        </is>
      </c>
      <c r="I1670" t="n">
        <v>13</v>
      </c>
      <c r="J1670" t="inlineStr">
        <is>
          <t>YES</t>
        </is>
      </c>
      <c r="K1670" t="inlineStr"/>
      <c r="L1670" t="inlineStr">
        <is>
          <t>URGENT - actively exploited</t>
        </is>
      </c>
      <c r="M1670" t="inlineStr">
        <is>
          <t>CVE-2026-21533</t>
        </is>
      </c>
      <c r="N1670" t="inlineStr">
        <is>
          <t>P1</t>
        </is>
      </c>
      <c r="O1670" t="inlineStr">
        <is>
          <t>KEV entry - check specific CVEs for IP context</t>
        </is>
      </c>
      <c r="P1670" t="n">
        <v>0</v>
      </c>
      <c r="Q1670" t="n">
        <v>0</v>
      </c>
      <c r="R1670" t="inlineStr">
        <is>
          <t>T1190:Exploit Public-Facing Application</t>
        </is>
      </c>
      <c r="S1670" t="n">
        <v>2</v>
      </c>
      <c r="T1670" t="inlineStr">
        <is>
          <t>CONFIRMED (82%)</t>
        </is>
      </c>
      <c r="U1670" t="inlineStr">
        <is>
          <t>YES</t>
        </is>
      </c>
      <c r="V1670" t="inlineStr">
        <is>
          <t>URGENT</t>
        </is>
      </c>
      <c r="W1670" t="inlineStr">
        <is>
          <t>https://vulncheck.com/blog/vuln-check-kev</t>
        </is>
      </c>
      <c r="X1670" t="inlineStr">
        <is>
          <t>NONE</t>
        </is>
      </c>
      <c r="Y1670" t="n">
        <v>0</v>
      </c>
      <c r="Z1670" t="inlineStr"/>
      <c r="AA1670" t="inlineStr">
        <is>
          <t>https://vulncheck.com/blog/vuln-check-kev</t>
        </is>
      </c>
    </row>
    <row r="1671">
      <c r="A1671" t="inlineStr">
        <is>
          <t>VULNCHECK_KEV</t>
        </is>
      </c>
      <c r="B1671" t="inlineStr">
        <is>
          <t>0ab1b88545d6</t>
        </is>
      </c>
      <c r="C1671" t="inlineStr">
        <is>
          <t>VulnCheck KEV: Microsoft Windows Remote Access Connection Manager contains a NULL pointer dereference that could allow an unauthorized attacker to deny service locally. | CVEs: CVE-2026-21525</t>
        </is>
      </c>
      <c r="D1671" t="n">
        <v>7</v>
      </c>
      <c r="E1671" t="inlineStr">
        <is>
          <t>HIGH</t>
        </is>
      </c>
      <c r="F1671" t="n">
        <v>3</v>
      </c>
      <c r="G1671" t="n">
        <v>2</v>
      </c>
      <c r="H1671" t="inlineStr">
        <is>
          <t>HIGH</t>
        </is>
      </c>
      <c r="I1671" t="n">
        <v>13</v>
      </c>
      <c r="J1671" t="inlineStr">
        <is>
          <t>YES</t>
        </is>
      </c>
      <c r="K1671" t="inlineStr"/>
      <c r="L1671" t="inlineStr">
        <is>
          <t>URGENT - actively exploited</t>
        </is>
      </c>
      <c r="M1671" t="inlineStr">
        <is>
          <t>CVE-2026-21525</t>
        </is>
      </c>
      <c r="N1671" t="inlineStr">
        <is>
          <t>P1</t>
        </is>
      </c>
      <c r="O1671" t="inlineStr">
        <is>
          <t>KEV entry - check specific CVEs for IP context</t>
        </is>
      </c>
      <c r="P1671" t="n">
        <v>0</v>
      </c>
      <c r="Q1671" t="n">
        <v>0</v>
      </c>
      <c r="R1671" t="inlineStr">
        <is>
          <t>T1190:Exploit Public-Facing Application</t>
        </is>
      </c>
      <c r="S1671" t="n">
        <v>2</v>
      </c>
      <c r="T1671" t="inlineStr">
        <is>
          <t>CONFIRMED (82%)</t>
        </is>
      </c>
      <c r="U1671" t="inlineStr">
        <is>
          <t>YES</t>
        </is>
      </c>
      <c r="V1671" t="inlineStr">
        <is>
          <t>URGENT</t>
        </is>
      </c>
      <c r="W1671" t="inlineStr">
        <is>
          <t>https://vulncheck.com/blog/vuln-check-kev</t>
        </is>
      </c>
      <c r="X1671" t="inlineStr">
        <is>
          <t>NONE</t>
        </is>
      </c>
      <c r="Y1671" t="n">
        <v>0</v>
      </c>
      <c r="Z1671" t="inlineStr"/>
      <c r="AA1671" t="inlineStr">
        <is>
          <t>https://vulncheck.com/blog/vuln-check-kev</t>
        </is>
      </c>
    </row>
    <row r="1672">
      <c r="A1672" t="inlineStr">
        <is>
          <t>VULNCHECK_KEV</t>
        </is>
      </c>
      <c r="B1672" t="inlineStr">
        <is>
          <t>85f634fd5bfa</t>
        </is>
      </c>
      <c r="C1672" t="inlineStr">
        <is>
          <t>VulnCheck KEV: Microsoft Desktop Windows Manager contains a type confusion vulnerability that could allow an authorized attacker to elevate privileges locally. | CVEs: CVE-2026-21519</t>
        </is>
      </c>
      <c r="D1672" t="n">
        <v>7</v>
      </c>
      <c r="E1672" t="inlineStr">
        <is>
          <t>HIGH</t>
        </is>
      </c>
      <c r="F1672" t="n">
        <v>3</v>
      </c>
      <c r="G1672" t="n">
        <v>2</v>
      </c>
      <c r="H1672" t="inlineStr">
        <is>
          <t>HIGH</t>
        </is>
      </c>
      <c r="I1672" t="n">
        <v>13</v>
      </c>
      <c r="J1672" t="inlineStr">
        <is>
          <t>YES</t>
        </is>
      </c>
      <c r="K1672" t="inlineStr"/>
      <c r="L1672" t="inlineStr">
        <is>
          <t>URGENT - actively exploited</t>
        </is>
      </c>
      <c r="M1672" t="inlineStr">
        <is>
          <t>CVE-2026-21519</t>
        </is>
      </c>
      <c r="N1672" t="inlineStr">
        <is>
          <t>P1</t>
        </is>
      </c>
      <c r="O1672" t="inlineStr">
        <is>
          <t>KEV entry - check specific CVEs for IP context</t>
        </is>
      </c>
      <c r="P1672" t="n">
        <v>0</v>
      </c>
      <c r="Q1672" t="n">
        <v>0</v>
      </c>
      <c r="R1672" t="inlineStr">
        <is>
          <t>T1190:Exploit Public-Facing Application</t>
        </is>
      </c>
      <c r="S1672" t="n">
        <v>2</v>
      </c>
      <c r="T1672" t="inlineStr">
        <is>
          <t>CONFIRMED (82%)</t>
        </is>
      </c>
      <c r="U1672" t="inlineStr">
        <is>
          <t>YES</t>
        </is>
      </c>
      <c r="V1672" t="inlineStr">
        <is>
          <t>URGENT</t>
        </is>
      </c>
      <c r="W1672" t="inlineStr">
        <is>
          <t>https://vulncheck.com/blog/vuln-check-kev</t>
        </is>
      </c>
      <c r="X1672" t="inlineStr">
        <is>
          <t>NONE</t>
        </is>
      </c>
      <c r="Y1672" t="n">
        <v>0</v>
      </c>
      <c r="Z1672" t="inlineStr"/>
      <c r="AA1672" t="inlineStr">
        <is>
          <t>https://vulncheck.com/blog/vuln-check-kev</t>
        </is>
      </c>
    </row>
    <row r="1673">
      <c r="A1673" t="inlineStr">
        <is>
          <t>FIREWALL_ADVISORY</t>
        </is>
      </c>
      <c r="B1673" t="inlineStr">
        <is>
          <t>PAN-ADV</t>
        </is>
      </c>
      <c r="C1673" t="inlineStr">
        <is>
          <t>PAN Advisory: PAN-OS: Memory Corruption Vulnerability in GlobalProtect Clientless VPN During SAML Authentication</t>
        </is>
      </c>
      <c r="D1673" t="n">
        <v>7.5</v>
      </c>
      <c r="E1673" t="inlineStr">
        <is>
          <t>HIGH</t>
        </is>
      </c>
      <c r="F1673" t="n">
        <v>2</v>
      </c>
      <c r="G1673" t="n">
        <v>2</v>
      </c>
      <c r="H1673" t="inlineStr">
        <is>
          <t>MEDIUM</t>
        </is>
      </c>
      <c r="I1673" t="n">
        <v>11.5</v>
      </c>
      <c r="J1673" t="inlineStr">
        <is>
          <t>NO</t>
        </is>
      </c>
      <c r="K1673" t="inlineStr">
        <is>
          <t>2026-02-27 20:47</t>
        </is>
      </c>
      <c r="L1673" t="inlineStr">
        <is>
          <t>YES - Apply vendor patch immediately</t>
        </is>
      </c>
      <c r="M1673" t="inlineStr">
        <is>
          <t>PAN-OS / GlobalProtect / Prisma / Cortex</t>
        </is>
      </c>
      <c r="N1673" t="inlineStr">
        <is>
          <t>P3</t>
        </is>
      </c>
      <c r="O1673" t="inlineStr">
        <is>
          <t>Firewall Advisory - Palo Alto Networks</t>
        </is>
      </c>
      <c r="P1673" t="n">
        <v>0</v>
      </c>
      <c r="Q1673" t="n">
        <v>0</v>
      </c>
      <c r="R1673" t="inlineStr">
        <is>
          <t>T1190:Exploit Public-Facing Application | T1133:External Remote Services</t>
        </is>
      </c>
      <c r="S1673" t="n">
        <v>2</v>
      </c>
      <c r="T1673" t="inlineStr">
        <is>
          <t>MEDIUM (52%)</t>
        </is>
      </c>
      <c r="U1673" t="inlineStr">
        <is>
          <t>CHECK_VENDOR</t>
        </is>
      </c>
      <c r="V1673" t="inlineStr">
        <is>
          <t>YES</t>
        </is>
      </c>
      <c r="W1673" t="inlineStr">
        <is>
          <t>https://security.paloaltonetworks.com/</t>
        </is>
      </c>
      <c r="X1673" t="inlineStr">
        <is>
          <t>NONE</t>
        </is>
      </c>
      <c r="Y1673" t="n">
        <v>0</v>
      </c>
      <c r="Z1673" t="inlineStr"/>
      <c r="AA1673" t="inlineStr">
        <is>
          <t>https://security.paloaltonetworks.com/</t>
        </is>
      </c>
    </row>
    <row r="1674">
      <c r="A1674" t="inlineStr">
        <is>
          <t>FIREWALL_ADVISORY</t>
        </is>
      </c>
      <c r="B1674" t="inlineStr">
        <is>
          <t>PAN-ADV</t>
        </is>
      </c>
      <c r="C1674" t="inlineStr">
        <is>
          <t>PAN Advisory:  PAN-OS: Firewall Denial of Service (DoS) in GlobalProtect Gateway and Portal</t>
        </is>
      </c>
      <c r="D1674" t="n">
        <v>7.5</v>
      </c>
      <c r="E1674" t="inlineStr">
        <is>
          <t>HIGH</t>
        </is>
      </c>
      <c r="F1674" t="n">
        <v>2</v>
      </c>
      <c r="G1674" t="n">
        <v>2</v>
      </c>
      <c r="H1674" t="inlineStr">
        <is>
          <t>MEDIUM</t>
        </is>
      </c>
      <c r="I1674" t="n">
        <v>11.5</v>
      </c>
      <c r="J1674" t="inlineStr">
        <is>
          <t>NO</t>
        </is>
      </c>
      <c r="K1674" t="inlineStr">
        <is>
          <t>2026-02-27 20:47</t>
        </is>
      </c>
      <c r="L1674" t="inlineStr">
        <is>
          <t>YES - Apply vendor patch immediately</t>
        </is>
      </c>
      <c r="M1674" t="inlineStr">
        <is>
          <t>PAN-OS / GlobalProtect / Prisma / Cortex</t>
        </is>
      </c>
      <c r="N1674" t="inlineStr">
        <is>
          <t>P3</t>
        </is>
      </c>
      <c r="O1674" t="inlineStr">
        <is>
          <t>Firewall Advisory - Palo Alto Networks</t>
        </is>
      </c>
      <c r="P1674" t="n">
        <v>0</v>
      </c>
      <c r="Q1674" t="n">
        <v>0</v>
      </c>
      <c r="R1674" t="inlineStr">
        <is>
          <t>T1190:Exploit Public-Facing Application | T1133:External Remote Services</t>
        </is>
      </c>
      <c r="S1674" t="n">
        <v>2</v>
      </c>
      <c r="T1674" t="inlineStr">
        <is>
          <t>MEDIUM (52%)</t>
        </is>
      </c>
      <c r="U1674" t="inlineStr">
        <is>
          <t>CHECK_VENDOR</t>
        </is>
      </c>
      <c r="V1674" t="inlineStr">
        <is>
          <t>YES</t>
        </is>
      </c>
      <c r="W1674" t="inlineStr">
        <is>
          <t>https://security.paloaltonetworks.com/</t>
        </is>
      </c>
      <c r="X1674" t="inlineStr">
        <is>
          <t>NONE</t>
        </is>
      </c>
      <c r="Y1674" t="n">
        <v>0</v>
      </c>
      <c r="Z1674" t="inlineStr"/>
      <c r="AA1674" t="inlineStr">
        <is>
          <t>https://security.paloaltonetworks.com/</t>
        </is>
      </c>
    </row>
    <row r="1675">
      <c r="A1675" t="inlineStr">
        <is>
          <t>FIREWALL_ADVISORY</t>
        </is>
      </c>
      <c r="B1675" t="inlineStr">
        <is>
          <t>PAN-ADV</t>
        </is>
      </c>
      <c r="C1675" t="inlineStr">
        <is>
          <t>PAN Advisory: Chromium: Monthly Vulnerability Update (February 2026)</t>
        </is>
      </c>
      <c r="D1675" t="n">
        <v>7.5</v>
      </c>
      <c r="E1675" t="inlineStr">
        <is>
          <t>HIGH</t>
        </is>
      </c>
      <c r="F1675" t="n">
        <v>2</v>
      </c>
      <c r="G1675" t="n">
        <v>2</v>
      </c>
      <c r="H1675" t="inlineStr">
        <is>
          <t>MEDIUM</t>
        </is>
      </c>
      <c r="I1675" t="n">
        <v>11.5</v>
      </c>
      <c r="J1675" t="inlineStr">
        <is>
          <t>NO</t>
        </is>
      </c>
      <c r="K1675" t="inlineStr">
        <is>
          <t>2026-02-27 20:47</t>
        </is>
      </c>
      <c r="L1675" t="inlineStr">
        <is>
          <t>YES - Apply vendor patch immediately</t>
        </is>
      </c>
      <c r="M1675" t="inlineStr">
        <is>
          <t>PAN-OS / GlobalProtect / Prisma / Cortex</t>
        </is>
      </c>
      <c r="N1675" t="inlineStr">
        <is>
          <t>P3</t>
        </is>
      </c>
      <c r="O1675" t="inlineStr">
        <is>
          <t>Firewall Advisory - Palo Alto Networks</t>
        </is>
      </c>
      <c r="P1675" t="n">
        <v>0</v>
      </c>
      <c r="Q1675" t="n">
        <v>0</v>
      </c>
      <c r="R1675" t="inlineStr">
        <is>
          <t>T1190:Exploit Public-Facing Application | T1133:External Remote Services</t>
        </is>
      </c>
      <c r="S1675" t="n">
        <v>2</v>
      </c>
      <c r="T1675" t="inlineStr">
        <is>
          <t>MEDIUM (52%)</t>
        </is>
      </c>
      <c r="U1675" t="inlineStr">
        <is>
          <t>CHECK_VENDOR</t>
        </is>
      </c>
      <c r="V1675" t="inlineStr">
        <is>
          <t>YES</t>
        </is>
      </c>
      <c r="W1675" t="inlineStr">
        <is>
          <t>https://security.paloaltonetworks.com/</t>
        </is>
      </c>
      <c r="X1675" t="inlineStr">
        <is>
          <t>NONE</t>
        </is>
      </c>
      <c r="Y1675" t="n">
        <v>0</v>
      </c>
      <c r="Z1675" t="inlineStr"/>
      <c r="AA1675" t="inlineStr">
        <is>
          <t>https://security.paloaltonetworks.com/</t>
        </is>
      </c>
    </row>
    <row r="1676">
      <c r="A1676" t="inlineStr">
        <is>
          <t>FIREWALL_ADVISORY</t>
        </is>
      </c>
      <c r="B1676" t="inlineStr">
        <is>
          <t>PAN-ADV</t>
        </is>
      </c>
      <c r="C1676" t="inlineStr">
        <is>
          <t>PAN Advisory: Chromium: Monthly Vulnerability Updates</t>
        </is>
      </c>
      <c r="D1676" t="n">
        <v>7.5</v>
      </c>
      <c r="E1676" t="inlineStr">
        <is>
          <t>HIGH</t>
        </is>
      </c>
      <c r="F1676" t="n">
        <v>2</v>
      </c>
      <c r="G1676" t="n">
        <v>2</v>
      </c>
      <c r="H1676" t="inlineStr">
        <is>
          <t>MEDIUM</t>
        </is>
      </c>
      <c r="I1676" t="n">
        <v>11.5</v>
      </c>
      <c r="J1676" t="inlineStr">
        <is>
          <t>NO</t>
        </is>
      </c>
      <c r="K1676" t="inlineStr">
        <is>
          <t>2026-02-27 20:47</t>
        </is>
      </c>
      <c r="L1676" t="inlineStr">
        <is>
          <t>YES - Apply vendor patch immediately</t>
        </is>
      </c>
      <c r="M1676" t="inlineStr">
        <is>
          <t>PAN-OS / GlobalProtect / Prisma / Cortex</t>
        </is>
      </c>
      <c r="N1676" t="inlineStr">
        <is>
          <t>P3</t>
        </is>
      </c>
      <c r="O1676" t="inlineStr">
        <is>
          <t>Firewall Advisory - Palo Alto Networks</t>
        </is>
      </c>
      <c r="P1676" t="n">
        <v>0</v>
      </c>
      <c r="Q1676" t="n">
        <v>0</v>
      </c>
      <c r="R1676" t="inlineStr">
        <is>
          <t>T1190:Exploit Public-Facing Application | T1133:External Remote Services</t>
        </is>
      </c>
      <c r="S1676" t="n">
        <v>2</v>
      </c>
      <c r="T1676" t="inlineStr">
        <is>
          <t>MEDIUM (52%)</t>
        </is>
      </c>
      <c r="U1676" t="inlineStr">
        <is>
          <t>CHECK_VENDOR</t>
        </is>
      </c>
      <c r="V1676" t="inlineStr">
        <is>
          <t>YES</t>
        </is>
      </c>
      <c r="W1676" t="inlineStr">
        <is>
          <t>https://security.paloaltonetworks.com/</t>
        </is>
      </c>
      <c r="X1676" t="inlineStr">
        <is>
          <t>NONE</t>
        </is>
      </c>
      <c r="Y1676" t="n">
        <v>0</v>
      </c>
      <c r="Z1676" t="inlineStr"/>
      <c r="AA1676" t="inlineStr">
        <is>
          <t>https://security.paloaltonetworks.com/</t>
        </is>
      </c>
    </row>
    <row r="1677">
      <c r="A1677" t="inlineStr">
        <is>
          <t>FIREWALL_ADVISORY</t>
        </is>
      </c>
      <c r="B1677" t="inlineStr">
        <is>
          <t>PAN-ADV</t>
        </is>
      </c>
      <c r="C1677" t="inlineStr">
        <is>
          <t>PAN Advisory: Secdo: Privilege escalation via hardcoded script path</t>
        </is>
      </c>
      <c r="D1677" t="n">
        <v>7.5</v>
      </c>
      <c r="E1677" t="inlineStr">
        <is>
          <t>HIGH</t>
        </is>
      </c>
      <c r="F1677" t="n">
        <v>2</v>
      </c>
      <c r="G1677" t="n">
        <v>2</v>
      </c>
      <c r="H1677" t="inlineStr">
        <is>
          <t>MEDIUM</t>
        </is>
      </c>
      <c r="I1677" t="n">
        <v>11.5</v>
      </c>
      <c r="J1677" t="inlineStr">
        <is>
          <t>NO</t>
        </is>
      </c>
      <c r="K1677" t="inlineStr">
        <is>
          <t>2026-02-27 20:47</t>
        </is>
      </c>
      <c r="L1677" t="inlineStr">
        <is>
          <t>YES - Apply vendor patch immediately</t>
        </is>
      </c>
      <c r="M1677" t="inlineStr">
        <is>
          <t>PAN-OS / GlobalProtect / Prisma / Cortex</t>
        </is>
      </c>
      <c r="N1677" t="inlineStr">
        <is>
          <t>P3</t>
        </is>
      </c>
      <c r="O1677" t="inlineStr">
        <is>
          <t>Firewall Advisory - Palo Alto Networks</t>
        </is>
      </c>
      <c r="P1677" t="n">
        <v>0</v>
      </c>
      <c r="Q1677" t="n">
        <v>0</v>
      </c>
      <c r="R1677" t="inlineStr">
        <is>
          <t>T1190:Exploit Public-Facing Application | T1133:External Remote Services</t>
        </is>
      </c>
      <c r="S1677" t="n">
        <v>2</v>
      </c>
      <c r="T1677" t="inlineStr">
        <is>
          <t>MEDIUM (52%)</t>
        </is>
      </c>
      <c r="U1677" t="inlineStr">
        <is>
          <t>CHECK_VENDOR</t>
        </is>
      </c>
      <c r="V1677" t="inlineStr">
        <is>
          <t>YES</t>
        </is>
      </c>
      <c r="W1677" t="inlineStr">
        <is>
          <t>https://security.paloaltonetworks.com/</t>
        </is>
      </c>
      <c r="X1677" t="inlineStr">
        <is>
          <t>NONE</t>
        </is>
      </c>
      <c r="Y1677" t="n">
        <v>0</v>
      </c>
      <c r="Z1677" t="inlineStr"/>
      <c r="AA1677" t="inlineStr">
        <is>
          <t>https://security.paloaltonetworks.com/</t>
        </is>
      </c>
    </row>
    <row r="1678">
      <c r="A1678" t="inlineStr">
        <is>
          <t>FIREWALL_ADVISORY</t>
        </is>
      </c>
      <c r="B1678" t="inlineStr">
        <is>
          <t>PAN-ADV</t>
        </is>
      </c>
      <c r="C1678" t="inlineStr">
        <is>
          <t xml:space="preserve">PAN Advisory: Secdo: Incorrect Default Permissions </t>
        </is>
      </c>
      <c r="D1678" t="n">
        <v>7.5</v>
      </c>
      <c r="E1678" t="inlineStr">
        <is>
          <t>HIGH</t>
        </is>
      </c>
      <c r="F1678" t="n">
        <v>2</v>
      </c>
      <c r="G1678" t="n">
        <v>2</v>
      </c>
      <c r="H1678" t="inlineStr">
        <is>
          <t>MEDIUM</t>
        </is>
      </c>
      <c r="I1678" t="n">
        <v>11.5</v>
      </c>
      <c r="J1678" t="inlineStr">
        <is>
          <t>NO</t>
        </is>
      </c>
      <c r="K1678" t="inlineStr">
        <is>
          <t>2026-02-27 20:47</t>
        </is>
      </c>
      <c r="L1678" t="inlineStr">
        <is>
          <t>YES - Apply vendor patch immediately</t>
        </is>
      </c>
      <c r="M1678" t="inlineStr">
        <is>
          <t>PAN-OS / GlobalProtect / Prisma / Cortex</t>
        </is>
      </c>
      <c r="N1678" t="inlineStr">
        <is>
          <t>P3</t>
        </is>
      </c>
      <c r="O1678" t="inlineStr">
        <is>
          <t>Firewall Advisory - Palo Alto Networks</t>
        </is>
      </c>
      <c r="P1678" t="n">
        <v>0</v>
      </c>
      <c r="Q1678" t="n">
        <v>0</v>
      </c>
      <c r="R1678" t="inlineStr">
        <is>
          <t>T1190:Exploit Public-Facing Application | T1133:External Remote Services</t>
        </is>
      </c>
      <c r="S1678" t="n">
        <v>2</v>
      </c>
      <c r="T1678" t="inlineStr">
        <is>
          <t>MEDIUM (52%)</t>
        </is>
      </c>
      <c r="U1678" t="inlineStr">
        <is>
          <t>CHECK_VENDOR</t>
        </is>
      </c>
      <c r="V1678" t="inlineStr">
        <is>
          <t>YES</t>
        </is>
      </c>
      <c r="W1678" t="inlineStr">
        <is>
          <t>https://security.paloaltonetworks.com/</t>
        </is>
      </c>
      <c r="X1678" t="inlineStr">
        <is>
          <t>NONE</t>
        </is>
      </c>
      <c r="Y1678" t="n">
        <v>0</v>
      </c>
      <c r="Z1678" t="inlineStr"/>
      <c r="AA1678" t="inlineStr">
        <is>
          <t>https://security.paloaltonetworks.com/</t>
        </is>
      </c>
    </row>
    <row r="1679">
      <c r="A1679" t="inlineStr">
        <is>
          <t>FIREWALL_ADVISORY</t>
        </is>
      </c>
      <c r="B1679" t="inlineStr">
        <is>
          <t>PAN-ADV</t>
        </is>
      </c>
      <c r="C1679" t="inlineStr">
        <is>
          <t>PAN Advisory: PAN-OS OpenConfig Plugin: Command Injection Vulnerability in OpenConfig Plugin</t>
        </is>
      </c>
      <c r="D1679" t="n">
        <v>7.5</v>
      </c>
      <c r="E1679" t="inlineStr">
        <is>
          <t>HIGH</t>
        </is>
      </c>
      <c r="F1679" t="n">
        <v>2</v>
      </c>
      <c r="G1679" t="n">
        <v>2</v>
      </c>
      <c r="H1679" t="inlineStr">
        <is>
          <t>MEDIUM</t>
        </is>
      </c>
      <c r="I1679" t="n">
        <v>11.5</v>
      </c>
      <c r="J1679" t="inlineStr">
        <is>
          <t>NO</t>
        </is>
      </c>
      <c r="K1679" t="inlineStr">
        <is>
          <t>2026-02-27 20:47</t>
        </is>
      </c>
      <c r="L1679" t="inlineStr">
        <is>
          <t>YES - Apply vendor patch immediately</t>
        </is>
      </c>
      <c r="M1679" t="inlineStr">
        <is>
          <t>PAN-OS / GlobalProtect / Prisma / Cortex</t>
        </is>
      </c>
      <c r="N1679" t="inlineStr">
        <is>
          <t>P3</t>
        </is>
      </c>
      <c r="O1679" t="inlineStr">
        <is>
          <t>Firewall Advisory - Palo Alto Networks</t>
        </is>
      </c>
      <c r="P1679" t="n">
        <v>0</v>
      </c>
      <c r="Q1679" t="n">
        <v>0</v>
      </c>
      <c r="R1679" t="inlineStr">
        <is>
          <t>T1190:Exploit Public-Facing Application | T1133:External Remote Services</t>
        </is>
      </c>
      <c r="S1679" t="n">
        <v>2</v>
      </c>
      <c r="T1679" t="inlineStr">
        <is>
          <t>MEDIUM (52%)</t>
        </is>
      </c>
      <c r="U1679" t="inlineStr">
        <is>
          <t>CHECK_VENDOR</t>
        </is>
      </c>
      <c r="V1679" t="inlineStr">
        <is>
          <t>YES</t>
        </is>
      </c>
      <c r="W1679" t="inlineStr">
        <is>
          <t>https://security.paloaltonetworks.com/</t>
        </is>
      </c>
      <c r="X1679" t="inlineStr">
        <is>
          <t>NONE</t>
        </is>
      </c>
      <c r="Y1679" t="n">
        <v>0</v>
      </c>
      <c r="Z1679" t="inlineStr"/>
      <c r="AA1679" t="inlineStr">
        <is>
          <t>https://security.paloaltonetworks.com/</t>
        </is>
      </c>
    </row>
    <row r="1680">
      <c r="A1680" t="inlineStr">
        <is>
          <t>FIREWALL_ADVISORY</t>
        </is>
      </c>
      <c r="B1680" t="inlineStr">
        <is>
          <t>CPAI-2025-12582</t>
        </is>
      </c>
      <c r="C1680" t="inlineStr">
        <is>
          <t>Check Point Advisory: CPAI-2025-12582 | The post CPAI-2025-12582 appeared first on Check Point Software .</t>
        </is>
      </c>
      <c r="D1680" t="n">
        <v>7.5</v>
      </c>
      <c r="E1680" t="inlineStr">
        <is>
          <t>HIGH</t>
        </is>
      </c>
      <c r="F1680" t="n">
        <v>2</v>
      </c>
      <c r="G1680" t="n">
        <v>2</v>
      </c>
      <c r="H1680" t="inlineStr">
        <is>
          <t>MEDIUM</t>
        </is>
      </c>
      <c r="I1680" t="n">
        <v>11.5</v>
      </c>
      <c r="J1680" t="inlineStr">
        <is>
          <t>NO</t>
        </is>
      </c>
      <c r="K1680" t="inlineStr">
        <is>
          <t>2026-02-27 20:47</t>
        </is>
      </c>
      <c r="L1680" t="inlineStr">
        <is>
          <t>YES - Apply vendor patch immediately</t>
        </is>
      </c>
      <c r="M1680" t="inlineStr">
        <is>
          <t>Check Point Gaia OS / CloudGuard / Quantum</t>
        </is>
      </c>
      <c r="N1680" t="inlineStr">
        <is>
          <t>P3</t>
        </is>
      </c>
      <c r="O1680" t="inlineStr">
        <is>
          <t>Firewall Advisory - Check Point</t>
        </is>
      </c>
      <c r="P1680" t="n">
        <v>0</v>
      </c>
      <c r="Q1680" t="n">
        <v>0</v>
      </c>
      <c r="R1680" t="inlineStr">
        <is>
          <t>T1190:Exploit Public-Facing Application | T1133:External Remote Services</t>
        </is>
      </c>
      <c r="S1680" t="n">
        <v>2</v>
      </c>
      <c r="T1680" t="inlineStr">
        <is>
          <t>MEDIUM (52%)</t>
        </is>
      </c>
      <c r="U1680" t="inlineStr">
        <is>
          <t>CHECK_VENDOR</t>
        </is>
      </c>
      <c r="V1680" t="inlineStr">
        <is>
          <t>YES</t>
        </is>
      </c>
      <c r="W1680" t="inlineStr">
        <is>
          <t>/defense/advisories/public/2026/cpai-2025-12582.html</t>
        </is>
      </c>
      <c r="X1680" t="inlineStr">
        <is>
          <t>NONE</t>
        </is>
      </c>
      <c r="Y1680" t="n">
        <v>0</v>
      </c>
      <c r="Z1680" t="inlineStr"/>
      <c r="AA1680" t="inlineStr">
        <is>
          <t>/defense/advisories/public/2026/cpai-2025-12582.html</t>
        </is>
      </c>
    </row>
    <row r="1681">
      <c r="A1681" t="inlineStr">
        <is>
          <t>FIREWALL_ADVISORY</t>
        </is>
      </c>
      <c r="B1681" t="inlineStr">
        <is>
          <t>CPAI-2025-12449</t>
        </is>
      </c>
      <c r="C1681" t="inlineStr">
        <is>
          <t>Check Point Advisory: CPAI-2025-12449 | The post CPAI-2025-12449 appeared first on Check Point Software .</t>
        </is>
      </c>
      <c r="D1681" t="n">
        <v>7.5</v>
      </c>
      <c r="E1681" t="inlineStr">
        <is>
          <t>HIGH</t>
        </is>
      </c>
      <c r="F1681" t="n">
        <v>2</v>
      </c>
      <c r="G1681" t="n">
        <v>2</v>
      </c>
      <c r="H1681" t="inlineStr">
        <is>
          <t>MEDIUM</t>
        </is>
      </c>
      <c r="I1681" t="n">
        <v>11.5</v>
      </c>
      <c r="J1681" t="inlineStr">
        <is>
          <t>NO</t>
        </is>
      </c>
      <c r="K1681" t="inlineStr">
        <is>
          <t>2026-02-27 20:47</t>
        </is>
      </c>
      <c r="L1681" t="inlineStr">
        <is>
          <t>YES - Apply vendor patch immediately</t>
        </is>
      </c>
      <c r="M1681" t="inlineStr">
        <is>
          <t>Check Point Gaia OS / CloudGuard / Quantum</t>
        </is>
      </c>
      <c r="N1681" t="inlineStr">
        <is>
          <t>P3</t>
        </is>
      </c>
      <c r="O1681" t="inlineStr">
        <is>
          <t>Firewall Advisory - Check Point</t>
        </is>
      </c>
      <c r="P1681" t="n">
        <v>0</v>
      </c>
      <c r="Q1681" t="n">
        <v>0</v>
      </c>
      <c r="R1681" t="inlineStr">
        <is>
          <t>T1190:Exploit Public-Facing Application | T1133:External Remote Services</t>
        </is>
      </c>
      <c r="S1681" t="n">
        <v>2</v>
      </c>
      <c r="T1681" t="inlineStr">
        <is>
          <t>MEDIUM (52%)</t>
        </is>
      </c>
      <c r="U1681" t="inlineStr">
        <is>
          <t>CHECK_VENDOR</t>
        </is>
      </c>
      <c r="V1681" t="inlineStr">
        <is>
          <t>YES</t>
        </is>
      </c>
      <c r="W1681" t="inlineStr">
        <is>
          <t>/defense/advisories/public/2026/cpai-2025-12449.html</t>
        </is>
      </c>
      <c r="X1681" t="inlineStr">
        <is>
          <t>NONE</t>
        </is>
      </c>
      <c r="Y1681" t="n">
        <v>0</v>
      </c>
      <c r="Z1681" t="inlineStr"/>
      <c r="AA1681" t="inlineStr">
        <is>
          <t>/defense/advisories/public/2026/cpai-2025-12449.html</t>
        </is>
      </c>
    </row>
    <row r="1682">
      <c r="A1682" t="inlineStr">
        <is>
          <t>FIREWALL_ADVISORY</t>
        </is>
      </c>
      <c r="B1682" t="inlineStr">
        <is>
          <t>CPAI-2025-12453</t>
        </is>
      </c>
      <c r="C1682" t="inlineStr">
        <is>
          <t>Check Point Advisory: CPAI-2025-12453 | The post CPAI-2025-12453 appeared first on Check Point Software .</t>
        </is>
      </c>
      <c r="D1682" t="n">
        <v>7.5</v>
      </c>
      <c r="E1682" t="inlineStr">
        <is>
          <t>HIGH</t>
        </is>
      </c>
      <c r="F1682" t="n">
        <v>2</v>
      </c>
      <c r="G1682" t="n">
        <v>2</v>
      </c>
      <c r="H1682" t="inlineStr">
        <is>
          <t>MEDIUM</t>
        </is>
      </c>
      <c r="I1682" t="n">
        <v>11.5</v>
      </c>
      <c r="J1682" t="inlineStr">
        <is>
          <t>NO</t>
        </is>
      </c>
      <c r="K1682" t="inlineStr">
        <is>
          <t>2026-02-27 20:47</t>
        </is>
      </c>
      <c r="L1682" t="inlineStr">
        <is>
          <t>YES - Apply vendor patch immediately</t>
        </is>
      </c>
      <c r="M1682" t="inlineStr">
        <is>
          <t>Check Point Gaia OS / CloudGuard / Quantum</t>
        </is>
      </c>
      <c r="N1682" t="inlineStr">
        <is>
          <t>P3</t>
        </is>
      </c>
      <c r="O1682" t="inlineStr">
        <is>
          <t>Firewall Advisory - Check Point</t>
        </is>
      </c>
      <c r="P1682" t="n">
        <v>0</v>
      </c>
      <c r="Q1682" t="n">
        <v>0</v>
      </c>
      <c r="R1682" t="inlineStr">
        <is>
          <t>T1190:Exploit Public-Facing Application | T1133:External Remote Services</t>
        </is>
      </c>
      <c r="S1682" t="n">
        <v>2</v>
      </c>
      <c r="T1682" t="inlineStr">
        <is>
          <t>MEDIUM (52%)</t>
        </is>
      </c>
      <c r="U1682" t="inlineStr">
        <is>
          <t>CHECK_VENDOR</t>
        </is>
      </c>
      <c r="V1682" t="inlineStr">
        <is>
          <t>YES</t>
        </is>
      </c>
      <c r="W1682" t="inlineStr">
        <is>
          <t>/defense/advisories/public/2026/cpai-2025-12453.html</t>
        </is>
      </c>
      <c r="X1682" t="inlineStr">
        <is>
          <t>NONE</t>
        </is>
      </c>
      <c r="Y1682" t="n">
        <v>0</v>
      </c>
      <c r="Z1682" t="inlineStr"/>
      <c r="AA1682" t="inlineStr">
        <is>
          <t>/defense/advisories/public/2026/cpai-2025-12453.html</t>
        </is>
      </c>
    </row>
    <row r="1683">
      <c r="A1683" t="inlineStr">
        <is>
          <t>FIREWALL_ADVISORY</t>
        </is>
      </c>
      <c r="B1683" t="inlineStr">
        <is>
          <t>CPAI-2025-12332</t>
        </is>
      </c>
      <c r="C1683" t="inlineStr">
        <is>
          <t>Check Point Advisory: CPAI-2025-12332 | The post CPAI-2025-12332 appeared first on Check Point Software .</t>
        </is>
      </c>
      <c r="D1683" t="n">
        <v>7.5</v>
      </c>
      <c r="E1683" t="inlineStr">
        <is>
          <t>HIGH</t>
        </is>
      </c>
      <c r="F1683" t="n">
        <v>2</v>
      </c>
      <c r="G1683" t="n">
        <v>2</v>
      </c>
      <c r="H1683" t="inlineStr">
        <is>
          <t>MEDIUM</t>
        </is>
      </c>
      <c r="I1683" t="n">
        <v>11.5</v>
      </c>
      <c r="J1683" t="inlineStr">
        <is>
          <t>NO</t>
        </is>
      </c>
      <c r="K1683" t="inlineStr">
        <is>
          <t>2026-02-27 20:47</t>
        </is>
      </c>
      <c r="L1683" t="inlineStr">
        <is>
          <t>YES - Apply vendor patch immediately</t>
        </is>
      </c>
      <c r="M1683" t="inlineStr">
        <is>
          <t>Check Point Gaia OS / CloudGuard / Quantum</t>
        </is>
      </c>
      <c r="N1683" t="inlineStr">
        <is>
          <t>P3</t>
        </is>
      </c>
      <c r="O1683" t="inlineStr">
        <is>
          <t>Firewall Advisory - Check Point</t>
        </is>
      </c>
      <c r="P1683" t="n">
        <v>0</v>
      </c>
      <c r="Q1683" t="n">
        <v>0</v>
      </c>
      <c r="R1683" t="inlineStr">
        <is>
          <t>T1190:Exploit Public-Facing Application | T1133:External Remote Services</t>
        </is>
      </c>
      <c r="S1683" t="n">
        <v>2</v>
      </c>
      <c r="T1683" t="inlineStr">
        <is>
          <t>MEDIUM (52%)</t>
        </is>
      </c>
      <c r="U1683" t="inlineStr">
        <is>
          <t>CHECK_VENDOR</t>
        </is>
      </c>
      <c r="V1683" t="inlineStr">
        <is>
          <t>YES</t>
        </is>
      </c>
      <c r="W1683" t="inlineStr">
        <is>
          <t>/defense/advisories/public/2026/cpai-2025-12332.html</t>
        </is>
      </c>
      <c r="X1683" t="inlineStr">
        <is>
          <t>NONE</t>
        </is>
      </c>
      <c r="Y1683" t="n">
        <v>0</v>
      </c>
      <c r="Z1683" t="inlineStr"/>
      <c r="AA1683" t="inlineStr">
        <is>
          <t>/defense/advisories/public/2026/cpai-2025-12332.html</t>
        </is>
      </c>
    </row>
    <row r="1684">
      <c r="A1684" t="inlineStr">
        <is>
          <t>FIREWALL_ADVISORY</t>
        </is>
      </c>
      <c r="B1684" t="inlineStr">
        <is>
          <t>CPAI-2026-0972</t>
        </is>
      </c>
      <c r="C1684" t="inlineStr">
        <is>
          <t>Check Point Advisory: CPAI-2026-0972 | The post CPAI-2026-0972 appeared first on Check Point Software .</t>
        </is>
      </c>
      <c r="D1684" t="n">
        <v>7.5</v>
      </c>
      <c r="E1684" t="inlineStr">
        <is>
          <t>HIGH</t>
        </is>
      </c>
      <c r="F1684" t="n">
        <v>2</v>
      </c>
      <c r="G1684" t="n">
        <v>2</v>
      </c>
      <c r="H1684" t="inlineStr">
        <is>
          <t>MEDIUM</t>
        </is>
      </c>
      <c r="I1684" t="n">
        <v>11.5</v>
      </c>
      <c r="J1684" t="inlineStr">
        <is>
          <t>NO</t>
        </is>
      </c>
      <c r="K1684" t="inlineStr">
        <is>
          <t>2026-02-27 20:47</t>
        </is>
      </c>
      <c r="L1684" t="inlineStr">
        <is>
          <t>YES - Apply vendor patch immediately</t>
        </is>
      </c>
      <c r="M1684" t="inlineStr">
        <is>
          <t>Check Point Gaia OS / CloudGuard / Quantum</t>
        </is>
      </c>
      <c r="N1684" t="inlineStr">
        <is>
          <t>P3</t>
        </is>
      </c>
      <c r="O1684" t="inlineStr">
        <is>
          <t>Firewall Advisory - Check Point</t>
        </is>
      </c>
      <c r="P1684" t="n">
        <v>0</v>
      </c>
      <c r="Q1684" t="n">
        <v>0</v>
      </c>
      <c r="R1684" t="inlineStr">
        <is>
          <t>T1190:Exploit Public-Facing Application | T1133:External Remote Services</t>
        </is>
      </c>
      <c r="S1684" t="n">
        <v>2</v>
      </c>
      <c r="T1684" t="inlineStr">
        <is>
          <t>MEDIUM (52%)</t>
        </is>
      </c>
      <c r="U1684" t="inlineStr">
        <is>
          <t>CHECK_VENDOR</t>
        </is>
      </c>
      <c r="V1684" t="inlineStr">
        <is>
          <t>YES</t>
        </is>
      </c>
      <c r="W1684" t="inlineStr">
        <is>
          <t>/defense/advisories/public/2026/cpai-2026-0972.html</t>
        </is>
      </c>
      <c r="X1684" t="inlineStr">
        <is>
          <t>NONE</t>
        </is>
      </c>
      <c r="Y1684" t="n">
        <v>0</v>
      </c>
      <c r="Z1684" t="inlineStr"/>
      <c r="AA1684" t="inlineStr">
        <is>
          <t>/defense/advisories/public/2026/cpai-2026-0972.html</t>
        </is>
      </c>
    </row>
    <row r="1685">
      <c r="A1685" t="inlineStr">
        <is>
          <t>FIREWALL_ADVISORY</t>
        </is>
      </c>
      <c r="B1685" t="inlineStr">
        <is>
          <t>CVE-2025-13942</t>
        </is>
      </c>
      <c r="C1685" t="inlineStr">
        <is>
          <t xml:space="preserve">Zyxel Advisory: A command injection vulnerability in the UPnP function of the Zyxel EX3510-B0 firmware versions through 5.17(ABUP.15.1)C0 could allow a remote attacker to execute operating system (OS) commands on an </t>
        </is>
      </c>
      <c r="D1685" t="n">
        <v>9</v>
      </c>
      <c r="E1685" t="inlineStr">
        <is>
          <t>CRITICAL</t>
        </is>
      </c>
      <c r="F1685" t="n">
        <v>3</v>
      </c>
      <c r="G1685" t="n">
        <v>3</v>
      </c>
      <c r="H1685" t="inlineStr">
        <is>
          <t>CRITICAL</t>
        </is>
      </c>
      <c r="I1685" t="n">
        <v>18</v>
      </c>
      <c r="J1685" t="inlineStr">
        <is>
          <t>NO</t>
        </is>
      </c>
      <c r="K1685" t="inlineStr">
        <is>
          <t>2026-02-27 20:47</t>
        </is>
      </c>
      <c r="L1685" t="inlineStr">
        <is>
          <t>YES - Apply vendor patch immediately</t>
        </is>
      </c>
      <c r="M1685" t="inlineStr">
        <is>
          <t>Zyxel Firewall / VPN / NAS / ATP Series</t>
        </is>
      </c>
      <c r="N1685" t="inlineStr">
        <is>
          <t>P1</t>
        </is>
      </c>
      <c r="O1685" t="inlineStr">
        <is>
          <t>Firewall Advisory - Zyxel</t>
        </is>
      </c>
      <c r="P1685" t="n">
        <v>0</v>
      </c>
      <c r="Q1685" t="n">
        <v>0</v>
      </c>
      <c r="R1685" t="inlineStr">
        <is>
          <t>T1190:Exploit Public-Facing Application | T1133:External Remote Services</t>
        </is>
      </c>
      <c r="S1685" t="n">
        <v>2</v>
      </c>
      <c r="T1685" t="inlineStr">
        <is>
          <t>MEDIUM (52%)</t>
        </is>
      </c>
      <c r="U1685" t="inlineStr">
        <is>
          <t>CHECK_VENDOR</t>
        </is>
      </c>
      <c r="V1685" t="inlineStr">
        <is>
          <t>YES</t>
        </is>
      </c>
      <c r="W1685" t="inlineStr">
        <is>
          <t>https://nvd.nist.gov/vuln/detail/CVE-2025-13942</t>
        </is>
      </c>
      <c r="X1685" t="inlineStr">
        <is>
          <t>NONE</t>
        </is>
      </c>
      <c r="Y1685" t="n">
        <v>0</v>
      </c>
      <c r="Z1685" t="inlineStr"/>
      <c r="AA1685" t="inlineStr">
        <is>
          <t>https://nvd.nist.gov/vuln/detail/CVE-2025-13942</t>
        </is>
      </c>
    </row>
    <row r="1686">
      <c r="A1686" t="inlineStr">
        <is>
          <t>FIREWALL_ADVISORY</t>
        </is>
      </c>
      <c r="B1686" t="inlineStr">
        <is>
          <t>WatchG-ADV</t>
        </is>
      </c>
      <c r="C1686" t="inlineStr">
        <is>
          <t>WatchGuard Advisory: WatchGuard Firebox LDAP Injection | WatchGuard Firebox LDAP Injection Advisory ID &lt;div class="field__it</t>
        </is>
      </c>
      <c r="D1686" t="n">
        <v>7.5</v>
      </c>
      <c r="E1686" t="inlineStr">
        <is>
          <t>HIGH</t>
        </is>
      </c>
      <c r="F1686" t="n">
        <v>2</v>
      </c>
      <c r="G1686" t="n">
        <v>2</v>
      </c>
      <c r="H1686" t="inlineStr">
        <is>
          <t>MEDIUM</t>
        </is>
      </c>
      <c r="I1686" t="n">
        <v>11.5</v>
      </c>
      <c r="J1686" t="inlineStr">
        <is>
          <t>NO</t>
        </is>
      </c>
      <c r="K1686" t="inlineStr">
        <is>
          <t>2026-02-27 20:47</t>
        </is>
      </c>
      <c r="L1686" t="inlineStr">
        <is>
          <t>YES - Apply vendor patch immediately</t>
        </is>
      </c>
      <c r="M1686" t="inlineStr">
        <is>
          <t>WatchGuard Firebox / FireboxV / WatchGuard Cloud</t>
        </is>
      </c>
      <c r="N1686" t="inlineStr">
        <is>
          <t>P3</t>
        </is>
      </c>
      <c r="O1686" t="inlineStr">
        <is>
          <t>Firewall Advisory - WatchGuard</t>
        </is>
      </c>
      <c r="P1686" t="n">
        <v>0</v>
      </c>
      <c r="Q1686" t="n">
        <v>0</v>
      </c>
      <c r="R1686" t="inlineStr">
        <is>
          <t>T1190:Exploit Public-Facing Application | T1133:External Remote Services</t>
        </is>
      </c>
      <c r="S1686" t="n">
        <v>2</v>
      </c>
      <c r="T1686" t="inlineStr">
        <is>
          <t>MEDIUM (52%)</t>
        </is>
      </c>
      <c r="U1686" t="inlineStr">
        <is>
          <t>CHECK_VENDOR</t>
        </is>
      </c>
      <c r="V1686" t="inlineStr">
        <is>
          <t>YES</t>
        </is>
      </c>
      <c r="W1686" t="inlineStr">
        <is>
          <t>https://www.watchguard.com/wgrd-psirt/advisory/wgsa-2026-00001</t>
        </is>
      </c>
      <c r="X1686" t="inlineStr">
        <is>
          <t>NONE</t>
        </is>
      </c>
      <c r="Y1686" t="n">
        <v>0</v>
      </c>
      <c r="Z1686" t="inlineStr"/>
      <c r="AA1686" t="inlineStr">
        <is>
          <t>https://www.watchguard.com/wgrd-psirt/advisory/wgsa-2026-00001</t>
        </is>
      </c>
    </row>
    <row r="1687">
      <c r="A1687" t="inlineStr">
        <is>
          <t>FIREWALL_ADVISORY</t>
        </is>
      </c>
      <c r="B1687" t="inlineStr">
        <is>
          <t>WatchG-ADV</t>
        </is>
      </c>
      <c r="C1687" t="inlineStr">
        <is>
          <t>WatchGuard Advisory: NCP IPSec VPN Client MSI Installer Privilege Escallation (NCPVE-2025-0626) | NCP IPSec VPN Client MSI Installer Privilege Escallation (NCPVE-2025-0626) Advisory ID</t>
        </is>
      </c>
      <c r="D1687" t="n">
        <v>7.5</v>
      </c>
      <c r="E1687" t="inlineStr">
        <is>
          <t>HIGH</t>
        </is>
      </c>
      <c r="F1687" t="n">
        <v>2</v>
      </c>
      <c r="G1687" t="n">
        <v>2</v>
      </c>
      <c r="H1687" t="inlineStr">
        <is>
          <t>MEDIUM</t>
        </is>
      </c>
      <c r="I1687" t="n">
        <v>11.5</v>
      </c>
      <c r="J1687" t="inlineStr">
        <is>
          <t>NO</t>
        </is>
      </c>
      <c r="K1687" t="inlineStr">
        <is>
          <t>2026-02-27 20:47</t>
        </is>
      </c>
      <c r="L1687" t="inlineStr">
        <is>
          <t>YES - Apply vendor patch immediately</t>
        </is>
      </c>
      <c r="M1687" t="inlineStr">
        <is>
          <t>WatchGuard Firebox / FireboxV / WatchGuard Cloud</t>
        </is>
      </c>
      <c r="N1687" t="inlineStr">
        <is>
          <t>P3</t>
        </is>
      </c>
      <c r="O1687" t="inlineStr">
        <is>
          <t>Firewall Advisory - WatchGuard</t>
        </is>
      </c>
      <c r="P1687" t="n">
        <v>0</v>
      </c>
      <c r="Q1687" t="n">
        <v>0</v>
      </c>
      <c r="R1687" t="inlineStr">
        <is>
          <t>T1190:Exploit Public-Facing Application | T1133:External Remote Services</t>
        </is>
      </c>
      <c r="S1687" t="n">
        <v>2</v>
      </c>
      <c r="T1687" t="inlineStr">
        <is>
          <t>MEDIUM (52%)</t>
        </is>
      </c>
      <c r="U1687" t="inlineStr">
        <is>
          <t>CHECK_VENDOR</t>
        </is>
      </c>
      <c r="V1687" t="inlineStr">
        <is>
          <t>YES</t>
        </is>
      </c>
      <c r="W1687" t="inlineStr">
        <is>
          <t>https://www.watchguard.com/wgrd-psirt/advisory/wgsa-2026-00002</t>
        </is>
      </c>
      <c r="X1687" t="inlineStr">
        <is>
          <t>NONE</t>
        </is>
      </c>
      <c r="Y1687" t="n">
        <v>0</v>
      </c>
      <c r="Z1687" t="inlineStr"/>
      <c r="AA1687" t="inlineStr">
        <is>
          <t>https://www.watchguard.com/wgrd-psirt/advisory/wgsa-2026-00002</t>
        </is>
      </c>
    </row>
    <row r="1688">
      <c r="A1688" t="inlineStr">
        <is>
          <t>FIREWALL_ADVISORY</t>
        </is>
      </c>
      <c r="B1688" t="inlineStr">
        <is>
          <t>WatchG-ADV</t>
        </is>
      </c>
      <c r="C1688" t="inlineStr">
        <is>
          <t>WatchGuard Advisory: WatchGuard Firebox iked Out of Bounds Write Vulnerability | WatchGuard Firebox iked Out of Bounds Write Vulnerability Advisory ID</t>
        </is>
      </c>
      <c r="D1688" t="n">
        <v>7.5</v>
      </c>
      <c r="E1688" t="inlineStr">
        <is>
          <t>HIGH</t>
        </is>
      </c>
      <c r="F1688" t="n">
        <v>2</v>
      </c>
      <c r="G1688" t="n">
        <v>2</v>
      </c>
      <c r="H1688" t="inlineStr">
        <is>
          <t>MEDIUM</t>
        </is>
      </c>
      <c r="I1688" t="n">
        <v>11.5</v>
      </c>
      <c r="J1688" t="inlineStr">
        <is>
          <t>NO</t>
        </is>
      </c>
      <c r="K1688" t="inlineStr">
        <is>
          <t>2026-02-27 20:47</t>
        </is>
      </c>
      <c r="L1688" t="inlineStr">
        <is>
          <t>YES - Apply vendor patch immediately</t>
        </is>
      </c>
      <c r="M1688" t="inlineStr">
        <is>
          <t>WatchGuard Firebox / FireboxV / WatchGuard Cloud</t>
        </is>
      </c>
      <c r="N1688" t="inlineStr">
        <is>
          <t>P3</t>
        </is>
      </c>
      <c r="O1688" t="inlineStr">
        <is>
          <t>Firewall Advisory - WatchGuard</t>
        </is>
      </c>
      <c r="P1688" t="n">
        <v>0</v>
      </c>
      <c r="Q1688" t="n">
        <v>0</v>
      </c>
      <c r="R1688" t="inlineStr">
        <is>
          <t>T1190:Exploit Public-Facing Application | T1133:External Remote Services</t>
        </is>
      </c>
      <c r="S1688" t="n">
        <v>2</v>
      </c>
      <c r="T1688" t="inlineStr">
        <is>
          <t>MEDIUM (52%)</t>
        </is>
      </c>
      <c r="U1688" t="inlineStr">
        <is>
          <t>CHECK_VENDOR</t>
        </is>
      </c>
      <c r="V1688" t="inlineStr">
        <is>
          <t>YES</t>
        </is>
      </c>
      <c r="W1688" t="inlineStr">
        <is>
          <t>https://www.watchguard.com/wgrd-psirt/advisory/wgsa-2025-00027</t>
        </is>
      </c>
      <c r="X1688" t="inlineStr">
        <is>
          <t>NONE</t>
        </is>
      </c>
      <c r="Y1688" t="n">
        <v>0</v>
      </c>
      <c r="Z1688" t="inlineStr"/>
      <c r="AA1688" t="inlineStr">
        <is>
          <t>https://www.watchguard.com/wgrd-psirt/advisory/wgsa-2025-00027</t>
        </is>
      </c>
    </row>
    <row r="1689">
      <c r="A1689" t="inlineStr">
        <is>
          <t>FIREWALL_ADVISORY</t>
        </is>
      </c>
      <c r="B1689" t="inlineStr">
        <is>
          <t>WatchG-ADV</t>
        </is>
      </c>
      <c r="C1689" t="inlineStr">
        <is>
          <t>WatchGuard Advisory: WatchGuard Firebox Boot Time System Integrity Check Bypass | WatchGuard Firebox Boot Time System Integrity Check Bypass Advisory ID</t>
        </is>
      </c>
      <c r="D1689" t="n">
        <v>7.5</v>
      </c>
      <c r="E1689" t="inlineStr">
        <is>
          <t>HIGH</t>
        </is>
      </c>
      <c r="F1689" t="n">
        <v>2</v>
      </c>
      <c r="G1689" t="n">
        <v>2</v>
      </c>
      <c r="H1689" t="inlineStr">
        <is>
          <t>MEDIUM</t>
        </is>
      </c>
      <c r="I1689" t="n">
        <v>11.5</v>
      </c>
      <c r="J1689" t="inlineStr">
        <is>
          <t>NO</t>
        </is>
      </c>
      <c r="K1689" t="inlineStr">
        <is>
          <t>2026-02-27 20:47</t>
        </is>
      </c>
      <c r="L1689" t="inlineStr">
        <is>
          <t>YES - Apply vendor patch immediately</t>
        </is>
      </c>
      <c r="M1689" t="inlineStr">
        <is>
          <t>WatchGuard Firebox / FireboxV / WatchGuard Cloud</t>
        </is>
      </c>
      <c r="N1689" t="inlineStr">
        <is>
          <t>P3</t>
        </is>
      </c>
      <c r="O1689" t="inlineStr">
        <is>
          <t>Firewall Advisory - WatchGuard</t>
        </is>
      </c>
      <c r="P1689" t="n">
        <v>0</v>
      </c>
      <c r="Q1689" t="n">
        <v>0</v>
      </c>
      <c r="R1689" t="inlineStr">
        <is>
          <t>T1190:Exploit Public-Facing Application | T1133:External Remote Services</t>
        </is>
      </c>
      <c r="S1689" t="n">
        <v>2</v>
      </c>
      <c r="T1689" t="inlineStr">
        <is>
          <t>MEDIUM (52%)</t>
        </is>
      </c>
      <c r="U1689" t="inlineStr">
        <is>
          <t>CHECK_VENDOR</t>
        </is>
      </c>
      <c r="V1689" t="inlineStr">
        <is>
          <t>YES</t>
        </is>
      </c>
      <c r="W1689" t="inlineStr">
        <is>
          <t>https://www.watchguard.com/wgrd-psirt/advisory/wgsa-2025-00026</t>
        </is>
      </c>
      <c r="X1689" t="inlineStr">
        <is>
          <t>NONE</t>
        </is>
      </c>
      <c r="Y1689" t="n">
        <v>0</v>
      </c>
      <c r="Z1689" t="inlineStr"/>
      <c r="AA1689" t="inlineStr">
        <is>
          <t>https://www.watchguard.com/wgrd-psirt/advisory/wgsa-2025-00026</t>
        </is>
      </c>
    </row>
    <row r="1690">
      <c r="A1690" t="inlineStr">
        <is>
          <t>FIREWALL_ADVISORY</t>
        </is>
      </c>
      <c r="B1690" t="inlineStr">
        <is>
          <t>WatchG-ADV</t>
        </is>
      </c>
      <c r="C1690" t="inlineStr">
        <is>
          <t>WatchGuard Advisory: WatchGuard Firebox iked Memory Corruption Vulnerability | WatchGuard Firebox iked Memory Corruption Vulnerability Advisory ID</t>
        </is>
      </c>
      <c r="D1690" t="n">
        <v>7.5</v>
      </c>
      <c r="E1690" t="inlineStr">
        <is>
          <t>HIGH</t>
        </is>
      </c>
      <c r="F1690" t="n">
        <v>2</v>
      </c>
      <c r="G1690" t="n">
        <v>2</v>
      </c>
      <c r="H1690" t="inlineStr">
        <is>
          <t>MEDIUM</t>
        </is>
      </c>
      <c r="I1690" t="n">
        <v>11.5</v>
      </c>
      <c r="J1690" t="inlineStr">
        <is>
          <t>NO</t>
        </is>
      </c>
      <c r="K1690" t="inlineStr">
        <is>
          <t>2026-02-27 20:47</t>
        </is>
      </c>
      <c r="L1690" t="inlineStr">
        <is>
          <t>YES - Apply vendor patch immediately</t>
        </is>
      </c>
      <c r="M1690" t="inlineStr">
        <is>
          <t>WatchGuard Firebox / FireboxV / WatchGuard Cloud</t>
        </is>
      </c>
      <c r="N1690" t="inlineStr">
        <is>
          <t>P3</t>
        </is>
      </c>
      <c r="O1690" t="inlineStr">
        <is>
          <t>Firewall Advisory - WatchGuard</t>
        </is>
      </c>
      <c r="P1690" t="n">
        <v>0</v>
      </c>
      <c r="Q1690" t="n">
        <v>0</v>
      </c>
      <c r="R1690" t="inlineStr">
        <is>
          <t>T1190:Exploit Public-Facing Application | T1133:External Remote Services</t>
        </is>
      </c>
      <c r="S1690" t="n">
        <v>2</v>
      </c>
      <c r="T1690" t="inlineStr">
        <is>
          <t>MEDIUM (52%)</t>
        </is>
      </c>
      <c r="U1690" t="inlineStr">
        <is>
          <t>CHECK_VENDOR</t>
        </is>
      </c>
      <c r="V1690" t="inlineStr">
        <is>
          <t>YES</t>
        </is>
      </c>
      <c r="W1690" t="inlineStr">
        <is>
          <t>https://www.watchguard.com/wgrd-psirt/advisory/wgsa-2025-00018</t>
        </is>
      </c>
      <c r="X1690" t="inlineStr">
        <is>
          <t>NONE</t>
        </is>
      </c>
      <c r="Y1690" t="n">
        <v>0</v>
      </c>
      <c r="Z1690" t="inlineStr"/>
      <c r="AA1690" t="inlineStr">
        <is>
          <t>https://www.watchguard.com/wgrd-psirt/advisory/wgsa-2025-00018</t>
        </is>
      </c>
    </row>
    <row r="1691">
      <c r="A1691" t="inlineStr">
        <is>
          <t>FIREWALL_ADVISORY</t>
        </is>
      </c>
      <c r="B1691" t="inlineStr">
        <is>
          <t>FG-IR</t>
        </is>
      </c>
      <c r="C1691" t="inlineStr">
        <is>
          <t>Fortinet PSIRT: Request smuggling attack in FortiOS | CVSSv3 Score: 5.2 An HTTP request smuggling vulnerability [CWE-444] in FortiOS may allow an unauthenticated attacker to smuggle an unlogged http request through the firewall policies via a specially c</t>
        </is>
      </c>
      <c r="D1691" t="n">
        <v>7.5</v>
      </c>
      <c r="E1691" t="inlineStr">
        <is>
          <t>HIGH</t>
        </is>
      </c>
      <c r="F1691" t="n">
        <v>2</v>
      </c>
      <c r="G1691" t="n">
        <v>2</v>
      </c>
      <c r="H1691" t="inlineStr">
        <is>
          <t>MEDIUM</t>
        </is>
      </c>
      <c r="I1691" t="n">
        <v>11.5</v>
      </c>
      <c r="J1691" t="inlineStr">
        <is>
          <t>NO</t>
        </is>
      </c>
      <c r="K1691" t="inlineStr">
        <is>
          <t>2026-02-27 20:47</t>
        </is>
      </c>
      <c r="L1691" t="inlineStr">
        <is>
          <t>YES - Apply vendor patch immediately</t>
        </is>
      </c>
      <c r="M1691" t="inlineStr">
        <is>
          <t>FortiOS / FortiGate / FortiProxy / FortiManager</t>
        </is>
      </c>
      <c r="N1691" t="inlineStr">
        <is>
          <t>P3</t>
        </is>
      </c>
      <c r="O1691" t="inlineStr">
        <is>
          <t>Firewall Advisory - Fortinet</t>
        </is>
      </c>
      <c r="P1691" t="n">
        <v>0</v>
      </c>
      <c r="Q1691" t="n">
        <v>0</v>
      </c>
      <c r="R1691" t="inlineStr">
        <is>
          <t>T1190:Exploit Public-Facing Application | T1133:External Remote Services</t>
        </is>
      </c>
      <c r="S1691" t="n">
        <v>2</v>
      </c>
      <c r="T1691" t="inlineStr">
        <is>
          <t>MEDIUM (52%)</t>
        </is>
      </c>
      <c r="U1691" t="inlineStr">
        <is>
          <t>CHECK_VENDOR</t>
        </is>
      </c>
      <c r="V1691" t="inlineStr">
        <is>
          <t>YES</t>
        </is>
      </c>
      <c r="W1691" t="inlineStr">
        <is>
          <t>https://fortiguard.fortinet.com/psirt/FG-IR-25-667</t>
        </is>
      </c>
      <c r="X1691" t="inlineStr">
        <is>
          <t>NONE</t>
        </is>
      </c>
      <c r="Y1691" t="n">
        <v>0</v>
      </c>
      <c r="Z1691" t="inlineStr"/>
      <c r="AA1691" t="inlineStr">
        <is>
          <t>https://fortiguard.fortinet.com/psirt/FG-IR-25-667</t>
        </is>
      </c>
    </row>
    <row r="1692">
      <c r="A1692" t="inlineStr">
        <is>
          <t>FIREWALL_ADVISORY</t>
        </is>
      </c>
      <c r="B1692" t="inlineStr">
        <is>
          <t>FG-IR</t>
        </is>
      </c>
      <c r="C1692" t="inlineStr">
        <is>
          <t>Fortinet PSIRT: OpenSSL CVE-2025-15467 | CVSSv3 Score: 9.8 CVE-2025-15467Parsing CMS AuthEnvelopedData message with maliciously crafted AEAD parameters can trigger a stack buffer overflow. A stack buffer overflow may lead to a crash, causing</t>
        </is>
      </c>
      <c r="D1692" t="n">
        <v>7.5</v>
      </c>
      <c r="E1692" t="inlineStr">
        <is>
          <t>HIGH</t>
        </is>
      </c>
      <c r="F1692" t="n">
        <v>2</v>
      </c>
      <c r="G1692" t="n">
        <v>2</v>
      </c>
      <c r="H1692" t="inlineStr">
        <is>
          <t>MEDIUM</t>
        </is>
      </c>
      <c r="I1692" t="n">
        <v>11.5</v>
      </c>
      <c r="J1692" t="inlineStr">
        <is>
          <t>NO</t>
        </is>
      </c>
      <c r="K1692" t="inlineStr">
        <is>
          <t>2026-02-27 20:47</t>
        </is>
      </c>
      <c r="L1692" t="inlineStr">
        <is>
          <t>YES - Apply vendor patch immediately</t>
        </is>
      </c>
      <c r="M1692" t="inlineStr">
        <is>
          <t>FortiOS / FortiGate / FortiProxy / FortiManager</t>
        </is>
      </c>
      <c r="N1692" t="inlineStr">
        <is>
          <t>P3</t>
        </is>
      </c>
      <c r="O1692" t="inlineStr">
        <is>
          <t>Firewall Advisory - Fortinet</t>
        </is>
      </c>
      <c r="P1692" t="n">
        <v>0</v>
      </c>
      <c r="Q1692" t="n">
        <v>0</v>
      </c>
      <c r="R1692" t="inlineStr">
        <is>
          <t>T1190:Exploit Public-Facing Application | T1133:External Remote Services</t>
        </is>
      </c>
      <c r="S1692" t="n">
        <v>2</v>
      </c>
      <c r="T1692" t="inlineStr">
        <is>
          <t>MEDIUM (52%)</t>
        </is>
      </c>
      <c r="U1692" t="inlineStr">
        <is>
          <t>CHECK_VENDOR</t>
        </is>
      </c>
      <c r="V1692" t="inlineStr">
        <is>
          <t>YES</t>
        </is>
      </c>
      <c r="W1692" t="inlineStr">
        <is>
          <t>https://fortiguard.fortinet.com/psirt/FG-IR-26-076</t>
        </is>
      </c>
      <c r="X1692" t="inlineStr">
        <is>
          <t>NONE</t>
        </is>
      </c>
      <c r="Y1692" t="n">
        <v>0</v>
      </c>
      <c r="Z1692" t="inlineStr"/>
      <c r="AA1692" t="inlineStr">
        <is>
          <t>https://fortiguard.fortinet.com/psirt/FG-IR-26-076</t>
        </is>
      </c>
    </row>
    <row r="1693">
      <c r="A1693" t="inlineStr">
        <is>
          <t>FIREWALL_ADVISORY</t>
        </is>
      </c>
      <c r="B1693" t="inlineStr">
        <is>
          <t>FG-IR</t>
        </is>
      </c>
      <c r="C1693"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693" t="n">
        <v>7.5</v>
      </c>
      <c r="E1693" t="inlineStr">
        <is>
          <t>HIGH</t>
        </is>
      </c>
      <c r="F1693" t="n">
        <v>2</v>
      </c>
      <c r="G1693" t="n">
        <v>2</v>
      </c>
      <c r="H1693" t="inlineStr">
        <is>
          <t>MEDIUM</t>
        </is>
      </c>
      <c r="I1693" t="n">
        <v>11.5</v>
      </c>
      <c r="J1693" t="inlineStr">
        <is>
          <t>NO</t>
        </is>
      </c>
      <c r="K1693" t="inlineStr">
        <is>
          <t>2026-02-27 20:47</t>
        </is>
      </c>
      <c r="L1693" t="inlineStr">
        <is>
          <t>YES - Apply vendor patch immediately</t>
        </is>
      </c>
      <c r="M1693" t="inlineStr">
        <is>
          <t>FortiOS / FortiGate / FortiProxy / FortiManager</t>
        </is>
      </c>
      <c r="N1693" t="inlineStr">
        <is>
          <t>P3</t>
        </is>
      </c>
      <c r="O1693" t="inlineStr">
        <is>
          <t>Firewall Advisory - Fortinet</t>
        </is>
      </c>
      <c r="P1693" t="n">
        <v>0</v>
      </c>
      <c r="Q1693" t="n">
        <v>0</v>
      </c>
      <c r="R1693" t="inlineStr">
        <is>
          <t>T1190:Exploit Public-Facing Application | T1133:External Remote Services</t>
        </is>
      </c>
      <c r="S1693" t="n">
        <v>2</v>
      </c>
      <c r="T1693" t="inlineStr">
        <is>
          <t>MEDIUM (52%)</t>
        </is>
      </c>
      <c r="U1693" t="inlineStr">
        <is>
          <t>CHECK_VENDOR</t>
        </is>
      </c>
      <c r="V1693" t="inlineStr">
        <is>
          <t>YES</t>
        </is>
      </c>
      <c r="W1693" t="inlineStr">
        <is>
          <t>https://fortiguard.fortinet.com/psirt/FG-IR-25-084</t>
        </is>
      </c>
      <c r="X1693" t="inlineStr">
        <is>
          <t>NONE</t>
        </is>
      </c>
      <c r="Y1693" t="n">
        <v>0</v>
      </c>
      <c r="Z1693" t="inlineStr"/>
      <c r="AA1693" t="inlineStr">
        <is>
          <t>https://fortiguard.fortinet.com/psirt/FG-IR-25-084</t>
        </is>
      </c>
    </row>
    <row r="1694">
      <c r="A1694" t="inlineStr">
        <is>
          <t>FIREWALL_ADVISORY</t>
        </is>
      </c>
      <c r="B1694" t="inlineStr">
        <is>
          <t>FG-IR</t>
        </is>
      </c>
      <c r="C1694" t="inlineStr">
        <is>
          <t xml:space="preserve">Fortinet PSIRT: SQL injection in forward module | </t>
        </is>
      </c>
      <c r="D1694" t="n">
        <v>7.5</v>
      </c>
      <c r="E1694" t="inlineStr">
        <is>
          <t>HIGH</t>
        </is>
      </c>
      <c r="F1694" t="n">
        <v>2</v>
      </c>
      <c r="G1694" t="n">
        <v>2</v>
      </c>
      <c r="H1694" t="inlineStr">
        <is>
          <t>MEDIUM</t>
        </is>
      </c>
      <c r="I1694" t="n">
        <v>11.5</v>
      </c>
      <c r="J1694" t="inlineStr">
        <is>
          <t>NO</t>
        </is>
      </c>
      <c r="K1694" t="inlineStr">
        <is>
          <t>2026-02-27 20:47</t>
        </is>
      </c>
      <c r="L1694" t="inlineStr">
        <is>
          <t>YES - Apply vendor patch immediately</t>
        </is>
      </c>
      <c r="M1694" t="inlineStr">
        <is>
          <t>FortiOS / FortiGate / FortiProxy / FortiManager</t>
        </is>
      </c>
      <c r="N1694" t="inlineStr">
        <is>
          <t>P3</t>
        </is>
      </c>
      <c r="O1694" t="inlineStr">
        <is>
          <t>Firewall Advisory - Fortinet</t>
        </is>
      </c>
      <c r="P1694" t="n">
        <v>0</v>
      </c>
      <c r="Q1694" t="n">
        <v>0</v>
      </c>
      <c r="R1694" t="inlineStr">
        <is>
          <t>T1190:Exploit Public-Facing Application | T1133:External Remote Services</t>
        </is>
      </c>
      <c r="S1694" t="n">
        <v>2</v>
      </c>
      <c r="T1694" t="inlineStr">
        <is>
          <t>MEDIUM (52%)</t>
        </is>
      </c>
      <c r="U1694" t="inlineStr">
        <is>
          <t>CHECK_VENDOR</t>
        </is>
      </c>
      <c r="V1694" t="inlineStr">
        <is>
          <t>YES</t>
        </is>
      </c>
      <c r="W1694" t="inlineStr">
        <is>
          <t>https://fortiguard.fortinet.com/psirt/#5575</t>
        </is>
      </c>
      <c r="X1694" t="inlineStr">
        <is>
          <t>NONE</t>
        </is>
      </c>
      <c r="Y1694" t="n">
        <v>0</v>
      </c>
      <c r="Z1694" t="inlineStr"/>
      <c r="AA1694" t="inlineStr">
        <is>
          <t>https://fortiguard.fortinet.com/psirt/#5575</t>
        </is>
      </c>
    </row>
    <row r="1695">
      <c r="A1695" t="inlineStr">
        <is>
          <t>FIREWALL_ADVISORY</t>
        </is>
      </c>
      <c r="B1695" t="inlineStr">
        <is>
          <t>FG-IR</t>
        </is>
      </c>
      <c r="C1695" t="inlineStr">
        <is>
          <t>Fortinet PSIRT: Arbitrary XML file write in FCConfig | CVSSv3 Score: 6.4 An Improper Link Resolution Before File Access vulnerability [CWE-59] in FortiClient Windows may allow a local low-privilege attacker to perform an arbitrary file write with elevated</t>
        </is>
      </c>
      <c r="D1695" t="n">
        <v>7.5</v>
      </c>
      <c r="E1695" t="inlineStr">
        <is>
          <t>HIGH</t>
        </is>
      </c>
      <c r="F1695" t="n">
        <v>2</v>
      </c>
      <c r="G1695" t="n">
        <v>2</v>
      </c>
      <c r="H1695" t="inlineStr">
        <is>
          <t>MEDIUM</t>
        </is>
      </c>
      <c r="I1695" t="n">
        <v>11.5</v>
      </c>
      <c r="J1695" t="inlineStr">
        <is>
          <t>NO</t>
        </is>
      </c>
      <c r="K1695" t="inlineStr">
        <is>
          <t>2026-02-27 20:47</t>
        </is>
      </c>
      <c r="L1695" t="inlineStr">
        <is>
          <t>YES - Apply vendor patch immediately</t>
        </is>
      </c>
      <c r="M1695" t="inlineStr">
        <is>
          <t>FortiOS / FortiGate / FortiProxy / FortiManager</t>
        </is>
      </c>
      <c r="N1695" t="inlineStr">
        <is>
          <t>P3</t>
        </is>
      </c>
      <c r="O1695" t="inlineStr">
        <is>
          <t>Firewall Advisory - Fortinet</t>
        </is>
      </c>
      <c r="P1695" t="n">
        <v>0</v>
      </c>
      <c r="Q1695" t="n">
        <v>0</v>
      </c>
      <c r="R1695" t="inlineStr">
        <is>
          <t>T1190:Exploit Public-Facing Application | T1133:External Remote Services</t>
        </is>
      </c>
      <c r="S1695" t="n">
        <v>2</v>
      </c>
      <c r="T1695" t="inlineStr">
        <is>
          <t>MEDIUM (52%)</t>
        </is>
      </c>
      <c r="U1695" t="inlineStr">
        <is>
          <t>CHECK_VENDOR</t>
        </is>
      </c>
      <c r="V1695" t="inlineStr">
        <is>
          <t>YES</t>
        </is>
      </c>
      <c r="W1695" t="inlineStr">
        <is>
          <t>https://fortiguard.fortinet.com/psirt/FG-IR-25-661</t>
        </is>
      </c>
      <c r="X1695" t="inlineStr">
        <is>
          <t>NONE</t>
        </is>
      </c>
      <c r="Y1695" t="n">
        <v>0</v>
      </c>
      <c r="Z1695" t="inlineStr"/>
      <c r="AA1695" t="inlineStr">
        <is>
          <t>https://fortiguard.fortinet.com/psirt/FG-IR-25-661</t>
        </is>
      </c>
    </row>
    <row r="1696">
      <c r="A1696" t="inlineStr">
        <is>
          <t>FIREWALL_ADVISORY</t>
        </is>
      </c>
      <c r="B1696" t="inlineStr">
        <is>
          <t>Cisco</t>
        </is>
      </c>
      <c r="C1696"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1696" t="n">
        <v>7.5</v>
      </c>
      <c r="E1696" t="inlineStr">
        <is>
          <t>HIGH</t>
        </is>
      </c>
      <c r="F1696" t="n">
        <v>2</v>
      </c>
      <c r="G1696" t="n">
        <v>2</v>
      </c>
      <c r="H1696" t="inlineStr">
        <is>
          <t>MEDIUM</t>
        </is>
      </c>
      <c r="I1696" t="n">
        <v>11.5</v>
      </c>
      <c r="J1696" t="inlineStr">
        <is>
          <t>NO</t>
        </is>
      </c>
      <c r="K1696" t="inlineStr">
        <is>
          <t>2026-02-27 20:47</t>
        </is>
      </c>
      <c r="L1696" t="inlineStr">
        <is>
          <t>YES - Apply vendor patch immediately</t>
        </is>
      </c>
      <c r="M1696" t="inlineStr">
        <is>
          <t>Cisco ASA / Firepower / IOS / FTD / FMC</t>
        </is>
      </c>
      <c r="N1696" t="inlineStr">
        <is>
          <t>P3</t>
        </is>
      </c>
      <c r="O1696" t="inlineStr">
        <is>
          <t>Firewall Advisory - Cisco</t>
        </is>
      </c>
      <c r="P1696" t="n">
        <v>0</v>
      </c>
      <c r="Q1696" t="n">
        <v>0</v>
      </c>
      <c r="R1696" t="inlineStr">
        <is>
          <t>T1190:Exploit Public-Facing Application | T1133:External Remote Services</t>
        </is>
      </c>
      <c r="S1696" t="n">
        <v>2</v>
      </c>
      <c r="T1696" t="inlineStr">
        <is>
          <t>MEDIUM (52%)</t>
        </is>
      </c>
      <c r="U1696" t="inlineStr">
        <is>
          <t>CHECK_VENDOR</t>
        </is>
      </c>
      <c r="V1696" t="inlineStr">
        <is>
          <t>YES</t>
        </is>
      </c>
      <c r="W1696" t="inlineStr">
        <is>
          <t>https://sec.cloudapps.cisco.com/security/center/content/CiscoSecurityAdvisory/cisco-sa-sdwan-rpa-EHchtZk?vs_f=Cisco%20Security%20Advisory%26vs_cat=Security%20Intelligence%26vs_type=RSS%26vs_p=Cisco%20Catalyst%20SD-WAN%20Controller%20Authentication%20Bypass%20Vulnerability%26vs_k=1</t>
        </is>
      </c>
      <c r="X1696" t="inlineStr">
        <is>
          <t>NONE</t>
        </is>
      </c>
      <c r="Y1696" t="n">
        <v>0</v>
      </c>
      <c r="Z1696" t="inlineStr"/>
      <c r="AA1696" t="inlineStr">
        <is>
          <t>https://sec.cloudapps.cisco.com/security/center/content/CiscoSecurityAdvisory/cisco-sa-sdwan-rpa-EHchtZk?vs_f=Cisco%20Security%20Advisory%26vs_cat=Security%20Intelligence%26vs_type=RSS%26vs_p=Cisco%20Catalyst%20SD-WAN%20Controller%20Authentication%20Bypass%20Vulnerability%26vs_k=1</t>
        </is>
      </c>
    </row>
    <row r="1697">
      <c r="A1697" t="inlineStr">
        <is>
          <t>FIREWALL_ADVISORY</t>
        </is>
      </c>
      <c r="B1697" t="inlineStr">
        <is>
          <t>Cisco</t>
        </is>
      </c>
      <c r="C1697" t="inlineStr">
        <is>
          <t>Cisco PSIRT: Cisco Catalyst SD-WAN Vulnerabilities | Multiple vulnerabilities in Cisco Catalyst SD-WAN Manager, formerly SD-WAN vManage, could allow an attacker to access an affected system, elevate privileges to root, gain access to sensitive informati</t>
        </is>
      </c>
      <c r="D1697" t="n">
        <v>7.5</v>
      </c>
      <c r="E1697" t="inlineStr">
        <is>
          <t>HIGH</t>
        </is>
      </c>
      <c r="F1697" t="n">
        <v>2</v>
      </c>
      <c r="G1697" t="n">
        <v>2</v>
      </c>
      <c r="H1697" t="inlineStr">
        <is>
          <t>MEDIUM</t>
        </is>
      </c>
      <c r="I1697" t="n">
        <v>11.5</v>
      </c>
      <c r="J1697" t="inlineStr">
        <is>
          <t>NO</t>
        </is>
      </c>
      <c r="K1697" t="inlineStr">
        <is>
          <t>2026-02-27 20:47</t>
        </is>
      </c>
      <c r="L1697" t="inlineStr">
        <is>
          <t>YES - Apply vendor patch immediately</t>
        </is>
      </c>
      <c r="M1697" t="inlineStr">
        <is>
          <t>Cisco ASA / Firepower / IOS / FTD / FMC</t>
        </is>
      </c>
      <c r="N1697" t="inlineStr">
        <is>
          <t>P3</t>
        </is>
      </c>
      <c r="O1697" t="inlineStr">
        <is>
          <t>Firewall Advisory - Cisco</t>
        </is>
      </c>
      <c r="P1697" t="n">
        <v>0</v>
      </c>
      <c r="Q1697" t="n">
        <v>0</v>
      </c>
      <c r="R1697" t="inlineStr">
        <is>
          <t>T1190:Exploit Public-Facing Application | T1133:External Remote Services</t>
        </is>
      </c>
      <c r="S1697" t="n">
        <v>2</v>
      </c>
      <c r="T1697" t="inlineStr">
        <is>
          <t>MEDIUM (52%)</t>
        </is>
      </c>
      <c r="U1697" t="inlineStr">
        <is>
          <t>CHECK_VENDOR</t>
        </is>
      </c>
      <c r="V1697" t="inlineStr">
        <is>
          <t>YES</t>
        </is>
      </c>
      <c r="W1697" t="inlineStr">
        <is>
          <t>https://sec.cloudapps.cisco.com/security/center/content/CiscoSecurityAdvisory/cisco-sa-sdwan-authbp-qwCX8D4v?vs_f=Cisco%20Security%20Advisory%26vs_cat=Security%20Intelligence%26vs_type=RSS%26vs_p=Cisco%20Catalyst%20SD-WAN%20Vulnerabilities%26vs_k=1</t>
        </is>
      </c>
      <c r="X1697" t="inlineStr">
        <is>
          <t>NONE</t>
        </is>
      </c>
      <c r="Y1697" t="n">
        <v>0</v>
      </c>
      <c r="Z1697" t="inlineStr"/>
      <c r="AA1697" t="inlineStr">
        <is>
          <t>https://sec.cloudapps.cisco.com/security/center/content/CiscoSecurityAdvisory/cisco-sa-sdwan-authbp-qwCX8D4v?vs_f=Cisco%20Security%20Advisory%26vs_cat=Security%20Intelligence%26vs_type=RSS%26vs_p=Cisco%20Catalyst%20SD-WAN%20Vulnerabilities%26vs_k=1</t>
        </is>
      </c>
    </row>
    <row r="1698">
      <c r="A1698" t="inlineStr">
        <is>
          <t>FIREWALL_ADVISORY</t>
        </is>
      </c>
      <c r="B1698" t="inlineStr">
        <is>
          <t>Cisco</t>
        </is>
      </c>
      <c r="C1698"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1698" t="n">
        <v>7.5</v>
      </c>
      <c r="E1698" t="inlineStr">
        <is>
          <t>HIGH</t>
        </is>
      </c>
      <c r="F1698" t="n">
        <v>2</v>
      </c>
      <c r="G1698" t="n">
        <v>2</v>
      </c>
      <c r="H1698" t="inlineStr">
        <is>
          <t>MEDIUM</t>
        </is>
      </c>
      <c r="I1698" t="n">
        <v>11.5</v>
      </c>
      <c r="J1698" t="inlineStr">
        <is>
          <t>NO</t>
        </is>
      </c>
      <c r="K1698" t="inlineStr">
        <is>
          <t>2026-02-27 20:47</t>
        </is>
      </c>
      <c r="L1698" t="inlineStr">
        <is>
          <t>YES - Apply vendor patch immediately</t>
        </is>
      </c>
      <c r="M1698" t="inlineStr">
        <is>
          <t>Cisco ASA / Firepower / IOS / FTD / FMC</t>
        </is>
      </c>
      <c r="N1698" t="inlineStr">
        <is>
          <t>P3</t>
        </is>
      </c>
      <c r="O1698" t="inlineStr">
        <is>
          <t>Firewall Advisory - Cisco</t>
        </is>
      </c>
      <c r="P1698" t="n">
        <v>0</v>
      </c>
      <c r="Q1698" t="n">
        <v>0</v>
      </c>
      <c r="R1698" t="inlineStr">
        <is>
          <t>T1190:Exploit Public-Facing Application | T1133:External Remote Services</t>
        </is>
      </c>
      <c r="S1698" t="n">
        <v>2</v>
      </c>
      <c r="T1698" t="inlineStr">
        <is>
          <t>MEDIUM (52%)</t>
        </is>
      </c>
      <c r="U1698" t="inlineStr">
        <is>
          <t>CHECK_VENDOR</t>
        </is>
      </c>
      <c r="V1698" t="inlineStr">
        <is>
          <t>YES</t>
        </is>
      </c>
      <c r="W1698" t="inlineStr">
        <is>
          <t>https://sec.cloudapps.cisco.com/security/center/content/CiscoSecurityAdvisory/cisco-sa-ucsciv-wGYtC78q?vs_f=Cisco%20Security%20Advisory%26vs_cat=Security%20Intelligence%26vs_type=RSS%26vs_p=Cisco%20FXOS%20and%20UCS%20Manager%20Software%20Command%20Injection%20Vulnerability%26vs_k=1</t>
        </is>
      </c>
      <c r="X1698" t="inlineStr">
        <is>
          <t>NONE</t>
        </is>
      </c>
      <c r="Y1698" t="n">
        <v>0</v>
      </c>
      <c r="Z1698" t="inlineStr"/>
      <c r="AA1698" t="inlineStr">
        <is>
          <t>https://sec.cloudapps.cisco.com/security/center/content/CiscoSecurityAdvisory/cisco-sa-ucsciv-wGYtC78q?vs_f=Cisco%20Security%20Advisory%26vs_cat=Security%20Intelligence%26vs_type=RSS%26vs_p=Cisco%20FXOS%20and%20UCS%20Manager%20Software%20Command%20Injection%20Vulnerability%26vs_k=1</t>
        </is>
      </c>
    </row>
    <row r="1699">
      <c r="A1699" t="inlineStr">
        <is>
          <t>FIREWALL_ADVISORY</t>
        </is>
      </c>
      <c r="B1699" t="inlineStr">
        <is>
          <t>Cisco</t>
        </is>
      </c>
      <c r="C1699"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1699" t="n">
        <v>7.5</v>
      </c>
      <c r="E1699" t="inlineStr">
        <is>
          <t>HIGH</t>
        </is>
      </c>
      <c r="F1699" t="n">
        <v>2</v>
      </c>
      <c r="G1699" t="n">
        <v>2</v>
      </c>
      <c r="H1699" t="inlineStr">
        <is>
          <t>MEDIUM</t>
        </is>
      </c>
      <c r="I1699" t="n">
        <v>11.5</v>
      </c>
      <c r="J1699" t="inlineStr">
        <is>
          <t>NO</t>
        </is>
      </c>
      <c r="K1699" t="inlineStr">
        <is>
          <t>2026-02-27 20:47</t>
        </is>
      </c>
      <c r="L1699" t="inlineStr">
        <is>
          <t>YES - Apply vendor patch immediately</t>
        </is>
      </c>
      <c r="M1699" t="inlineStr">
        <is>
          <t>Cisco ASA / Firepower / IOS / FTD / FMC</t>
        </is>
      </c>
      <c r="N1699" t="inlineStr">
        <is>
          <t>P3</t>
        </is>
      </c>
      <c r="O1699" t="inlineStr">
        <is>
          <t>Firewall Advisory - Cisco</t>
        </is>
      </c>
      <c r="P1699" t="n">
        <v>0</v>
      </c>
      <c r="Q1699" t="n">
        <v>0</v>
      </c>
      <c r="R1699" t="inlineStr">
        <is>
          <t>T1190:Exploit Public-Facing Application | T1133:External Remote Services</t>
        </is>
      </c>
      <c r="S1699" t="n">
        <v>2</v>
      </c>
      <c r="T1699" t="inlineStr">
        <is>
          <t>MEDIUM (52%)</t>
        </is>
      </c>
      <c r="U1699" t="inlineStr">
        <is>
          <t>CHECK_VENDOR</t>
        </is>
      </c>
      <c r="V1699" t="inlineStr">
        <is>
          <t>YES</t>
        </is>
      </c>
      <c r="W1699"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1699" t="inlineStr">
        <is>
          <t>NONE</t>
        </is>
      </c>
      <c r="Y1699" t="n">
        <v>0</v>
      </c>
      <c r="Z1699" t="inlineStr"/>
      <c r="AA1699"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1700">
      <c r="A1700" t="inlineStr">
        <is>
          <t>FIREWALL_ADVISORY</t>
        </is>
      </c>
      <c r="B1700" t="inlineStr">
        <is>
          <t>Cisco</t>
        </is>
      </c>
      <c r="C1700"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1700" t="n">
        <v>7.5</v>
      </c>
      <c r="E1700" t="inlineStr">
        <is>
          <t>HIGH</t>
        </is>
      </c>
      <c r="F1700" t="n">
        <v>2</v>
      </c>
      <c r="G1700" t="n">
        <v>2</v>
      </c>
      <c r="H1700" t="inlineStr">
        <is>
          <t>MEDIUM</t>
        </is>
      </c>
      <c r="I1700" t="n">
        <v>11.5</v>
      </c>
      <c r="J1700" t="inlineStr">
        <is>
          <t>NO</t>
        </is>
      </c>
      <c r="K1700" t="inlineStr">
        <is>
          <t>2026-02-27 20:47</t>
        </is>
      </c>
      <c r="L1700" t="inlineStr">
        <is>
          <t>YES - Apply vendor patch immediately</t>
        </is>
      </c>
      <c r="M1700" t="inlineStr">
        <is>
          <t>Cisco ASA / Firepower / IOS / FTD / FMC</t>
        </is>
      </c>
      <c r="N1700" t="inlineStr">
        <is>
          <t>P3</t>
        </is>
      </c>
      <c r="O1700" t="inlineStr">
        <is>
          <t>Firewall Advisory - Cisco</t>
        </is>
      </c>
      <c r="P1700" t="n">
        <v>0</v>
      </c>
      <c r="Q1700" t="n">
        <v>0</v>
      </c>
      <c r="R1700" t="inlineStr">
        <is>
          <t>T1190:Exploit Public-Facing Application | T1133:External Remote Services</t>
        </is>
      </c>
      <c r="S1700" t="n">
        <v>2</v>
      </c>
      <c r="T1700" t="inlineStr">
        <is>
          <t>MEDIUM (52%)</t>
        </is>
      </c>
      <c r="U1700" t="inlineStr">
        <is>
          <t>CHECK_VENDOR</t>
        </is>
      </c>
      <c r="V1700" t="inlineStr">
        <is>
          <t>YES</t>
        </is>
      </c>
      <c r="W1700"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X1700" t="inlineStr">
        <is>
          <t>NONE</t>
        </is>
      </c>
      <c r="Y1700" t="n">
        <v>0</v>
      </c>
      <c r="Z1700" t="inlineStr"/>
      <c r="AA1700"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row>
    <row r="1701">
      <c r="A1701" t="inlineStr">
        <is>
          <t>FIREWALL_ADVISORY</t>
        </is>
      </c>
      <c r="B1701" t="inlineStr">
        <is>
          <t>CVE-2026-21902</t>
        </is>
      </c>
      <c r="C1701" t="inlineStr">
        <is>
          <t>Juniper Networks Advisory: An Incorrect Permission Assignment for Critical Resource vulnerability in the On-Box Anomaly detection framework of Juniper Networks Junos OS Evolved on PTX Series allows an unauthenticated, network-b</t>
        </is>
      </c>
      <c r="D1701" t="n">
        <v>9</v>
      </c>
      <c r="E1701" t="inlineStr">
        <is>
          <t>CRITICAL</t>
        </is>
      </c>
      <c r="F1701" t="n">
        <v>3</v>
      </c>
      <c r="G1701" t="n">
        <v>3</v>
      </c>
      <c r="H1701" t="inlineStr">
        <is>
          <t>CRITICAL</t>
        </is>
      </c>
      <c r="I1701" t="n">
        <v>18</v>
      </c>
      <c r="J1701" t="inlineStr">
        <is>
          <t>NO</t>
        </is>
      </c>
      <c r="K1701" t="inlineStr">
        <is>
          <t>2026-02-27 20:47</t>
        </is>
      </c>
      <c r="L1701" t="inlineStr">
        <is>
          <t>YES - Apply vendor patch immediately</t>
        </is>
      </c>
      <c r="M1701" t="inlineStr">
        <is>
          <t>Junos OS / SRX / MX / EX Series</t>
        </is>
      </c>
      <c r="N1701" t="inlineStr">
        <is>
          <t>P1</t>
        </is>
      </c>
      <c r="O1701" t="inlineStr">
        <is>
          <t>Firewall Advisory - Juniper Networks</t>
        </is>
      </c>
      <c r="P1701" t="n">
        <v>0</v>
      </c>
      <c r="Q1701" t="n">
        <v>0</v>
      </c>
      <c r="R1701" t="inlineStr">
        <is>
          <t>T1190:Exploit Public-Facing Application | T1133:External Remote Services</t>
        </is>
      </c>
      <c r="S1701" t="n">
        <v>2</v>
      </c>
      <c r="T1701" t="inlineStr">
        <is>
          <t>MEDIUM (52%)</t>
        </is>
      </c>
      <c r="U1701" t="inlineStr">
        <is>
          <t>CHECK_VENDOR</t>
        </is>
      </c>
      <c r="V1701" t="inlineStr">
        <is>
          <t>YES</t>
        </is>
      </c>
      <c r="W1701" t="inlineStr">
        <is>
          <t>https://nvd.nist.gov/vuln/detail/CVE-2026-21902</t>
        </is>
      </c>
      <c r="X1701" t="inlineStr">
        <is>
          <t>NONE</t>
        </is>
      </c>
      <c r="Y1701" t="n">
        <v>0</v>
      </c>
      <c r="Z1701" t="inlineStr"/>
      <c r="AA1701" t="inlineStr">
        <is>
          <t>https://nvd.nist.gov/vuln/detail/CVE-2026-21902</t>
        </is>
      </c>
    </row>
    <row r="1702">
      <c r="A1702" t="inlineStr">
        <is>
          <t>ZDI_ADVISORY</t>
        </is>
      </c>
      <c r="B1702" t="inlineStr">
        <is>
          <t>ZDI-26-132</t>
        </is>
      </c>
      <c r="C1702" t="inlineStr">
        <is>
          <t>ZDI Published 0-Day: ZDI-26-132: Siemens SINEC NMS Uncontrolled Search Path Element Local Privilege Escalation Vulnerability | CVEs: CVE-2026-25656 | Product: See ZDI advisory</t>
        </is>
      </c>
      <c r="D1702" t="n">
        <v>7.5</v>
      </c>
      <c r="E1702" t="inlineStr">
        <is>
          <t>HIGH</t>
        </is>
      </c>
      <c r="F1702" t="n">
        <v>3</v>
      </c>
      <c r="G1702" t="n">
        <v>3</v>
      </c>
      <c r="H1702" t="inlineStr">
        <is>
          <t>CRITICAL</t>
        </is>
      </c>
      <c r="I1702" t="n">
        <v>16.5</v>
      </c>
      <c r="J1702" t="inlineStr">
        <is>
          <t>NO</t>
        </is>
      </c>
      <c r="K1702" t="inlineStr">
        <is>
          <t>2026-02-25 06:00</t>
        </is>
      </c>
      <c r="L1702" t="inlineStr">
        <is>
          <t>CHECK_VENDOR - ZDI published, vendor patch may be pending</t>
        </is>
      </c>
      <c r="M1702" t="inlineStr">
        <is>
          <t>See ZDI advisory</t>
        </is>
      </c>
      <c r="N1702" t="inlineStr">
        <is>
          <t>P1</t>
        </is>
      </c>
      <c r="O1702" t="inlineStr">
        <is>
          <t>ZDI 0-day advisory - no IP context</t>
        </is>
      </c>
      <c r="P1702" t="n">
        <v>0.0001</v>
      </c>
      <c r="Q1702" t="n">
        <v>0.0043</v>
      </c>
      <c r="R1702" t="inlineStr">
        <is>
          <t>T1068:Exploitation for Privilege Escalation</t>
        </is>
      </c>
      <c r="S1702" t="n">
        <v>2</v>
      </c>
      <c r="T1702" t="inlineStr">
        <is>
          <t>CONFIRMED (82%)</t>
        </is>
      </c>
      <c r="U1702" t="inlineStr">
        <is>
          <t>YES</t>
        </is>
      </c>
      <c r="V1702" t="inlineStr">
        <is>
          <t>CHECK_VENDOR</t>
        </is>
      </c>
      <c r="W1702" t="inlineStr">
        <is>
          <t>https://security.snyk.io/vuln/CVE-2026-25656</t>
        </is>
      </c>
      <c r="X1702" t="inlineStr">
        <is>
          <t>http://www.zerodayinitiative.com/advisories/ZDI-26-132/</t>
        </is>
      </c>
      <c r="Y1702" t="n">
        <v>0</v>
      </c>
      <c r="Z1702" t="inlineStr"/>
      <c r="AA1702" t="inlineStr">
        <is>
          <t>http://www.zerodayinitiative.com/advisories/ZDI-26-132/</t>
        </is>
      </c>
    </row>
    <row r="1703">
      <c r="A1703" t="inlineStr">
        <is>
          <t>ZDI_ADVISORY</t>
        </is>
      </c>
      <c r="B1703" t="inlineStr">
        <is>
          <t>ZDI-26-131</t>
        </is>
      </c>
      <c r="C1703" t="inlineStr">
        <is>
          <t>ZDI Published 0-Day: ZDI-26-131: Siemens SINEC NMS Uncontrolled Search Path Element Local Privilege Escalation Vulnerability | CVEs: CVE-2026-25655 | Product: See ZDI advisory</t>
        </is>
      </c>
      <c r="D1703" t="n">
        <v>7.5</v>
      </c>
      <c r="E1703" t="inlineStr">
        <is>
          <t>HIGH</t>
        </is>
      </c>
      <c r="F1703" t="n">
        <v>3</v>
      </c>
      <c r="G1703" t="n">
        <v>3</v>
      </c>
      <c r="H1703" t="inlineStr">
        <is>
          <t>CRITICAL</t>
        </is>
      </c>
      <c r="I1703" t="n">
        <v>16.5</v>
      </c>
      <c r="J1703" t="inlineStr">
        <is>
          <t>NO</t>
        </is>
      </c>
      <c r="K1703" t="inlineStr">
        <is>
          <t>2026-02-25 06:00</t>
        </is>
      </c>
      <c r="L1703" t="inlineStr">
        <is>
          <t>CHECK_VENDOR - ZDI published, vendor patch may be pending</t>
        </is>
      </c>
      <c r="M1703" t="inlineStr">
        <is>
          <t>See ZDI advisory</t>
        </is>
      </c>
      <c r="N1703" t="inlineStr">
        <is>
          <t>P1</t>
        </is>
      </c>
      <c r="O1703" t="inlineStr">
        <is>
          <t>ZDI 0-day advisory - no IP context</t>
        </is>
      </c>
      <c r="P1703" t="n">
        <v>0.0001</v>
      </c>
      <c r="Q1703" t="n">
        <v>0.0043</v>
      </c>
      <c r="R1703" t="inlineStr">
        <is>
          <t>T1068:Exploitation for Privilege Escalation</t>
        </is>
      </c>
      <c r="S1703" t="n">
        <v>2</v>
      </c>
      <c r="T1703" t="inlineStr">
        <is>
          <t>CONFIRMED (82%)</t>
        </is>
      </c>
      <c r="U1703" t="inlineStr">
        <is>
          <t>YES</t>
        </is>
      </c>
      <c r="V1703" t="inlineStr">
        <is>
          <t>CHECK_VENDOR</t>
        </is>
      </c>
      <c r="W1703" t="inlineStr">
        <is>
          <t>https://security.snyk.io/vuln/CVE-2026-25655</t>
        </is>
      </c>
      <c r="X1703" t="inlineStr">
        <is>
          <t>http://www.zerodayinitiative.com/advisories/ZDI-26-131/</t>
        </is>
      </c>
      <c r="Y1703" t="n">
        <v>0</v>
      </c>
      <c r="Z1703" t="inlineStr"/>
      <c r="AA1703" t="inlineStr">
        <is>
          <t>http://www.zerodayinitiative.com/advisories/ZDI-26-131/</t>
        </is>
      </c>
    </row>
    <row r="1704">
      <c r="A1704" t="inlineStr">
        <is>
          <t>ZDI_ADVISORY</t>
        </is>
      </c>
      <c r="B1704" t="inlineStr">
        <is>
          <t>ZDI-26-130</t>
        </is>
      </c>
      <c r="C1704" t="inlineStr">
        <is>
          <t>ZDI Published 0-Day: ZDI-26-130: IceWarp collaboration Directory Traversal Information Disclosure Vulnerability | CVEs: CVE-2026-2493 | Product: See ZDI advisory</t>
        </is>
      </c>
      <c r="D1704" t="n">
        <v>7.5</v>
      </c>
      <c r="E1704" t="inlineStr">
        <is>
          <t>HIGH</t>
        </is>
      </c>
      <c r="F1704" t="n">
        <v>3</v>
      </c>
      <c r="G1704" t="n">
        <v>3</v>
      </c>
      <c r="H1704" t="inlineStr">
        <is>
          <t>CRITICAL</t>
        </is>
      </c>
      <c r="I1704" t="n">
        <v>16.5</v>
      </c>
      <c r="J1704" t="inlineStr">
        <is>
          <t>NO</t>
        </is>
      </c>
      <c r="K1704" t="inlineStr">
        <is>
          <t>2026-02-25 06:00</t>
        </is>
      </c>
      <c r="L1704" t="inlineStr">
        <is>
          <t>CHECK_VENDOR - ZDI published, vendor patch may be pending</t>
        </is>
      </c>
      <c r="M1704" t="inlineStr">
        <is>
          <t>See ZDI advisory</t>
        </is>
      </c>
      <c r="N1704" t="inlineStr">
        <is>
          <t>P1</t>
        </is>
      </c>
      <c r="O1704" t="inlineStr">
        <is>
          <t>ZDI 0-day advisory - no IP context</t>
        </is>
      </c>
      <c r="P1704" t="n">
        <v>0</v>
      </c>
      <c r="Q1704" t="n">
        <v>0</v>
      </c>
      <c r="R1704" t="inlineStr">
        <is>
          <t>T1083:File and Directory Discovery | T1213:Data from Information Repositories</t>
        </is>
      </c>
      <c r="S1704" t="n">
        <v>2</v>
      </c>
      <c r="T1704" t="inlineStr">
        <is>
          <t>CONFIRMED (82%)</t>
        </is>
      </c>
      <c r="U1704" t="inlineStr">
        <is>
          <t>YES</t>
        </is>
      </c>
      <c r="V1704" t="inlineStr">
        <is>
          <t>CHECK_VENDOR</t>
        </is>
      </c>
      <c r="W1704" t="inlineStr">
        <is>
          <t>https://security.snyk.io/vuln/CVE-2026-2493</t>
        </is>
      </c>
      <c r="X1704" t="inlineStr">
        <is>
          <t>http://www.zerodayinitiative.com/advisories/ZDI-26-130/</t>
        </is>
      </c>
      <c r="Y1704" t="n">
        <v>0</v>
      </c>
      <c r="Z1704" t="inlineStr"/>
      <c r="AA1704" t="inlineStr">
        <is>
          <t>http://www.zerodayinitiative.com/advisories/ZDI-26-130/</t>
        </is>
      </c>
    </row>
    <row r="1705">
      <c r="A1705" t="inlineStr">
        <is>
          <t>ZDI_ADVISORY</t>
        </is>
      </c>
      <c r="B1705" t="inlineStr">
        <is>
          <t>ZDI-26-129</t>
        </is>
      </c>
      <c r="C1705" t="inlineStr">
        <is>
          <t>ZDI Published 0-Day: ZDI-26-129: Socomec DIRIS A-40 HTTP API Authentication Bypass Vulnerability | CVEs: CVE-2026-2491 | Product: See ZDI advisory</t>
        </is>
      </c>
      <c r="D1705" t="n">
        <v>7.5</v>
      </c>
      <c r="E1705" t="inlineStr">
        <is>
          <t>HIGH</t>
        </is>
      </c>
      <c r="F1705" t="n">
        <v>3</v>
      </c>
      <c r="G1705" t="n">
        <v>3</v>
      </c>
      <c r="H1705" t="inlineStr">
        <is>
          <t>CRITICAL</t>
        </is>
      </c>
      <c r="I1705" t="n">
        <v>16.5</v>
      </c>
      <c r="J1705" t="inlineStr">
        <is>
          <t>NO</t>
        </is>
      </c>
      <c r="K1705" t="inlineStr">
        <is>
          <t>2026-02-25 06:00</t>
        </is>
      </c>
      <c r="L1705" t="inlineStr">
        <is>
          <t>CHECK_VENDOR - ZDI published, vendor patch may be pending</t>
        </is>
      </c>
      <c r="M1705" t="inlineStr">
        <is>
          <t>See ZDI advisory</t>
        </is>
      </c>
      <c r="N1705" t="inlineStr">
        <is>
          <t>P1</t>
        </is>
      </c>
      <c r="O1705" t="inlineStr">
        <is>
          <t>ZDI 0-day advisory - no IP context</t>
        </is>
      </c>
      <c r="P1705" t="n">
        <v>0</v>
      </c>
      <c r="Q1705" t="n">
        <v>0</v>
      </c>
      <c r="R1705" t="inlineStr">
        <is>
          <t>T1078:Valid Accounts</t>
        </is>
      </c>
      <c r="S1705" t="n">
        <v>2</v>
      </c>
      <c r="T1705" t="inlineStr">
        <is>
          <t>CONFIRMED (82%)</t>
        </is>
      </c>
      <c r="U1705" t="inlineStr">
        <is>
          <t>YES</t>
        </is>
      </c>
      <c r="V1705" t="inlineStr">
        <is>
          <t>CHECK_VENDOR</t>
        </is>
      </c>
      <c r="W1705" t="inlineStr">
        <is>
          <t>https://security.snyk.io/vuln/CVE-2026-2491</t>
        </is>
      </c>
      <c r="X1705" t="inlineStr">
        <is>
          <t>http://www.zerodayinitiative.com/advisories/ZDI-26-129/</t>
        </is>
      </c>
      <c r="Y1705" t="n">
        <v>0</v>
      </c>
      <c r="Z1705" t="inlineStr"/>
      <c r="AA1705" t="inlineStr">
        <is>
          <t>http://www.zerodayinitiative.com/advisories/ZDI-26-129/</t>
        </is>
      </c>
    </row>
    <row r="1706">
      <c r="A1706" t="inlineStr">
        <is>
          <t>ZDI_ADVISORY</t>
        </is>
      </c>
      <c r="B1706" t="inlineStr">
        <is>
          <t>ZDI-26-128</t>
        </is>
      </c>
      <c r="C1706" t="inlineStr">
        <is>
          <t>ZDI Published 0-Day: ZDI-26-128: (Pwn2Own) Ubiquiti Networks AI Pro Uncaught Exception Denial-of-Service Vulnerability | CVEs: CVE-2026-21634 | Product: See ZDI advisory</t>
        </is>
      </c>
      <c r="D1706" t="n">
        <v>7.5</v>
      </c>
      <c r="E1706" t="inlineStr">
        <is>
          <t>HIGH</t>
        </is>
      </c>
      <c r="F1706" t="n">
        <v>3</v>
      </c>
      <c r="G1706" t="n">
        <v>3</v>
      </c>
      <c r="H1706" t="inlineStr">
        <is>
          <t>CRITICAL</t>
        </is>
      </c>
      <c r="I1706" t="n">
        <v>16.5</v>
      </c>
      <c r="J1706" t="inlineStr">
        <is>
          <t>NO</t>
        </is>
      </c>
      <c r="K1706" t="inlineStr">
        <is>
          <t>2026-02-25 06:00</t>
        </is>
      </c>
      <c r="L1706" t="inlineStr">
        <is>
          <t>CHECK_VENDOR - ZDI published, vendor patch may be pending</t>
        </is>
      </c>
      <c r="M1706" t="inlineStr">
        <is>
          <t>See ZDI advisory</t>
        </is>
      </c>
      <c r="N1706" t="inlineStr">
        <is>
          <t>P1</t>
        </is>
      </c>
      <c r="O1706" t="inlineStr">
        <is>
          <t>ZDI 0-day advisory - no IP context</t>
        </is>
      </c>
      <c r="P1706" t="n">
        <v>0.0002</v>
      </c>
      <c r="Q1706" t="n">
        <v>0.0508</v>
      </c>
      <c r="R1706" t="inlineStr">
        <is>
          <t>T1190:Exploit Public-Facing Application</t>
        </is>
      </c>
      <c r="S1706" t="n">
        <v>2</v>
      </c>
      <c r="T1706" t="inlineStr">
        <is>
          <t>CONFIRMED (82%)</t>
        </is>
      </c>
      <c r="U1706" t="inlineStr">
        <is>
          <t>YES</t>
        </is>
      </c>
      <c r="V1706" t="inlineStr">
        <is>
          <t>CHECK_VENDOR</t>
        </is>
      </c>
      <c r="W1706" t="inlineStr">
        <is>
          <t>https://security.snyk.io/vuln/CVE-2026-21634</t>
        </is>
      </c>
      <c r="X1706" t="inlineStr">
        <is>
          <t>http://www.zerodayinitiative.com/advisories/ZDI-26-128/</t>
        </is>
      </c>
      <c r="Y1706" t="n">
        <v>0</v>
      </c>
      <c r="Z1706" t="inlineStr"/>
      <c r="AA1706" t="inlineStr">
        <is>
          <t>http://www.zerodayinitiative.com/advisories/ZDI-26-128/</t>
        </is>
      </c>
    </row>
    <row r="1707">
      <c r="A1707" t="inlineStr">
        <is>
          <t>ZDI_ADVISORY</t>
        </is>
      </c>
      <c r="B1707" t="inlineStr">
        <is>
          <t>ZDI-26-127</t>
        </is>
      </c>
      <c r="C1707" t="inlineStr">
        <is>
          <t>ZDI Published 0-Day: ZDI-26-127: (Pwn2Own) Ubiquiti Networks AI Pro Cleartext Transmission Information Disclosure Vulnerability | CVEs: CVE-2026-21633 | Product: See ZDI advisory</t>
        </is>
      </c>
      <c r="D1707" t="n">
        <v>7.5</v>
      </c>
      <c r="E1707" t="inlineStr">
        <is>
          <t>HIGH</t>
        </is>
      </c>
      <c r="F1707" t="n">
        <v>3</v>
      </c>
      <c r="G1707" t="n">
        <v>3</v>
      </c>
      <c r="H1707" t="inlineStr">
        <is>
          <t>CRITICAL</t>
        </is>
      </c>
      <c r="I1707" t="n">
        <v>16.5</v>
      </c>
      <c r="J1707" t="inlineStr">
        <is>
          <t>NO</t>
        </is>
      </c>
      <c r="K1707" t="inlineStr">
        <is>
          <t>2026-02-25 06:00</t>
        </is>
      </c>
      <c r="L1707" t="inlineStr">
        <is>
          <t>CHECK_VENDOR - ZDI published, vendor patch may be pending</t>
        </is>
      </c>
      <c r="M1707" t="inlineStr">
        <is>
          <t>See ZDI advisory</t>
        </is>
      </c>
      <c r="N1707" t="inlineStr">
        <is>
          <t>P1</t>
        </is>
      </c>
      <c r="O1707" t="inlineStr">
        <is>
          <t>ZDI 0-day advisory - no IP context</t>
        </is>
      </c>
      <c r="P1707" t="n">
        <v>0.0005</v>
      </c>
      <c r="Q1707" t="n">
        <v>0.1394</v>
      </c>
      <c r="R1707" t="inlineStr">
        <is>
          <t>T1213:Data from Information Repositories</t>
        </is>
      </c>
      <c r="S1707" t="n">
        <v>2</v>
      </c>
      <c r="T1707" t="inlineStr">
        <is>
          <t>CONFIRMED (82%)</t>
        </is>
      </c>
      <c r="U1707" t="inlineStr">
        <is>
          <t>YES</t>
        </is>
      </c>
      <c r="V1707" t="inlineStr">
        <is>
          <t>CHECK_VENDOR</t>
        </is>
      </c>
      <c r="W1707" t="inlineStr">
        <is>
          <t>https://security.snyk.io/vuln/CVE-2026-21633</t>
        </is>
      </c>
      <c r="X1707" t="inlineStr">
        <is>
          <t>http://www.zerodayinitiative.com/advisories/ZDI-26-127/</t>
        </is>
      </c>
      <c r="Y1707" t="n">
        <v>0</v>
      </c>
      <c r="Z1707" t="inlineStr"/>
      <c r="AA1707" t="inlineStr">
        <is>
          <t>http://www.zerodayinitiative.com/advisories/ZDI-26-127/</t>
        </is>
      </c>
    </row>
    <row r="1708">
      <c r="A1708" t="inlineStr">
        <is>
          <t>ZDI_ADVISORY</t>
        </is>
      </c>
      <c r="B1708" t="inlineStr">
        <is>
          <t>ZDI-26-126</t>
        </is>
      </c>
      <c r="C1708" t="inlineStr">
        <is>
          <t>ZDI Published 0-Day: ZDI-26-126: (Pwn2Own) Ubiquiti Networks AI Pro Discovery Protocol Missing Encryption Protocol Downgrade Vulnerability | CVEs: CVE-2026-21633 | Product: See ZDI advisory</t>
        </is>
      </c>
      <c r="D1708" t="n">
        <v>7.5</v>
      </c>
      <c r="E1708" t="inlineStr">
        <is>
          <t>HIGH</t>
        </is>
      </c>
      <c r="F1708" t="n">
        <v>3</v>
      </c>
      <c r="G1708" t="n">
        <v>3</v>
      </c>
      <c r="H1708" t="inlineStr">
        <is>
          <t>CRITICAL</t>
        </is>
      </c>
      <c r="I1708" t="n">
        <v>16.5</v>
      </c>
      <c r="J1708" t="inlineStr">
        <is>
          <t>NO</t>
        </is>
      </c>
      <c r="K1708" t="inlineStr">
        <is>
          <t>2026-02-25 06:00</t>
        </is>
      </c>
      <c r="L1708" t="inlineStr">
        <is>
          <t>CHECK_VENDOR - ZDI published, vendor patch may be pending</t>
        </is>
      </c>
      <c r="M1708" t="inlineStr">
        <is>
          <t>See ZDI advisory</t>
        </is>
      </c>
      <c r="N1708" t="inlineStr">
        <is>
          <t>P1</t>
        </is>
      </c>
      <c r="O1708" t="inlineStr">
        <is>
          <t>ZDI 0-day advisory - no IP context</t>
        </is>
      </c>
      <c r="P1708" t="n">
        <v>0.0005</v>
      </c>
      <c r="Q1708" t="n">
        <v>0.1394</v>
      </c>
      <c r="R1708" t="inlineStr">
        <is>
          <t>T1190:Exploit Public-Facing Application</t>
        </is>
      </c>
      <c r="S1708" t="n">
        <v>2</v>
      </c>
      <c r="T1708" t="inlineStr">
        <is>
          <t>CONFIRMED (82%)</t>
        </is>
      </c>
      <c r="U1708" t="inlineStr">
        <is>
          <t>YES</t>
        </is>
      </c>
      <c r="V1708" t="inlineStr">
        <is>
          <t>CHECK_VENDOR</t>
        </is>
      </c>
      <c r="W1708" t="inlineStr">
        <is>
          <t>https://security.snyk.io/vuln/CVE-2026-21633</t>
        </is>
      </c>
      <c r="X1708" t="inlineStr">
        <is>
          <t>http://www.zerodayinitiative.com/advisories/ZDI-26-126/</t>
        </is>
      </c>
      <c r="Y1708" t="n">
        <v>0</v>
      </c>
      <c r="Z1708" t="inlineStr"/>
      <c r="AA1708" t="inlineStr">
        <is>
          <t>http://www.zerodayinitiative.com/advisories/ZDI-26-126/</t>
        </is>
      </c>
    </row>
    <row r="1709">
      <c r="A1709" t="inlineStr">
        <is>
          <t>ZDI_ADVISORY</t>
        </is>
      </c>
      <c r="B1709" t="inlineStr">
        <is>
          <t>ZDI-26-125</t>
        </is>
      </c>
      <c r="C1709" t="inlineStr">
        <is>
          <t>ZDI Published 0-Day: ZDI-26-125: Docker Desktop grpcfuse Kernel Module Out-Of-Bounds Read Information Disclosure Vulnerability | CVEs: CVE-2026-2664 | Product: See ZDI advisory</t>
        </is>
      </c>
      <c r="D1709" t="n">
        <v>7.5</v>
      </c>
      <c r="E1709" t="inlineStr">
        <is>
          <t>HIGH</t>
        </is>
      </c>
      <c r="F1709" t="n">
        <v>3</v>
      </c>
      <c r="G1709" t="n">
        <v>3</v>
      </c>
      <c r="H1709" t="inlineStr">
        <is>
          <t>CRITICAL</t>
        </is>
      </c>
      <c r="I1709" t="n">
        <v>16.5</v>
      </c>
      <c r="J1709" t="inlineStr">
        <is>
          <t>NO</t>
        </is>
      </c>
      <c r="K1709" t="inlineStr">
        <is>
          <t>2026-02-25 06:00</t>
        </is>
      </c>
      <c r="L1709" t="inlineStr">
        <is>
          <t>CHECK_VENDOR - ZDI published, vendor patch may be pending</t>
        </is>
      </c>
      <c r="M1709" t="inlineStr">
        <is>
          <t>See ZDI advisory</t>
        </is>
      </c>
      <c r="N1709" t="inlineStr">
        <is>
          <t>P1</t>
        </is>
      </c>
      <c r="O1709" t="inlineStr">
        <is>
          <t>ZDI 0-day advisory - no IP context</t>
        </is>
      </c>
      <c r="P1709" t="n">
        <v>0.0001</v>
      </c>
      <c r="Q1709" t="n">
        <v>0.0251</v>
      </c>
      <c r="R1709" t="inlineStr">
        <is>
          <t>T1203:Exploitation for Client Execution | T1213:Data from Information Repositories</t>
        </is>
      </c>
      <c r="S1709" t="n">
        <v>2</v>
      </c>
      <c r="T1709" t="inlineStr">
        <is>
          <t>CONFIRMED (82%)</t>
        </is>
      </c>
      <c r="U1709" t="inlineStr">
        <is>
          <t>YES</t>
        </is>
      </c>
      <c r="V1709" t="inlineStr">
        <is>
          <t>CHECK_VENDOR</t>
        </is>
      </c>
      <c r="W1709" t="inlineStr">
        <is>
          <t>https://security.snyk.io/vuln/CVE-2026-2664</t>
        </is>
      </c>
      <c r="X1709" t="inlineStr">
        <is>
          <t>http://www.zerodayinitiative.com/advisories/ZDI-26-125/</t>
        </is>
      </c>
      <c r="Y1709" t="n">
        <v>0</v>
      </c>
      <c r="Z1709" t="inlineStr"/>
      <c r="AA1709" t="inlineStr">
        <is>
          <t>http://www.zerodayinitiative.com/advisories/ZDI-26-125/</t>
        </is>
      </c>
    </row>
    <row r="1710">
      <c r="A1710" t="inlineStr">
        <is>
          <t>ZDI_ADVISORY</t>
        </is>
      </c>
      <c r="B1710" t="inlineStr">
        <is>
          <t>ZDI-26-124</t>
        </is>
      </c>
      <c r="C1710" t="inlineStr">
        <is>
          <t>ZDI Published 0-Day: ZDI-26-124: claude-hovercraft executeClaudeCode Command Injection Remote Code Execution Vulnerability | CVEs: CVE-2025-15060 | Product: See ZDI advisory</t>
        </is>
      </c>
      <c r="D1710" t="n">
        <v>7.5</v>
      </c>
      <c r="E1710" t="inlineStr">
        <is>
          <t>HIGH</t>
        </is>
      </c>
      <c r="F1710" t="n">
        <v>3</v>
      </c>
      <c r="G1710" t="n">
        <v>3</v>
      </c>
      <c r="H1710" t="inlineStr">
        <is>
          <t>CRITICAL</t>
        </is>
      </c>
      <c r="I1710" t="n">
        <v>16.5</v>
      </c>
      <c r="J1710" t="inlineStr">
        <is>
          <t>NO</t>
        </is>
      </c>
      <c r="K1710" t="inlineStr">
        <is>
          <t>2026-02-25 06:00</t>
        </is>
      </c>
      <c r="L1710" t="inlineStr">
        <is>
          <t>CHECK_VENDOR - ZDI published, vendor patch may be pending</t>
        </is>
      </c>
      <c r="M1710" t="inlineStr">
        <is>
          <t>See ZDI advisory</t>
        </is>
      </c>
      <c r="N1710" t="inlineStr">
        <is>
          <t>P1</t>
        </is>
      </c>
      <c r="O1710" t="inlineStr">
        <is>
          <t>ZDI 0-day advisory - no IP context</t>
        </is>
      </c>
      <c r="P1710" t="n">
        <v>0</v>
      </c>
      <c r="Q1710" t="n">
        <v>0</v>
      </c>
      <c r="R1710" t="inlineStr">
        <is>
          <t>T1190:Exploit Public-Facing Application | T1210:Exploitation of Remote Services | T1059:Command and Scripting Interpreter</t>
        </is>
      </c>
      <c r="S1710" t="n">
        <v>2</v>
      </c>
      <c r="T1710" t="inlineStr">
        <is>
          <t>CONFIRMED (82%)</t>
        </is>
      </c>
      <c r="U1710" t="inlineStr">
        <is>
          <t>YES</t>
        </is>
      </c>
      <c r="V1710" t="inlineStr">
        <is>
          <t>CHECK_VENDOR</t>
        </is>
      </c>
      <c r="W1710" t="inlineStr">
        <is>
          <t>https://security.snyk.io/vuln/CVE-2025-15060</t>
        </is>
      </c>
      <c r="X1710" t="inlineStr">
        <is>
          <t>http://www.zerodayinitiative.com/advisories/ZDI-26-124/</t>
        </is>
      </c>
      <c r="Y1710" t="n">
        <v>0</v>
      </c>
      <c r="Z1710" t="inlineStr"/>
      <c r="AA1710" t="inlineStr">
        <is>
          <t>http://www.zerodayinitiative.com/advisories/ZDI-26-124/</t>
        </is>
      </c>
    </row>
    <row r="1711">
      <c r="A1711" t="inlineStr">
        <is>
          <t>ZDI_ADVISORY</t>
        </is>
      </c>
      <c r="B1711" t="inlineStr">
        <is>
          <t>ZDI-26-123</t>
        </is>
      </c>
      <c r="C1711" t="inlineStr">
        <is>
          <t>ZDI Published 0-Day: ZDI-26-123: Docker Desktop MCP Server Cleartext Storage of Sensitive Information Vulnerability | CVEs:  | Product: See ZDI advisory</t>
        </is>
      </c>
      <c r="D1711" t="n">
        <v>7.5</v>
      </c>
      <c r="E1711" t="inlineStr">
        <is>
          <t>HIGH</t>
        </is>
      </c>
      <c r="F1711" t="n">
        <v>3</v>
      </c>
      <c r="G1711" t="n">
        <v>3</v>
      </c>
      <c r="H1711" t="inlineStr">
        <is>
          <t>CRITICAL</t>
        </is>
      </c>
      <c r="I1711" t="n">
        <v>16.5</v>
      </c>
      <c r="J1711" t="inlineStr">
        <is>
          <t>NO</t>
        </is>
      </c>
      <c r="K1711" t="inlineStr">
        <is>
          <t>2026-02-23 06:00</t>
        </is>
      </c>
      <c r="L1711" t="inlineStr">
        <is>
          <t>CHECK_VENDOR - ZDI published, vendor patch may be pending</t>
        </is>
      </c>
      <c r="M1711" t="inlineStr">
        <is>
          <t>See ZDI advisory</t>
        </is>
      </c>
      <c r="N1711" t="inlineStr">
        <is>
          <t>P1</t>
        </is>
      </c>
      <c r="O1711" t="inlineStr">
        <is>
          <t>ZDI 0-day advisory - no IP context</t>
        </is>
      </c>
      <c r="P1711" t="n">
        <v>0</v>
      </c>
      <c r="Q1711" t="n">
        <v>0</v>
      </c>
      <c r="R1711" t="inlineStr">
        <is>
          <t>T1190:Exploit Public-Facing Application</t>
        </is>
      </c>
      <c r="S1711" t="n">
        <v>2</v>
      </c>
      <c r="T1711" t="inlineStr">
        <is>
          <t>CONFIRMED (82%)</t>
        </is>
      </c>
      <c r="U1711" t="inlineStr">
        <is>
          <t>YES</t>
        </is>
      </c>
      <c r="V1711" t="inlineStr">
        <is>
          <t>CHECK_VENDOR</t>
        </is>
      </c>
      <c r="W1711" t="inlineStr">
        <is>
          <t>http://www.zerodayinitiative.com/advisories/ZDI-26-123/</t>
        </is>
      </c>
      <c r="X1711" t="inlineStr">
        <is>
          <t>http://www.zerodayinitiative.com/advisories/ZDI-26-123/</t>
        </is>
      </c>
      <c r="Y1711" t="n">
        <v>0</v>
      </c>
      <c r="Z1711" t="inlineStr"/>
      <c r="AA1711" t="inlineStr">
        <is>
          <t>http://www.zerodayinitiative.com/advisories/ZDI-26-123/</t>
        </is>
      </c>
    </row>
    <row r="1712">
      <c r="A1712" t="inlineStr">
        <is>
          <t>ZDI_ADVISORY</t>
        </is>
      </c>
      <c r="B1712" t="inlineStr">
        <is>
          <t>ZDI-26-122</t>
        </is>
      </c>
      <c r="C1712" t="inlineStr">
        <is>
          <t>ZDI Published 0-Day: ZDI-26-122: PDF-XChange Editor TrackerUpdate Uncontrolled Search Path Element Local Privilege Escalation Vulnerability | CVEs: CVE-2026-2040 | Product: See ZDI advisory</t>
        </is>
      </c>
      <c r="D1712" t="n">
        <v>7.5</v>
      </c>
      <c r="E1712" t="inlineStr">
        <is>
          <t>HIGH</t>
        </is>
      </c>
      <c r="F1712" t="n">
        <v>3</v>
      </c>
      <c r="G1712" t="n">
        <v>3</v>
      </c>
      <c r="H1712" t="inlineStr">
        <is>
          <t>CRITICAL</t>
        </is>
      </c>
      <c r="I1712" t="n">
        <v>16.5</v>
      </c>
      <c r="J1712" t="inlineStr">
        <is>
          <t>NO</t>
        </is>
      </c>
      <c r="K1712" t="inlineStr">
        <is>
          <t>2026-02-19 06:00</t>
        </is>
      </c>
      <c r="L1712" t="inlineStr">
        <is>
          <t>CHECK_VENDOR - ZDI published, vendor patch may be pending</t>
        </is>
      </c>
      <c r="M1712" t="inlineStr">
        <is>
          <t>See ZDI advisory</t>
        </is>
      </c>
      <c r="N1712" t="inlineStr">
        <is>
          <t>P1</t>
        </is>
      </c>
      <c r="O1712" t="inlineStr">
        <is>
          <t>ZDI 0-day advisory - no IP context</t>
        </is>
      </c>
      <c r="P1712" t="n">
        <v>0.0001</v>
      </c>
      <c r="Q1712" t="n">
        <v>0.0257</v>
      </c>
      <c r="R1712" t="inlineStr">
        <is>
          <t>T1068:Exploitation for Privilege Escalation</t>
        </is>
      </c>
      <c r="S1712" t="n">
        <v>2</v>
      </c>
      <c r="T1712" t="inlineStr">
        <is>
          <t>CONFIRMED (82%)</t>
        </is>
      </c>
      <c r="U1712" t="inlineStr">
        <is>
          <t>YES</t>
        </is>
      </c>
      <c r="V1712" t="inlineStr">
        <is>
          <t>CHECK_VENDOR</t>
        </is>
      </c>
      <c r="W1712" t="inlineStr">
        <is>
          <t>https://security.snyk.io/vuln/CVE-2026-2040</t>
        </is>
      </c>
      <c r="X1712" t="inlineStr">
        <is>
          <t>http://www.zerodayinitiative.com/advisories/ZDI-26-122/</t>
        </is>
      </c>
      <c r="Y1712" t="n">
        <v>0</v>
      </c>
      <c r="Z1712" t="inlineStr"/>
      <c r="AA1712" t="inlineStr">
        <is>
          <t>http://www.zerodayinitiative.com/advisories/ZDI-26-122/</t>
        </is>
      </c>
    </row>
    <row r="1713">
      <c r="A1713" t="inlineStr">
        <is>
          <t>ZDI_ADVISORY</t>
        </is>
      </c>
      <c r="B1713" t="inlineStr">
        <is>
          <t>ZDI-26-121</t>
        </is>
      </c>
      <c r="C1713" t="inlineStr">
        <is>
          <t>ZDI Published 0-Day: ZDI-26-121: GIMP XWD File Parsing Out-Of-Bounds Write Remote Code Execution Vulnerability | CVEs: CVE-2026-2048 | Product: See ZDI advisory</t>
        </is>
      </c>
      <c r="D1713" t="n">
        <v>7.5</v>
      </c>
      <c r="E1713" t="inlineStr">
        <is>
          <t>HIGH</t>
        </is>
      </c>
      <c r="F1713" t="n">
        <v>3</v>
      </c>
      <c r="G1713" t="n">
        <v>3</v>
      </c>
      <c r="H1713" t="inlineStr">
        <is>
          <t>CRITICAL</t>
        </is>
      </c>
      <c r="I1713" t="n">
        <v>16.5</v>
      </c>
      <c r="J1713" t="inlineStr">
        <is>
          <t>NO</t>
        </is>
      </c>
      <c r="K1713" t="inlineStr">
        <is>
          <t>2026-02-19 06:00</t>
        </is>
      </c>
      <c r="L1713" t="inlineStr">
        <is>
          <t>CHECK_VENDOR - ZDI published, vendor patch may be pending</t>
        </is>
      </c>
      <c r="M1713" t="inlineStr">
        <is>
          <t>See ZDI advisory</t>
        </is>
      </c>
      <c r="N1713" t="inlineStr">
        <is>
          <t>P1</t>
        </is>
      </c>
      <c r="O1713" t="inlineStr">
        <is>
          <t>ZDI 0-day advisory - no IP context</t>
        </is>
      </c>
      <c r="P1713" t="n">
        <v>0.0008</v>
      </c>
      <c r="Q1713" t="n">
        <v>0.2351</v>
      </c>
      <c r="R1713" t="inlineStr">
        <is>
          <t>T1190:Exploit Public-Facing Application | T1210:Exploitation of Remote Services | T1203:Exploitation for Client Execution</t>
        </is>
      </c>
      <c r="S1713" t="n">
        <v>2</v>
      </c>
      <c r="T1713" t="inlineStr">
        <is>
          <t>CONFIRMED (82%)</t>
        </is>
      </c>
      <c r="U1713" t="inlineStr">
        <is>
          <t>YES</t>
        </is>
      </c>
      <c r="V1713" t="inlineStr">
        <is>
          <t>CHECK_VENDOR</t>
        </is>
      </c>
      <c r="W1713" t="inlineStr">
        <is>
          <t>https://security.snyk.io/vuln/CVE-2026-2048</t>
        </is>
      </c>
      <c r="X1713" t="inlineStr">
        <is>
          <t>http://www.zerodayinitiative.com/advisories/ZDI-26-121/</t>
        </is>
      </c>
      <c r="Y1713" t="n">
        <v>0</v>
      </c>
      <c r="Z1713" t="inlineStr"/>
      <c r="AA1713" t="inlineStr">
        <is>
          <t>http://www.zerodayinitiative.com/advisories/ZDI-26-121/</t>
        </is>
      </c>
    </row>
    <row r="1714">
      <c r="A1714" t="inlineStr">
        <is>
          <t>ZDI_ADVISORY</t>
        </is>
      </c>
      <c r="B1714" t="inlineStr">
        <is>
          <t>ZDI-26-120</t>
        </is>
      </c>
      <c r="C1714" t="inlineStr">
        <is>
          <t>ZDI Published 0-Day: ZDI-26-120: GIMP ICNS File Parsing Heap-based Buffer Overflow Remote Code Execution Vulnerability | CVEs: CVE-2026-2047 | Product: See ZDI advisory</t>
        </is>
      </c>
      <c r="D1714" t="n">
        <v>7.5</v>
      </c>
      <c r="E1714" t="inlineStr">
        <is>
          <t>HIGH</t>
        </is>
      </c>
      <c r="F1714" t="n">
        <v>3</v>
      </c>
      <c r="G1714" t="n">
        <v>3</v>
      </c>
      <c r="H1714" t="inlineStr">
        <is>
          <t>CRITICAL</t>
        </is>
      </c>
      <c r="I1714" t="n">
        <v>16.5</v>
      </c>
      <c r="J1714" t="inlineStr">
        <is>
          <t>NO</t>
        </is>
      </c>
      <c r="K1714" t="inlineStr">
        <is>
          <t>2026-02-19 06:00</t>
        </is>
      </c>
      <c r="L1714" t="inlineStr">
        <is>
          <t>CHECK_VENDOR - ZDI published, vendor patch may be pending</t>
        </is>
      </c>
      <c r="M1714" t="inlineStr">
        <is>
          <t>See ZDI advisory</t>
        </is>
      </c>
      <c r="N1714" t="inlineStr">
        <is>
          <t>P1</t>
        </is>
      </c>
      <c r="O1714" t="inlineStr">
        <is>
          <t>ZDI 0-day advisory - no IP context</t>
        </is>
      </c>
      <c r="P1714" t="n">
        <v>0.0005999999999999999</v>
      </c>
      <c r="Q1714" t="n">
        <v>0.1804</v>
      </c>
      <c r="R1714" t="inlineStr">
        <is>
          <t>T1190:Exploit Public-Facing Application | T1210:Exploitation of Remote Services | T1203:Exploitation for Client Execution</t>
        </is>
      </c>
      <c r="S1714" t="n">
        <v>2</v>
      </c>
      <c r="T1714" t="inlineStr">
        <is>
          <t>CONFIRMED (82%)</t>
        </is>
      </c>
      <c r="U1714" t="inlineStr">
        <is>
          <t>YES</t>
        </is>
      </c>
      <c r="V1714" t="inlineStr">
        <is>
          <t>CHECK_VENDOR</t>
        </is>
      </c>
      <c r="W1714" t="inlineStr">
        <is>
          <t>https://security.snyk.io/vuln/CVE-2026-2047</t>
        </is>
      </c>
      <c r="X1714" t="inlineStr">
        <is>
          <t>http://www.zerodayinitiative.com/advisories/ZDI-26-120/</t>
        </is>
      </c>
      <c r="Y1714" t="n">
        <v>0</v>
      </c>
      <c r="Z1714" t="inlineStr"/>
      <c r="AA1714" t="inlineStr">
        <is>
          <t>http://www.zerodayinitiative.com/advisories/ZDI-26-120/</t>
        </is>
      </c>
    </row>
    <row r="1715">
      <c r="A1715" t="inlineStr">
        <is>
          <t>ZDI_ADVISORY</t>
        </is>
      </c>
      <c r="B1715" t="inlineStr">
        <is>
          <t>ZDI-26-119</t>
        </is>
      </c>
      <c r="C1715" t="inlineStr">
        <is>
          <t>ZDI Published 0-Day: ZDI-26-119: GIMP XWD File Parsing Out-Of-Bounds Write Remote Code Execution Vulnerability | CVEs: CVE-2026-2045 | Product: See ZDI advisory</t>
        </is>
      </c>
      <c r="D1715" t="n">
        <v>7.5</v>
      </c>
      <c r="E1715" t="inlineStr">
        <is>
          <t>HIGH</t>
        </is>
      </c>
      <c r="F1715" t="n">
        <v>3</v>
      </c>
      <c r="G1715" t="n">
        <v>3</v>
      </c>
      <c r="H1715" t="inlineStr">
        <is>
          <t>CRITICAL</t>
        </is>
      </c>
      <c r="I1715" t="n">
        <v>16.5</v>
      </c>
      <c r="J1715" t="inlineStr">
        <is>
          <t>NO</t>
        </is>
      </c>
      <c r="K1715" t="inlineStr">
        <is>
          <t>2026-02-19 06:00</t>
        </is>
      </c>
      <c r="L1715" t="inlineStr">
        <is>
          <t>CHECK_VENDOR - ZDI published, vendor patch may be pending</t>
        </is>
      </c>
      <c r="M1715" t="inlineStr">
        <is>
          <t>See ZDI advisory</t>
        </is>
      </c>
      <c r="N1715" t="inlineStr">
        <is>
          <t>P1</t>
        </is>
      </c>
      <c r="O1715" t="inlineStr">
        <is>
          <t>ZDI 0-day advisory - no IP context</t>
        </is>
      </c>
      <c r="P1715" t="n">
        <v>0.0008</v>
      </c>
      <c r="Q1715" t="n">
        <v>0.2351</v>
      </c>
      <c r="R1715" t="inlineStr">
        <is>
          <t>T1190:Exploit Public-Facing Application | T1210:Exploitation of Remote Services | T1203:Exploitation for Client Execution</t>
        </is>
      </c>
      <c r="S1715" t="n">
        <v>2</v>
      </c>
      <c r="T1715" t="inlineStr">
        <is>
          <t>CONFIRMED (82%)</t>
        </is>
      </c>
      <c r="U1715" t="inlineStr">
        <is>
          <t>YES</t>
        </is>
      </c>
      <c r="V1715" t="inlineStr">
        <is>
          <t>CHECK_VENDOR</t>
        </is>
      </c>
      <c r="W1715" t="inlineStr">
        <is>
          <t>https://security.snyk.io/vuln/CVE-2026-2045</t>
        </is>
      </c>
      <c r="X1715" t="inlineStr">
        <is>
          <t>http://www.zerodayinitiative.com/advisories/ZDI-26-119/</t>
        </is>
      </c>
      <c r="Y1715" t="n">
        <v>0</v>
      </c>
      <c r="Z1715" t="inlineStr"/>
      <c r="AA1715" t="inlineStr">
        <is>
          <t>http://www.zerodayinitiative.com/advisories/ZDI-26-119/</t>
        </is>
      </c>
    </row>
    <row r="1716">
      <c r="A1716" t="inlineStr">
        <is>
          <t>ZDI_ADVISORY</t>
        </is>
      </c>
      <c r="B1716" t="inlineStr">
        <is>
          <t>ZDI-26-118</t>
        </is>
      </c>
      <c r="C1716" t="inlineStr">
        <is>
          <t>ZDI Published 0-Day: ZDI-26-118: GIMP PGM File Parsing Uninitialized Memory Remote Code Execution Vulnerability | CVEs: CVE-2026-2044 | Product: See ZDI advisory</t>
        </is>
      </c>
      <c r="D1716" t="n">
        <v>7.5</v>
      </c>
      <c r="E1716" t="inlineStr">
        <is>
          <t>HIGH</t>
        </is>
      </c>
      <c r="F1716" t="n">
        <v>3</v>
      </c>
      <c r="G1716" t="n">
        <v>3</v>
      </c>
      <c r="H1716" t="inlineStr">
        <is>
          <t>CRITICAL</t>
        </is>
      </c>
      <c r="I1716" t="n">
        <v>16.5</v>
      </c>
      <c r="J1716" t="inlineStr">
        <is>
          <t>NO</t>
        </is>
      </c>
      <c r="K1716" t="inlineStr">
        <is>
          <t>2026-02-19 06:00</t>
        </is>
      </c>
      <c r="L1716" t="inlineStr">
        <is>
          <t>CHECK_VENDOR - ZDI published, vendor patch may be pending</t>
        </is>
      </c>
      <c r="M1716" t="inlineStr">
        <is>
          <t>See ZDI advisory</t>
        </is>
      </c>
      <c r="N1716" t="inlineStr">
        <is>
          <t>P1</t>
        </is>
      </c>
      <c r="O1716" t="inlineStr">
        <is>
          <t>ZDI 0-day advisory - no IP context</t>
        </is>
      </c>
      <c r="P1716" t="n">
        <v>0.0005999999999999999</v>
      </c>
      <c r="Q1716" t="n">
        <v>0.1967</v>
      </c>
      <c r="R1716" t="inlineStr">
        <is>
          <t>T1190:Exploit Public-Facing Application | T1210:Exploitation of Remote Services</t>
        </is>
      </c>
      <c r="S1716" t="n">
        <v>2</v>
      </c>
      <c r="T1716" t="inlineStr">
        <is>
          <t>CONFIRMED (82%)</t>
        </is>
      </c>
      <c r="U1716" t="inlineStr">
        <is>
          <t>YES</t>
        </is>
      </c>
      <c r="V1716" t="inlineStr">
        <is>
          <t>CHECK_VENDOR</t>
        </is>
      </c>
      <c r="W1716" t="inlineStr">
        <is>
          <t>https://security.snyk.io/vuln/CVE-2026-2044</t>
        </is>
      </c>
      <c r="X1716" t="inlineStr">
        <is>
          <t>http://www.zerodayinitiative.com/advisories/ZDI-26-118/</t>
        </is>
      </c>
      <c r="Y1716" t="n">
        <v>0</v>
      </c>
      <c r="Z1716" t="inlineStr"/>
      <c r="AA1716" t="inlineStr">
        <is>
          <t>http://www.zerodayinitiative.com/advisories/ZDI-26-118/</t>
        </is>
      </c>
    </row>
    <row r="1717">
      <c r="A1717" t="inlineStr">
        <is>
          <t>ZDI_ADVISORY</t>
        </is>
      </c>
      <c r="B1717" t="inlineStr">
        <is>
          <t>ZDI-26-117</t>
        </is>
      </c>
      <c r="C1717" t="inlineStr">
        <is>
          <t>ZDI Published 0-Day: ZDI-26-117: RustDesk Client for Windows Transfer File Link Following Information Disclosure Vulnerability | CVEs: CVE-2026-2490 | Product: See ZDI advisory</t>
        </is>
      </c>
      <c r="D1717" t="n">
        <v>7.5</v>
      </c>
      <c r="E1717" t="inlineStr">
        <is>
          <t>HIGH</t>
        </is>
      </c>
      <c r="F1717" t="n">
        <v>3</v>
      </c>
      <c r="G1717" t="n">
        <v>3</v>
      </c>
      <c r="H1717" t="inlineStr">
        <is>
          <t>CRITICAL</t>
        </is>
      </c>
      <c r="I1717" t="n">
        <v>16.5</v>
      </c>
      <c r="J1717" t="inlineStr">
        <is>
          <t>NO</t>
        </is>
      </c>
      <c r="K1717" t="inlineStr">
        <is>
          <t>2026-02-19 06:00</t>
        </is>
      </c>
      <c r="L1717" t="inlineStr">
        <is>
          <t>CHECK_VENDOR - ZDI published, vendor patch may be pending</t>
        </is>
      </c>
      <c r="M1717" t="inlineStr">
        <is>
          <t>See ZDI advisory</t>
        </is>
      </c>
      <c r="N1717" t="inlineStr">
        <is>
          <t>P1</t>
        </is>
      </c>
      <c r="O1717" t="inlineStr">
        <is>
          <t>ZDI 0-day advisory - no IP context</t>
        </is>
      </c>
      <c r="P1717" t="n">
        <v>0.0002</v>
      </c>
      <c r="Q1717" t="n">
        <v>0.0376</v>
      </c>
      <c r="R1717" t="inlineStr">
        <is>
          <t>T1213:Data from Information Repositories</t>
        </is>
      </c>
      <c r="S1717" t="n">
        <v>2</v>
      </c>
      <c r="T1717" t="inlineStr">
        <is>
          <t>CONFIRMED (82%)</t>
        </is>
      </c>
      <c r="U1717" t="inlineStr">
        <is>
          <t>YES</t>
        </is>
      </c>
      <c r="V1717" t="inlineStr">
        <is>
          <t>CHECK_VENDOR</t>
        </is>
      </c>
      <c r="W1717" t="inlineStr">
        <is>
          <t>https://security.snyk.io/vuln/CVE-2026-2490</t>
        </is>
      </c>
      <c r="X1717" t="inlineStr">
        <is>
          <t>http://www.zerodayinitiative.com/advisories/ZDI-26-117/</t>
        </is>
      </c>
      <c r="Y1717" t="n">
        <v>0</v>
      </c>
      <c r="Z1717" t="inlineStr"/>
      <c r="AA1717" t="inlineStr">
        <is>
          <t>http://www.zerodayinitiative.com/advisories/ZDI-26-117/</t>
        </is>
      </c>
    </row>
    <row r="1718">
      <c r="A1718" t="inlineStr">
        <is>
          <t>ZDI_ADVISORY</t>
        </is>
      </c>
      <c r="B1718" t="inlineStr">
        <is>
          <t>ZDI-26-116</t>
        </is>
      </c>
      <c r="C1718" t="inlineStr">
        <is>
          <t>ZDI Published 0-Day: ZDI-26-116: TensorFlow HDF5 Library Uncontrolled Search Path Element Local Privilege Escalation Vulnerability | CVEs: CVE-2026-2492 | Product: See ZDI advisory</t>
        </is>
      </c>
      <c r="D1718" t="n">
        <v>7.5</v>
      </c>
      <c r="E1718" t="inlineStr">
        <is>
          <t>HIGH</t>
        </is>
      </c>
      <c r="F1718" t="n">
        <v>3</v>
      </c>
      <c r="G1718" t="n">
        <v>3</v>
      </c>
      <c r="H1718" t="inlineStr">
        <is>
          <t>CRITICAL</t>
        </is>
      </c>
      <c r="I1718" t="n">
        <v>16.5</v>
      </c>
      <c r="J1718" t="inlineStr">
        <is>
          <t>NO</t>
        </is>
      </c>
      <c r="K1718" t="inlineStr">
        <is>
          <t>2026-02-19 06:00</t>
        </is>
      </c>
      <c r="L1718" t="inlineStr">
        <is>
          <t>CHECK_VENDOR - ZDI published, vendor patch may be pending</t>
        </is>
      </c>
      <c r="M1718" t="inlineStr">
        <is>
          <t>See ZDI advisory</t>
        </is>
      </c>
      <c r="N1718" t="inlineStr">
        <is>
          <t>P1</t>
        </is>
      </c>
      <c r="O1718" t="inlineStr">
        <is>
          <t>ZDI 0-day advisory - no IP context</t>
        </is>
      </c>
      <c r="P1718" t="n">
        <v>0.0002</v>
      </c>
      <c r="Q1718" t="n">
        <v>0.0326</v>
      </c>
      <c r="R1718" t="inlineStr">
        <is>
          <t>T1068:Exploitation for Privilege Escalation</t>
        </is>
      </c>
      <c r="S1718" t="n">
        <v>2</v>
      </c>
      <c r="T1718" t="inlineStr">
        <is>
          <t>CONFIRMED (82%)</t>
        </is>
      </c>
      <c r="U1718" t="inlineStr">
        <is>
          <t>YES</t>
        </is>
      </c>
      <c r="V1718" t="inlineStr">
        <is>
          <t>CHECK_VENDOR</t>
        </is>
      </c>
      <c r="W1718" t="inlineStr">
        <is>
          <t>https://security.snyk.io/vuln/CVE-2026-2492</t>
        </is>
      </c>
      <c r="X1718" t="inlineStr">
        <is>
          <t>http://www.zerodayinitiative.com/advisories/ZDI-26-116/</t>
        </is>
      </c>
      <c r="Y1718" t="n">
        <v>0</v>
      </c>
      <c r="Z1718" t="inlineStr"/>
      <c r="AA1718" t="inlineStr">
        <is>
          <t>http://www.zerodayinitiative.com/advisories/ZDI-26-116/</t>
        </is>
      </c>
    </row>
    <row r="1719">
      <c r="A1719" t="inlineStr">
        <is>
          <t>ZDI_ADVISORY</t>
        </is>
      </c>
      <c r="B1719" t="inlineStr">
        <is>
          <t>ZDI-26-115</t>
        </is>
      </c>
      <c r="C1719" t="inlineStr">
        <is>
          <t>ZDI Published 0-Day: ZDI-26-115: Fortinet FortiClient VPN FCConfig Utility Link Following Local Privilege Escalation Vulnerability | CVEs: CVE-2025-62676 | Product: See ZDI advisory</t>
        </is>
      </c>
      <c r="D1719" t="n">
        <v>7.5</v>
      </c>
      <c r="E1719" t="inlineStr">
        <is>
          <t>HIGH</t>
        </is>
      </c>
      <c r="F1719" t="n">
        <v>3</v>
      </c>
      <c r="G1719" t="n">
        <v>3</v>
      </c>
      <c r="H1719" t="inlineStr">
        <is>
          <t>CRITICAL</t>
        </is>
      </c>
      <c r="I1719" t="n">
        <v>16.5</v>
      </c>
      <c r="J1719" t="inlineStr">
        <is>
          <t>NO</t>
        </is>
      </c>
      <c r="K1719" t="inlineStr">
        <is>
          <t>2026-02-19 06:00</t>
        </is>
      </c>
      <c r="L1719" t="inlineStr">
        <is>
          <t>CHECK_VENDOR - ZDI published, vendor patch may be pending</t>
        </is>
      </c>
      <c r="M1719" t="inlineStr">
        <is>
          <t>See ZDI advisory</t>
        </is>
      </c>
      <c r="N1719" t="inlineStr">
        <is>
          <t>P1</t>
        </is>
      </c>
      <c r="O1719" t="inlineStr">
        <is>
          <t>ZDI 0-day advisory - no IP context</t>
        </is>
      </c>
      <c r="P1719" t="n">
        <v>0.0001</v>
      </c>
      <c r="Q1719" t="n">
        <v>0.0019</v>
      </c>
      <c r="R1719" t="inlineStr">
        <is>
          <t>T1068:Exploitation for Privilege Escalation | T1133:External Remote Services</t>
        </is>
      </c>
      <c r="S1719" t="n">
        <v>2</v>
      </c>
      <c r="T1719" t="inlineStr">
        <is>
          <t>CONFIRMED (82%)</t>
        </is>
      </c>
      <c r="U1719" t="inlineStr">
        <is>
          <t>YES</t>
        </is>
      </c>
      <c r="V1719" t="inlineStr">
        <is>
          <t>CHECK_VENDOR</t>
        </is>
      </c>
      <c r="W1719" t="inlineStr">
        <is>
          <t>https://security.snyk.io/vuln/CVE-2025-62676</t>
        </is>
      </c>
      <c r="X1719" t="inlineStr">
        <is>
          <t>http://www.zerodayinitiative.com/advisories/ZDI-26-115/</t>
        </is>
      </c>
      <c r="Y1719" t="n">
        <v>0</v>
      </c>
      <c r="Z1719" t="inlineStr"/>
      <c r="AA1719" t="inlineStr">
        <is>
          <t>http://www.zerodayinitiative.com/advisories/ZDI-26-115/</t>
        </is>
      </c>
    </row>
    <row r="1720">
      <c r="A1720" t="inlineStr">
        <is>
          <t>ZDI_ADVISORY</t>
        </is>
      </c>
      <c r="B1720" t="inlineStr">
        <is>
          <t>ZDI-26-114</t>
        </is>
      </c>
      <c r="C1720" t="inlineStr">
        <is>
          <t>ZDI Published 0-Day: ZDI-26-114: Dassault Systèmes eDrawings Viewer EPRT File Parsing Out-Of-Bounds Write Remote Code Execution Vulnerability | CVEs: CVE-2026-1335 | Product: See ZDI advisory</t>
        </is>
      </c>
      <c r="D1720" t="n">
        <v>7.5</v>
      </c>
      <c r="E1720" t="inlineStr">
        <is>
          <t>HIGH</t>
        </is>
      </c>
      <c r="F1720" t="n">
        <v>3</v>
      </c>
      <c r="G1720" t="n">
        <v>3</v>
      </c>
      <c r="H1720" t="inlineStr">
        <is>
          <t>CRITICAL</t>
        </is>
      </c>
      <c r="I1720" t="n">
        <v>16.5</v>
      </c>
      <c r="J1720" t="inlineStr">
        <is>
          <t>NO</t>
        </is>
      </c>
      <c r="K1720" t="inlineStr">
        <is>
          <t>2026-02-19 06:00</t>
        </is>
      </c>
      <c r="L1720" t="inlineStr">
        <is>
          <t>CHECK_VENDOR - ZDI published, vendor patch may be pending</t>
        </is>
      </c>
      <c r="M1720" t="inlineStr">
        <is>
          <t>See ZDI advisory</t>
        </is>
      </c>
      <c r="N1720" t="inlineStr">
        <is>
          <t>P1</t>
        </is>
      </c>
      <c r="O1720" t="inlineStr">
        <is>
          <t>ZDI 0-day advisory - no IP context</t>
        </is>
      </c>
      <c r="P1720" t="n">
        <v>0.0002</v>
      </c>
      <c r="Q1720" t="n">
        <v>0.0513</v>
      </c>
      <c r="R1720" t="inlineStr">
        <is>
          <t>T1190:Exploit Public-Facing Application | T1210:Exploitation of Remote Services | T1203:Exploitation for Client Execution</t>
        </is>
      </c>
      <c r="S1720" t="n">
        <v>2</v>
      </c>
      <c r="T1720" t="inlineStr">
        <is>
          <t>CONFIRMED (82%)</t>
        </is>
      </c>
      <c r="U1720" t="inlineStr">
        <is>
          <t>YES</t>
        </is>
      </c>
      <c r="V1720" t="inlineStr">
        <is>
          <t>CHECK_VENDOR</t>
        </is>
      </c>
      <c r="W1720" t="inlineStr">
        <is>
          <t>https://security.snyk.io/vuln/CVE-2026-1335</t>
        </is>
      </c>
      <c r="X1720" t="inlineStr">
        <is>
          <t>http://www.zerodayinitiative.com/advisories/ZDI-26-114/</t>
        </is>
      </c>
      <c r="Y1720" t="n">
        <v>0</v>
      </c>
      <c r="Z1720" t="inlineStr"/>
      <c r="AA1720" t="inlineStr">
        <is>
          <t>http://www.zerodayinitiative.com/advisories/ZDI-26-114/</t>
        </is>
      </c>
    </row>
    <row r="1721">
      <c r="A1721" t="inlineStr">
        <is>
          <t>ZDI_ADVISORY</t>
        </is>
      </c>
      <c r="B1721" t="inlineStr">
        <is>
          <t>ZDI-26-113</t>
        </is>
      </c>
      <c r="C1721" t="inlineStr">
        <is>
          <t>ZDI Published 0-Day: ZDI-26-113: Dassault Systèmes eDrawings Viewer EPRT File Parsing Memory Corruption Remote Code Execution Vulnerability | CVEs: CVE-2026-1334 | Product: See ZDI advisory</t>
        </is>
      </c>
      <c r="D1721" t="n">
        <v>7.5</v>
      </c>
      <c r="E1721" t="inlineStr">
        <is>
          <t>HIGH</t>
        </is>
      </c>
      <c r="F1721" t="n">
        <v>3</v>
      </c>
      <c r="G1721" t="n">
        <v>3</v>
      </c>
      <c r="H1721" t="inlineStr">
        <is>
          <t>CRITICAL</t>
        </is>
      </c>
      <c r="I1721" t="n">
        <v>16.5</v>
      </c>
      <c r="J1721" t="inlineStr">
        <is>
          <t>NO</t>
        </is>
      </c>
      <c r="K1721" t="inlineStr">
        <is>
          <t>2026-02-19 06:00</t>
        </is>
      </c>
      <c r="L1721" t="inlineStr">
        <is>
          <t>CHECK_VENDOR - ZDI published, vendor patch may be pending</t>
        </is>
      </c>
      <c r="M1721" t="inlineStr">
        <is>
          <t>See ZDI advisory</t>
        </is>
      </c>
      <c r="N1721" t="inlineStr">
        <is>
          <t>P1</t>
        </is>
      </c>
      <c r="O1721" t="inlineStr">
        <is>
          <t>ZDI 0-day advisory - no IP context</t>
        </is>
      </c>
      <c r="P1721" t="n">
        <v>0.0002</v>
      </c>
      <c r="Q1721" t="n">
        <v>0.0346</v>
      </c>
      <c r="R1721" t="inlineStr">
        <is>
          <t>T1190:Exploit Public-Facing Application | T1210:Exploitation of Remote Services | T1203:Exploitation for Client Execution</t>
        </is>
      </c>
      <c r="S1721" t="n">
        <v>2</v>
      </c>
      <c r="T1721" t="inlineStr">
        <is>
          <t>CONFIRMED (82%)</t>
        </is>
      </c>
      <c r="U1721" t="inlineStr">
        <is>
          <t>YES</t>
        </is>
      </c>
      <c r="V1721" t="inlineStr">
        <is>
          <t>CHECK_VENDOR</t>
        </is>
      </c>
      <c r="W1721" t="inlineStr">
        <is>
          <t>https://security.snyk.io/vuln/CVE-2026-1334</t>
        </is>
      </c>
      <c r="X1721" t="inlineStr">
        <is>
          <t>http://www.zerodayinitiative.com/advisories/ZDI-26-113/</t>
        </is>
      </c>
      <c r="Y1721" t="n">
        <v>0</v>
      </c>
      <c r="Z1721" t="inlineStr"/>
      <c r="AA1721" t="inlineStr">
        <is>
          <t>http://www.zerodayinitiative.com/advisories/ZDI-26-113/</t>
        </is>
      </c>
    </row>
    <row r="1722">
      <c r="A1722" t="inlineStr">
        <is>
          <t>ZDI_ADVISORY</t>
        </is>
      </c>
      <c r="B1722" t="inlineStr">
        <is>
          <t>ZDI-26-112</t>
        </is>
      </c>
      <c r="C1722" t="inlineStr">
        <is>
          <t>ZDI Published 0-Day: ZDI-26-112: Dassault Systèmes eDrawings Viewer EPRT File Parsing Uninitialized Variable Remote Code Execution Vulnerability | CVEs: CVE-2026-1333 | Product: See ZDI advisory</t>
        </is>
      </c>
      <c r="D1722" t="n">
        <v>7.5</v>
      </c>
      <c r="E1722" t="inlineStr">
        <is>
          <t>HIGH</t>
        </is>
      </c>
      <c r="F1722" t="n">
        <v>3</v>
      </c>
      <c r="G1722" t="n">
        <v>3</v>
      </c>
      <c r="H1722" t="inlineStr">
        <is>
          <t>CRITICAL</t>
        </is>
      </c>
      <c r="I1722" t="n">
        <v>16.5</v>
      </c>
      <c r="J1722" t="inlineStr">
        <is>
          <t>NO</t>
        </is>
      </c>
      <c r="K1722" t="inlineStr">
        <is>
          <t>2026-02-19 06:00</t>
        </is>
      </c>
      <c r="L1722" t="inlineStr">
        <is>
          <t>CHECK_VENDOR - ZDI published, vendor patch may be pending</t>
        </is>
      </c>
      <c r="M1722" t="inlineStr">
        <is>
          <t>See ZDI advisory</t>
        </is>
      </c>
      <c r="N1722" t="inlineStr">
        <is>
          <t>P1</t>
        </is>
      </c>
      <c r="O1722" t="inlineStr">
        <is>
          <t>ZDI 0-day advisory - no IP context</t>
        </is>
      </c>
      <c r="P1722" t="n">
        <v>0.0002</v>
      </c>
      <c r="Q1722" t="n">
        <v>0.0346</v>
      </c>
      <c r="R1722" t="inlineStr">
        <is>
          <t>T1190:Exploit Public-Facing Application | T1210:Exploitation of Remote Services</t>
        </is>
      </c>
      <c r="S1722" t="n">
        <v>2</v>
      </c>
      <c r="T1722" t="inlineStr">
        <is>
          <t>CONFIRMED (82%)</t>
        </is>
      </c>
      <c r="U1722" t="inlineStr">
        <is>
          <t>YES</t>
        </is>
      </c>
      <c r="V1722" t="inlineStr">
        <is>
          <t>CHECK_VENDOR</t>
        </is>
      </c>
      <c r="W1722" t="inlineStr">
        <is>
          <t>https://security.snyk.io/vuln/CVE-2026-1333</t>
        </is>
      </c>
      <c r="X1722" t="inlineStr">
        <is>
          <t>http://www.zerodayinitiative.com/advisories/ZDI-26-112/</t>
        </is>
      </c>
      <c r="Y1722" t="n">
        <v>0</v>
      </c>
      <c r="Z1722" t="inlineStr"/>
      <c r="AA1722" t="inlineStr">
        <is>
          <t>http://www.zerodayinitiative.com/advisories/ZDI-26-112/</t>
        </is>
      </c>
    </row>
    <row r="1723">
      <c r="A1723" t="inlineStr">
        <is>
          <t>ZDI_ADVISORY</t>
        </is>
      </c>
      <c r="B1723" t="inlineStr">
        <is>
          <t>ZDI-26-111</t>
        </is>
      </c>
      <c r="C1723" t="inlineStr">
        <is>
          <t>ZDI Published 0-Day: ZDI-26-111: MLflow Use of Default Password Authentication Bypass Vulnerability | CVEs: CVE-2026-2635 | Product: See ZDI advisory</t>
        </is>
      </c>
      <c r="D1723" t="n">
        <v>7.5</v>
      </c>
      <c r="E1723" t="inlineStr">
        <is>
          <t>HIGH</t>
        </is>
      </c>
      <c r="F1723" t="n">
        <v>3</v>
      </c>
      <c r="G1723" t="n">
        <v>3</v>
      </c>
      <c r="H1723" t="inlineStr">
        <is>
          <t>CRITICAL</t>
        </is>
      </c>
      <c r="I1723" t="n">
        <v>16.5</v>
      </c>
      <c r="J1723" t="inlineStr">
        <is>
          <t>NO</t>
        </is>
      </c>
      <c r="K1723" t="inlineStr">
        <is>
          <t>2026-02-19 06:00</t>
        </is>
      </c>
      <c r="L1723" t="inlineStr">
        <is>
          <t>CHECK_VENDOR - ZDI published, vendor patch may be pending</t>
        </is>
      </c>
      <c r="M1723" t="inlineStr">
        <is>
          <t>See ZDI advisory</t>
        </is>
      </c>
      <c r="N1723" t="inlineStr">
        <is>
          <t>P1</t>
        </is>
      </c>
      <c r="O1723" t="inlineStr">
        <is>
          <t>ZDI 0-day advisory - no IP context</t>
        </is>
      </c>
      <c r="P1723" t="n">
        <v>0.0139</v>
      </c>
      <c r="Q1723" t="n">
        <v>0.8011</v>
      </c>
      <c r="R1723" t="inlineStr">
        <is>
          <t>T1078:Valid Accounts</t>
        </is>
      </c>
      <c r="S1723" t="n">
        <v>2</v>
      </c>
      <c r="T1723" t="inlineStr">
        <is>
          <t>CONFIRMED (82%)</t>
        </is>
      </c>
      <c r="U1723" t="inlineStr">
        <is>
          <t>YES</t>
        </is>
      </c>
      <c r="V1723" t="inlineStr">
        <is>
          <t>CHECK_VENDOR</t>
        </is>
      </c>
      <c r="W1723" t="inlineStr">
        <is>
          <t>https://security.snyk.io/vuln/CVE-2026-2635</t>
        </is>
      </c>
      <c r="X1723" t="inlineStr">
        <is>
          <t>http://www.zerodayinitiative.com/advisories/ZDI-26-111/</t>
        </is>
      </c>
      <c r="Y1723" t="n">
        <v>0</v>
      </c>
      <c r="Z1723" t="inlineStr"/>
      <c r="AA1723" t="inlineStr">
        <is>
          <t>http://www.zerodayinitiative.com/advisories/ZDI-26-111/</t>
        </is>
      </c>
    </row>
    <row r="1724">
      <c r="A1724" t="inlineStr">
        <is>
          <t>ZDI_ADVISORY</t>
        </is>
      </c>
      <c r="B1724" t="inlineStr">
        <is>
          <t>ZDI-26-110</t>
        </is>
      </c>
      <c r="C1724" t="inlineStr">
        <is>
          <t>ZDI Published 0-Day: ZDI-26-110: Bosch Rexroth IndraWorks Print Settings File Parsing Deserialization Of Untrusted Data Remote Code Execution Vulnerability | CVEs: CVE-2025-60038, CVE-2025-60037 | Product: See ZDI advisory</t>
        </is>
      </c>
      <c r="D1724" t="n">
        <v>7.5</v>
      </c>
      <c r="E1724" t="inlineStr">
        <is>
          <t>HIGH</t>
        </is>
      </c>
      <c r="F1724" t="n">
        <v>3</v>
      </c>
      <c r="G1724" t="n">
        <v>3</v>
      </c>
      <c r="H1724" t="inlineStr">
        <is>
          <t>CRITICAL</t>
        </is>
      </c>
      <c r="I1724" t="n">
        <v>16.5</v>
      </c>
      <c r="J1724" t="inlineStr">
        <is>
          <t>NO</t>
        </is>
      </c>
      <c r="K1724" t="inlineStr">
        <is>
          <t>2026-02-19 06:00</t>
        </is>
      </c>
      <c r="L1724" t="inlineStr">
        <is>
          <t>CHECK_VENDOR - ZDI published, vendor patch may be pending</t>
        </is>
      </c>
      <c r="M1724" t="inlineStr">
        <is>
          <t>See ZDI advisory</t>
        </is>
      </c>
      <c r="N1724" t="inlineStr">
        <is>
          <t>P1</t>
        </is>
      </c>
      <c r="O1724" t="inlineStr">
        <is>
          <t>ZDI 0-day advisory - no IP context</t>
        </is>
      </c>
      <c r="P1724" t="n">
        <v>0.0014</v>
      </c>
      <c r="Q1724" t="n">
        <v>0.3467</v>
      </c>
      <c r="R1724" t="inlineStr">
        <is>
          <t>T1190:Exploit Public-Facing Application | T1210:Exploitation of Remote Services | T1059:Command and Scripting Interpreter</t>
        </is>
      </c>
      <c r="S1724" t="n">
        <v>2</v>
      </c>
      <c r="T1724" t="inlineStr">
        <is>
          <t>CONFIRMED (82%)</t>
        </is>
      </c>
      <c r="U1724" t="inlineStr">
        <is>
          <t>YES</t>
        </is>
      </c>
      <c r="V1724" t="inlineStr">
        <is>
          <t>CHECK_VENDOR</t>
        </is>
      </c>
      <c r="W1724" t="inlineStr">
        <is>
          <t>https://security.snyk.io/vuln/CVE-2025-60038</t>
        </is>
      </c>
      <c r="X1724" t="inlineStr">
        <is>
          <t>http://www.zerodayinitiative.com/advisories/ZDI-26-110/</t>
        </is>
      </c>
      <c r="Y1724" t="n">
        <v>0</v>
      </c>
      <c r="Z1724" t="inlineStr"/>
      <c r="AA1724" t="inlineStr">
        <is>
          <t>http://www.zerodayinitiative.com/advisories/ZDI-26-110/</t>
        </is>
      </c>
    </row>
    <row r="1725">
      <c r="A1725" t="inlineStr">
        <is>
          <t>ZDI_ADVISORY</t>
        </is>
      </c>
      <c r="B1725" t="inlineStr">
        <is>
          <t>ZDI-26-109</t>
        </is>
      </c>
      <c r="C1725" t="inlineStr">
        <is>
          <t>ZDI Published 0-Day: ZDI-26-109: Bosch Rexroth IndraWorks OPC.TestClient XML File Parsing Deserialization Of Untrusted Data Remote Code Execution Vulnerability | CVEs: CVE-2025-60035 | Product: See ZDI advisory</t>
        </is>
      </c>
      <c r="D1725" t="n">
        <v>7.5</v>
      </c>
      <c r="E1725" t="inlineStr">
        <is>
          <t>HIGH</t>
        </is>
      </c>
      <c r="F1725" t="n">
        <v>3</v>
      </c>
      <c r="G1725" t="n">
        <v>3</v>
      </c>
      <c r="H1725" t="inlineStr">
        <is>
          <t>CRITICAL</t>
        </is>
      </c>
      <c r="I1725" t="n">
        <v>16.5</v>
      </c>
      <c r="J1725" t="inlineStr">
        <is>
          <t>NO</t>
        </is>
      </c>
      <c r="K1725" t="inlineStr">
        <is>
          <t>2026-02-19 06:00</t>
        </is>
      </c>
      <c r="L1725" t="inlineStr">
        <is>
          <t>CHECK_VENDOR - ZDI published, vendor patch may be pending</t>
        </is>
      </c>
      <c r="M1725" t="inlineStr">
        <is>
          <t>See ZDI advisory</t>
        </is>
      </c>
      <c r="N1725" t="inlineStr">
        <is>
          <t>P1</t>
        </is>
      </c>
      <c r="O1725" t="inlineStr">
        <is>
          <t>ZDI 0-day advisory - no IP context</t>
        </is>
      </c>
      <c r="P1725" t="n">
        <v>0.0014</v>
      </c>
      <c r="Q1725" t="n">
        <v>0.3467</v>
      </c>
      <c r="R1725" t="inlineStr">
        <is>
          <t>T1190:Exploit Public-Facing Application | T1210:Exploitation of Remote Services | T1059:Command and Scripting Interpreter</t>
        </is>
      </c>
      <c r="S1725" t="n">
        <v>2</v>
      </c>
      <c r="T1725" t="inlineStr">
        <is>
          <t>CONFIRMED (82%)</t>
        </is>
      </c>
      <c r="U1725" t="inlineStr">
        <is>
          <t>YES</t>
        </is>
      </c>
      <c r="V1725" t="inlineStr">
        <is>
          <t>CHECK_VENDOR</t>
        </is>
      </c>
      <c r="W1725" t="inlineStr">
        <is>
          <t>https://security.snyk.io/vuln/CVE-2025-60035</t>
        </is>
      </c>
      <c r="X1725" t="inlineStr">
        <is>
          <t>http://www.zerodayinitiative.com/advisories/ZDI-26-109/</t>
        </is>
      </c>
      <c r="Y1725" t="n">
        <v>0</v>
      </c>
      <c r="Z1725" t="inlineStr"/>
      <c r="AA1725" t="inlineStr">
        <is>
          <t>http://www.zerodayinitiative.com/advisories/ZDI-26-109/</t>
        </is>
      </c>
    </row>
    <row r="1726">
      <c r="A1726" t="inlineStr">
        <is>
          <t>ZDI_ADVISORY</t>
        </is>
      </c>
      <c r="B1726" t="inlineStr">
        <is>
          <t>ZDI-26-108</t>
        </is>
      </c>
      <c r="C1726" t="inlineStr">
        <is>
          <t>ZDI Published 0-Day: ZDI-26-108: Bosch Rexroth IndraWorks UA.TestClient XML File Parsing Deserialization Of Untrusted Data Remote Code Execution Vulnerability | CVEs: CVE-2025-60036 | Product: See ZDI advisory</t>
        </is>
      </c>
      <c r="D1726" t="n">
        <v>7.5</v>
      </c>
      <c r="E1726" t="inlineStr">
        <is>
          <t>HIGH</t>
        </is>
      </c>
      <c r="F1726" t="n">
        <v>3</v>
      </c>
      <c r="G1726" t="n">
        <v>3</v>
      </c>
      <c r="H1726" t="inlineStr">
        <is>
          <t>CRITICAL</t>
        </is>
      </c>
      <c r="I1726" t="n">
        <v>16.5</v>
      </c>
      <c r="J1726" t="inlineStr">
        <is>
          <t>NO</t>
        </is>
      </c>
      <c r="K1726" t="inlineStr">
        <is>
          <t>2026-02-19 06:00</t>
        </is>
      </c>
      <c r="L1726" t="inlineStr">
        <is>
          <t>CHECK_VENDOR - ZDI published, vendor patch may be pending</t>
        </is>
      </c>
      <c r="M1726" t="inlineStr">
        <is>
          <t>See ZDI advisory</t>
        </is>
      </c>
      <c r="N1726" t="inlineStr">
        <is>
          <t>P1</t>
        </is>
      </c>
      <c r="O1726" t="inlineStr">
        <is>
          <t>ZDI 0-day advisory - no IP context</t>
        </is>
      </c>
      <c r="P1726" t="n">
        <v>0.0014</v>
      </c>
      <c r="Q1726" t="n">
        <v>0.3467</v>
      </c>
      <c r="R1726" t="inlineStr">
        <is>
          <t>T1190:Exploit Public-Facing Application | T1210:Exploitation of Remote Services | T1059:Command and Scripting Interpreter</t>
        </is>
      </c>
      <c r="S1726" t="n">
        <v>2</v>
      </c>
      <c r="T1726" t="inlineStr">
        <is>
          <t>CONFIRMED (82%)</t>
        </is>
      </c>
      <c r="U1726" t="inlineStr">
        <is>
          <t>YES</t>
        </is>
      </c>
      <c r="V1726" t="inlineStr">
        <is>
          <t>CHECK_VENDOR</t>
        </is>
      </c>
      <c r="W1726" t="inlineStr">
        <is>
          <t>https://security.snyk.io/vuln/CVE-2025-60036</t>
        </is>
      </c>
      <c r="X1726" t="inlineStr">
        <is>
          <t>http://www.zerodayinitiative.com/advisories/ZDI-26-108/</t>
        </is>
      </c>
      <c r="Y1726" t="n">
        <v>0</v>
      </c>
      <c r="Z1726" t="inlineStr"/>
      <c r="AA1726" t="inlineStr">
        <is>
          <t>http://www.zerodayinitiative.com/advisories/ZDI-26-108/</t>
        </is>
      </c>
    </row>
    <row r="1727">
      <c r="A1727" t="inlineStr">
        <is>
          <t>ZDI_ADVISORY</t>
        </is>
      </c>
      <c r="B1727" t="inlineStr">
        <is>
          <t>ZDI-26-107</t>
        </is>
      </c>
      <c r="C1727" t="inlineStr">
        <is>
          <t>ZDI Published 0-Day: ZDI-26-107: Autodesk AutoCAD MODEL File Out-Of-Bounds Write Remote Code Execution Vulnerability | CVEs: CVE-2026-0875 | Product: See ZDI advisory</t>
        </is>
      </c>
      <c r="D1727" t="n">
        <v>7.5</v>
      </c>
      <c r="E1727" t="inlineStr">
        <is>
          <t>HIGH</t>
        </is>
      </c>
      <c r="F1727" t="n">
        <v>3</v>
      </c>
      <c r="G1727" t="n">
        <v>3</v>
      </c>
      <c r="H1727" t="inlineStr">
        <is>
          <t>CRITICAL</t>
        </is>
      </c>
      <c r="I1727" t="n">
        <v>16.5</v>
      </c>
      <c r="J1727" t="inlineStr">
        <is>
          <t>NO</t>
        </is>
      </c>
      <c r="K1727" t="inlineStr">
        <is>
          <t>2026-02-18 06:00</t>
        </is>
      </c>
      <c r="L1727" t="inlineStr">
        <is>
          <t>CHECK_VENDOR - ZDI published, vendor patch may be pending</t>
        </is>
      </c>
      <c r="M1727" t="inlineStr">
        <is>
          <t>See ZDI advisory</t>
        </is>
      </c>
      <c r="N1727" t="inlineStr">
        <is>
          <t>P1</t>
        </is>
      </c>
      <c r="O1727" t="inlineStr">
        <is>
          <t>ZDI 0-day advisory - no IP context</t>
        </is>
      </c>
      <c r="P1727" t="n">
        <v>0.0003</v>
      </c>
      <c r="Q1727" t="n">
        <v>0.079</v>
      </c>
      <c r="R1727" t="inlineStr">
        <is>
          <t>T1190:Exploit Public-Facing Application | T1210:Exploitation of Remote Services | T1203:Exploitation for Client Execution</t>
        </is>
      </c>
      <c r="S1727" t="n">
        <v>2</v>
      </c>
      <c r="T1727" t="inlineStr">
        <is>
          <t>CONFIRMED (82%)</t>
        </is>
      </c>
      <c r="U1727" t="inlineStr">
        <is>
          <t>YES</t>
        </is>
      </c>
      <c r="V1727" t="inlineStr">
        <is>
          <t>CHECK_VENDOR</t>
        </is>
      </c>
      <c r="W1727" t="inlineStr">
        <is>
          <t>https://security.snyk.io/vuln/CVE-2026-0875</t>
        </is>
      </c>
      <c r="X1727" t="inlineStr">
        <is>
          <t>http://www.zerodayinitiative.com/advisories/ZDI-26-107/</t>
        </is>
      </c>
      <c r="Y1727" t="n">
        <v>0</v>
      </c>
      <c r="Z1727" t="inlineStr"/>
      <c r="AA1727" t="inlineStr">
        <is>
          <t>http://www.zerodayinitiative.com/advisories/ZDI-26-107/</t>
        </is>
      </c>
    </row>
    <row r="1728">
      <c r="A1728" t="inlineStr">
        <is>
          <t>ZDI_ADVISORY</t>
        </is>
      </c>
      <c r="B1728" t="inlineStr">
        <is>
          <t>ZDI-26-106</t>
        </is>
      </c>
      <c r="C1728" t="inlineStr">
        <is>
          <t>ZDI Published 0-Day: ZDI-26-106: Autodesk AutoCAD CATPART File Parsing Out-Of-Bounds Write Remote Code Execution Vulnerability | CVEs: CVE-2026-0874 | Product: See ZDI advisory</t>
        </is>
      </c>
      <c r="D1728" t="n">
        <v>7.5</v>
      </c>
      <c r="E1728" t="inlineStr">
        <is>
          <t>HIGH</t>
        </is>
      </c>
      <c r="F1728" t="n">
        <v>3</v>
      </c>
      <c r="G1728" t="n">
        <v>3</v>
      </c>
      <c r="H1728" t="inlineStr">
        <is>
          <t>CRITICAL</t>
        </is>
      </c>
      <c r="I1728" t="n">
        <v>16.5</v>
      </c>
      <c r="J1728" t="inlineStr">
        <is>
          <t>NO</t>
        </is>
      </c>
      <c r="K1728" t="inlineStr">
        <is>
          <t>2026-02-18 06:00</t>
        </is>
      </c>
      <c r="L1728" t="inlineStr">
        <is>
          <t>CHECK_VENDOR - ZDI published, vendor patch may be pending</t>
        </is>
      </c>
      <c r="M1728" t="inlineStr">
        <is>
          <t>See ZDI advisory</t>
        </is>
      </c>
      <c r="N1728" t="inlineStr">
        <is>
          <t>P1</t>
        </is>
      </c>
      <c r="O1728" t="inlineStr">
        <is>
          <t>ZDI 0-day advisory - no IP context</t>
        </is>
      </c>
      <c r="P1728" t="n">
        <v>0.0003</v>
      </c>
      <c r="Q1728" t="n">
        <v>0.079</v>
      </c>
      <c r="R1728" t="inlineStr">
        <is>
          <t>T1190:Exploit Public-Facing Application | T1210:Exploitation of Remote Services | T1203:Exploitation for Client Execution</t>
        </is>
      </c>
      <c r="S1728" t="n">
        <v>2</v>
      </c>
      <c r="T1728" t="inlineStr">
        <is>
          <t>CONFIRMED (82%)</t>
        </is>
      </c>
      <c r="U1728" t="inlineStr">
        <is>
          <t>YES</t>
        </is>
      </c>
      <c r="V1728" t="inlineStr">
        <is>
          <t>CHECK_VENDOR</t>
        </is>
      </c>
      <c r="W1728" t="inlineStr">
        <is>
          <t>https://security.snyk.io/vuln/CVE-2026-0874</t>
        </is>
      </c>
      <c r="X1728" t="inlineStr">
        <is>
          <t>http://www.zerodayinitiative.com/advisories/ZDI-26-106/</t>
        </is>
      </c>
      <c r="Y1728" t="n">
        <v>0</v>
      </c>
      <c r="Z1728" t="inlineStr"/>
      <c r="AA1728" t="inlineStr">
        <is>
          <t>http://www.zerodayinitiative.com/advisories/ZDI-26-106/</t>
        </is>
      </c>
    </row>
    <row r="1729">
      <c r="A1729" t="inlineStr">
        <is>
          <t>SANS_ISC</t>
        </is>
      </c>
      <c r="B1729" t="inlineStr">
        <is>
          <t>700803c21b98</t>
        </is>
      </c>
      <c r="C1729"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1729" t="n">
        <v>7</v>
      </c>
      <c r="E1729" t="inlineStr">
        <is>
          <t>HIGH</t>
        </is>
      </c>
      <c r="F1729" t="n">
        <v>3</v>
      </c>
      <c r="G1729" t="n">
        <v>2</v>
      </c>
      <c r="H1729" t="inlineStr">
        <is>
          <t>HIGH</t>
        </is>
      </c>
      <c r="I1729" t="n">
        <v>13</v>
      </c>
      <c r="J1729" t="inlineStr">
        <is>
          <t>NO</t>
        </is>
      </c>
      <c r="K1729" t="inlineStr">
        <is>
          <t>2026-02-27 12:22</t>
        </is>
      </c>
      <c r="L1729" t="inlineStr">
        <is>
          <t>CHECK_VENDOR</t>
        </is>
      </c>
      <c r="M1729" t="inlineStr">
        <is>
          <t>See SANS ISC diary</t>
        </is>
      </c>
      <c r="N1729" t="inlineStr">
        <is>
          <t>P3</t>
        </is>
      </c>
      <c r="O1729" t="inlineStr">
        <is>
          <t>SANS ISC analysis - no direct IP context</t>
        </is>
      </c>
      <c r="P1729" t="n">
        <v>0</v>
      </c>
      <c r="Q1729" t="n">
        <v>0</v>
      </c>
      <c r="R1729" t="inlineStr">
        <is>
          <t>T1190:Exploit Public-Facing Application</t>
        </is>
      </c>
      <c r="S1729" t="n">
        <v>1</v>
      </c>
      <c r="T1729" t="inlineStr">
        <is>
          <t>LOW (40%)</t>
        </is>
      </c>
      <c r="U1729" t="inlineStr">
        <is>
          <t>CHECK_SANS</t>
        </is>
      </c>
      <c r="V1729" t="inlineStr">
        <is>
          <t>CHECK_VENDOR</t>
        </is>
      </c>
      <c r="W1729" t="inlineStr">
        <is>
          <t>https://isc.sans.edu/diary/rss/32754</t>
        </is>
      </c>
      <c r="X1729" t="inlineStr">
        <is>
          <t>NONE</t>
        </is>
      </c>
      <c r="Y1729" t="n">
        <v>0</v>
      </c>
      <c r="Z1729" t="inlineStr">
        <is>
          <t>Fake Fedex Email Delivers Donuts&amp;#x21;, (Fri, Feb 27th)</t>
        </is>
      </c>
      <c r="AA1729" t="inlineStr">
        <is>
          <t>https://isc.sans.edu/diary/rss/32754</t>
        </is>
      </c>
    </row>
    <row r="1730">
      <c r="A1730" t="inlineStr">
        <is>
          <t>SANS_ISC</t>
        </is>
      </c>
      <c r="B1730" t="inlineStr">
        <is>
          <t>41bf1b569770</t>
        </is>
      </c>
      <c r="C1730" t="inlineStr">
        <is>
          <t>SANS ISC: The CLAIR Model: A Synthesized Conceptual Framework for Mapping Critical Infrastructure Interdependencies &amp;#x5b;Guest Diary&amp;#x5d;, (Wed, Feb 25th) | &amp;#xd;</t>
        </is>
      </c>
      <c r="D1730" t="n">
        <v>7</v>
      </c>
      <c r="E1730" t="inlineStr">
        <is>
          <t>HIGH</t>
        </is>
      </c>
      <c r="F1730" t="n">
        <v>3</v>
      </c>
      <c r="G1730" t="n">
        <v>2</v>
      </c>
      <c r="H1730" t="inlineStr">
        <is>
          <t>HIGH</t>
        </is>
      </c>
      <c r="I1730" t="n">
        <v>13</v>
      </c>
      <c r="J1730" t="inlineStr">
        <is>
          <t>NO</t>
        </is>
      </c>
      <c r="K1730" t="inlineStr">
        <is>
          <t>2026-02-26 12:21</t>
        </is>
      </c>
      <c r="L1730" t="inlineStr">
        <is>
          <t>CHECK_VENDOR</t>
        </is>
      </c>
      <c r="M1730" t="inlineStr">
        <is>
          <t>See SANS ISC diary</t>
        </is>
      </c>
      <c r="N1730" t="inlineStr">
        <is>
          <t>P3</t>
        </is>
      </c>
      <c r="O1730" t="inlineStr">
        <is>
          <t>SANS ISC analysis - no direct IP context</t>
        </is>
      </c>
      <c r="P1730" t="n">
        <v>0</v>
      </c>
      <c r="Q1730" t="n">
        <v>0</v>
      </c>
      <c r="R1730" t="inlineStr">
        <is>
          <t>T1190:Exploit Public-Facing Application</t>
        </is>
      </c>
      <c r="S1730" t="n">
        <v>1</v>
      </c>
      <c r="T1730" t="inlineStr">
        <is>
          <t>LOW (40%)</t>
        </is>
      </c>
      <c r="U1730" t="inlineStr">
        <is>
          <t>CHECK_SANS</t>
        </is>
      </c>
      <c r="V1730" t="inlineStr">
        <is>
          <t>CHECK_VENDOR</t>
        </is>
      </c>
      <c r="W1730" t="inlineStr">
        <is>
          <t>https://isc.sans.edu/diary/rss/32748</t>
        </is>
      </c>
      <c r="X1730" t="inlineStr">
        <is>
          <t>NONE</t>
        </is>
      </c>
      <c r="Y1730" t="n">
        <v>0</v>
      </c>
      <c r="Z1730" t="inlineStr">
        <is>
          <t>The CLAIR Model: A Synthesized Conceptual Framework for Mapping Critical Infrastructure Interdependencies &amp;#x5b;Guest Diary&amp;#x5d;, (Wed, Feb 25th)</t>
        </is>
      </c>
      <c r="AA1730" t="inlineStr">
        <is>
          <t>https://isc.sans.edu/diary/rss/32748</t>
        </is>
      </c>
    </row>
    <row r="1731">
      <c r="A1731" t="inlineStr">
        <is>
          <t>SANS_ISC</t>
        </is>
      </c>
      <c r="B1731" t="inlineStr">
        <is>
          <t>5b6584381208</t>
        </is>
      </c>
      <c r="C1731"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1731" t="n">
        <v>7</v>
      </c>
      <c r="E1731" t="inlineStr">
        <is>
          <t>HIGH</t>
        </is>
      </c>
      <c r="F1731" t="n">
        <v>3</v>
      </c>
      <c r="G1731" t="n">
        <v>2</v>
      </c>
      <c r="H1731" t="inlineStr">
        <is>
          <t>HIGH</t>
        </is>
      </c>
      <c r="I1731" t="n">
        <v>13</v>
      </c>
      <c r="J1731" t="inlineStr">
        <is>
          <t>NO</t>
        </is>
      </c>
      <c r="K1731" t="inlineStr">
        <is>
          <t>2026-02-24 18:04</t>
        </is>
      </c>
      <c r="L1731" t="inlineStr">
        <is>
          <t>CHECK_VENDOR</t>
        </is>
      </c>
      <c r="M1731" t="inlineStr">
        <is>
          <t>See SANS ISC diary</t>
        </is>
      </c>
      <c r="N1731" t="inlineStr">
        <is>
          <t>P3</t>
        </is>
      </c>
      <c r="O1731" t="inlineStr">
        <is>
          <t>SANS ISC analysis - no direct IP context</t>
        </is>
      </c>
      <c r="P1731" t="n">
        <v>0</v>
      </c>
      <c r="Q1731" t="n">
        <v>0</v>
      </c>
      <c r="R1731" t="inlineStr">
        <is>
          <t>T1190:Exploit Public-Facing Application</t>
        </is>
      </c>
      <c r="S1731" t="n">
        <v>1</v>
      </c>
      <c r="T1731" t="inlineStr">
        <is>
          <t>LOW (40%)</t>
        </is>
      </c>
      <c r="U1731" t="inlineStr">
        <is>
          <t>CHECK_SANS</t>
        </is>
      </c>
      <c r="V1731" t="inlineStr">
        <is>
          <t>CHECK_VENDOR</t>
        </is>
      </c>
      <c r="W1731" t="inlineStr">
        <is>
          <t>https://isc.sans.edu/diary/rss/32742</t>
        </is>
      </c>
      <c r="X1731" t="inlineStr">
        <is>
          <t>NONE</t>
        </is>
      </c>
      <c r="Y1731" t="n">
        <v>0</v>
      </c>
      <c r="Z1731" t="inlineStr">
        <is>
          <t>Open Redirects: A Forgotten Vulnerability&amp;#x3f;, (Tue, Feb 24th)</t>
        </is>
      </c>
      <c r="AA1731" t="inlineStr">
        <is>
          <t>https://isc.sans.edu/diary/rss/32742</t>
        </is>
      </c>
    </row>
    <row r="1732">
      <c r="A1732" t="inlineStr">
        <is>
          <t>SANS_ISC</t>
        </is>
      </c>
      <c r="B1732" t="inlineStr">
        <is>
          <t>cf1a85460441</t>
        </is>
      </c>
      <c r="C1732"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732" t="n">
        <v>7</v>
      </c>
      <c r="E1732" t="inlineStr">
        <is>
          <t>HIGH</t>
        </is>
      </c>
      <c r="F1732" t="n">
        <v>3</v>
      </c>
      <c r="G1732" t="n">
        <v>2</v>
      </c>
      <c r="H1732" t="inlineStr">
        <is>
          <t>HIGH</t>
        </is>
      </c>
      <c r="I1732" t="n">
        <v>13</v>
      </c>
      <c r="J1732" t="inlineStr">
        <is>
          <t>NO</t>
        </is>
      </c>
      <c r="K1732" t="inlineStr">
        <is>
          <t>2026-02-23 14:26</t>
        </is>
      </c>
      <c r="L1732" t="inlineStr">
        <is>
          <t>CHECK_VENDOR</t>
        </is>
      </c>
      <c r="M1732" t="inlineStr">
        <is>
          <t>See SANS ISC diary</t>
        </is>
      </c>
      <c r="N1732" t="inlineStr">
        <is>
          <t>P3</t>
        </is>
      </c>
      <c r="O1732" t="inlineStr">
        <is>
          <t>SANS ISC analysis - no direct IP context</t>
        </is>
      </c>
      <c r="P1732" t="n">
        <v>0</v>
      </c>
      <c r="Q1732" t="n">
        <v>0</v>
      </c>
      <c r="R1732" t="inlineStr">
        <is>
          <t>T1190:Exploit Public-Facing Application</t>
        </is>
      </c>
      <c r="S1732" t="n">
        <v>1</v>
      </c>
      <c r="T1732" t="inlineStr">
        <is>
          <t>LOW (40%)</t>
        </is>
      </c>
      <c r="U1732" t="inlineStr">
        <is>
          <t>CHECK_SANS</t>
        </is>
      </c>
      <c r="V1732" t="inlineStr">
        <is>
          <t>CHECK_VENDOR</t>
        </is>
      </c>
      <c r="W1732" t="inlineStr">
        <is>
          <t>https://isc.sans.edu/diary/rss/32738</t>
        </is>
      </c>
      <c r="X1732" t="inlineStr">
        <is>
          <t>NONE</t>
        </is>
      </c>
      <c r="Y1732" t="n">
        <v>0</v>
      </c>
      <c r="Z1732" t="inlineStr">
        <is>
          <t>Another day, another malicious JPEG, (Mon, Feb 23rd)</t>
        </is>
      </c>
      <c r="AA1732" t="inlineStr">
        <is>
          <t>https://isc.sans.edu/diary/rss/32738</t>
        </is>
      </c>
    </row>
    <row r="1733">
      <c r="A1733" t="inlineStr">
        <is>
          <t>NEWS_ALERT</t>
        </is>
      </c>
      <c r="B1733" t="inlineStr">
        <is>
          <t>8b9f836f77be</t>
        </is>
      </c>
      <c r="C1733" t="inlineStr">
        <is>
          <t>[BleepingComputer] Third-Party Patching and the Business Footprint We All Share | Keywords: exploit | Everyday tools like PDF readers, email clients, and archive utilities quietly define the real attack surface. Action1 explains how third-party softwar</t>
        </is>
      </c>
      <c r="D1733" t="n">
        <v>5</v>
      </c>
      <c r="E1733" t="inlineStr">
        <is>
          <t>MEDIUM</t>
        </is>
      </c>
      <c r="F1733" t="n">
        <v>2</v>
      </c>
      <c r="G1733" t="n">
        <v>1</v>
      </c>
      <c r="H1733" t="inlineStr">
        <is>
          <t>LOW</t>
        </is>
      </c>
      <c r="I1733" t="n">
        <v>7</v>
      </c>
      <c r="J1733" t="inlineStr">
        <is>
          <t>NO</t>
        </is>
      </c>
      <c r="K1733" t="inlineStr">
        <is>
          <t>2026-02-27 15:00</t>
        </is>
      </c>
      <c r="L1733" t="inlineStr">
        <is>
          <t>Monitor</t>
        </is>
      </c>
      <c r="M1733" t="inlineStr">
        <is>
          <t>Varies - see article</t>
        </is>
      </c>
      <c r="N1733" t="inlineStr">
        <is>
          <t>P4</t>
        </is>
      </c>
      <c r="O1733" t="inlineStr">
        <is>
          <t>News alert - no IP context</t>
        </is>
      </c>
      <c r="P1733" t="n">
        <v>0</v>
      </c>
      <c r="Q1733" t="n">
        <v>0</v>
      </c>
      <c r="R1733" t="inlineStr">
        <is>
          <t>See article for technique context</t>
        </is>
      </c>
      <c r="S1733" t="n">
        <v>1</v>
      </c>
      <c r="T1733" t="inlineStr">
        <is>
          <t>LOW (40%)</t>
        </is>
      </c>
      <c r="U1733" t="inlineStr">
        <is>
          <t>NONE</t>
        </is>
      </c>
      <c r="V1733" t="inlineStr">
        <is>
          <t>NONE</t>
        </is>
      </c>
      <c r="W1733" t="inlineStr">
        <is>
          <t>NONE</t>
        </is>
      </c>
      <c r="X1733" t="inlineStr">
        <is>
          <t>NONE</t>
        </is>
      </c>
      <c r="Y1733" t="n">
        <v>0</v>
      </c>
      <c r="Z1733" t="inlineStr">
        <is>
          <t>Third-Party Patching and the Business Footprint We All Share</t>
        </is>
      </c>
      <c r="AA1733" t="inlineStr">
        <is>
          <t>https://www.bleepingcomputer.com/news/security/third-party-patching-and-the-business-footprint-we-all-share/</t>
        </is>
      </c>
    </row>
    <row r="1734">
      <c r="A1734" t="inlineStr">
        <is>
          <t>NEWS_ALERT</t>
        </is>
      </c>
      <c r="B1734" t="inlineStr">
        <is>
          <t>a1e6bb058188</t>
        </is>
      </c>
      <c r="C1734" t="inlineStr">
        <is>
          <t xml:space="preserve">[BleepingComputer] Trend Micro warns of critical Apex One code execution flaws | Keywords: rce, remote code | Trend Micro has patched two critical Apex One vulnerabilities that allow attackers to gain remote code execution (RCE) on vulnerable Windows systems. </t>
        </is>
      </c>
      <c r="D1734" t="n">
        <v>5</v>
      </c>
      <c r="E1734" t="inlineStr">
        <is>
          <t>MEDIUM</t>
        </is>
      </c>
      <c r="F1734" t="n">
        <v>2</v>
      </c>
      <c r="G1734" t="n">
        <v>1</v>
      </c>
      <c r="H1734" t="inlineStr">
        <is>
          <t>LOW</t>
        </is>
      </c>
      <c r="I1734" t="n">
        <v>7</v>
      </c>
      <c r="J1734" t="inlineStr">
        <is>
          <t>NO</t>
        </is>
      </c>
      <c r="K1734" t="inlineStr">
        <is>
          <t>2026-02-26 17:58</t>
        </is>
      </c>
      <c r="L1734" t="inlineStr">
        <is>
          <t>Monitor</t>
        </is>
      </c>
      <c r="M1734" t="inlineStr">
        <is>
          <t>Varies - see article</t>
        </is>
      </c>
      <c r="N1734" t="inlineStr">
        <is>
          <t>P4</t>
        </is>
      </c>
      <c r="O1734" t="inlineStr">
        <is>
          <t>News alert - no IP context</t>
        </is>
      </c>
      <c r="P1734" t="n">
        <v>0</v>
      </c>
      <c r="Q1734" t="n">
        <v>0</v>
      </c>
      <c r="R1734" t="inlineStr">
        <is>
          <t>See article for technique context</t>
        </is>
      </c>
      <c r="S1734" t="n">
        <v>1</v>
      </c>
      <c r="T1734" t="inlineStr">
        <is>
          <t>LOW (40%)</t>
        </is>
      </c>
      <c r="U1734" t="inlineStr">
        <is>
          <t>NONE</t>
        </is>
      </c>
      <c r="V1734" t="inlineStr">
        <is>
          <t>NONE</t>
        </is>
      </c>
      <c r="W1734" t="inlineStr">
        <is>
          <t>NONE</t>
        </is>
      </c>
      <c r="X1734" t="inlineStr">
        <is>
          <t>NONE</t>
        </is>
      </c>
      <c r="Y1734" t="n">
        <v>0</v>
      </c>
      <c r="Z1734" t="inlineStr">
        <is>
          <t>Trend Micro warns of critical Apex One code execution flaws</t>
        </is>
      </c>
      <c r="AA1734" t="inlineStr">
        <is>
          <t>https://www.bleepingcomputer.com/news/security/trend-micro-warns-of-critical-apex-one-rce-vulnerabilities/</t>
        </is>
      </c>
    </row>
    <row r="1735">
      <c r="A1735" t="inlineStr">
        <is>
          <t>NEWS_ALERT</t>
        </is>
      </c>
      <c r="B1735" t="inlineStr">
        <is>
          <t>e35da055fe9a</t>
        </is>
      </c>
      <c r="C1735" t="inlineStr">
        <is>
          <t>[BleepingComputer] European DYI chain ManoMano data breach impacts 38 million customers | Keywords: breach | DIY store chain ManoMano is notifying customers of a data breach personal data, which was caused by hackers compromising a third-party service provide</t>
        </is>
      </c>
      <c r="D1735" t="n">
        <v>5</v>
      </c>
      <c r="E1735" t="inlineStr">
        <is>
          <t>MEDIUM</t>
        </is>
      </c>
      <c r="F1735" t="n">
        <v>2</v>
      </c>
      <c r="G1735" t="n">
        <v>1</v>
      </c>
      <c r="H1735" t="inlineStr">
        <is>
          <t>LOW</t>
        </is>
      </c>
      <c r="I1735" t="n">
        <v>7</v>
      </c>
      <c r="J1735" t="inlineStr">
        <is>
          <t>NO</t>
        </is>
      </c>
      <c r="K1735" t="inlineStr">
        <is>
          <t>2026-02-26 17:35</t>
        </is>
      </c>
      <c r="L1735" t="inlineStr">
        <is>
          <t>Monitor</t>
        </is>
      </c>
      <c r="M1735" t="inlineStr">
        <is>
          <t>Varies - see article</t>
        </is>
      </c>
      <c r="N1735" t="inlineStr">
        <is>
          <t>P4</t>
        </is>
      </c>
      <c r="O1735" t="inlineStr">
        <is>
          <t>News alert - no IP context</t>
        </is>
      </c>
      <c r="P1735" t="n">
        <v>0</v>
      </c>
      <c r="Q1735" t="n">
        <v>0</v>
      </c>
      <c r="R1735" t="inlineStr">
        <is>
          <t>See article for technique context</t>
        </is>
      </c>
      <c r="S1735" t="n">
        <v>1</v>
      </c>
      <c r="T1735" t="inlineStr">
        <is>
          <t>LOW (40%)</t>
        </is>
      </c>
      <c r="U1735" t="inlineStr">
        <is>
          <t>NONE</t>
        </is>
      </c>
      <c r="V1735" t="inlineStr">
        <is>
          <t>NONE</t>
        </is>
      </c>
      <c r="W1735" t="inlineStr">
        <is>
          <t>NONE</t>
        </is>
      </c>
      <c r="X1735" t="inlineStr">
        <is>
          <t>NONE</t>
        </is>
      </c>
      <c r="Y1735" t="n">
        <v>0</v>
      </c>
      <c r="Z1735" t="inlineStr">
        <is>
          <t>European DYI chain ManoMano data breach impacts 38 million customers</t>
        </is>
      </c>
      <c r="AA1735" t="inlineStr">
        <is>
          <t>https://www.bleepingcomputer.com/news/security/european-dyi-chain-manomano-data-breach-impacts-38-million-customers/</t>
        </is>
      </c>
    </row>
    <row r="1736">
      <c r="A1736" t="inlineStr">
        <is>
          <t>NEWS_ALERT</t>
        </is>
      </c>
      <c r="B1736" t="inlineStr">
        <is>
          <t>fdc3822d60a6</t>
        </is>
      </c>
      <c r="C1736"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1736" t="n">
        <v>5</v>
      </c>
      <c r="E1736" t="inlineStr">
        <is>
          <t>MEDIUM</t>
        </is>
      </c>
      <c r="F1736" t="n">
        <v>2</v>
      </c>
      <c r="G1736" t="n">
        <v>1</v>
      </c>
      <c r="H1736" t="inlineStr">
        <is>
          <t>LOW</t>
        </is>
      </c>
      <c r="I1736" t="n">
        <v>7</v>
      </c>
      <c r="J1736" t="inlineStr">
        <is>
          <t>NO</t>
        </is>
      </c>
      <c r="K1736" t="inlineStr">
        <is>
          <t>2026-02-26 16:42</t>
        </is>
      </c>
      <c r="L1736" t="inlineStr">
        <is>
          <t>Monitor</t>
        </is>
      </c>
      <c r="M1736" t="inlineStr">
        <is>
          <t>Varies - see article</t>
        </is>
      </c>
      <c r="N1736" t="inlineStr">
        <is>
          <t>P4</t>
        </is>
      </c>
      <c r="O1736" t="inlineStr">
        <is>
          <t>News alert - no IP context</t>
        </is>
      </c>
      <c r="P1736" t="n">
        <v>0</v>
      </c>
      <c r="Q1736" t="n">
        <v>0</v>
      </c>
      <c r="R1736" t="inlineStr">
        <is>
          <t>See article for technique context</t>
        </is>
      </c>
      <c r="S1736" t="n">
        <v>1</v>
      </c>
      <c r="T1736" t="inlineStr">
        <is>
          <t>LOW (40%)</t>
        </is>
      </c>
      <c r="U1736" t="inlineStr">
        <is>
          <t>NONE</t>
        </is>
      </c>
      <c r="V1736" t="inlineStr">
        <is>
          <t>NONE</t>
        </is>
      </c>
      <c r="W1736" t="inlineStr">
        <is>
          <t>NONE</t>
        </is>
      </c>
      <c r="X1736" t="inlineStr">
        <is>
          <t>NONE</t>
        </is>
      </c>
      <c r="Y1736" t="n">
        <v>0</v>
      </c>
      <c r="Z1736" t="inlineStr">
        <is>
          <t>Critical Juniper Networks PTX flaw allows full router takeover</t>
        </is>
      </c>
      <c r="AA1736" t="inlineStr">
        <is>
          <t>https://www.bleepingcomputer.com/news/security/critical-juniper-networks-ptx-flaw-allows-full-router-takeover/</t>
        </is>
      </c>
    </row>
    <row r="1737">
      <c r="A1737" t="inlineStr">
        <is>
          <t>NEWS_ALERT</t>
        </is>
      </c>
      <c r="B1737" t="inlineStr">
        <is>
          <t>57706e527f6d</t>
        </is>
      </c>
      <c r="C1737"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1737" t="n">
        <v>5</v>
      </c>
      <c r="E1737" t="inlineStr">
        <is>
          <t>MEDIUM</t>
        </is>
      </c>
      <c r="F1737" t="n">
        <v>2</v>
      </c>
      <c r="G1737" t="n">
        <v>1</v>
      </c>
      <c r="H1737" t="inlineStr">
        <is>
          <t>LOW</t>
        </is>
      </c>
      <c r="I1737" t="n">
        <v>7</v>
      </c>
      <c r="J1737" t="inlineStr">
        <is>
          <t>NO</t>
        </is>
      </c>
      <c r="K1737" t="inlineStr">
        <is>
          <t>2026-02-26 16:11</t>
        </is>
      </c>
      <c r="L1737" t="inlineStr">
        <is>
          <t>Monitor</t>
        </is>
      </c>
      <c r="M1737" t="inlineStr">
        <is>
          <t>Varies - see article</t>
        </is>
      </c>
      <c r="N1737" t="inlineStr">
        <is>
          <t>P4</t>
        </is>
      </c>
      <c r="O1737" t="inlineStr">
        <is>
          <t>News alert - no IP context</t>
        </is>
      </c>
      <c r="P1737" t="n">
        <v>0</v>
      </c>
      <c r="Q1737" t="n">
        <v>0</v>
      </c>
      <c r="R1737" t="inlineStr">
        <is>
          <t>See article for technique context</t>
        </is>
      </c>
      <c r="S1737" t="n">
        <v>1</v>
      </c>
      <c r="T1737" t="inlineStr">
        <is>
          <t>LOW (40%)</t>
        </is>
      </c>
      <c r="U1737" t="inlineStr">
        <is>
          <t>NONE</t>
        </is>
      </c>
      <c r="V1737" t="inlineStr">
        <is>
          <t>NONE</t>
        </is>
      </c>
      <c r="W1737" t="inlineStr">
        <is>
          <t>NONE</t>
        </is>
      </c>
      <c r="X1737" t="inlineStr">
        <is>
          <t>NONE</t>
        </is>
      </c>
      <c r="Y1737" t="n">
        <v>0</v>
      </c>
      <c r="Z1737" t="inlineStr">
        <is>
          <t>Olympique Marseille confirms 'attempted' cyberattack after data leak</t>
        </is>
      </c>
      <c r="AA1737" t="inlineStr">
        <is>
          <t>https://www.bleepingcomputer.com/news/security/olympique-marseille-football-club-confirms-cyberattack-after-data-leak/</t>
        </is>
      </c>
    </row>
    <row r="1738">
      <c r="A1738" t="inlineStr">
        <is>
          <t>NEWS_ALERT</t>
        </is>
      </c>
      <c r="B1738" t="inlineStr">
        <is>
          <t>3fcf2da961e2</t>
        </is>
      </c>
      <c r="C1738"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1738" t="n">
        <v>5</v>
      </c>
      <c r="E1738" t="inlineStr">
        <is>
          <t>MEDIUM</t>
        </is>
      </c>
      <c r="F1738" t="n">
        <v>2</v>
      </c>
      <c r="G1738" t="n">
        <v>1</v>
      </c>
      <c r="H1738" t="inlineStr">
        <is>
          <t>LOW</t>
        </is>
      </c>
      <c r="I1738" t="n">
        <v>7</v>
      </c>
      <c r="J1738" t="inlineStr">
        <is>
          <t>NO</t>
        </is>
      </c>
      <c r="K1738" t="inlineStr">
        <is>
          <t>2026-02-26 14:00</t>
        </is>
      </c>
      <c r="L1738" t="inlineStr">
        <is>
          <t>Monitor</t>
        </is>
      </c>
      <c r="M1738" t="inlineStr">
        <is>
          <t>Varies - see article</t>
        </is>
      </c>
      <c r="N1738" t="inlineStr">
        <is>
          <t>P4</t>
        </is>
      </c>
      <c r="O1738" t="inlineStr">
        <is>
          <t>News alert - no IP context</t>
        </is>
      </c>
      <c r="P1738" t="n">
        <v>0</v>
      </c>
      <c r="Q1738" t="n">
        <v>0</v>
      </c>
      <c r="R1738" t="inlineStr">
        <is>
          <t>See article for technique context</t>
        </is>
      </c>
      <c r="S1738" t="n">
        <v>1</v>
      </c>
      <c r="T1738" t="inlineStr">
        <is>
          <t>LOW (40%)</t>
        </is>
      </c>
      <c r="U1738" t="inlineStr">
        <is>
          <t>NONE</t>
        </is>
      </c>
      <c r="V1738" t="inlineStr">
        <is>
          <t>NONE</t>
        </is>
      </c>
      <c r="W1738" t="inlineStr">
        <is>
          <t>NONE</t>
        </is>
      </c>
      <c r="X1738" t="inlineStr">
        <is>
          <t>NONE</t>
        </is>
      </c>
      <c r="Y1738" t="n">
        <v>0</v>
      </c>
      <c r="Z1738" t="inlineStr">
        <is>
          <t>Ransomware payment rate drops to record low as attacks surge</t>
        </is>
      </c>
      <c r="AA1738" t="inlineStr">
        <is>
          <t>https://www.bleepingcomputer.com/news/security/ransomware-payment-rate-drops-to-record-low-as-attacks-surge/</t>
        </is>
      </c>
    </row>
    <row r="1739">
      <c r="A1739" t="inlineStr">
        <is>
          <t>NEWS_ALERT</t>
        </is>
      </c>
      <c r="B1739" t="inlineStr">
        <is>
          <t>017d0706d2fb</t>
        </is>
      </c>
      <c r="C1739" t="inlineStr">
        <is>
          <t>[BleepingComputer] Fake Next.js job interview tests backdoor developer's devices | Keywords: backdoor | The Microsoft Defender team has discovered a coordinated campaign targeting software developers through malicious repositories posing as legitimate Ne</t>
        </is>
      </c>
      <c r="D1739" t="n">
        <v>5</v>
      </c>
      <c r="E1739" t="inlineStr">
        <is>
          <t>MEDIUM</t>
        </is>
      </c>
      <c r="F1739" t="n">
        <v>2</v>
      </c>
      <c r="G1739" t="n">
        <v>1</v>
      </c>
      <c r="H1739" t="inlineStr">
        <is>
          <t>LOW</t>
        </is>
      </c>
      <c r="I1739" t="n">
        <v>7</v>
      </c>
      <c r="J1739" t="inlineStr">
        <is>
          <t>NO</t>
        </is>
      </c>
      <c r="K1739" t="inlineStr">
        <is>
          <t>2026-02-25 21:47</t>
        </is>
      </c>
      <c r="L1739" t="inlineStr">
        <is>
          <t>Monitor</t>
        </is>
      </c>
      <c r="M1739" t="inlineStr">
        <is>
          <t>Varies - see article</t>
        </is>
      </c>
      <c r="N1739" t="inlineStr">
        <is>
          <t>P4</t>
        </is>
      </c>
      <c r="O1739" t="inlineStr">
        <is>
          <t>News alert - no IP context</t>
        </is>
      </c>
      <c r="P1739" t="n">
        <v>0</v>
      </c>
      <c r="Q1739" t="n">
        <v>0</v>
      </c>
      <c r="R1739" t="inlineStr">
        <is>
          <t>See article for technique context</t>
        </is>
      </c>
      <c r="S1739" t="n">
        <v>1</v>
      </c>
      <c r="T1739" t="inlineStr">
        <is>
          <t>LOW (40%)</t>
        </is>
      </c>
      <c r="U1739" t="inlineStr">
        <is>
          <t>NONE</t>
        </is>
      </c>
      <c r="V1739" t="inlineStr">
        <is>
          <t>NONE</t>
        </is>
      </c>
      <c r="W1739" t="inlineStr">
        <is>
          <t>NONE</t>
        </is>
      </c>
      <c r="X1739" t="inlineStr">
        <is>
          <t>NONE</t>
        </is>
      </c>
      <c r="Y1739" t="n">
        <v>0</v>
      </c>
      <c r="Z1739" t="inlineStr">
        <is>
          <t>Fake Next.js job interview tests backdoor developer's devices</t>
        </is>
      </c>
      <c r="AA1739" t="inlineStr">
        <is>
          <t>https://www.bleepingcomputer.com/news/security/fake-nextjs-job-interview-tests-backdoor-developers-devices/</t>
        </is>
      </c>
    </row>
    <row r="1740">
      <c r="A1740" t="inlineStr">
        <is>
          <t>NEWS_ALERT</t>
        </is>
      </c>
      <c r="B1740" t="inlineStr">
        <is>
          <t>7a8bfa59208b</t>
        </is>
      </c>
      <c r="C1740" t="inlineStr">
        <is>
          <t>[SecurityAffairs] ManoMano data breach impacted 38 Million customer accounts | Keywords: breach | European DIY platform ManoMano suffered a data breach via a third-party provider, exposing personal data of 38 million customers. European DIY e-comme</t>
        </is>
      </c>
      <c r="D1740" t="n">
        <v>5</v>
      </c>
      <c r="E1740" t="inlineStr">
        <is>
          <t>MEDIUM</t>
        </is>
      </c>
      <c r="F1740" t="n">
        <v>2</v>
      </c>
      <c r="G1740" t="n">
        <v>1</v>
      </c>
      <c r="H1740" t="inlineStr">
        <is>
          <t>LOW</t>
        </is>
      </c>
      <c r="I1740" t="n">
        <v>7</v>
      </c>
      <c r="J1740" t="inlineStr">
        <is>
          <t>NO</t>
        </is>
      </c>
      <c r="K1740" t="inlineStr">
        <is>
          <t>2026-02-27 07:41</t>
        </is>
      </c>
      <c r="L1740" t="inlineStr">
        <is>
          <t>Monitor</t>
        </is>
      </c>
      <c r="M1740" t="inlineStr">
        <is>
          <t>Varies - see article</t>
        </is>
      </c>
      <c r="N1740" t="inlineStr">
        <is>
          <t>P4</t>
        </is>
      </c>
      <c r="O1740" t="inlineStr">
        <is>
          <t>News alert - no IP context</t>
        </is>
      </c>
      <c r="P1740" t="n">
        <v>0</v>
      </c>
      <c r="Q1740" t="n">
        <v>0</v>
      </c>
      <c r="R1740" t="inlineStr">
        <is>
          <t>See article for technique context</t>
        </is>
      </c>
      <c r="S1740" t="n">
        <v>1</v>
      </c>
      <c r="T1740" t="inlineStr">
        <is>
          <t>LOW (40%)</t>
        </is>
      </c>
      <c r="U1740" t="inlineStr">
        <is>
          <t>NONE</t>
        </is>
      </c>
      <c r="V1740" t="inlineStr">
        <is>
          <t>NONE</t>
        </is>
      </c>
      <c r="W1740" t="inlineStr">
        <is>
          <t>NONE</t>
        </is>
      </c>
      <c r="X1740" t="inlineStr">
        <is>
          <t>NONE</t>
        </is>
      </c>
      <c r="Y1740" t="n">
        <v>0</v>
      </c>
      <c r="Z1740" t="inlineStr">
        <is>
          <t>ManoMano data breach impacted 38 Million customer accounts</t>
        </is>
      </c>
      <c r="AA1740" t="inlineStr">
        <is>
          <t>https://securityaffairs.com/188582/data-breach/manomano-data-breach-impacted-38-million-customer-accounts.html</t>
        </is>
      </c>
    </row>
    <row r="1741">
      <c r="A1741" t="inlineStr">
        <is>
          <t>NEWS_ALERT</t>
        </is>
      </c>
      <c r="B1741" t="inlineStr">
        <is>
          <t>c6814d153dcb</t>
        </is>
      </c>
      <c r="C1741" t="inlineStr">
        <is>
          <t>[SecurityAffairs] Trend Micro fixes two critical flaws in Apex One | Keywords: critical vulnerabilities, remote code | Trend Micro fixed two critical Apex One flaws enabling remote code execution on vulnerable Windows systems and urged immediate updates. Trend Micro ha</t>
        </is>
      </c>
      <c r="D1741" t="n">
        <v>5</v>
      </c>
      <c r="E1741" t="inlineStr">
        <is>
          <t>MEDIUM</t>
        </is>
      </c>
      <c r="F1741" t="n">
        <v>2</v>
      </c>
      <c r="G1741" t="n">
        <v>1</v>
      </c>
      <c r="H1741" t="inlineStr">
        <is>
          <t>LOW</t>
        </is>
      </c>
      <c r="I1741" t="n">
        <v>7</v>
      </c>
      <c r="J1741" t="inlineStr">
        <is>
          <t>NO</t>
        </is>
      </c>
      <c r="K1741" t="inlineStr">
        <is>
          <t>2026-02-26 21:35</t>
        </is>
      </c>
      <c r="L1741" t="inlineStr">
        <is>
          <t>Monitor</t>
        </is>
      </c>
      <c r="M1741" t="inlineStr">
        <is>
          <t>Varies - see article</t>
        </is>
      </c>
      <c r="N1741" t="inlineStr">
        <is>
          <t>P4</t>
        </is>
      </c>
      <c r="O1741" t="inlineStr">
        <is>
          <t>News alert - no IP context</t>
        </is>
      </c>
      <c r="P1741" t="n">
        <v>0</v>
      </c>
      <c r="Q1741" t="n">
        <v>0</v>
      </c>
      <c r="R1741" t="inlineStr">
        <is>
          <t>See article for technique context</t>
        </is>
      </c>
      <c r="S1741" t="n">
        <v>1</v>
      </c>
      <c r="T1741" t="inlineStr">
        <is>
          <t>LOW (40%)</t>
        </is>
      </c>
      <c r="U1741" t="inlineStr">
        <is>
          <t>NONE</t>
        </is>
      </c>
      <c r="V1741" t="inlineStr">
        <is>
          <t>NONE</t>
        </is>
      </c>
      <c r="W1741" t="inlineStr">
        <is>
          <t>NONE</t>
        </is>
      </c>
      <c r="X1741" t="inlineStr">
        <is>
          <t>NONE</t>
        </is>
      </c>
      <c r="Y1741" t="n">
        <v>0</v>
      </c>
      <c r="Z1741" t="inlineStr">
        <is>
          <t>Trend Micro fixes two critical flaws in Apex One</t>
        </is>
      </c>
      <c r="AA1741" t="inlineStr">
        <is>
          <t>https://securityaffairs.com/188572/security/trend-micro-fixes-two-critical-flaws-in-apex-one.html</t>
        </is>
      </c>
    </row>
    <row r="1742">
      <c r="A1742" t="inlineStr">
        <is>
          <t>NEWS_ALERT</t>
        </is>
      </c>
      <c r="B1742" t="inlineStr">
        <is>
          <t>d92de54f2dd7</t>
        </is>
      </c>
      <c r="C1742" t="inlineStr">
        <is>
          <t>[SecurityAffairs] UAT-10027 campaign hits U.S. education and healthcare with stealthy Dohdoor backdoor | Keywords: phishing, backdoor | UAT-10027 campaign is targeting U.S. education and healthcare sectors to deploy a new Dohdoor backdoor. Cisco Talos has identified a new threat cluste</t>
        </is>
      </c>
      <c r="D1742" t="n">
        <v>5</v>
      </c>
      <c r="E1742" t="inlineStr">
        <is>
          <t>MEDIUM</t>
        </is>
      </c>
      <c r="F1742" t="n">
        <v>2</v>
      </c>
      <c r="G1742" t="n">
        <v>1</v>
      </c>
      <c r="H1742" t="inlineStr">
        <is>
          <t>LOW</t>
        </is>
      </c>
      <c r="I1742" t="n">
        <v>7</v>
      </c>
      <c r="J1742" t="inlineStr">
        <is>
          <t>NO</t>
        </is>
      </c>
      <c r="K1742" t="inlineStr">
        <is>
          <t>2026-02-26 19:10</t>
        </is>
      </c>
      <c r="L1742" t="inlineStr">
        <is>
          <t>Monitor</t>
        </is>
      </c>
      <c r="M1742" t="inlineStr">
        <is>
          <t>Varies - see article</t>
        </is>
      </c>
      <c r="N1742" t="inlineStr">
        <is>
          <t>P4</t>
        </is>
      </c>
      <c r="O1742" t="inlineStr">
        <is>
          <t>News alert - no IP context</t>
        </is>
      </c>
      <c r="P1742" t="n">
        <v>0</v>
      </c>
      <c r="Q1742" t="n">
        <v>0</v>
      </c>
      <c r="R1742" t="inlineStr">
        <is>
          <t>See article for technique context</t>
        </is>
      </c>
      <c r="S1742" t="n">
        <v>1</v>
      </c>
      <c r="T1742" t="inlineStr">
        <is>
          <t>LOW (40%)</t>
        </is>
      </c>
      <c r="U1742" t="inlineStr">
        <is>
          <t>NONE</t>
        </is>
      </c>
      <c r="V1742" t="inlineStr">
        <is>
          <t>NONE</t>
        </is>
      </c>
      <c r="W1742" t="inlineStr">
        <is>
          <t>NONE</t>
        </is>
      </c>
      <c r="X1742" t="inlineStr">
        <is>
          <t>NONE</t>
        </is>
      </c>
      <c r="Y1742" t="n">
        <v>0</v>
      </c>
      <c r="Z1742" t="inlineStr">
        <is>
          <t>UAT-10027 campaign hits U.S. education and healthcare with stealthy Dohdoor backdoor</t>
        </is>
      </c>
      <c r="AA1742" t="inlineStr">
        <is>
          <t>https://securityaffairs.com/188558/apt/uat-10027-campaign-hits-u-s-education-and-healthcare-with-stealthy-dohdoor-backdoor.html</t>
        </is>
      </c>
    </row>
    <row r="1743">
      <c r="A1743" t="inlineStr">
        <is>
          <t>NEWS_ALERT</t>
        </is>
      </c>
      <c r="B1743" t="inlineStr">
        <is>
          <t>7e921c433b9a</t>
        </is>
      </c>
      <c r="C1743" t="inlineStr">
        <is>
          <t>[SecurityAffairs] U.S. CISA adds Cisco SD-WAN flaws to its Known Exploited Vulnerabilities catalog | Keywords: exploited | U.S. Cybersecurity and Infrastructure Security Agency (CISA) adds Cisco SD-WAN flaws to its Known Exploited Vulnerabilities catalog. The U.S. Cybersec</t>
        </is>
      </c>
      <c r="D1743" t="n">
        <v>5</v>
      </c>
      <c r="E1743" t="inlineStr">
        <is>
          <t>MEDIUM</t>
        </is>
      </c>
      <c r="F1743" t="n">
        <v>2</v>
      </c>
      <c r="G1743" t="n">
        <v>1</v>
      </c>
      <c r="H1743" t="inlineStr">
        <is>
          <t>LOW</t>
        </is>
      </c>
      <c r="I1743" t="n">
        <v>7</v>
      </c>
      <c r="J1743" t="inlineStr">
        <is>
          <t>NO</t>
        </is>
      </c>
      <c r="K1743" t="inlineStr">
        <is>
          <t>2026-02-26 15:04</t>
        </is>
      </c>
      <c r="L1743" t="inlineStr">
        <is>
          <t>Monitor</t>
        </is>
      </c>
      <c r="M1743" t="inlineStr">
        <is>
          <t>Varies - see article</t>
        </is>
      </c>
      <c r="N1743" t="inlineStr">
        <is>
          <t>P4</t>
        </is>
      </c>
      <c r="O1743" t="inlineStr">
        <is>
          <t>News alert - no IP context</t>
        </is>
      </c>
      <c r="P1743" t="n">
        <v>0</v>
      </c>
      <c r="Q1743" t="n">
        <v>0</v>
      </c>
      <c r="R1743" t="inlineStr">
        <is>
          <t>See article for technique context</t>
        </is>
      </c>
      <c r="S1743" t="n">
        <v>1</v>
      </c>
      <c r="T1743" t="inlineStr">
        <is>
          <t>LOW (40%)</t>
        </is>
      </c>
      <c r="U1743" t="inlineStr">
        <is>
          <t>NONE</t>
        </is>
      </c>
      <c r="V1743" t="inlineStr">
        <is>
          <t>NONE</t>
        </is>
      </c>
      <c r="W1743" t="inlineStr">
        <is>
          <t>NONE</t>
        </is>
      </c>
      <c r="X1743" t="inlineStr">
        <is>
          <t>NONE</t>
        </is>
      </c>
      <c r="Y1743" t="n">
        <v>0</v>
      </c>
      <c r="Z1743" t="inlineStr">
        <is>
          <t>U.S. CISA adds Cisco SD-WAN flaws to its Known Exploited Vulnerabilities catalog</t>
        </is>
      </c>
      <c r="AA1743" t="inlineStr">
        <is>
          <t>https://securityaffairs.com/188548/hacking/u-s-cisa-adds-cisco-sd-wan-flaws-to-its-known-exploited-vulnerabilities-catalog.html</t>
        </is>
      </c>
    </row>
    <row r="1744">
      <c r="A1744" t="inlineStr">
        <is>
          <t>NEWS_ALERT</t>
        </is>
      </c>
      <c r="B1744" t="inlineStr">
        <is>
          <t>7687257a1794</t>
        </is>
      </c>
      <c r="C1744" t="inlineStr">
        <is>
          <t>[SecurityAffairs] Google GTIG disrupted China-linked APT UNC2814 halting attacks on 53 orgs in 42 countries | Keywords: apt | Google and partners disrupted UNC2814, a suspected China-linked group that hacked 53 organizations across 42 countries. Google, with industry partners</t>
        </is>
      </c>
      <c r="D1744" t="n">
        <v>5</v>
      </c>
      <c r="E1744" t="inlineStr">
        <is>
          <t>MEDIUM</t>
        </is>
      </c>
      <c r="F1744" t="n">
        <v>2</v>
      </c>
      <c r="G1744" t="n">
        <v>1</v>
      </c>
      <c r="H1744" t="inlineStr">
        <is>
          <t>LOW</t>
        </is>
      </c>
      <c r="I1744" t="n">
        <v>7</v>
      </c>
      <c r="J1744" t="inlineStr">
        <is>
          <t>NO</t>
        </is>
      </c>
      <c r="K1744" t="inlineStr">
        <is>
          <t>2026-02-26 08:29</t>
        </is>
      </c>
      <c r="L1744" t="inlineStr">
        <is>
          <t>Monitor</t>
        </is>
      </c>
      <c r="M1744" t="inlineStr">
        <is>
          <t>Varies - see article</t>
        </is>
      </c>
      <c r="N1744" t="inlineStr">
        <is>
          <t>P4</t>
        </is>
      </c>
      <c r="O1744" t="inlineStr">
        <is>
          <t>News alert - no IP context</t>
        </is>
      </c>
      <c r="P1744" t="n">
        <v>0</v>
      </c>
      <c r="Q1744" t="n">
        <v>0</v>
      </c>
      <c r="R1744" t="inlineStr">
        <is>
          <t>See article for technique context</t>
        </is>
      </c>
      <c r="S1744" t="n">
        <v>1</v>
      </c>
      <c r="T1744" t="inlineStr">
        <is>
          <t>LOW (40%)</t>
        </is>
      </c>
      <c r="U1744" t="inlineStr">
        <is>
          <t>NONE</t>
        </is>
      </c>
      <c r="V1744" t="inlineStr">
        <is>
          <t>NONE</t>
        </is>
      </c>
      <c r="W1744" t="inlineStr">
        <is>
          <t>NONE</t>
        </is>
      </c>
      <c r="X1744" t="inlineStr">
        <is>
          <t>NONE</t>
        </is>
      </c>
      <c r="Y1744" t="n">
        <v>0</v>
      </c>
      <c r="Z1744" t="inlineStr">
        <is>
          <t>Google GTIG disrupted China-linked APT UNC2814 halting attacks on 53 orgs in 42 countries</t>
        </is>
      </c>
      <c r="AA1744" t="inlineStr">
        <is>
          <t>https://securityaffairs.com/188521/apt/google-gtig-disrupted-china-linked-apt-unc2814-halting-attacks-on-53-orgs-in-42-countries.html</t>
        </is>
      </c>
    </row>
    <row r="1745">
      <c r="A1745" t="inlineStr">
        <is>
          <t>NEWS_ALERT</t>
        </is>
      </c>
      <c r="B1745" t="inlineStr">
        <is>
          <t>a04cf66aed99</t>
        </is>
      </c>
      <c r="C1745"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1745" t="n">
        <v>5</v>
      </c>
      <c r="E1745" t="inlineStr">
        <is>
          <t>MEDIUM</t>
        </is>
      </c>
      <c r="F1745" t="n">
        <v>2</v>
      </c>
      <c r="G1745" t="n">
        <v>1</v>
      </c>
      <c r="H1745" t="inlineStr">
        <is>
          <t>LOW</t>
        </is>
      </c>
      <c r="I1745" t="n">
        <v>7</v>
      </c>
      <c r="J1745" t="inlineStr">
        <is>
          <t>NO</t>
        </is>
      </c>
      <c r="K1745" t="inlineStr">
        <is>
          <t>2026-02-27 17:59</t>
        </is>
      </c>
      <c r="L1745" t="inlineStr">
        <is>
          <t>Monitor</t>
        </is>
      </c>
      <c r="M1745" t="inlineStr">
        <is>
          <t>Varies - see article</t>
        </is>
      </c>
      <c r="N1745" t="inlineStr">
        <is>
          <t>P4</t>
        </is>
      </c>
      <c r="O1745" t="inlineStr">
        <is>
          <t>News alert - no IP context</t>
        </is>
      </c>
      <c r="P1745" t="n">
        <v>0</v>
      </c>
      <c r="Q1745" t="n">
        <v>0</v>
      </c>
      <c r="R1745" t="inlineStr">
        <is>
          <t>See article for technique context</t>
        </is>
      </c>
      <c r="S1745" t="n">
        <v>1</v>
      </c>
      <c r="T1745" t="inlineStr">
        <is>
          <t>LOW (40%)</t>
        </is>
      </c>
      <c r="U1745" t="inlineStr">
        <is>
          <t>NONE</t>
        </is>
      </c>
      <c r="V1745" t="inlineStr">
        <is>
          <t>NONE</t>
        </is>
      </c>
      <c r="W1745" t="inlineStr">
        <is>
          <t>NONE</t>
        </is>
      </c>
      <c r="X1745" t="inlineStr">
        <is>
          <t>NONE</t>
        </is>
      </c>
      <c r="Y1745" t="n">
        <v>0</v>
      </c>
      <c r="Z1745" t="inlineStr">
        <is>
          <t>900+ Sangoma FreePBX Instances Compromised in Ongoing Web Shell Attacks</t>
        </is>
      </c>
      <c r="AA1745" t="inlineStr">
        <is>
          <t>https://thehackernews.com/2026/02/900-sangoma-freepbx-instances.html</t>
        </is>
      </c>
    </row>
    <row r="1746">
      <c r="A1746" t="inlineStr">
        <is>
          <t>NEWS_ALERT</t>
        </is>
      </c>
      <c r="B1746" t="inlineStr">
        <is>
          <t>a1ae46a8a2ad</t>
        </is>
      </c>
      <c r="C1746"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1746" t="n">
        <v>5</v>
      </c>
      <c r="E1746" t="inlineStr">
        <is>
          <t>MEDIUM</t>
        </is>
      </c>
      <c r="F1746" t="n">
        <v>2</v>
      </c>
      <c r="G1746" t="n">
        <v>1</v>
      </c>
      <c r="H1746" t="inlineStr">
        <is>
          <t>LOW</t>
        </is>
      </c>
      <c r="I1746" t="n">
        <v>7</v>
      </c>
      <c r="J1746" t="inlineStr">
        <is>
          <t>NO</t>
        </is>
      </c>
      <c r="K1746" t="inlineStr">
        <is>
          <t>2026-02-27 15:33</t>
        </is>
      </c>
      <c r="L1746" t="inlineStr">
        <is>
          <t>Monitor</t>
        </is>
      </c>
      <c r="M1746" t="inlineStr">
        <is>
          <t>Varies - see article</t>
        </is>
      </c>
      <c r="N1746" t="inlineStr">
        <is>
          <t>P4</t>
        </is>
      </c>
      <c r="O1746" t="inlineStr">
        <is>
          <t>News alert - no IP context</t>
        </is>
      </c>
      <c r="P1746" t="n">
        <v>0</v>
      </c>
      <c r="Q1746" t="n">
        <v>0</v>
      </c>
      <c r="R1746" t="inlineStr">
        <is>
          <t>See article for technique context</t>
        </is>
      </c>
      <c r="S1746" t="n">
        <v>1</v>
      </c>
      <c r="T1746" t="inlineStr">
        <is>
          <t>LOW (40%)</t>
        </is>
      </c>
      <c r="U1746" t="inlineStr">
        <is>
          <t>NONE</t>
        </is>
      </c>
      <c r="V1746" t="inlineStr">
        <is>
          <t>NONE</t>
        </is>
      </c>
      <c r="W1746" t="inlineStr">
        <is>
          <t>NONE</t>
        </is>
      </c>
      <c r="X1746" t="inlineStr">
        <is>
          <t>NONE</t>
        </is>
      </c>
      <c r="Y1746" t="n">
        <v>0</v>
      </c>
      <c r="Z1746" t="inlineStr">
        <is>
          <t>Malicious Go Crypto Module Steals Passwords, Deploys Rekoobe Backdoor</t>
        </is>
      </c>
      <c r="AA1746" t="inlineStr">
        <is>
          <t>https://thehackernews.com/2026/02/malicious-go-crypto-module-steals.html</t>
        </is>
      </c>
    </row>
    <row r="1747">
      <c r="A1747" t="inlineStr">
        <is>
          <t>NEWS_ALERT</t>
        </is>
      </c>
      <c r="B1747" t="inlineStr">
        <is>
          <t>02c14f7f3c5e</t>
        </is>
      </c>
      <c r="C1747" t="inlineStr">
        <is>
          <t>[TheHackerNews] ScarCruft Uses Zoho WorkDrive and USB Malware to Breach Air-Gapped Networks | Keywords: malware, threat actor, breach, breach, malware, backdoor | The North Korean threat actor known as ScarCruft has been attributed to a fresh set of tools, including a backdoor that uses Zoho WorkDrive for comman</t>
        </is>
      </c>
      <c r="D1747" t="n">
        <v>5</v>
      </c>
      <c r="E1747" t="inlineStr">
        <is>
          <t>MEDIUM</t>
        </is>
      </c>
      <c r="F1747" t="n">
        <v>2</v>
      </c>
      <c r="G1747" t="n">
        <v>1</v>
      </c>
      <c r="H1747" t="inlineStr">
        <is>
          <t>LOW</t>
        </is>
      </c>
      <c r="I1747" t="n">
        <v>7</v>
      </c>
      <c r="J1747" t="inlineStr">
        <is>
          <t>NO</t>
        </is>
      </c>
      <c r="K1747" t="inlineStr">
        <is>
          <t>2026-02-27 12:43</t>
        </is>
      </c>
      <c r="L1747" t="inlineStr">
        <is>
          <t>Monitor</t>
        </is>
      </c>
      <c r="M1747" t="inlineStr">
        <is>
          <t>Varies - see article</t>
        </is>
      </c>
      <c r="N1747" t="inlineStr">
        <is>
          <t>P4</t>
        </is>
      </c>
      <c r="O1747" t="inlineStr">
        <is>
          <t>News alert - no IP context</t>
        </is>
      </c>
      <c r="P1747" t="n">
        <v>0</v>
      </c>
      <c r="Q1747" t="n">
        <v>0</v>
      </c>
      <c r="R1747" t="inlineStr">
        <is>
          <t>See article for technique context</t>
        </is>
      </c>
      <c r="S1747" t="n">
        <v>1</v>
      </c>
      <c r="T1747" t="inlineStr">
        <is>
          <t>LOW (40%)</t>
        </is>
      </c>
      <c r="U1747" t="inlineStr">
        <is>
          <t>NONE</t>
        </is>
      </c>
      <c r="V1747" t="inlineStr">
        <is>
          <t>NONE</t>
        </is>
      </c>
      <c r="W1747" t="inlineStr">
        <is>
          <t>NONE</t>
        </is>
      </c>
      <c r="X1747" t="inlineStr">
        <is>
          <t>NONE</t>
        </is>
      </c>
      <c r="Y1747" t="n">
        <v>0</v>
      </c>
      <c r="Z1747" t="inlineStr">
        <is>
          <t>ScarCruft Uses Zoho WorkDrive and USB Malware to Breach Air-Gapped Networks</t>
        </is>
      </c>
      <c r="AA1747" t="inlineStr">
        <is>
          <t>https://thehackernews.com/2026/02/scarcruft-uses-zoho-workdrive-and-usb.html</t>
        </is>
      </c>
    </row>
    <row r="1748">
      <c r="A1748" t="inlineStr">
        <is>
          <t>NEWS_ALERT</t>
        </is>
      </c>
      <c r="B1748" t="inlineStr">
        <is>
          <t>10fe2cea4deb</t>
        </is>
      </c>
      <c r="C1748"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1748" t="n">
        <v>5</v>
      </c>
      <c r="E1748" t="inlineStr">
        <is>
          <t>MEDIUM</t>
        </is>
      </c>
      <c r="F1748" t="n">
        <v>2</v>
      </c>
      <c r="G1748" t="n">
        <v>1</v>
      </c>
      <c r="H1748" t="inlineStr">
        <is>
          <t>LOW</t>
        </is>
      </c>
      <c r="I1748" t="n">
        <v>7</v>
      </c>
      <c r="J1748" t="inlineStr">
        <is>
          <t>NO</t>
        </is>
      </c>
      <c r="K1748" t="inlineStr">
        <is>
          <t>2026-02-26 15:17</t>
        </is>
      </c>
      <c r="L1748" t="inlineStr">
        <is>
          <t>Monitor</t>
        </is>
      </c>
      <c r="M1748" t="inlineStr">
        <is>
          <t>Varies - see article</t>
        </is>
      </c>
      <c r="N1748" t="inlineStr">
        <is>
          <t>P4</t>
        </is>
      </c>
      <c r="O1748" t="inlineStr">
        <is>
          <t>News alert - no IP context</t>
        </is>
      </c>
      <c r="P1748" t="n">
        <v>0</v>
      </c>
      <c r="Q1748" t="n">
        <v>0</v>
      </c>
      <c r="R1748" t="inlineStr">
        <is>
          <t>See article for technique context</t>
        </is>
      </c>
      <c r="S1748" t="n">
        <v>1</v>
      </c>
      <c r="T1748" t="inlineStr">
        <is>
          <t>LOW (40%)</t>
        </is>
      </c>
      <c r="U1748" t="inlineStr">
        <is>
          <t>NONE</t>
        </is>
      </c>
      <c r="V1748" t="inlineStr">
        <is>
          <t>NONE</t>
        </is>
      </c>
      <c r="W1748" t="inlineStr">
        <is>
          <t>NONE</t>
        </is>
      </c>
      <c r="X1748" t="inlineStr">
        <is>
          <t>NONE</t>
        </is>
      </c>
      <c r="Y1748" t="n">
        <v>0</v>
      </c>
      <c r="Z1748" t="inlineStr">
        <is>
          <t>UAT-10027 Targets U.S. Education and Healthcare with Dohdoor Backdoor</t>
        </is>
      </c>
      <c r="AA1748" t="inlineStr">
        <is>
          <t>https://thehackernews.com/2026/02/uat-10027-targets-us-education-and.html</t>
        </is>
      </c>
    </row>
    <row r="1749">
      <c r="A1749" t="inlineStr">
        <is>
          <t>NEWS_ALERT</t>
        </is>
      </c>
      <c r="B1749" t="inlineStr">
        <is>
          <t>96fd26c759b4</t>
        </is>
      </c>
      <c r="C1749" t="inlineStr">
        <is>
          <t>[TheHackerNews] Expert Recommends: Prepare for PQC Right Now | Keywords: ransomware | Introduction: Steal It Today, Break It in a Decade Digital evolution is unstoppable, and though the pace may vary, things tend to fall into place soon</t>
        </is>
      </c>
      <c r="D1749" t="n">
        <v>5</v>
      </c>
      <c r="E1749" t="inlineStr">
        <is>
          <t>MEDIUM</t>
        </is>
      </c>
      <c r="F1749" t="n">
        <v>2</v>
      </c>
      <c r="G1749" t="n">
        <v>1</v>
      </c>
      <c r="H1749" t="inlineStr">
        <is>
          <t>LOW</t>
        </is>
      </c>
      <c r="I1749" t="n">
        <v>7</v>
      </c>
      <c r="J1749" t="inlineStr">
        <is>
          <t>NO</t>
        </is>
      </c>
      <c r="K1749" t="inlineStr">
        <is>
          <t>2026-02-26 12:06</t>
        </is>
      </c>
      <c r="L1749" t="inlineStr">
        <is>
          <t>Monitor</t>
        </is>
      </c>
      <c r="M1749" t="inlineStr">
        <is>
          <t>Varies - see article</t>
        </is>
      </c>
      <c r="N1749" t="inlineStr">
        <is>
          <t>P4</t>
        </is>
      </c>
      <c r="O1749" t="inlineStr">
        <is>
          <t>News alert - no IP context</t>
        </is>
      </c>
      <c r="P1749" t="n">
        <v>0</v>
      </c>
      <c r="Q1749" t="n">
        <v>0</v>
      </c>
      <c r="R1749" t="inlineStr">
        <is>
          <t>See article for technique context</t>
        </is>
      </c>
      <c r="S1749" t="n">
        <v>1</v>
      </c>
      <c r="T1749" t="inlineStr">
        <is>
          <t>LOW (40%)</t>
        </is>
      </c>
      <c r="U1749" t="inlineStr">
        <is>
          <t>NONE</t>
        </is>
      </c>
      <c r="V1749" t="inlineStr">
        <is>
          <t>NONE</t>
        </is>
      </c>
      <c r="W1749" t="inlineStr">
        <is>
          <t>NONE</t>
        </is>
      </c>
      <c r="X1749" t="inlineStr">
        <is>
          <t>NONE</t>
        </is>
      </c>
      <c r="Y1749" t="n">
        <v>0</v>
      </c>
      <c r="Z1749" t="inlineStr">
        <is>
          <t>Expert Recommends: Prepare for PQC Right Now</t>
        </is>
      </c>
      <c r="AA1749" t="inlineStr">
        <is>
          <t>https://thehackernews.com/2026/02/expert-recommends-prepare-for-pqc-right.html</t>
        </is>
      </c>
    </row>
    <row r="1750">
      <c r="A1750" t="inlineStr">
        <is>
          <t>NEWS_ALERT</t>
        </is>
      </c>
      <c r="B1750" t="inlineStr">
        <is>
          <t>72bc7ff6d3de</t>
        </is>
      </c>
      <c r="C1750"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1750" t="n">
        <v>5</v>
      </c>
      <c r="E1750" t="inlineStr">
        <is>
          <t>MEDIUM</t>
        </is>
      </c>
      <c r="F1750" t="n">
        <v>2</v>
      </c>
      <c r="G1750" t="n">
        <v>1</v>
      </c>
      <c r="H1750" t="inlineStr">
        <is>
          <t>LOW</t>
        </is>
      </c>
      <c r="I1750" t="n">
        <v>7</v>
      </c>
      <c r="J1750" t="inlineStr">
        <is>
          <t>NO</t>
        </is>
      </c>
      <c r="K1750" t="inlineStr">
        <is>
          <t>2026-02-26 10:35</t>
        </is>
      </c>
      <c r="L1750" t="inlineStr">
        <is>
          <t>Monitor</t>
        </is>
      </c>
      <c r="M1750" t="inlineStr">
        <is>
          <t>Varies - see article</t>
        </is>
      </c>
      <c r="N1750" t="inlineStr">
        <is>
          <t>P4</t>
        </is>
      </c>
      <c r="O1750" t="inlineStr">
        <is>
          <t>News alert - no IP context</t>
        </is>
      </c>
      <c r="P1750" t="n">
        <v>0</v>
      </c>
      <c r="Q1750" t="n">
        <v>0</v>
      </c>
      <c r="R1750" t="inlineStr">
        <is>
          <t>See article for technique context</t>
        </is>
      </c>
      <c r="S1750" t="n">
        <v>1</v>
      </c>
      <c r="T1750" t="inlineStr">
        <is>
          <t>LOW (40%)</t>
        </is>
      </c>
      <c r="U1750" t="inlineStr">
        <is>
          <t>NONE</t>
        </is>
      </c>
      <c r="V1750" t="inlineStr">
        <is>
          <t>NONE</t>
        </is>
      </c>
      <c r="W1750" t="inlineStr">
        <is>
          <t>NONE</t>
        </is>
      </c>
      <c r="X1750" t="inlineStr">
        <is>
          <t>NONE</t>
        </is>
      </c>
      <c r="Y1750" t="n">
        <v>0</v>
      </c>
      <c r="Z1750" t="inlineStr">
        <is>
          <t>Microsoft Warns Developers of Fake Next.js Job Repos Delivering In-Memory Malware</t>
        </is>
      </c>
      <c r="AA1750" t="inlineStr">
        <is>
          <t>https://thehackernews.com/2026/02/fake-nextjs-repos-target-developers.html</t>
        </is>
      </c>
    </row>
    <row r="1751">
      <c r="A1751" t="inlineStr">
        <is>
          <t>NEWS_ALERT</t>
        </is>
      </c>
      <c r="B1751" t="inlineStr">
        <is>
          <t>a740d371f2b8</t>
        </is>
      </c>
      <c r="C1751" t="inlineStr">
        <is>
          <t xml:space="preserve">[TheHackerNews] Claude Code Flaws Allow Remote Code Execution and API Key Exfiltration | Keywords: exploit, remote code, remote code | Cybersecurity researchers have disclosed multiple security vulnerabilities in Anthropic's Claude Code, an artificial intelligence (AI)-powered coding </t>
        </is>
      </c>
      <c r="D1751" t="n">
        <v>5</v>
      </c>
      <c r="E1751" t="inlineStr">
        <is>
          <t>MEDIUM</t>
        </is>
      </c>
      <c r="F1751" t="n">
        <v>2</v>
      </c>
      <c r="G1751" t="n">
        <v>1</v>
      </c>
      <c r="H1751" t="inlineStr">
        <is>
          <t>LOW</t>
        </is>
      </c>
      <c r="I1751" t="n">
        <v>7</v>
      </c>
      <c r="J1751" t="inlineStr">
        <is>
          <t>NO</t>
        </is>
      </c>
      <c r="K1751" t="inlineStr">
        <is>
          <t>2026-02-25 17:00</t>
        </is>
      </c>
      <c r="L1751" t="inlineStr">
        <is>
          <t>Monitor</t>
        </is>
      </c>
      <c r="M1751" t="inlineStr">
        <is>
          <t>Varies - see article</t>
        </is>
      </c>
      <c r="N1751" t="inlineStr">
        <is>
          <t>P4</t>
        </is>
      </c>
      <c r="O1751" t="inlineStr">
        <is>
          <t>News alert - no IP context</t>
        </is>
      </c>
      <c r="P1751" t="n">
        <v>0</v>
      </c>
      <c r="Q1751" t="n">
        <v>0</v>
      </c>
      <c r="R1751" t="inlineStr">
        <is>
          <t>See article for technique context</t>
        </is>
      </c>
      <c r="S1751" t="n">
        <v>1</v>
      </c>
      <c r="T1751" t="inlineStr">
        <is>
          <t>LOW (40%)</t>
        </is>
      </c>
      <c r="U1751" t="inlineStr">
        <is>
          <t>NONE</t>
        </is>
      </c>
      <c r="V1751" t="inlineStr">
        <is>
          <t>NONE</t>
        </is>
      </c>
      <c r="W1751" t="inlineStr">
        <is>
          <t>NONE</t>
        </is>
      </c>
      <c r="X1751" t="inlineStr">
        <is>
          <t>NONE</t>
        </is>
      </c>
      <c r="Y1751" t="n">
        <v>0</v>
      </c>
      <c r="Z1751" t="inlineStr">
        <is>
          <t>Claude Code Flaws Allow Remote Code Execution and API Key Exfiltration</t>
        </is>
      </c>
      <c r="AA1751" t="inlineStr">
        <is>
          <t>https://thehackernews.com/2026/02/claude-code-flaws-allow-remote-code.html</t>
        </is>
      </c>
    </row>
    <row r="1752">
      <c r="A1752" t="inlineStr">
        <is>
          <t>NEWS_ALERT</t>
        </is>
      </c>
      <c r="B1752" t="inlineStr">
        <is>
          <t>5a1262d06a75</t>
        </is>
      </c>
      <c r="C1752" t="inlineStr">
        <is>
          <t>[DarkReading] The Case for Why Better Breach Transparency Matters | Keywords: breach, breach | It's become a standard practice for organizations to disclose the bare minimum about a data breach, or worse — not disclose the incident at all.</t>
        </is>
      </c>
      <c r="D1752" t="n">
        <v>5</v>
      </c>
      <c r="E1752" t="inlineStr">
        <is>
          <t>MEDIUM</t>
        </is>
      </c>
      <c r="F1752" t="n">
        <v>2</v>
      </c>
      <c r="G1752" t="n">
        <v>1</v>
      </c>
      <c r="H1752" t="inlineStr">
        <is>
          <t>LOW</t>
        </is>
      </c>
      <c r="I1752" t="n">
        <v>7</v>
      </c>
      <c r="J1752" t="inlineStr">
        <is>
          <t>NO</t>
        </is>
      </c>
      <c r="K1752" t="inlineStr">
        <is>
          <t>2026-02-27 16:18</t>
        </is>
      </c>
      <c r="L1752" t="inlineStr">
        <is>
          <t>Monitor</t>
        </is>
      </c>
      <c r="M1752" t="inlineStr">
        <is>
          <t>Varies - see article</t>
        </is>
      </c>
      <c r="N1752" t="inlineStr">
        <is>
          <t>P4</t>
        </is>
      </c>
      <c r="O1752" t="inlineStr">
        <is>
          <t>News alert - no IP context</t>
        </is>
      </c>
      <c r="P1752" t="n">
        <v>0</v>
      </c>
      <c r="Q1752" t="n">
        <v>0</v>
      </c>
      <c r="R1752" t="inlineStr">
        <is>
          <t>See article for technique context</t>
        </is>
      </c>
      <c r="S1752" t="n">
        <v>1</v>
      </c>
      <c r="T1752" t="inlineStr">
        <is>
          <t>LOW (40%)</t>
        </is>
      </c>
      <c r="U1752" t="inlineStr">
        <is>
          <t>NONE</t>
        </is>
      </c>
      <c r="V1752" t="inlineStr">
        <is>
          <t>NONE</t>
        </is>
      </c>
      <c r="W1752" t="inlineStr">
        <is>
          <t>NONE</t>
        </is>
      </c>
      <c r="X1752" t="inlineStr">
        <is>
          <t>NONE</t>
        </is>
      </c>
      <c r="Y1752" t="n">
        <v>0</v>
      </c>
      <c r="Z1752" t="inlineStr">
        <is>
          <t>The Case for Why Better Breach Transparency Matters</t>
        </is>
      </c>
      <c r="AA1752" t="inlineStr">
        <is>
          <t>https://www.darkreading.com/cyberattacks-data-breaches/why-better-breach-transparency-matters</t>
        </is>
      </c>
    </row>
    <row r="1753">
      <c r="A1753" t="inlineStr">
        <is>
          <t>NEWS_ALERT</t>
        </is>
      </c>
      <c r="B1753" t="inlineStr">
        <is>
          <t>6b3f7d77535c</t>
        </is>
      </c>
      <c r="C1753" t="inlineStr">
        <is>
          <t>[DarkReading] Marquis v. SonicWall Lawsuit Ups the Breach Blame Game | Keywords: breach | When a company gets breached through a third-party security vendor, who should bear responsibility? For one FinTech company, the answer is the firewal</t>
        </is>
      </c>
      <c r="D1753" t="n">
        <v>5</v>
      </c>
      <c r="E1753" t="inlineStr">
        <is>
          <t>MEDIUM</t>
        </is>
      </c>
      <c r="F1753" t="n">
        <v>2</v>
      </c>
      <c r="G1753" t="n">
        <v>1</v>
      </c>
      <c r="H1753" t="inlineStr">
        <is>
          <t>LOW</t>
        </is>
      </c>
      <c r="I1753" t="n">
        <v>7</v>
      </c>
      <c r="J1753" t="inlineStr">
        <is>
          <t>NO</t>
        </is>
      </c>
      <c r="K1753" t="inlineStr">
        <is>
          <t>2026-02-26 22:02</t>
        </is>
      </c>
      <c r="L1753" t="inlineStr">
        <is>
          <t>Monitor</t>
        </is>
      </c>
      <c r="M1753" t="inlineStr">
        <is>
          <t>Varies - see article</t>
        </is>
      </c>
      <c r="N1753" t="inlineStr">
        <is>
          <t>P4</t>
        </is>
      </c>
      <c r="O1753" t="inlineStr">
        <is>
          <t>News alert - no IP context</t>
        </is>
      </c>
      <c r="P1753" t="n">
        <v>0</v>
      </c>
      <c r="Q1753" t="n">
        <v>0</v>
      </c>
      <c r="R1753" t="inlineStr">
        <is>
          <t>See article for technique context</t>
        </is>
      </c>
      <c r="S1753" t="n">
        <v>1</v>
      </c>
      <c r="T1753" t="inlineStr">
        <is>
          <t>LOW (40%)</t>
        </is>
      </c>
      <c r="U1753" t="inlineStr">
        <is>
          <t>NONE</t>
        </is>
      </c>
      <c r="V1753" t="inlineStr">
        <is>
          <t>NONE</t>
        </is>
      </c>
      <c r="W1753" t="inlineStr">
        <is>
          <t>NONE</t>
        </is>
      </c>
      <c r="X1753" t="inlineStr">
        <is>
          <t>NONE</t>
        </is>
      </c>
      <c r="Y1753" t="n">
        <v>0</v>
      </c>
      <c r="Z1753" t="inlineStr">
        <is>
          <t>Marquis v. SonicWall Lawsuit Ups the Breach Blame Game</t>
        </is>
      </c>
      <c r="AA1753" t="inlineStr">
        <is>
          <t>https://www.darkreading.com/cloud-security/marquis-sonicwall-lawsuit-breach-blame-game</t>
        </is>
      </c>
    </row>
    <row r="1754">
      <c r="A1754" t="inlineStr">
        <is>
          <t>NEWS_ALERT</t>
        </is>
      </c>
      <c r="B1754" t="inlineStr">
        <is>
          <t>37bd42f3cc8f</t>
        </is>
      </c>
      <c r="C1754" t="inlineStr">
        <is>
          <t>[DarkReading] RAMP Forum Seizure Fractures Ransomware Ecosystem | Keywords: ransomware | Researchers suggest defenders monitor how these malicious groups re-form and leverage the useful threat intel to guide their next moves.</t>
        </is>
      </c>
      <c r="D1754" t="n">
        <v>5</v>
      </c>
      <c r="E1754" t="inlineStr">
        <is>
          <t>MEDIUM</t>
        </is>
      </c>
      <c r="F1754" t="n">
        <v>2</v>
      </c>
      <c r="G1754" t="n">
        <v>1</v>
      </c>
      <c r="H1754" t="inlineStr">
        <is>
          <t>LOW</t>
        </is>
      </c>
      <c r="I1754" t="n">
        <v>7</v>
      </c>
      <c r="J1754" t="inlineStr">
        <is>
          <t>NO</t>
        </is>
      </c>
      <c r="K1754" t="inlineStr">
        <is>
          <t>2026-02-25 21:14</t>
        </is>
      </c>
      <c r="L1754" t="inlineStr">
        <is>
          <t>Monitor</t>
        </is>
      </c>
      <c r="M1754" t="inlineStr">
        <is>
          <t>Varies - see article</t>
        </is>
      </c>
      <c r="N1754" t="inlineStr">
        <is>
          <t>P4</t>
        </is>
      </c>
      <c r="O1754" t="inlineStr">
        <is>
          <t>News alert - no IP context</t>
        </is>
      </c>
      <c r="P1754" t="n">
        <v>0</v>
      </c>
      <c r="Q1754" t="n">
        <v>0</v>
      </c>
      <c r="R1754" t="inlineStr">
        <is>
          <t>See article for technique context</t>
        </is>
      </c>
      <c r="S1754" t="n">
        <v>1</v>
      </c>
      <c r="T1754" t="inlineStr">
        <is>
          <t>LOW (40%)</t>
        </is>
      </c>
      <c r="U1754" t="inlineStr">
        <is>
          <t>NONE</t>
        </is>
      </c>
      <c r="V1754" t="inlineStr">
        <is>
          <t>NONE</t>
        </is>
      </c>
      <c r="W1754" t="inlineStr">
        <is>
          <t>NONE</t>
        </is>
      </c>
      <c r="X1754" t="inlineStr">
        <is>
          <t>NONE</t>
        </is>
      </c>
      <c r="Y1754" t="n">
        <v>0</v>
      </c>
      <c r="Z1754" t="inlineStr">
        <is>
          <t>RAMP Forum Seizure Fractures Ransomware Ecosystem</t>
        </is>
      </c>
      <c r="AA1754" t="inlineStr">
        <is>
          <t>https://www.darkreading.com/threat-intelligence/ramp-forum-seizure-fractures-ransomware-ecosystem</t>
        </is>
      </c>
    </row>
    <row r="1755">
      <c r="A1755" t="inlineStr">
        <is>
          <t>NEWS_ALERT</t>
        </is>
      </c>
      <c r="B1755" t="inlineStr">
        <is>
          <t>e4492680030e</t>
        </is>
      </c>
      <c r="C1755" t="inlineStr">
        <is>
          <t>[DarkReading] Lazarus Group Picks a New Poison: Medusa Ransomware | Keywords: ransomware, backdoor | The North Korean threat group also leveraged Comebacker backdoor, Blindingcan RAT, and info stealer Infohook in its recent attacks.</t>
        </is>
      </c>
      <c r="D1755" t="n">
        <v>5</v>
      </c>
      <c r="E1755" t="inlineStr">
        <is>
          <t>MEDIUM</t>
        </is>
      </c>
      <c r="F1755" t="n">
        <v>2</v>
      </c>
      <c r="G1755" t="n">
        <v>1</v>
      </c>
      <c r="H1755" t="inlineStr">
        <is>
          <t>LOW</t>
        </is>
      </c>
      <c r="I1755" t="n">
        <v>7</v>
      </c>
      <c r="J1755" t="inlineStr">
        <is>
          <t>NO</t>
        </is>
      </c>
      <c r="K1755" t="inlineStr">
        <is>
          <t>2026-02-24 21:18</t>
        </is>
      </c>
      <c r="L1755" t="inlineStr">
        <is>
          <t>Monitor</t>
        </is>
      </c>
      <c r="M1755" t="inlineStr">
        <is>
          <t>Varies - see article</t>
        </is>
      </c>
      <c r="N1755" t="inlineStr">
        <is>
          <t>P4</t>
        </is>
      </c>
      <c r="O1755" t="inlineStr">
        <is>
          <t>News alert - no IP context</t>
        </is>
      </c>
      <c r="P1755" t="n">
        <v>0</v>
      </c>
      <c r="Q1755" t="n">
        <v>0</v>
      </c>
      <c r="R1755" t="inlineStr">
        <is>
          <t>See article for technique context</t>
        </is>
      </c>
      <c r="S1755" t="n">
        <v>1</v>
      </c>
      <c r="T1755" t="inlineStr">
        <is>
          <t>LOW (40%)</t>
        </is>
      </c>
      <c r="U1755" t="inlineStr">
        <is>
          <t>NONE</t>
        </is>
      </c>
      <c r="V1755" t="inlineStr">
        <is>
          <t>NONE</t>
        </is>
      </c>
      <c r="W1755" t="inlineStr">
        <is>
          <t>NONE</t>
        </is>
      </c>
      <c r="X1755" t="inlineStr">
        <is>
          <t>NONE</t>
        </is>
      </c>
      <c r="Y1755" t="n">
        <v>0</v>
      </c>
      <c r="Z1755" t="inlineStr">
        <is>
          <t>Lazarus Group Picks a New Poison: Medusa Ransomware</t>
        </is>
      </c>
      <c r="AA1755" t="inlineStr">
        <is>
          <t>https://www.darkreading.com/cyberattacks-data-breaches/lazarus-group-new-position-medusa-ransomware</t>
        </is>
      </c>
    </row>
    <row r="1756">
      <c r="A1756" t="inlineStr">
        <is>
          <t>NEWS_ALERT</t>
        </is>
      </c>
      <c r="B1756" t="inlineStr">
        <is>
          <t>8287c14235c9</t>
        </is>
      </c>
      <c r="C1756" t="inlineStr">
        <is>
          <t>[InfoSecurityMagazine] North Korea's APT37 Expands Toolkit to Breach Air-Gapped Networks | Keywords: breach | The security researchers from Zscaler ThreatLabz have also discovered five new tools deployed by the North Korean hacking group</t>
        </is>
      </c>
      <c r="D1756" t="n">
        <v>5</v>
      </c>
      <c r="E1756" t="inlineStr">
        <is>
          <t>MEDIUM</t>
        </is>
      </c>
      <c r="F1756" t="n">
        <v>2</v>
      </c>
      <c r="G1756" t="n">
        <v>1</v>
      </c>
      <c r="H1756" t="inlineStr">
        <is>
          <t>LOW</t>
        </is>
      </c>
      <c r="I1756" t="n">
        <v>7</v>
      </c>
      <c r="J1756" t="inlineStr">
        <is>
          <t>NO</t>
        </is>
      </c>
      <c r="K1756" t="inlineStr">
        <is>
          <t>2026-02-27 14:15</t>
        </is>
      </c>
      <c r="L1756" t="inlineStr">
        <is>
          <t>Monitor</t>
        </is>
      </c>
      <c r="M1756" t="inlineStr">
        <is>
          <t>Varies - see article</t>
        </is>
      </c>
      <c r="N1756" t="inlineStr">
        <is>
          <t>P4</t>
        </is>
      </c>
      <c r="O1756" t="inlineStr">
        <is>
          <t>News alert - no IP context</t>
        </is>
      </c>
      <c r="P1756" t="n">
        <v>0</v>
      </c>
      <c r="Q1756" t="n">
        <v>0</v>
      </c>
      <c r="R1756" t="inlineStr">
        <is>
          <t>See article for technique context</t>
        </is>
      </c>
      <c r="S1756" t="n">
        <v>1</v>
      </c>
      <c r="T1756" t="inlineStr">
        <is>
          <t>LOW (40%)</t>
        </is>
      </c>
      <c r="U1756" t="inlineStr">
        <is>
          <t>NONE</t>
        </is>
      </c>
      <c r="V1756" t="inlineStr">
        <is>
          <t>NONE</t>
        </is>
      </c>
      <c r="W1756" t="inlineStr">
        <is>
          <t>NONE</t>
        </is>
      </c>
      <c r="X1756" t="inlineStr">
        <is>
          <t>NONE</t>
        </is>
      </c>
      <c r="Y1756" t="n">
        <v>0</v>
      </c>
      <c r="Z1756" t="inlineStr">
        <is>
          <t>North Korea's APT37 Expands Toolkit to Breach Air-Gapped Networks</t>
        </is>
      </c>
      <c r="AA1756" t="inlineStr">
        <is>
          <t>https://www.infosecurity-magazine.com/news/north-korea-apt37-expands-toolkit/</t>
        </is>
      </c>
    </row>
    <row r="1757">
      <c r="A1757" t="inlineStr">
        <is>
          <t>NEWS_ALERT</t>
        </is>
      </c>
      <c r="B1757" t="inlineStr">
        <is>
          <t>7b96ca36ac80</t>
        </is>
      </c>
      <c r="C1757"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1757" t="n">
        <v>5</v>
      </c>
      <c r="E1757" t="inlineStr">
        <is>
          <t>MEDIUM</t>
        </is>
      </c>
      <c r="F1757" t="n">
        <v>2</v>
      </c>
      <c r="G1757" t="n">
        <v>1</v>
      </c>
      <c r="H1757" t="inlineStr">
        <is>
          <t>LOW</t>
        </is>
      </c>
      <c r="I1757" t="n">
        <v>7</v>
      </c>
      <c r="J1757" t="inlineStr">
        <is>
          <t>NO</t>
        </is>
      </c>
      <c r="K1757" t="inlineStr">
        <is>
          <t>2026-02-27 11:00</t>
        </is>
      </c>
      <c r="L1757" t="inlineStr">
        <is>
          <t>Monitor</t>
        </is>
      </c>
      <c r="M1757" t="inlineStr">
        <is>
          <t>Varies - see article</t>
        </is>
      </c>
      <c r="N1757" t="inlineStr">
        <is>
          <t>P4</t>
        </is>
      </c>
      <c r="O1757" t="inlineStr">
        <is>
          <t>News alert - no IP context</t>
        </is>
      </c>
      <c r="P1757" t="n">
        <v>0</v>
      </c>
      <c r="Q1757" t="n">
        <v>0</v>
      </c>
      <c r="R1757" t="inlineStr">
        <is>
          <t>See article for technique context</t>
        </is>
      </c>
      <c r="S1757" t="n">
        <v>1</v>
      </c>
      <c r="T1757" t="inlineStr">
        <is>
          <t>LOW (40%)</t>
        </is>
      </c>
      <c r="U1757" t="inlineStr">
        <is>
          <t>NONE</t>
        </is>
      </c>
      <c r="V1757" t="inlineStr">
        <is>
          <t>NONE</t>
        </is>
      </c>
      <c r="W1757" t="inlineStr">
        <is>
          <t>NONE</t>
        </is>
      </c>
      <c r="X1757" t="inlineStr">
        <is>
          <t>NONE</t>
        </is>
      </c>
      <c r="Y1757" t="n">
        <v>0</v>
      </c>
      <c r="Z1757" t="inlineStr">
        <is>
          <t>‘Project Compass’ Cracks Down on ‘The Com’: 30 Members of Notorious Cybercrime Gang Arrested</t>
        </is>
      </c>
      <c r="AA1757" t="inlineStr">
        <is>
          <t>https://www.infosecurity-magazine.com/news/project-compass-com-arrests/</t>
        </is>
      </c>
    </row>
    <row r="1758">
      <c r="A1758" t="inlineStr">
        <is>
          <t>NEWS_ALERT</t>
        </is>
      </c>
      <c r="B1758" t="inlineStr">
        <is>
          <t>c8fdba856a3b</t>
        </is>
      </c>
      <c r="C1758" t="inlineStr">
        <is>
          <t>[InfoSecurityMagazine] Darktrace Flags 32 Million Phishing Emails in 2025 as Identity Attacks Intensify | Keywords: phishing, phishing | 2025 saw 32M phishing emails, with identity threats surpassing vulnerabilities</t>
        </is>
      </c>
      <c r="D1758" t="n">
        <v>5</v>
      </c>
      <c r="E1758" t="inlineStr">
        <is>
          <t>MEDIUM</t>
        </is>
      </c>
      <c r="F1758" t="n">
        <v>2</v>
      </c>
      <c r="G1758" t="n">
        <v>1</v>
      </c>
      <c r="H1758" t="inlineStr">
        <is>
          <t>LOW</t>
        </is>
      </c>
      <c r="I1758" t="n">
        <v>7</v>
      </c>
      <c r="J1758" t="inlineStr">
        <is>
          <t>NO</t>
        </is>
      </c>
      <c r="K1758" t="inlineStr">
        <is>
          <t>2026-02-26 15:00</t>
        </is>
      </c>
      <c r="L1758" t="inlineStr">
        <is>
          <t>Monitor</t>
        </is>
      </c>
      <c r="M1758" t="inlineStr">
        <is>
          <t>Varies - see article</t>
        </is>
      </c>
      <c r="N1758" t="inlineStr">
        <is>
          <t>P4</t>
        </is>
      </c>
      <c r="O1758" t="inlineStr">
        <is>
          <t>News alert - no IP context</t>
        </is>
      </c>
      <c r="P1758" t="n">
        <v>0</v>
      </c>
      <c r="Q1758" t="n">
        <v>0</v>
      </c>
      <c r="R1758" t="inlineStr">
        <is>
          <t>See article for technique context</t>
        </is>
      </c>
      <c r="S1758" t="n">
        <v>1</v>
      </c>
      <c r="T1758" t="inlineStr">
        <is>
          <t>LOW (40%)</t>
        </is>
      </c>
      <c r="U1758" t="inlineStr">
        <is>
          <t>NONE</t>
        </is>
      </c>
      <c r="V1758" t="inlineStr">
        <is>
          <t>NONE</t>
        </is>
      </c>
      <c r="W1758" t="inlineStr">
        <is>
          <t>NONE</t>
        </is>
      </c>
      <c r="X1758" t="inlineStr">
        <is>
          <t>NONE</t>
        </is>
      </c>
      <c r="Y1758" t="n">
        <v>0</v>
      </c>
      <c r="Z1758" t="inlineStr">
        <is>
          <t>Darktrace Flags 32 Million Phishing Emails in 2025 as Identity Attacks Intensify</t>
        </is>
      </c>
      <c r="AA1758" t="inlineStr">
        <is>
          <t>https://www.infosecurity-magazine.com/news/32m-phishing-emails-detected-2025/</t>
        </is>
      </c>
    </row>
    <row r="1759">
      <c r="A1759" t="inlineStr">
        <is>
          <t>NEWS_ALERT</t>
        </is>
      </c>
      <c r="B1759" t="inlineStr">
        <is>
          <t>58800998d8b8</t>
        </is>
      </c>
      <c r="C1759" t="inlineStr">
        <is>
          <t>[InfoSecurityMagazine] Google Disrupts ‘Prolific’ and ‘Elusive’ China-Linked Global Hacking Campaign | Keywords: backdoor | UNC2814 hit 53 victims in 42 countries with novel backdoor in decade long cyber espionage operation</t>
        </is>
      </c>
      <c r="D1759" t="n">
        <v>5</v>
      </c>
      <c r="E1759" t="inlineStr">
        <is>
          <t>MEDIUM</t>
        </is>
      </c>
      <c r="F1759" t="n">
        <v>2</v>
      </c>
      <c r="G1759" t="n">
        <v>1</v>
      </c>
      <c r="H1759" t="inlineStr">
        <is>
          <t>LOW</t>
        </is>
      </c>
      <c r="I1759" t="n">
        <v>7</v>
      </c>
      <c r="J1759" t="inlineStr">
        <is>
          <t>NO</t>
        </is>
      </c>
      <c r="K1759" t="inlineStr">
        <is>
          <t>2026-02-26 12:09</t>
        </is>
      </c>
      <c r="L1759" t="inlineStr">
        <is>
          <t>Monitor</t>
        </is>
      </c>
      <c r="M1759" t="inlineStr">
        <is>
          <t>Varies - see article</t>
        </is>
      </c>
      <c r="N1759" t="inlineStr">
        <is>
          <t>P4</t>
        </is>
      </c>
      <c r="O1759" t="inlineStr">
        <is>
          <t>News alert - no IP context</t>
        </is>
      </c>
      <c r="P1759" t="n">
        <v>0</v>
      </c>
      <c r="Q1759" t="n">
        <v>0</v>
      </c>
      <c r="R1759" t="inlineStr">
        <is>
          <t>See article for technique context</t>
        </is>
      </c>
      <c r="S1759" t="n">
        <v>1</v>
      </c>
      <c r="T1759" t="inlineStr">
        <is>
          <t>LOW (40%)</t>
        </is>
      </c>
      <c r="U1759" t="inlineStr">
        <is>
          <t>NONE</t>
        </is>
      </c>
      <c r="V1759" t="inlineStr">
        <is>
          <t>NONE</t>
        </is>
      </c>
      <c r="W1759" t="inlineStr">
        <is>
          <t>NONE</t>
        </is>
      </c>
      <c r="X1759" t="inlineStr">
        <is>
          <t>NONE</t>
        </is>
      </c>
      <c r="Y1759" t="n">
        <v>0</v>
      </c>
      <c r="Z1759" t="inlineStr">
        <is>
          <t>Google Disrupts ‘Prolific’ and ‘Elusive’ China-Linked Global Hacking Campaign</t>
        </is>
      </c>
      <c r="AA1759" t="inlineStr">
        <is>
          <t>https://www.infosecurity-magazine.com/news/google-prolific-china-hacking/</t>
        </is>
      </c>
    </row>
    <row r="1760">
      <c r="A1760" t="inlineStr">
        <is>
          <t>NEWS_ALERT</t>
        </is>
      </c>
      <c r="B1760" t="inlineStr">
        <is>
          <t>1bf928024b63</t>
        </is>
      </c>
      <c r="C1760" t="inlineStr">
        <is>
          <t>[InfoSecurityMagazine] Global Cyber Agencies Urge Immediate Patching of Cisco SD-WAN Zero Day | Keywords: zero day, exploitation | The US and allies are urging Cisco Catalyst SD-WAN customers to hunt for signs of exploitation</t>
        </is>
      </c>
      <c r="D1760" t="n">
        <v>5</v>
      </c>
      <c r="E1760" t="inlineStr">
        <is>
          <t>MEDIUM</t>
        </is>
      </c>
      <c r="F1760" t="n">
        <v>2</v>
      </c>
      <c r="G1760" t="n">
        <v>1</v>
      </c>
      <c r="H1760" t="inlineStr">
        <is>
          <t>LOW</t>
        </is>
      </c>
      <c r="I1760" t="n">
        <v>7</v>
      </c>
      <c r="J1760" t="inlineStr">
        <is>
          <t>NO</t>
        </is>
      </c>
      <c r="K1760" t="inlineStr">
        <is>
          <t>2026-02-26 09:30</t>
        </is>
      </c>
      <c r="L1760" t="inlineStr">
        <is>
          <t>Monitor</t>
        </is>
      </c>
      <c r="M1760" t="inlineStr">
        <is>
          <t>Varies - see article</t>
        </is>
      </c>
      <c r="N1760" t="inlineStr">
        <is>
          <t>P4</t>
        </is>
      </c>
      <c r="O1760" t="inlineStr">
        <is>
          <t>News alert - no IP context</t>
        </is>
      </c>
      <c r="P1760" t="n">
        <v>0</v>
      </c>
      <c r="Q1760" t="n">
        <v>0</v>
      </c>
      <c r="R1760" t="inlineStr">
        <is>
          <t>See article for technique context</t>
        </is>
      </c>
      <c r="S1760" t="n">
        <v>1</v>
      </c>
      <c r="T1760" t="inlineStr">
        <is>
          <t>LOW (40%)</t>
        </is>
      </c>
      <c r="U1760" t="inlineStr">
        <is>
          <t>NONE</t>
        </is>
      </c>
      <c r="V1760" t="inlineStr">
        <is>
          <t>NONE</t>
        </is>
      </c>
      <c r="W1760" t="inlineStr">
        <is>
          <t>NONE</t>
        </is>
      </c>
      <c r="X1760" t="inlineStr">
        <is>
          <t>NONE</t>
        </is>
      </c>
      <c r="Y1760" t="n">
        <v>0</v>
      </c>
      <c r="Z1760" t="inlineStr">
        <is>
          <t>Global Cyber Agencies Urge Immediate Patching of Cisco SD-WAN Zero Day</t>
        </is>
      </c>
      <c r="AA1760" t="inlineStr">
        <is>
          <t>https://www.infosecurity-magazine.com/news/immediate-patch-cisco-catalyst/</t>
        </is>
      </c>
    </row>
    <row r="1761">
      <c r="A1761" t="inlineStr">
        <is>
          <t>NEWS_ALERT</t>
        </is>
      </c>
      <c r="B1761" t="inlineStr">
        <is>
          <t>505d82fc4104</t>
        </is>
      </c>
      <c r="C1761"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1761" t="n">
        <v>5</v>
      </c>
      <c r="E1761" t="inlineStr">
        <is>
          <t>MEDIUM</t>
        </is>
      </c>
      <c r="F1761" t="n">
        <v>2</v>
      </c>
      <c r="G1761" t="n">
        <v>1</v>
      </c>
      <c r="H1761" t="inlineStr">
        <is>
          <t>LOW</t>
        </is>
      </c>
      <c r="I1761" t="n">
        <v>7</v>
      </c>
      <c r="J1761" t="inlineStr">
        <is>
          <t>NO</t>
        </is>
      </c>
      <c r="K1761" t="inlineStr">
        <is>
          <t>2026-02-27 15:23</t>
        </is>
      </c>
      <c r="L1761" t="inlineStr">
        <is>
          <t>Monitor</t>
        </is>
      </c>
      <c r="M1761" t="inlineStr">
        <is>
          <t>Varies - see article</t>
        </is>
      </c>
      <c r="N1761" t="inlineStr">
        <is>
          <t>P4</t>
        </is>
      </c>
      <c r="O1761" t="inlineStr">
        <is>
          <t>News alert - no IP context</t>
        </is>
      </c>
      <c r="P1761" t="n">
        <v>0</v>
      </c>
      <c r="Q1761" t="n">
        <v>0</v>
      </c>
      <c r="R1761" t="inlineStr">
        <is>
          <t>See article for technique context</t>
        </is>
      </c>
      <c r="S1761" t="n">
        <v>1</v>
      </c>
      <c r="T1761" t="inlineStr">
        <is>
          <t>LOW (40%)</t>
        </is>
      </c>
      <c r="U1761" t="inlineStr">
        <is>
          <t>NONE</t>
        </is>
      </c>
      <c r="V1761" t="inlineStr">
        <is>
          <t>NONE</t>
        </is>
      </c>
      <c r="W1761" t="inlineStr">
        <is>
          <t>NONE</t>
        </is>
      </c>
      <c r="X1761" t="inlineStr">
        <is>
          <t>NONE</t>
        </is>
      </c>
      <c r="Y1761" t="n">
        <v>0</v>
      </c>
      <c r="Z1761" t="inlineStr">
        <is>
          <t>In Other News: ATT&amp;CK Advisory Council, Russian Cyberattacks Aid Missile Strikes, Predator Bypasses iOS Indicators</t>
        </is>
      </c>
      <c r="AA1761" t="inlineStr">
        <is>
          <t>https://www.securityweek.com/in-other-news-attck-advisory-council-russian-cyberattacks-aid-missile-strikes-predator-bypasses-ios-indicators/</t>
        </is>
      </c>
    </row>
    <row r="1762">
      <c r="A1762" t="inlineStr">
        <is>
          <t>NEWS_ALERT</t>
        </is>
      </c>
      <c r="B1762" t="inlineStr">
        <is>
          <t>5a60b582aa77</t>
        </is>
      </c>
      <c r="C1762" t="inlineStr">
        <is>
          <t>[SecurityWeek] 38 Million Allegedly Impacted by ManoMano Data Breach | Keywords: breach | Hackers stole personal information such as names, email addresses, phone numbers, and other information. The post 38 Million Allegedly Impacted by Man</t>
        </is>
      </c>
      <c r="D1762" t="n">
        <v>5</v>
      </c>
      <c r="E1762" t="inlineStr">
        <is>
          <t>MEDIUM</t>
        </is>
      </c>
      <c r="F1762" t="n">
        <v>2</v>
      </c>
      <c r="G1762" t="n">
        <v>1</v>
      </c>
      <c r="H1762" t="inlineStr">
        <is>
          <t>LOW</t>
        </is>
      </c>
      <c r="I1762" t="n">
        <v>7</v>
      </c>
      <c r="J1762" t="inlineStr">
        <is>
          <t>NO</t>
        </is>
      </c>
      <c r="K1762" t="inlineStr">
        <is>
          <t>2026-02-27 13:41</t>
        </is>
      </c>
      <c r="L1762" t="inlineStr">
        <is>
          <t>Monitor</t>
        </is>
      </c>
      <c r="M1762" t="inlineStr">
        <is>
          <t>Varies - see article</t>
        </is>
      </c>
      <c r="N1762" t="inlineStr">
        <is>
          <t>P4</t>
        </is>
      </c>
      <c r="O1762" t="inlineStr">
        <is>
          <t>News alert - no IP context</t>
        </is>
      </c>
      <c r="P1762" t="n">
        <v>0</v>
      </c>
      <c r="Q1762" t="n">
        <v>0</v>
      </c>
      <c r="R1762" t="inlineStr">
        <is>
          <t>See article for technique context</t>
        </is>
      </c>
      <c r="S1762" t="n">
        <v>1</v>
      </c>
      <c r="T1762" t="inlineStr">
        <is>
          <t>LOW (40%)</t>
        </is>
      </c>
      <c r="U1762" t="inlineStr">
        <is>
          <t>NONE</t>
        </is>
      </c>
      <c r="V1762" t="inlineStr">
        <is>
          <t>NONE</t>
        </is>
      </c>
      <c r="W1762" t="inlineStr">
        <is>
          <t>NONE</t>
        </is>
      </c>
      <c r="X1762" t="inlineStr">
        <is>
          <t>NONE</t>
        </is>
      </c>
      <c r="Y1762" t="n">
        <v>0</v>
      </c>
      <c r="Z1762" t="inlineStr">
        <is>
          <t>38 Million Allegedly Impacted by ManoMano Data Breach</t>
        </is>
      </c>
      <c r="AA1762" t="inlineStr">
        <is>
          <t>https://www.securityweek.com/38-million-allegedly-impacted-by-manomano-data-breach/</t>
        </is>
      </c>
    </row>
    <row r="1763">
      <c r="A1763" t="inlineStr">
        <is>
          <t>NEWS_ALERT</t>
        </is>
      </c>
      <c r="B1763" t="inlineStr">
        <is>
          <t>95090c3110b5</t>
        </is>
      </c>
      <c r="C1763" t="inlineStr">
        <is>
          <t>[SecurityWeek] 900 Sangoma FreePBX Instances Infected With Web Shells | Keywords: exploited | The attacks exploited a post-authentication command injection vulnerability in the endpoint manager’s interface. The post 900 Sangoma FreePBX Instance</t>
        </is>
      </c>
      <c r="D1763" t="n">
        <v>5</v>
      </c>
      <c r="E1763" t="inlineStr">
        <is>
          <t>MEDIUM</t>
        </is>
      </c>
      <c r="F1763" t="n">
        <v>2</v>
      </c>
      <c r="G1763" t="n">
        <v>1</v>
      </c>
      <c r="H1763" t="inlineStr">
        <is>
          <t>LOW</t>
        </is>
      </c>
      <c r="I1763" t="n">
        <v>7</v>
      </c>
      <c r="J1763" t="inlineStr">
        <is>
          <t>NO</t>
        </is>
      </c>
      <c r="K1763" t="inlineStr">
        <is>
          <t>2026-02-27 13:24</t>
        </is>
      </c>
      <c r="L1763" t="inlineStr">
        <is>
          <t>Monitor</t>
        </is>
      </c>
      <c r="M1763" t="inlineStr">
        <is>
          <t>Varies - see article</t>
        </is>
      </c>
      <c r="N1763" t="inlineStr">
        <is>
          <t>P4</t>
        </is>
      </c>
      <c r="O1763" t="inlineStr">
        <is>
          <t>News alert - no IP context</t>
        </is>
      </c>
      <c r="P1763" t="n">
        <v>0</v>
      </c>
      <c r="Q1763" t="n">
        <v>0</v>
      </c>
      <c r="R1763" t="inlineStr">
        <is>
          <t>See article for technique context</t>
        </is>
      </c>
      <c r="S1763" t="n">
        <v>1</v>
      </c>
      <c r="T1763" t="inlineStr">
        <is>
          <t>LOW (40%)</t>
        </is>
      </c>
      <c r="U1763" t="inlineStr">
        <is>
          <t>NONE</t>
        </is>
      </c>
      <c r="V1763" t="inlineStr">
        <is>
          <t>NONE</t>
        </is>
      </c>
      <c r="W1763" t="inlineStr">
        <is>
          <t>NONE</t>
        </is>
      </c>
      <c r="X1763" t="inlineStr">
        <is>
          <t>NONE</t>
        </is>
      </c>
      <c r="Y1763" t="n">
        <v>0</v>
      </c>
      <c r="Z1763" t="inlineStr">
        <is>
          <t>900 Sangoma FreePBX Instances Infected With Web Shells</t>
        </is>
      </c>
      <c r="AA1763" t="inlineStr">
        <is>
          <t>https://www.securityweek.com/900-sangoma-freepbx-instances-infected-with-web-shells/</t>
        </is>
      </c>
    </row>
    <row r="1764">
      <c r="A1764" t="inlineStr">
        <is>
          <t>NEWS_ALERT</t>
        </is>
      </c>
      <c r="B1764" t="inlineStr">
        <is>
          <t>700803c21b98</t>
        </is>
      </c>
      <c r="C1764" t="inlineStr">
        <is>
          <t>[SANS-ISC-RSS] Fake Fedex Email Delivers Donuts&amp;#x21;, (Fri, Feb 27th) | Keywords: malware, phishing | It&amp;#x27s Friday, let&amp;#x27s have a look at another simple piece of malware to close a busy week&amp;#x21; I received a Fedex notification about a delivery.</t>
        </is>
      </c>
      <c r="D1764" t="n">
        <v>5</v>
      </c>
      <c r="E1764" t="inlineStr">
        <is>
          <t>MEDIUM</t>
        </is>
      </c>
      <c r="F1764" t="n">
        <v>2</v>
      </c>
      <c r="G1764" t="n">
        <v>1</v>
      </c>
      <c r="H1764" t="inlineStr">
        <is>
          <t>LOW</t>
        </is>
      </c>
      <c r="I1764" t="n">
        <v>7</v>
      </c>
      <c r="J1764" t="inlineStr">
        <is>
          <t>NO</t>
        </is>
      </c>
      <c r="K1764" t="inlineStr">
        <is>
          <t>2026-02-27 12:22</t>
        </is>
      </c>
      <c r="L1764" t="inlineStr">
        <is>
          <t>Monitor</t>
        </is>
      </c>
      <c r="M1764" t="inlineStr">
        <is>
          <t>Varies - see article</t>
        </is>
      </c>
      <c r="N1764" t="inlineStr">
        <is>
          <t>P4</t>
        </is>
      </c>
      <c r="O1764" t="inlineStr">
        <is>
          <t>News alert - no IP context</t>
        </is>
      </c>
      <c r="P1764" t="n">
        <v>0</v>
      </c>
      <c r="Q1764" t="n">
        <v>0</v>
      </c>
      <c r="R1764" t="inlineStr">
        <is>
          <t>See article for technique context</t>
        </is>
      </c>
      <c r="S1764" t="n">
        <v>1</v>
      </c>
      <c r="T1764" t="inlineStr">
        <is>
          <t>LOW (40%)</t>
        </is>
      </c>
      <c r="U1764" t="inlineStr">
        <is>
          <t>NONE</t>
        </is>
      </c>
      <c r="V1764" t="inlineStr">
        <is>
          <t>NONE</t>
        </is>
      </c>
      <c r="W1764" t="inlineStr">
        <is>
          <t>NONE</t>
        </is>
      </c>
      <c r="X1764" t="inlineStr">
        <is>
          <t>NONE</t>
        </is>
      </c>
      <c r="Y1764" t="n">
        <v>0</v>
      </c>
      <c r="Z1764" t="inlineStr">
        <is>
          <t>Fake Fedex Email Delivers Donuts&amp;#x21;, (Fri, Feb 27th)</t>
        </is>
      </c>
      <c r="AA1764" t="inlineStr">
        <is>
          <t>https://isc.sans.edu/diary/rss/32754</t>
        </is>
      </c>
    </row>
    <row r="1765">
      <c r="A1765" t="inlineStr">
        <is>
          <t>NEWS_ALERT</t>
        </is>
      </c>
      <c r="B1765" t="inlineStr">
        <is>
          <t>6c9801c9724b</t>
        </is>
      </c>
      <c r="C1765" t="inlineStr">
        <is>
          <t>[HackRead] Hackers Use 1Campaign to Hide Malicious Ads From Google Reviewers | Keywords: phishing | Varonis Threat Labs reveals 1Campaign, a platform used to trick Google Ads and hide phishing pages. Learn how this cloaking tool targets real users wh</t>
        </is>
      </c>
      <c r="D1765" t="n">
        <v>5</v>
      </c>
      <c r="E1765" t="inlineStr">
        <is>
          <t>MEDIUM</t>
        </is>
      </c>
      <c r="F1765" t="n">
        <v>2</v>
      </c>
      <c r="G1765" t="n">
        <v>1</v>
      </c>
      <c r="H1765" t="inlineStr">
        <is>
          <t>LOW</t>
        </is>
      </c>
      <c r="I1765" t="n">
        <v>7</v>
      </c>
      <c r="J1765" t="inlineStr">
        <is>
          <t>NO</t>
        </is>
      </c>
      <c r="K1765" t="inlineStr">
        <is>
          <t>2026-02-27 11:16</t>
        </is>
      </c>
      <c r="L1765" t="inlineStr">
        <is>
          <t>Monitor</t>
        </is>
      </c>
      <c r="M1765" t="inlineStr">
        <is>
          <t>Varies - see article</t>
        </is>
      </c>
      <c r="N1765" t="inlineStr">
        <is>
          <t>P4</t>
        </is>
      </c>
      <c r="O1765" t="inlineStr">
        <is>
          <t>News alert - no IP context</t>
        </is>
      </c>
      <c r="P1765" t="n">
        <v>0</v>
      </c>
      <c r="Q1765" t="n">
        <v>0</v>
      </c>
      <c r="R1765" t="inlineStr">
        <is>
          <t>See article for technique context</t>
        </is>
      </c>
      <c r="S1765" t="n">
        <v>1</v>
      </c>
      <c r="T1765" t="inlineStr">
        <is>
          <t>LOW (40%)</t>
        </is>
      </c>
      <c r="U1765" t="inlineStr">
        <is>
          <t>NONE</t>
        </is>
      </c>
      <c r="V1765" t="inlineStr">
        <is>
          <t>NONE</t>
        </is>
      </c>
      <c r="W1765" t="inlineStr">
        <is>
          <t>NONE</t>
        </is>
      </c>
      <c r="X1765" t="inlineStr">
        <is>
          <t>NONE</t>
        </is>
      </c>
      <c r="Y1765" t="n">
        <v>0</v>
      </c>
      <c r="Z1765" t="inlineStr">
        <is>
          <t>Hackers Use 1Campaign to Hide Malicious Ads From Google Reviewers</t>
        </is>
      </c>
      <c r="AA1765" t="inlineStr">
        <is>
          <t>https://hackread.com/hackers-1campaign-hide-malicious-ads-google-reviewers/</t>
        </is>
      </c>
    </row>
    <row r="1766">
      <c r="A1766" t="inlineStr">
        <is>
          <t>NEWS_ALERT</t>
        </is>
      </c>
      <c r="B1766" t="inlineStr">
        <is>
          <t>72aa219bca57</t>
        </is>
      </c>
      <c r="C1766" t="inlineStr">
        <is>
          <t>[HackRead] Fake Avast Website Targets Users With €499 Phishing Refund Scam | Keywords: phishing, phishing | Fraudsters clone Avast’s website to target French users with a €499 phishing scam, using urgency tactics, live chat, and card validation to steal paym</t>
        </is>
      </c>
      <c r="D1766" t="n">
        <v>5</v>
      </c>
      <c r="E1766" t="inlineStr">
        <is>
          <t>MEDIUM</t>
        </is>
      </c>
      <c r="F1766" t="n">
        <v>2</v>
      </c>
      <c r="G1766" t="n">
        <v>1</v>
      </c>
      <c r="H1766" t="inlineStr">
        <is>
          <t>LOW</t>
        </is>
      </c>
      <c r="I1766" t="n">
        <v>7</v>
      </c>
      <c r="J1766" t="inlineStr">
        <is>
          <t>NO</t>
        </is>
      </c>
      <c r="K1766" t="inlineStr">
        <is>
          <t>2026-02-26 17:18</t>
        </is>
      </c>
      <c r="L1766" t="inlineStr">
        <is>
          <t>Monitor</t>
        </is>
      </c>
      <c r="M1766" t="inlineStr">
        <is>
          <t>Varies - see article</t>
        </is>
      </c>
      <c r="N1766" t="inlineStr">
        <is>
          <t>P4</t>
        </is>
      </c>
      <c r="O1766" t="inlineStr">
        <is>
          <t>News alert - no IP context</t>
        </is>
      </c>
      <c r="P1766" t="n">
        <v>0</v>
      </c>
      <c r="Q1766" t="n">
        <v>0</v>
      </c>
      <c r="R1766" t="inlineStr">
        <is>
          <t>See article for technique context</t>
        </is>
      </c>
      <c r="S1766" t="n">
        <v>1</v>
      </c>
      <c r="T1766" t="inlineStr">
        <is>
          <t>LOW (40%)</t>
        </is>
      </c>
      <c r="U1766" t="inlineStr">
        <is>
          <t>NONE</t>
        </is>
      </c>
      <c r="V1766" t="inlineStr">
        <is>
          <t>NONE</t>
        </is>
      </c>
      <c r="W1766" t="inlineStr">
        <is>
          <t>NONE</t>
        </is>
      </c>
      <c r="X1766" t="inlineStr">
        <is>
          <t>NONE</t>
        </is>
      </c>
      <c r="Y1766" t="n">
        <v>0</v>
      </c>
      <c r="Z1766" t="inlineStr">
        <is>
          <t>Fake Avast Website Targets Users With €499 Phishing Refund Scam</t>
        </is>
      </c>
      <c r="AA1766" t="inlineStr">
        <is>
          <t>https://hackread.com/fake-avast-website-phishing-refund-scam/</t>
        </is>
      </c>
    </row>
    <row r="1767">
      <c r="A1767" t="inlineStr">
        <is>
          <t>NEWS_ALERT</t>
        </is>
      </c>
      <c r="B1767" t="inlineStr">
        <is>
          <t>8fcc1e99c11d</t>
        </is>
      </c>
      <c r="C1767" t="inlineStr">
        <is>
          <t>[HackRead] US Sanctions Russian Exploit Broker Over Stolen US Cyber Tools | Keywords: exploit | The US Treasury targets Sergey Zelenyuk and his firm Operation Zero for the illegal trade of stolen government cyber tools following the sentencing of</t>
        </is>
      </c>
      <c r="D1767" t="n">
        <v>5</v>
      </c>
      <c r="E1767" t="inlineStr">
        <is>
          <t>MEDIUM</t>
        </is>
      </c>
      <c r="F1767" t="n">
        <v>2</v>
      </c>
      <c r="G1767" t="n">
        <v>1</v>
      </c>
      <c r="H1767" t="inlineStr">
        <is>
          <t>LOW</t>
        </is>
      </c>
      <c r="I1767" t="n">
        <v>7</v>
      </c>
      <c r="J1767" t="inlineStr">
        <is>
          <t>NO</t>
        </is>
      </c>
      <c r="K1767" t="inlineStr">
        <is>
          <t>2026-02-25 19:29</t>
        </is>
      </c>
      <c r="L1767" t="inlineStr">
        <is>
          <t>Monitor</t>
        </is>
      </c>
      <c r="M1767" t="inlineStr">
        <is>
          <t>Varies - see article</t>
        </is>
      </c>
      <c r="N1767" t="inlineStr">
        <is>
          <t>P4</t>
        </is>
      </c>
      <c r="O1767" t="inlineStr">
        <is>
          <t>News alert - no IP context</t>
        </is>
      </c>
      <c r="P1767" t="n">
        <v>0</v>
      </c>
      <c r="Q1767" t="n">
        <v>0</v>
      </c>
      <c r="R1767" t="inlineStr">
        <is>
          <t>See article for technique context</t>
        </is>
      </c>
      <c r="S1767" t="n">
        <v>1</v>
      </c>
      <c r="T1767" t="inlineStr">
        <is>
          <t>LOW (40%)</t>
        </is>
      </c>
      <c r="U1767" t="inlineStr">
        <is>
          <t>NONE</t>
        </is>
      </c>
      <c r="V1767" t="inlineStr">
        <is>
          <t>NONE</t>
        </is>
      </c>
      <c r="W1767" t="inlineStr">
        <is>
          <t>NONE</t>
        </is>
      </c>
      <c r="X1767" t="inlineStr">
        <is>
          <t>NONE</t>
        </is>
      </c>
      <c r="Y1767" t="n">
        <v>0</v>
      </c>
      <c r="Z1767" t="inlineStr">
        <is>
          <t>US Sanctions Russian Exploit Broker Over Stolen US Cyber Tools</t>
        </is>
      </c>
      <c r="AA1767" t="inlineStr">
        <is>
          <t>https://hackread.com/us-sanctions-russian-exploit-broker-us-cyber-tools/</t>
        </is>
      </c>
    </row>
    <row r="1768">
      <c r="A1768" t="inlineStr">
        <is>
          <t>NEWS_ALERT</t>
        </is>
      </c>
      <c r="B1768" t="inlineStr">
        <is>
          <t>962061c7e435</t>
        </is>
      </c>
      <c r="C1768" t="inlineStr">
        <is>
          <t>[HackRead] ShinyHunters Claims Odido NL and Ben.nl Breach as Company Confirms Cyberattack | Keywords: breach, breach | ShinyHunters claims 21 million records stolen in Odido NL and Ben.nl data breach as telecom company confirms cyberattack impacting customer contact sy</t>
        </is>
      </c>
      <c r="D1768" t="n">
        <v>5</v>
      </c>
      <c r="E1768" t="inlineStr">
        <is>
          <t>MEDIUM</t>
        </is>
      </c>
      <c r="F1768" t="n">
        <v>2</v>
      </c>
      <c r="G1768" t="n">
        <v>1</v>
      </c>
      <c r="H1768" t="inlineStr">
        <is>
          <t>LOW</t>
        </is>
      </c>
      <c r="I1768" t="n">
        <v>7</v>
      </c>
      <c r="J1768" t="inlineStr">
        <is>
          <t>NO</t>
        </is>
      </c>
      <c r="K1768" t="inlineStr">
        <is>
          <t>2026-02-25 16:40</t>
        </is>
      </c>
      <c r="L1768" t="inlineStr">
        <is>
          <t>Monitor</t>
        </is>
      </c>
      <c r="M1768" t="inlineStr">
        <is>
          <t>Varies - see article</t>
        </is>
      </c>
      <c r="N1768" t="inlineStr">
        <is>
          <t>P4</t>
        </is>
      </c>
      <c r="O1768" t="inlineStr">
        <is>
          <t>News alert - no IP context</t>
        </is>
      </c>
      <c r="P1768" t="n">
        <v>0</v>
      </c>
      <c r="Q1768" t="n">
        <v>0</v>
      </c>
      <c r="R1768" t="inlineStr">
        <is>
          <t>See article for technique context</t>
        </is>
      </c>
      <c r="S1768" t="n">
        <v>1</v>
      </c>
      <c r="T1768" t="inlineStr">
        <is>
          <t>LOW (40%)</t>
        </is>
      </c>
      <c r="U1768" t="inlineStr">
        <is>
          <t>NONE</t>
        </is>
      </c>
      <c r="V1768" t="inlineStr">
        <is>
          <t>NONE</t>
        </is>
      </c>
      <c r="W1768" t="inlineStr">
        <is>
          <t>NONE</t>
        </is>
      </c>
      <c r="X1768" t="inlineStr">
        <is>
          <t>NONE</t>
        </is>
      </c>
      <c r="Y1768" t="n">
        <v>0</v>
      </c>
      <c r="Z1768" t="inlineStr">
        <is>
          <t>ShinyHunters Claims Odido NL and Ben.nl Breach as Company Confirms Cyberattack</t>
        </is>
      </c>
      <c r="AA1768" t="inlineStr">
        <is>
          <t>https://hackread.com/shinyhunters-odido-nl-ben-nl-breach-confirm-cyberattack/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2026-02-27T18:47:00Z</dcterms:created>
  <dcterms:modified xmlns:dcterms="http://purl.org/dc/terms/" xmlns:xsi="http://www.w3.org/2001/XMLSchema-instance" xsi:type="dcterms:W3CDTF">2026-02-27T18:47:09Z</dcterms:modified>
</cp:coreProperties>
</file>